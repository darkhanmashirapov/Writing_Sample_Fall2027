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firstSheet="2" activeTab="5"/>
  </bookViews>
  <sheets>
    <sheet name="KZGB_Y 09.08.2026" sheetId="1" r:id="rId1"/>
    <sheet name="Kazakhstan 5-Year Bond Yield Hi" sheetId="3" r:id="rId2"/>
    <sheet name="Kazakhstan 1-Year Bond Yield Hi" sheetId="2" r:id="rId3"/>
    <sheet name="Kazakhstan 10-Year Bond Yield H" sheetId="4" r:id="rId4"/>
    <sheet name="NS Combined" sheetId="5" r:id="rId5"/>
    <sheet name="Final Cleane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<sst xmlns="http://schemas.openxmlformats.org/spreadsheetml/2006/main" count="1128" uniqueCount="1111">
  <si>
    <t>KZGB_Y 2001-01-01 - 2026-07-31</t>
  </si>
  <si>
    <t>Date</t>
  </si>
  <si>
    <t>KZGB_Ys (maturity of up to 1 year)</t>
  </si>
  <si>
    <t>KZGB_Ym (maturity from 1 year to 5 years)</t>
  </si>
  <si>
    <t>KZGB_Yl(maturity of 5 years or more)</t>
  </si>
  <si>
    <t>KZGB_Y (without segmentation by maturity)</t>
  </si>
  <si>
    <t>KZGB_Ym1m (maturity of 31 days or more)</t>
  </si>
  <si>
    <t>09.03.22</t>
  </si>
  <si>
    <t>10.03.22</t>
  </si>
  <si>
    <t>11.03.22</t>
  </si>
  <si>
    <t>14.03.22</t>
  </si>
  <si>
    <t>15.03.22</t>
  </si>
  <si>
    <t>16.03.22</t>
  </si>
  <si>
    <t>17.03.22</t>
  </si>
  <si>
    <t>18.03.22</t>
  </si>
  <si>
    <t>24.03.22</t>
  </si>
  <si>
    <t>25.03.22</t>
  </si>
  <si>
    <t>28.03.22</t>
  </si>
  <si>
    <t>29.03.22</t>
  </si>
  <si>
    <t>30.03.22</t>
  </si>
  <si>
    <t>31.03.22</t>
  </si>
  <si>
    <t>01.04.22</t>
  </si>
  <si>
    <t>04.04.22</t>
  </si>
  <si>
    <t>05.04.22</t>
  </si>
  <si>
    <t>06.04.22</t>
  </si>
  <si>
    <t>07.04.22</t>
  </si>
  <si>
    <t>08.04.22</t>
  </si>
  <si>
    <t>11.04.22</t>
  </si>
  <si>
    <t>12.04.22</t>
  </si>
  <si>
    <t>13.04.22</t>
  </si>
  <si>
    <t>14.04.22</t>
  </si>
  <si>
    <t>15.04.22</t>
  </si>
  <si>
    <t>18.04.22</t>
  </si>
  <si>
    <t>19.04.22</t>
  </si>
  <si>
    <t>20.04.22</t>
  </si>
  <si>
    <t>21.04.22</t>
  </si>
  <si>
    <t>22.04.22</t>
  </si>
  <si>
    <t>25.04.22</t>
  </si>
  <si>
    <t>26.04.22</t>
  </si>
  <si>
    <t>27.04.22</t>
  </si>
  <si>
    <t>28.04.22</t>
  </si>
  <si>
    <t>29.04.22</t>
  </si>
  <si>
    <t>03.05.22</t>
  </si>
  <si>
    <t>04.05.22</t>
  </si>
  <si>
    <t>05.05.22</t>
  </si>
  <si>
    <t>06.05.22</t>
  </si>
  <si>
    <t>11.05.22</t>
  </si>
  <si>
    <t>12.05.22</t>
  </si>
  <si>
    <t>13.05.22</t>
  </si>
  <si>
    <t>16.05.22</t>
  </si>
  <si>
    <t>17.05.22</t>
  </si>
  <si>
    <t>18.05.22</t>
  </si>
  <si>
    <t>19.05.22</t>
  </si>
  <si>
    <t>20.05.22</t>
  </si>
  <si>
    <t>23.05.22</t>
  </si>
  <si>
    <t>24.05.22</t>
  </si>
  <si>
    <t>25.05.22</t>
  </si>
  <si>
    <t>26.05.22</t>
  </si>
  <si>
    <t>27.05.22</t>
  </si>
  <si>
    <t>30.05.22</t>
  </si>
  <si>
    <t>31.05.22</t>
  </si>
  <si>
    <t>01.06.22</t>
  </si>
  <si>
    <t>02.06.22</t>
  </si>
  <si>
    <t>03.06.22</t>
  </si>
  <si>
    <t>06.06.22</t>
  </si>
  <si>
    <t>07.06.22</t>
  </si>
  <si>
    <t>08.06.22</t>
  </si>
  <si>
    <t>09.06.22</t>
  </si>
  <si>
    <t>10.06.22</t>
  </si>
  <si>
    <t>13.06.22</t>
  </si>
  <si>
    <t>14.06.22</t>
  </si>
  <si>
    <t>15.06.22</t>
  </si>
  <si>
    <t>16.06.22</t>
  </si>
  <si>
    <t>17.06.22</t>
  </si>
  <si>
    <t>20.06.22</t>
  </si>
  <si>
    <t>21.06.22</t>
  </si>
  <si>
    <t>22.06.22</t>
  </si>
  <si>
    <t>23.06.22</t>
  </si>
  <si>
    <t>24.06.22</t>
  </si>
  <si>
    <t>27.06.22</t>
  </si>
  <si>
    <t>28.06.22</t>
  </si>
  <si>
    <t>29.06.22</t>
  </si>
  <si>
    <t>30.06.22</t>
  </si>
  <si>
    <t>01.07.22</t>
  </si>
  <si>
    <t>04.07.22</t>
  </si>
  <si>
    <t>05.07.22</t>
  </si>
  <si>
    <t>07.07.22</t>
  </si>
  <si>
    <t>08.07.22</t>
  </si>
  <si>
    <t>11.07.22</t>
  </si>
  <si>
    <t>12.07.22</t>
  </si>
  <si>
    <t>13.07.22</t>
  </si>
  <si>
    <t>14.07.22</t>
  </si>
  <si>
    <t>15.07.22</t>
  </si>
  <si>
    <t>18.07.22</t>
  </si>
  <si>
    <t>19.07.22</t>
  </si>
  <si>
    <t>20.07.22</t>
  </si>
  <si>
    <t>21.07.22</t>
  </si>
  <si>
    <t>22.07.22</t>
  </si>
  <si>
    <t>25.07.22</t>
  </si>
  <si>
    <t>26.07.22</t>
  </si>
  <si>
    <t>27.07.22</t>
  </si>
  <si>
    <t>28.07.22</t>
  </si>
  <si>
    <t>29.07.22</t>
  </si>
  <si>
    <t>01.08.22</t>
  </si>
  <si>
    <t>02.08.22</t>
  </si>
  <si>
    <t>03.08.22</t>
  </si>
  <si>
    <t>04.08.22</t>
  </si>
  <si>
    <t>05.08.22</t>
  </si>
  <si>
    <t>08.08.22</t>
  </si>
  <si>
    <t>09.08.22</t>
  </si>
  <si>
    <t>10.08.22</t>
  </si>
  <si>
    <t>11.08.22</t>
  </si>
  <si>
    <t>12.08.22</t>
  </si>
  <si>
    <t>15.08.22</t>
  </si>
  <si>
    <t>16.08.22</t>
  </si>
  <si>
    <t>17.08.22</t>
  </si>
  <si>
    <t>18.08.22</t>
  </si>
  <si>
    <t>19.08.22</t>
  </si>
  <si>
    <t>22.08.22</t>
  </si>
  <si>
    <t>23.08.22</t>
  </si>
  <si>
    <t>24.08.22</t>
  </si>
  <si>
    <t>25.08.22</t>
  </si>
  <si>
    <t>26.08.22</t>
  </si>
  <si>
    <t>27.08.22</t>
  </si>
  <si>
    <t>31.08.22</t>
  </si>
  <si>
    <t>01.09.22</t>
  </si>
  <si>
    <t>02.09.22</t>
  </si>
  <si>
    <t>05.09.22</t>
  </si>
  <si>
    <t>06.09.22</t>
  </si>
  <si>
    <t>07.09.22</t>
  </si>
  <si>
    <t>08.09.22</t>
  </si>
  <si>
    <t>09.09.22</t>
  </si>
  <si>
    <t>12.09.22</t>
  </si>
  <si>
    <t>13.09.22</t>
  </si>
  <si>
    <t>14.09.22</t>
  </si>
  <si>
    <t>15.09.22</t>
  </si>
  <si>
    <t>16.09.22</t>
  </si>
  <si>
    <t>19.09.22</t>
  </si>
  <si>
    <t>20.09.22</t>
  </si>
  <si>
    <t>21.09.22</t>
  </si>
  <si>
    <t>22.09.22</t>
  </si>
  <si>
    <t>23.09.22</t>
  </si>
  <si>
    <t>26.09.22</t>
  </si>
  <si>
    <t>27.09.22</t>
  </si>
  <si>
    <t>28.09.22</t>
  </si>
  <si>
    <t>29.09.22</t>
  </si>
  <si>
    <t>30.09.22</t>
  </si>
  <si>
    <t>03.10.22</t>
  </si>
  <si>
    <t>04.10.22</t>
  </si>
  <si>
    <t>05.10.22</t>
  </si>
  <si>
    <t>06.10.22</t>
  </si>
  <si>
    <t>07.10.22</t>
  </si>
  <si>
    <t>10.10.22</t>
  </si>
  <si>
    <t>11.10.22</t>
  </si>
  <si>
    <t>12.10.22</t>
  </si>
  <si>
    <t>13.10.22</t>
  </si>
  <si>
    <t>14.10.22</t>
  </si>
  <si>
    <t>17.10.22</t>
  </si>
  <si>
    <t>18.10.22</t>
  </si>
  <si>
    <t>19.10.22</t>
  </si>
  <si>
    <t>20.10.22</t>
  </si>
  <si>
    <t>21.10.22</t>
  </si>
  <si>
    <t>22.10.22</t>
  </si>
  <si>
    <t>26.10.22</t>
  </si>
  <si>
    <t>27.10.22</t>
  </si>
  <si>
    <t>28.10.22</t>
  </si>
  <si>
    <t>31.10.22</t>
  </si>
  <si>
    <t>01.11.22</t>
  </si>
  <si>
    <t>02.11.22</t>
  </si>
  <si>
    <t>03.11.22</t>
  </si>
  <si>
    <t>04.11.22</t>
  </si>
  <si>
    <t>07.11.22</t>
  </si>
  <si>
    <t>08.11.22</t>
  </si>
  <si>
    <t>09.11.22</t>
  </si>
  <si>
    <t>10.11.22</t>
  </si>
  <si>
    <t>11.11.22</t>
  </si>
  <si>
    <t>14.11.22</t>
  </si>
  <si>
    <t>15.11.22</t>
  </si>
  <si>
    <t>16.11.22</t>
  </si>
  <si>
    <t>17.11.22</t>
  </si>
  <si>
    <t>18.11.22</t>
  </si>
  <si>
    <t>21.11.22</t>
  </si>
  <si>
    <t>22.11.22</t>
  </si>
  <si>
    <t>23.11.22</t>
  </si>
  <si>
    <t>24.11.22</t>
  </si>
  <si>
    <t>25.11.22</t>
  </si>
  <si>
    <t>28.11.22</t>
  </si>
  <si>
    <t>29.11.22</t>
  </si>
  <si>
    <t>30.11.22</t>
  </si>
  <si>
    <t>01.12.22</t>
  </si>
  <si>
    <t>02.12.22</t>
  </si>
  <si>
    <t>05.12.22</t>
  </si>
  <si>
    <t>06.12.22</t>
  </si>
  <si>
    <t>07.12.22</t>
  </si>
  <si>
    <t>08.12.22</t>
  </si>
  <si>
    <t>09.12.22</t>
  </si>
  <si>
    <t>12.12.22</t>
  </si>
  <si>
    <t>13.12.22</t>
  </si>
  <si>
    <t>14.12.22</t>
  </si>
  <si>
    <t>15.12.22</t>
  </si>
  <si>
    <t>19.12.22</t>
  </si>
  <si>
    <t>20.12.22</t>
  </si>
  <si>
    <t>21.12.22</t>
  </si>
  <si>
    <t>22.12.22</t>
  </si>
  <si>
    <t>23.12.22</t>
  </si>
  <si>
    <t>26.12.22</t>
  </si>
  <si>
    <t>27.12.22</t>
  </si>
  <si>
    <t>28.12.22</t>
  </si>
  <si>
    <t>29.12.22</t>
  </si>
  <si>
    <t>30.12.22</t>
  </si>
  <si>
    <t>04.01.23</t>
  </si>
  <si>
    <t>05.01.23</t>
  </si>
  <si>
    <t>06.01.23</t>
  </si>
  <si>
    <t>09.01.23</t>
  </si>
  <si>
    <t>10.01.23</t>
  </si>
  <si>
    <t>11.01.23</t>
  </si>
  <si>
    <t>12.01.23</t>
  </si>
  <si>
    <t>13.01.23</t>
  </si>
  <si>
    <t>16.01.23</t>
  </si>
  <si>
    <t>17.01.23</t>
  </si>
  <si>
    <t>18.01.23</t>
  </si>
  <si>
    <t>19.01.23</t>
  </si>
  <si>
    <t>20.01.23</t>
  </si>
  <si>
    <t>23.01.23</t>
  </si>
  <si>
    <t>24.01.23</t>
  </si>
  <si>
    <t>25.01.23</t>
  </si>
  <si>
    <t>26.01.23</t>
  </si>
  <si>
    <t>27.01.23</t>
  </si>
  <si>
    <t>30.01.23</t>
  </si>
  <si>
    <t>31.01.23</t>
  </si>
  <si>
    <t>01.02.23</t>
  </si>
  <si>
    <t>02.02.23</t>
  </si>
  <si>
    <t>03.02.23</t>
  </si>
  <si>
    <t>06.02.23</t>
  </si>
  <si>
    <t>07.02.23</t>
  </si>
  <si>
    <t>08.02.23</t>
  </si>
  <si>
    <t>09.02.23</t>
  </si>
  <si>
    <t>10.02.23</t>
  </si>
  <si>
    <t>13.02.23</t>
  </si>
  <si>
    <t>14.02.23</t>
  </si>
  <si>
    <t>15.02.23</t>
  </si>
  <si>
    <t>16.02.23</t>
  </si>
  <si>
    <t>17.02.23</t>
  </si>
  <si>
    <t>20.02.23</t>
  </si>
  <si>
    <t>21.02.23</t>
  </si>
  <si>
    <t>22.02.23</t>
  </si>
  <si>
    <t>23.02.23</t>
  </si>
  <si>
    <t>24.02.23</t>
  </si>
  <si>
    <t>27.02.23</t>
  </si>
  <si>
    <t>28.02.23</t>
  </si>
  <si>
    <t>01.03.23</t>
  </si>
  <si>
    <t>02.03.23</t>
  </si>
  <si>
    <t>03.03.23</t>
  </si>
  <si>
    <t>06.03.23</t>
  </si>
  <si>
    <t>07.03.23</t>
  </si>
  <si>
    <t>09.03.23</t>
  </si>
  <si>
    <t>10.03.23</t>
  </si>
  <si>
    <t>13.03.23</t>
  </si>
  <si>
    <t>14.03.23</t>
  </si>
  <si>
    <t>15.03.23</t>
  </si>
  <si>
    <t>16.03.23</t>
  </si>
  <si>
    <t>17.03.23</t>
  </si>
  <si>
    <t>20.03.23</t>
  </si>
  <si>
    <t>24.03.23</t>
  </si>
  <si>
    <t>27.03.23</t>
  </si>
  <si>
    <t>28.03.23</t>
  </si>
  <si>
    <t>29.03.23</t>
  </si>
  <si>
    <t>30.03.23</t>
  </si>
  <si>
    <t>31.03.23</t>
  </si>
  <si>
    <t>03.04.23</t>
  </si>
  <si>
    <t>04.04.23</t>
  </si>
  <si>
    <t>05.04.23</t>
  </si>
  <si>
    <t>06.04.23</t>
  </si>
  <si>
    <t>07.04.23</t>
  </si>
  <si>
    <t>10.04.23</t>
  </si>
  <si>
    <t>11.04.23</t>
  </si>
  <si>
    <t>12.04.23</t>
  </si>
  <si>
    <t>13.04.23</t>
  </si>
  <si>
    <t>14.04.23</t>
  </si>
  <si>
    <t>17.04.23</t>
  </si>
  <si>
    <t>18.04.23</t>
  </si>
  <si>
    <t>19.04.23</t>
  </si>
  <si>
    <t>20.04.23</t>
  </si>
  <si>
    <t>21.04.23</t>
  </si>
  <si>
    <t>24.04.23</t>
  </si>
  <si>
    <t>25.04.23</t>
  </si>
  <si>
    <t>26.04.23</t>
  </si>
  <si>
    <t>27.04.23</t>
  </si>
  <si>
    <t>28.04.23</t>
  </si>
  <si>
    <t>02.05.23</t>
  </si>
  <si>
    <t>03.05.23</t>
  </si>
  <si>
    <t>04.05.23</t>
  </si>
  <si>
    <t>05.05.23</t>
  </si>
  <si>
    <t>10.05.23</t>
  </si>
  <si>
    <t>11.05.23</t>
  </si>
  <si>
    <t>12.05.23</t>
  </si>
  <si>
    <t>15.05.23</t>
  </si>
  <si>
    <t>16.05.23</t>
  </si>
  <si>
    <t>17.05.23</t>
  </si>
  <si>
    <t>18.05.23</t>
  </si>
  <si>
    <t>19.05.23</t>
  </si>
  <si>
    <t>22.05.23</t>
  </si>
  <si>
    <t>23.05.23</t>
  </si>
  <si>
    <t>24.05.23</t>
  </si>
  <si>
    <t>25.05.23</t>
  </si>
  <si>
    <t>26.05.23</t>
  </si>
  <si>
    <t>29.05.23</t>
  </si>
  <si>
    <t>30.05.23</t>
  </si>
  <si>
    <t>31.05.23</t>
  </si>
  <si>
    <t>01.06.23</t>
  </si>
  <si>
    <t>02.06.23</t>
  </si>
  <si>
    <t>05.06.23</t>
  </si>
  <si>
    <t>06.06.23</t>
  </si>
  <si>
    <t>07.06.23</t>
  </si>
  <si>
    <t>08.06.23</t>
  </si>
  <si>
    <t>09.06.23</t>
  </si>
  <si>
    <t>12.06.23</t>
  </si>
  <si>
    <t>13.06.23</t>
  </si>
  <si>
    <t>14.06.23</t>
  </si>
  <si>
    <t>15.06.23</t>
  </si>
  <si>
    <t>16.06.23</t>
  </si>
  <si>
    <t>19.06.23</t>
  </si>
  <si>
    <t>20.06.23</t>
  </si>
  <si>
    <t>21.06.23</t>
  </si>
  <si>
    <t>22.06.23</t>
  </si>
  <si>
    <t>23.06.23</t>
  </si>
  <si>
    <t>26.06.23</t>
  </si>
  <si>
    <t>27.06.23</t>
  </si>
  <si>
    <t>29.06.23</t>
  </si>
  <si>
    <t>30.06.23</t>
  </si>
  <si>
    <t>01.07.23</t>
  </si>
  <si>
    <t>03.07.23</t>
  </si>
  <si>
    <t>04.07.23</t>
  </si>
  <si>
    <t>05.07.23</t>
  </si>
  <si>
    <t>10.07.23</t>
  </si>
  <si>
    <t>11.07.23</t>
  </si>
  <si>
    <t>12.07.23</t>
  </si>
  <si>
    <t>13.07.23</t>
  </si>
  <si>
    <t>14.07.23</t>
  </si>
  <si>
    <t>17.07.23</t>
  </si>
  <si>
    <t>18.07.23</t>
  </si>
  <si>
    <t>19.07.23</t>
  </si>
  <si>
    <t>20.07.23</t>
  </si>
  <si>
    <t>21.07.23</t>
  </si>
  <si>
    <t>24.07.23</t>
  </si>
  <si>
    <t>25.07.23</t>
  </si>
  <si>
    <t>26.07.23</t>
  </si>
  <si>
    <t>27.07.23</t>
  </si>
  <si>
    <t>28.07.23</t>
  </si>
  <si>
    <t>31.07.23</t>
  </si>
  <si>
    <t>01.08.23</t>
  </si>
  <si>
    <t>02.08.23</t>
  </si>
  <si>
    <t>03.08.23</t>
  </si>
  <si>
    <t>04.08.23</t>
  </si>
  <si>
    <t>07.08.23</t>
  </si>
  <si>
    <t>08.08.23</t>
  </si>
  <si>
    <t>09.08.23</t>
  </si>
  <si>
    <t>10.08.23</t>
  </si>
  <si>
    <t>11.08.23</t>
  </si>
  <si>
    <t>14.08.23</t>
  </si>
  <si>
    <t>15.08.23</t>
  </si>
  <si>
    <t>16.08.23</t>
  </si>
  <si>
    <t>17.08.23</t>
  </si>
  <si>
    <t>18.08.23</t>
  </si>
  <si>
    <t>21.08.23</t>
  </si>
  <si>
    <t>22.08.23</t>
  </si>
  <si>
    <t>23.08.23</t>
  </si>
  <si>
    <t>24.08.23</t>
  </si>
  <si>
    <t>25.08.23</t>
  </si>
  <si>
    <t>28.08.23</t>
  </si>
  <si>
    <t>29.08.23</t>
  </si>
  <si>
    <t>31.08.23</t>
  </si>
  <si>
    <t>01.09.23</t>
  </si>
  <si>
    <t>04.09.23</t>
  </si>
  <si>
    <t>05.09.23</t>
  </si>
  <si>
    <t>06.09.23</t>
  </si>
  <si>
    <t>07.09.23</t>
  </si>
  <si>
    <t>08.09.23</t>
  </si>
  <si>
    <t>11.09.23</t>
  </si>
  <si>
    <t>12.09.23</t>
  </si>
  <si>
    <t>13.09.23</t>
  </si>
  <si>
    <t>14.09.23</t>
  </si>
  <si>
    <t>15.09.23</t>
  </si>
  <si>
    <t>18.09.23</t>
  </si>
  <si>
    <t>19.09.23</t>
  </si>
  <si>
    <t>20.09.23</t>
  </si>
  <si>
    <t>21.09.23</t>
  </si>
  <si>
    <t>22.09.23</t>
  </si>
  <si>
    <t>25.09.23</t>
  </si>
  <si>
    <t>26.09.23</t>
  </si>
  <si>
    <t>27.09.23</t>
  </si>
  <si>
    <t>28.09.23</t>
  </si>
  <si>
    <t>29.09.23</t>
  </si>
  <si>
    <t>02.10.23</t>
  </si>
  <si>
    <t>03.10.23</t>
  </si>
  <si>
    <t>04.10.23</t>
  </si>
  <si>
    <t>05.10.23</t>
  </si>
  <si>
    <t>06.10.23</t>
  </si>
  <si>
    <t>09.10.23</t>
  </si>
  <si>
    <t>10.10.23</t>
  </si>
  <si>
    <t>11.10.23</t>
  </si>
  <si>
    <t>12.10.23</t>
  </si>
  <si>
    <t>13.10.23</t>
  </si>
  <si>
    <t>16.10.23</t>
  </si>
  <si>
    <t>17.10.23</t>
  </si>
  <si>
    <t>18.10.23</t>
  </si>
  <si>
    <t>19.10.23</t>
  </si>
  <si>
    <t>20.10.23</t>
  </si>
  <si>
    <t>23.10.23</t>
  </si>
  <si>
    <t>24.10.23</t>
  </si>
  <si>
    <t>26.10.23</t>
  </si>
  <si>
    <t>27.10.23</t>
  </si>
  <si>
    <t>30.10.23</t>
  </si>
  <si>
    <t>31.10.23</t>
  </si>
  <si>
    <t>01.11.23</t>
  </si>
  <si>
    <t>02.11.23</t>
  </si>
  <si>
    <t>03.11.23</t>
  </si>
  <si>
    <t>06.11.23</t>
  </si>
  <si>
    <t>07.11.23</t>
  </si>
  <si>
    <t>08.11.23</t>
  </si>
  <si>
    <t>09.11.23</t>
  </si>
  <si>
    <t>10.11.23</t>
  </si>
  <si>
    <t>13.11.23</t>
  </si>
  <si>
    <t>14.11.23</t>
  </si>
  <si>
    <t>15.11.23</t>
  </si>
  <si>
    <t>16.11.23</t>
  </si>
  <si>
    <t>17.11.23</t>
  </si>
  <si>
    <t>20.11.23</t>
  </si>
  <si>
    <t>21.11.23</t>
  </si>
  <si>
    <t>22.11.23</t>
  </si>
  <si>
    <t>23.11.23</t>
  </si>
  <si>
    <t>24.11.23</t>
  </si>
  <si>
    <t>27.11.23</t>
  </si>
  <si>
    <t>28.11.23</t>
  </si>
  <si>
    <t>29.11.23</t>
  </si>
  <si>
    <t>30.11.23</t>
  </si>
  <si>
    <t>01.12.23</t>
  </si>
  <si>
    <t>04.12.23</t>
  </si>
  <si>
    <t>05.12.23</t>
  </si>
  <si>
    <t>06.12.23</t>
  </si>
  <si>
    <t>07.12.23</t>
  </si>
  <si>
    <t>08.12.23</t>
  </si>
  <si>
    <t>11.12.23</t>
  </si>
  <si>
    <t>12.12.23</t>
  </si>
  <si>
    <t>13.12.23</t>
  </si>
  <si>
    <t>14.12.23</t>
  </si>
  <si>
    <t>15.12.23</t>
  </si>
  <si>
    <t>19.12.23</t>
  </si>
  <si>
    <t>20.12.23</t>
  </si>
  <si>
    <t>21.12.23</t>
  </si>
  <si>
    <t>22.12.23</t>
  </si>
  <si>
    <t>25.12.23</t>
  </si>
  <si>
    <t>26.12.23</t>
  </si>
  <si>
    <t>27.12.23</t>
  </si>
  <si>
    <t>28.12.23</t>
  </si>
  <si>
    <t>29.12.23</t>
  </si>
  <si>
    <t>03.01.24</t>
  </si>
  <si>
    <t>04.01.24</t>
  </si>
  <si>
    <t>05.01.24</t>
  </si>
  <si>
    <t>08.01.24</t>
  </si>
  <si>
    <t>09.01.24</t>
  </si>
  <si>
    <t>10.01.24</t>
  </si>
  <si>
    <t>11.01.24</t>
  </si>
  <si>
    <t>12.01.24</t>
  </si>
  <si>
    <t>15.01.24</t>
  </si>
  <si>
    <t>16.01.24</t>
  </si>
  <si>
    <t>17.01.24</t>
  </si>
  <si>
    <t>18.01.24</t>
  </si>
  <si>
    <t>19.01.24</t>
  </si>
  <si>
    <t>22.01.24</t>
  </si>
  <si>
    <t>23.01.24</t>
  </si>
  <si>
    <t>24.01.24</t>
  </si>
  <si>
    <t>25.01.24</t>
  </si>
  <si>
    <t>26.01.24</t>
  </si>
  <si>
    <t>29.01.24</t>
  </si>
  <si>
    <t>30.01.24</t>
  </si>
  <si>
    <t>31.01.24</t>
  </si>
  <si>
    <t>01.02.24</t>
  </si>
  <si>
    <t>02.02.24</t>
  </si>
  <si>
    <t>05.02.24</t>
  </si>
  <si>
    <t>06.02.24</t>
  </si>
  <si>
    <t>07.02.24</t>
  </si>
  <si>
    <t>08.02.24</t>
  </si>
  <si>
    <t>09.02.24</t>
  </si>
  <si>
    <t>12.02.24</t>
  </si>
  <si>
    <t>13.02.24</t>
  </si>
  <si>
    <t>14.02.24</t>
  </si>
  <si>
    <t>15.02.24</t>
  </si>
  <si>
    <t>16.02.24</t>
  </si>
  <si>
    <t>19.02.24</t>
  </si>
  <si>
    <t>20.02.24</t>
  </si>
  <si>
    <t>21.02.24</t>
  </si>
  <si>
    <t>22.02.24</t>
  </si>
  <si>
    <t>23.02.24</t>
  </si>
  <si>
    <t>26.02.24</t>
  </si>
  <si>
    <t>27.02.24</t>
  </si>
  <si>
    <t>28.02.24</t>
  </si>
  <si>
    <t>29.02.24</t>
  </si>
  <si>
    <t>01.03.24</t>
  </si>
  <si>
    <t>04.03.24</t>
  </si>
  <si>
    <t>05.03.24</t>
  </si>
  <si>
    <t>06.03.24</t>
  </si>
  <si>
    <t>07.03.24</t>
  </si>
  <si>
    <t>11.03.24</t>
  </si>
  <si>
    <t>12.03.24</t>
  </si>
  <si>
    <t>13.03.24</t>
  </si>
  <si>
    <t>14.03.24</t>
  </si>
  <si>
    <t>15.03.24</t>
  </si>
  <si>
    <t>18.03.24</t>
  </si>
  <si>
    <t>19.03.24</t>
  </si>
  <si>
    <t>20.03.24</t>
  </si>
  <si>
    <t>26.03.24</t>
  </si>
  <si>
    <t>27.03.24</t>
  </si>
  <si>
    <t>28.03.24</t>
  </si>
  <si>
    <t>29.03.24</t>
  </si>
  <si>
    <t>01.04.24</t>
  </si>
  <si>
    <t>02.04.24</t>
  </si>
  <si>
    <t>03.04.24</t>
  </si>
  <si>
    <t>04.04.24</t>
  </si>
  <si>
    <t>05.04.24</t>
  </si>
  <si>
    <t>08.04.24</t>
  </si>
  <si>
    <t>09.04.24</t>
  </si>
  <si>
    <t>10.04.24</t>
  </si>
  <si>
    <t>11.04.24</t>
  </si>
  <si>
    <t>12.04.24</t>
  </si>
  <si>
    <t>15.04.24</t>
  </si>
  <si>
    <t>16.04.24</t>
  </si>
  <si>
    <t>17.04.24</t>
  </si>
  <si>
    <t>18.04.24</t>
  </si>
  <si>
    <t>19.04.24</t>
  </si>
  <si>
    <t>22.04.24</t>
  </si>
  <si>
    <t>23.04.24</t>
  </si>
  <si>
    <t>24.04.24</t>
  </si>
  <si>
    <t>25.04.24</t>
  </si>
  <si>
    <t>26.04.24</t>
  </si>
  <si>
    <t>29.04.24</t>
  </si>
  <si>
    <t>30.04.24</t>
  </si>
  <si>
    <t>02.05.24</t>
  </si>
  <si>
    <t>03.05.24</t>
  </si>
  <si>
    <t>04.05.24</t>
  </si>
  <si>
    <t>06.05.24</t>
  </si>
  <si>
    <t>10.05.24</t>
  </si>
  <si>
    <t>13.05.24</t>
  </si>
  <si>
    <t>14.05.24</t>
  </si>
  <si>
    <t>15.05.24</t>
  </si>
  <si>
    <t>16.05.24</t>
  </si>
  <si>
    <t>17.05.24</t>
  </si>
  <si>
    <t>20.05.24</t>
  </si>
  <si>
    <t>21.05.24</t>
  </si>
  <si>
    <t>22.05.24</t>
  </si>
  <si>
    <t>23.05.24</t>
  </si>
  <si>
    <t>24.05.24</t>
  </si>
  <si>
    <t>27.05.24</t>
  </si>
  <si>
    <t>28.05.24</t>
  </si>
  <si>
    <t>29.05.24</t>
  </si>
  <si>
    <t>30.05.24</t>
  </si>
  <si>
    <t>31.05.24</t>
  </si>
  <si>
    <t>03.06.24</t>
  </si>
  <si>
    <t>04.06.24</t>
  </si>
  <si>
    <t>05.06.24</t>
  </si>
  <si>
    <t>06.06.24</t>
  </si>
  <si>
    <t>07.06.24</t>
  </si>
  <si>
    <t>10.06.24</t>
  </si>
  <si>
    <t>11.06.24</t>
  </si>
  <si>
    <t>12.06.24</t>
  </si>
  <si>
    <t>13.06.24</t>
  </si>
  <si>
    <t>14.06.24</t>
  </si>
  <si>
    <t>17.06.24</t>
  </si>
  <si>
    <t>18.06.24</t>
  </si>
  <si>
    <t>19.06.24</t>
  </si>
  <si>
    <t>20.06.24</t>
  </si>
  <si>
    <t>21.06.24</t>
  </si>
  <si>
    <t>24.06.24</t>
  </si>
  <si>
    <t>25.06.24</t>
  </si>
  <si>
    <t>26.06.24</t>
  </si>
  <si>
    <t>27.06.24</t>
  </si>
  <si>
    <t>28.06.24</t>
  </si>
  <si>
    <t>01.07.24</t>
  </si>
  <si>
    <t>02.07.24</t>
  </si>
  <si>
    <t>03.07.24</t>
  </si>
  <si>
    <t>04.07.24</t>
  </si>
  <si>
    <t>05.07.24</t>
  </si>
  <si>
    <t>09.07.24</t>
  </si>
  <si>
    <t>10.07.24</t>
  </si>
  <si>
    <t>11.07.24</t>
  </si>
  <si>
    <t>12.07.24</t>
  </si>
  <si>
    <t>15.07.24</t>
  </si>
  <si>
    <t>16.07.24</t>
  </si>
  <si>
    <t>17.07.24</t>
  </si>
  <si>
    <t>18.07.24</t>
  </si>
  <si>
    <t>19.07.24</t>
  </si>
  <si>
    <t>22.07.24</t>
  </si>
  <si>
    <t>23.07.24</t>
  </si>
  <si>
    <t>24.07.24</t>
  </si>
  <si>
    <t>25.07.24</t>
  </si>
  <si>
    <t>26.07.24</t>
  </si>
  <si>
    <t>29.07.24</t>
  </si>
  <si>
    <t>30.07.24</t>
  </si>
  <si>
    <t>31.07.24</t>
  </si>
  <si>
    <t>01.08.24</t>
  </si>
  <si>
    <t>02.08.24</t>
  </si>
  <si>
    <t>05.08.24</t>
  </si>
  <si>
    <t>06.08.24</t>
  </si>
  <si>
    <t>07.08.24</t>
  </si>
  <si>
    <t>08.08.24</t>
  </si>
  <si>
    <t>09.08.24</t>
  </si>
  <si>
    <t>12.08.24</t>
  </si>
  <si>
    <t>13.08.24</t>
  </si>
  <si>
    <t>14.08.24</t>
  </si>
  <si>
    <t>15.08.24</t>
  </si>
  <si>
    <t>16.08.24</t>
  </si>
  <si>
    <t>19.08.24</t>
  </si>
  <si>
    <t>20.08.24</t>
  </si>
  <si>
    <t>21.08.24</t>
  </si>
  <si>
    <t>22.08.24</t>
  </si>
  <si>
    <t>23.08.24</t>
  </si>
  <si>
    <t>26.08.24</t>
  </si>
  <si>
    <t>27.08.24</t>
  </si>
  <si>
    <t>28.08.24</t>
  </si>
  <si>
    <t>29.08.24</t>
  </si>
  <si>
    <t>02.09.24</t>
  </si>
  <si>
    <t>03.09.24</t>
  </si>
  <si>
    <t>04.09.24</t>
  </si>
  <si>
    <t>05.09.24</t>
  </si>
  <si>
    <t>06.09.24</t>
  </si>
  <si>
    <t>09.09.24</t>
  </si>
  <si>
    <t>10.09.24</t>
  </si>
  <si>
    <t>11.09.24</t>
  </si>
  <si>
    <t>12.09.24</t>
  </si>
  <si>
    <t>13.09.24</t>
  </si>
  <si>
    <t>16.09.24</t>
  </si>
  <si>
    <t>17.09.24</t>
  </si>
  <si>
    <t>18.09.24</t>
  </si>
  <si>
    <t>19.09.24</t>
  </si>
  <si>
    <t>20.09.24</t>
  </si>
  <si>
    <t>23.09.24</t>
  </si>
  <si>
    <t>24.09.24</t>
  </si>
  <si>
    <t>25.09.24</t>
  </si>
  <si>
    <t>26.09.24</t>
  </si>
  <si>
    <t>27.09.24</t>
  </si>
  <si>
    <t>30.09.24</t>
  </si>
  <si>
    <t>01.10.24</t>
  </si>
  <si>
    <t>02.10.24</t>
  </si>
  <si>
    <t>03.10.24</t>
  </si>
  <si>
    <t>04.10.24</t>
  </si>
  <si>
    <t>07.10.24</t>
  </si>
  <si>
    <t>08.10.24</t>
  </si>
  <si>
    <t>09.10.24</t>
  </si>
  <si>
    <t>10.10.24</t>
  </si>
  <si>
    <t>11.10.24</t>
  </si>
  <si>
    <t>14.10.24</t>
  </si>
  <si>
    <t>15.10.24</t>
  </si>
  <si>
    <t>16.10.24</t>
  </si>
  <si>
    <t>17.10.24</t>
  </si>
  <si>
    <t>18.10.24</t>
  </si>
  <si>
    <t>21.10.24</t>
  </si>
  <si>
    <t>22.10.24</t>
  </si>
  <si>
    <t>23.10.24</t>
  </si>
  <si>
    <t>24.10.24</t>
  </si>
  <si>
    <t>28.10.24</t>
  </si>
  <si>
    <t>29.10.24</t>
  </si>
  <si>
    <t>30.10.24</t>
  </si>
  <si>
    <t>31.10.24</t>
  </si>
  <si>
    <t>01.11.24</t>
  </si>
  <si>
    <t>04.11.24</t>
  </si>
  <si>
    <t>05.11.24</t>
  </si>
  <si>
    <t>06.11.24</t>
  </si>
  <si>
    <t>07.11.24</t>
  </si>
  <si>
    <t>08.11.24</t>
  </si>
  <si>
    <t>11.11.24</t>
  </si>
  <si>
    <t>12.11.24</t>
  </si>
  <si>
    <t>13.11.24</t>
  </si>
  <si>
    <t>14.11.24</t>
  </si>
  <si>
    <t>15.11.24</t>
  </si>
  <si>
    <t>18.11.24</t>
  </si>
  <si>
    <t>19.11.24</t>
  </si>
  <si>
    <t>20.11.24</t>
  </si>
  <si>
    <t>21.11.24</t>
  </si>
  <si>
    <t>22.11.24</t>
  </si>
  <si>
    <t>25.11.24</t>
  </si>
  <si>
    <t>26.11.24</t>
  </si>
  <si>
    <t>27.11.24</t>
  </si>
  <si>
    <t>28.11.24</t>
  </si>
  <si>
    <t>29.11.24</t>
  </si>
  <si>
    <t>02.12.24</t>
  </si>
  <si>
    <t>03.12.24</t>
  </si>
  <si>
    <t>04.12.24</t>
  </si>
  <si>
    <t>05.12.24</t>
  </si>
  <si>
    <t>06.12.24</t>
  </si>
  <si>
    <t>09.12.24</t>
  </si>
  <si>
    <t>10.12.24</t>
  </si>
  <si>
    <t>11.12.24</t>
  </si>
  <si>
    <t>12.12.24</t>
  </si>
  <si>
    <t>13.12.24</t>
  </si>
  <si>
    <t>17.12.24</t>
  </si>
  <si>
    <t>18.12.24</t>
  </si>
  <si>
    <t>19.12.24</t>
  </si>
  <si>
    <t>20.12.24</t>
  </si>
  <si>
    <t>23.12.24</t>
  </si>
  <si>
    <t>24.12.24</t>
  </si>
  <si>
    <t>25.12.24</t>
  </si>
  <si>
    <t>26.12.24</t>
  </si>
  <si>
    <t>27.12.24</t>
  </si>
  <si>
    <t>30.12.24</t>
  </si>
  <si>
    <t>31.12.24</t>
  </si>
  <si>
    <t>05.01.25</t>
  </si>
  <si>
    <t>06.01.25</t>
  </si>
  <si>
    <t>08.01.25</t>
  </si>
  <si>
    <t>09.01.25</t>
  </si>
  <si>
    <t>10.01.25</t>
  </si>
  <si>
    <t>13.01.25</t>
  </si>
  <si>
    <t>14.01.25</t>
  </si>
  <si>
    <t>15.01.25</t>
  </si>
  <si>
    <t>16.01.25</t>
  </si>
  <si>
    <t>17.01.25</t>
  </si>
  <si>
    <t>20.01.25</t>
  </si>
  <si>
    <t>21.01.25</t>
  </si>
  <si>
    <t>22.01.25</t>
  </si>
  <si>
    <t>23.01.25</t>
  </si>
  <si>
    <t>24.01.25</t>
  </si>
  <si>
    <t>27.01.25</t>
  </si>
  <si>
    <t>28.01.25</t>
  </si>
  <si>
    <t>29.01.25</t>
  </si>
  <si>
    <t>30.01.25</t>
  </si>
  <si>
    <t>31.01.25</t>
  </si>
  <si>
    <t>03.02.25</t>
  </si>
  <si>
    <t>04.02.25</t>
  </si>
  <si>
    <t>05.02.25</t>
  </si>
  <si>
    <t>06.02.25</t>
  </si>
  <si>
    <t>07.02.25</t>
  </si>
  <si>
    <t>10.02.25</t>
  </si>
  <si>
    <t>11.02.25</t>
  </si>
  <si>
    <t>12.02.25</t>
  </si>
  <si>
    <t>13.02.25</t>
  </si>
  <si>
    <t>14.02.25</t>
  </si>
  <si>
    <t>17.02.25</t>
  </si>
  <si>
    <t>18.02.25</t>
  </si>
  <si>
    <t>19.02.25</t>
  </si>
  <si>
    <t>20.02.25</t>
  </si>
  <si>
    <t>21.02.25</t>
  </si>
  <si>
    <t>24.02.25</t>
  </si>
  <si>
    <t>25.02.25</t>
  </si>
  <si>
    <t>26.02.25</t>
  </si>
  <si>
    <t>27.02.25</t>
  </si>
  <si>
    <t>28.02.25</t>
  </si>
  <si>
    <t>03.03.25</t>
  </si>
  <si>
    <t>04.03.25</t>
  </si>
  <si>
    <t>05.03.25</t>
  </si>
  <si>
    <t>06.03.25</t>
  </si>
  <si>
    <t>07.03.25</t>
  </si>
  <si>
    <t>11.03.25</t>
  </si>
  <si>
    <t>12.03.25</t>
  </si>
  <si>
    <t>13.03.25</t>
  </si>
  <si>
    <t>14.03.25</t>
  </si>
  <si>
    <t>17.03.25</t>
  </si>
  <si>
    <t>18.03.25</t>
  </si>
  <si>
    <t>19.03.25</t>
  </si>
  <si>
    <t>20.03.25</t>
  </si>
  <si>
    <t>26.03.25</t>
  </si>
  <si>
    <t>27.03.25</t>
  </si>
  <si>
    <t>28.03.25</t>
  </si>
  <si>
    <t>31.03.25</t>
  </si>
  <si>
    <t>01.04.25</t>
  </si>
  <si>
    <t>02.04.25</t>
  </si>
  <si>
    <t>03.04.25</t>
  </si>
  <si>
    <t>04.04.25</t>
  </si>
  <si>
    <t>07.04.25</t>
  </si>
  <si>
    <t>08.04.25</t>
  </si>
  <si>
    <t>09.04.25</t>
  </si>
  <si>
    <t>10.04.25</t>
  </si>
  <si>
    <t>11.04.25</t>
  </si>
  <si>
    <t>14.04.25</t>
  </si>
  <si>
    <t>15.04.25</t>
  </si>
  <si>
    <t>16.04.25</t>
  </si>
  <si>
    <t>17.04.25</t>
  </si>
  <si>
    <t>18.04.25</t>
  </si>
  <si>
    <t>21.04.25</t>
  </si>
  <si>
    <t>22.04.25</t>
  </si>
  <si>
    <t>23.04.25</t>
  </si>
  <si>
    <t>24.04.25</t>
  </si>
  <si>
    <t>25.04.25</t>
  </si>
  <si>
    <t>28.04.25</t>
  </si>
  <si>
    <t>29.04.25</t>
  </si>
  <si>
    <t>30.04.25</t>
  </si>
  <si>
    <t>02.05.25</t>
  </si>
  <si>
    <t>05.05.25</t>
  </si>
  <si>
    <t>06.05.25</t>
  </si>
  <si>
    <t>08.05.25</t>
  </si>
  <si>
    <t>12.05.25</t>
  </si>
  <si>
    <t>13.05.25</t>
  </si>
  <si>
    <t>14.05.25</t>
  </si>
  <si>
    <t>15.05.25</t>
  </si>
  <si>
    <t>16.05.25</t>
  </si>
  <si>
    <t>19.05.25</t>
  </si>
  <si>
    <t>20.05.25</t>
  </si>
  <si>
    <t>21.05.25</t>
  </si>
  <si>
    <t>22.05.25</t>
  </si>
  <si>
    <t>23.05.25</t>
  </si>
  <si>
    <t>26.05.25</t>
  </si>
  <si>
    <t>27.05.25</t>
  </si>
  <si>
    <t>28.05.25</t>
  </si>
  <si>
    <t>29.05.25</t>
  </si>
  <si>
    <t>30.05.25</t>
  </si>
  <si>
    <t>02.06.25</t>
  </si>
  <si>
    <t>03.06.25</t>
  </si>
  <si>
    <t>04.06.25</t>
  </si>
  <si>
    <t>05.06.25</t>
  </si>
  <si>
    <t>09.06.25</t>
  </si>
  <si>
    <t>10.06.25</t>
  </si>
  <si>
    <t>11.06.25</t>
  </si>
  <si>
    <t>12.06.25</t>
  </si>
  <si>
    <t>13.06.25</t>
  </si>
  <si>
    <t>16.06.25</t>
  </si>
  <si>
    <t>17.06.25</t>
  </si>
  <si>
    <t>18.06.25</t>
  </si>
  <si>
    <t>19.06.25</t>
  </si>
  <si>
    <t>20.06.25</t>
  </si>
  <si>
    <t>23.06.25</t>
  </si>
  <si>
    <t>24.06.25</t>
  </si>
  <si>
    <t>25.06.25</t>
  </si>
  <si>
    <t>26.06.25</t>
  </si>
  <si>
    <t>27.06.25</t>
  </si>
  <si>
    <t>30.06.25</t>
  </si>
  <si>
    <t>01.07.25</t>
  </si>
  <si>
    <t>02.07.25</t>
  </si>
  <si>
    <t>03.07.25</t>
  </si>
  <si>
    <t>04.07.25</t>
  </si>
  <si>
    <t>08.07.25</t>
  </si>
  <si>
    <t>09.07.25</t>
  </si>
  <si>
    <t>10.07.25</t>
  </si>
  <si>
    <t>11.07.25</t>
  </si>
  <si>
    <t>14.07.25</t>
  </si>
  <si>
    <t>15.07.25</t>
  </si>
  <si>
    <t>16.07.25</t>
  </si>
  <si>
    <t>17.07.25</t>
  </si>
  <si>
    <t>18.07.25</t>
  </si>
  <si>
    <t>21.07.25</t>
  </si>
  <si>
    <t>22.07.25</t>
  </si>
  <si>
    <t>23.07.25</t>
  </si>
  <si>
    <t>24.07.25</t>
  </si>
  <si>
    <t>25.07.25</t>
  </si>
  <si>
    <t>28.07.25</t>
  </si>
  <si>
    <t>29.07.25</t>
  </si>
  <si>
    <t>30.07.25</t>
  </si>
  <si>
    <t>31.07.25</t>
  </si>
  <si>
    <t>01.08.25</t>
  </si>
  <si>
    <t>04.08.25</t>
  </si>
  <si>
    <t>05.08.25</t>
  </si>
  <si>
    <t>06.08.25</t>
  </si>
  <si>
    <t>07.08.25</t>
  </si>
  <si>
    <t>08.08.25</t>
  </si>
  <si>
    <t>11.08.25</t>
  </si>
  <si>
    <t>12.08.25</t>
  </si>
  <si>
    <t>13.08.25</t>
  </si>
  <si>
    <t>14.08.25</t>
  </si>
  <si>
    <t>15.08.25</t>
  </si>
  <si>
    <t>18.08.25</t>
  </si>
  <si>
    <t>19.08.25</t>
  </si>
  <si>
    <t>20.08.25</t>
  </si>
  <si>
    <t>21.08.25</t>
  </si>
  <si>
    <t>22.08.25</t>
  </si>
  <si>
    <t>25.08.25</t>
  </si>
  <si>
    <t>26.08.25</t>
  </si>
  <si>
    <t>27.08.25</t>
  </si>
  <si>
    <t>28.08.25</t>
  </si>
  <si>
    <t>29.08.25</t>
  </si>
  <si>
    <t>02.09.25</t>
  </si>
  <si>
    <t>03.09.25</t>
  </si>
  <si>
    <t>04.09.25</t>
  </si>
  <si>
    <t>05.09.25</t>
  </si>
  <si>
    <t>08.09.25</t>
  </si>
  <si>
    <t>09.09.25</t>
  </si>
  <si>
    <t>10.09.25</t>
  </si>
  <si>
    <t>11.09.25</t>
  </si>
  <si>
    <t>12.09.25</t>
  </si>
  <si>
    <t>15.09.25</t>
  </si>
  <si>
    <t>16.09.25</t>
  </si>
  <si>
    <t>17.09.25</t>
  </si>
  <si>
    <t>18.09.25</t>
  </si>
  <si>
    <t>19.09.25</t>
  </si>
  <si>
    <t>22.09.25</t>
  </si>
  <si>
    <t>23.09.25</t>
  </si>
  <si>
    <t>24.09.25</t>
  </si>
  <si>
    <t>25.09.25</t>
  </si>
  <si>
    <t>26.09.25</t>
  </si>
  <si>
    <t>29.09.25</t>
  </si>
  <si>
    <t>30.09.25</t>
  </si>
  <si>
    <t>01.10.25</t>
  </si>
  <si>
    <t>02.10.25</t>
  </si>
  <si>
    <t>03.10.25</t>
  </si>
  <si>
    <t>06.10.25</t>
  </si>
  <si>
    <t>07.10.25</t>
  </si>
  <si>
    <t>08.10.25</t>
  </si>
  <si>
    <t>09.10.25</t>
  </si>
  <si>
    <t>10.10.25</t>
  </si>
  <si>
    <t>13.10.25</t>
  </si>
  <si>
    <t>14.10.25</t>
  </si>
  <si>
    <t>15.10.25</t>
  </si>
  <si>
    <t>16.10.25</t>
  </si>
  <si>
    <t>17.10.25</t>
  </si>
  <si>
    <t>20.10.25</t>
  </si>
  <si>
    <t>21.10.25</t>
  </si>
  <si>
    <t>22.10.25</t>
  </si>
  <si>
    <t>23.10.25</t>
  </si>
  <si>
    <t>24.10.25</t>
  </si>
  <si>
    <t>28.10.25</t>
  </si>
  <si>
    <t>29.10.25</t>
  </si>
  <si>
    <t>30.10.25</t>
  </si>
  <si>
    <t>31.10.25</t>
  </si>
  <si>
    <t>03.11.25</t>
  </si>
  <si>
    <t>04.11.25</t>
  </si>
  <si>
    <t>05.11.25</t>
  </si>
  <si>
    <t>06.11.25</t>
  </si>
  <si>
    <t>07.11.25</t>
  </si>
  <si>
    <t>10.11.25</t>
  </si>
  <si>
    <t>11.11.25</t>
  </si>
  <si>
    <t>12.11.25</t>
  </si>
  <si>
    <t>13.11.25</t>
  </si>
  <si>
    <t>14.11.25</t>
  </si>
  <si>
    <t>17.11.25</t>
  </si>
  <si>
    <t>18.11.25</t>
  </si>
  <si>
    <t>19.11.25</t>
  </si>
  <si>
    <t>20.11.25</t>
  </si>
  <si>
    <t>21.11.25</t>
  </si>
  <si>
    <t>24.11.25</t>
  </si>
  <si>
    <t>25.11.25</t>
  </si>
  <si>
    <t>26.11.25</t>
  </si>
  <si>
    <t>27.11.25</t>
  </si>
  <si>
    <t>28.11.25</t>
  </si>
  <si>
    <t>01.12.25</t>
  </si>
  <si>
    <t>02.12.25</t>
  </si>
  <si>
    <t>03.12.25</t>
  </si>
  <si>
    <t>04.12.25</t>
  </si>
  <si>
    <t>05.12.25</t>
  </si>
  <si>
    <t>08.12.25</t>
  </si>
  <si>
    <t>09.12.25</t>
  </si>
  <si>
    <t>10.12.25</t>
  </si>
  <si>
    <t>11.12.25</t>
  </si>
  <si>
    <t>12.12.25</t>
  </si>
  <si>
    <t>15.12.25</t>
  </si>
  <si>
    <t>17.12.25</t>
  </si>
  <si>
    <t>18.12.25</t>
  </si>
  <si>
    <t>19.12.25</t>
  </si>
  <si>
    <t>22.12.25</t>
  </si>
  <si>
    <t>23.12.25</t>
  </si>
  <si>
    <t>24.12.25</t>
  </si>
  <si>
    <t>25.12.25</t>
  </si>
  <si>
    <t>26.12.25</t>
  </si>
  <si>
    <t>29.12.25</t>
  </si>
  <si>
    <t>30.12.25</t>
  </si>
  <si>
    <t>31.12.25</t>
  </si>
  <si>
    <t>05.01.26</t>
  </si>
  <si>
    <t>06.01.26</t>
  </si>
  <si>
    <t>08.01.26</t>
  </si>
  <si>
    <t>09.01.26</t>
  </si>
  <si>
    <t>12.01.26</t>
  </si>
  <si>
    <t>13.01.26</t>
  </si>
  <si>
    <t>14.01.26</t>
  </si>
  <si>
    <t>15.01.26</t>
  </si>
  <si>
    <t>16.01.26</t>
  </si>
  <si>
    <t>19.01.26</t>
  </si>
  <si>
    <t>20.01.26</t>
  </si>
  <si>
    <t>21.01.26</t>
  </si>
  <si>
    <t>22.01.26</t>
  </si>
  <si>
    <t>23.01.26</t>
  </si>
  <si>
    <t>26.01.26</t>
  </si>
  <si>
    <t>27.01.26</t>
  </si>
  <si>
    <t>28.01.26</t>
  </si>
  <si>
    <t>29.01.26</t>
  </si>
  <si>
    <t>30.01.26</t>
  </si>
  <si>
    <t>02.02.26</t>
  </si>
  <si>
    <t>03.02.26</t>
  </si>
  <si>
    <t>04.02.26</t>
  </si>
  <si>
    <t>05.02.26</t>
  </si>
  <si>
    <t>06.02.26</t>
  </si>
  <si>
    <t>09.02.26</t>
  </si>
  <si>
    <t>10.02.26</t>
  </si>
  <si>
    <t>11.02.26</t>
  </si>
  <si>
    <t>12.02.26</t>
  </si>
  <si>
    <t>13.02.26</t>
  </si>
  <si>
    <t>16.02.26</t>
  </si>
  <si>
    <t>17.02.26</t>
  </si>
  <si>
    <t>18.02.26</t>
  </si>
  <si>
    <t>19.02.26</t>
  </si>
  <si>
    <t>20.02.26</t>
  </si>
  <si>
    <t>23.02.26</t>
  </si>
  <si>
    <t>24.02.26</t>
  </si>
  <si>
    <t>25.02.26</t>
  </si>
  <si>
    <t>26.02.26</t>
  </si>
  <si>
    <t>27.02.26</t>
  </si>
  <si>
    <t>02.03.26</t>
  </si>
  <si>
    <t>03.03.26</t>
  </si>
  <si>
    <t>04.03.26</t>
  </si>
  <si>
    <t>05.03.26</t>
  </si>
  <si>
    <t>06.03.26</t>
  </si>
  <si>
    <t>10.03.26</t>
  </si>
  <si>
    <t>11.03.26</t>
  </si>
  <si>
    <t>12.03.26</t>
  </si>
  <si>
    <t>13.03.26</t>
  </si>
  <si>
    <t>16.03.26</t>
  </si>
  <si>
    <t>17.03.26</t>
  </si>
  <si>
    <t>18.03.26</t>
  </si>
  <si>
    <t>19.03.26</t>
  </si>
  <si>
    <t>20.03.26</t>
  </si>
  <si>
    <t>26.03.26</t>
  </si>
  <si>
    <t>27.03.26</t>
  </si>
  <si>
    <t>30.03.26</t>
  </si>
  <si>
    <t>31.03.26</t>
  </si>
  <si>
    <t>01.04.26</t>
  </si>
  <si>
    <t>02.04.26</t>
  </si>
  <si>
    <t>03.04.26</t>
  </si>
  <si>
    <t>06.04.26</t>
  </si>
  <si>
    <t>07.04.26</t>
  </si>
  <si>
    <t>08.04.26</t>
  </si>
  <si>
    <t>09.04.26</t>
  </si>
  <si>
    <t>10.04.26</t>
  </si>
  <si>
    <t>13.04.26</t>
  </si>
  <si>
    <t>14.04.26</t>
  </si>
  <si>
    <t>15.04.26</t>
  </si>
  <si>
    <t>16.04.26</t>
  </si>
  <si>
    <t>17.04.26</t>
  </si>
  <si>
    <t>20.04.26</t>
  </si>
  <si>
    <t>21.04.26</t>
  </si>
  <si>
    <t>22.04.26</t>
  </si>
  <si>
    <t>23.04.26</t>
  </si>
  <si>
    <t>24.04.26</t>
  </si>
  <si>
    <t>27.04.26</t>
  </si>
  <si>
    <t>28.04.26</t>
  </si>
  <si>
    <t>29.04.26</t>
  </si>
  <si>
    <t>30.04.26</t>
  </si>
  <si>
    <t>04.05.26</t>
  </si>
  <si>
    <t>05.05.26</t>
  </si>
  <si>
    <t>06.05.26</t>
  </si>
  <si>
    <t>08.05.26</t>
  </si>
  <si>
    <t>12.05.26</t>
  </si>
  <si>
    <t>13.05.26</t>
  </si>
  <si>
    <t>14.05.26</t>
  </si>
  <si>
    <t>15.05.26</t>
  </si>
  <si>
    <t>18.05.26</t>
  </si>
  <si>
    <t>19.05.26</t>
  </si>
  <si>
    <t>20.05.26</t>
  </si>
  <si>
    <t>21.05.26</t>
  </si>
  <si>
    <t>22.05.26</t>
  </si>
  <si>
    <t>25.05.26</t>
  </si>
  <si>
    <t>26.05.26</t>
  </si>
  <si>
    <t>28.05.26</t>
  </si>
  <si>
    <t>29.05.26</t>
  </si>
  <si>
    <t>01.06.26</t>
  </si>
  <si>
    <t>02.06.26</t>
  </si>
  <si>
    <t>03.06.26</t>
  </si>
  <si>
    <t>04.06.26</t>
  </si>
  <si>
    <t>05.06.26</t>
  </si>
  <si>
    <t>08.06.26</t>
  </si>
  <si>
    <t>09.06.26</t>
  </si>
  <si>
    <t>10.06.26</t>
  </si>
  <si>
    <t>11.06.26</t>
  </si>
  <si>
    <t>12.06.26</t>
  </si>
  <si>
    <t>15.06.26</t>
  </si>
  <si>
    <t>16.06.26</t>
  </si>
  <si>
    <t>17.06.26</t>
  </si>
  <si>
    <t>18.06.26</t>
  </si>
  <si>
    <t>19.06.26</t>
  </si>
  <si>
    <t>22.06.26</t>
  </si>
  <si>
    <t>23.06.26</t>
  </si>
  <si>
    <t>24.06.26</t>
  </si>
  <si>
    <t>25.06.26</t>
  </si>
  <si>
    <t>26.06.26</t>
  </si>
  <si>
    <t>29.06.26</t>
  </si>
  <si>
    <t>30.06.26</t>
  </si>
  <si>
    <t>01.07.26</t>
  </si>
  <si>
    <t>02.07.26</t>
  </si>
  <si>
    <t>03.07.26</t>
  </si>
  <si>
    <t>07.07.26</t>
  </si>
  <si>
    <t>08.07.26</t>
  </si>
  <si>
    <t>09.07.26</t>
  </si>
  <si>
    <t>10.07.26</t>
  </si>
  <si>
    <t>13.07.26</t>
  </si>
  <si>
    <t>14.07.26</t>
  </si>
  <si>
    <t>15.07.26</t>
  </si>
  <si>
    <t>16.07.26</t>
  </si>
  <si>
    <t>17.07.26</t>
  </si>
  <si>
    <t>20.07.26</t>
  </si>
  <si>
    <t>21.07.26</t>
  </si>
  <si>
    <t>22.07.26</t>
  </si>
  <si>
    <t>23.07.26</t>
  </si>
  <si>
    <t>24.07.26</t>
  </si>
  <si>
    <t>27.07.26</t>
  </si>
  <si>
    <t>28.07.26</t>
  </si>
  <si>
    <t>29.07.26</t>
  </si>
  <si>
    <t>30.07.26</t>
  </si>
  <si>
    <t>31.07.26</t>
  </si>
  <si>
    <t>Price</t>
  </si>
  <si>
    <t>Open</t>
  </si>
  <si>
    <t>High</t>
  </si>
  <si>
    <t>Low</t>
  </si>
  <si>
    <t>Change %</t>
  </si>
  <si>
    <t>The basis for constructing the GS yield curve is the Nelson-Siegel parametric model, 
which is characterized by a spot function:</t>
  </si>
  <si>
    <t xml:space="preserve">                         - parameters of the model of Nelson-Siegel.</t>
  </si>
  <si>
    <t>Settlement parameters for plotting the zero-coupon yield curve of government securities</t>
  </si>
  <si>
    <t>B0</t>
  </si>
  <si>
    <t>B1</t>
  </si>
  <si>
    <t>B2</t>
  </si>
  <si>
    <t>TAU</t>
  </si>
  <si>
    <t>KZ_1_year</t>
  </si>
  <si>
    <t>KZ_5_year</t>
  </si>
  <si>
    <t>KZ_10_year</t>
  </si>
  <si>
    <t>`</t>
  </si>
  <si>
    <t>date</t>
  </si>
  <si>
    <t>kz_govt_yield_1y_m</t>
  </si>
  <si>
    <t>kz_govt_yield_5y_m</t>
  </si>
  <si>
    <t>kz_govt_yield_10y_m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</si>
</sst>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0000"/>
    <numFmt numFmtId="179" formatCode="0.0000000"/>
  </numFmts>
  <fonts count="27">
    <font>
      <sz val="11"/>
      <color theme="1"/>
      <name val="Calibri"/>
      <charset val="134"/>
      <scheme val="minor"/>
    </font>
    <font>
      <sz val="10"/>
      <color theme="1"/>
      <name val="Arial"/>
      <charset val="204"/>
    </font>
    <font>
      <sz val="11"/>
      <color theme="1"/>
      <name val="Calibri"/>
      <charset val="204"/>
      <scheme val="minor"/>
    </font>
    <font>
      <b/>
      <sz val="10"/>
      <color theme="1"/>
      <name val="Arial"/>
      <charset val="204"/>
    </font>
    <font>
      <sz val="12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5" fillId="2" borderId="2">
      <alignment horizontal="left"/>
    </xf>
    <xf numFmtId="0" fontId="6" fillId="0" borderId="0">
      <alignment horizontal="center"/>
    </xf>
    <xf numFmtId="0" fontId="6" fillId="0" borderId="0">
      <alignment horizontal="right"/>
    </xf>
    <xf numFmtId="0" fontId="7" fillId="0" borderId="0">
      <alignment horizontal="center"/>
    </xf>
    <xf numFmtId="0" fontId="7" fillId="0" borderId="0">
      <alignment horizontal="right"/>
    </xf>
  </cellStyleXfs>
  <cellXfs count="23">
    <xf numFmtId="0" fontId="0" fillId="0" borderId="0" xfId="0"/>
    <xf numFmtId="0" fontId="1" fillId="0" borderId="0" xfId="0" applyFont="1" applyFill="1" applyBorder="1" applyAlignment="1">
      <alignment horizontal="center"/>
    </xf>
    <xf numFmtId="10" fontId="0" fillId="0" borderId="0" xfId="3" applyNumberFormat="1" applyAlignment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right"/>
    </xf>
    <xf numFmtId="178" fontId="1" fillId="0" borderId="0" xfId="0" applyNumberFormat="1" applyFont="1" applyFill="1" applyBorder="1" applyAlignment="1">
      <alignment vertical="center"/>
    </xf>
    <xf numFmtId="10" fontId="1" fillId="0" borderId="0" xfId="3" applyNumberFormat="1" applyFont="1" applyFill="1" applyBorder="1" applyAlignment="1"/>
    <xf numFmtId="58" fontId="1" fillId="0" borderId="0" xfId="0" applyNumberFormat="1" applyFont="1" applyFill="1" applyBorder="1" applyAlignment="1">
      <alignment horizontal="right"/>
    </xf>
    <xf numFmtId="179" fontId="1" fillId="0" borderId="0" xfId="0" applyNumberFormat="1" applyFont="1" applyFill="1" applyBorder="1" applyAlignment="1">
      <alignment horizontal="right"/>
    </xf>
    <xf numFmtId="178" fontId="2" fillId="0" borderId="0" xfId="0" applyNumberFormat="1" applyFont="1" applyFill="1" applyBorder="1" applyAlignment="1">
      <alignment vertical="center"/>
    </xf>
    <xf numFmtId="0" fontId="4" fillId="0" borderId="0" xfId="0" applyFont="1" applyFill="1" applyAlignment="1"/>
    <xf numFmtId="58" fontId="4" fillId="0" borderId="0" xfId="0" applyNumberFormat="1" applyFont="1" applyFill="1" applyAlignment="1"/>
    <xf numFmtId="10" fontId="4" fillId="0" borderId="0" xfId="0" applyNumberFormat="1" applyFont="1" applyFill="1" applyAlignment="1"/>
    <xf numFmtId="0" fontId="5" fillId="2" borderId="2" xfId="49" applyAlignment="1">
      <alignment horizontal="left"/>
    </xf>
    <xf numFmtId="0" fontId="0" fillId="0" borderId="3" xfId="0" applyBorder="1"/>
    <xf numFmtId="0" fontId="0" fillId="0" borderId="4" xfId="0" applyBorder="1"/>
    <xf numFmtId="0" fontId="6" fillId="0" borderId="0" xfId="50" applyAlignment="1">
      <alignment horizontal="center"/>
    </xf>
    <xf numFmtId="0" fontId="6" fillId="0" borderId="0" xfId="51" applyAlignment="1">
      <alignment horizontal="right"/>
    </xf>
    <xf numFmtId="0" fontId="7" fillId="0" borderId="0" xfId="52" applyAlignment="1">
      <alignment horizontal="center"/>
    </xf>
    <xf numFmtId="0" fontId="7" fillId="0" borderId="0" xfId="53" applyAlignment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title_style_obj" xfId="49"/>
    <cellStyle name="bold_center_style" xfId="50"/>
    <cellStyle name="bold_right_style" xfId="51"/>
    <cellStyle name="center_style" xfId="52"/>
    <cellStyle name="right_style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22860</xdr:colOff>
      <xdr:row>1</xdr:row>
      <xdr:rowOff>86360</xdr:rowOff>
    </xdr:from>
    <xdr:to>
      <xdr:col>4</xdr:col>
      <xdr:colOff>1718310</xdr:colOff>
      <xdr:row>1</xdr:row>
      <xdr:rowOff>685165</xdr:rowOff>
    </xdr:to>
    <xdr:pic>
      <xdr:nvPicPr>
        <xdr:cNvPr id="4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" y="476885"/>
          <a:ext cx="7153910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69215</xdr:colOff>
      <xdr:row>1</xdr:row>
      <xdr:rowOff>695325</xdr:rowOff>
    </xdr:from>
    <xdr:to>
      <xdr:col>0</xdr:col>
      <xdr:colOff>1092200</xdr:colOff>
      <xdr:row>2</xdr:row>
      <xdr:rowOff>0</xdr:rowOff>
    </xdr:to>
    <xdr:pic>
      <xdr:nvPicPr>
        <xdr:cNvPr id="5" name="Рисунок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215" y="1085850"/>
          <a:ext cx="1022985" cy="190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86"/>
  <sheetViews>
    <sheetView workbookViewId="0">
      <selection activeCell="A1" sqref="A1:F1"/>
    </sheetView>
  </sheetViews>
  <sheetFormatPr defaultColWidth="9" defaultRowHeight="16.8" outlineLevelCol="5"/>
  <cols>
    <col min="1" max="1" width="10" customWidth="1"/>
    <col min="2" max="2" width="30" customWidth="1"/>
    <col min="3" max="3" width="40.5" customWidth="1"/>
    <col min="4" max="4" width="30" customWidth="1"/>
    <col min="5" max="5" width="41.375" customWidth="1"/>
    <col min="6" max="6" width="30" customWidth="1"/>
  </cols>
  <sheetData>
    <row r="1" ht="20.7" spans="1:6">
      <c r="A1" s="16" t="s">
        <v>0</v>
      </c>
      <c r="B1" s="17"/>
      <c r="C1" s="17"/>
      <c r="D1" s="17"/>
      <c r="E1" s="17"/>
      <c r="F1" s="18"/>
    </row>
    <row r="2" ht="17.55" spans="1:6">
      <c r="A2" s="19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</row>
    <row r="3" spans="1:6">
      <c r="A3" s="21" t="s">
        <v>7</v>
      </c>
      <c r="B3" s="22">
        <v>9.9</v>
      </c>
      <c r="C3" s="22">
        <v>10.9</v>
      </c>
      <c r="D3" s="22">
        <v>11.05</v>
      </c>
      <c r="E3" s="22"/>
      <c r="F3" s="22"/>
    </row>
    <row r="4" spans="1:6">
      <c r="A4" s="21" t="s">
        <v>8</v>
      </c>
      <c r="B4" s="22">
        <v>11.41</v>
      </c>
      <c r="C4" s="22">
        <v>10.78</v>
      </c>
      <c r="D4" s="22">
        <v>11.02</v>
      </c>
      <c r="E4" s="22"/>
      <c r="F4" s="22"/>
    </row>
    <row r="5" spans="1:6">
      <c r="A5" s="21" t="s">
        <v>9</v>
      </c>
      <c r="B5" s="22">
        <v>11.98</v>
      </c>
      <c r="C5" s="22">
        <v>10.56</v>
      </c>
      <c r="D5" s="22">
        <v>10.87</v>
      </c>
      <c r="E5" s="22"/>
      <c r="F5" s="22"/>
    </row>
    <row r="6" spans="1:6">
      <c r="A6" s="21" t="s">
        <v>10</v>
      </c>
      <c r="B6" s="22">
        <v>13.08</v>
      </c>
      <c r="C6" s="22">
        <v>10.76</v>
      </c>
      <c r="D6" s="22">
        <v>10.6</v>
      </c>
      <c r="E6" s="22"/>
      <c r="F6" s="22"/>
    </row>
    <row r="7" spans="1:6">
      <c r="A7" s="21" t="s">
        <v>11</v>
      </c>
      <c r="B7" s="22">
        <v>12.84</v>
      </c>
      <c r="C7" s="22">
        <v>10.58</v>
      </c>
      <c r="D7" s="22">
        <v>10.56</v>
      </c>
      <c r="E7" s="22"/>
      <c r="F7" s="22"/>
    </row>
    <row r="8" spans="1:6">
      <c r="A8" s="21" t="s">
        <v>12</v>
      </c>
      <c r="B8" s="22">
        <v>12.8</v>
      </c>
      <c r="C8" s="22">
        <v>10.61</v>
      </c>
      <c r="D8" s="22">
        <v>10.57</v>
      </c>
      <c r="E8" s="22"/>
      <c r="F8" s="22"/>
    </row>
    <row r="9" spans="1:6">
      <c r="A9" s="21" t="s">
        <v>13</v>
      </c>
      <c r="B9" s="22">
        <v>13.9</v>
      </c>
      <c r="C9" s="22">
        <v>11.67</v>
      </c>
      <c r="D9" s="22">
        <v>10.68</v>
      </c>
      <c r="E9" s="22"/>
      <c r="F9" s="22"/>
    </row>
    <row r="10" spans="1:6">
      <c r="A10" s="21" t="s">
        <v>14</v>
      </c>
      <c r="B10" s="22">
        <v>13.82</v>
      </c>
      <c r="C10" s="22">
        <v>11.76</v>
      </c>
      <c r="D10" s="22">
        <v>10.78</v>
      </c>
      <c r="E10" s="22"/>
      <c r="F10" s="22"/>
    </row>
    <row r="11" spans="1:6">
      <c r="A11" s="21" t="s">
        <v>15</v>
      </c>
      <c r="B11" s="22">
        <v>13.88</v>
      </c>
      <c r="C11" s="22">
        <v>11.89</v>
      </c>
      <c r="D11" s="22">
        <v>10.82</v>
      </c>
      <c r="E11" s="22"/>
      <c r="F11" s="22"/>
    </row>
    <row r="12" spans="1:6">
      <c r="A12" s="21" t="s">
        <v>16</v>
      </c>
      <c r="B12" s="22">
        <v>14.02</v>
      </c>
      <c r="C12" s="22">
        <v>12.5</v>
      </c>
      <c r="D12" s="22">
        <v>10.74</v>
      </c>
      <c r="E12" s="22"/>
      <c r="F12" s="22"/>
    </row>
    <row r="13" spans="1:6">
      <c r="A13" s="21" t="s">
        <v>17</v>
      </c>
      <c r="B13" s="22">
        <v>13.96</v>
      </c>
      <c r="C13" s="22">
        <v>12.62</v>
      </c>
      <c r="D13" s="22">
        <v>10.78</v>
      </c>
      <c r="E13" s="22"/>
      <c r="F13" s="22"/>
    </row>
    <row r="14" spans="1:6">
      <c r="A14" s="21" t="s">
        <v>18</v>
      </c>
      <c r="B14" s="22">
        <v>13.81</v>
      </c>
      <c r="C14" s="22">
        <v>12.58</v>
      </c>
      <c r="D14" s="22">
        <v>10.81</v>
      </c>
      <c r="E14" s="22"/>
      <c r="F14" s="22"/>
    </row>
    <row r="15" spans="1:6">
      <c r="A15" s="21" t="s">
        <v>19</v>
      </c>
      <c r="B15" s="22">
        <v>13.9</v>
      </c>
      <c r="C15" s="22">
        <v>12.66</v>
      </c>
      <c r="D15" s="22">
        <v>10.81</v>
      </c>
      <c r="E15" s="22"/>
      <c r="F15" s="22"/>
    </row>
    <row r="16" spans="1:6">
      <c r="A16" s="21" t="s">
        <v>20</v>
      </c>
      <c r="B16" s="22">
        <v>13.53</v>
      </c>
      <c r="C16" s="22">
        <v>12.8</v>
      </c>
      <c r="D16" s="22">
        <v>10.85</v>
      </c>
      <c r="E16" s="22"/>
      <c r="F16" s="22"/>
    </row>
    <row r="17" spans="1:6">
      <c r="A17" s="21" t="s">
        <v>21</v>
      </c>
      <c r="B17" s="22">
        <v>13.62</v>
      </c>
      <c r="C17" s="22">
        <v>13.04</v>
      </c>
      <c r="D17" s="22">
        <v>10.79</v>
      </c>
      <c r="E17" s="22"/>
      <c r="F17" s="22"/>
    </row>
    <row r="18" spans="1:6">
      <c r="A18" s="21" t="s">
        <v>22</v>
      </c>
      <c r="B18" s="22">
        <v>13.29</v>
      </c>
      <c r="C18" s="22">
        <v>13.13</v>
      </c>
      <c r="D18" s="22">
        <v>10.76</v>
      </c>
      <c r="E18" s="22"/>
      <c r="F18" s="22"/>
    </row>
    <row r="19" spans="1:6">
      <c r="A19" s="21" t="s">
        <v>23</v>
      </c>
      <c r="B19" s="22">
        <v>13.26</v>
      </c>
      <c r="C19" s="22">
        <v>13</v>
      </c>
      <c r="D19" s="22">
        <v>10.76</v>
      </c>
      <c r="E19" s="22"/>
      <c r="F19" s="22"/>
    </row>
    <row r="20" spans="1:6">
      <c r="A20" s="21" t="s">
        <v>24</v>
      </c>
      <c r="B20" s="22">
        <v>12.75</v>
      </c>
      <c r="C20" s="22">
        <v>12.56</v>
      </c>
      <c r="D20" s="22">
        <v>10.81</v>
      </c>
      <c r="E20" s="22"/>
      <c r="F20" s="22"/>
    </row>
    <row r="21" spans="1:6">
      <c r="A21" s="21" t="s">
        <v>25</v>
      </c>
      <c r="B21" s="22">
        <v>12.85</v>
      </c>
      <c r="C21" s="22">
        <v>13.08</v>
      </c>
      <c r="D21" s="22">
        <v>10.74</v>
      </c>
      <c r="E21" s="22"/>
      <c r="F21" s="22"/>
    </row>
    <row r="22" spans="1:6">
      <c r="A22" s="21" t="s">
        <v>26</v>
      </c>
      <c r="B22" s="22">
        <v>12.85</v>
      </c>
      <c r="C22" s="22">
        <v>13.16</v>
      </c>
      <c r="D22" s="22">
        <v>10.75</v>
      </c>
      <c r="E22" s="22"/>
      <c r="F22" s="22"/>
    </row>
    <row r="23" spans="1:6">
      <c r="A23" s="21" t="s">
        <v>27</v>
      </c>
      <c r="B23" s="22">
        <v>14.45</v>
      </c>
      <c r="C23" s="22">
        <v>13.94</v>
      </c>
      <c r="D23" s="22">
        <v>10.75</v>
      </c>
      <c r="E23" s="22"/>
      <c r="F23" s="22"/>
    </row>
    <row r="24" spans="1:6">
      <c r="A24" s="21" t="s">
        <v>28</v>
      </c>
      <c r="B24" s="22">
        <v>13.43</v>
      </c>
      <c r="C24" s="22">
        <v>13.09</v>
      </c>
      <c r="D24" s="22">
        <v>10.67</v>
      </c>
      <c r="E24" s="22"/>
      <c r="F24" s="22"/>
    </row>
    <row r="25" spans="1:6">
      <c r="A25" s="21" t="s">
        <v>29</v>
      </c>
      <c r="B25" s="22">
        <v>13.95</v>
      </c>
      <c r="C25" s="22">
        <v>13.34</v>
      </c>
      <c r="D25" s="22">
        <v>10.65</v>
      </c>
      <c r="E25" s="22"/>
      <c r="F25" s="22"/>
    </row>
    <row r="26" spans="1:6">
      <c r="A26" s="21" t="s">
        <v>30</v>
      </c>
      <c r="B26" s="22">
        <v>13.87</v>
      </c>
      <c r="C26" s="22">
        <v>13.36</v>
      </c>
      <c r="D26" s="22">
        <v>10.76</v>
      </c>
      <c r="E26" s="22"/>
      <c r="F26" s="22"/>
    </row>
    <row r="27" spans="1:6">
      <c r="A27" s="21" t="s">
        <v>31</v>
      </c>
      <c r="B27" s="22">
        <v>13.8</v>
      </c>
      <c r="C27" s="22">
        <v>13.31</v>
      </c>
      <c r="D27" s="22">
        <v>10.88</v>
      </c>
      <c r="E27" s="22"/>
      <c r="F27" s="22"/>
    </row>
    <row r="28" spans="1:6">
      <c r="A28" s="21" t="s">
        <v>32</v>
      </c>
      <c r="B28" s="22">
        <v>13.74</v>
      </c>
      <c r="C28" s="22">
        <v>13.24</v>
      </c>
      <c r="D28" s="22">
        <v>10.95</v>
      </c>
      <c r="E28" s="22"/>
      <c r="F28" s="22"/>
    </row>
    <row r="29" spans="1:6">
      <c r="A29" s="21" t="s">
        <v>33</v>
      </c>
      <c r="B29" s="22">
        <v>13.7</v>
      </c>
      <c r="C29" s="22">
        <v>13.42</v>
      </c>
      <c r="D29" s="22">
        <v>11.08</v>
      </c>
      <c r="E29" s="22"/>
      <c r="F29" s="22"/>
    </row>
    <row r="30" spans="1:6">
      <c r="A30" s="21" t="s">
        <v>34</v>
      </c>
      <c r="B30" s="22">
        <v>13.72</v>
      </c>
      <c r="C30" s="22">
        <v>13.46</v>
      </c>
      <c r="D30" s="22">
        <v>11.19</v>
      </c>
      <c r="E30" s="22"/>
      <c r="F30" s="22"/>
    </row>
    <row r="31" spans="1:6">
      <c r="A31" s="21" t="s">
        <v>35</v>
      </c>
      <c r="B31" s="22">
        <v>11.83</v>
      </c>
      <c r="C31" s="22">
        <v>13.54</v>
      </c>
      <c r="D31" s="22">
        <v>11.23</v>
      </c>
      <c r="E31" s="22"/>
      <c r="F31" s="22"/>
    </row>
    <row r="32" spans="1:6">
      <c r="A32" s="21" t="s">
        <v>36</v>
      </c>
      <c r="B32" s="22">
        <v>13.81</v>
      </c>
      <c r="C32" s="22">
        <v>13.55</v>
      </c>
      <c r="D32" s="22">
        <v>11.24</v>
      </c>
      <c r="E32" s="22"/>
      <c r="F32" s="22"/>
    </row>
    <row r="33" spans="1:6">
      <c r="A33" s="21" t="s">
        <v>37</v>
      </c>
      <c r="B33" s="22">
        <v>13.75</v>
      </c>
      <c r="C33" s="22">
        <v>13.61</v>
      </c>
      <c r="D33" s="22">
        <v>11.02</v>
      </c>
      <c r="E33" s="22"/>
      <c r="F33" s="22"/>
    </row>
    <row r="34" spans="1:6">
      <c r="A34" s="21" t="s">
        <v>38</v>
      </c>
      <c r="B34" s="22">
        <v>13.76</v>
      </c>
      <c r="C34" s="22">
        <v>12.41</v>
      </c>
      <c r="D34" s="22">
        <v>10.99</v>
      </c>
      <c r="E34" s="22"/>
      <c r="F34" s="22"/>
    </row>
    <row r="35" spans="1:6">
      <c r="A35" s="21" t="s">
        <v>39</v>
      </c>
      <c r="B35" s="22">
        <v>12.11</v>
      </c>
      <c r="C35" s="22">
        <v>13.22</v>
      </c>
      <c r="D35" s="22">
        <v>11.18</v>
      </c>
      <c r="E35" s="22"/>
      <c r="F35" s="22"/>
    </row>
    <row r="36" spans="1:6">
      <c r="A36" s="21" t="s">
        <v>40</v>
      </c>
      <c r="B36" s="22">
        <v>14.06</v>
      </c>
      <c r="C36" s="22">
        <v>13.24</v>
      </c>
      <c r="D36" s="22">
        <v>11.04</v>
      </c>
      <c r="E36" s="22"/>
      <c r="F36" s="22"/>
    </row>
    <row r="37" spans="1:6">
      <c r="A37" s="21" t="s">
        <v>41</v>
      </c>
      <c r="B37" s="22">
        <v>14.1</v>
      </c>
      <c r="C37" s="22">
        <v>13.1</v>
      </c>
      <c r="D37" s="22">
        <v>10.96</v>
      </c>
      <c r="E37" s="22"/>
      <c r="F37" s="22"/>
    </row>
    <row r="38" spans="1:6">
      <c r="A38" s="21" t="s">
        <v>42</v>
      </c>
      <c r="B38" s="22">
        <v>14.18</v>
      </c>
      <c r="C38" s="22">
        <v>13.22</v>
      </c>
      <c r="D38" s="22">
        <v>11.01</v>
      </c>
      <c r="E38" s="22"/>
      <c r="F38" s="22"/>
    </row>
    <row r="39" spans="1:6">
      <c r="A39" s="21" t="s">
        <v>43</v>
      </c>
      <c r="B39" s="22">
        <v>14.13</v>
      </c>
      <c r="C39" s="22">
        <v>13.22</v>
      </c>
      <c r="D39" s="22">
        <v>11</v>
      </c>
      <c r="E39" s="22"/>
      <c r="F39" s="22"/>
    </row>
    <row r="40" spans="1:6">
      <c r="A40" s="21" t="s">
        <v>44</v>
      </c>
      <c r="B40" s="22">
        <v>14.05</v>
      </c>
      <c r="C40" s="22">
        <v>13.36</v>
      </c>
      <c r="D40" s="22">
        <v>11</v>
      </c>
      <c r="E40" s="22"/>
      <c r="F40" s="22"/>
    </row>
    <row r="41" spans="1:6">
      <c r="A41" s="21" t="s">
        <v>45</v>
      </c>
      <c r="B41" s="22">
        <v>14.15</v>
      </c>
      <c r="C41" s="22">
        <v>13.44</v>
      </c>
      <c r="D41" s="22">
        <v>11.07</v>
      </c>
      <c r="E41" s="22"/>
      <c r="F41" s="22"/>
    </row>
    <row r="42" spans="1:6">
      <c r="A42" s="21" t="s">
        <v>46</v>
      </c>
      <c r="B42" s="22">
        <v>14.25</v>
      </c>
      <c r="C42" s="22">
        <v>13.62</v>
      </c>
      <c r="D42" s="22">
        <v>11.2</v>
      </c>
      <c r="E42" s="22"/>
      <c r="F42" s="22"/>
    </row>
    <row r="43" spans="1:6">
      <c r="A43" s="21" t="s">
        <v>47</v>
      </c>
      <c r="B43" s="22">
        <v>14.1</v>
      </c>
      <c r="C43" s="22">
        <v>13.54</v>
      </c>
      <c r="D43" s="22">
        <v>11.12</v>
      </c>
      <c r="E43" s="22"/>
      <c r="F43" s="22"/>
    </row>
    <row r="44" spans="1:6">
      <c r="A44" s="21" t="s">
        <v>48</v>
      </c>
      <c r="B44" s="22">
        <v>13.8</v>
      </c>
      <c r="C44" s="22">
        <v>13.78</v>
      </c>
      <c r="D44" s="22">
        <v>11</v>
      </c>
      <c r="E44" s="22"/>
      <c r="F44" s="22"/>
    </row>
    <row r="45" spans="1:6">
      <c r="A45" s="21" t="s">
        <v>49</v>
      </c>
      <c r="B45" s="22">
        <v>13.24</v>
      </c>
      <c r="C45" s="22">
        <v>13.74</v>
      </c>
      <c r="D45" s="22">
        <v>11.02</v>
      </c>
      <c r="E45" s="22"/>
      <c r="F45" s="22"/>
    </row>
    <row r="46" spans="1:6">
      <c r="A46" s="21" t="s">
        <v>50</v>
      </c>
      <c r="B46" s="22">
        <v>13.71</v>
      </c>
      <c r="C46" s="22">
        <v>13.64</v>
      </c>
      <c r="D46" s="22">
        <v>11.06</v>
      </c>
      <c r="E46" s="22"/>
      <c r="F46" s="22"/>
    </row>
    <row r="47" spans="1:6">
      <c r="A47" s="21" t="s">
        <v>51</v>
      </c>
      <c r="B47" s="22">
        <v>14.13</v>
      </c>
      <c r="C47" s="22">
        <v>13.72</v>
      </c>
      <c r="D47" s="22">
        <v>11.11</v>
      </c>
      <c r="E47" s="22"/>
      <c r="F47" s="22"/>
    </row>
    <row r="48" spans="1:6">
      <c r="A48" s="21" t="s">
        <v>52</v>
      </c>
      <c r="B48" s="22">
        <v>14.24</v>
      </c>
      <c r="C48" s="22">
        <v>13.66</v>
      </c>
      <c r="D48" s="22">
        <v>11.08</v>
      </c>
      <c r="E48" s="22"/>
      <c r="F48" s="22"/>
    </row>
    <row r="49" spans="1:6">
      <c r="A49" s="21" t="s">
        <v>53</v>
      </c>
      <c r="B49" s="22">
        <v>13.99</v>
      </c>
      <c r="C49" s="22">
        <v>13.66</v>
      </c>
      <c r="D49" s="22">
        <v>11.09</v>
      </c>
      <c r="E49" s="22"/>
      <c r="F49" s="22"/>
    </row>
    <row r="50" spans="1:6">
      <c r="A50" s="21" t="s">
        <v>54</v>
      </c>
      <c r="B50" s="22">
        <v>13.97</v>
      </c>
      <c r="C50" s="22">
        <v>13.56</v>
      </c>
      <c r="D50" s="22">
        <v>10.96</v>
      </c>
      <c r="E50" s="22"/>
      <c r="F50" s="22"/>
    </row>
    <row r="51" spans="1:6">
      <c r="A51" s="21" t="s">
        <v>55</v>
      </c>
      <c r="B51" s="22">
        <v>14.4</v>
      </c>
      <c r="C51" s="22">
        <v>13.43</v>
      </c>
      <c r="D51" s="22">
        <v>11.12</v>
      </c>
      <c r="E51" s="22"/>
      <c r="F51" s="22"/>
    </row>
    <row r="52" spans="1:6">
      <c r="A52" s="21" t="s">
        <v>56</v>
      </c>
      <c r="B52" s="22">
        <v>14.52</v>
      </c>
      <c r="C52" s="22">
        <v>13.48</v>
      </c>
      <c r="D52" s="22">
        <v>10.93</v>
      </c>
      <c r="E52" s="22"/>
      <c r="F52" s="22"/>
    </row>
    <row r="53" spans="1:6">
      <c r="A53" s="21" t="s">
        <v>57</v>
      </c>
      <c r="B53" s="22">
        <v>14.57</v>
      </c>
      <c r="C53" s="22">
        <v>13.48</v>
      </c>
      <c r="D53" s="22">
        <v>10.94</v>
      </c>
      <c r="E53" s="22"/>
      <c r="F53" s="22"/>
    </row>
    <row r="54" spans="1:6">
      <c r="A54" s="21" t="s">
        <v>58</v>
      </c>
      <c r="B54" s="22">
        <v>14.58</v>
      </c>
      <c r="C54" s="22">
        <v>12.8</v>
      </c>
      <c r="D54" s="22">
        <v>11.05</v>
      </c>
      <c r="E54" s="22"/>
      <c r="F54" s="22"/>
    </row>
    <row r="55" spans="1:6">
      <c r="A55" s="21" t="s">
        <v>59</v>
      </c>
      <c r="B55" s="22">
        <v>14.61</v>
      </c>
      <c r="C55" s="22">
        <v>13.24</v>
      </c>
      <c r="D55" s="22">
        <v>11.01</v>
      </c>
      <c r="E55" s="22"/>
      <c r="F55" s="22"/>
    </row>
    <row r="56" spans="1:6">
      <c r="A56" s="21" t="s">
        <v>60</v>
      </c>
      <c r="B56" s="22">
        <v>14.33</v>
      </c>
      <c r="C56" s="22">
        <v>13.27</v>
      </c>
      <c r="D56" s="22">
        <v>10.96</v>
      </c>
      <c r="E56" s="22"/>
      <c r="F56" s="22"/>
    </row>
    <row r="57" spans="1:6">
      <c r="A57" s="21" t="s">
        <v>61</v>
      </c>
      <c r="B57" s="22">
        <v>14.36</v>
      </c>
      <c r="C57" s="22">
        <v>13.31</v>
      </c>
      <c r="D57" s="22">
        <v>10.93</v>
      </c>
      <c r="E57" s="22"/>
      <c r="F57" s="22"/>
    </row>
    <row r="58" spans="1:6">
      <c r="A58" s="21" t="s">
        <v>62</v>
      </c>
      <c r="B58" s="22">
        <v>14.35</v>
      </c>
      <c r="C58" s="22">
        <v>13.25</v>
      </c>
      <c r="D58" s="22">
        <v>10.96</v>
      </c>
      <c r="E58" s="22"/>
      <c r="F58" s="22"/>
    </row>
    <row r="59" spans="1:6">
      <c r="A59" s="21" t="s">
        <v>63</v>
      </c>
      <c r="B59" s="22">
        <v>14.18</v>
      </c>
      <c r="C59" s="22">
        <v>13.37</v>
      </c>
      <c r="D59" s="22">
        <v>11.17</v>
      </c>
      <c r="E59" s="22"/>
      <c r="F59" s="22"/>
    </row>
    <row r="60" spans="1:6">
      <c r="A60" s="21" t="s">
        <v>64</v>
      </c>
      <c r="B60" s="22">
        <v>14.23</v>
      </c>
      <c r="C60" s="22">
        <v>13.58</v>
      </c>
      <c r="D60" s="22">
        <v>11.39</v>
      </c>
      <c r="E60" s="22"/>
      <c r="F60" s="22"/>
    </row>
    <row r="61" spans="1:6">
      <c r="A61" s="21" t="s">
        <v>65</v>
      </c>
      <c r="B61" s="22">
        <v>14.04</v>
      </c>
      <c r="C61" s="22">
        <v>13.55</v>
      </c>
      <c r="D61" s="22">
        <v>11.42</v>
      </c>
      <c r="E61" s="22"/>
      <c r="F61" s="22"/>
    </row>
    <row r="62" spans="1:6">
      <c r="A62" s="21" t="s">
        <v>66</v>
      </c>
      <c r="B62" s="22">
        <v>13.94</v>
      </c>
      <c r="C62" s="22">
        <v>13.67</v>
      </c>
      <c r="D62" s="22">
        <v>11.5</v>
      </c>
      <c r="E62" s="22"/>
      <c r="F62" s="22"/>
    </row>
    <row r="63" spans="1:6">
      <c r="A63" s="21" t="s">
        <v>67</v>
      </c>
      <c r="B63" s="22">
        <v>13.8</v>
      </c>
      <c r="C63" s="22">
        <v>13.5</v>
      </c>
      <c r="D63" s="22">
        <v>11.38</v>
      </c>
      <c r="E63" s="22"/>
      <c r="F63" s="22"/>
    </row>
    <row r="64" spans="1:6">
      <c r="A64" s="21" t="s">
        <v>68</v>
      </c>
      <c r="B64" s="22">
        <v>13.83</v>
      </c>
      <c r="C64" s="22">
        <v>13.89</v>
      </c>
      <c r="D64" s="22">
        <v>11.51</v>
      </c>
      <c r="E64" s="22"/>
      <c r="F64" s="22"/>
    </row>
    <row r="65" spans="1:6">
      <c r="A65" s="21" t="s">
        <v>69</v>
      </c>
      <c r="B65" s="22">
        <v>13.71</v>
      </c>
      <c r="C65" s="22">
        <v>13.88</v>
      </c>
      <c r="D65" s="22">
        <v>11.47</v>
      </c>
      <c r="E65" s="22"/>
      <c r="F65" s="22"/>
    </row>
    <row r="66" spans="1:6">
      <c r="A66" s="21" t="s">
        <v>70</v>
      </c>
      <c r="B66" s="22">
        <v>13.66</v>
      </c>
      <c r="C66" s="22">
        <v>13.87</v>
      </c>
      <c r="D66" s="22">
        <v>11.46</v>
      </c>
      <c r="E66" s="22"/>
      <c r="F66" s="22"/>
    </row>
    <row r="67" spans="1:6">
      <c r="A67" s="21" t="s">
        <v>71</v>
      </c>
      <c r="B67" s="22">
        <v>13.7</v>
      </c>
      <c r="C67" s="22">
        <v>13.75</v>
      </c>
      <c r="D67" s="22">
        <v>11.65</v>
      </c>
      <c r="E67" s="22"/>
      <c r="F67" s="22"/>
    </row>
    <row r="68" spans="1:6">
      <c r="A68" s="21" t="s">
        <v>72</v>
      </c>
      <c r="B68" s="22">
        <v>13.6</v>
      </c>
      <c r="C68" s="22">
        <v>13.94</v>
      </c>
      <c r="D68" s="22">
        <v>11.65</v>
      </c>
      <c r="E68" s="22"/>
      <c r="F68" s="22"/>
    </row>
    <row r="69" spans="1:6">
      <c r="A69" s="21" t="s">
        <v>73</v>
      </c>
      <c r="B69" s="22">
        <v>13.56</v>
      </c>
      <c r="C69" s="22">
        <v>13.77</v>
      </c>
      <c r="D69" s="22">
        <v>11.49</v>
      </c>
      <c r="E69" s="22"/>
      <c r="F69" s="22"/>
    </row>
    <row r="70" spans="1:6">
      <c r="A70" s="21" t="s">
        <v>74</v>
      </c>
      <c r="B70" s="22">
        <v>13.58</v>
      </c>
      <c r="C70" s="22">
        <v>13.84</v>
      </c>
      <c r="D70" s="22">
        <v>11.49</v>
      </c>
      <c r="E70" s="22"/>
      <c r="F70" s="22"/>
    </row>
    <row r="71" spans="1:6">
      <c r="A71" s="21" t="s">
        <v>75</v>
      </c>
      <c r="B71" s="22">
        <v>13.73</v>
      </c>
      <c r="C71" s="22">
        <v>13.32</v>
      </c>
      <c r="D71" s="22">
        <v>11.4</v>
      </c>
      <c r="E71" s="22"/>
      <c r="F71" s="22"/>
    </row>
    <row r="72" spans="1:6">
      <c r="A72" s="21" t="s">
        <v>76</v>
      </c>
      <c r="B72" s="22">
        <v>13.75</v>
      </c>
      <c r="C72" s="22">
        <v>13.33</v>
      </c>
      <c r="D72" s="22">
        <v>11.44</v>
      </c>
      <c r="E72" s="22"/>
      <c r="F72" s="22"/>
    </row>
    <row r="73" spans="1:6">
      <c r="A73" s="21" t="s">
        <v>77</v>
      </c>
      <c r="B73" s="22">
        <v>13.74</v>
      </c>
      <c r="C73" s="22">
        <v>13.34</v>
      </c>
      <c r="D73" s="22">
        <v>11.26</v>
      </c>
      <c r="E73" s="22"/>
      <c r="F73" s="22"/>
    </row>
    <row r="74" spans="1:6">
      <c r="A74" s="21" t="s">
        <v>78</v>
      </c>
      <c r="B74" s="22">
        <v>13.71</v>
      </c>
      <c r="C74" s="22">
        <v>13.17</v>
      </c>
      <c r="D74" s="22">
        <v>11.3</v>
      </c>
      <c r="E74" s="22"/>
      <c r="F74" s="22"/>
    </row>
    <row r="75" spans="1:6">
      <c r="A75" s="21" t="s">
        <v>79</v>
      </c>
      <c r="B75" s="22">
        <v>13.65</v>
      </c>
      <c r="C75" s="22">
        <v>13.53</v>
      </c>
      <c r="D75" s="22">
        <v>11.21</v>
      </c>
      <c r="E75" s="22"/>
      <c r="F75" s="22"/>
    </row>
    <row r="76" spans="1:6">
      <c r="A76" s="21" t="s">
        <v>80</v>
      </c>
      <c r="B76" s="22">
        <v>13.65</v>
      </c>
      <c r="C76" s="22">
        <v>13.17</v>
      </c>
      <c r="D76" s="22">
        <v>11.18</v>
      </c>
      <c r="E76" s="22"/>
      <c r="F76" s="22"/>
    </row>
    <row r="77" spans="1:6">
      <c r="A77" s="21" t="s">
        <v>81</v>
      </c>
      <c r="B77" s="22">
        <v>13.75</v>
      </c>
      <c r="C77" s="22">
        <v>13.16</v>
      </c>
      <c r="D77" s="22">
        <v>11.13</v>
      </c>
      <c r="E77" s="22"/>
      <c r="F77" s="22"/>
    </row>
    <row r="78" spans="1:6">
      <c r="A78" s="21" t="s">
        <v>82</v>
      </c>
      <c r="B78" s="22">
        <v>13.67</v>
      </c>
      <c r="C78" s="22">
        <v>12.88</v>
      </c>
      <c r="D78" s="22">
        <v>11.16</v>
      </c>
      <c r="E78" s="22"/>
      <c r="F78" s="22"/>
    </row>
    <row r="79" spans="1:6">
      <c r="A79" s="21" t="s">
        <v>83</v>
      </c>
      <c r="B79" s="22">
        <v>13.77</v>
      </c>
      <c r="C79" s="22">
        <v>13.37</v>
      </c>
      <c r="D79" s="22">
        <v>11.11</v>
      </c>
      <c r="E79" s="22"/>
      <c r="F79" s="22"/>
    </row>
    <row r="80" spans="1:6">
      <c r="A80" s="21" t="s">
        <v>84</v>
      </c>
      <c r="B80" s="22">
        <v>14.47</v>
      </c>
      <c r="C80" s="22">
        <v>13.08</v>
      </c>
      <c r="D80" s="22">
        <v>11.08</v>
      </c>
      <c r="E80" s="22"/>
      <c r="F80" s="22"/>
    </row>
    <row r="81" spans="1:6">
      <c r="A81" s="21" t="s">
        <v>85</v>
      </c>
      <c r="B81" s="22">
        <v>14.42</v>
      </c>
      <c r="C81" s="22">
        <v>13.05</v>
      </c>
      <c r="D81" s="22">
        <v>11.27</v>
      </c>
      <c r="E81" s="22"/>
      <c r="F81" s="22"/>
    </row>
    <row r="82" spans="1:6">
      <c r="A82" s="21" t="s">
        <v>86</v>
      </c>
      <c r="B82" s="22">
        <v>14.39</v>
      </c>
      <c r="C82" s="22">
        <v>13.26</v>
      </c>
      <c r="D82" s="22">
        <v>11.09</v>
      </c>
      <c r="E82" s="22"/>
      <c r="F82" s="22"/>
    </row>
    <row r="83" spans="1:6">
      <c r="A83" s="21" t="s">
        <v>87</v>
      </c>
      <c r="B83" s="22">
        <v>14.21</v>
      </c>
      <c r="C83" s="22">
        <v>13.12</v>
      </c>
      <c r="D83" s="22">
        <v>11.03</v>
      </c>
      <c r="E83" s="22"/>
      <c r="F83" s="22"/>
    </row>
    <row r="84" spans="1:6">
      <c r="A84" s="21" t="s">
        <v>88</v>
      </c>
      <c r="B84" s="22">
        <v>14.39</v>
      </c>
      <c r="C84" s="22">
        <v>13.26</v>
      </c>
      <c r="D84" s="22">
        <v>11.09</v>
      </c>
      <c r="E84" s="22"/>
      <c r="F84" s="22"/>
    </row>
    <row r="85" spans="1:6">
      <c r="A85" s="21" t="s">
        <v>89</v>
      </c>
      <c r="B85" s="22">
        <v>14.36</v>
      </c>
      <c r="C85" s="22">
        <v>13.29</v>
      </c>
      <c r="D85" s="22">
        <v>11.09</v>
      </c>
      <c r="E85" s="22"/>
      <c r="F85" s="22"/>
    </row>
    <row r="86" spans="1:6">
      <c r="A86" s="21" t="s">
        <v>90</v>
      </c>
      <c r="B86" s="22">
        <v>14.42</v>
      </c>
      <c r="C86" s="22">
        <v>13.26</v>
      </c>
      <c r="D86" s="22">
        <v>11.11</v>
      </c>
      <c r="E86" s="22"/>
      <c r="F86" s="22"/>
    </row>
    <row r="87" spans="1:6">
      <c r="A87" s="21" t="s">
        <v>91</v>
      </c>
      <c r="B87" s="22">
        <v>14.09</v>
      </c>
      <c r="C87" s="22">
        <v>13.51</v>
      </c>
      <c r="D87" s="22">
        <v>11.03</v>
      </c>
      <c r="E87" s="22"/>
      <c r="F87" s="22"/>
    </row>
    <row r="88" spans="1:6">
      <c r="A88" s="21" t="s">
        <v>92</v>
      </c>
      <c r="B88" s="22">
        <v>14.04</v>
      </c>
      <c r="C88" s="22">
        <v>13.47</v>
      </c>
      <c r="D88" s="22">
        <v>10.98</v>
      </c>
      <c r="E88" s="22"/>
      <c r="F88" s="22"/>
    </row>
    <row r="89" spans="1:6">
      <c r="A89" s="21" t="s">
        <v>93</v>
      </c>
      <c r="B89" s="22">
        <v>14.07</v>
      </c>
      <c r="C89" s="22">
        <v>13.49</v>
      </c>
      <c r="D89" s="22">
        <v>10.98</v>
      </c>
      <c r="E89" s="22"/>
      <c r="F89" s="22"/>
    </row>
    <row r="90" spans="1:6">
      <c r="A90" s="21" t="s">
        <v>94</v>
      </c>
      <c r="B90" s="22">
        <v>13.45</v>
      </c>
      <c r="C90" s="22">
        <v>13.21</v>
      </c>
      <c r="D90" s="22">
        <v>10.97</v>
      </c>
      <c r="E90" s="22"/>
      <c r="F90" s="22"/>
    </row>
    <row r="91" spans="1:6">
      <c r="A91" s="21" t="s">
        <v>95</v>
      </c>
      <c r="B91" s="22">
        <v>14.35</v>
      </c>
      <c r="C91" s="22">
        <v>13.33</v>
      </c>
      <c r="D91" s="22">
        <v>11.1</v>
      </c>
      <c r="E91" s="22"/>
      <c r="F91" s="22"/>
    </row>
    <row r="92" spans="1:6">
      <c r="A92" s="21" t="s">
        <v>96</v>
      </c>
      <c r="B92" s="22">
        <v>14.39</v>
      </c>
      <c r="C92" s="22">
        <v>12.88</v>
      </c>
      <c r="D92" s="22">
        <v>11.24</v>
      </c>
      <c r="E92" s="22"/>
      <c r="F92" s="22"/>
    </row>
    <row r="93" spans="1:6">
      <c r="A93" s="21" t="s">
        <v>97</v>
      </c>
      <c r="B93" s="22">
        <v>14.37</v>
      </c>
      <c r="C93" s="22">
        <v>12.83</v>
      </c>
      <c r="D93" s="22">
        <v>10.93</v>
      </c>
      <c r="E93" s="22"/>
      <c r="F93" s="22"/>
    </row>
    <row r="94" spans="1:6">
      <c r="A94" s="21" t="s">
        <v>98</v>
      </c>
      <c r="B94" s="22">
        <v>14.23</v>
      </c>
      <c r="C94" s="22">
        <v>13.1</v>
      </c>
      <c r="D94" s="22">
        <v>11.02</v>
      </c>
      <c r="E94" s="22"/>
      <c r="F94" s="22"/>
    </row>
    <row r="95" spans="1:6">
      <c r="A95" s="21" t="s">
        <v>99</v>
      </c>
      <c r="B95" s="22">
        <v>14.25</v>
      </c>
      <c r="C95" s="22">
        <v>12.73</v>
      </c>
      <c r="D95" s="22">
        <v>10.93</v>
      </c>
      <c r="E95" s="22"/>
      <c r="F95" s="22"/>
    </row>
    <row r="96" spans="1:6">
      <c r="A96" s="21" t="s">
        <v>100</v>
      </c>
      <c r="B96" s="22">
        <v>14.41</v>
      </c>
      <c r="C96" s="22">
        <v>12.78</v>
      </c>
      <c r="D96" s="22">
        <v>10.85</v>
      </c>
      <c r="E96" s="22"/>
      <c r="F96" s="22"/>
    </row>
    <row r="97" spans="1:6">
      <c r="A97" s="21" t="s">
        <v>101</v>
      </c>
      <c r="B97" s="22">
        <v>14.33</v>
      </c>
      <c r="C97" s="22">
        <v>12.7</v>
      </c>
      <c r="D97" s="22">
        <v>10.92</v>
      </c>
      <c r="E97" s="22"/>
      <c r="F97" s="22"/>
    </row>
    <row r="98" spans="1:6">
      <c r="A98" s="21" t="s">
        <v>102</v>
      </c>
      <c r="B98" s="22">
        <v>14.41</v>
      </c>
      <c r="C98" s="22">
        <v>12.61</v>
      </c>
      <c r="D98" s="22">
        <v>10.85</v>
      </c>
      <c r="E98" s="22"/>
      <c r="F98" s="22"/>
    </row>
    <row r="99" spans="1:6">
      <c r="A99" s="21" t="s">
        <v>103</v>
      </c>
      <c r="B99" s="22">
        <v>14.11</v>
      </c>
      <c r="C99" s="22">
        <v>12.85</v>
      </c>
      <c r="D99" s="22">
        <v>10.79</v>
      </c>
      <c r="E99" s="22"/>
      <c r="F99" s="22"/>
    </row>
    <row r="100" spans="1:6">
      <c r="A100" s="21" t="s">
        <v>104</v>
      </c>
      <c r="B100" s="22">
        <v>14.52</v>
      </c>
      <c r="C100" s="22">
        <v>12.74</v>
      </c>
      <c r="D100" s="22">
        <v>10.84</v>
      </c>
      <c r="E100" s="22"/>
      <c r="F100" s="22"/>
    </row>
    <row r="101" spans="1:6">
      <c r="A101" s="21" t="s">
        <v>105</v>
      </c>
      <c r="B101" s="22">
        <v>14.4</v>
      </c>
      <c r="C101" s="22">
        <v>12.96</v>
      </c>
      <c r="D101" s="22">
        <v>10.8</v>
      </c>
      <c r="E101" s="22"/>
      <c r="F101" s="22"/>
    </row>
    <row r="102" spans="1:6">
      <c r="A102" s="21" t="s">
        <v>106</v>
      </c>
      <c r="B102" s="22">
        <v>14.43</v>
      </c>
      <c r="C102" s="22">
        <v>12.85</v>
      </c>
      <c r="D102" s="22">
        <v>10.83</v>
      </c>
      <c r="E102" s="22"/>
      <c r="F102" s="22"/>
    </row>
    <row r="103" spans="1:6">
      <c r="A103" s="21" t="s">
        <v>107</v>
      </c>
      <c r="B103" s="22">
        <v>14.43</v>
      </c>
      <c r="C103" s="22">
        <v>13.04</v>
      </c>
      <c r="D103" s="22">
        <v>10.8</v>
      </c>
      <c r="E103" s="22"/>
      <c r="F103" s="22"/>
    </row>
    <row r="104" spans="1:6">
      <c r="A104" s="21" t="s">
        <v>108</v>
      </c>
      <c r="B104" s="22">
        <v>14.4</v>
      </c>
      <c r="C104" s="22">
        <v>12.76</v>
      </c>
      <c r="D104" s="22">
        <v>10.78</v>
      </c>
      <c r="E104" s="22"/>
      <c r="F104" s="22"/>
    </row>
    <row r="105" spans="1:6">
      <c r="A105" s="21" t="s">
        <v>109</v>
      </c>
      <c r="B105" s="22">
        <v>14.41</v>
      </c>
      <c r="C105" s="22">
        <v>12.8</v>
      </c>
      <c r="D105" s="22">
        <v>10.79</v>
      </c>
      <c r="E105" s="22"/>
      <c r="F105" s="22"/>
    </row>
    <row r="106" spans="1:6">
      <c r="A106" s="21" t="s">
        <v>110</v>
      </c>
      <c r="B106" s="22">
        <v>14.41</v>
      </c>
      <c r="C106" s="22">
        <v>12.93</v>
      </c>
      <c r="D106" s="22">
        <v>10.76</v>
      </c>
      <c r="E106" s="22"/>
      <c r="F106" s="22"/>
    </row>
    <row r="107" spans="1:6">
      <c r="A107" s="21" t="s">
        <v>111</v>
      </c>
      <c r="B107" s="22">
        <v>14.46</v>
      </c>
      <c r="C107" s="22">
        <v>12.93</v>
      </c>
      <c r="D107" s="22">
        <v>10.76</v>
      </c>
      <c r="E107" s="22"/>
      <c r="F107" s="22"/>
    </row>
    <row r="108" spans="1:6">
      <c r="A108" s="21" t="s">
        <v>112</v>
      </c>
      <c r="B108" s="22">
        <v>14.51</v>
      </c>
      <c r="C108" s="22">
        <v>12.97</v>
      </c>
      <c r="D108" s="22">
        <v>10.73</v>
      </c>
      <c r="E108" s="22"/>
      <c r="F108" s="22"/>
    </row>
    <row r="109" spans="1:6">
      <c r="A109" s="21" t="s">
        <v>113</v>
      </c>
      <c r="B109" s="22">
        <v>14.49</v>
      </c>
      <c r="C109" s="22">
        <v>13</v>
      </c>
      <c r="D109" s="22">
        <v>10.72</v>
      </c>
      <c r="E109" s="22"/>
      <c r="F109" s="22"/>
    </row>
    <row r="110" spans="1:6">
      <c r="A110" s="21" t="s">
        <v>114</v>
      </c>
      <c r="B110" s="22">
        <v>14.49</v>
      </c>
      <c r="C110" s="22">
        <v>12.92</v>
      </c>
      <c r="D110" s="22">
        <v>10.72</v>
      </c>
      <c r="E110" s="22"/>
      <c r="F110" s="22"/>
    </row>
    <row r="111" spans="1:6">
      <c r="A111" s="21" t="s">
        <v>115</v>
      </c>
      <c r="B111" s="22">
        <v>14.49</v>
      </c>
      <c r="C111" s="22">
        <v>13.09</v>
      </c>
      <c r="D111" s="22">
        <v>10.72</v>
      </c>
      <c r="E111" s="22"/>
      <c r="F111" s="22"/>
    </row>
    <row r="112" spans="1:6">
      <c r="A112" s="21" t="s">
        <v>116</v>
      </c>
      <c r="B112" s="22">
        <v>14.47</v>
      </c>
      <c r="C112" s="22">
        <v>12.83</v>
      </c>
      <c r="D112" s="22">
        <v>10.68</v>
      </c>
      <c r="E112" s="22"/>
      <c r="F112" s="22"/>
    </row>
    <row r="113" spans="1:6">
      <c r="A113" s="21" t="s">
        <v>117</v>
      </c>
      <c r="B113" s="22">
        <v>14.52</v>
      </c>
      <c r="C113" s="22">
        <v>12.92</v>
      </c>
      <c r="D113" s="22">
        <v>10.67</v>
      </c>
      <c r="E113" s="22"/>
      <c r="F113" s="22"/>
    </row>
    <row r="114" spans="1:6">
      <c r="A114" s="21" t="s">
        <v>118</v>
      </c>
      <c r="B114" s="22">
        <v>14.52</v>
      </c>
      <c r="C114" s="22">
        <v>12.87</v>
      </c>
      <c r="D114" s="22">
        <v>10.68</v>
      </c>
      <c r="E114" s="22"/>
      <c r="F114" s="22"/>
    </row>
    <row r="115" spans="1:6">
      <c r="A115" s="21" t="s">
        <v>119</v>
      </c>
      <c r="B115" s="22">
        <v>14.53</v>
      </c>
      <c r="C115" s="22">
        <v>12.88</v>
      </c>
      <c r="D115" s="22">
        <v>10.68</v>
      </c>
      <c r="E115" s="22"/>
      <c r="F115" s="22"/>
    </row>
    <row r="116" spans="1:6">
      <c r="A116" s="21" t="s">
        <v>120</v>
      </c>
      <c r="B116" s="22">
        <v>14.53</v>
      </c>
      <c r="C116" s="22">
        <v>13.14</v>
      </c>
      <c r="D116" s="22">
        <v>10.66</v>
      </c>
      <c r="E116" s="22"/>
      <c r="F116" s="22"/>
    </row>
    <row r="117" spans="1:6">
      <c r="A117" s="21" t="s">
        <v>121</v>
      </c>
      <c r="B117" s="22">
        <v>14.68</v>
      </c>
      <c r="C117" s="22">
        <v>12.93</v>
      </c>
      <c r="D117" s="22">
        <v>10.7</v>
      </c>
      <c r="E117" s="22"/>
      <c r="F117" s="22"/>
    </row>
    <row r="118" spans="1:6">
      <c r="A118" s="21" t="s">
        <v>122</v>
      </c>
      <c r="B118" s="22">
        <v>14.72</v>
      </c>
      <c r="C118" s="22">
        <v>12.81</v>
      </c>
      <c r="D118" s="22">
        <v>10.65</v>
      </c>
      <c r="E118" s="22"/>
      <c r="F118" s="22"/>
    </row>
    <row r="119" spans="1:6">
      <c r="A119" s="21" t="s">
        <v>123</v>
      </c>
      <c r="B119" s="22">
        <v>14.74</v>
      </c>
      <c r="C119" s="22">
        <v>12.85</v>
      </c>
      <c r="D119" s="22">
        <v>10.62</v>
      </c>
      <c r="E119" s="22"/>
      <c r="F119" s="22"/>
    </row>
    <row r="120" spans="1:6">
      <c r="A120" s="21" t="s">
        <v>124</v>
      </c>
      <c r="B120" s="22">
        <v>14.66</v>
      </c>
      <c r="C120" s="22">
        <v>12.98</v>
      </c>
      <c r="D120" s="22">
        <v>10.64</v>
      </c>
      <c r="E120" s="22"/>
      <c r="F120" s="22"/>
    </row>
    <row r="121" spans="1:6">
      <c r="A121" s="21" t="s">
        <v>125</v>
      </c>
      <c r="B121" s="22">
        <v>14.62</v>
      </c>
      <c r="C121" s="22">
        <v>12.93</v>
      </c>
      <c r="D121" s="22">
        <v>10.65</v>
      </c>
      <c r="E121" s="22"/>
      <c r="F121" s="22"/>
    </row>
    <row r="122" spans="1:6">
      <c r="A122" s="21" t="s">
        <v>126</v>
      </c>
      <c r="B122" s="22">
        <v>14.66</v>
      </c>
      <c r="C122" s="22">
        <v>12.73</v>
      </c>
      <c r="D122" s="22">
        <v>10.63</v>
      </c>
      <c r="E122" s="22"/>
      <c r="F122" s="22"/>
    </row>
    <row r="123" spans="1:6">
      <c r="A123" s="21" t="s">
        <v>127</v>
      </c>
      <c r="B123" s="22">
        <v>14.67</v>
      </c>
      <c r="C123" s="22">
        <v>12.5</v>
      </c>
      <c r="D123" s="22">
        <v>10.64</v>
      </c>
      <c r="E123" s="22"/>
      <c r="F123" s="22"/>
    </row>
    <row r="124" spans="1:6">
      <c r="A124" s="21" t="s">
        <v>128</v>
      </c>
      <c r="B124" s="22">
        <v>14.64</v>
      </c>
      <c r="C124" s="22">
        <v>12.73</v>
      </c>
      <c r="D124" s="22">
        <v>10.61</v>
      </c>
      <c r="E124" s="22"/>
      <c r="F124" s="22"/>
    </row>
    <row r="125" spans="1:6">
      <c r="A125" s="21" t="s">
        <v>129</v>
      </c>
      <c r="B125" s="22">
        <v>14.65</v>
      </c>
      <c r="C125" s="22">
        <v>12.77</v>
      </c>
      <c r="D125" s="22">
        <v>10.63</v>
      </c>
      <c r="E125" s="22"/>
      <c r="F125" s="22"/>
    </row>
    <row r="126" spans="1:6">
      <c r="A126" s="21" t="s">
        <v>130</v>
      </c>
      <c r="B126" s="22">
        <v>14.61</v>
      </c>
      <c r="C126" s="22">
        <v>12.75</v>
      </c>
      <c r="D126" s="22">
        <v>10.64</v>
      </c>
      <c r="E126" s="22"/>
      <c r="F126" s="22"/>
    </row>
    <row r="127" spans="1:6">
      <c r="A127" s="21" t="s">
        <v>131</v>
      </c>
      <c r="B127" s="22">
        <v>14.58</v>
      </c>
      <c r="C127" s="22">
        <v>12.72</v>
      </c>
      <c r="D127" s="22">
        <v>10.62</v>
      </c>
      <c r="E127" s="22"/>
      <c r="F127" s="22"/>
    </row>
    <row r="128" spans="1:6">
      <c r="A128" s="21" t="s">
        <v>132</v>
      </c>
      <c r="B128" s="22">
        <v>14.24</v>
      </c>
      <c r="C128" s="22">
        <v>12.7</v>
      </c>
      <c r="D128" s="22">
        <v>10.63</v>
      </c>
      <c r="E128" s="22"/>
      <c r="F128" s="22"/>
    </row>
    <row r="129" spans="1:6">
      <c r="A129" s="21" t="s">
        <v>133</v>
      </c>
      <c r="B129" s="22">
        <v>14.48</v>
      </c>
      <c r="C129" s="22">
        <v>12.74</v>
      </c>
      <c r="D129" s="22">
        <v>10.56</v>
      </c>
      <c r="E129" s="22"/>
      <c r="F129" s="22"/>
    </row>
    <row r="130" spans="1:6">
      <c r="A130" s="21" t="s">
        <v>134</v>
      </c>
      <c r="B130" s="22">
        <v>14.45</v>
      </c>
      <c r="C130" s="22">
        <v>12.53</v>
      </c>
      <c r="D130" s="22">
        <v>10.55</v>
      </c>
      <c r="E130" s="22"/>
      <c r="F130" s="22"/>
    </row>
    <row r="131" spans="1:6">
      <c r="A131" s="21" t="s">
        <v>135</v>
      </c>
      <c r="B131" s="22">
        <v>14.63</v>
      </c>
      <c r="C131" s="22">
        <v>12.73</v>
      </c>
      <c r="D131" s="22">
        <v>10.83</v>
      </c>
      <c r="E131" s="22"/>
      <c r="F131" s="22"/>
    </row>
    <row r="132" spans="1:6">
      <c r="A132" s="21" t="s">
        <v>136</v>
      </c>
      <c r="B132" s="22">
        <v>14.54</v>
      </c>
      <c r="C132" s="22">
        <v>12.77</v>
      </c>
      <c r="D132" s="22">
        <v>10.56</v>
      </c>
      <c r="E132" s="22"/>
      <c r="F132" s="22"/>
    </row>
    <row r="133" spans="1:6">
      <c r="A133" s="21" t="s">
        <v>137</v>
      </c>
      <c r="B133" s="22">
        <v>14.62</v>
      </c>
      <c r="C133" s="22">
        <v>12.9</v>
      </c>
      <c r="D133" s="22">
        <v>10.55</v>
      </c>
      <c r="E133" s="22"/>
      <c r="F133" s="22"/>
    </row>
    <row r="134" spans="1:6">
      <c r="A134" s="21" t="s">
        <v>138</v>
      </c>
      <c r="B134" s="22">
        <v>14.64</v>
      </c>
      <c r="C134" s="22">
        <v>12.86</v>
      </c>
      <c r="D134" s="22">
        <v>10.56</v>
      </c>
      <c r="E134" s="22"/>
      <c r="F134" s="22"/>
    </row>
    <row r="135" spans="1:6">
      <c r="A135" s="21" t="s">
        <v>139</v>
      </c>
      <c r="B135" s="22">
        <v>14.64</v>
      </c>
      <c r="C135" s="22">
        <v>13.09</v>
      </c>
      <c r="D135" s="22">
        <v>10.74</v>
      </c>
      <c r="E135" s="22"/>
      <c r="F135" s="22"/>
    </row>
    <row r="136" spans="1:6">
      <c r="A136" s="21" t="s">
        <v>140</v>
      </c>
      <c r="B136" s="22">
        <v>14.66</v>
      </c>
      <c r="C136" s="22">
        <v>12.89</v>
      </c>
      <c r="D136" s="22">
        <v>10.55</v>
      </c>
      <c r="E136" s="22"/>
      <c r="F136" s="22"/>
    </row>
    <row r="137" spans="1:6">
      <c r="A137" s="21" t="s">
        <v>141</v>
      </c>
      <c r="B137" s="22">
        <v>14.61</v>
      </c>
      <c r="C137" s="22">
        <v>13.01</v>
      </c>
      <c r="D137" s="22">
        <v>10.55</v>
      </c>
      <c r="E137" s="22"/>
      <c r="F137" s="22"/>
    </row>
    <row r="138" spans="1:6">
      <c r="A138" s="21" t="s">
        <v>142</v>
      </c>
      <c r="B138" s="22">
        <v>14.63</v>
      </c>
      <c r="C138" s="22">
        <v>12.86</v>
      </c>
      <c r="D138" s="22">
        <v>10.57</v>
      </c>
      <c r="E138" s="22"/>
      <c r="F138" s="22"/>
    </row>
    <row r="139" spans="1:6">
      <c r="A139" s="21" t="s">
        <v>143</v>
      </c>
      <c r="B139" s="22">
        <v>14.75</v>
      </c>
      <c r="C139" s="22">
        <v>13.05</v>
      </c>
      <c r="D139" s="22">
        <v>10.52</v>
      </c>
      <c r="E139" s="22"/>
      <c r="F139" s="22"/>
    </row>
    <row r="140" spans="1:6">
      <c r="A140" s="21" t="s">
        <v>144</v>
      </c>
      <c r="B140" s="22">
        <v>14.7</v>
      </c>
      <c r="C140" s="22">
        <v>13.11</v>
      </c>
      <c r="D140" s="22">
        <v>10.56</v>
      </c>
      <c r="E140" s="22"/>
      <c r="F140" s="22"/>
    </row>
    <row r="141" spans="1:6">
      <c r="A141" s="21" t="s">
        <v>145</v>
      </c>
      <c r="B141" s="22">
        <v>14.72</v>
      </c>
      <c r="C141" s="22">
        <v>12.91</v>
      </c>
      <c r="D141" s="22">
        <v>10.56</v>
      </c>
      <c r="E141" s="22"/>
      <c r="F141" s="22"/>
    </row>
    <row r="142" spans="1:6">
      <c r="A142" s="21" t="s">
        <v>146</v>
      </c>
      <c r="B142" s="22">
        <v>14.73</v>
      </c>
      <c r="C142" s="22">
        <v>12.78</v>
      </c>
      <c r="D142" s="22">
        <v>10.57</v>
      </c>
      <c r="E142" s="22"/>
      <c r="F142" s="22"/>
    </row>
    <row r="143" spans="1:6">
      <c r="A143" s="21" t="s">
        <v>147</v>
      </c>
      <c r="B143" s="22">
        <v>14.82</v>
      </c>
      <c r="C143" s="22">
        <v>12.93</v>
      </c>
      <c r="D143" s="22">
        <v>10.58</v>
      </c>
      <c r="E143" s="22"/>
      <c r="F143" s="22"/>
    </row>
    <row r="144" spans="1:6">
      <c r="A144" s="21" t="s">
        <v>148</v>
      </c>
      <c r="B144" s="22">
        <v>14.83</v>
      </c>
      <c r="C144" s="22">
        <v>12.79</v>
      </c>
      <c r="D144" s="22">
        <v>10.59</v>
      </c>
      <c r="E144" s="22"/>
      <c r="F144" s="22"/>
    </row>
    <row r="145" spans="1:6">
      <c r="A145" s="21" t="s">
        <v>149</v>
      </c>
      <c r="B145" s="22">
        <v>14.88</v>
      </c>
      <c r="C145" s="22">
        <v>12.96</v>
      </c>
      <c r="D145" s="22">
        <v>10.58</v>
      </c>
      <c r="E145" s="22"/>
      <c r="F145" s="22"/>
    </row>
    <row r="146" spans="1:6">
      <c r="A146" s="21" t="s">
        <v>150</v>
      </c>
      <c r="B146" s="22">
        <v>14.82</v>
      </c>
      <c r="C146" s="22">
        <v>12.8</v>
      </c>
      <c r="D146" s="22">
        <v>10.63</v>
      </c>
      <c r="E146" s="22"/>
      <c r="F146" s="22"/>
    </row>
    <row r="147" spans="1:6">
      <c r="A147" s="21" t="s">
        <v>151</v>
      </c>
      <c r="B147" s="22">
        <v>14.87</v>
      </c>
      <c r="C147" s="22">
        <v>12.81</v>
      </c>
      <c r="D147" s="22">
        <v>10.62</v>
      </c>
      <c r="E147" s="22"/>
      <c r="F147" s="22"/>
    </row>
    <row r="148" spans="1:6">
      <c r="A148" s="21" t="s">
        <v>152</v>
      </c>
      <c r="B148" s="22">
        <v>14.92</v>
      </c>
      <c r="C148" s="22">
        <v>12.59</v>
      </c>
      <c r="D148" s="22">
        <v>10.62</v>
      </c>
      <c r="E148" s="22"/>
      <c r="F148" s="22"/>
    </row>
    <row r="149" spans="1:6">
      <c r="A149" s="21" t="s">
        <v>153</v>
      </c>
      <c r="B149" s="22">
        <v>14.78</v>
      </c>
      <c r="C149" s="22">
        <v>12.84</v>
      </c>
      <c r="D149" s="22">
        <v>10.57</v>
      </c>
      <c r="E149" s="22"/>
      <c r="F149" s="22"/>
    </row>
    <row r="150" spans="1:6">
      <c r="A150" s="21" t="s">
        <v>154</v>
      </c>
      <c r="B150" s="22">
        <v>14.81</v>
      </c>
      <c r="C150" s="22">
        <v>12.8</v>
      </c>
      <c r="D150" s="22">
        <v>10.57</v>
      </c>
      <c r="E150" s="22"/>
      <c r="F150" s="22"/>
    </row>
    <row r="151" spans="1:6">
      <c r="A151" s="21" t="s">
        <v>155</v>
      </c>
      <c r="B151" s="22">
        <v>14.73</v>
      </c>
      <c r="C151" s="22">
        <v>12.84</v>
      </c>
      <c r="D151" s="22">
        <v>10.61</v>
      </c>
      <c r="E151" s="22"/>
      <c r="F151" s="22"/>
    </row>
    <row r="152" spans="1:6">
      <c r="A152" s="21" t="s">
        <v>156</v>
      </c>
      <c r="B152" s="22">
        <v>14.72</v>
      </c>
      <c r="C152" s="22">
        <v>12.74</v>
      </c>
      <c r="D152" s="22">
        <v>10.59</v>
      </c>
      <c r="E152" s="22"/>
      <c r="F152" s="22"/>
    </row>
    <row r="153" spans="1:6">
      <c r="A153" s="21" t="s">
        <v>157</v>
      </c>
      <c r="B153" s="22">
        <v>14.64</v>
      </c>
      <c r="C153" s="22">
        <v>12.83</v>
      </c>
      <c r="D153" s="22">
        <v>10.57</v>
      </c>
      <c r="E153" s="22"/>
      <c r="F153" s="22"/>
    </row>
    <row r="154" spans="1:6">
      <c r="A154" s="21" t="s">
        <v>158</v>
      </c>
      <c r="B154" s="22">
        <v>14.64</v>
      </c>
      <c r="C154" s="22">
        <v>12.72</v>
      </c>
      <c r="D154" s="22">
        <v>10.54</v>
      </c>
      <c r="E154" s="22"/>
      <c r="F154" s="22"/>
    </row>
    <row r="155" spans="1:6">
      <c r="A155" s="21" t="s">
        <v>159</v>
      </c>
      <c r="B155" s="22">
        <v>14.57</v>
      </c>
      <c r="C155" s="22">
        <v>12.81</v>
      </c>
      <c r="D155" s="22">
        <v>10.54</v>
      </c>
      <c r="E155" s="22"/>
      <c r="F155" s="22"/>
    </row>
    <row r="156" spans="1:6">
      <c r="A156" s="21" t="s">
        <v>160</v>
      </c>
      <c r="B156" s="22">
        <v>15.24</v>
      </c>
      <c r="C156" s="22">
        <v>13.05</v>
      </c>
      <c r="D156" s="22">
        <v>10.44</v>
      </c>
      <c r="E156" s="22"/>
      <c r="F156" s="22"/>
    </row>
    <row r="157" spans="1:6">
      <c r="A157" s="21" t="s">
        <v>161</v>
      </c>
      <c r="B157" s="22">
        <v>15.07</v>
      </c>
      <c r="C157" s="22">
        <v>13.1</v>
      </c>
      <c r="D157" s="22">
        <v>10.41</v>
      </c>
      <c r="E157" s="22"/>
      <c r="F157" s="22"/>
    </row>
    <row r="158" spans="1:6">
      <c r="A158" s="21" t="s">
        <v>162</v>
      </c>
      <c r="B158" s="22">
        <v>15.11</v>
      </c>
      <c r="C158" s="22">
        <v>13.04</v>
      </c>
      <c r="D158" s="22">
        <v>10.41</v>
      </c>
      <c r="E158" s="22"/>
      <c r="F158" s="22"/>
    </row>
    <row r="159" spans="1:6">
      <c r="A159" s="21" t="s">
        <v>163</v>
      </c>
      <c r="B159" s="22">
        <v>14.71</v>
      </c>
      <c r="C159" s="22">
        <v>13.2</v>
      </c>
      <c r="D159" s="22">
        <v>10.5</v>
      </c>
      <c r="E159" s="22"/>
      <c r="F159" s="22"/>
    </row>
    <row r="160" spans="1:6">
      <c r="A160" s="21" t="s">
        <v>164</v>
      </c>
      <c r="B160" s="22">
        <v>15.22</v>
      </c>
      <c r="C160" s="22">
        <v>13.07</v>
      </c>
      <c r="D160" s="22">
        <v>10.57</v>
      </c>
      <c r="E160" s="22"/>
      <c r="F160" s="22"/>
    </row>
    <row r="161" spans="1:6">
      <c r="A161" s="21" t="s">
        <v>165</v>
      </c>
      <c r="B161" s="22">
        <v>15.31</v>
      </c>
      <c r="C161" s="22">
        <v>12.91</v>
      </c>
      <c r="D161" s="22">
        <v>10.56</v>
      </c>
      <c r="E161" s="22"/>
      <c r="F161" s="22"/>
    </row>
    <row r="162" spans="1:6">
      <c r="A162" s="21" t="s">
        <v>166</v>
      </c>
      <c r="B162" s="22">
        <v>14.55</v>
      </c>
      <c r="C162" s="22">
        <v>12.92</v>
      </c>
      <c r="D162" s="22">
        <v>10.55</v>
      </c>
      <c r="E162" s="22"/>
      <c r="F162" s="22"/>
    </row>
    <row r="163" spans="1:6">
      <c r="A163" s="21" t="s">
        <v>167</v>
      </c>
      <c r="B163" s="22">
        <v>14.96</v>
      </c>
      <c r="C163" s="22">
        <v>13.01</v>
      </c>
      <c r="D163" s="22">
        <v>10.76</v>
      </c>
      <c r="E163" s="22"/>
      <c r="F163" s="22"/>
    </row>
    <row r="164" spans="1:6">
      <c r="A164" s="21" t="s">
        <v>168</v>
      </c>
      <c r="B164" s="22">
        <v>14.72</v>
      </c>
      <c r="C164" s="22">
        <v>12.71</v>
      </c>
      <c r="D164" s="22">
        <v>10.58</v>
      </c>
      <c r="E164" s="22"/>
      <c r="F164" s="22"/>
    </row>
    <row r="165" spans="1:6">
      <c r="A165" s="21" t="s">
        <v>169</v>
      </c>
      <c r="B165" s="22">
        <v>14.28</v>
      </c>
      <c r="C165" s="22">
        <v>12.69</v>
      </c>
      <c r="D165" s="22">
        <v>10.6</v>
      </c>
      <c r="E165" s="22"/>
      <c r="F165" s="22"/>
    </row>
    <row r="166" spans="1:6">
      <c r="A166" s="21" t="s">
        <v>170</v>
      </c>
      <c r="B166" s="22">
        <v>14.55</v>
      </c>
      <c r="C166" s="22">
        <v>12.66</v>
      </c>
      <c r="D166" s="22">
        <v>10.62</v>
      </c>
      <c r="E166" s="22"/>
      <c r="F166" s="22"/>
    </row>
    <row r="167" spans="1:6">
      <c r="A167" s="21" t="s">
        <v>171</v>
      </c>
      <c r="B167" s="22">
        <v>14.26</v>
      </c>
      <c r="C167" s="22">
        <v>12.62</v>
      </c>
      <c r="D167" s="22">
        <v>10.59</v>
      </c>
      <c r="E167" s="22"/>
      <c r="F167" s="22"/>
    </row>
    <row r="168" spans="1:6">
      <c r="A168" s="21" t="s">
        <v>172</v>
      </c>
      <c r="B168" s="22">
        <v>14.46</v>
      </c>
      <c r="C168" s="22">
        <v>12.58</v>
      </c>
      <c r="D168" s="22">
        <v>10.62</v>
      </c>
      <c r="E168" s="22"/>
      <c r="F168" s="22"/>
    </row>
    <row r="169" spans="1:6">
      <c r="A169" s="21" t="s">
        <v>173</v>
      </c>
      <c r="B169" s="22">
        <v>14.38</v>
      </c>
      <c r="C169" s="22">
        <v>12.58</v>
      </c>
      <c r="D169" s="22">
        <v>10.61</v>
      </c>
      <c r="E169" s="22"/>
      <c r="F169" s="22"/>
    </row>
    <row r="170" spans="1:6">
      <c r="A170" s="21" t="s">
        <v>174</v>
      </c>
      <c r="B170" s="22">
        <v>14.04</v>
      </c>
      <c r="C170" s="22">
        <v>12.48</v>
      </c>
      <c r="D170" s="22">
        <v>10.6</v>
      </c>
      <c r="E170" s="22"/>
      <c r="F170" s="22"/>
    </row>
    <row r="171" spans="1:6">
      <c r="A171" s="21" t="s">
        <v>175</v>
      </c>
      <c r="B171" s="22">
        <v>14.44</v>
      </c>
      <c r="C171" s="22">
        <v>12.38</v>
      </c>
      <c r="D171" s="22">
        <v>10.63</v>
      </c>
      <c r="E171" s="22"/>
      <c r="F171" s="22"/>
    </row>
    <row r="172" spans="1:6">
      <c r="A172" s="21" t="s">
        <v>176</v>
      </c>
      <c r="B172" s="22">
        <v>14</v>
      </c>
      <c r="C172" s="22">
        <v>12.41</v>
      </c>
      <c r="D172" s="22">
        <v>10.64</v>
      </c>
      <c r="E172" s="22"/>
      <c r="F172" s="22"/>
    </row>
    <row r="173" spans="1:6">
      <c r="A173" s="21" t="s">
        <v>177</v>
      </c>
      <c r="B173" s="22">
        <v>14.28</v>
      </c>
      <c r="C173" s="22">
        <v>12.39</v>
      </c>
      <c r="D173" s="22">
        <v>10.62</v>
      </c>
      <c r="E173" s="22"/>
      <c r="F173" s="22"/>
    </row>
    <row r="174" spans="1:6">
      <c r="A174" s="21" t="s">
        <v>178</v>
      </c>
      <c r="B174" s="22">
        <v>14.23</v>
      </c>
      <c r="C174" s="22">
        <v>12.58</v>
      </c>
      <c r="D174" s="22">
        <v>10.65</v>
      </c>
      <c r="E174" s="22"/>
      <c r="F174" s="22"/>
    </row>
    <row r="175" spans="1:6">
      <c r="A175" s="21" t="s">
        <v>179</v>
      </c>
      <c r="B175" s="22">
        <v>14.21</v>
      </c>
      <c r="C175" s="22">
        <v>12.83</v>
      </c>
      <c r="D175" s="22">
        <v>10.81</v>
      </c>
      <c r="E175" s="22"/>
      <c r="F175" s="22"/>
    </row>
    <row r="176" spans="1:6">
      <c r="A176" s="21" t="s">
        <v>180</v>
      </c>
      <c r="B176" s="22">
        <v>14.51</v>
      </c>
      <c r="C176" s="22">
        <v>12.75</v>
      </c>
      <c r="D176" s="22">
        <v>10.8</v>
      </c>
      <c r="E176" s="22"/>
      <c r="F176" s="22"/>
    </row>
    <row r="177" spans="1:6">
      <c r="A177" s="21" t="s">
        <v>181</v>
      </c>
      <c r="B177" s="22">
        <v>14.62</v>
      </c>
      <c r="C177" s="22">
        <v>13.02</v>
      </c>
      <c r="D177" s="22">
        <v>11.09</v>
      </c>
      <c r="E177" s="22"/>
      <c r="F177" s="22"/>
    </row>
    <row r="178" spans="1:6">
      <c r="A178" s="21" t="s">
        <v>182</v>
      </c>
      <c r="B178" s="22">
        <v>14.31</v>
      </c>
      <c r="C178" s="22">
        <v>13.02</v>
      </c>
      <c r="D178" s="22">
        <v>11.17</v>
      </c>
      <c r="E178" s="22"/>
      <c r="F178" s="22"/>
    </row>
    <row r="179" spans="1:6">
      <c r="A179" s="21" t="s">
        <v>183</v>
      </c>
      <c r="B179" s="22">
        <v>14.66</v>
      </c>
      <c r="C179" s="22">
        <v>13.02</v>
      </c>
      <c r="D179" s="22">
        <v>11.27</v>
      </c>
      <c r="E179" s="22"/>
      <c r="F179" s="22"/>
    </row>
    <row r="180" spans="1:6">
      <c r="A180" s="21" t="s">
        <v>184</v>
      </c>
      <c r="B180" s="22">
        <v>14.69</v>
      </c>
      <c r="C180" s="22">
        <v>12.98</v>
      </c>
      <c r="D180" s="22">
        <v>11.18</v>
      </c>
      <c r="E180" s="22"/>
      <c r="F180" s="22"/>
    </row>
    <row r="181" spans="1:6">
      <c r="A181" s="21" t="s">
        <v>185</v>
      </c>
      <c r="B181" s="22">
        <v>15.12</v>
      </c>
      <c r="C181" s="22">
        <v>13</v>
      </c>
      <c r="D181" s="22">
        <v>11.22</v>
      </c>
      <c r="E181" s="22"/>
      <c r="F181" s="22"/>
    </row>
    <row r="182" spans="1:6">
      <c r="A182" s="21" t="s">
        <v>186</v>
      </c>
      <c r="B182" s="22">
        <v>14.76</v>
      </c>
      <c r="C182" s="22">
        <v>13.06</v>
      </c>
      <c r="D182" s="22">
        <v>10.98</v>
      </c>
      <c r="E182" s="22"/>
      <c r="F182" s="22"/>
    </row>
    <row r="183" spans="1:6">
      <c r="A183" s="21" t="s">
        <v>187</v>
      </c>
      <c r="B183" s="22">
        <v>15.07</v>
      </c>
      <c r="C183" s="22">
        <v>12.45</v>
      </c>
      <c r="D183" s="22">
        <v>11.62</v>
      </c>
      <c r="E183" s="22"/>
      <c r="F183" s="22"/>
    </row>
    <row r="184" spans="1:6">
      <c r="A184" s="21" t="s">
        <v>188</v>
      </c>
      <c r="B184" s="22">
        <v>14.61</v>
      </c>
      <c r="C184" s="22">
        <v>12.37</v>
      </c>
      <c r="D184" s="22">
        <v>11.5</v>
      </c>
      <c r="E184" s="22"/>
      <c r="F184" s="22"/>
    </row>
    <row r="185" spans="1:6">
      <c r="A185" s="21" t="s">
        <v>189</v>
      </c>
      <c r="B185" s="22">
        <v>15.6</v>
      </c>
      <c r="C185" s="22">
        <v>12.71</v>
      </c>
      <c r="D185" s="22">
        <v>11.12</v>
      </c>
      <c r="E185" s="22"/>
      <c r="F185" s="22"/>
    </row>
    <row r="186" spans="1:6">
      <c r="A186" s="21" t="s">
        <v>190</v>
      </c>
      <c r="B186" s="22">
        <v>15.11</v>
      </c>
      <c r="C186" s="22">
        <v>12.46</v>
      </c>
      <c r="D186" s="22">
        <v>11.4</v>
      </c>
      <c r="E186" s="22"/>
      <c r="F186" s="22"/>
    </row>
    <row r="187" spans="1:6">
      <c r="A187" s="21" t="s">
        <v>191</v>
      </c>
      <c r="B187" s="22">
        <v>15.07</v>
      </c>
      <c r="C187" s="22">
        <v>12.48</v>
      </c>
      <c r="D187" s="22">
        <v>11.22</v>
      </c>
      <c r="E187" s="22"/>
      <c r="F187" s="22"/>
    </row>
    <row r="188" spans="1:6">
      <c r="A188" s="21" t="s">
        <v>192</v>
      </c>
      <c r="B188" s="22">
        <v>14.78</v>
      </c>
      <c r="C188" s="22">
        <v>12.21</v>
      </c>
      <c r="D188" s="22">
        <v>10.85</v>
      </c>
      <c r="E188" s="22"/>
      <c r="F188" s="22"/>
    </row>
    <row r="189" spans="1:6">
      <c r="A189" s="21" t="s">
        <v>193</v>
      </c>
      <c r="B189" s="22">
        <v>14.73</v>
      </c>
      <c r="C189" s="22">
        <v>12.04</v>
      </c>
      <c r="D189" s="22">
        <v>10.99</v>
      </c>
      <c r="E189" s="22"/>
      <c r="F189" s="22"/>
    </row>
    <row r="190" spans="1:6">
      <c r="A190" s="21" t="s">
        <v>194</v>
      </c>
      <c r="B190" s="22">
        <v>14.9</v>
      </c>
      <c r="C190" s="22">
        <v>12.25</v>
      </c>
      <c r="D190" s="22">
        <v>10.85</v>
      </c>
      <c r="E190" s="22"/>
      <c r="F190" s="22"/>
    </row>
    <row r="191" spans="1:6">
      <c r="A191" s="21" t="s">
        <v>195</v>
      </c>
      <c r="B191" s="22">
        <v>14.78</v>
      </c>
      <c r="C191" s="22">
        <v>12.14</v>
      </c>
      <c r="D191" s="22">
        <v>10.84</v>
      </c>
      <c r="E191" s="22"/>
      <c r="F191" s="22"/>
    </row>
    <row r="192" spans="1:6">
      <c r="A192" s="21" t="s">
        <v>196</v>
      </c>
      <c r="B192" s="22">
        <v>14.5</v>
      </c>
      <c r="C192" s="22">
        <v>12.09</v>
      </c>
      <c r="D192" s="22">
        <v>10.94</v>
      </c>
      <c r="E192" s="22"/>
      <c r="F192" s="22"/>
    </row>
    <row r="193" spans="1:6">
      <c r="A193" s="21" t="s">
        <v>197</v>
      </c>
      <c r="B193" s="22">
        <v>14.2</v>
      </c>
      <c r="C193" s="22">
        <v>12.05</v>
      </c>
      <c r="D193" s="22">
        <v>10.93</v>
      </c>
      <c r="E193" s="22"/>
      <c r="F193" s="22"/>
    </row>
    <row r="194" spans="1:6">
      <c r="A194" s="21" t="s">
        <v>198</v>
      </c>
      <c r="B194" s="22">
        <v>14.49</v>
      </c>
      <c r="C194" s="22">
        <v>12.85</v>
      </c>
      <c r="D194" s="22">
        <v>10.91</v>
      </c>
      <c r="E194" s="22"/>
      <c r="F194" s="22"/>
    </row>
    <row r="195" spans="1:6">
      <c r="A195" s="21" t="s">
        <v>199</v>
      </c>
      <c r="B195" s="22">
        <v>15.97</v>
      </c>
      <c r="C195" s="22">
        <v>14.24</v>
      </c>
      <c r="D195" s="22">
        <v>11</v>
      </c>
      <c r="E195" s="22"/>
      <c r="F195" s="22"/>
    </row>
    <row r="196" spans="1:6">
      <c r="A196" s="21" t="s">
        <v>200</v>
      </c>
      <c r="B196" s="22">
        <v>15.91</v>
      </c>
      <c r="C196" s="22">
        <v>14.29</v>
      </c>
      <c r="D196" s="22">
        <v>10.92</v>
      </c>
      <c r="E196" s="22"/>
      <c r="F196" s="22"/>
    </row>
    <row r="197" spans="1:6">
      <c r="A197" s="21" t="s">
        <v>201</v>
      </c>
      <c r="B197" s="22">
        <v>15.81</v>
      </c>
      <c r="C197" s="22">
        <v>14.21</v>
      </c>
      <c r="D197" s="22">
        <v>11.11</v>
      </c>
      <c r="E197" s="22"/>
      <c r="F197" s="22"/>
    </row>
    <row r="198" spans="1:6">
      <c r="A198" s="21" t="s">
        <v>202</v>
      </c>
      <c r="B198" s="22">
        <v>15.44</v>
      </c>
      <c r="C198" s="22">
        <v>14.21</v>
      </c>
      <c r="D198" s="22">
        <v>11.3</v>
      </c>
      <c r="E198" s="22"/>
      <c r="F198" s="22"/>
    </row>
    <row r="199" spans="1:6">
      <c r="A199" s="21" t="s">
        <v>203</v>
      </c>
      <c r="B199" s="22">
        <v>15.84</v>
      </c>
      <c r="C199" s="22">
        <v>13.94</v>
      </c>
      <c r="D199" s="22">
        <v>11.26</v>
      </c>
      <c r="E199" s="22"/>
      <c r="F199" s="22"/>
    </row>
    <row r="200" spans="1:6">
      <c r="A200" s="21" t="s">
        <v>204</v>
      </c>
      <c r="B200" s="22">
        <v>15.26</v>
      </c>
      <c r="C200" s="22">
        <v>13.98</v>
      </c>
      <c r="D200" s="22">
        <v>11.28</v>
      </c>
      <c r="E200" s="22"/>
      <c r="F200" s="22"/>
    </row>
    <row r="201" spans="1:6">
      <c r="A201" s="21" t="s">
        <v>205</v>
      </c>
      <c r="B201" s="22">
        <v>16.02</v>
      </c>
      <c r="C201" s="22">
        <v>13.72</v>
      </c>
      <c r="D201" s="22">
        <v>11.19</v>
      </c>
      <c r="E201" s="22"/>
      <c r="F201" s="22"/>
    </row>
    <row r="202" spans="1:6">
      <c r="A202" s="21" t="s">
        <v>206</v>
      </c>
      <c r="B202" s="22">
        <v>15.43</v>
      </c>
      <c r="C202" s="22">
        <v>13.81</v>
      </c>
      <c r="D202" s="22">
        <v>11.16</v>
      </c>
      <c r="E202" s="22"/>
      <c r="F202" s="22"/>
    </row>
    <row r="203" spans="1:6">
      <c r="A203" s="21" t="s">
        <v>207</v>
      </c>
      <c r="B203" s="22">
        <v>16.07</v>
      </c>
      <c r="C203" s="22">
        <v>14.2</v>
      </c>
      <c r="D203" s="22">
        <v>11.47</v>
      </c>
      <c r="E203" s="22"/>
      <c r="F203" s="22"/>
    </row>
    <row r="204" spans="1:6">
      <c r="A204" s="21" t="s">
        <v>208</v>
      </c>
      <c r="B204" s="22">
        <v>15.8</v>
      </c>
      <c r="C204" s="22">
        <v>14.18</v>
      </c>
      <c r="D204" s="22">
        <v>11.37</v>
      </c>
      <c r="E204" s="22"/>
      <c r="F204" s="22"/>
    </row>
    <row r="205" spans="1:6">
      <c r="A205" s="21" t="s">
        <v>209</v>
      </c>
      <c r="B205" s="22">
        <v>16.67</v>
      </c>
      <c r="C205" s="22">
        <v>13.96</v>
      </c>
      <c r="D205" s="22">
        <v>11.3</v>
      </c>
      <c r="E205" s="22"/>
      <c r="F205" s="22"/>
    </row>
    <row r="206" spans="1:6">
      <c r="A206" s="21" t="s">
        <v>210</v>
      </c>
      <c r="B206" s="22">
        <v>16.67</v>
      </c>
      <c r="C206" s="22">
        <v>13.74</v>
      </c>
      <c r="D206" s="22">
        <v>11.63</v>
      </c>
      <c r="E206" s="22"/>
      <c r="F206" s="22"/>
    </row>
    <row r="207" spans="1:6">
      <c r="A207" s="21" t="s">
        <v>211</v>
      </c>
      <c r="B207" s="22">
        <v>15.6</v>
      </c>
      <c r="C207" s="22">
        <v>13.92</v>
      </c>
      <c r="D207" s="22">
        <v>11.69</v>
      </c>
      <c r="E207" s="22"/>
      <c r="F207" s="22"/>
    </row>
    <row r="208" spans="1:6">
      <c r="A208" s="21" t="s">
        <v>212</v>
      </c>
      <c r="B208" s="22">
        <v>15.46</v>
      </c>
      <c r="C208" s="22">
        <v>13.73</v>
      </c>
      <c r="D208" s="22">
        <v>11.73</v>
      </c>
      <c r="E208" s="22"/>
      <c r="F208" s="22"/>
    </row>
    <row r="209" spans="1:6">
      <c r="A209" s="21" t="s">
        <v>213</v>
      </c>
      <c r="B209" s="22">
        <v>15.37</v>
      </c>
      <c r="C209" s="22">
        <v>13.21</v>
      </c>
      <c r="D209" s="22">
        <v>11.64</v>
      </c>
      <c r="E209" s="22"/>
      <c r="F209" s="22"/>
    </row>
    <row r="210" spans="1:6">
      <c r="A210" s="21" t="s">
        <v>214</v>
      </c>
      <c r="B210" s="22">
        <v>15.19</v>
      </c>
      <c r="C210" s="22">
        <v>13.23</v>
      </c>
      <c r="D210" s="22">
        <v>11.47</v>
      </c>
      <c r="E210" s="22"/>
      <c r="F210" s="22"/>
    </row>
    <row r="211" spans="1:6">
      <c r="A211" s="21" t="s">
        <v>215</v>
      </c>
      <c r="B211" s="22">
        <v>15.14</v>
      </c>
      <c r="C211" s="22">
        <v>13.48</v>
      </c>
      <c r="D211" s="22">
        <v>11.71</v>
      </c>
      <c r="E211" s="22"/>
      <c r="F211" s="22"/>
    </row>
    <row r="212" spans="1:6">
      <c r="A212" s="21" t="s">
        <v>216</v>
      </c>
      <c r="B212" s="22">
        <v>15.38</v>
      </c>
      <c r="C212" s="22">
        <v>13.79</v>
      </c>
      <c r="D212" s="22">
        <v>11.27</v>
      </c>
      <c r="E212" s="22"/>
      <c r="F212" s="22"/>
    </row>
    <row r="213" spans="1:6">
      <c r="A213" s="21" t="s">
        <v>217</v>
      </c>
      <c r="B213" s="22">
        <v>15.39</v>
      </c>
      <c r="C213" s="22">
        <v>13.72</v>
      </c>
      <c r="D213" s="22">
        <v>11.29</v>
      </c>
      <c r="E213" s="22"/>
      <c r="F213" s="22"/>
    </row>
    <row r="214" spans="1:6">
      <c r="A214" s="21" t="s">
        <v>218</v>
      </c>
      <c r="B214" s="22">
        <v>16.07</v>
      </c>
      <c r="C214" s="22">
        <v>14.71</v>
      </c>
      <c r="D214" s="22">
        <v>11.1</v>
      </c>
      <c r="E214" s="22"/>
      <c r="F214" s="22"/>
    </row>
    <row r="215" spans="1:6">
      <c r="A215" s="21" t="s">
        <v>219</v>
      </c>
      <c r="B215" s="22">
        <v>16</v>
      </c>
      <c r="C215" s="22">
        <v>14.67</v>
      </c>
      <c r="D215" s="22">
        <v>11.06</v>
      </c>
      <c r="E215" s="22"/>
      <c r="F215" s="22"/>
    </row>
    <row r="216" spans="1:6">
      <c r="A216" s="21" t="s">
        <v>220</v>
      </c>
      <c r="B216" s="22">
        <v>16.16</v>
      </c>
      <c r="C216" s="22">
        <v>14.33</v>
      </c>
      <c r="D216" s="22">
        <v>11.23</v>
      </c>
      <c r="E216" s="22"/>
      <c r="F216" s="22"/>
    </row>
    <row r="217" spans="1:6">
      <c r="A217" s="21" t="s">
        <v>221</v>
      </c>
      <c r="B217" s="22">
        <v>15.89</v>
      </c>
      <c r="C217" s="22">
        <v>14.78</v>
      </c>
      <c r="D217" s="22">
        <v>11.36</v>
      </c>
      <c r="E217" s="22"/>
      <c r="F217" s="22"/>
    </row>
    <row r="218" spans="1:6">
      <c r="A218" s="21" t="s">
        <v>222</v>
      </c>
      <c r="B218" s="22">
        <v>15.86</v>
      </c>
      <c r="C218" s="22">
        <v>14.66</v>
      </c>
      <c r="D218" s="22">
        <v>11.33</v>
      </c>
      <c r="E218" s="22"/>
      <c r="F218" s="22"/>
    </row>
    <row r="219" spans="1:6">
      <c r="A219" s="21" t="s">
        <v>223</v>
      </c>
      <c r="B219" s="22">
        <v>16</v>
      </c>
      <c r="C219" s="22">
        <v>14.96</v>
      </c>
      <c r="D219" s="22">
        <v>11.16</v>
      </c>
      <c r="E219" s="22"/>
      <c r="F219" s="22"/>
    </row>
    <row r="220" spans="1:6">
      <c r="A220" s="21" t="s">
        <v>224</v>
      </c>
      <c r="B220" s="22">
        <v>16.12</v>
      </c>
      <c r="C220" s="22">
        <v>14.76</v>
      </c>
      <c r="D220" s="22">
        <v>11.08</v>
      </c>
      <c r="E220" s="22"/>
      <c r="F220" s="22"/>
    </row>
    <row r="221" spans="1:6">
      <c r="A221" s="21" t="s">
        <v>225</v>
      </c>
      <c r="B221" s="22">
        <v>16.16</v>
      </c>
      <c r="C221" s="22">
        <v>15.06</v>
      </c>
      <c r="D221" s="22">
        <v>11.51</v>
      </c>
      <c r="E221" s="22"/>
      <c r="F221" s="22"/>
    </row>
    <row r="222" spans="1:6">
      <c r="A222" s="21" t="s">
        <v>226</v>
      </c>
      <c r="B222" s="22">
        <v>16.28</v>
      </c>
      <c r="C222" s="22">
        <v>15.21</v>
      </c>
      <c r="D222" s="22">
        <v>11.59</v>
      </c>
      <c r="E222" s="22"/>
      <c r="F222" s="22"/>
    </row>
    <row r="223" spans="1:6">
      <c r="A223" s="21" t="s">
        <v>227</v>
      </c>
      <c r="B223" s="22">
        <v>16.39</v>
      </c>
      <c r="C223" s="22">
        <v>15.17</v>
      </c>
      <c r="D223" s="22">
        <v>11.47</v>
      </c>
      <c r="E223" s="22"/>
      <c r="F223" s="22"/>
    </row>
    <row r="224" spans="1:6">
      <c r="A224" s="21" t="s">
        <v>228</v>
      </c>
      <c r="B224" s="22">
        <v>16.44</v>
      </c>
      <c r="C224" s="22">
        <v>14.93</v>
      </c>
      <c r="D224" s="22">
        <v>11.49</v>
      </c>
      <c r="E224" s="22"/>
      <c r="F224" s="22"/>
    </row>
    <row r="225" spans="1:6">
      <c r="A225" s="21" t="s">
        <v>229</v>
      </c>
      <c r="B225" s="22">
        <v>16.48</v>
      </c>
      <c r="C225" s="22">
        <v>14.48</v>
      </c>
      <c r="D225" s="22">
        <v>11.25</v>
      </c>
      <c r="E225" s="22"/>
      <c r="F225" s="22"/>
    </row>
    <row r="226" spans="1:6">
      <c r="A226" s="21" t="s">
        <v>230</v>
      </c>
      <c r="B226" s="22">
        <v>16.2</v>
      </c>
      <c r="C226" s="22">
        <v>13.96</v>
      </c>
      <c r="D226" s="22">
        <v>11.51</v>
      </c>
      <c r="E226" s="22"/>
      <c r="F226" s="22"/>
    </row>
    <row r="227" spans="1:6">
      <c r="A227" s="21" t="s">
        <v>231</v>
      </c>
      <c r="B227" s="22">
        <v>15.89</v>
      </c>
      <c r="C227" s="22">
        <v>14.4</v>
      </c>
      <c r="D227" s="22">
        <v>11.95</v>
      </c>
      <c r="E227" s="22"/>
      <c r="F227" s="22"/>
    </row>
    <row r="228" spans="1:6">
      <c r="A228" s="21" t="s">
        <v>232</v>
      </c>
      <c r="B228" s="22">
        <v>15.96</v>
      </c>
      <c r="C228" s="22">
        <v>14.66</v>
      </c>
      <c r="D228" s="22">
        <v>11.69</v>
      </c>
      <c r="E228" s="22"/>
      <c r="F228" s="22"/>
    </row>
    <row r="229" spans="1:6">
      <c r="A229" s="21" t="s">
        <v>233</v>
      </c>
      <c r="B229" s="22">
        <v>15.66</v>
      </c>
      <c r="C229" s="22">
        <v>14.54</v>
      </c>
      <c r="D229" s="22">
        <v>11.91</v>
      </c>
      <c r="E229" s="22"/>
      <c r="F229" s="22"/>
    </row>
    <row r="230" spans="1:6">
      <c r="A230" s="21" t="s">
        <v>234</v>
      </c>
      <c r="B230" s="22">
        <v>16.19</v>
      </c>
      <c r="C230" s="22">
        <v>14.63</v>
      </c>
      <c r="D230" s="22">
        <v>12.07</v>
      </c>
      <c r="E230" s="22"/>
      <c r="F230" s="22"/>
    </row>
    <row r="231" spans="1:6">
      <c r="A231" s="21" t="s">
        <v>235</v>
      </c>
      <c r="B231" s="22">
        <v>15.75</v>
      </c>
      <c r="C231" s="22">
        <v>14.7</v>
      </c>
      <c r="D231" s="22">
        <v>11.93</v>
      </c>
      <c r="E231" s="22"/>
      <c r="F231" s="22"/>
    </row>
    <row r="232" spans="1:6">
      <c r="A232" s="21" t="s">
        <v>236</v>
      </c>
      <c r="B232" s="22">
        <v>16.39</v>
      </c>
      <c r="C232" s="22">
        <v>14.29</v>
      </c>
      <c r="D232" s="22">
        <v>11.71</v>
      </c>
      <c r="E232" s="22"/>
      <c r="F232" s="22"/>
    </row>
    <row r="233" spans="1:6">
      <c r="A233" s="21" t="s">
        <v>237</v>
      </c>
      <c r="B233" s="22">
        <v>16.25</v>
      </c>
      <c r="C233" s="22">
        <v>14.17</v>
      </c>
      <c r="D233" s="22">
        <v>11.39</v>
      </c>
      <c r="E233" s="22"/>
      <c r="F233" s="22"/>
    </row>
    <row r="234" spans="1:6">
      <c r="A234" s="21" t="s">
        <v>238</v>
      </c>
      <c r="B234" s="22">
        <v>15.28</v>
      </c>
      <c r="C234" s="22">
        <v>13.54</v>
      </c>
      <c r="D234" s="22">
        <v>11.23</v>
      </c>
      <c r="E234" s="22"/>
      <c r="F234" s="22"/>
    </row>
    <row r="235" spans="1:6">
      <c r="A235" s="21" t="s">
        <v>239</v>
      </c>
      <c r="B235" s="22">
        <v>15.46</v>
      </c>
      <c r="C235" s="22">
        <v>13.3</v>
      </c>
      <c r="D235" s="22">
        <v>11.02</v>
      </c>
      <c r="E235" s="22"/>
      <c r="F235" s="22"/>
    </row>
    <row r="236" spans="1:6">
      <c r="A236" s="21" t="s">
        <v>240</v>
      </c>
      <c r="B236" s="22">
        <v>15.32</v>
      </c>
      <c r="C236" s="22">
        <v>13.75</v>
      </c>
      <c r="D236" s="22">
        <v>10.96</v>
      </c>
      <c r="E236" s="22"/>
      <c r="F236" s="22"/>
    </row>
    <row r="237" spans="1:6">
      <c r="A237" s="21" t="s">
        <v>241</v>
      </c>
      <c r="B237" s="22">
        <v>15.49</v>
      </c>
      <c r="C237" s="22">
        <v>13.58</v>
      </c>
      <c r="D237" s="22">
        <v>11.47</v>
      </c>
      <c r="E237" s="22"/>
      <c r="F237" s="22"/>
    </row>
    <row r="238" spans="1:6">
      <c r="A238" s="21" t="s">
        <v>242</v>
      </c>
      <c r="B238" s="22">
        <v>15.27</v>
      </c>
      <c r="C238" s="22">
        <v>13.54</v>
      </c>
      <c r="D238" s="22">
        <v>11.38</v>
      </c>
      <c r="E238" s="22"/>
      <c r="F238" s="22"/>
    </row>
    <row r="239" spans="1:6">
      <c r="A239" s="21" t="s">
        <v>243</v>
      </c>
      <c r="B239" s="22">
        <v>15.39</v>
      </c>
      <c r="C239" s="22">
        <v>13.45</v>
      </c>
      <c r="D239" s="22">
        <v>11.29</v>
      </c>
      <c r="E239" s="22"/>
      <c r="F239" s="22"/>
    </row>
    <row r="240" spans="1:6">
      <c r="A240" s="21" t="s">
        <v>244</v>
      </c>
      <c r="B240" s="22">
        <v>15.27</v>
      </c>
      <c r="C240" s="22">
        <v>13.43</v>
      </c>
      <c r="D240" s="22">
        <v>10.88</v>
      </c>
      <c r="E240" s="22"/>
      <c r="F240" s="22"/>
    </row>
    <row r="241" spans="1:6">
      <c r="A241" s="21" t="s">
        <v>245</v>
      </c>
      <c r="B241" s="22">
        <v>15.27</v>
      </c>
      <c r="C241" s="22">
        <v>13.39</v>
      </c>
      <c r="D241" s="22">
        <v>10.78</v>
      </c>
      <c r="E241" s="22"/>
      <c r="F241" s="22"/>
    </row>
    <row r="242" spans="1:6">
      <c r="A242" s="21" t="s">
        <v>246</v>
      </c>
      <c r="B242" s="22">
        <v>15.21</v>
      </c>
      <c r="C242" s="22">
        <v>13.26</v>
      </c>
      <c r="D242" s="22">
        <v>10.82</v>
      </c>
      <c r="E242" s="22"/>
      <c r="F242" s="22"/>
    </row>
    <row r="243" spans="1:6">
      <c r="A243" s="21" t="s">
        <v>247</v>
      </c>
      <c r="B243" s="22">
        <v>15.52</v>
      </c>
      <c r="C243" s="22">
        <v>13.15</v>
      </c>
      <c r="D243" s="22">
        <v>10.81</v>
      </c>
      <c r="E243" s="22"/>
      <c r="F243" s="22"/>
    </row>
    <row r="244" spans="1:6">
      <c r="A244" s="21" t="s">
        <v>248</v>
      </c>
      <c r="B244" s="22">
        <v>16.11</v>
      </c>
      <c r="C244" s="22">
        <v>13.14</v>
      </c>
      <c r="D244" s="22">
        <v>10.82</v>
      </c>
      <c r="E244" s="22"/>
      <c r="F244" s="22"/>
    </row>
    <row r="245" spans="1:6">
      <c r="A245" s="21" t="s">
        <v>249</v>
      </c>
      <c r="B245" s="22">
        <v>15.97</v>
      </c>
      <c r="C245" s="22">
        <v>13.13</v>
      </c>
      <c r="D245" s="22">
        <v>10.86</v>
      </c>
      <c r="E245" s="22"/>
      <c r="F245" s="22"/>
    </row>
    <row r="246" spans="1:6">
      <c r="A246" s="21" t="s">
        <v>250</v>
      </c>
      <c r="B246" s="22">
        <v>15.62</v>
      </c>
      <c r="C246" s="22">
        <v>13.07</v>
      </c>
      <c r="D246" s="22">
        <v>10.88</v>
      </c>
      <c r="E246" s="22"/>
      <c r="F246" s="22"/>
    </row>
    <row r="247" spans="1:6">
      <c r="A247" s="21" t="s">
        <v>251</v>
      </c>
      <c r="B247" s="22">
        <v>16.14</v>
      </c>
      <c r="C247" s="22">
        <v>13.55</v>
      </c>
      <c r="D247" s="22">
        <v>11.97</v>
      </c>
      <c r="E247" s="22"/>
      <c r="F247" s="22"/>
    </row>
    <row r="248" spans="1:6">
      <c r="A248" s="21" t="s">
        <v>252</v>
      </c>
      <c r="B248" s="22">
        <v>16.02</v>
      </c>
      <c r="C248" s="22">
        <v>13.27</v>
      </c>
      <c r="D248" s="22">
        <v>12.28</v>
      </c>
      <c r="E248" s="22"/>
      <c r="F248" s="22"/>
    </row>
    <row r="249" spans="1:6">
      <c r="A249" s="21" t="s">
        <v>253</v>
      </c>
      <c r="B249" s="22">
        <v>16.21</v>
      </c>
      <c r="C249" s="22">
        <v>13.43</v>
      </c>
      <c r="D249" s="22">
        <v>12.02</v>
      </c>
      <c r="E249" s="22"/>
      <c r="F249" s="22"/>
    </row>
    <row r="250" spans="1:6">
      <c r="A250" s="21" t="s">
        <v>254</v>
      </c>
      <c r="B250" s="22">
        <v>16.61</v>
      </c>
      <c r="C250" s="22">
        <v>13.42</v>
      </c>
      <c r="D250" s="22">
        <v>12.01</v>
      </c>
      <c r="E250" s="22"/>
      <c r="F250" s="22"/>
    </row>
    <row r="251" spans="1:6">
      <c r="A251" s="21" t="s">
        <v>255</v>
      </c>
      <c r="B251" s="22">
        <v>16.52</v>
      </c>
      <c r="C251" s="22">
        <v>13.38</v>
      </c>
      <c r="D251" s="22">
        <v>11.79</v>
      </c>
      <c r="E251" s="22"/>
      <c r="F251" s="22"/>
    </row>
    <row r="252" spans="1:6">
      <c r="A252" s="21" t="s">
        <v>256</v>
      </c>
      <c r="B252" s="22">
        <v>15.94</v>
      </c>
      <c r="C252" s="22">
        <v>13.33</v>
      </c>
      <c r="D252" s="22">
        <v>11.54</v>
      </c>
      <c r="E252" s="22"/>
      <c r="F252" s="22"/>
    </row>
    <row r="253" spans="1:6">
      <c r="A253" s="21" t="s">
        <v>257</v>
      </c>
      <c r="B253" s="22">
        <v>15.61</v>
      </c>
      <c r="C253" s="22">
        <v>13.57</v>
      </c>
      <c r="D253" s="22">
        <v>11.37</v>
      </c>
      <c r="E253" s="22"/>
      <c r="F253" s="22"/>
    </row>
    <row r="254" spans="1:6">
      <c r="A254" s="21" t="s">
        <v>258</v>
      </c>
      <c r="B254" s="22">
        <v>15.62</v>
      </c>
      <c r="C254" s="22">
        <v>13.19</v>
      </c>
      <c r="D254" s="22">
        <v>10.9</v>
      </c>
      <c r="E254" s="22"/>
      <c r="F254" s="22"/>
    </row>
    <row r="255" spans="1:6">
      <c r="A255" s="21" t="s">
        <v>259</v>
      </c>
      <c r="B255" s="22">
        <v>15.65</v>
      </c>
      <c r="C255" s="22">
        <v>13.25</v>
      </c>
      <c r="D255" s="22">
        <v>10.95</v>
      </c>
      <c r="E255" s="22"/>
      <c r="F255" s="22"/>
    </row>
    <row r="256" spans="1:6">
      <c r="A256" s="21" t="s">
        <v>260</v>
      </c>
      <c r="B256" s="22">
        <v>15.63</v>
      </c>
      <c r="C256" s="22">
        <v>13.29</v>
      </c>
      <c r="D256" s="22">
        <v>11.79</v>
      </c>
      <c r="E256" s="22"/>
      <c r="F256" s="22"/>
    </row>
    <row r="257" spans="1:6">
      <c r="A257" s="21" t="s">
        <v>261</v>
      </c>
      <c r="B257" s="22">
        <v>15.59</v>
      </c>
      <c r="C257" s="22">
        <v>13.21</v>
      </c>
      <c r="D257" s="22">
        <v>11.63</v>
      </c>
      <c r="E257" s="22"/>
      <c r="F257" s="22"/>
    </row>
    <row r="258" spans="1:6">
      <c r="A258" s="21" t="s">
        <v>262</v>
      </c>
      <c r="B258" s="22">
        <v>15.69</v>
      </c>
      <c r="C258" s="22">
        <v>13.17</v>
      </c>
      <c r="D258" s="22">
        <v>11.57</v>
      </c>
      <c r="E258" s="22"/>
      <c r="F258" s="22"/>
    </row>
    <row r="259" spans="1:6">
      <c r="A259" s="21" t="s">
        <v>263</v>
      </c>
      <c r="B259" s="22">
        <v>15.8</v>
      </c>
      <c r="C259" s="22">
        <v>13.17</v>
      </c>
      <c r="D259" s="22">
        <v>11.34</v>
      </c>
      <c r="E259" s="22"/>
      <c r="F259" s="22"/>
    </row>
    <row r="260" spans="1:6">
      <c r="A260" s="21" t="s">
        <v>264</v>
      </c>
      <c r="B260" s="22">
        <v>16.09</v>
      </c>
      <c r="C260" s="22">
        <v>13.03</v>
      </c>
      <c r="D260" s="22">
        <v>11.32</v>
      </c>
      <c r="E260" s="22"/>
      <c r="F260" s="22"/>
    </row>
    <row r="261" spans="1:6">
      <c r="A261" s="21" t="s">
        <v>265</v>
      </c>
      <c r="B261" s="22">
        <v>16.27</v>
      </c>
      <c r="C261" s="22">
        <v>12.89</v>
      </c>
      <c r="D261" s="22">
        <v>11.05</v>
      </c>
      <c r="E261" s="22"/>
      <c r="F261" s="22"/>
    </row>
    <row r="262" spans="1:6">
      <c r="A262" s="21" t="s">
        <v>266</v>
      </c>
      <c r="B262" s="22">
        <v>16.33</v>
      </c>
      <c r="C262" s="22">
        <v>12.87</v>
      </c>
      <c r="D262" s="22">
        <v>10.89</v>
      </c>
      <c r="E262" s="22"/>
      <c r="F262" s="22"/>
    </row>
    <row r="263" spans="1:6">
      <c r="A263" s="21" t="s">
        <v>267</v>
      </c>
      <c r="B263" s="22">
        <v>16.28</v>
      </c>
      <c r="C263" s="22">
        <v>12.97</v>
      </c>
      <c r="D263" s="22">
        <v>11.3</v>
      </c>
      <c r="E263" s="22"/>
      <c r="F263" s="22"/>
    </row>
    <row r="264" spans="1:6">
      <c r="A264" s="21" t="s">
        <v>268</v>
      </c>
      <c r="B264" s="22">
        <v>15.95</v>
      </c>
      <c r="C264" s="22">
        <v>13.01</v>
      </c>
      <c r="D264" s="22">
        <v>11.24</v>
      </c>
      <c r="E264" s="22"/>
      <c r="F264" s="22"/>
    </row>
    <row r="265" spans="1:6">
      <c r="A265" s="21" t="s">
        <v>269</v>
      </c>
      <c r="B265" s="22">
        <v>15.82</v>
      </c>
      <c r="C265" s="22">
        <v>12.92</v>
      </c>
      <c r="D265" s="22">
        <v>11.22</v>
      </c>
      <c r="E265" s="22"/>
      <c r="F265" s="22"/>
    </row>
    <row r="266" spans="1:6">
      <c r="A266" s="21" t="s">
        <v>270</v>
      </c>
      <c r="B266" s="22">
        <v>15.69</v>
      </c>
      <c r="C266" s="22">
        <v>12.78</v>
      </c>
      <c r="D266" s="22">
        <v>11.08</v>
      </c>
      <c r="E266" s="22"/>
      <c r="F266" s="22"/>
    </row>
    <row r="267" spans="1:6">
      <c r="A267" s="21" t="s">
        <v>271</v>
      </c>
      <c r="B267" s="22">
        <v>15.78</v>
      </c>
      <c r="C267" s="22">
        <v>12.59</v>
      </c>
      <c r="D267" s="22">
        <v>11.14</v>
      </c>
      <c r="E267" s="22"/>
      <c r="F267" s="22"/>
    </row>
    <row r="268" spans="1:6">
      <c r="A268" s="21" t="s">
        <v>272</v>
      </c>
      <c r="B268" s="22">
        <v>15.94</v>
      </c>
      <c r="C268" s="22">
        <v>12.35</v>
      </c>
      <c r="D268" s="22">
        <v>11.8</v>
      </c>
      <c r="E268" s="22"/>
      <c r="F268" s="22"/>
    </row>
    <row r="269" spans="1:6">
      <c r="A269" s="21" t="s">
        <v>273</v>
      </c>
      <c r="B269" s="22">
        <v>15.55</v>
      </c>
      <c r="C269" s="22">
        <v>12.44</v>
      </c>
      <c r="D269" s="22">
        <v>11.76</v>
      </c>
      <c r="E269" s="22"/>
      <c r="F269" s="22"/>
    </row>
    <row r="270" spans="1:6">
      <c r="A270" s="21" t="s">
        <v>274</v>
      </c>
      <c r="B270" s="22">
        <v>15.06</v>
      </c>
      <c r="C270" s="22">
        <v>12.4</v>
      </c>
      <c r="D270" s="22">
        <v>11.68</v>
      </c>
      <c r="E270" s="22"/>
      <c r="F270" s="22"/>
    </row>
    <row r="271" spans="1:6">
      <c r="A271" s="21" t="s">
        <v>275</v>
      </c>
      <c r="B271" s="22">
        <v>15.21</v>
      </c>
      <c r="C271" s="22">
        <v>12.4</v>
      </c>
      <c r="D271" s="22">
        <v>11.74</v>
      </c>
      <c r="E271" s="22"/>
      <c r="F271" s="22"/>
    </row>
    <row r="272" spans="1:6">
      <c r="A272" s="21" t="s">
        <v>276</v>
      </c>
      <c r="B272" s="22">
        <v>15</v>
      </c>
      <c r="C272" s="22">
        <v>12.44</v>
      </c>
      <c r="D272" s="22">
        <v>12.07</v>
      </c>
      <c r="E272" s="22"/>
      <c r="F272" s="22"/>
    </row>
    <row r="273" spans="1:6">
      <c r="A273" s="21" t="s">
        <v>277</v>
      </c>
      <c r="B273" s="22">
        <v>14.84</v>
      </c>
      <c r="C273" s="22">
        <v>12.81</v>
      </c>
      <c r="D273" s="22">
        <v>12.61</v>
      </c>
      <c r="E273" s="22"/>
      <c r="F273" s="22"/>
    </row>
    <row r="274" spans="1:6">
      <c r="A274" s="21" t="s">
        <v>278</v>
      </c>
      <c r="B274" s="22">
        <v>15.22</v>
      </c>
      <c r="C274" s="22">
        <v>12.83</v>
      </c>
      <c r="D274" s="22">
        <v>12.36</v>
      </c>
      <c r="E274" s="22"/>
      <c r="F274" s="22"/>
    </row>
    <row r="275" spans="1:6">
      <c r="A275" s="21" t="s">
        <v>279</v>
      </c>
      <c r="B275" s="22">
        <v>15.33</v>
      </c>
      <c r="C275" s="22">
        <v>12.62</v>
      </c>
      <c r="D275" s="22">
        <v>12.23</v>
      </c>
      <c r="E275" s="22"/>
      <c r="F275" s="22"/>
    </row>
    <row r="276" spans="1:6">
      <c r="A276" s="21" t="s">
        <v>280</v>
      </c>
      <c r="B276" s="22">
        <v>15.39</v>
      </c>
      <c r="C276" s="22">
        <v>12.57</v>
      </c>
      <c r="D276" s="22">
        <v>11.99</v>
      </c>
      <c r="E276" s="22"/>
      <c r="F276" s="22"/>
    </row>
    <row r="277" spans="1:6">
      <c r="A277" s="21" t="s">
        <v>281</v>
      </c>
      <c r="B277" s="22">
        <v>16</v>
      </c>
      <c r="C277" s="22">
        <v>13.21</v>
      </c>
      <c r="D277" s="22">
        <v>12.17</v>
      </c>
      <c r="E277" s="22"/>
      <c r="F277" s="22"/>
    </row>
    <row r="278" spans="1:6">
      <c r="A278" s="21" t="s">
        <v>282</v>
      </c>
      <c r="B278" s="22">
        <v>16.63</v>
      </c>
      <c r="C278" s="22">
        <v>12.89</v>
      </c>
      <c r="D278" s="22">
        <v>12.18</v>
      </c>
      <c r="E278" s="22"/>
      <c r="F278" s="22"/>
    </row>
    <row r="279" spans="1:6">
      <c r="A279" s="21" t="s">
        <v>283</v>
      </c>
      <c r="B279" s="22">
        <v>16.49</v>
      </c>
      <c r="C279" s="22">
        <v>11.89</v>
      </c>
      <c r="D279" s="22">
        <v>11.72</v>
      </c>
      <c r="E279" s="22"/>
      <c r="F279" s="22"/>
    </row>
    <row r="280" spans="1:6">
      <c r="A280" s="21" t="s">
        <v>284</v>
      </c>
      <c r="B280" s="22">
        <v>16.39</v>
      </c>
      <c r="C280" s="22">
        <v>12.73</v>
      </c>
      <c r="D280" s="22">
        <v>11.61</v>
      </c>
      <c r="E280" s="22"/>
      <c r="F280" s="22"/>
    </row>
    <row r="281" spans="1:6">
      <c r="A281" s="21" t="s">
        <v>285</v>
      </c>
      <c r="B281" s="22">
        <v>16.4</v>
      </c>
      <c r="C281" s="22">
        <v>12.64</v>
      </c>
      <c r="D281" s="22">
        <v>11.55</v>
      </c>
      <c r="E281" s="22"/>
      <c r="F281" s="22"/>
    </row>
    <row r="282" spans="1:6">
      <c r="A282" s="21" t="s">
        <v>286</v>
      </c>
      <c r="B282" s="22">
        <v>15.99</v>
      </c>
      <c r="C282" s="22">
        <v>12.45</v>
      </c>
      <c r="D282" s="22">
        <v>11.45</v>
      </c>
      <c r="E282" s="22"/>
      <c r="F282" s="22"/>
    </row>
    <row r="283" spans="1:6">
      <c r="A283" s="21" t="s">
        <v>287</v>
      </c>
      <c r="B283" s="22">
        <v>15.62</v>
      </c>
      <c r="C283" s="22">
        <v>12.35</v>
      </c>
      <c r="D283" s="22">
        <v>11.74</v>
      </c>
      <c r="E283" s="22"/>
      <c r="F283" s="22"/>
    </row>
    <row r="284" spans="1:6">
      <c r="A284" s="21" t="s">
        <v>288</v>
      </c>
      <c r="B284" s="22">
        <v>15.46</v>
      </c>
      <c r="C284" s="22">
        <v>12.57</v>
      </c>
      <c r="D284" s="22">
        <v>11.61</v>
      </c>
      <c r="E284" s="22"/>
      <c r="F284" s="22"/>
    </row>
    <row r="285" spans="1:6">
      <c r="A285" s="21" t="s">
        <v>289</v>
      </c>
      <c r="B285" s="22">
        <v>15.5</v>
      </c>
      <c r="C285" s="22">
        <v>12.55</v>
      </c>
      <c r="D285" s="22">
        <v>11.53</v>
      </c>
      <c r="E285" s="22"/>
      <c r="F285" s="22"/>
    </row>
    <row r="286" spans="1:6">
      <c r="A286" s="21" t="s">
        <v>290</v>
      </c>
      <c r="B286" s="22">
        <v>16.37</v>
      </c>
      <c r="C286" s="22">
        <v>13.23</v>
      </c>
      <c r="D286" s="22">
        <v>11.47</v>
      </c>
      <c r="E286" s="22"/>
      <c r="F286" s="22"/>
    </row>
    <row r="287" spans="1:6">
      <c r="A287" s="21" t="s">
        <v>291</v>
      </c>
      <c r="B287" s="22">
        <v>16.53</v>
      </c>
      <c r="C287" s="22">
        <v>14.1</v>
      </c>
      <c r="D287" s="22">
        <v>11.19</v>
      </c>
      <c r="E287" s="22"/>
      <c r="F287" s="22"/>
    </row>
    <row r="288" spans="1:6">
      <c r="A288" s="21" t="s">
        <v>292</v>
      </c>
      <c r="B288" s="22">
        <v>16.28</v>
      </c>
      <c r="C288" s="22">
        <v>13.86</v>
      </c>
      <c r="D288" s="22">
        <v>11.15</v>
      </c>
      <c r="E288" s="22"/>
      <c r="F288" s="22"/>
    </row>
    <row r="289" spans="1:6">
      <c r="A289" s="21" t="s">
        <v>293</v>
      </c>
      <c r="B289" s="22">
        <v>15.96</v>
      </c>
      <c r="C289" s="22">
        <v>13.86</v>
      </c>
      <c r="D289" s="22">
        <v>11.37</v>
      </c>
      <c r="E289" s="22"/>
      <c r="F289" s="22"/>
    </row>
    <row r="290" spans="1:6">
      <c r="A290" s="21" t="s">
        <v>294</v>
      </c>
      <c r="B290" s="22">
        <v>15.83</v>
      </c>
      <c r="C290" s="22">
        <v>13.68</v>
      </c>
      <c r="D290" s="22">
        <v>11.95</v>
      </c>
      <c r="E290" s="22"/>
      <c r="F290" s="22"/>
    </row>
    <row r="291" spans="1:6">
      <c r="A291" s="21" t="s">
        <v>295</v>
      </c>
      <c r="B291" s="22">
        <v>15.69</v>
      </c>
      <c r="C291" s="22">
        <v>13.42</v>
      </c>
      <c r="D291" s="22">
        <v>11.72</v>
      </c>
      <c r="E291" s="22"/>
      <c r="F291" s="22"/>
    </row>
    <row r="292" spans="1:6">
      <c r="A292" s="21" t="s">
        <v>296</v>
      </c>
      <c r="B292" s="22">
        <v>15.56</v>
      </c>
      <c r="C292" s="22">
        <v>13.18</v>
      </c>
      <c r="D292" s="22">
        <v>11.4</v>
      </c>
      <c r="E292" s="22"/>
      <c r="F292" s="22"/>
    </row>
    <row r="293" spans="1:6">
      <c r="A293" s="21" t="s">
        <v>297</v>
      </c>
      <c r="B293" s="22">
        <v>15.31</v>
      </c>
      <c r="C293" s="22">
        <v>13.14</v>
      </c>
      <c r="D293" s="22">
        <v>11.22</v>
      </c>
      <c r="E293" s="22"/>
      <c r="F293" s="22"/>
    </row>
    <row r="294" spans="1:6">
      <c r="A294" s="21" t="s">
        <v>298</v>
      </c>
      <c r="B294" s="22">
        <v>15.18</v>
      </c>
      <c r="C294" s="22">
        <v>13.23</v>
      </c>
      <c r="D294" s="22">
        <v>11.45</v>
      </c>
      <c r="E294" s="22"/>
      <c r="F294" s="22"/>
    </row>
    <row r="295" spans="1:6">
      <c r="A295" s="21" t="s">
        <v>299</v>
      </c>
      <c r="B295" s="22">
        <v>15.62</v>
      </c>
      <c r="C295" s="22">
        <v>13.62</v>
      </c>
      <c r="D295" s="22">
        <v>11.75</v>
      </c>
      <c r="E295" s="22"/>
      <c r="F295" s="22"/>
    </row>
    <row r="296" spans="1:6">
      <c r="A296" s="21" t="s">
        <v>300</v>
      </c>
      <c r="B296" s="22">
        <v>15.22</v>
      </c>
      <c r="C296" s="22">
        <v>13.67</v>
      </c>
      <c r="D296" s="22">
        <v>11.56</v>
      </c>
      <c r="E296" s="22"/>
      <c r="F296" s="22"/>
    </row>
    <row r="297" spans="1:6">
      <c r="A297" s="21" t="s">
        <v>301</v>
      </c>
      <c r="B297" s="22">
        <v>15.56</v>
      </c>
      <c r="C297" s="22">
        <v>13.46</v>
      </c>
      <c r="D297" s="22">
        <v>11.66</v>
      </c>
      <c r="E297" s="22"/>
      <c r="F297" s="22"/>
    </row>
    <row r="298" spans="1:6">
      <c r="A298" s="21" t="s">
        <v>302</v>
      </c>
      <c r="B298" s="22">
        <v>16.05</v>
      </c>
      <c r="C298" s="22">
        <v>13.34</v>
      </c>
      <c r="D298" s="22">
        <v>11.87</v>
      </c>
      <c r="E298" s="22"/>
      <c r="F298" s="22"/>
    </row>
    <row r="299" spans="1:6">
      <c r="A299" s="21" t="s">
        <v>303</v>
      </c>
      <c r="B299" s="22">
        <v>16.14</v>
      </c>
      <c r="C299" s="22">
        <v>13.36</v>
      </c>
      <c r="D299" s="22">
        <v>11.81</v>
      </c>
      <c r="E299" s="22"/>
      <c r="F299" s="22"/>
    </row>
    <row r="300" spans="1:6">
      <c r="A300" s="21" t="s">
        <v>304</v>
      </c>
      <c r="B300" s="22">
        <v>16.39</v>
      </c>
      <c r="C300" s="22">
        <v>13.39</v>
      </c>
      <c r="D300" s="22">
        <v>12</v>
      </c>
      <c r="E300" s="22"/>
      <c r="F300" s="22"/>
    </row>
    <row r="301" spans="1:6">
      <c r="A301" s="21" t="s">
        <v>305</v>
      </c>
      <c r="B301" s="22">
        <v>16.2</v>
      </c>
      <c r="C301" s="22">
        <v>13.31</v>
      </c>
      <c r="D301" s="22">
        <v>11.88</v>
      </c>
      <c r="E301" s="22"/>
      <c r="F301" s="22"/>
    </row>
    <row r="302" spans="1:6">
      <c r="A302" s="21" t="s">
        <v>306</v>
      </c>
      <c r="B302" s="22">
        <v>16.58</v>
      </c>
      <c r="C302" s="22">
        <v>13.2</v>
      </c>
      <c r="D302" s="22">
        <v>11.82</v>
      </c>
      <c r="E302" s="22"/>
      <c r="F302" s="22"/>
    </row>
    <row r="303" spans="1:6">
      <c r="A303" s="21" t="s">
        <v>307</v>
      </c>
      <c r="B303" s="22">
        <v>16.52</v>
      </c>
      <c r="C303" s="22">
        <v>13.26</v>
      </c>
      <c r="D303" s="22">
        <v>12.14</v>
      </c>
      <c r="E303" s="22"/>
      <c r="F303" s="22"/>
    </row>
    <row r="304" spans="1:6">
      <c r="A304" s="21" t="s">
        <v>308</v>
      </c>
      <c r="B304" s="22">
        <v>16.17</v>
      </c>
      <c r="C304" s="22">
        <v>13.2</v>
      </c>
      <c r="D304" s="22">
        <v>12.2</v>
      </c>
      <c r="E304" s="22"/>
      <c r="F304" s="22"/>
    </row>
    <row r="305" spans="1:6">
      <c r="A305" s="21" t="s">
        <v>309</v>
      </c>
      <c r="B305" s="22">
        <v>16.46</v>
      </c>
      <c r="C305" s="22">
        <v>13.48</v>
      </c>
      <c r="D305" s="22">
        <v>12.2</v>
      </c>
      <c r="E305" s="22"/>
      <c r="F305" s="22"/>
    </row>
    <row r="306" spans="1:6">
      <c r="A306" s="21" t="s">
        <v>310</v>
      </c>
      <c r="B306" s="22">
        <v>15.06</v>
      </c>
      <c r="C306" s="22">
        <v>13.65</v>
      </c>
      <c r="D306" s="22">
        <v>12.23</v>
      </c>
      <c r="E306" s="22"/>
      <c r="F306" s="22"/>
    </row>
    <row r="307" spans="1:6">
      <c r="A307" s="21" t="s">
        <v>311</v>
      </c>
      <c r="B307" s="22">
        <v>15.86</v>
      </c>
      <c r="C307" s="22">
        <v>13.65</v>
      </c>
      <c r="D307" s="22">
        <v>12.14</v>
      </c>
      <c r="E307" s="22"/>
      <c r="F307" s="22"/>
    </row>
    <row r="308" spans="1:6">
      <c r="A308" s="21" t="s">
        <v>312</v>
      </c>
      <c r="B308" s="22">
        <v>15.79</v>
      </c>
      <c r="C308" s="22">
        <v>13.61</v>
      </c>
      <c r="D308" s="22">
        <v>11.93</v>
      </c>
      <c r="E308" s="22"/>
      <c r="F308" s="22"/>
    </row>
    <row r="309" spans="1:6">
      <c r="A309" s="21" t="s">
        <v>313</v>
      </c>
      <c r="B309" s="22">
        <v>15.67</v>
      </c>
      <c r="C309" s="22">
        <v>13.71</v>
      </c>
      <c r="D309" s="22">
        <v>12.24</v>
      </c>
      <c r="E309" s="22"/>
      <c r="F309" s="22"/>
    </row>
    <row r="310" spans="1:6">
      <c r="A310" s="21" t="s">
        <v>314</v>
      </c>
      <c r="B310" s="22">
        <v>15.37</v>
      </c>
      <c r="C310" s="22">
        <v>13.69</v>
      </c>
      <c r="D310" s="22">
        <v>12.3</v>
      </c>
      <c r="E310" s="22"/>
      <c r="F310" s="22"/>
    </row>
    <row r="311" spans="1:6">
      <c r="A311" s="21" t="s">
        <v>315</v>
      </c>
      <c r="B311" s="22">
        <v>15.35</v>
      </c>
      <c r="C311" s="22">
        <v>13.66</v>
      </c>
      <c r="D311" s="22">
        <v>12.37</v>
      </c>
      <c r="E311" s="22"/>
      <c r="F311" s="22"/>
    </row>
    <row r="312" spans="1:6">
      <c r="A312" s="21" t="s">
        <v>316</v>
      </c>
      <c r="B312" s="22">
        <v>15.34</v>
      </c>
      <c r="C312" s="22">
        <v>13.66</v>
      </c>
      <c r="D312" s="22">
        <v>12.35</v>
      </c>
      <c r="E312" s="22"/>
      <c r="F312" s="22"/>
    </row>
    <row r="313" spans="1:6">
      <c r="A313" s="21" t="s">
        <v>317</v>
      </c>
      <c r="B313" s="22">
        <v>15.35</v>
      </c>
      <c r="C313" s="22">
        <v>13.65</v>
      </c>
      <c r="D313" s="22">
        <v>12.31</v>
      </c>
      <c r="E313" s="22"/>
      <c r="F313" s="22"/>
    </row>
    <row r="314" spans="1:6">
      <c r="A314" s="21" t="s">
        <v>318</v>
      </c>
      <c r="B314" s="22">
        <v>15.35</v>
      </c>
      <c r="C314" s="22">
        <v>13.62</v>
      </c>
      <c r="D314" s="22">
        <v>12.55</v>
      </c>
      <c r="E314" s="22"/>
      <c r="F314" s="22"/>
    </row>
    <row r="315" spans="1:6">
      <c r="A315" s="21" t="s">
        <v>319</v>
      </c>
      <c r="B315" s="22">
        <v>15.53</v>
      </c>
      <c r="C315" s="22">
        <v>13.87</v>
      </c>
      <c r="D315" s="22">
        <v>12.73</v>
      </c>
      <c r="E315" s="22"/>
      <c r="F315" s="22"/>
    </row>
    <row r="316" spans="1:6">
      <c r="A316" s="21" t="s">
        <v>320</v>
      </c>
      <c r="B316" s="22">
        <v>14.96</v>
      </c>
      <c r="C316" s="22">
        <v>13.9</v>
      </c>
      <c r="D316" s="22">
        <v>12.8</v>
      </c>
      <c r="E316" s="22"/>
      <c r="F316" s="22"/>
    </row>
    <row r="317" spans="1:6">
      <c r="A317" s="21" t="s">
        <v>321</v>
      </c>
      <c r="B317" s="22">
        <v>15.36</v>
      </c>
      <c r="C317" s="22">
        <v>13.74</v>
      </c>
      <c r="D317" s="22">
        <v>12.71</v>
      </c>
      <c r="E317" s="22"/>
      <c r="F317" s="22"/>
    </row>
    <row r="318" spans="1:6">
      <c r="A318" s="21" t="s">
        <v>322</v>
      </c>
      <c r="B318" s="22">
        <v>14.88</v>
      </c>
      <c r="C318" s="22">
        <v>13.9</v>
      </c>
      <c r="D318" s="22">
        <v>12.59</v>
      </c>
      <c r="E318" s="22"/>
      <c r="F318" s="22"/>
    </row>
    <row r="319" spans="1:6">
      <c r="A319" s="21" t="s">
        <v>323</v>
      </c>
      <c r="B319" s="22">
        <v>15.53</v>
      </c>
      <c r="C319" s="22">
        <v>13.81</v>
      </c>
      <c r="D319" s="22">
        <v>12.58</v>
      </c>
      <c r="E319" s="22"/>
      <c r="F319" s="22"/>
    </row>
    <row r="320" spans="1:6">
      <c r="A320" s="21" t="s">
        <v>324</v>
      </c>
      <c r="B320" s="22">
        <v>15.48</v>
      </c>
      <c r="C320" s="22">
        <v>13.85</v>
      </c>
      <c r="D320" s="22">
        <v>12.59</v>
      </c>
      <c r="E320" s="22"/>
      <c r="F320" s="22"/>
    </row>
    <row r="321" spans="1:6">
      <c r="A321" s="21" t="s">
        <v>325</v>
      </c>
      <c r="B321" s="22">
        <v>15.48</v>
      </c>
      <c r="C321" s="22">
        <v>13.88</v>
      </c>
      <c r="D321" s="22">
        <v>12.57</v>
      </c>
      <c r="E321" s="22"/>
      <c r="F321" s="22"/>
    </row>
    <row r="322" spans="1:6">
      <c r="A322" s="21" t="s">
        <v>326</v>
      </c>
      <c r="B322" s="22">
        <v>15.52</v>
      </c>
      <c r="C322" s="22">
        <v>13.81</v>
      </c>
      <c r="D322" s="22">
        <v>12.47</v>
      </c>
      <c r="E322" s="22"/>
      <c r="F322" s="22"/>
    </row>
    <row r="323" spans="1:6">
      <c r="A323" s="21" t="s">
        <v>327</v>
      </c>
      <c r="B323" s="22">
        <v>15.74</v>
      </c>
      <c r="C323" s="22">
        <v>13.77</v>
      </c>
      <c r="D323" s="22">
        <v>12.34</v>
      </c>
      <c r="E323" s="22"/>
      <c r="F323" s="22"/>
    </row>
    <row r="324" spans="1:6">
      <c r="A324" s="21" t="s">
        <v>328</v>
      </c>
      <c r="B324" s="22">
        <v>15.9</v>
      </c>
      <c r="C324" s="22">
        <v>13.82</v>
      </c>
      <c r="D324" s="22">
        <v>12.46</v>
      </c>
      <c r="E324" s="22"/>
      <c r="F324" s="22"/>
    </row>
    <row r="325" spans="1:6">
      <c r="A325" s="21" t="s">
        <v>329</v>
      </c>
      <c r="B325" s="22">
        <v>16.34</v>
      </c>
      <c r="C325" s="22">
        <v>13.51</v>
      </c>
      <c r="D325" s="22">
        <v>12.48</v>
      </c>
      <c r="E325" s="22"/>
      <c r="F325" s="22"/>
    </row>
    <row r="326" spans="1:6">
      <c r="A326" s="21" t="s">
        <v>330</v>
      </c>
      <c r="B326" s="22">
        <v>16.44</v>
      </c>
      <c r="C326" s="22">
        <v>13.53</v>
      </c>
      <c r="D326" s="22">
        <v>12.54</v>
      </c>
      <c r="E326" s="22"/>
      <c r="F326" s="22"/>
    </row>
    <row r="327" spans="1:6">
      <c r="A327" s="21" t="s">
        <v>331</v>
      </c>
      <c r="B327" s="22">
        <v>16.26</v>
      </c>
      <c r="C327" s="22">
        <v>13.66</v>
      </c>
      <c r="D327" s="22">
        <v>12.56</v>
      </c>
      <c r="E327" s="22"/>
      <c r="F327" s="22"/>
    </row>
    <row r="328" spans="1:6">
      <c r="A328" s="21" t="s">
        <v>332</v>
      </c>
      <c r="B328" s="22">
        <v>15.78</v>
      </c>
      <c r="C328" s="22">
        <v>13.57</v>
      </c>
      <c r="D328" s="22">
        <v>12.72</v>
      </c>
      <c r="E328" s="22"/>
      <c r="F328" s="22"/>
    </row>
    <row r="329" spans="1:6">
      <c r="A329" s="21" t="s">
        <v>333</v>
      </c>
      <c r="B329" s="22">
        <v>14.74</v>
      </c>
      <c r="C329" s="22">
        <v>13.58</v>
      </c>
      <c r="D329" s="22">
        <v>12.72</v>
      </c>
      <c r="E329" s="22"/>
      <c r="F329" s="22"/>
    </row>
    <row r="330" spans="1:6">
      <c r="A330" s="21" t="s">
        <v>334</v>
      </c>
      <c r="B330" s="22">
        <v>15.9</v>
      </c>
      <c r="C330" s="22">
        <v>13.54</v>
      </c>
      <c r="D330" s="22">
        <v>12.38</v>
      </c>
      <c r="E330" s="22"/>
      <c r="F330" s="22"/>
    </row>
    <row r="331" spans="1:6">
      <c r="A331" s="21" t="s">
        <v>335</v>
      </c>
      <c r="B331" s="22">
        <v>16.06</v>
      </c>
      <c r="C331" s="22">
        <v>13.76</v>
      </c>
      <c r="D331" s="22">
        <v>12.37</v>
      </c>
      <c r="E331" s="22"/>
      <c r="F331" s="22"/>
    </row>
    <row r="332" spans="1:6">
      <c r="A332" s="21" t="s">
        <v>336</v>
      </c>
      <c r="B332" s="22">
        <v>15.81</v>
      </c>
      <c r="C332" s="22">
        <v>13.8</v>
      </c>
      <c r="D332" s="22">
        <v>12.41</v>
      </c>
      <c r="E332" s="22"/>
      <c r="F332" s="22"/>
    </row>
    <row r="333" spans="1:6">
      <c r="A333" s="21" t="s">
        <v>337</v>
      </c>
      <c r="B333" s="22">
        <v>14.74</v>
      </c>
      <c r="C333" s="22">
        <v>13.86</v>
      </c>
      <c r="D333" s="22">
        <v>12.42</v>
      </c>
      <c r="E333" s="22"/>
      <c r="F333" s="22"/>
    </row>
    <row r="334" spans="1:6">
      <c r="A334" s="21" t="s">
        <v>338</v>
      </c>
      <c r="B334" s="22">
        <v>15.64</v>
      </c>
      <c r="C334" s="22">
        <v>13.76</v>
      </c>
      <c r="D334" s="22">
        <v>12.38</v>
      </c>
      <c r="E334" s="22"/>
      <c r="F334" s="22"/>
    </row>
    <row r="335" spans="1:6">
      <c r="A335" s="21" t="s">
        <v>339</v>
      </c>
      <c r="B335" s="22">
        <v>15.66</v>
      </c>
      <c r="C335" s="22">
        <v>13.73</v>
      </c>
      <c r="D335" s="22">
        <v>12.45</v>
      </c>
      <c r="E335" s="22"/>
      <c r="F335" s="22"/>
    </row>
    <row r="336" spans="1:6">
      <c r="A336" s="21" t="s">
        <v>340</v>
      </c>
      <c r="B336" s="22">
        <v>15.93</v>
      </c>
      <c r="C336" s="22">
        <v>13.52</v>
      </c>
      <c r="D336" s="22">
        <v>12.31</v>
      </c>
      <c r="E336" s="22"/>
      <c r="F336" s="22"/>
    </row>
    <row r="337" spans="1:6">
      <c r="A337" s="21" t="s">
        <v>341</v>
      </c>
      <c r="B337" s="22">
        <v>16.15</v>
      </c>
      <c r="C337" s="22">
        <v>13.49</v>
      </c>
      <c r="D337" s="22">
        <v>12.21</v>
      </c>
      <c r="E337" s="22"/>
      <c r="F337" s="22"/>
    </row>
    <row r="338" spans="1:6">
      <c r="A338" s="21" t="s">
        <v>342</v>
      </c>
      <c r="B338" s="22">
        <v>15.93</v>
      </c>
      <c r="C338" s="22">
        <v>13.46</v>
      </c>
      <c r="D338" s="22">
        <v>12.2</v>
      </c>
      <c r="E338" s="22"/>
      <c r="F338" s="22"/>
    </row>
    <row r="339" spans="1:6">
      <c r="A339" s="21" t="s">
        <v>343</v>
      </c>
      <c r="B339" s="22">
        <v>15.92</v>
      </c>
      <c r="C339" s="22">
        <v>13.6</v>
      </c>
      <c r="D339" s="22">
        <v>12.12</v>
      </c>
      <c r="E339" s="22"/>
      <c r="F339" s="22"/>
    </row>
    <row r="340" spans="1:6">
      <c r="A340" s="21" t="s">
        <v>344</v>
      </c>
      <c r="B340" s="22">
        <v>15.86</v>
      </c>
      <c r="C340" s="22">
        <v>13.58</v>
      </c>
      <c r="D340" s="22">
        <v>12.09</v>
      </c>
      <c r="E340" s="22"/>
      <c r="F340" s="22"/>
    </row>
    <row r="341" spans="1:6">
      <c r="A341" s="21" t="s">
        <v>345</v>
      </c>
      <c r="B341" s="22">
        <v>15.9</v>
      </c>
      <c r="C341" s="22">
        <v>13.69</v>
      </c>
      <c r="D341" s="22">
        <v>12.1</v>
      </c>
      <c r="E341" s="22"/>
      <c r="F341" s="22"/>
    </row>
    <row r="342" spans="1:6">
      <c r="A342" s="21" t="s">
        <v>346</v>
      </c>
      <c r="B342" s="22">
        <v>15.86</v>
      </c>
      <c r="C342" s="22">
        <v>13.45</v>
      </c>
      <c r="D342" s="22">
        <v>12.06</v>
      </c>
      <c r="E342" s="22"/>
      <c r="F342" s="22"/>
    </row>
    <row r="343" spans="1:6">
      <c r="A343" s="21" t="s">
        <v>347</v>
      </c>
      <c r="B343" s="22">
        <v>15.99</v>
      </c>
      <c r="C343" s="22">
        <v>13.49</v>
      </c>
      <c r="D343" s="22">
        <v>11.94</v>
      </c>
      <c r="E343" s="22"/>
      <c r="F343" s="22"/>
    </row>
    <row r="344" spans="1:6">
      <c r="A344" s="21" t="s">
        <v>348</v>
      </c>
      <c r="B344" s="22">
        <v>16.06</v>
      </c>
      <c r="C344" s="22">
        <v>13.63</v>
      </c>
      <c r="D344" s="22">
        <v>11.99</v>
      </c>
      <c r="E344" s="22"/>
      <c r="F344" s="22"/>
    </row>
    <row r="345" spans="1:6">
      <c r="A345" s="21" t="s">
        <v>349</v>
      </c>
      <c r="B345" s="22">
        <v>15.96</v>
      </c>
      <c r="C345" s="22">
        <v>13.51</v>
      </c>
      <c r="D345" s="22">
        <v>11.92</v>
      </c>
      <c r="E345" s="22"/>
      <c r="F345" s="22"/>
    </row>
    <row r="346" spans="1:6">
      <c r="A346" s="21" t="s">
        <v>350</v>
      </c>
      <c r="B346" s="22">
        <v>16</v>
      </c>
      <c r="C346" s="22">
        <v>13.48</v>
      </c>
      <c r="D346" s="22">
        <v>11.89</v>
      </c>
      <c r="E346" s="22"/>
      <c r="F346" s="22"/>
    </row>
    <row r="347" spans="1:6">
      <c r="A347" s="21" t="s">
        <v>351</v>
      </c>
      <c r="B347" s="22">
        <v>15.9</v>
      </c>
      <c r="C347" s="22">
        <v>13.56</v>
      </c>
      <c r="D347" s="22">
        <v>11.99</v>
      </c>
      <c r="E347" s="22"/>
      <c r="F347" s="22"/>
    </row>
    <row r="348" spans="1:6">
      <c r="A348" s="21" t="s">
        <v>352</v>
      </c>
      <c r="B348" s="22">
        <v>15.61</v>
      </c>
      <c r="C348" s="22">
        <v>13.49</v>
      </c>
      <c r="D348" s="22">
        <v>12</v>
      </c>
      <c r="E348" s="22"/>
      <c r="F348" s="22"/>
    </row>
    <row r="349" spans="1:6">
      <c r="A349" s="21" t="s">
        <v>353</v>
      </c>
      <c r="B349" s="22">
        <v>16</v>
      </c>
      <c r="C349" s="22">
        <v>13.63</v>
      </c>
      <c r="D349" s="22">
        <v>11.96</v>
      </c>
      <c r="E349" s="22"/>
      <c r="F349" s="22"/>
    </row>
    <row r="350" spans="1:6">
      <c r="A350" s="21" t="s">
        <v>354</v>
      </c>
      <c r="B350" s="22">
        <v>15.84</v>
      </c>
      <c r="C350" s="22">
        <v>13.53</v>
      </c>
      <c r="D350" s="22">
        <v>11.92</v>
      </c>
      <c r="E350" s="22"/>
      <c r="F350" s="22"/>
    </row>
    <row r="351" spans="1:6">
      <c r="A351" s="21" t="s">
        <v>355</v>
      </c>
      <c r="B351" s="22">
        <v>15.81</v>
      </c>
      <c r="C351" s="22">
        <v>13.51</v>
      </c>
      <c r="D351" s="22">
        <v>11.87</v>
      </c>
      <c r="E351" s="22"/>
      <c r="F351" s="22"/>
    </row>
    <row r="352" spans="1:6">
      <c r="A352" s="21" t="s">
        <v>356</v>
      </c>
      <c r="B352" s="22">
        <v>15.81</v>
      </c>
      <c r="C352" s="22">
        <v>13.46</v>
      </c>
      <c r="D352" s="22">
        <v>11.87</v>
      </c>
      <c r="E352" s="22"/>
      <c r="F352" s="22"/>
    </row>
    <row r="353" spans="1:6">
      <c r="A353" s="21" t="s">
        <v>357</v>
      </c>
      <c r="B353" s="22">
        <v>15.93</v>
      </c>
      <c r="C353" s="22">
        <v>13.49</v>
      </c>
      <c r="D353" s="22">
        <v>11.79</v>
      </c>
      <c r="E353" s="22"/>
      <c r="F353" s="22"/>
    </row>
    <row r="354" spans="1:6">
      <c r="A354" s="21" t="s">
        <v>358</v>
      </c>
      <c r="B354" s="22">
        <v>16.03</v>
      </c>
      <c r="C354" s="22">
        <v>13.58</v>
      </c>
      <c r="D354" s="22">
        <v>11.86</v>
      </c>
      <c r="E354" s="22"/>
      <c r="F354" s="22"/>
    </row>
    <row r="355" spans="1:6">
      <c r="A355" s="21" t="s">
        <v>359</v>
      </c>
      <c r="B355" s="22">
        <v>16.17</v>
      </c>
      <c r="C355" s="22">
        <v>13.48</v>
      </c>
      <c r="D355" s="22">
        <v>11.84</v>
      </c>
      <c r="E355" s="22"/>
      <c r="F355" s="22"/>
    </row>
    <row r="356" spans="1:6">
      <c r="A356" s="21" t="s">
        <v>360</v>
      </c>
      <c r="B356" s="22">
        <v>15.52</v>
      </c>
      <c r="C356" s="22">
        <v>13.48</v>
      </c>
      <c r="D356" s="22">
        <v>11.76</v>
      </c>
      <c r="E356" s="22"/>
      <c r="F356" s="22"/>
    </row>
    <row r="357" spans="1:6">
      <c r="A357" s="21" t="s">
        <v>361</v>
      </c>
      <c r="B357" s="22">
        <v>16.04</v>
      </c>
      <c r="C357" s="22">
        <v>13.48</v>
      </c>
      <c r="D357" s="22">
        <v>11.83</v>
      </c>
      <c r="E357" s="22"/>
      <c r="F357" s="22"/>
    </row>
    <row r="358" spans="1:6">
      <c r="A358" s="21" t="s">
        <v>362</v>
      </c>
      <c r="B358" s="22">
        <v>15.9</v>
      </c>
      <c r="C358" s="22">
        <v>13.52</v>
      </c>
      <c r="D358" s="22">
        <v>12.28</v>
      </c>
      <c r="E358" s="22"/>
      <c r="F358" s="22"/>
    </row>
    <row r="359" spans="1:6">
      <c r="A359" s="21" t="s">
        <v>363</v>
      </c>
      <c r="B359" s="22">
        <v>15.98</v>
      </c>
      <c r="C359" s="22">
        <v>13.62</v>
      </c>
      <c r="D359" s="22">
        <v>12.2</v>
      </c>
      <c r="E359" s="22"/>
      <c r="F359" s="22"/>
    </row>
    <row r="360" spans="1:6">
      <c r="A360" s="21" t="s">
        <v>364</v>
      </c>
      <c r="B360" s="22">
        <v>16.1</v>
      </c>
      <c r="C360" s="22">
        <v>13.67</v>
      </c>
      <c r="D360" s="22">
        <v>12.1</v>
      </c>
      <c r="E360" s="22"/>
      <c r="F360" s="22"/>
    </row>
    <row r="361" spans="1:6">
      <c r="A361" s="21" t="s">
        <v>365</v>
      </c>
      <c r="B361" s="22">
        <v>15.59</v>
      </c>
      <c r="C361" s="22">
        <v>13.57</v>
      </c>
      <c r="D361" s="22">
        <v>12.16</v>
      </c>
      <c r="E361" s="22"/>
      <c r="F361" s="22"/>
    </row>
    <row r="362" spans="1:6">
      <c r="A362" s="21" t="s">
        <v>366</v>
      </c>
      <c r="B362" s="22">
        <v>15.92</v>
      </c>
      <c r="C362" s="22">
        <v>13.52</v>
      </c>
      <c r="D362" s="22">
        <v>12.06</v>
      </c>
      <c r="E362" s="22"/>
      <c r="F362" s="22"/>
    </row>
    <row r="363" spans="1:6">
      <c r="A363" s="21" t="s">
        <v>367</v>
      </c>
      <c r="B363" s="22">
        <v>15.95</v>
      </c>
      <c r="C363" s="22">
        <v>13.81</v>
      </c>
      <c r="D363" s="22">
        <v>12.05</v>
      </c>
      <c r="E363" s="22"/>
      <c r="F363" s="22"/>
    </row>
    <row r="364" spans="1:6">
      <c r="A364" s="21" t="s">
        <v>368</v>
      </c>
      <c r="B364" s="22">
        <v>16.31</v>
      </c>
      <c r="C364" s="22">
        <v>13.68</v>
      </c>
      <c r="D364" s="22">
        <v>11.87</v>
      </c>
      <c r="E364" s="22"/>
      <c r="F364" s="22"/>
    </row>
    <row r="365" spans="1:6">
      <c r="A365" s="21" t="s">
        <v>369</v>
      </c>
      <c r="B365" s="22">
        <v>16.27</v>
      </c>
      <c r="C365" s="22">
        <v>13.76</v>
      </c>
      <c r="D365" s="22">
        <v>12.06</v>
      </c>
      <c r="E365" s="22"/>
      <c r="F365" s="22"/>
    </row>
    <row r="366" spans="1:6">
      <c r="A366" s="21" t="s">
        <v>370</v>
      </c>
      <c r="B366" s="22">
        <v>16.22</v>
      </c>
      <c r="C366" s="22">
        <v>13.74</v>
      </c>
      <c r="D366" s="22">
        <v>11.83</v>
      </c>
      <c r="E366" s="22"/>
      <c r="F366" s="22"/>
    </row>
    <row r="367" spans="1:6">
      <c r="A367" s="21" t="s">
        <v>371</v>
      </c>
      <c r="B367" s="22">
        <v>16.09</v>
      </c>
      <c r="C367" s="22">
        <v>13.66</v>
      </c>
      <c r="D367" s="22">
        <v>11.8</v>
      </c>
      <c r="E367" s="22"/>
      <c r="F367" s="22"/>
    </row>
    <row r="368" spans="1:6">
      <c r="A368" s="21" t="s">
        <v>372</v>
      </c>
      <c r="B368" s="22">
        <v>16.11</v>
      </c>
      <c r="C368" s="22">
        <v>13.6</v>
      </c>
      <c r="D368" s="22">
        <v>11.86</v>
      </c>
      <c r="E368" s="22"/>
      <c r="F368" s="22"/>
    </row>
    <row r="369" spans="1:6">
      <c r="A369" s="21" t="s">
        <v>373</v>
      </c>
      <c r="B369" s="22">
        <v>16.18</v>
      </c>
      <c r="C369" s="22">
        <v>13.73</v>
      </c>
      <c r="D369" s="22">
        <v>11.82</v>
      </c>
      <c r="E369" s="22"/>
      <c r="F369" s="22"/>
    </row>
    <row r="370" spans="1:6">
      <c r="A370" s="21" t="s">
        <v>374</v>
      </c>
      <c r="B370" s="22">
        <v>15.7</v>
      </c>
      <c r="C370" s="22">
        <v>13.71</v>
      </c>
      <c r="D370" s="22">
        <v>11.8</v>
      </c>
      <c r="E370" s="22"/>
      <c r="F370" s="22"/>
    </row>
    <row r="371" spans="1:6">
      <c r="A371" s="21" t="s">
        <v>375</v>
      </c>
      <c r="B371" s="22">
        <v>16.12</v>
      </c>
      <c r="C371" s="22">
        <v>13.63</v>
      </c>
      <c r="D371" s="22">
        <v>11.83</v>
      </c>
      <c r="E371" s="22"/>
      <c r="F371" s="22"/>
    </row>
    <row r="372" spans="1:6">
      <c r="A372" s="21" t="s">
        <v>376</v>
      </c>
      <c r="B372" s="22">
        <v>15.83</v>
      </c>
      <c r="C372" s="22">
        <v>13.64</v>
      </c>
      <c r="D372" s="22">
        <v>12</v>
      </c>
      <c r="E372" s="22"/>
      <c r="F372" s="22"/>
    </row>
    <row r="373" spans="1:6">
      <c r="A373" s="21" t="s">
        <v>377</v>
      </c>
      <c r="B373" s="22">
        <v>15.57</v>
      </c>
      <c r="C373" s="22">
        <v>13.64</v>
      </c>
      <c r="D373" s="22">
        <v>12.06</v>
      </c>
      <c r="E373" s="22"/>
      <c r="F373" s="22"/>
    </row>
    <row r="374" spans="1:6">
      <c r="A374" s="21" t="s">
        <v>378</v>
      </c>
      <c r="B374" s="22">
        <v>15.3</v>
      </c>
      <c r="C374" s="22">
        <v>13.53</v>
      </c>
      <c r="D374" s="22">
        <v>12.04</v>
      </c>
      <c r="E374" s="22"/>
      <c r="F374" s="22"/>
    </row>
    <row r="375" spans="1:6">
      <c r="A375" s="21" t="s">
        <v>379</v>
      </c>
      <c r="B375" s="22">
        <v>15.83</v>
      </c>
      <c r="C375" s="22">
        <v>13.62</v>
      </c>
      <c r="D375" s="22">
        <v>12.05</v>
      </c>
      <c r="E375" s="22"/>
      <c r="F375" s="22"/>
    </row>
    <row r="376" spans="1:6">
      <c r="A376" s="21" t="s">
        <v>380</v>
      </c>
      <c r="B376" s="22">
        <v>15.22</v>
      </c>
      <c r="C376" s="22">
        <v>13.57</v>
      </c>
      <c r="D376" s="22">
        <v>12.06</v>
      </c>
      <c r="E376" s="22"/>
      <c r="F376" s="22"/>
    </row>
    <row r="377" spans="1:6">
      <c r="A377" s="21" t="s">
        <v>381</v>
      </c>
      <c r="B377" s="22">
        <v>15.76</v>
      </c>
      <c r="C377" s="22">
        <v>13.45</v>
      </c>
      <c r="D377" s="22">
        <v>12.26</v>
      </c>
      <c r="E377" s="22"/>
      <c r="F377" s="22"/>
    </row>
    <row r="378" spans="1:6">
      <c r="A378" s="21" t="s">
        <v>382</v>
      </c>
      <c r="B378" s="22">
        <v>15.78</v>
      </c>
      <c r="C378" s="22">
        <v>13.46</v>
      </c>
      <c r="D378" s="22">
        <v>12.24</v>
      </c>
      <c r="E378" s="22"/>
      <c r="F378" s="22"/>
    </row>
    <row r="379" spans="1:6">
      <c r="A379" s="21" t="s">
        <v>383</v>
      </c>
      <c r="B379" s="22">
        <v>15.79</v>
      </c>
      <c r="C379" s="22">
        <v>13.42</v>
      </c>
      <c r="D379" s="22">
        <v>12.21</v>
      </c>
      <c r="E379" s="22"/>
      <c r="F379" s="22"/>
    </row>
    <row r="380" spans="1:6">
      <c r="A380" s="21" t="s">
        <v>384</v>
      </c>
      <c r="B380" s="22">
        <v>15.78</v>
      </c>
      <c r="C380" s="22">
        <v>13.48</v>
      </c>
      <c r="D380" s="22">
        <v>12.13</v>
      </c>
      <c r="E380" s="22"/>
      <c r="F380" s="22"/>
    </row>
    <row r="381" spans="1:6">
      <c r="A381" s="21" t="s">
        <v>385</v>
      </c>
      <c r="B381" s="22">
        <v>15.75</v>
      </c>
      <c r="C381" s="22">
        <v>13.47</v>
      </c>
      <c r="D381" s="22">
        <v>12.1</v>
      </c>
      <c r="E381" s="22"/>
      <c r="F381" s="22"/>
    </row>
    <row r="382" spans="1:6">
      <c r="A382" s="21" t="s">
        <v>386</v>
      </c>
      <c r="B382" s="22">
        <v>15.38</v>
      </c>
      <c r="C382" s="22">
        <v>13.48</v>
      </c>
      <c r="D382" s="22">
        <v>12.14</v>
      </c>
      <c r="E382" s="22"/>
      <c r="F382" s="22"/>
    </row>
    <row r="383" spans="1:6">
      <c r="A383" s="21" t="s">
        <v>387</v>
      </c>
      <c r="B383" s="22">
        <v>15.26</v>
      </c>
      <c r="C383" s="22">
        <v>13.39</v>
      </c>
      <c r="D383" s="22">
        <v>12.22</v>
      </c>
      <c r="E383" s="22"/>
      <c r="F383" s="22"/>
    </row>
    <row r="384" spans="1:6">
      <c r="A384" s="21" t="s">
        <v>388</v>
      </c>
      <c r="B384" s="22">
        <v>15.86</v>
      </c>
      <c r="C384" s="22">
        <v>13.43</v>
      </c>
      <c r="D384" s="22">
        <v>12.17</v>
      </c>
      <c r="E384" s="22"/>
      <c r="F384" s="22"/>
    </row>
    <row r="385" spans="1:6">
      <c r="A385" s="21" t="s">
        <v>389</v>
      </c>
      <c r="B385" s="22">
        <v>15.94</v>
      </c>
      <c r="C385" s="22">
        <v>13.5</v>
      </c>
      <c r="D385" s="22">
        <v>12.25</v>
      </c>
      <c r="E385" s="22"/>
      <c r="F385" s="22"/>
    </row>
    <row r="386" spans="1:6">
      <c r="A386" s="21" t="s">
        <v>390</v>
      </c>
      <c r="B386" s="22">
        <v>15.96</v>
      </c>
      <c r="C386" s="22">
        <v>13.5</v>
      </c>
      <c r="D386" s="22">
        <v>12.24</v>
      </c>
      <c r="E386" s="22"/>
      <c r="F386" s="22"/>
    </row>
    <row r="387" spans="1:6">
      <c r="A387" s="21" t="s">
        <v>391</v>
      </c>
      <c r="B387" s="22">
        <v>15.93</v>
      </c>
      <c r="C387" s="22">
        <v>13.47</v>
      </c>
      <c r="D387" s="22">
        <v>12.26</v>
      </c>
      <c r="E387" s="22"/>
      <c r="F387" s="22"/>
    </row>
    <row r="388" spans="1:6">
      <c r="A388" s="21" t="s">
        <v>392</v>
      </c>
      <c r="B388" s="22">
        <v>15.96</v>
      </c>
      <c r="C388" s="22">
        <v>13.46</v>
      </c>
      <c r="D388" s="22">
        <v>12.25</v>
      </c>
      <c r="E388" s="22"/>
      <c r="F388" s="22"/>
    </row>
    <row r="389" spans="1:6">
      <c r="A389" s="21" t="s">
        <v>393</v>
      </c>
      <c r="B389" s="22">
        <v>15.92</v>
      </c>
      <c r="C389" s="22">
        <v>13.44</v>
      </c>
      <c r="D389" s="22">
        <v>12.3</v>
      </c>
      <c r="E389" s="22">
        <v>13.01</v>
      </c>
      <c r="F389" s="22"/>
    </row>
    <row r="390" spans="1:6">
      <c r="A390" s="21" t="s">
        <v>394</v>
      </c>
      <c r="B390" s="22">
        <v>15.91</v>
      </c>
      <c r="C390" s="22">
        <v>13.48</v>
      </c>
      <c r="D390" s="22">
        <v>12.22</v>
      </c>
      <c r="E390" s="22">
        <v>13.02</v>
      </c>
      <c r="F390" s="22"/>
    </row>
    <row r="391" spans="1:6">
      <c r="A391" s="21" t="s">
        <v>395</v>
      </c>
      <c r="B391" s="22">
        <v>15.87</v>
      </c>
      <c r="C391" s="22">
        <v>13.5</v>
      </c>
      <c r="D391" s="22">
        <v>12.25</v>
      </c>
      <c r="E391" s="22">
        <v>13.02</v>
      </c>
      <c r="F391" s="22"/>
    </row>
    <row r="392" spans="1:6">
      <c r="A392" s="21" t="s">
        <v>396</v>
      </c>
      <c r="B392" s="22">
        <v>15.58</v>
      </c>
      <c r="C392" s="22">
        <v>13.59</v>
      </c>
      <c r="D392" s="22">
        <v>12.21</v>
      </c>
      <c r="E392" s="22">
        <v>12.99</v>
      </c>
      <c r="F392" s="22"/>
    </row>
    <row r="393" spans="1:6">
      <c r="A393" s="21" t="s">
        <v>397</v>
      </c>
      <c r="B393" s="22">
        <v>15.3</v>
      </c>
      <c r="C393" s="22">
        <v>13.54</v>
      </c>
      <c r="D393" s="22">
        <v>12.29</v>
      </c>
      <c r="E393" s="22">
        <v>12.97</v>
      </c>
      <c r="F393" s="22"/>
    </row>
    <row r="394" spans="1:6">
      <c r="A394" s="21" t="s">
        <v>398</v>
      </c>
      <c r="B394" s="22">
        <v>15.18</v>
      </c>
      <c r="C394" s="22">
        <v>13.61</v>
      </c>
      <c r="D394" s="22">
        <v>12.27</v>
      </c>
      <c r="E394" s="22">
        <v>12.99</v>
      </c>
      <c r="F394" s="22"/>
    </row>
    <row r="395" spans="1:6">
      <c r="A395" s="21" t="s">
        <v>399</v>
      </c>
      <c r="B395" s="22">
        <v>14.97</v>
      </c>
      <c r="C395" s="22">
        <v>13.65</v>
      </c>
      <c r="D395" s="22">
        <v>12.25</v>
      </c>
      <c r="E395" s="22">
        <v>12.98</v>
      </c>
      <c r="F395" s="22"/>
    </row>
    <row r="396" spans="1:6">
      <c r="A396" s="21" t="s">
        <v>400</v>
      </c>
      <c r="B396" s="22">
        <v>15</v>
      </c>
      <c r="C396" s="22">
        <v>13.6</v>
      </c>
      <c r="D396" s="22">
        <v>12.23</v>
      </c>
      <c r="E396" s="22">
        <v>12.98</v>
      </c>
      <c r="F396" s="22"/>
    </row>
    <row r="397" spans="1:6">
      <c r="A397" s="21" t="s">
        <v>401</v>
      </c>
      <c r="B397" s="22">
        <v>15.43</v>
      </c>
      <c r="C397" s="22">
        <v>13.59</v>
      </c>
      <c r="D397" s="22">
        <v>12.33</v>
      </c>
      <c r="E397" s="22">
        <v>13.02</v>
      </c>
      <c r="F397" s="22"/>
    </row>
    <row r="398" spans="1:6">
      <c r="A398" s="21" t="s">
        <v>402</v>
      </c>
      <c r="B398" s="22">
        <v>15.67</v>
      </c>
      <c r="C398" s="22">
        <v>13.57</v>
      </c>
      <c r="D398" s="22">
        <v>12.38</v>
      </c>
      <c r="E398" s="22">
        <v>13.06</v>
      </c>
      <c r="F398" s="22"/>
    </row>
    <row r="399" spans="1:6">
      <c r="A399" s="21" t="s">
        <v>403</v>
      </c>
      <c r="B399" s="22">
        <v>15.69</v>
      </c>
      <c r="C399" s="22">
        <v>13.49</v>
      </c>
      <c r="D399" s="22">
        <v>12.29</v>
      </c>
      <c r="E399" s="22">
        <v>13.06</v>
      </c>
      <c r="F399" s="22"/>
    </row>
    <row r="400" spans="1:6">
      <c r="A400" s="21" t="s">
        <v>404</v>
      </c>
      <c r="B400" s="22">
        <v>15.27</v>
      </c>
      <c r="C400" s="22">
        <v>13.55</v>
      </c>
      <c r="D400" s="22">
        <v>12.3</v>
      </c>
      <c r="E400" s="22">
        <v>13.06</v>
      </c>
      <c r="F400" s="22"/>
    </row>
    <row r="401" spans="1:6">
      <c r="A401" s="21" t="s">
        <v>405</v>
      </c>
      <c r="B401" s="22">
        <v>15.8</v>
      </c>
      <c r="C401" s="22">
        <v>13.52</v>
      </c>
      <c r="D401" s="22">
        <v>12.36</v>
      </c>
      <c r="E401" s="22">
        <v>13.07</v>
      </c>
      <c r="F401" s="22"/>
    </row>
    <row r="402" spans="1:6">
      <c r="A402" s="21" t="s">
        <v>406</v>
      </c>
      <c r="B402" s="22">
        <v>15.87</v>
      </c>
      <c r="C402" s="22">
        <v>13.66</v>
      </c>
      <c r="D402" s="22">
        <v>12.42</v>
      </c>
      <c r="E402" s="22">
        <v>13.15</v>
      </c>
      <c r="F402" s="22"/>
    </row>
    <row r="403" spans="1:6">
      <c r="A403" s="21" t="s">
        <v>407</v>
      </c>
      <c r="B403" s="22">
        <v>15.82</v>
      </c>
      <c r="C403" s="22">
        <v>13.71</v>
      </c>
      <c r="D403" s="22">
        <v>12.47</v>
      </c>
      <c r="E403" s="22">
        <v>13.17</v>
      </c>
      <c r="F403" s="22"/>
    </row>
    <row r="404" spans="1:6">
      <c r="A404" s="21" t="s">
        <v>408</v>
      </c>
      <c r="B404" s="22">
        <v>15.7</v>
      </c>
      <c r="C404" s="22">
        <v>13.76</v>
      </c>
      <c r="D404" s="22">
        <v>12.49</v>
      </c>
      <c r="E404" s="22">
        <v>13.21</v>
      </c>
      <c r="F404" s="22"/>
    </row>
    <row r="405" spans="1:6">
      <c r="A405" s="21" t="s">
        <v>409</v>
      </c>
      <c r="B405" s="22">
        <v>15.8</v>
      </c>
      <c r="C405" s="22">
        <v>13.74</v>
      </c>
      <c r="D405" s="22">
        <v>12.49</v>
      </c>
      <c r="E405" s="22">
        <v>13.22</v>
      </c>
      <c r="F405" s="22"/>
    </row>
    <row r="406" spans="1:6">
      <c r="A406" s="21" t="s">
        <v>410</v>
      </c>
      <c r="B406" s="22">
        <v>15.98</v>
      </c>
      <c r="C406" s="22">
        <v>13.71</v>
      </c>
      <c r="D406" s="22">
        <v>12.52</v>
      </c>
      <c r="E406" s="22">
        <v>13.26</v>
      </c>
      <c r="F406" s="22"/>
    </row>
    <row r="407" spans="1:6">
      <c r="A407" s="21" t="s">
        <v>411</v>
      </c>
      <c r="B407" s="22">
        <v>16.1</v>
      </c>
      <c r="C407" s="22">
        <v>13.8</v>
      </c>
      <c r="D407" s="22">
        <v>12.35</v>
      </c>
      <c r="E407" s="22">
        <v>13.22</v>
      </c>
      <c r="F407" s="22"/>
    </row>
    <row r="408" spans="1:6">
      <c r="A408" s="21" t="s">
        <v>412</v>
      </c>
      <c r="B408" s="22">
        <v>15.59</v>
      </c>
      <c r="C408" s="22">
        <v>13.75</v>
      </c>
      <c r="D408" s="22">
        <v>12.34</v>
      </c>
      <c r="E408" s="22">
        <v>13.21</v>
      </c>
      <c r="F408" s="22"/>
    </row>
    <row r="409" spans="1:6">
      <c r="A409" s="21" t="s">
        <v>413</v>
      </c>
      <c r="B409" s="22">
        <v>16.02</v>
      </c>
      <c r="C409" s="22">
        <v>13.76</v>
      </c>
      <c r="D409" s="22">
        <v>12.29</v>
      </c>
      <c r="E409" s="22">
        <v>13.17</v>
      </c>
      <c r="F409" s="22"/>
    </row>
    <row r="410" spans="1:6">
      <c r="A410" s="21" t="s">
        <v>414</v>
      </c>
      <c r="B410" s="22">
        <v>16.02</v>
      </c>
      <c r="C410" s="22">
        <v>13.62</v>
      </c>
      <c r="D410" s="22">
        <v>12.28</v>
      </c>
      <c r="E410" s="22">
        <v>13.14</v>
      </c>
      <c r="F410" s="22"/>
    </row>
    <row r="411" spans="1:6">
      <c r="A411" s="21" t="s">
        <v>415</v>
      </c>
      <c r="B411" s="22">
        <v>15.81</v>
      </c>
      <c r="C411" s="22">
        <v>13.87</v>
      </c>
      <c r="D411" s="22">
        <v>12.3</v>
      </c>
      <c r="E411" s="22">
        <v>13.24</v>
      </c>
      <c r="F411" s="22"/>
    </row>
    <row r="412" spans="1:6">
      <c r="A412" s="21" t="s">
        <v>416</v>
      </c>
      <c r="B412" s="22">
        <v>16.08</v>
      </c>
      <c r="C412" s="22">
        <v>13.95</v>
      </c>
      <c r="D412" s="22">
        <v>12.26</v>
      </c>
      <c r="E412" s="22">
        <v>13.31</v>
      </c>
      <c r="F412" s="22"/>
    </row>
    <row r="413" spans="1:6">
      <c r="A413" s="21" t="s">
        <v>417</v>
      </c>
      <c r="B413" s="22">
        <v>15.56</v>
      </c>
      <c r="C413" s="22">
        <v>14.01</v>
      </c>
      <c r="D413" s="22">
        <v>12.29</v>
      </c>
      <c r="E413" s="22">
        <v>13.25</v>
      </c>
      <c r="F413" s="22"/>
    </row>
    <row r="414" spans="1:6">
      <c r="A414" s="21" t="s">
        <v>418</v>
      </c>
      <c r="B414" s="22">
        <v>15.64</v>
      </c>
      <c r="C414" s="22">
        <v>13.96</v>
      </c>
      <c r="D414" s="22">
        <v>12.33</v>
      </c>
      <c r="E414" s="22">
        <v>13.24</v>
      </c>
      <c r="F414" s="22"/>
    </row>
    <row r="415" spans="1:6">
      <c r="A415" s="21" t="s">
        <v>419</v>
      </c>
      <c r="B415" s="22">
        <v>15.6</v>
      </c>
      <c r="C415" s="22">
        <v>13.9</v>
      </c>
      <c r="D415" s="22">
        <v>12.31</v>
      </c>
      <c r="E415" s="22">
        <v>13.19</v>
      </c>
      <c r="F415" s="22"/>
    </row>
    <row r="416" spans="1:6">
      <c r="A416" s="21" t="s">
        <v>420</v>
      </c>
      <c r="B416" s="22">
        <v>15.56</v>
      </c>
      <c r="C416" s="22">
        <v>13.86</v>
      </c>
      <c r="D416" s="22">
        <v>12.26</v>
      </c>
      <c r="E416" s="22">
        <v>13.17</v>
      </c>
      <c r="F416" s="22"/>
    </row>
    <row r="417" spans="1:6">
      <c r="A417" s="21" t="s">
        <v>421</v>
      </c>
      <c r="B417" s="22">
        <v>15.15</v>
      </c>
      <c r="C417" s="22">
        <v>13.87</v>
      </c>
      <c r="D417" s="22">
        <v>12.28</v>
      </c>
      <c r="E417" s="22">
        <v>13.13</v>
      </c>
      <c r="F417" s="22"/>
    </row>
    <row r="418" spans="1:6">
      <c r="A418" s="21" t="s">
        <v>422</v>
      </c>
      <c r="B418" s="22">
        <v>15.4</v>
      </c>
      <c r="C418" s="22">
        <v>13.73</v>
      </c>
      <c r="D418" s="22">
        <v>12.25</v>
      </c>
      <c r="E418" s="22">
        <v>13.08</v>
      </c>
      <c r="F418" s="22"/>
    </row>
    <row r="419" spans="1:6">
      <c r="A419" s="21" t="s">
        <v>423</v>
      </c>
      <c r="B419" s="22">
        <v>15.49</v>
      </c>
      <c r="C419" s="22">
        <v>13.79</v>
      </c>
      <c r="D419" s="22">
        <v>12.26</v>
      </c>
      <c r="E419" s="22">
        <v>13.09</v>
      </c>
      <c r="F419" s="22"/>
    </row>
    <row r="420" spans="1:6">
      <c r="A420" s="21" t="s">
        <v>424</v>
      </c>
      <c r="B420" s="22">
        <v>15.13</v>
      </c>
      <c r="C420" s="22">
        <v>13.81</v>
      </c>
      <c r="D420" s="22">
        <v>12.26</v>
      </c>
      <c r="E420" s="22">
        <v>13.1</v>
      </c>
      <c r="F420" s="22"/>
    </row>
    <row r="421" spans="1:6">
      <c r="A421" s="21" t="s">
        <v>425</v>
      </c>
      <c r="B421" s="22">
        <v>15.3</v>
      </c>
      <c r="C421" s="22">
        <v>13.88</v>
      </c>
      <c r="D421" s="22">
        <v>12.27</v>
      </c>
      <c r="E421" s="22">
        <v>13.12</v>
      </c>
      <c r="F421" s="22"/>
    </row>
    <row r="422" spans="1:6">
      <c r="A422" s="21" t="s">
        <v>426</v>
      </c>
      <c r="B422" s="22">
        <v>15.19</v>
      </c>
      <c r="C422" s="22">
        <v>13.88</v>
      </c>
      <c r="D422" s="22">
        <v>12.27</v>
      </c>
      <c r="E422" s="22">
        <v>13.11</v>
      </c>
      <c r="F422" s="22"/>
    </row>
    <row r="423" spans="1:6">
      <c r="A423" s="21" t="s">
        <v>427</v>
      </c>
      <c r="B423" s="22">
        <v>15.17</v>
      </c>
      <c r="C423" s="22">
        <v>13.73</v>
      </c>
      <c r="D423" s="22">
        <v>12.28</v>
      </c>
      <c r="E423" s="22">
        <v>13.13</v>
      </c>
      <c r="F423" s="22"/>
    </row>
    <row r="424" spans="1:6">
      <c r="A424" s="21" t="s">
        <v>428</v>
      </c>
      <c r="B424" s="22">
        <v>15.1</v>
      </c>
      <c r="C424" s="22">
        <v>13.88</v>
      </c>
      <c r="D424" s="22">
        <v>12.29</v>
      </c>
      <c r="E424" s="22">
        <v>13.11</v>
      </c>
      <c r="F424" s="22"/>
    </row>
    <row r="425" spans="1:6">
      <c r="A425" s="21" t="s">
        <v>429</v>
      </c>
      <c r="B425" s="22">
        <v>15.04</v>
      </c>
      <c r="C425" s="22">
        <v>13.92</v>
      </c>
      <c r="D425" s="22">
        <v>12.29</v>
      </c>
      <c r="E425" s="22">
        <v>13.12</v>
      </c>
      <c r="F425" s="22"/>
    </row>
    <row r="426" spans="1:6">
      <c r="A426" s="21" t="s">
        <v>430</v>
      </c>
      <c r="B426" s="22">
        <v>15.01</v>
      </c>
      <c r="C426" s="22">
        <v>13.89</v>
      </c>
      <c r="D426" s="22">
        <v>12.32</v>
      </c>
      <c r="E426" s="22">
        <v>13.13</v>
      </c>
      <c r="F426" s="22"/>
    </row>
    <row r="427" spans="1:6">
      <c r="A427" s="21" t="s">
        <v>431</v>
      </c>
      <c r="B427" s="22">
        <v>15.04</v>
      </c>
      <c r="C427" s="22">
        <v>13.9</v>
      </c>
      <c r="D427" s="22">
        <v>12.33</v>
      </c>
      <c r="E427" s="22">
        <v>13.13</v>
      </c>
      <c r="F427" s="22"/>
    </row>
    <row r="428" spans="1:6">
      <c r="A428" s="21" t="s">
        <v>432</v>
      </c>
      <c r="B428" s="22">
        <v>15.06</v>
      </c>
      <c r="C428" s="22">
        <v>13.94</v>
      </c>
      <c r="D428" s="22">
        <v>12.3</v>
      </c>
      <c r="E428" s="22">
        <v>13.16</v>
      </c>
      <c r="F428" s="22"/>
    </row>
    <row r="429" spans="1:6">
      <c r="A429" s="21" t="s">
        <v>433</v>
      </c>
      <c r="B429" s="22">
        <v>15.25</v>
      </c>
      <c r="C429" s="22">
        <v>13.83</v>
      </c>
      <c r="D429" s="22">
        <v>12.38</v>
      </c>
      <c r="E429" s="22">
        <v>13.17</v>
      </c>
      <c r="F429" s="22"/>
    </row>
    <row r="430" spans="1:6">
      <c r="A430" s="21" t="s">
        <v>434</v>
      </c>
      <c r="B430" s="22">
        <v>15.7</v>
      </c>
      <c r="C430" s="22">
        <v>13.88</v>
      </c>
      <c r="D430" s="22">
        <v>12.39</v>
      </c>
      <c r="E430" s="22">
        <v>13.24</v>
      </c>
      <c r="F430" s="22"/>
    </row>
    <row r="431" spans="1:6">
      <c r="A431" s="21" t="s">
        <v>435</v>
      </c>
      <c r="B431" s="22">
        <v>16.01</v>
      </c>
      <c r="C431" s="22">
        <v>13.92</v>
      </c>
      <c r="D431" s="22">
        <v>12.37</v>
      </c>
      <c r="E431" s="22">
        <v>13.27</v>
      </c>
      <c r="F431" s="22"/>
    </row>
    <row r="432" spans="1:6">
      <c r="A432" s="21" t="s">
        <v>436</v>
      </c>
      <c r="B432" s="22">
        <v>16.04</v>
      </c>
      <c r="C432" s="22">
        <v>13.83</v>
      </c>
      <c r="D432" s="22">
        <v>12.38</v>
      </c>
      <c r="E432" s="22">
        <v>13.24</v>
      </c>
      <c r="F432" s="22"/>
    </row>
    <row r="433" spans="1:6">
      <c r="A433" s="21" t="s">
        <v>437</v>
      </c>
      <c r="B433" s="22">
        <v>15.91</v>
      </c>
      <c r="C433" s="22">
        <v>13.76</v>
      </c>
      <c r="D433" s="22">
        <v>12.38</v>
      </c>
      <c r="E433" s="22">
        <v>13.24</v>
      </c>
      <c r="F433" s="22"/>
    </row>
    <row r="434" spans="1:6">
      <c r="A434" s="21" t="s">
        <v>438</v>
      </c>
      <c r="B434" s="22">
        <v>15.58</v>
      </c>
      <c r="C434" s="22">
        <v>13.89</v>
      </c>
      <c r="D434" s="22">
        <v>12.37</v>
      </c>
      <c r="E434" s="22">
        <v>13.19</v>
      </c>
      <c r="F434" s="22"/>
    </row>
    <row r="435" spans="1:6">
      <c r="A435" s="21" t="s">
        <v>439</v>
      </c>
      <c r="B435" s="22">
        <v>15.08</v>
      </c>
      <c r="C435" s="22">
        <v>13.89</v>
      </c>
      <c r="D435" s="22">
        <v>12.41</v>
      </c>
      <c r="E435" s="22">
        <v>13.19</v>
      </c>
      <c r="F435" s="22"/>
    </row>
    <row r="436" spans="1:6">
      <c r="A436" s="21" t="s">
        <v>440</v>
      </c>
      <c r="B436" s="22">
        <v>15.27</v>
      </c>
      <c r="C436" s="22">
        <v>13.99</v>
      </c>
      <c r="D436" s="22">
        <v>12.45</v>
      </c>
      <c r="E436" s="22">
        <v>13.27</v>
      </c>
      <c r="F436" s="22"/>
    </row>
    <row r="437" spans="1:6">
      <c r="A437" s="21" t="s">
        <v>441</v>
      </c>
      <c r="B437" s="22">
        <v>15.26</v>
      </c>
      <c r="C437" s="22">
        <v>13.99</v>
      </c>
      <c r="D437" s="22">
        <v>12.44</v>
      </c>
      <c r="E437" s="22">
        <v>13.27</v>
      </c>
      <c r="F437" s="22"/>
    </row>
    <row r="438" spans="1:6">
      <c r="A438" s="21" t="s">
        <v>442</v>
      </c>
      <c r="B438" s="22">
        <v>15.24</v>
      </c>
      <c r="C438" s="22">
        <v>14.03</v>
      </c>
      <c r="D438" s="22">
        <v>12.47</v>
      </c>
      <c r="E438" s="22">
        <v>13.26</v>
      </c>
      <c r="F438" s="22"/>
    </row>
    <row r="439" spans="1:6">
      <c r="A439" s="21" t="s">
        <v>443</v>
      </c>
      <c r="B439" s="22">
        <v>15.24</v>
      </c>
      <c r="C439" s="22">
        <v>14.03</v>
      </c>
      <c r="D439" s="22">
        <v>12.47</v>
      </c>
      <c r="E439" s="22">
        <v>13.26</v>
      </c>
      <c r="F439" s="22"/>
    </row>
    <row r="440" spans="1:6">
      <c r="A440" s="21" t="s">
        <v>444</v>
      </c>
      <c r="B440" s="22">
        <v>15.25</v>
      </c>
      <c r="C440" s="22">
        <v>14.02</v>
      </c>
      <c r="D440" s="22">
        <v>12.49</v>
      </c>
      <c r="E440" s="22">
        <v>13.31</v>
      </c>
      <c r="F440" s="22"/>
    </row>
    <row r="441" spans="1:6">
      <c r="A441" s="21" t="s">
        <v>445</v>
      </c>
      <c r="B441" s="22">
        <v>14.83</v>
      </c>
      <c r="C441" s="22">
        <v>13.87</v>
      </c>
      <c r="D441" s="22">
        <v>12.46</v>
      </c>
      <c r="E441" s="22">
        <v>13.18</v>
      </c>
      <c r="F441" s="22"/>
    </row>
    <row r="442" spans="1:6">
      <c r="A442" s="21" t="s">
        <v>446</v>
      </c>
      <c r="B442" s="22">
        <v>14.64</v>
      </c>
      <c r="C442" s="22">
        <v>13.68</v>
      </c>
      <c r="D442" s="22">
        <v>12.52</v>
      </c>
      <c r="E442" s="22">
        <v>13.18</v>
      </c>
      <c r="F442" s="22"/>
    </row>
    <row r="443" spans="1:6">
      <c r="A443" s="21" t="s">
        <v>447</v>
      </c>
      <c r="B443" s="22">
        <v>14.73</v>
      </c>
      <c r="C443" s="22">
        <v>13.48</v>
      </c>
      <c r="D443" s="22">
        <v>12.55</v>
      </c>
      <c r="E443" s="22">
        <v>13.14</v>
      </c>
      <c r="F443" s="22"/>
    </row>
    <row r="444" spans="1:6">
      <c r="A444" s="21" t="s">
        <v>448</v>
      </c>
      <c r="B444" s="22">
        <v>14.7</v>
      </c>
      <c r="C444" s="22">
        <v>13.56</v>
      </c>
      <c r="D444" s="22">
        <v>12.5</v>
      </c>
      <c r="E444" s="22">
        <v>13.08</v>
      </c>
      <c r="F444" s="22"/>
    </row>
    <row r="445" spans="1:6">
      <c r="A445" s="21" t="s">
        <v>449</v>
      </c>
      <c r="B445" s="22">
        <v>14.69</v>
      </c>
      <c r="C445" s="22">
        <v>13.53</v>
      </c>
      <c r="D445" s="22">
        <v>12.51</v>
      </c>
      <c r="E445" s="22">
        <v>13.08</v>
      </c>
      <c r="F445" s="22"/>
    </row>
    <row r="446" spans="1:6">
      <c r="A446" s="21" t="s">
        <v>450</v>
      </c>
      <c r="B446" s="22">
        <v>14.56</v>
      </c>
      <c r="C446" s="22">
        <v>13.47</v>
      </c>
      <c r="D446" s="22">
        <v>12.5</v>
      </c>
      <c r="E446" s="22">
        <v>13.05</v>
      </c>
      <c r="F446" s="22"/>
    </row>
    <row r="447" spans="1:6">
      <c r="A447" s="21" t="s">
        <v>451</v>
      </c>
      <c r="B447" s="22">
        <v>14.64</v>
      </c>
      <c r="C447" s="22">
        <v>13.31</v>
      </c>
      <c r="D447" s="22">
        <v>12.49</v>
      </c>
      <c r="E447" s="22">
        <v>13</v>
      </c>
      <c r="F447" s="22"/>
    </row>
    <row r="448" spans="1:6">
      <c r="A448" s="21" t="s">
        <v>452</v>
      </c>
      <c r="B448" s="22">
        <v>14.68</v>
      </c>
      <c r="C448" s="22">
        <v>13.43</v>
      </c>
      <c r="D448" s="22">
        <v>12.46</v>
      </c>
      <c r="E448" s="22">
        <v>13.01</v>
      </c>
      <c r="F448" s="22"/>
    </row>
    <row r="449" spans="1:6">
      <c r="A449" s="21" t="s">
        <v>453</v>
      </c>
      <c r="B449" s="22">
        <v>15.06</v>
      </c>
      <c r="C449" s="22">
        <v>13.6</v>
      </c>
      <c r="D449" s="22">
        <v>12.34</v>
      </c>
      <c r="E449" s="22">
        <v>13.06</v>
      </c>
      <c r="F449" s="22"/>
    </row>
    <row r="450" spans="1:6">
      <c r="A450" s="21" t="s">
        <v>454</v>
      </c>
      <c r="B450" s="22">
        <v>15.21</v>
      </c>
      <c r="C450" s="22">
        <v>13.58</v>
      </c>
      <c r="D450" s="22">
        <v>12.36</v>
      </c>
      <c r="E450" s="22">
        <v>13.05</v>
      </c>
      <c r="F450" s="22"/>
    </row>
    <row r="451" spans="1:6">
      <c r="A451" s="21" t="s">
        <v>455</v>
      </c>
      <c r="B451" s="22">
        <v>15.34</v>
      </c>
      <c r="C451" s="22">
        <v>13.54</v>
      </c>
      <c r="D451" s="22">
        <v>12.3</v>
      </c>
      <c r="E451" s="22">
        <v>13.02</v>
      </c>
      <c r="F451" s="22"/>
    </row>
    <row r="452" spans="1:6">
      <c r="A452" s="21" t="s">
        <v>456</v>
      </c>
      <c r="B452" s="22">
        <v>15.59</v>
      </c>
      <c r="C452" s="22">
        <v>13.51</v>
      </c>
      <c r="D452" s="22">
        <v>12.27</v>
      </c>
      <c r="E452" s="22">
        <v>13.01</v>
      </c>
      <c r="F452" s="22"/>
    </row>
    <row r="453" spans="1:6">
      <c r="A453" s="21" t="s">
        <v>457</v>
      </c>
      <c r="B453" s="22">
        <v>15.27</v>
      </c>
      <c r="C453" s="22">
        <v>13.53</v>
      </c>
      <c r="D453" s="22">
        <v>12.36</v>
      </c>
      <c r="E453" s="22">
        <v>12.99</v>
      </c>
      <c r="F453" s="22"/>
    </row>
    <row r="454" spans="1:6">
      <c r="A454" s="21" t="s">
        <v>458</v>
      </c>
      <c r="B454" s="22">
        <v>15.08</v>
      </c>
      <c r="C454" s="22">
        <v>13.84</v>
      </c>
      <c r="D454" s="22">
        <v>12.17</v>
      </c>
      <c r="E454" s="22">
        <v>13.05</v>
      </c>
      <c r="F454" s="22"/>
    </row>
    <row r="455" spans="1:6">
      <c r="A455" s="21" t="s">
        <v>459</v>
      </c>
      <c r="B455" s="22">
        <v>14.97</v>
      </c>
      <c r="C455" s="22">
        <v>13.88</v>
      </c>
      <c r="D455" s="22">
        <v>12.13</v>
      </c>
      <c r="E455" s="22">
        <v>13.05</v>
      </c>
      <c r="F455" s="22"/>
    </row>
    <row r="456" spans="1:6">
      <c r="A456" s="21" t="s">
        <v>460</v>
      </c>
      <c r="B456" s="22">
        <v>14.88</v>
      </c>
      <c r="C456" s="22">
        <v>13.74</v>
      </c>
      <c r="D456" s="22">
        <v>12.18</v>
      </c>
      <c r="E456" s="22">
        <v>13.03</v>
      </c>
      <c r="F456" s="22"/>
    </row>
    <row r="457" spans="1:6">
      <c r="A457" s="21" t="s">
        <v>461</v>
      </c>
      <c r="B457" s="22">
        <v>14.26</v>
      </c>
      <c r="C457" s="22">
        <v>12.88</v>
      </c>
      <c r="D457" s="22">
        <v>12.39</v>
      </c>
      <c r="E457" s="22">
        <v>12.75</v>
      </c>
      <c r="F457" s="22"/>
    </row>
    <row r="458" spans="1:6">
      <c r="A458" s="21" t="s">
        <v>462</v>
      </c>
      <c r="B458" s="22">
        <v>14.34</v>
      </c>
      <c r="C458" s="22">
        <v>13.15</v>
      </c>
      <c r="D458" s="22">
        <v>12.32</v>
      </c>
      <c r="E458" s="22">
        <v>12.8</v>
      </c>
      <c r="F458" s="22"/>
    </row>
    <row r="459" spans="1:6">
      <c r="A459" s="21" t="s">
        <v>463</v>
      </c>
      <c r="B459" s="22">
        <v>14.42</v>
      </c>
      <c r="C459" s="22">
        <v>13.11</v>
      </c>
      <c r="D459" s="22">
        <v>12.31</v>
      </c>
      <c r="E459" s="22">
        <v>12.8</v>
      </c>
      <c r="F459" s="22"/>
    </row>
    <row r="460" spans="1:6">
      <c r="A460" s="21" t="s">
        <v>464</v>
      </c>
      <c r="B460" s="22">
        <v>14.27</v>
      </c>
      <c r="C460" s="22">
        <v>13.03</v>
      </c>
      <c r="D460" s="22">
        <v>12.32</v>
      </c>
      <c r="E460" s="22">
        <v>12.78</v>
      </c>
      <c r="F460" s="22"/>
    </row>
    <row r="461" spans="1:6">
      <c r="A461" s="21" t="s">
        <v>465</v>
      </c>
      <c r="B461" s="22">
        <v>14.28</v>
      </c>
      <c r="C461" s="22">
        <v>12.96</v>
      </c>
      <c r="D461" s="22">
        <v>12.28</v>
      </c>
      <c r="E461" s="22">
        <v>12.77</v>
      </c>
      <c r="F461" s="22"/>
    </row>
    <row r="462" spans="1:6">
      <c r="A462" s="21" t="s">
        <v>466</v>
      </c>
      <c r="B462" s="22">
        <v>14.18</v>
      </c>
      <c r="C462" s="22">
        <v>12.89</v>
      </c>
      <c r="D462" s="22">
        <v>12.27</v>
      </c>
      <c r="E462" s="22">
        <v>12.65</v>
      </c>
      <c r="F462" s="22"/>
    </row>
    <row r="463" spans="1:6">
      <c r="A463" s="21" t="s">
        <v>467</v>
      </c>
      <c r="B463" s="22">
        <v>14.22</v>
      </c>
      <c r="C463" s="22">
        <v>12.83</v>
      </c>
      <c r="D463" s="22">
        <v>12.23</v>
      </c>
      <c r="E463" s="22">
        <v>12.67</v>
      </c>
      <c r="F463" s="22"/>
    </row>
    <row r="464" spans="1:6">
      <c r="A464" s="21" t="s">
        <v>468</v>
      </c>
      <c r="B464" s="22">
        <v>13.99</v>
      </c>
      <c r="C464" s="22">
        <v>12.62</v>
      </c>
      <c r="D464" s="22">
        <v>12.39</v>
      </c>
      <c r="E464" s="22">
        <v>12.66</v>
      </c>
      <c r="F464" s="22"/>
    </row>
    <row r="465" spans="1:6">
      <c r="A465" s="21" t="s">
        <v>469</v>
      </c>
      <c r="B465" s="22">
        <v>14.32</v>
      </c>
      <c r="C465" s="22">
        <v>12.64</v>
      </c>
      <c r="D465" s="22">
        <v>12.53</v>
      </c>
      <c r="E465" s="22">
        <v>12.74</v>
      </c>
      <c r="F465" s="22"/>
    </row>
    <row r="466" spans="1:6">
      <c r="A466" s="21" t="s">
        <v>470</v>
      </c>
      <c r="B466" s="22">
        <v>14.15</v>
      </c>
      <c r="C466" s="22">
        <v>12.59</v>
      </c>
      <c r="D466" s="22">
        <v>12.5</v>
      </c>
      <c r="E466" s="22">
        <v>12.75</v>
      </c>
      <c r="F466" s="22"/>
    </row>
    <row r="467" spans="1:6">
      <c r="A467" s="21" t="s">
        <v>471</v>
      </c>
      <c r="B467" s="22">
        <v>13.5</v>
      </c>
      <c r="C467" s="22">
        <v>12.59</v>
      </c>
      <c r="D467" s="22">
        <v>12.43</v>
      </c>
      <c r="E467" s="22">
        <v>12.61</v>
      </c>
      <c r="F467" s="22"/>
    </row>
    <row r="468" spans="1:6">
      <c r="A468" s="21" t="s">
        <v>472</v>
      </c>
      <c r="B468" s="22">
        <v>13.8</v>
      </c>
      <c r="C468" s="22">
        <v>12.54</v>
      </c>
      <c r="D468" s="22">
        <v>12.44</v>
      </c>
      <c r="E468" s="22">
        <v>12.6</v>
      </c>
      <c r="F468" s="22"/>
    </row>
    <row r="469" spans="1:6">
      <c r="A469" s="21" t="s">
        <v>473</v>
      </c>
      <c r="B469" s="22">
        <v>14.05</v>
      </c>
      <c r="C469" s="22">
        <v>12.42</v>
      </c>
      <c r="D469" s="22">
        <v>12.45</v>
      </c>
      <c r="E469" s="22">
        <v>12.6</v>
      </c>
      <c r="F469" s="22"/>
    </row>
    <row r="470" spans="1:6">
      <c r="A470" s="21" t="s">
        <v>474</v>
      </c>
      <c r="B470" s="22">
        <v>13.89</v>
      </c>
      <c r="C470" s="22">
        <v>12.36</v>
      </c>
      <c r="D470" s="22">
        <v>12.53</v>
      </c>
      <c r="E470" s="22">
        <v>12.57</v>
      </c>
      <c r="F470" s="22"/>
    </row>
    <row r="471" spans="1:6">
      <c r="A471" s="21" t="s">
        <v>475</v>
      </c>
      <c r="B471" s="22">
        <v>13.75</v>
      </c>
      <c r="C471" s="22">
        <v>12.21</v>
      </c>
      <c r="D471" s="22">
        <v>12.47</v>
      </c>
      <c r="E471" s="22">
        <v>12.45</v>
      </c>
      <c r="F471" s="22"/>
    </row>
    <row r="472" spans="1:6">
      <c r="A472" s="21" t="s">
        <v>476</v>
      </c>
      <c r="B472" s="22">
        <v>13.3</v>
      </c>
      <c r="C472" s="22">
        <v>12.27</v>
      </c>
      <c r="D472" s="22">
        <v>12.38</v>
      </c>
      <c r="E472" s="22">
        <v>12.42</v>
      </c>
      <c r="F472" s="22"/>
    </row>
    <row r="473" spans="1:6">
      <c r="A473" s="21" t="s">
        <v>477</v>
      </c>
      <c r="B473" s="22">
        <v>13.24</v>
      </c>
      <c r="C473" s="22">
        <v>12.31</v>
      </c>
      <c r="D473" s="22">
        <v>12.34</v>
      </c>
      <c r="E473" s="22">
        <v>12.42</v>
      </c>
      <c r="F473" s="22"/>
    </row>
    <row r="474" spans="1:6">
      <c r="A474" s="21" t="s">
        <v>478</v>
      </c>
      <c r="B474" s="22">
        <v>13.21</v>
      </c>
      <c r="C474" s="22">
        <v>12.32</v>
      </c>
      <c r="D474" s="22">
        <v>12.37</v>
      </c>
      <c r="E474" s="22">
        <v>12.42</v>
      </c>
      <c r="F474" s="22"/>
    </row>
    <row r="475" spans="1:6">
      <c r="A475" s="21" t="s">
        <v>479</v>
      </c>
      <c r="B475" s="22">
        <v>13.18</v>
      </c>
      <c r="C475" s="22">
        <v>12.28</v>
      </c>
      <c r="D475" s="22">
        <v>12.38</v>
      </c>
      <c r="E475" s="22">
        <v>12.42</v>
      </c>
      <c r="F475" s="22"/>
    </row>
    <row r="476" spans="1:6">
      <c r="A476" s="21" t="s">
        <v>480</v>
      </c>
      <c r="B476" s="22">
        <v>13.2</v>
      </c>
      <c r="C476" s="22">
        <v>12.33</v>
      </c>
      <c r="D476" s="22">
        <v>12.38</v>
      </c>
      <c r="E476" s="22">
        <v>12.43</v>
      </c>
      <c r="F476" s="22"/>
    </row>
    <row r="477" spans="1:6">
      <c r="A477" s="21" t="s">
        <v>481</v>
      </c>
      <c r="B477" s="22">
        <v>13.21</v>
      </c>
      <c r="C477" s="22">
        <v>12.29</v>
      </c>
      <c r="D477" s="22">
        <v>12.28</v>
      </c>
      <c r="E477" s="22">
        <v>12.36</v>
      </c>
      <c r="F477" s="22"/>
    </row>
    <row r="478" spans="1:6">
      <c r="A478" s="21" t="s">
        <v>482</v>
      </c>
      <c r="B478" s="22">
        <v>13.22</v>
      </c>
      <c r="C478" s="22">
        <v>12.34</v>
      </c>
      <c r="D478" s="22">
        <v>12.25</v>
      </c>
      <c r="E478" s="22">
        <v>12.37</v>
      </c>
      <c r="F478" s="22"/>
    </row>
    <row r="479" spans="1:6">
      <c r="A479" s="21" t="s">
        <v>483</v>
      </c>
      <c r="B479" s="22">
        <v>13.2</v>
      </c>
      <c r="C479" s="22">
        <v>12.32</v>
      </c>
      <c r="D479" s="22">
        <v>12.28</v>
      </c>
      <c r="E479" s="22">
        <v>12.37</v>
      </c>
      <c r="F479" s="22"/>
    </row>
    <row r="480" spans="1:6">
      <c r="A480" s="21" t="s">
        <v>484</v>
      </c>
      <c r="B480" s="22">
        <v>13.05</v>
      </c>
      <c r="C480" s="22">
        <v>12.32</v>
      </c>
      <c r="D480" s="22">
        <v>12.27</v>
      </c>
      <c r="E480" s="22">
        <v>12.38</v>
      </c>
      <c r="F480" s="22"/>
    </row>
    <row r="481" spans="1:6">
      <c r="A481" s="21" t="s">
        <v>485</v>
      </c>
      <c r="B481" s="22">
        <v>13.24</v>
      </c>
      <c r="C481" s="22">
        <v>12.23</v>
      </c>
      <c r="D481" s="22">
        <v>12.25</v>
      </c>
      <c r="E481" s="22">
        <v>12.34</v>
      </c>
      <c r="F481" s="22"/>
    </row>
    <row r="482" spans="1:6">
      <c r="A482" s="21" t="s">
        <v>486</v>
      </c>
      <c r="B482" s="22">
        <v>13.2</v>
      </c>
      <c r="C482" s="22">
        <v>12.12</v>
      </c>
      <c r="D482" s="22">
        <v>12.18</v>
      </c>
      <c r="E482" s="22">
        <v>12.26</v>
      </c>
      <c r="F482" s="22"/>
    </row>
    <row r="483" spans="1:6">
      <c r="A483" s="21" t="s">
        <v>487</v>
      </c>
      <c r="B483" s="22">
        <v>13.23</v>
      </c>
      <c r="C483" s="22">
        <v>11.97</v>
      </c>
      <c r="D483" s="22">
        <v>12.16</v>
      </c>
      <c r="E483" s="22">
        <v>12.2</v>
      </c>
      <c r="F483" s="22"/>
    </row>
    <row r="484" spans="1:6">
      <c r="A484" s="21" t="s">
        <v>488</v>
      </c>
      <c r="B484" s="22">
        <v>13.12</v>
      </c>
      <c r="C484" s="22">
        <v>12.1</v>
      </c>
      <c r="D484" s="22">
        <v>12.16</v>
      </c>
      <c r="E484" s="22">
        <v>12.23</v>
      </c>
      <c r="F484" s="22"/>
    </row>
    <row r="485" spans="1:6">
      <c r="A485" s="21" t="s">
        <v>489</v>
      </c>
      <c r="B485" s="22">
        <v>12.99</v>
      </c>
      <c r="C485" s="22">
        <v>12.04</v>
      </c>
      <c r="D485" s="22">
        <v>12.11</v>
      </c>
      <c r="E485" s="22">
        <v>12.21</v>
      </c>
      <c r="F485" s="22"/>
    </row>
    <row r="486" spans="1:6">
      <c r="A486" s="21" t="s">
        <v>490</v>
      </c>
      <c r="B486" s="22">
        <v>13.07</v>
      </c>
      <c r="C486" s="22">
        <v>12.11</v>
      </c>
      <c r="D486" s="22">
        <v>12.11</v>
      </c>
      <c r="E486" s="22">
        <v>12.21</v>
      </c>
      <c r="F486" s="22"/>
    </row>
    <row r="487" spans="1:6">
      <c r="A487" s="21" t="s">
        <v>491</v>
      </c>
      <c r="B487" s="22">
        <v>12.81</v>
      </c>
      <c r="C487" s="22">
        <v>11.93</v>
      </c>
      <c r="D487" s="22">
        <v>12.09</v>
      </c>
      <c r="E487" s="22">
        <v>12.11</v>
      </c>
      <c r="F487" s="22"/>
    </row>
    <row r="488" spans="1:6">
      <c r="A488" s="21" t="s">
        <v>492</v>
      </c>
      <c r="B488" s="22">
        <v>13.09</v>
      </c>
      <c r="C488" s="22">
        <v>11.87</v>
      </c>
      <c r="D488" s="22">
        <v>12.09</v>
      </c>
      <c r="E488" s="22">
        <v>12.1</v>
      </c>
      <c r="F488" s="22"/>
    </row>
    <row r="489" spans="1:6">
      <c r="A489" s="21" t="s">
        <v>493</v>
      </c>
      <c r="B489" s="22">
        <v>12.97</v>
      </c>
      <c r="C489" s="22">
        <v>11.87</v>
      </c>
      <c r="D489" s="22">
        <v>12.11</v>
      </c>
      <c r="E489" s="22">
        <v>12.1</v>
      </c>
      <c r="F489" s="22"/>
    </row>
    <row r="490" spans="1:6">
      <c r="A490" s="21" t="s">
        <v>494</v>
      </c>
      <c r="B490" s="22">
        <v>13.04</v>
      </c>
      <c r="C490" s="22">
        <v>11.78</v>
      </c>
      <c r="D490" s="22">
        <v>12.1</v>
      </c>
      <c r="E490" s="22">
        <v>12.11</v>
      </c>
      <c r="F490" s="22"/>
    </row>
    <row r="491" spans="1:6">
      <c r="A491" s="21" t="s">
        <v>495</v>
      </c>
      <c r="B491" s="22">
        <v>13.14</v>
      </c>
      <c r="C491" s="22">
        <v>11.58</v>
      </c>
      <c r="D491" s="22">
        <v>12.18</v>
      </c>
      <c r="E491" s="22">
        <v>12.07</v>
      </c>
      <c r="F491" s="22"/>
    </row>
    <row r="492" spans="1:6">
      <c r="A492" s="21" t="s">
        <v>496</v>
      </c>
      <c r="B492" s="22">
        <v>13.34</v>
      </c>
      <c r="C492" s="22">
        <v>11.47</v>
      </c>
      <c r="D492" s="22">
        <v>12.15</v>
      </c>
      <c r="E492" s="22">
        <v>12.01</v>
      </c>
      <c r="F492" s="22"/>
    </row>
    <row r="493" spans="1:6">
      <c r="A493" s="21" t="s">
        <v>497</v>
      </c>
      <c r="B493" s="22">
        <v>13.15</v>
      </c>
      <c r="C493" s="22">
        <v>11.66</v>
      </c>
      <c r="D493" s="22">
        <v>12.12</v>
      </c>
      <c r="E493" s="22">
        <v>12.04</v>
      </c>
      <c r="F493" s="22"/>
    </row>
    <row r="494" spans="1:6">
      <c r="A494" s="21" t="s">
        <v>498</v>
      </c>
      <c r="B494" s="22">
        <v>13.17</v>
      </c>
      <c r="C494" s="22">
        <v>11.65</v>
      </c>
      <c r="D494" s="22">
        <v>12.03</v>
      </c>
      <c r="E494" s="22">
        <v>12.04</v>
      </c>
      <c r="F494" s="22"/>
    </row>
    <row r="495" spans="1:6">
      <c r="A495" s="21" t="s">
        <v>499</v>
      </c>
      <c r="B495" s="22">
        <v>12.98</v>
      </c>
      <c r="C495" s="22">
        <v>11.81</v>
      </c>
      <c r="D495" s="22">
        <v>12.06</v>
      </c>
      <c r="E495" s="22">
        <v>12.05</v>
      </c>
      <c r="F495" s="22"/>
    </row>
    <row r="496" spans="1:6">
      <c r="A496" s="21" t="s">
        <v>500</v>
      </c>
      <c r="B496" s="22">
        <v>12.98</v>
      </c>
      <c r="C496" s="22">
        <v>11.79</v>
      </c>
      <c r="D496" s="22">
        <v>12.08</v>
      </c>
      <c r="E496" s="22">
        <v>12.07</v>
      </c>
      <c r="F496" s="22"/>
    </row>
    <row r="497" spans="1:6">
      <c r="A497" s="21" t="s">
        <v>501</v>
      </c>
      <c r="B497" s="22">
        <v>12.69</v>
      </c>
      <c r="C497" s="22">
        <v>11.66</v>
      </c>
      <c r="D497" s="22">
        <v>12.06</v>
      </c>
      <c r="E497" s="22">
        <v>11.96</v>
      </c>
      <c r="F497" s="22"/>
    </row>
    <row r="498" spans="1:6">
      <c r="A498" s="21" t="s">
        <v>502</v>
      </c>
      <c r="B498" s="22">
        <v>12.69</v>
      </c>
      <c r="C498" s="22">
        <v>11.64</v>
      </c>
      <c r="D498" s="22">
        <v>12.01</v>
      </c>
      <c r="E498" s="22">
        <v>11.91</v>
      </c>
      <c r="F498" s="22"/>
    </row>
    <row r="499" spans="1:6">
      <c r="A499" s="21" t="s">
        <v>503</v>
      </c>
      <c r="B499" s="22">
        <v>12.72</v>
      </c>
      <c r="C499" s="22">
        <v>11.68</v>
      </c>
      <c r="D499" s="22">
        <v>11.97</v>
      </c>
      <c r="E499" s="22">
        <v>11.89</v>
      </c>
      <c r="F499" s="22"/>
    </row>
    <row r="500" spans="1:6">
      <c r="A500" s="21" t="s">
        <v>504</v>
      </c>
      <c r="B500" s="22">
        <v>12.83</v>
      </c>
      <c r="C500" s="22">
        <v>11.71</v>
      </c>
      <c r="D500" s="22">
        <v>11.97</v>
      </c>
      <c r="E500" s="22">
        <v>11.85</v>
      </c>
      <c r="F500" s="22"/>
    </row>
    <row r="501" spans="1:6">
      <c r="A501" s="21" t="s">
        <v>505</v>
      </c>
      <c r="B501" s="22">
        <v>12.79</v>
      </c>
      <c r="C501" s="22">
        <v>11.67</v>
      </c>
      <c r="D501" s="22">
        <v>11.89</v>
      </c>
      <c r="E501" s="22">
        <v>11.9</v>
      </c>
      <c r="F501" s="22"/>
    </row>
    <row r="502" spans="1:6">
      <c r="A502" s="21" t="s">
        <v>506</v>
      </c>
      <c r="B502" s="22">
        <v>12.74</v>
      </c>
      <c r="C502" s="22">
        <v>11.67</v>
      </c>
      <c r="D502" s="22">
        <v>11.89</v>
      </c>
      <c r="E502" s="22">
        <v>11.88</v>
      </c>
      <c r="F502" s="22"/>
    </row>
    <row r="503" spans="1:6">
      <c r="A503" s="21" t="s">
        <v>507</v>
      </c>
      <c r="B503" s="22">
        <v>12.59</v>
      </c>
      <c r="C503" s="22">
        <v>11.64</v>
      </c>
      <c r="D503" s="22">
        <v>11.99</v>
      </c>
      <c r="E503" s="22">
        <v>11.92</v>
      </c>
      <c r="F503" s="22"/>
    </row>
    <row r="504" spans="1:6">
      <c r="A504" s="21" t="s">
        <v>508</v>
      </c>
      <c r="B504" s="22">
        <v>12.6</v>
      </c>
      <c r="C504" s="22">
        <v>11.64</v>
      </c>
      <c r="D504" s="22">
        <v>11.98</v>
      </c>
      <c r="E504" s="22">
        <v>11.91</v>
      </c>
      <c r="F504" s="22"/>
    </row>
    <row r="505" spans="1:6">
      <c r="A505" s="21" t="s">
        <v>509</v>
      </c>
      <c r="B505" s="22">
        <v>12.75</v>
      </c>
      <c r="C505" s="22">
        <v>11.66</v>
      </c>
      <c r="D505" s="22">
        <v>12.03</v>
      </c>
      <c r="E505" s="22">
        <v>11.96</v>
      </c>
      <c r="F505" s="22"/>
    </row>
    <row r="506" spans="1:6">
      <c r="A506" s="21" t="s">
        <v>510</v>
      </c>
      <c r="B506" s="22">
        <v>12.43</v>
      </c>
      <c r="C506" s="22">
        <v>11.45</v>
      </c>
      <c r="D506" s="22">
        <v>11.97</v>
      </c>
      <c r="E506" s="22">
        <v>11.82</v>
      </c>
      <c r="F506" s="22"/>
    </row>
    <row r="507" spans="1:6">
      <c r="A507" s="21" t="s">
        <v>511</v>
      </c>
      <c r="B507" s="22">
        <v>12.56</v>
      </c>
      <c r="C507" s="22">
        <v>11.55</v>
      </c>
      <c r="D507" s="22">
        <v>11.99</v>
      </c>
      <c r="E507" s="22">
        <v>11.82</v>
      </c>
      <c r="F507" s="22"/>
    </row>
    <row r="508" spans="1:6">
      <c r="A508" s="21" t="s">
        <v>512</v>
      </c>
      <c r="B508" s="22">
        <v>12.63</v>
      </c>
      <c r="C508" s="22">
        <v>11.49</v>
      </c>
      <c r="D508" s="22">
        <v>11.99</v>
      </c>
      <c r="E508" s="22">
        <v>11.87</v>
      </c>
      <c r="F508" s="22"/>
    </row>
    <row r="509" spans="1:6">
      <c r="A509" s="21" t="s">
        <v>513</v>
      </c>
      <c r="B509" s="22">
        <v>12.57</v>
      </c>
      <c r="C509" s="22">
        <v>11.46</v>
      </c>
      <c r="D509" s="22">
        <v>12.04</v>
      </c>
      <c r="E509" s="22">
        <v>11.86</v>
      </c>
      <c r="F509" s="22"/>
    </row>
    <row r="510" spans="1:6">
      <c r="A510" s="21" t="s">
        <v>514</v>
      </c>
      <c r="B510" s="22">
        <v>12.59</v>
      </c>
      <c r="C510" s="22">
        <v>11.47</v>
      </c>
      <c r="D510" s="22">
        <v>12.03</v>
      </c>
      <c r="E510" s="22">
        <v>11.86</v>
      </c>
      <c r="F510" s="22"/>
    </row>
    <row r="511" spans="1:6">
      <c r="A511" s="21" t="s">
        <v>515</v>
      </c>
      <c r="B511" s="22">
        <v>12.5</v>
      </c>
      <c r="C511" s="22">
        <v>11.54</v>
      </c>
      <c r="D511" s="22">
        <v>12.03</v>
      </c>
      <c r="E511" s="22">
        <v>11.84</v>
      </c>
      <c r="F511" s="22">
        <v>11.84</v>
      </c>
    </row>
    <row r="512" spans="1:6">
      <c r="A512" s="21" t="s">
        <v>516</v>
      </c>
      <c r="B512" s="22">
        <v>12.75</v>
      </c>
      <c r="C512" s="22">
        <v>11.62</v>
      </c>
      <c r="D512" s="22">
        <v>11.98</v>
      </c>
      <c r="E512" s="22">
        <v>11.88</v>
      </c>
      <c r="F512" s="22">
        <v>11.88</v>
      </c>
    </row>
    <row r="513" spans="1:6">
      <c r="A513" s="21" t="s">
        <v>517</v>
      </c>
      <c r="B513" s="22">
        <v>12.48</v>
      </c>
      <c r="C513" s="22">
        <v>11.49</v>
      </c>
      <c r="D513" s="22">
        <v>11.97</v>
      </c>
      <c r="E513" s="22">
        <v>11.85</v>
      </c>
      <c r="F513" s="22">
        <v>11.85</v>
      </c>
    </row>
    <row r="514" spans="1:6">
      <c r="A514" s="21" t="s">
        <v>518</v>
      </c>
      <c r="B514" s="22">
        <v>12.63</v>
      </c>
      <c r="C514" s="22">
        <v>11.62</v>
      </c>
      <c r="D514" s="22">
        <v>12.01</v>
      </c>
      <c r="E514" s="22">
        <v>11.84</v>
      </c>
      <c r="F514" s="22">
        <v>11.82</v>
      </c>
    </row>
    <row r="515" spans="1:6">
      <c r="A515" s="21" t="s">
        <v>519</v>
      </c>
      <c r="B515" s="22">
        <v>12.4</v>
      </c>
      <c r="C515" s="22">
        <v>11.66</v>
      </c>
      <c r="D515" s="22">
        <v>11.92</v>
      </c>
      <c r="E515" s="22">
        <v>11.86</v>
      </c>
      <c r="F515" s="22">
        <v>11.86</v>
      </c>
    </row>
    <row r="516" spans="1:6">
      <c r="A516" s="21" t="s">
        <v>520</v>
      </c>
      <c r="B516" s="22">
        <v>12.45</v>
      </c>
      <c r="C516" s="22">
        <v>11.73</v>
      </c>
      <c r="D516" s="22">
        <v>11.93</v>
      </c>
      <c r="E516" s="22">
        <v>11.87</v>
      </c>
      <c r="F516" s="22">
        <v>11.87</v>
      </c>
    </row>
    <row r="517" spans="1:6">
      <c r="A517" s="21" t="s">
        <v>521</v>
      </c>
      <c r="B517" s="22">
        <v>12.65</v>
      </c>
      <c r="C517" s="22">
        <v>11.64</v>
      </c>
      <c r="D517" s="22">
        <v>11.95</v>
      </c>
      <c r="E517" s="22">
        <v>11.89</v>
      </c>
      <c r="F517" s="22">
        <v>11.89</v>
      </c>
    </row>
    <row r="518" spans="1:6">
      <c r="A518" s="21" t="s">
        <v>522</v>
      </c>
      <c r="B518" s="22">
        <v>12.39</v>
      </c>
      <c r="C518" s="22">
        <v>11.55</v>
      </c>
      <c r="D518" s="22">
        <v>11.97</v>
      </c>
      <c r="E518" s="22">
        <v>11.86</v>
      </c>
      <c r="F518" s="22">
        <v>11.86</v>
      </c>
    </row>
    <row r="519" spans="1:6">
      <c r="A519" s="21" t="s">
        <v>523</v>
      </c>
      <c r="B519" s="22">
        <v>12.34</v>
      </c>
      <c r="C519" s="22">
        <v>11.54</v>
      </c>
      <c r="D519" s="22">
        <v>12.05</v>
      </c>
      <c r="E519" s="22">
        <v>11.84</v>
      </c>
      <c r="F519" s="22">
        <v>11.84</v>
      </c>
    </row>
    <row r="520" spans="1:6">
      <c r="A520" s="21" t="s">
        <v>524</v>
      </c>
      <c r="B520" s="22">
        <v>12.28</v>
      </c>
      <c r="C520" s="22">
        <v>11.91</v>
      </c>
      <c r="D520" s="22">
        <v>12.01</v>
      </c>
      <c r="E520" s="22">
        <v>11.93</v>
      </c>
      <c r="F520" s="22">
        <v>11.89</v>
      </c>
    </row>
    <row r="521" spans="1:6">
      <c r="A521" s="21" t="s">
        <v>525</v>
      </c>
      <c r="B521" s="22">
        <v>12.34</v>
      </c>
      <c r="C521" s="22">
        <v>11.84</v>
      </c>
      <c r="D521" s="22">
        <v>11.99</v>
      </c>
      <c r="E521" s="22">
        <v>11.95</v>
      </c>
      <c r="F521" s="22">
        <v>11.95</v>
      </c>
    </row>
    <row r="522" spans="1:6">
      <c r="A522" s="21" t="s">
        <v>526</v>
      </c>
      <c r="B522" s="22">
        <v>12.29</v>
      </c>
      <c r="C522" s="22">
        <v>11.82</v>
      </c>
      <c r="D522" s="22">
        <v>12.05</v>
      </c>
      <c r="E522" s="22">
        <v>11.98</v>
      </c>
      <c r="F522" s="22">
        <v>11.95</v>
      </c>
    </row>
    <row r="523" spans="1:6">
      <c r="A523" s="21" t="s">
        <v>527</v>
      </c>
      <c r="B523" s="22">
        <v>12.3</v>
      </c>
      <c r="C523" s="22">
        <v>11.84</v>
      </c>
      <c r="D523" s="22">
        <v>12</v>
      </c>
      <c r="E523" s="22">
        <v>11.97</v>
      </c>
      <c r="F523" s="22">
        <v>11.97</v>
      </c>
    </row>
    <row r="524" spans="1:6">
      <c r="A524" s="21" t="s">
        <v>528</v>
      </c>
      <c r="B524" s="22">
        <v>12.37</v>
      </c>
      <c r="C524" s="22">
        <v>11.88</v>
      </c>
      <c r="D524" s="22">
        <v>12</v>
      </c>
      <c r="E524" s="22">
        <v>11.97</v>
      </c>
      <c r="F524" s="22">
        <v>11.97</v>
      </c>
    </row>
    <row r="525" spans="1:6">
      <c r="A525" s="21" t="s">
        <v>529</v>
      </c>
      <c r="B525" s="22">
        <v>12.34</v>
      </c>
      <c r="C525" s="22">
        <v>11.86</v>
      </c>
      <c r="D525" s="22">
        <v>12</v>
      </c>
      <c r="E525" s="22">
        <v>11.96</v>
      </c>
      <c r="F525" s="22">
        <v>11.96</v>
      </c>
    </row>
    <row r="526" spans="1:6">
      <c r="A526" s="21" t="s">
        <v>530</v>
      </c>
      <c r="B526" s="22">
        <v>12.51</v>
      </c>
      <c r="C526" s="22">
        <v>11.87</v>
      </c>
      <c r="D526" s="22">
        <v>12.03</v>
      </c>
      <c r="E526" s="22">
        <v>11.99</v>
      </c>
      <c r="F526" s="22">
        <v>11.99</v>
      </c>
    </row>
    <row r="527" spans="1:6">
      <c r="A527" s="21" t="s">
        <v>531</v>
      </c>
      <c r="B527" s="22">
        <v>12.56</v>
      </c>
      <c r="C527" s="22">
        <v>11.92</v>
      </c>
      <c r="D527" s="22">
        <v>12.08</v>
      </c>
      <c r="E527" s="22">
        <v>12.02</v>
      </c>
      <c r="F527" s="22">
        <v>12</v>
      </c>
    </row>
    <row r="528" spans="1:6">
      <c r="A528" s="21" t="s">
        <v>532</v>
      </c>
      <c r="B528" s="22">
        <v>12.55</v>
      </c>
      <c r="C528" s="22">
        <v>11.88</v>
      </c>
      <c r="D528" s="22">
        <v>12.1</v>
      </c>
      <c r="E528" s="22">
        <v>12.06</v>
      </c>
      <c r="F528" s="22">
        <v>12.06</v>
      </c>
    </row>
    <row r="529" spans="1:6">
      <c r="A529" s="21" t="s">
        <v>533</v>
      </c>
      <c r="B529" s="22">
        <v>12.64</v>
      </c>
      <c r="C529" s="22">
        <v>11.96</v>
      </c>
      <c r="D529" s="22">
        <v>12.13</v>
      </c>
      <c r="E529" s="22">
        <v>12.09</v>
      </c>
      <c r="F529" s="22">
        <v>12.09</v>
      </c>
    </row>
    <row r="530" spans="1:6">
      <c r="A530" s="21" t="s">
        <v>534</v>
      </c>
      <c r="B530" s="22">
        <v>12.76</v>
      </c>
      <c r="C530" s="22">
        <v>11.93</v>
      </c>
      <c r="D530" s="22">
        <v>12.09</v>
      </c>
      <c r="E530" s="22">
        <v>12.1</v>
      </c>
      <c r="F530" s="22">
        <v>12.1</v>
      </c>
    </row>
    <row r="531" spans="1:6">
      <c r="A531" s="21" t="s">
        <v>535</v>
      </c>
      <c r="B531" s="22">
        <v>13.02</v>
      </c>
      <c r="C531" s="22">
        <v>11.91</v>
      </c>
      <c r="D531" s="22">
        <v>12.2</v>
      </c>
      <c r="E531" s="22">
        <v>12.14</v>
      </c>
      <c r="F531" s="22">
        <v>12.14</v>
      </c>
    </row>
    <row r="532" spans="1:6">
      <c r="A532" s="21" t="s">
        <v>536</v>
      </c>
      <c r="B532" s="22">
        <v>13.1</v>
      </c>
      <c r="C532" s="22">
        <v>11.94</v>
      </c>
      <c r="D532" s="22">
        <v>12.09</v>
      </c>
      <c r="E532" s="22">
        <v>12.14</v>
      </c>
      <c r="F532" s="22">
        <v>12.14</v>
      </c>
    </row>
    <row r="533" spans="1:6">
      <c r="A533" s="21" t="s">
        <v>537</v>
      </c>
      <c r="B533" s="22">
        <v>12.73</v>
      </c>
      <c r="C533" s="22">
        <v>11.97</v>
      </c>
      <c r="D533" s="22">
        <v>12.22</v>
      </c>
      <c r="E533" s="22">
        <v>12.15</v>
      </c>
      <c r="F533" s="22">
        <v>12.11</v>
      </c>
    </row>
    <row r="534" spans="1:6">
      <c r="A534" s="21" t="s">
        <v>538</v>
      </c>
      <c r="B534" s="22">
        <v>12.86</v>
      </c>
      <c r="C534" s="22">
        <v>12.11</v>
      </c>
      <c r="D534" s="22">
        <v>12.06</v>
      </c>
      <c r="E534" s="22">
        <v>12.16</v>
      </c>
      <c r="F534" s="22">
        <v>12.14</v>
      </c>
    </row>
    <row r="535" spans="1:6">
      <c r="A535" s="21" t="s">
        <v>539</v>
      </c>
      <c r="B535" s="22">
        <v>12.75</v>
      </c>
      <c r="C535" s="22">
        <v>12.26</v>
      </c>
      <c r="D535" s="22">
        <v>12.04</v>
      </c>
      <c r="E535" s="22">
        <v>12.19</v>
      </c>
      <c r="F535" s="22">
        <v>12.17</v>
      </c>
    </row>
    <row r="536" spans="1:6">
      <c r="A536" s="21" t="s">
        <v>540</v>
      </c>
      <c r="B536" s="22">
        <v>12.93</v>
      </c>
      <c r="C536" s="22">
        <v>12.18</v>
      </c>
      <c r="D536" s="22">
        <v>12.05</v>
      </c>
      <c r="E536" s="22">
        <v>12.18</v>
      </c>
      <c r="F536" s="22">
        <v>12.16</v>
      </c>
    </row>
    <row r="537" spans="1:6">
      <c r="A537" s="21" t="s">
        <v>541</v>
      </c>
      <c r="B537" s="22">
        <v>12.77</v>
      </c>
      <c r="C537" s="22">
        <v>12.06</v>
      </c>
      <c r="D537" s="22">
        <v>12.28</v>
      </c>
      <c r="E537" s="22">
        <v>12.22</v>
      </c>
      <c r="F537" s="22">
        <v>12.17</v>
      </c>
    </row>
    <row r="538" spans="1:6">
      <c r="A538" s="21" t="s">
        <v>542</v>
      </c>
      <c r="B538" s="22">
        <v>12.66</v>
      </c>
      <c r="C538" s="22">
        <v>12.07</v>
      </c>
      <c r="D538" s="22">
        <v>12.2</v>
      </c>
      <c r="E538" s="22">
        <v>12.18</v>
      </c>
      <c r="F538" s="22">
        <v>12.16</v>
      </c>
    </row>
    <row r="539" spans="1:6">
      <c r="A539" s="21" t="s">
        <v>543</v>
      </c>
      <c r="B539" s="22">
        <v>12.76</v>
      </c>
      <c r="C539" s="22">
        <v>12.09</v>
      </c>
      <c r="D539" s="22">
        <v>12.23</v>
      </c>
      <c r="E539" s="22">
        <v>12.18</v>
      </c>
      <c r="F539" s="22">
        <v>12.16</v>
      </c>
    </row>
    <row r="540" spans="1:6">
      <c r="A540" s="21" t="s">
        <v>544</v>
      </c>
      <c r="B540" s="22">
        <v>12.77</v>
      </c>
      <c r="C540" s="22">
        <v>12.16</v>
      </c>
      <c r="D540" s="22">
        <v>12.39</v>
      </c>
      <c r="E540" s="22">
        <v>12.35</v>
      </c>
      <c r="F540" s="22">
        <v>12.33</v>
      </c>
    </row>
    <row r="541" spans="1:6">
      <c r="A541" s="21" t="s">
        <v>545</v>
      </c>
      <c r="B541" s="22">
        <v>12.8</v>
      </c>
      <c r="C541" s="22">
        <v>12.21</v>
      </c>
      <c r="D541" s="22">
        <v>12.33</v>
      </c>
      <c r="E541" s="22">
        <v>12.34</v>
      </c>
      <c r="F541" s="22">
        <v>12.32</v>
      </c>
    </row>
    <row r="542" spans="1:6">
      <c r="A542" s="21" t="s">
        <v>546</v>
      </c>
      <c r="B542" s="22">
        <v>13.54</v>
      </c>
      <c r="C542" s="22">
        <v>12.02</v>
      </c>
      <c r="D542" s="22">
        <v>12.37</v>
      </c>
      <c r="E542" s="22">
        <v>12.37</v>
      </c>
      <c r="F542" s="22">
        <v>12.32</v>
      </c>
    </row>
    <row r="543" spans="1:6">
      <c r="A543" s="21" t="s">
        <v>547</v>
      </c>
      <c r="B543" s="22">
        <v>13.04</v>
      </c>
      <c r="C543" s="22">
        <v>12.23</v>
      </c>
      <c r="D543" s="22">
        <v>12.42</v>
      </c>
      <c r="E543" s="22">
        <v>12.36</v>
      </c>
      <c r="F543" s="22">
        <v>12.36</v>
      </c>
    </row>
    <row r="544" spans="1:6">
      <c r="A544" s="21" t="s">
        <v>548</v>
      </c>
      <c r="B544" s="22">
        <v>12.87</v>
      </c>
      <c r="C544" s="22">
        <v>12.35</v>
      </c>
      <c r="D544" s="22">
        <v>12.33</v>
      </c>
      <c r="E544" s="22">
        <v>12.34</v>
      </c>
      <c r="F544" s="22">
        <v>12.34</v>
      </c>
    </row>
    <row r="545" spans="1:6">
      <c r="A545" s="21" t="s">
        <v>549</v>
      </c>
      <c r="B545" s="22">
        <v>12.76</v>
      </c>
      <c r="C545" s="22">
        <v>12.46</v>
      </c>
      <c r="D545" s="22">
        <v>12.54</v>
      </c>
      <c r="E545" s="22">
        <v>12.52</v>
      </c>
      <c r="F545" s="22">
        <v>12.52</v>
      </c>
    </row>
    <row r="546" spans="1:6">
      <c r="A546" s="21" t="s">
        <v>550</v>
      </c>
      <c r="B546" s="22">
        <v>12.74</v>
      </c>
      <c r="C546" s="22">
        <v>12.46</v>
      </c>
      <c r="D546" s="22">
        <v>12.58</v>
      </c>
      <c r="E546" s="22">
        <v>12.56</v>
      </c>
      <c r="F546" s="22">
        <v>12.56</v>
      </c>
    </row>
    <row r="547" spans="1:6">
      <c r="A547" s="21" t="s">
        <v>551</v>
      </c>
      <c r="B547" s="22">
        <v>12.69</v>
      </c>
      <c r="C547" s="22">
        <v>12.5</v>
      </c>
      <c r="D547" s="22">
        <v>12.45</v>
      </c>
      <c r="E547" s="22">
        <v>12.56</v>
      </c>
      <c r="F547" s="22">
        <v>12.56</v>
      </c>
    </row>
    <row r="548" spans="1:6">
      <c r="A548" s="21" t="s">
        <v>552</v>
      </c>
      <c r="B548" s="22">
        <v>12.93</v>
      </c>
      <c r="C548" s="22">
        <v>12.54</v>
      </c>
      <c r="D548" s="22">
        <v>12.44</v>
      </c>
      <c r="E548" s="22">
        <v>12.57</v>
      </c>
      <c r="F548" s="22">
        <v>12.55</v>
      </c>
    </row>
    <row r="549" spans="1:6">
      <c r="A549" s="21" t="s">
        <v>553</v>
      </c>
      <c r="B549" s="22">
        <v>12.63</v>
      </c>
      <c r="C549" s="22">
        <v>12.58</v>
      </c>
      <c r="D549" s="22">
        <v>12.38</v>
      </c>
      <c r="E549" s="22">
        <v>12.44</v>
      </c>
      <c r="F549" s="22">
        <v>12.44</v>
      </c>
    </row>
    <row r="550" spans="1:6">
      <c r="A550" s="21" t="s">
        <v>554</v>
      </c>
      <c r="B550" s="22">
        <v>12.87</v>
      </c>
      <c r="C550" s="22">
        <v>12.5</v>
      </c>
      <c r="D550" s="22">
        <v>12.41</v>
      </c>
      <c r="E550" s="22">
        <v>12.51</v>
      </c>
      <c r="F550" s="22">
        <v>12.51</v>
      </c>
    </row>
    <row r="551" spans="1:6">
      <c r="A551" s="21" t="s">
        <v>555</v>
      </c>
      <c r="B551" s="22">
        <v>13.22</v>
      </c>
      <c r="C551" s="22">
        <v>12.64</v>
      </c>
      <c r="D551" s="22">
        <v>12.34</v>
      </c>
      <c r="E551" s="22">
        <v>12.5</v>
      </c>
      <c r="F551" s="22">
        <v>12.51</v>
      </c>
    </row>
    <row r="552" spans="1:6">
      <c r="A552" s="21" t="s">
        <v>556</v>
      </c>
      <c r="B552" s="22">
        <v>13.23</v>
      </c>
      <c r="C552" s="22">
        <v>12.57</v>
      </c>
      <c r="D552" s="22">
        <v>12.17</v>
      </c>
      <c r="E552" s="22">
        <v>12.48</v>
      </c>
      <c r="F552" s="22">
        <v>12.49</v>
      </c>
    </row>
    <row r="553" spans="1:6">
      <c r="A553" s="21" t="s">
        <v>557</v>
      </c>
      <c r="B553" s="22">
        <v>13.27</v>
      </c>
      <c r="C553" s="22">
        <v>12.47</v>
      </c>
      <c r="D553" s="22">
        <v>12.1</v>
      </c>
      <c r="E553" s="22">
        <v>12.38</v>
      </c>
      <c r="F553" s="22">
        <v>12.37</v>
      </c>
    </row>
    <row r="554" spans="1:6">
      <c r="A554" s="21" t="s">
        <v>558</v>
      </c>
      <c r="B554" s="22">
        <v>13.05</v>
      </c>
      <c r="C554" s="22">
        <v>12.74</v>
      </c>
      <c r="D554" s="22">
        <v>12.22</v>
      </c>
      <c r="E554" s="22">
        <v>12.37</v>
      </c>
      <c r="F554" s="22">
        <v>12.36</v>
      </c>
    </row>
    <row r="555" spans="1:6">
      <c r="A555" s="21" t="s">
        <v>559</v>
      </c>
      <c r="B555" s="22">
        <v>13.13</v>
      </c>
      <c r="C555" s="22">
        <v>12.76</v>
      </c>
      <c r="D555" s="22">
        <v>12.57</v>
      </c>
      <c r="E555" s="22">
        <v>12.7</v>
      </c>
      <c r="F555" s="22">
        <v>12.7</v>
      </c>
    </row>
    <row r="556" spans="1:6">
      <c r="A556" s="21" t="s">
        <v>560</v>
      </c>
      <c r="B556" s="22">
        <v>13.12</v>
      </c>
      <c r="C556" s="22">
        <v>12.82</v>
      </c>
      <c r="D556" s="22">
        <v>12.54</v>
      </c>
      <c r="E556" s="22">
        <v>12.77</v>
      </c>
      <c r="F556" s="22">
        <v>12.76</v>
      </c>
    </row>
    <row r="557" spans="1:6">
      <c r="A557" s="21" t="s">
        <v>561</v>
      </c>
      <c r="B557" s="22">
        <v>13.25</v>
      </c>
      <c r="C557" s="22">
        <v>12.74</v>
      </c>
      <c r="D557" s="22">
        <v>12.46</v>
      </c>
      <c r="E557" s="22">
        <v>12.71</v>
      </c>
      <c r="F557" s="22">
        <v>12.69</v>
      </c>
    </row>
    <row r="558" spans="1:6">
      <c r="A558" s="21" t="s">
        <v>562</v>
      </c>
      <c r="B558" s="22">
        <v>13.39</v>
      </c>
      <c r="C558" s="22">
        <v>12.88</v>
      </c>
      <c r="D558" s="22">
        <v>12.36</v>
      </c>
      <c r="E558" s="22">
        <v>12.7</v>
      </c>
      <c r="F558" s="22">
        <v>12.68</v>
      </c>
    </row>
    <row r="559" spans="1:6">
      <c r="A559" s="21" t="s">
        <v>563</v>
      </c>
      <c r="B559" s="22">
        <v>13.18</v>
      </c>
      <c r="C559" s="22">
        <v>12.73</v>
      </c>
      <c r="D559" s="22">
        <v>12.33</v>
      </c>
      <c r="E559" s="22">
        <v>12.53</v>
      </c>
      <c r="F559" s="22">
        <v>12.51</v>
      </c>
    </row>
    <row r="560" spans="1:6">
      <c r="A560" s="21" t="s">
        <v>564</v>
      </c>
      <c r="B560" s="22">
        <v>13.24</v>
      </c>
      <c r="C560" s="22">
        <v>12.9</v>
      </c>
      <c r="D560" s="22">
        <v>12.46</v>
      </c>
      <c r="E560" s="22">
        <v>12.88</v>
      </c>
      <c r="F560" s="22">
        <v>12.87</v>
      </c>
    </row>
    <row r="561" spans="1:6">
      <c r="A561" s="21" t="s">
        <v>565</v>
      </c>
      <c r="B561" s="22">
        <v>13.06</v>
      </c>
      <c r="C561" s="22">
        <v>12.93</v>
      </c>
      <c r="D561" s="22">
        <v>12.81</v>
      </c>
      <c r="E561" s="22">
        <v>13.03</v>
      </c>
      <c r="F561" s="22">
        <v>13.03</v>
      </c>
    </row>
    <row r="562" spans="1:6">
      <c r="A562" s="21" t="s">
        <v>566</v>
      </c>
      <c r="B562" s="22">
        <v>13.1</v>
      </c>
      <c r="C562" s="22">
        <v>12.93</v>
      </c>
      <c r="D562" s="22">
        <v>12.67</v>
      </c>
      <c r="E562" s="22">
        <v>13.02</v>
      </c>
      <c r="F562" s="22">
        <v>13.02</v>
      </c>
    </row>
    <row r="563" spans="1:6">
      <c r="A563" s="21" t="s">
        <v>567</v>
      </c>
      <c r="B563" s="22">
        <v>13.22</v>
      </c>
      <c r="C563" s="22">
        <v>12.85</v>
      </c>
      <c r="D563" s="22">
        <v>12.38</v>
      </c>
      <c r="E563" s="22">
        <v>12.76</v>
      </c>
      <c r="F563" s="22">
        <v>12.75</v>
      </c>
    </row>
    <row r="564" spans="1:6">
      <c r="A564" s="21" t="s">
        <v>568</v>
      </c>
      <c r="B564" s="22">
        <v>13.2</v>
      </c>
      <c r="C564" s="22">
        <v>12.84</v>
      </c>
      <c r="D564" s="22">
        <v>12.5</v>
      </c>
      <c r="E564" s="22">
        <v>12.67</v>
      </c>
      <c r="F564" s="22">
        <v>12.66</v>
      </c>
    </row>
    <row r="565" spans="1:6">
      <c r="A565" s="21" t="s">
        <v>569</v>
      </c>
      <c r="B565" s="22">
        <v>13.13</v>
      </c>
      <c r="C565" s="22">
        <v>12.93</v>
      </c>
      <c r="D565" s="22">
        <v>12.6</v>
      </c>
      <c r="E565" s="22">
        <v>12.95</v>
      </c>
      <c r="F565" s="22">
        <v>12.94</v>
      </c>
    </row>
    <row r="566" spans="1:6">
      <c r="A566" s="21" t="s">
        <v>570</v>
      </c>
      <c r="B566" s="22">
        <v>13.06</v>
      </c>
      <c r="C566" s="22">
        <v>13.24</v>
      </c>
      <c r="D566" s="22">
        <v>12.91</v>
      </c>
      <c r="E566" s="22">
        <v>13.17</v>
      </c>
      <c r="F566" s="22">
        <v>13.14</v>
      </c>
    </row>
    <row r="567" spans="1:6">
      <c r="A567" s="21" t="s">
        <v>571</v>
      </c>
      <c r="B567" s="22">
        <v>12.99</v>
      </c>
      <c r="C567" s="22">
        <v>13.07</v>
      </c>
      <c r="D567" s="22">
        <v>12.8</v>
      </c>
      <c r="E567" s="22">
        <v>13.14</v>
      </c>
      <c r="F567" s="22">
        <v>13.14</v>
      </c>
    </row>
    <row r="568" spans="1:6">
      <c r="A568" s="21" t="s">
        <v>572</v>
      </c>
      <c r="B568" s="22">
        <v>13.12</v>
      </c>
      <c r="C568" s="22">
        <v>12.76</v>
      </c>
      <c r="D568" s="22">
        <v>12.44</v>
      </c>
      <c r="E568" s="22">
        <v>12.78</v>
      </c>
      <c r="F568" s="22">
        <v>12.77</v>
      </c>
    </row>
    <row r="569" spans="1:6">
      <c r="A569" s="21" t="s">
        <v>573</v>
      </c>
      <c r="B569" s="22">
        <v>13.41</v>
      </c>
      <c r="C569" s="22">
        <v>12.79</v>
      </c>
      <c r="D569" s="22">
        <v>12.58</v>
      </c>
      <c r="E569" s="22">
        <v>12.74</v>
      </c>
      <c r="F569" s="22">
        <v>12.74</v>
      </c>
    </row>
    <row r="570" spans="1:6">
      <c r="A570" s="21" t="s">
        <v>574</v>
      </c>
      <c r="B570" s="22">
        <v>13.3</v>
      </c>
      <c r="C570" s="22">
        <v>12.97</v>
      </c>
      <c r="D570" s="22">
        <v>12.61</v>
      </c>
      <c r="E570" s="22">
        <v>13</v>
      </c>
      <c r="F570" s="22">
        <v>13.01</v>
      </c>
    </row>
    <row r="571" spans="1:6">
      <c r="A571" s="21" t="s">
        <v>575</v>
      </c>
      <c r="B571" s="22">
        <v>13.17</v>
      </c>
      <c r="C571" s="22">
        <v>13.18</v>
      </c>
      <c r="D571" s="22">
        <v>13.04</v>
      </c>
      <c r="E571" s="22">
        <v>13.45</v>
      </c>
      <c r="F571" s="22">
        <v>13.45</v>
      </c>
    </row>
    <row r="572" spans="1:6">
      <c r="A572" s="21" t="s">
        <v>576</v>
      </c>
      <c r="B572" s="22">
        <v>13.1</v>
      </c>
      <c r="C572" s="22">
        <v>12.97</v>
      </c>
      <c r="D572" s="22">
        <v>12.69</v>
      </c>
      <c r="E572" s="22">
        <v>12.99</v>
      </c>
      <c r="F572" s="22">
        <v>12.99</v>
      </c>
    </row>
    <row r="573" spans="1:6">
      <c r="A573" s="21" t="s">
        <v>577</v>
      </c>
      <c r="B573" s="22">
        <v>13.18</v>
      </c>
      <c r="C573" s="22">
        <v>12.74</v>
      </c>
      <c r="D573" s="22">
        <v>12.7</v>
      </c>
      <c r="E573" s="22">
        <v>12.76</v>
      </c>
      <c r="F573" s="22">
        <v>12.76</v>
      </c>
    </row>
    <row r="574" spans="1:6">
      <c r="A574" s="21" t="s">
        <v>578</v>
      </c>
      <c r="B574" s="22">
        <v>13.02</v>
      </c>
      <c r="C574" s="22">
        <v>12.8</v>
      </c>
      <c r="D574" s="22">
        <v>12.56</v>
      </c>
      <c r="E574" s="22">
        <v>12.71</v>
      </c>
      <c r="F574" s="22">
        <v>12.71</v>
      </c>
    </row>
    <row r="575" spans="1:6">
      <c r="A575" s="21" t="s">
        <v>579</v>
      </c>
      <c r="B575" s="22">
        <v>13.25</v>
      </c>
      <c r="C575" s="22">
        <v>13.13</v>
      </c>
      <c r="D575" s="22">
        <v>12.92</v>
      </c>
      <c r="E575" s="22">
        <v>13.06</v>
      </c>
      <c r="F575" s="22">
        <v>13.01</v>
      </c>
    </row>
    <row r="576" spans="1:6">
      <c r="A576" s="21" t="s">
        <v>580</v>
      </c>
      <c r="B576" s="22">
        <v>13.32</v>
      </c>
      <c r="C576" s="22">
        <v>12.91</v>
      </c>
      <c r="D576" s="22">
        <v>12.83</v>
      </c>
      <c r="E576" s="22">
        <v>12.94</v>
      </c>
      <c r="F576" s="22">
        <v>12.94</v>
      </c>
    </row>
    <row r="577" spans="1:6">
      <c r="A577" s="21" t="s">
        <v>581</v>
      </c>
      <c r="B577" s="22">
        <v>13.37</v>
      </c>
      <c r="C577" s="22">
        <v>13.05</v>
      </c>
      <c r="D577" s="22">
        <v>12.62</v>
      </c>
      <c r="E577" s="22">
        <v>12.86</v>
      </c>
      <c r="F577" s="22">
        <v>12.86</v>
      </c>
    </row>
    <row r="578" spans="1:6">
      <c r="A578" s="21" t="s">
        <v>582</v>
      </c>
      <c r="B578" s="22">
        <v>13.1</v>
      </c>
      <c r="C578" s="22">
        <v>13.08</v>
      </c>
      <c r="D578" s="22">
        <v>12.61</v>
      </c>
      <c r="E578" s="22">
        <v>12.82</v>
      </c>
      <c r="F578" s="22">
        <v>12.82</v>
      </c>
    </row>
    <row r="579" spans="1:6">
      <c r="A579" s="21" t="s">
        <v>583</v>
      </c>
      <c r="B579" s="22">
        <v>13.22</v>
      </c>
      <c r="C579" s="22">
        <v>13.2</v>
      </c>
      <c r="D579" s="22">
        <v>12.85</v>
      </c>
      <c r="E579" s="22">
        <v>13.03</v>
      </c>
      <c r="F579" s="22">
        <v>13.03</v>
      </c>
    </row>
    <row r="580" spans="1:6">
      <c r="A580" s="21" t="s">
        <v>584</v>
      </c>
      <c r="B580" s="22">
        <v>13.38</v>
      </c>
      <c r="C580" s="22">
        <v>13.22</v>
      </c>
      <c r="D580" s="22">
        <v>12.77</v>
      </c>
      <c r="E580" s="22">
        <v>13.01</v>
      </c>
      <c r="F580" s="22">
        <v>13.01</v>
      </c>
    </row>
    <row r="581" spans="1:6">
      <c r="A581" s="21" t="s">
        <v>585</v>
      </c>
      <c r="B581" s="22">
        <v>13.17</v>
      </c>
      <c r="C581" s="22">
        <v>13.2</v>
      </c>
      <c r="D581" s="22">
        <v>12.71</v>
      </c>
      <c r="E581" s="22">
        <v>12.96</v>
      </c>
      <c r="F581" s="22">
        <v>12.95</v>
      </c>
    </row>
    <row r="582" spans="1:6">
      <c r="A582" s="21" t="s">
        <v>586</v>
      </c>
      <c r="B582" s="22">
        <v>13.26</v>
      </c>
      <c r="C582" s="22">
        <v>13.15</v>
      </c>
      <c r="D582" s="22">
        <v>12.67</v>
      </c>
      <c r="E582" s="22">
        <v>12.94</v>
      </c>
      <c r="F582" s="22">
        <v>12.94</v>
      </c>
    </row>
    <row r="583" spans="1:6">
      <c r="A583" s="21" t="s">
        <v>587</v>
      </c>
      <c r="B583" s="22">
        <v>13.3</v>
      </c>
      <c r="C583" s="22">
        <v>13.09</v>
      </c>
      <c r="D583" s="22">
        <v>12.65</v>
      </c>
      <c r="E583" s="22">
        <v>12.94</v>
      </c>
      <c r="F583" s="22">
        <v>12.94</v>
      </c>
    </row>
    <row r="584" spans="1:6">
      <c r="A584" s="21" t="s">
        <v>588</v>
      </c>
      <c r="B584" s="22">
        <v>13.01</v>
      </c>
      <c r="C584" s="22">
        <v>13.11</v>
      </c>
      <c r="D584" s="22">
        <v>13.1</v>
      </c>
      <c r="E584" s="22">
        <v>13.13</v>
      </c>
      <c r="F584" s="22">
        <v>13.13</v>
      </c>
    </row>
    <row r="585" spans="1:6">
      <c r="A585" s="21" t="s">
        <v>589</v>
      </c>
      <c r="B585" s="22">
        <v>13.05</v>
      </c>
      <c r="C585" s="22">
        <v>13.19</v>
      </c>
      <c r="D585" s="22">
        <v>13.06</v>
      </c>
      <c r="E585" s="22">
        <v>13.32</v>
      </c>
      <c r="F585" s="22">
        <v>13.32</v>
      </c>
    </row>
    <row r="586" spans="1:6">
      <c r="A586" s="21" t="s">
        <v>590</v>
      </c>
      <c r="B586" s="22">
        <v>13.19</v>
      </c>
      <c r="C586" s="22">
        <v>13.1</v>
      </c>
      <c r="D586" s="22">
        <v>12.75</v>
      </c>
      <c r="E586" s="22">
        <v>13.03</v>
      </c>
      <c r="F586" s="22">
        <v>13.03</v>
      </c>
    </row>
    <row r="587" spans="1:6">
      <c r="A587" s="21" t="s">
        <v>591</v>
      </c>
      <c r="B587" s="22">
        <v>13.22</v>
      </c>
      <c r="C587" s="22">
        <v>13.03</v>
      </c>
      <c r="D587" s="22">
        <v>12.59</v>
      </c>
      <c r="E587" s="22">
        <v>12.98</v>
      </c>
      <c r="F587" s="22">
        <v>12.98</v>
      </c>
    </row>
    <row r="588" spans="1:6">
      <c r="A588" s="21" t="s">
        <v>592</v>
      </c>
      <c r="B588" s="22">
        <v>13.25</v>
      </c>
      <c r="C588" s="22">
        <v>13.01</v>
      </c>
      <c r="D588" s="22">
        <v>12.67</v>
      </c>
      <c r="E588" s="22">
        <v>12.92</v>
      </c>
      <c r="F588" s="22">
        <v>12.92</v>
      </c>
    </row>
    <row r="589" spans="1:6">
      <c r="A589" s="21" t="s">
        <v>593</v>
      </c>
      <c r="B589" s="22">
        <v>12.94</v>
      </c>
      <c r="C589" s="22">
        <v>12.96</v>
      </c>
      <c r="D589" s="22">
        <v>12.74</v>
      </c>
      <c r="E589" s="22">
        <v>13.04</v>
      </c>
      <c r="F589" s="22">
        <v>13.04</v>
      </c>
    </row>
    <row r="590" spans="1:6">
      <c r="A590" s="21" t="s">
        <v>594</v>
      </c>
      <c r="B590" s="22">
        <v>13.17</v>
      </c>
      <c r="C590" s="22">
        <v>13.02</v>
      </c>
      <c r="D590" s="22">
        <v>12.8</v>
      </c>
      <c r="E590" s="22">
        <v>13.07</v>
      </c>
      <c r="F590" s="22">
        <v>13.05</v>
      </c>
    </row>
    <row r="591" spans="1:6">
      <c r="A591" s="21" t="s">
        <v>595</v>
      </c>
      <c r="B591" s="22">
        <v>13.19</v>
      </c>
      <c r="C591" s="22">
        <v>12.89</v>
      </c>
      <c r="D591" s="22">
        <v>12.84</v>
      </c>
      <c r="E591" s="22">
        <v>13.04</v>
      </c>
      <c r="F591" s="22">
        <v>13.01</v>
      </c>
    </row>
    <row r="592" spans="1:6">
      <c r="A592" s="21" t="s">
        <v>596</v>
      </c>
      <c r="B592" s="22">
        <v>13.52</v>
      </c>
      <c r="C592" s="22">
        <v>12.88</v>
      </c>
      <c r="D592" s="22">
        <v>12.62</v>
      </c>
      <c r="E592" s="22">
        <v>12.97</v>
      </c>
      <c r="F592" s="22">
        <v>12.97</v>
      </c>
    </row>
    <row r="593" spans="1:6">
      <c r="A593" s="21" t="s">
        <v>597</v>
      </c>
      <c r="B593" s="22">
        <v>13.58</v>
      </c>
      <c r="C593" s="22">
        <v>12.87</v>
      </c>
      <c r="D593" s="22">
        <v>12.64</v>
      </c>
      <c r="E593" s="22">
        <v>12.88</v>
      </c>
      <c r="F593" s="22">
        <v>12.87</v>
      </c>
    </row>
    <row r="594" spans="1:6">
      <c r="A594" s="21" t="s">
        <v>598</v>
      </c>
      <c r="B594" s="22">
        <v>13.09</v>
      </c>
      <c r="C594" s="22">
        <v>12.73</v>
      </c>
      <c r="D594" s="22">
        <v>12.57</v>
      </c>
      <c r="E594" s="22">
        <v>12.73</v>
      </c>
      <c r="F594" s="22">
        <v>12.73</v>
      </c>
    </row>
    <row r="595" spans="1:6">
      <c r="A595" s="21" t="s">
        <v>599</v>
      </c>
      <c r="B595" s="22">
        <v>13.1</v>
      </c>
      <c r="C595" s="22">
        <v>12.67</v>
      </c>
      <c r="D595" s="22">
        <v>12.36</v>
      </c>
      <c r="E595" s="22">
        <v>12.54</v>
      </c>
      <c r="F595" s="22">
        <v>12.53</v>
      </c>
    </row>
    <row r="596" spans="1:6">
      <c r="A596" s="21" t="s">
        <v>600</v>
      </c>
      <c r="B596" s="22">
        <v>12.85</v>
      </c>
      <c r="C596" s="22">
        <v>12.65</v>
      </c>
      <c r="D596" s="22">
        <v>12.52</v>
      </c>
      <c r="E596" s="22">
        <v>12.59</v>
      </c>
      <c r="F596" s="22">
        <v>12.59</v>
      </c>
    </row>
    <row r="597" spans="1:6">
      <c r="A597" s="21" t="s">
        <v>601</v>
      </c>
      <c r="B597" s="22">
        <v>12.89</v>
      </c>
      <c r="C597" s="22">
        <v>12.55</v>
      </c>
      <c r="D597" s="22">
        <v>12.5</v>
      </c>
      <c r="E597" s="22">
        <v>12.59</v>
      </c>
      <c r="F597" s="22">
        <v>12.58</v>
      </c>
    </row>
    <row r="598" spans="1:6">
      <c r="A598" s="21" t="s">
        <v>602</v>
      </c>
      <c r="B598" s="22">
        <v>12.96</v>
      </c>
      <c r="C598" s="22">
        <v>12.62</v>
      </c>
      <c r="D598" s="22">
        <v>12.48</v>
      </c>
      <c r="E598" s="22">
        <v>12.57</v>
      </c>
      <c r="F598" s="22">
        <v>12.57</v>
      </c>
    </row>
    <row r="599" spans="1:6">
      <c r="A599" s="21" t="s">
        <v>603</v>
      </c>
      <c r="B599" s="22">
        <v>13.26</v>
      </c>
      <c r="C599" s="22">
        <v>12.73</v>
      </c>
      <c r="D599" s="22">
        <v>12.56</v>
      </c>
      <c r="E599" s="22">
        <v>12.69</v>
      </c>
      <c r="F599" s="22">
        <v>12.69</v>
      </c>
    </row>
    <row r="600" spans="1:6">
      <c r="A600" s="21" t="s">
        <v>604</v>
      </c>
      <c r="B600" s="22">
        <v>13.25</v>
      </c>
      <c r="C600" s="22">
        <v>12.71</v>
      </c>
      <c r="D600" s="22">
        <v>12.51</v>
      </c>
      <c r="E600" s="22">
        <v>12.68</v>
      </c>
      <c r="F600" s="22">
        <v>12.68</v>
      </c>
    </row>
    <row r="601" spans="1:6">
      <c r="A601" s="21" t="s">
        <v>605</v>
      </c>
      <c r="B601" s="22">
        <v>13.27</v>
      </c>
      <c r="C601" s="22">
        <v>12.68</v>
      </c>
      <c r="D601" s="22">
        <v>12.54</v>
      </c>
      <c r="E601" s="22">
        <v>12.67</v>
      </c>
      <c r="F601" s="22">
        <v>12.67</v>
      </c>
    </row>
    <row r="602" spans="1:6">
      <c r="A602" s="21" t="s">
        <v>606</v>
      </c>
      <c r="B602" s="22">
        <v>12.95</v>
      </c>
      <c r="C602" s="22">
        <v>12.96</v>
      </c>
      <c r="D602" s="22">
        <v>12.39</v>
      </c>
      <c r="E602" s="22">
        <v>12.66</v>
      </c>
      <c r="F602" s="22">
        <v>12.66</v>
      </c>
    </row>
    <row r="603" spans="1:6">
      <c r="A603" s="21" t="s">
        <v>607</v>
      </c>
      <c r="B603" s="22">
        <v>13.05</v>
      </c>
      <c r="C603" s="22">
        <v>12.92</v>
      </c>
      <c r="D603" s="22">
        <v>12.35</v>
      </c>
      <c r="E603" s="22">
        <v>12.65</v>
      </c>
      <c r="F603" s="22">
        <v>12.64</v>
      </c>
    </row>
    <row r="604" spans="1:6">
      <c r="A604" s="21" t="s">
        <v>608</v>
      </c>
      <c r="B604" s="22">
        <v>13.13</v>
      </c>
      <c r="C604" s="22">
        <v>12.92</v>
      </c>
      <c r="D604" s="22">
        <v>12.22</v>
      </c>
      <c r="E604" s="22">
        <v>12.59</v>
      </c>
      <c r="F604" s="22">
        <v>12.59</v>
      </c>
    </row>
    <row r="605" spans="1:6">
      <c r="A605" s="21" t="s">
        <v>609</v>
      </c>
      <c r="B605" s="22">
        <v>13.15</v>
      </c>
      <c r="C605" s="22">
        <v>12.9</v>
      </c>
      <c r="D605" s="22">
        <v>12.27</v>
      </c>
      <c r="E605" s="22">
        <v>12.6</v>
      </c>
      <c r="F605" s="22">
        <v>12.6</v>
      </c>
    </row>
    <row r="606" spans="1:6">
      <c r="A606" s="21" t="s">
        <v>610</v>
      </c>
      <c r="B606" s="22">
        <v>13.25</v>
      </c>
      <c r="C606" s="22">
        <v>13</v>
      </c>
      <c r="D606" s="22">
        <v>12.2</v>
      </c>
      <c r="E606" s="22">
        <v>12.58</v>
      </c>
      <c r="F606" s="22">
        <v>12.58</v>
      </c>
    </row>
    <row r="607" spans="1:6">
      <c r="A607" s="21" t="s">
        <v>611</v>
      </c>
      <c r="B607" s="22">
        <v>13.19</v>
      </c>
      <c r="C607" s="22">
        <v>13</v>
      </c>
      <c r="D607" s="22">
        <v>12.17</v>
      </c>
      <c r="E607" s="22">
        <v>12.55</v>
      </c>
      <c r="F607" s="22">
        <v>12.55</v>
      </c>
    </row>
    <row r="608" spans="1:6">
      <c r="A608" s="21" t="s">
        <v>612</v>
      </c>
      <c r="B608" s="22">
        <v>13.26</v>
      </c>
      <c r="C608" s="22">
        <v>12.96</v>
      </c>
      <c r="D608" s="22">
        <v>12.27</v>
      </c>
      <c r="E608" s="22">
        <v>12.56</v>
      </c>
      <c r="F608" s="22">
        <v>12.55</v>
      </c>
    </row>
    <row r="609" spans="1:6">
      <c r="A609" s="21" t="s">
        <v>613</v>
      </c>
      <c r="B609" s="22">
        <v>13.11</v>
      </c>
      <c r="C609" s="22">
        <v>13.03</v>
      </c>
      <c r="D609" s="22">
        <v>12.53</v>
      </c>
      <c r="E609" s="22">
        <v>12.77</v>
      </c>
      <c r="F609" s="22">
        <v>12.77</v>
      </c>
    </row>
    <row r="610" spans="1:6">
      <c r="A610" s="21" t="s">
        <v>614</v>
      </c>
      <c r="B610" s="22">
        <v>13.15</v>
      </c>
      <c r="C610" s="22">
        <v>12.84</v>
      </c>
      <c r="D610" s="22">
        <v>12.51</v>
      </c>
      <c r="E610" s="22">
        <v>12.82</v>
      </c>
      <c r="F610" s="22">
        <v>12.82</v>
      </c>
    </row>
    <row r="611" spans="1:6">
      <c r="A611" s="21" t="s">
        <v>615</v>
      </c>
      <c r="B611" s="22">
        <v>13.17</v>
      </c>
      <c r="C611" s="22">
        <v>12.75</v>
      </c>
      <c r="D611" s="22">
        <v>12.48</v>
      </c>
      <c r="E611" s="22">
        <v>12.75</v>
      </c>
      <c r="F611" s="22">
        <v>12.74</v>
      </c>
    </row>
    <row r="612" spans="1:6">
      <c r="A612" s="21" t="s">
        <v>616</v>
      </c>
      <c r="B612" s="22">
        <v>13.51</v>
      </c>
      <c r="C612" s="22">
        <v>13.12</v>
      </c>
      <c r="D612" s="22">
        <v>12.2</v>
      </c>
      <c r="E612" s="22">
        <v>12.6</v>
      </c>
      <c r="F612" s="22">
        <v>12.6</v>
      </c>
    </row>
    <row r="613" spans="1:6">
      <c r="A613" s="21" t="s">
        <v>617</v>
      </c>
      <c r="B613" s="22">
        <v>13.46</v>
      </c>
      <c r="C613" s="22">
        <v>13.03</v>
      </c>
      <c r="D613" s="22">
        <v>12.01</v>
      </c>
      <c r="E613" s="22">
        <v>12.52</v>
      </c>
      <c r="F613" s="22">
        <v>12.52</v>
      </c>
    </row>
    <row r="614" spans="1:6">
      <c r="A614" s="21" t="s">
        <v>618</v>
      </c>
      <c r="B614" s="22">
        <v>13.29</v>
      </c>
      <c r="C614" s="22">
        <v>13.06</v>
      </c>
      <c r="D614" s="22">
        <v>12.34</v>
      </c>
      <c r="E614" s="22">
        <v>12.83</v>
      </c>
      <c r="F614" s="22">
        <v>12.83</v>
      </c>
    </row>
    <row r="615" spans="1:6">
      <c r="A615" s="21" t="s">
        <v>619</v>
      </c>
      <c r="B615" s="22">
        <v>13.32</v>
      </c>
      <c r="C615" s="22">
        <v>13</v>
      </c>
      <c r="D615" s="22">
        <v>12.28</v>
      </c>
      <c r="E615" s="22">
        <v>12.78</v>
      </c>
      <c r="F615" s="22">
        <v>12.78</v>
      </c>
    </row>
    <row r="616" spans="1:6">
      <c r="A616" s="21" t="s">
        <v>620</v>
      </c>
      <c r="B616" s="22">
        <v>13.45</v>
      </c>
      <c r="C616" s="22">
        <v>13</v>
      </c>
      <c r="D616" s="22">
        <v>12.02</v>
      </c>
      <c r="E616" s="22">
        <v>12.53</v>
      </c>
      <c r="F616" s="22">
        <v>12.53</v>
      </c>
    </row>
    <row r="617" spans="1:6">
      <c r="A617" s="21" t="s">
        <v>621</v>
      </c>
      <c r="B617" s="22">
        <v>13.37</v>
      </c>
      <c r="C617" s="22">
        <v>13.08</v>
      </c>
      <c r="D617" s="22">
        <v>12.06</v>
      </c>
      <c r="E617" s="22">
        <v>12.53</v>
      </c>
      <c r="F617" s="22">
        <v>12.53</v>
      </c>
    </row>
    <row r="618" spans="1:6">
      <c r="A618" s="21" t="s">
        <v>622</v>
      </c>
      <c r="B618" s="22">
        <v>13.26</v>
      </c>
      <c r="C618" s="22">
        <v>13.15</v>
      </c>
      <c r="D618" s="22">
        <v>12.32</v>
      </c>
      <c r="E618" s="22">
        <v>12.79</v>
      </c>
      <c r="F618" s="22">
        <v>12.79</v>
      </c>
    </row>
    <row r="619" spans="1:6">
      <c r="A619" s="21" t="s">
        <v>623</v>
      </c>
      <c r="B619" s="22">
        <v>13.4</v>
      </c>
      <c r="C619" s="22">
        <v>13.19</v>
      </c>
      <c r="D619" s="22">
        <v>12.24</v>
      </c>
      <c r="E619" s="22">
        <v>12.77</v>
      </c>
      <c r="F619" s="22">
        <v>12.77</v>
      </c>
    </row>
    <row r="620" spans="1:6">
      <c r="A620" s="21" t="s">
        <v>624</v>
      </c>
      <c r="B620" s="22">
        <v>13.33</v>
      </c>
      <c r="C620" s="22">
        <v>13.05</v>
      </c>
      <c r="D620" s="22">
        <v>12.24</v>
      </c>
      <c r="E620" s="22">
        <v>12.73</v>
      </c>
      <c r="F620" s="22">
        <v>12.73</v>
      </c>
    </row>
    <row r="621" spans="1:6">
      <c r="A621" s="21" t="s">
        <v>625</v>
      </c>
      <c r="B621" s="22">
        <v>13.16</v>
      </c>
      <c r="C621" s="22">
        <v>13.08</v>
      </c>
      <c r="D621" s="22">
        <v>12.31</v>
      </c>
      <c r="E621" s="22">
        <v>12.74</v>
      </c>
      <c r="F621" s="22">
        <v>12.74</v>
      </c>
    </row>
    <row r="622" spans="1:6">
      <c r="A622" s="21" t="s">
        <v>626</v>
      </c>
      <c r="B622" s="22">
        <v>13.35</v>
      </c>
      <c r="C622" s="22">
        <v>12.89</v>
      </c>
      <c r="D622" s="22">
        <v>12.32</v>
      </c>
      <c r="E622" s="22">
        <v>12.72</v>
      </c>
      <c r="F622" s="22">
        <v>12.72</v>
      </c>
    </row>
    <row r="623" spans="1:6">
      <c r="A623" s="21" t="s">
        <v>627</v>
      </c>
      <c r="B623" s="22">
        <v>13.43</v>
      </c>
      <c r="C623" s="22">
        <v>12.98</v>
      </c>
      <c r="D623" s="22">
        <v>12.3</v>
      </c>
      <c r="E623" s="22">
        <v>12.69</v>
      </c>
      <c r="F623" s="22">
        <v>12.69</v>
      </c>
    </row>
    <row r="624" spans="1:6">
      <c r="A624" s="21" t="s">
        <v>628</v>
      </c>
      <c r="B624" s="22">
        <v>13.39</v>
      </c>
      <c r="C624" s="22">
        <v>12.94</v>
      </c>
      <c r="D624" s="22">
        <v>12.22</v>
      </c>
      <c r="E624" s="22">
        <v>12.68</v>
      </c>
      <c r="F624" s="22">
        <v>12.68</v>
      </c>
    </row>
    <row r="625" spans="1:6">
      <c r="A625" s="21" t="s">
        <v>629</v>
      </c>
      <c r="B625" s="22">
        <v>13.31</v>
      </c>
      <c r="C625" s="22">
        <v>13.01</v>
      </c>
      <c r="D625" s="22">
        <v>12.1</v>
      </c>
      <c r="E625" s="22">
        <v>12.59</v>
      </c>
      <c r="F625" s="22">
        <v>12.59</v>
      </c>
    </row>
    <row r="626" spans="1:6">
      <c r="A626" s="21" t="s">
        <v>630</v>
      </c>
      <c r="B626" s="22">
        <v>13.31</v>
      </c>
      <c r="C626" s="22">
        <v>13.07</v>
      </c>
      <c r="D626" s="22">
        <v>12.13</v>
      </c>
      <c r="E626" s="22">
        <v>12.61</v>
      </c>
      <c r="F626" s="22">
        <v>12.59</v>
      </c>
    </row>
    <row r="627" spans="1:6">
      <c r="A627" s="21" t="s">
        <v>631</v>
      </c>
      <c r="B627" s="22">
        <v>13.34</v>
      </c>
      <c r="C627" s="22">
        <v>13.02</v>
      </c>
      <c r="D627" s="22">
        <v>12.16</v>
      </c>
      <c r="E627" s="22">
        <v>12.6</v>
      </c>
      <c r="F627" s="22">
        <v>12.6</v>
      </c>
    </row>
    <row r="628" spans="1:6">
      <c r="A628" s="21" t="s">
        <v>632</v>
      </c>
      <c r="B628" s="22">
        <v>13.14</v>
      </c>
      <c r="C628" s="22">
        <v>12.98</v>
      </c>
      <c r="D628" s="22">
        <v>12.47</v>
      </c>
      <c r="E628" s="22">
        <v>12.74</v>
      </c>
      <c r="F628" s="22">
        <v>12.74</v>
      </c>
    </row>
    <row r="629" spans="1:6">
      <c r="A629" s="21" t="s">
        <v>633</v>
      </c>
      <c r="B629" s="22">
        <v>13.42</v>
      </c>
      <c r="C629" s="22">
        <v>12.79</v>
      </c>
      <c r="D629" s="22">
        <v>12.51</v>
      </c>
      <c r="E629" s="22">
        <v>12.79</v>
      </c>
      <c r="F629" s="22">
        <v>12.78</v>
      </c>
    </row>
    <row r="630" spans="1:6">
      <c r="A630" s="21" t="s">
        <v>634</v>
      </c>
      <c r="B630" s="22">
        <v>13.45</v>
      </c>
      <c r="C630" s="22">
        <v>12.79</v>
      </c>
      <c r="D630" s="22">
        <v>12.57</v>
      </c>
      <c r="E630" s="22">
        <v>12.79</v>
      </c>
      <c r="F630" s="22">
        <v>12.78</v>
      </c>
    </row>
    <row r="631" spans="1:6">
      <c r="A631" s="21" t="s">
        <v>635</v>
      </c>
      <c r="B631" s="22">
        <v>13.48</v>
      </c>
      <c r="C631" s="22">
        <v>12.89</v>
      </c>
      <c r="D631" s="22">
        <v>12.59</v>
      </c>
      <c r="E631" s="22">
        <v>12.79</v>
      </c>
      <c r="F631" s="22">
        <v>12.79</v>
      </c>
    </row>
    <row r="632" spans="1:6">
      <c r="A632" s="21" t="s">
        <v>636</v>
      </c>
      <c r="B632" s="22">
        <v>13.44</v>
      </c>
      <c r="C632" s="22">
        <v>12.71</v>
      </c>
      <c r="D632" s="22">
        <v>12.48</v>
      </c>
      <c r="E632" s="22">
        <v>12.81</v>
      </c>
      <c r="F632" s="22">
        <v>12.81</v>
      </c>
    </row>
    <row r="633" spans="1:6">
      <c r="A633" s="21" t="s">
        <v>637</v>
      </c>
      <c r="B633" s="22">
        <v>13.55</v>
      </c>
      <c r="C633" s="22">
        <v>12.87</v>
      </c>
      <c r="D633" s="22">
        <v>12.29</v>
      </c>
      <c r="E633" s="22">
        <v>12.7</v>
      </c>
      <c r="F633" s="22">
        <v>12.7</v>
      </c>
    </row>
    <row r="634" spans="1:6">
      <c r="A634" s="21" t="s">
        <v>638</v>
      </c>
      <c r="B634" s="22">
        <v>12.96</v>
      </c>
      <c r="C634" s="22">
        <v>12.64</v>
      </c>
      <c r="D634" s="22">
        <v>12.39</v>
      </c>
      <c r="E634" s="22">
        <v>12.63</v>
      </c>
      <c r="F634" s="22">
        <v>12.62</v>
      </c>
    </row>
    <row r="635" spans="1:6">
      <c r="A635" s="21" t="s">
        <v>639</v>
      </c>
      <c r="B635" s="22">
        <v>12.77</v>
      </c>
      <c r="C635" s="22">
        <v>12.48</v>
      </c>
      <c r="D635" s="22">
        <v>12.29</v>
      </c>
      <c r="E635" s="22">
        <v>12.49</v>
      </c>
      <c r="F635" s="22">
        <v>12.49</v>
      </c>
    </row>
    <row r="636" spans="1:6">
      <c r="A636" s="21" t="s">
        <v>640</v>
      </c>
      <c r="B636" s="22">
        <v>13.14</v>
      </c>
      <c r="C636" s="22">
        <v>12.54</v>
      </c>
      <c r="D636" s="22">
        <v>12.23</v>
      </c>
      <c r="E636" s="22">
        <v>12.59</v>
      </c>
      <c r="F636" s="22">
        <v>12.59</v>
      </c>
    </row>
    <row r="637" spans="1:6">
      <c r="A637" s="21" t="s">
        <v>641</v>
      </c>
      <c r="B637" s="22">
        <v>12.78</v>
      </c>
      <c r="C637" s="22">
        <v>12.4</v>
      </c>
      <c r="D637" s="22">
        <v>12.31</v>
      </c>
      <c r="E637" s="22">
        <v>12.32</v>
      </c>
      <c r="F637" s="22">
        <v>12.32</v>
      </c>
    </row>
    <row r="638" spans="1:6">
      <c r="A638" s="21" t="s">
        <v>642</v>
      </c>
      <c r="B638" s="22">
        <v>12.76</v>
      </c>
      <c r="C638" s="22">
        <v>12.44</v>
      </c>
      <c r="D638" s="22">
        <v>12.26</v>
      </c>
      <c r="E638" s="22">
        <v>12.31</v>
      </c>
      <c r="F638" s="22">
        <v>12.31</v>
      </c>
    </row>
    <row r="639" spans="1:6">
      <c r="A639" s="21" t="s">
        <v>643</v>
      </c>
      <c r="B639" s="22">
        <v>12.76</v>
      </c>
      <c r="C639" s="22">
        <v>12.25</v>
      </c>
      <c r="D639" s="22">
        <v>12.17</v>
      </c>
      <c r="E639" s="22">
        <v>12.31</v>
      </c>
      <c r="F639" s="22">
        <v>12.31</v>
      </c>
    </row>
    <row r="640" spans="1:6">
      <c r="A640" s="21" t="s">
        <v>644</v>
      </c>
      <c r="B640" s="22">
        <v>12.31</v>
      </c>
      <c r="C640" s="22">
        <v>12.39</v>
      </c>
      <c r="D640" s="22">
        <v>12.11</v>
      </c>
      <c r="E640" s="22">
        <v>12.3</v>
      </c>
      <c r="F640" s="22">
        <v>12.3</v>
      </c>
    </row>
    <row r="641" spans="1:6">
      <c r="A641" s="21" t="s">
        <v>645</v>
      </c>
      <c r="B641" s="22">
        <v>12.7</v>
      </c>
      <c r="C641" s="22">
        <v>12.48</v>
      </c>
      <c r="D641" s="22">
        <v>12.23</v>
      </c>
      <c r="E641" s="22">
        <v>12.32</v>
      </c>
      <c r="F641" s="22">
        <v>12.32</v>
      </c>
    </row>
    <row r="642" spans="1:6">
      <c r="A642" s="21" t="s">
        <v>646</v>
      </c>
      <c r="B642" s="22">
        <v>12.66</v>
      </c>
      <c r="C642" s="22">
        <v>12.4</v>
      </c>
      <c r="D642" s="22">
        <v>12.17</v>
      </c>
      <c r="E642" s="22">
        <v>12.32</v>
      </c>
      <c r="F642" s="22">
        <v>12.32</v>
      </c>
    </row>
    <row r="643" spans="1:6">
      <c r="A643" s="21" t="s">
        <v>647</v>
      </c>
      <c r="B643" s="22">
        <v>12.61</v>
      </c>
      <c r="C643" s="22">
        <v>12.42</v>
      </c>
      <c r="D643" s="22">
        <v>12.21</v>
      </c>
      <c r="E643" s="22">
        <v>12.29</v>
      </c>
      <c r="F643" s="22">
        <v>12.29</v>
      </c>
    </row>
    <row r="644" spans="1:6">
      <c r="A644" s="21" t="s">
        <v>648</v>
      </c>
      <c r="B644" s="22">
        <v>12.65</v>
      </c>
      <c r="C644" s="22">
        <v>12.4</v>
      </c>
      <c r="D644" s="22">
        <v>12.18</v>
      </c>
      <c r="E644" s="22">
        <v>12.26</v>
      </c>
      <c r="F644" s="22">
        <v>12.26</v>
      </c>
    </row>
    <row r="645" spans="1:6">
      <c r="A645" s="21" t="s">
        <v>649</v>
      </c>
      <c r="B645" s="22">
        <v>12.62</v>
      </c>
      <c r="C645" s="22">
        <v>12.28</v>
      </c>
      <c r="D645" s="22">
        <v>12.2</v>
      </c>
      <c r="E645" s="22">
        <v>12.32</v>
      </c>
      <c r="F645" s="22">
        <v>12.32</v>
      </c>
    </row>
    <row r="646" spans="1:6">
      <c r="A646" s="21" t="s">
        <v>650</v>
      </c>
      <c r="B646" s="22">
        <v>12.61</v>
      </c>
      <c r="C646" s="22">
        <v>12.31</v>
      </c>
      <c r="D646" s="22">
        <v>12.23</v>
      </c>
      <c r="E646" s="22">
        <v>12.32</v>
      </c>
      <c r="F646" s="22">
        <v>12.32</v>
      </c>
    </row>
    <row r="647" spans="1:6">
      <c r="A647" s="21" t="s">
        <v>651</v>
      </c>
      <c r="B647" s="22">
        <v>12.65</v>
      </c>
      <c r="C647" s="22">
        <v>12.34</v>
      </c>
      <c r="D647" s="22">
        <v>12.31</v>
      </c>
      <c r="E647" s="22">
        <v>12.33</v>
      </c>
      <c r="F647" s="22">
        <v>12.33</v>
      </c>
    </row>
    <row r="648" spans="1:6">
      <c r="A648" s="21" t="s">
        <v>652</v>
      </c>
      <c r="B648" s="22">
        <v>12.61</v>
      </c>
      <c r="C648" s="22">
        <v>12.45</v>
      </c>
      <c r="D648" s="22">
        <v>12.42</v>
      </c>
      <c r="E648" s="22">
        <v>12.44</v>
      </c>
      <c r="F648" s="22">
        <v>12.44</v>
      </c>
    </row>
    <row r="649" spans="1:6">
      <c r="A649" s="21" t="s">
        <v>653</v>
      </c>
      <c r="B649" s="22">
        <v>12.81</v>
      </c>
      <c r="C649" s="22">
        <v>12.51</v>
      </c>
      <c r="D649" s="22">
        <v>12.43</v>
      </c>
      <c r="E649" s="22">
        <v>12.52</v>
      </c>
      <c r="F649" s="22">
        <v>12.52</v>
      </c>
    </row>
    <row r="650" spans="1:6">
      <c r="A650" s="21" t="s">
        <v>654</v>
      </c>
      <c r="B650" s="22">
        <v>13.32</v>
      </c>
      <c r="C650" s="22">
        <v>12.71</v>
      </c>
      <c r="D650" s="22">
        <v>12.33</v>
      </c>
      <c r="E650" s="22">
        <v>12.61</v>
      </c>
      <c r="F650" s="22">
        <v>12.61</v>
      </c>
    </row>
    <row r="651" spans="1:6">
      <c r="A651" s="21" t="s">
        <v>655</v>
      </c>
      <c r="B651" s="22">
        <v>13.35</v>
      </c>
      <c r="C651" s="22">
        <v>12.76</v>
      </c>
      <c r="D651" s="22">
        <v>12.31</v>
      </c>
      <c r="E651" s="22">
        <v>12.6</v>
      </c>
      <c r="F651" s="22">
        <v>12.6</v>
      </c>
    </row>
    <row r="652" spans="1:6">
      <c r="A652" s="21" t="s">
        <v>656</v>
      </c>
      <c r="B652" s="22">
        <v>13.29</v>
      </c>
      <c r="C652" s="22">
        <v>12.82</v>
      </c>
      <c r="D652" s="22">
        <v>12.37</v>
      </c>
      <c r="E652" s="22">
        <v>12.57</v>
      </c>
      <c r="F652" s="22">
        <v>12.57</v>
      </c>
    </row>
    <row r="653" spans="1:6">
      <c r="A653" s="21" t="s">
        <v>657</v>
      </c>
      <c r="B653" s="22">
        <v>13.57</v>
      </c>
      <c r="C653" s="22">
        <v>12.59</v>
      </c>
      <c r="D653" s="22">
        <v>12.32</v>
      </c>
      <c r="E653" s="22">
        <v>12.62</v>
      </c>
      <c r="F653" s="22">
        <v>12.62</v>
      </c>
    </row>
    <row r="654" spans="1:6">
      <c r="A654" s="21" t="s">
        <v>658</v>
      </c>
      <c r="B654" s="22">
        <v>13.23</v>
      </c>
      <c r="C654" s="22">
        <v>12.62</v>
      </c>
      <c r="D654" s="22">
        <v>12.17</v>
      </c>
      <c r="E654" s="22">
        <v>12.55</v>
      </c>
      <c r="F654" s="22">
        <v>12.55</v>
      </c>
    </row>
    <row r="655" spans="1:6">
      <c r="A655" s="21" t="s">
        <v>659</v>
      </c>
      <c r="B655" s="22">
        <v>12.99</v>
      </c>
      <c r="C655" s="22">
        <v>12.58</v>
      </c>
      <c r="D655" s="22">
        <v>12.1</v>
      </c>
      <c r="E655" s="22">
        <v>12.5</v>
      </c>
      <c r="F655" s="22">
        <v>12.49</v>
      </c>
    </row>
    <row r="656" spans="1:6">
      <c r="A656" s="21" t="s">
        <v>660</v>
      </c>
      <c r="B656" s="22">
        <v>13.4</v>
      </c>
      <c r="C656" s="22">
        <v>12.59</v>
      </c>
      <c r="D656" s="22">
        <v>12.01</v>
      </c>
      <c r="E656" s="22">
        <v>12.41</v>
      </c>
      <c r="F656" s="22">
        <v>12.41</v>
      </c>
    </row>
    <row r="657" spans="1:6">
      <c r="A657" s="21" t="s">
        <v>661</v>
      </c>
      <c r="B657" s="22">
        <v>13.22</v>
      </c>
      <c r="C657" s="22">
        <v>12.55</v>
      </c>
      <c r="D657" s="22">
        <v>11.96</v>
      </c>
      <c r="E657" s="22">
        <v>12.4</v>
      </c>
      <c r="F657" s="22">
        <v>12.4</v>
      </c>
    </row>
    <row r="658" spans="1:6">
      <c r="A658" s="21" t="s">
        <v>662</v>
      </c>
      <c r="B658" s="22">
        <v>13.14</v>
      </c>
      <c r="C658" s="22">
        <v>12.39</v>
      </c>
      <c r="D658" s="22">
        <v>11.88</v>
      </c>
      <c r="E658" s="22">
        <v>12.33</v>
      </c>
      <c r="F658" s="22">
        <v>12.33</v>
      </c>
    </row>
    <row r="659" spans="1:6">
      <c r="A659" s="21" t="s">
        <v>663</v>
      </c>
      <c r="B659" s="22">
        <v>13.05</v>
      </c>
      <c r="C659" s="22">
        <v>12.34</v>
      </c>
      <c r="D659" s="22">
        <v>11.78</v>
      </c>
      <c r="E659" s="22">
        <v>12.1</v>
      </c>
      <c r="F659" s="22">
        <v>12.1</v>
      </c>
    </row>
    <row r="660" spans="1:6">
      <c r="A660" s="21" t="s">
        <v>664</v>
      </c>
      <c r="B660" s="22">
        <v>12.86</v>
      </c>
      <c r="C660" s="22">
        <v>12.16</v>
      </c>
      <c r="D660" s="22">
        <v>11.87</v>
      </c>
      <c r="E660" s="22">
        <v>12.06</v>
      </c>
      <c r="F660" s="22">
        <v>12.06</v>
      </c>
    </row>
    <row r="661" spans="1:6">
      <c r="A661" s="21" t="s">
        <v>665</v>
      </c>
      <c r="B661" s="22">
        <v>12.88</v>
      </c>
      <c r="C661" s="22">
        <v>12.14</v>
      </c>
      <c r="D661" s="22">
        <v>11.87</v>
      </c>
      <c r="E661" s="22">
        <v>12.08</v>
      </c>
      <c r="F661" s="22">
        <v>12.08</v>
      </c>
    </row>
    <row r="662" spans="1:6">
      <c r="A662" s="21" t="s">
        <v>666</v>
      </c>
      <c r="B662" s="22">
        <v>12.3</v>
      </c>
      <c r="C662" s="22">
        <v>12.07</v>
      </c>
      <c r="D662" s="22">
        <v>12.01</v>
      </c>
      <c r="E662" s="22">
        <v>12.05</v>
      </c>
      <c r="F662" s="22">
        <v>12.05</v>
      </c>
    </row>
    <row r="663" spans="1:6">
      <c r="A663" s="21" t="s">
        <v>667</v>
      </c>
      <c r="B663" s="22">
        <v>12.34</v>
      </c>
      <c r="C663" s="22">
        <v>12.05</v>
      </c>
      <c r="D663" s="22">
        <v>12</v>
      </c>
      <c r="E663" s="22">
        <v>12.05</v>
      </c>
      <c r="F663" s="22">
        <v>12.05</v>
      </c>
    </row>
    <row r="664" spans="1:6">
      <c r="A664" s="21" t="s">
        <v>668</v>
      </c>
      <c r="B664" s="22">
        <v>12.33</v>
      </c>
      <c r="C664" s="22">
        <v>12.11</v>
      </c>
      <c r="D664" s="22">
        <v>12.04</v>
      </c>
      <c r="E664" s="22">
        <v>12.12</v>
      </c>
      <c r="F664" s="22">
        <v>12.12</v>
      </c>
    </row>
    <row r="665" spans="1:6">
      <c r="A665" s="21" t="s">
        <v>669</v>
      </c>
      <c r="B665" s="22">
        <v>12.26</v>
      </c>
      <c r="C665" s="22">
        <v>12.22</v>
      </c>
      <c r="D665" s="22">
        <v>12.07</v>
      </c>
      <c r="E665" s="22">
        <v>12.1</v>
      </c>
      <c r="F665" s="22">
        <v>12.1</v>
      </c>
    </row>
    <row r="666" spans="1:6">
      <c r="A666" s="21" t="s">
        <v>670</v>
      </c>
      <c r="B666" s="22">
        <v>12.26</v>
      </c>
      <c r="C666" s="22">
        <v>12.27</v>
      </c>
      <c r="D666" s="22">
        <v>12</v>
      </c>
      <c r="E666" s="22">
        <v>12.1</v>
      </c>
      <c r="F666" s="22">
        <v>12.1</v>
      </c>
    </row>
    <row r="667" spans="1:6">
      <c r="A667" s="21" t="s">
        <v>671</v>
      </c>
      <c r="B667" s="22">
        <v>12.32</v>
      </c>
      <c r="C667" s="22">
        <v>12.06</v>
      </c>
      <c r="D667" s="22">
        <v>11.99</v>
      </c>
      <c r="E667" s="22">
        <v>12.1</v>
      </c>
      <c r="F667" s="22">
        <v>12.1</v>
      </c>
    </row>
    <row r="668" spans="1:6">
      <c r="A668" s="21" t="s">
        <v>672</v>
      </c>
      <c r="B668" s="22">
        <v>13.01</v>
      </c>
      <c r="C668" s="22">
        <v>12.09</v>
      </c>
      <c r="D668" s="22">
        <v>11.83</v>
      </c>
      <c r="E668" s="22">
        <v>12.07</v>
      </c>
      <c r="F668" s="22">
        <v>12.08</v>
      </c>
    </row>
    <row r="669" spans="1:6">
      <c r="A669" s="21" t="s">
        <v>673</v>
      </c>
      <c r="B669" s="22">
        <v>13.05</v>
      </c>
      <c r="C669" s="22">
        <v>12.17</v>
      </c>
      <c r="D669" s="22">
        <v>11.83</v>
      </c>
      <c r="E669" s="22">
        <v>12.07</v>
      </c>
      <c r="F669" s="22">
        <v>12.07</v>
      </c>
    </row>
    <row r="670" spans="1:6">
      <c r="A670" s="21" t="s">
        <v>674</v>
      </c>
      <c r="B670" s="22">
        <v>13.04</v>
      </c>
      <c r="C670" s="22">
        <v>12.18</v>
      </c>
      <c r="D670" s="22">
        <v>11.84</v>
      </c>
      <c r="E670" s="22">
        <v>12.1</v>
      </c>
      <c r="F670" s="22">
        <v>12.09</v>
      </c>
    </row>
    <row r="671" spans="1:6">
      <c r="A671" s="21" t="s">
        <v>675</v>
      </c>
      <c r="B671" s="22">
        <v>12.61</v>
      </c>
      <c r="C671" s="22">
        <v>12.08</v>
      </c>
      <c r="D671" s="22">
        <v>12.05</v>
      </c>
      <c r="E671" s="22">
        <v>12.12</v>
      </c>
      <c r="F671" s="22">
        <v>12.12</v>
      </c>
    </row>
    <row r="672" spans="1:6">
      <c r="A672" s="21" t="s">
        <v>676</v>
      </c>
      <c r="B672" s="22">
        <v>12.61</v>
      </c>
      <c r="C672" s="22">
        <v>12.18</v>
      </c>
      <c r="D672" s="22">
        <v>12.09</v>
      </c>
      <c r="E672" s="22">
        <v>12.25</v>
      </c>
      <c r="F672" s="22">
        <v>12.25</v>
      </c>
    </row>
    <row r="673" spans="1:6">
      <c r="A673" s="21" t="s">
        <v>677</v>
      </c>
      <c r="B673" s="22">
        <v>12.58</v>
      </c>
      <c r="C673" s="22">
        <v>12.11</v>
      </c>
      <c r="D673" s="22">
        <v>12.07</v>
      </c>
      <c r="E673" s="22">
        <v>12.18</v>
      </c>
      <c r="F673" s="22">
        <v>12.18</v>
      </c>
    </row>
    <row r="674" spans="1:6">
      <c r="A674" s="21" t="s">
        <v>678</v>
      </c>
      <c r="B674" s="22">
        <v>12.94</v>
      </c>
      <c r="C674" s="22">
        <v>12.15</v>
      </c>
      <c r="D674" s="22">
        <v>12.08</v>
      </c>
      <c r="E674" s="22">
        <v>12.17</v>
      </c>
      <c r="F674" s="22">
        <v>12.17</v>
      </c>
    </row>
    <row r="675" spans="1:6">
      <c r="A675" s="21" t="s">
        <v>679</v>
      </c>
      <c r="B675" s="22">
        <v>12.45</v>
      </c>
      <c r="C675" s="22">
        <v>12.2</v>
      </c>
      <c r="D675" s="22">
        <v>12.15</v>
      </c>
      <c r="E675" s="22">
        <v>12.26</v>
      </c>
      <c r="F675" s="22">
        <v>12.26</v>
      </c>
    </row>
    <row r="676" spans="1:6">
      <c r="A676" s="21" t="s">
        <v>680</v>
      </c>
      <c r="B676" s="22">
        <v>12.54</v>
      </c>
      <c r="C676" s="22">
        <v>12.11</v>
      </c>
      <c r="D676" s="22">
        <v>12.15</v>
      </c>
      <c r="E676" s="22">
        <v>12.16</v>
      </c>
      <c r="F676" s="22">
        <v>12.17</v>
      </c>
    </row>
    <row r="677" spans="1:6">
      <c r="A677" s="21" t="s">
        <v>681</v>
      </c>
      <c r="B677" s="22">
        <v>12.58</v>
      </c>
      <c r="C677" s="22">
        <v>12.19</v>
      </c>
      <c r="D677" s="22">
        <v>12.02</v>
      </c>
      <c r="E677" s="22">
        <v>12.15</v>
      </c>
      <c r="F677" s="22">
        <v>12.15</v>
      </c>
    </row>
    <row r="678" spans="1:6">
      <c r="A678" s="21" t="s">
        <v>682</v>
      </c>
      <c r="B678" s="22">
        <v>12.67</v>
      </c>
      <c r="C678" s="22">
        <v>12.32</v>
      </c>
      <c r="D678" s="22">
        <v>12.08</v>
      </c>
      <c r="E678" s="22">
        <v>12.17</v>
      </c>
      <c r="F678" s="22">
        <v>12.17</v>
      </c>
    </row>
    <row r="679" spans="1:6">
      <c r="A679" s="21" t="s">
        <v>683</v>
      </c>
      <c r="B679" s="22">
        <v>12.35</v>
      </c>
      <c r="C679" s="22">
        <v>12.33</v>
      </c>
      <c r="D679" s="22">
        <v>11.99</v>
      </c>
      <c r="E679" s="22">
        <v>12.1</v>
      </c>
      <c r="F679" s="22">
        <v>12.1</v>
      </c>
    </row>
    <row r="680" spans="1:6">
      <c r="A680" s="21" t="s">
        <v>684</v>
      </c>
      <c r="B680" s="22">
        <v>13.5</v>
      </c>
      <c r="C680" s="22">
        <v>12.15</v>
      </c>
      <c r="D680" s="22">
        <v>12.06</v>
      </c>
      <c r="E680" s="22">
        <v>12.01</v>
      </c>
      <c r="F680" s="22">
        <v>12.01</v>
      </c>
    </row>
    <row r="681" spans="1:6">
      <c r="A681" s="21" t="s">
        <v>685</v>
      </c>
      <c r="B681" s="22">
        <v>13.22</v>
      </c>
      <c r="C681" s="22">
        <v>12.53</v>
      </c>
      <c r="D681" s="22">
        <v>12.3</v>
      </c>
      <c r="E681" s="22">
        <v>12.22</v>
      </c>
      <c r="F681" s="22">
        <v>12.22</v>
      </c>
    </row>
    <row r="682" spans="1:6">
      <c r="A682" s="21" t="s">
        <v>686</v>
      </c>
      <c r="B682" s="22">
        <v>12.99</v>
      </c>
      <c r="C682" s="22">
        <v>12.54</v>
      </c>
      <c r="D682" s="22">
        <v>12.24</v>
      </c>
      <c r="E682" s="22">
        <v>12.38</v>
      </c>
      <c r="F682" s="22">
        <v>12.38</v>
      </c>
    </row>
    <row r="683" spans="1:6">
      <c r="A683" s="21" t="s">
        <v>687</v>
      </c>
      <c r="B683" s="22">
        <v>11.94</v>
      </c>
      <c r="C683" s="22">
        <v>12.17</v>
      </c>
      <c r="D683" s="22">
        <v>12.3</v>
      </c>
      <c r="E683" s="22">
        <v>12.28</v>
      </c>
      <c r="F683" s="22">
        <v>12.28</v>
      </c>
    </row>
    <row r="684" spans="1:6">
      <c r="A684" s="21" t="s">
        <v>688</v>
      </c>
      <c r="B684" s="22">
        <v>12.85</v>
      </c>
      <c r="C684" s="22">
        <v>12.12</v>
      </c>
      <c r="D684" s="22">
        <v>12.18</v>
      </c>
      <c r="E684" s="22">
        <v>12.27</v>
      </c>
      <c r="F684" s="22">
        <v>12.27</v>
      </c>
    </row>
    <row r="685" spans="1:6">
      <c r="A685" s="21" t="s">
        <v>689</v>
      </c>
      <c r="B685" s="22">
        <v>12.79</v>
      </c>
      <c r="C685" s="22">
        <v>12.09</v>
      </c>
      <c r="D685" s="22">
        <v>12.31</v>
      </c>
      <c r="E685" s="22">
        <v>12.19</v>
      </c>
      <c r="F685" s="22">
        <v>12.19</v>
      </c>
    </row>
    <row r="686" spans="1:6">
      <c r="A686" s="21" t="s">
        <v>690</v>
      </c>
      <c r="B686" s="22">
        <v>12.77</v>
      </c>
      <c r="C686" s="22">
        <v>12.05</v>
      </c>
      <c r="D686" s="22">
        <v>12.17</v>
      </c>
      <c r="E686" s="22">
        <v>12.13</v>
      </c>
      <c r="F686" s="22">
        <v>12.13</v>
      </c>
    </row>
    <row r="687" spans="1:6">
      <c r="A687" s="21" t="s">
        <v>691</v>
      </c>
      <c r="B687" s="22">
        <v>12.64</v>
      </c>
      <c r="C687" s="22">
        <v>11.95</v>
      </c>
      <c r="D687" s="22">
        <v>12.19</v>
      </c>
      <c r="E687" s="22">
        <v>12.06</v>
      </c>
      <c r="F687" s="22">
        <v>12.06</v>
      </c>
    </row>
    <row r="688" spans="1:6">
      <c r="A688" s="21" t="s">
        <v>692</v>
      </c>
      <c r="B688" s="22">
        <v>13.15</v>
      </c>
      <c r="C688" s="22">
        <v>11.74</v>
      </c>
      <c r="D688" s="22">
        <v>12.05</v>
      </c>
      <c r="E688" s="22">
        <v>11.98</v>
      </c>
      <c r="F688" s="22">
        <v>11.98</v>
      </c>
    </row>
    <row r="689" spans="1:6">
      <c r="A689" s="21" t="s">
        <v>693</v>
      </c>
      <c r="B689" s="22">
        <v>13.01</v>
      </c>
      <c r="C689" s="22">
        <v>11.81</v>
      </c>
      <c r="D689" s="22">
        <v>11.69</v>
      </c>
      <c r="E689" s="22">
        <v>11.67</v>
      </c>
      <c r="F689" s="22">
        <v>11.67</v>
      </c>
    </row>
    <row r="690" spans="1:6">
      <c r="A690" s="21" t="s">
        <v>694</v>
      </c>
      <c r="B690" s="22">
        <v>13.28</v>
      </c>
      <c r="C690" s="22">
        <v>11.69</v>
      </c>
      <c r="D690" s="22">
        <v>11.82</v>
      </c>
      <c r="E690" s="22">
        <v>11.65</v>
      </c>
      <c r="F690" s="22">
        <v>11.65</v>
      </c>
    </row>
    <row r="691" spans="1:6">
      <c r="A691" s="21" t="s">
        <v>695</v>
      </c>
      <c r="B691" s="22">
        <v>13.49</v>
      </c>
      <c r="C691" s="22">
        <v>11.87</v>
      </c>
      <c r="D691" s="22">
        <v>11.84</v>
      </c>
      <c r="E691" s="22">
        <v>11.94</v>
      </c>
      <c r="F691" s="22">
        <v>11.94</v>
      </c>
    </row>
    <row r="692" spans="1:6">
      <c r="A692" s="21" t="s">
        <v>696</v>
      </c>
      <c r="B692" s="22">
        <v>13.31</v>
      </c>
      <c r="C692" s="22">
        <v>11.75</v>
      </c>
      <c r="D692" s="22">
        <v>11.72</v>
      </c>
      <c r="E692" s="22">
        <v>11.85</v>
      </c>
      <c r="F692" s="22">
        <v>11.85</v>
      </c>
    </row>
    <row r="693" spans="1:6">
      <c r="A693" s="21" t="s">
        <v>697</v>
      </c>
      <c r="B693" s="22">
        <v>12.82</v>
      </c>
      <c r="C693" s="22">
        <v>11.55</v>
      </c>
      <c r="D693" s="22">
        <v>11.6</v>
      </c>
      <c r="E693" s="22">
        <v>11.64</v>
      </c>
      <c r="F693" s="22">
        <v>11.62</v>
      </c>
    </row>
    <row r="694" spans="1:6">
      <c r="A694" s="21" t="s">
        <v>698</v>
      </c>
      <c r="B694" s="22">
        <v>12.76</v>
      </c>
      <c r="C694" s="22">
        <v>11.59</v>
      </c>
      <c r="D694" s="22">
        <v>11.72</v>
      </c>
      <c r="E694" s="22">
        <v>11.62</v>
      </c>
      <c r="F694" s="22">
        <v>11.62</v>
      </c>
    </row>
    <row r="695" spans="1:6">
      <c r="A695" s="21" t="s">
        <v>699</v>
      </c>
      <c r="B695" s="22">
        <v>13.62</v>
      </c>
      <c r="C695" s="22">
        <v>11.56</v>
      </c>
      <c r="D695" s="22">
        <v>11.65</v>
      </c>
      <c r="E695" s="22">
        <v>11.61</v>
      </c>
      <c r="F695" s="22">
        <v>11.6</v>
      </c>
    </row>
    <row r="696" spans="1:6">
      <c r="A696" s="21" t="s">
        <v>700</v>
      </c>
      <c r="B696" s="22">
        <v>13.07</v>
      </c>
      <c r="C696" s="22">
        <v>11.6</v>
      </c>
      <c r="D696" s="22">
        <v>11.56</v>
      </c>
      <c r="E696" s="22">
        <v>11.61</v>
      </c>
      <c r="F696" s="22">
        <v>11.61</v>
      </c>
    </row>
    <row r="697" spans="1:6">
      <c r="A697" s="21" t="s">
        <v>701</v>
      </c>
      <c r="B697" s="22">
        <v>13.31</v>
      </c>
      <c r="C697" s="22">
        <v>11.74</v>
      </c>
      <c r="D697" s="22">
        <v>11.69</v>
      </c>
      <c r="E697" s="22">
        <v>11.62</v>
      </c>
      <c r="F697" s="22">
        <v>11.62</v>
      </c>
    </row>
    <row r="698" spans="1:6">
      <c r="A698" s="21" t="s">
        <v>702</v>
      </c>
      <c r="B698" s="22">
        <v>13.11</v>
      </c>
      <c r="C698" s="22">
        <v>12.1</v>
      </c>
      <c r="D698" s="22">
        <v>11.5</v>
      </c>
      <c r="E698" s="22">
        <v>11.6</v>
      </c>
      <c r="F698" s="22">
        <v>11.6</v>
      </c>
    </row>
    <row r="699" spans="1:6">
      <c r="A699" s="21" t="s">
        <v>703</v>
      </c>
      <c r="B699" s="22">
        <v>13.01</v>
      </c>
      <c r="C699" s="22">
        <v>11.55</v>
      </c>
      <c r="D699" s="22">
        <v>11.54</v>
      </c>
      <c r="E699" s="22">
        <v>11.63</v>
      </c>
      <c r="F699" s="22">
        <v>11.63</v>
      </c>
    </row>
    <row r="700" spans="1:6">
      <c r="A700" s="21" t="s">
        <v>704</v>
      </c>
      <c r="B700" s="22">
        <v>12.63</v>
      </c>
      <c r="C700" s="22">
        <v>11.58</v>
      </c>
      <c r="D700" s="22">
        <v>11.5</v>
      </c>
      <c r="E700" s="22">
        <v>11.58</v>
      </c>
      <c r="F700" s="22">
        <v>11.58</v>
      </c>
    </row>
    <row r="701" spans="1:6">
      <c r="A701" s="21" t="s">
        <v>705</v>
      </c>
      <c r="B701" s="22">
        <v>12.92</v>
      </c>
      <c r="C701" s="22">
        <v>11.55</v>
      </c>
      <c r="D701" s="22">
        <v>11.49</v>
      </c>
      <c r="E701" s="22">
        <v>11.58</v>
      </c>
      <c r="F701" s="22">
        <v>11.55</v>
      </c>
    </row>
    <row r="702" spans="1:6">
      <c r="A702" s="21" t="s">
        <v>706</v>
      </c>
      <c r="B702" s="22">
        <v>12.96</v>
      </c>
      <c r="C702" s="22">
        <v>11.53</v>
      </c>
      <c r="D702" s="22">
        <v>11.51</v>
      </c>
      <c r="E702" s="22">
        <v>11.6</v>
      </c>
      <c r="F702" s="22">
        <v>11.57</v>
      </c>
    </row>
    <row r="703" spans="1:6">
      <c r="A703" s="21" t="s">
        <v>707</v>
      </c>
      <c r="B703" s="22">
        <v>12.92</v>
      </c>
      <c r="C703" s="22">
        <v>11.72</v>
      </c>
      <c r="D703" s="22">
        <v>11.57</v>
      </c>
      <c r="E703" s="22">
        <v>11.6</v>
      </c>
      <c r="F703" s="22">
        <v>11.58</v>
      </c>
    </row>
    <row r="704" spans="1:6">
      <c r="A704" s="21" t="s">
        <v>708</v>
      </c>
      <c r="B704" s="22">
        <v>13.33</v>
      </c>
      <c r="C704" s="22">
        <v>12.22</v>
      </c>
      <c r="D704" s="22">
        <v>11.89</v>
      </c>
      <c r="E704" s="22">
        <v>12.13</v>
      </c>
      <c r="F704" s="22">
        <v>12.11</v>
      </c>
    </row>
    <row r="705" spans="1:6">
      <c r="A705" s="21" t="s">
        <v>709</v>
      </c>
      <c r="B705" s="22">
        <v>13.27</v>
      </c>
      <c r="C705" s="22">
        <v>12.36</v>
      </c>
      <c r="D705" s="22">
        <v>12.05</v>
      </c>
      <c r="E705" s="22">
        <v>12.23</v>
      </c>
      <c r="F705" s="22">
        <v>12.2</v>
      </c>
    </row>
    <row r="706" spans="1:6">
      <c r="A706" s="21" t="s">
        <v>710</v>
      </c>
      <c r="B706" s="22">
        <v>12.98</v>
      </c>
      <c r="C706" s="22">
        <v>12.23</v>
      </c>
      <c r="D706" s="22">
        <v>12.36</v>
      </c>
      <c r="E706" s="22">
        <v>12.26</v>
      </c>
      <c r="F706" s="22">
        <v>12.26</v>
      </c>
    </row>
    <row r="707" spans="1:6">
      <c r="A707" s="21" t="s">
        <v>711</v>
      </c>
      <c r="B707" s="22">
        <v>13.76</v>
      </c>
      <c r="C707" s="22">
        <v>12.19</v>
      </c>
      <c r="D707" s="22">
        <v>12.27</v>
      </c>
      <c r="E707" s="22">
        <v>12.26</v>
      </c>
      <c r="F707" s="22">
        <v>12.26</v>
      </c>
    </row>
    <row r="708" spans="1:6">
      <c r="A708" s="21" t="s">
        <v>712</v>
      </c>
      <c r="B708" s="22">
        <v>12.98</v>
      </c>
      <c r="C708" s="22">
        <v>12.77</v>
      </c>
      <c r="D708" s="22">
        <v>12.41</v>
      </c>
      <c r="E708" s="22">
        <v>12.55</v>
      </c>
      <c r="F708" s="22">
        <v>12.55</v>
      </c>
    </row>
    <row r="709" spans="1:6">
      <c r="A709" s="21" t="s">
        <v>713</v>
      </c>
      <c r="B709" s="22">
        <v>12.86</v>
      </c>
      <c r="C709" s="22">
        <v>12.41</v>
      </c>
      <c r="D709" s="22">
        <v>12.62</v>
      </c>
      <c r="E709" s="22">
        <v>12.62</v>
      </c>
      <c r="F709" s="22">
        <v>12.62</v>
      </c>
    </row>
    <row r="710" spans="1:6">
      <c r="A710" s="21" t="s">
        <v>714</v>
      </c>
      <c r="B710" s="22">
        <v>12.7</v>
      </c>
      <c r="C710" s="22">
        <v>12.44</v>
      </c>
      <c r="D710" s="22">
        <v>12.72</v>
      </c>
      <c r="E710" s="22">
        <v>12.68</v>
      </c>
      <c r="F710" s="22">
        <v>12.68</v>
      </c>
    </row>
    <row r="711" spans="1:6">
      <c r="A711" s="21" t="s">
        <v>715</v>
      </c>
      <c r="B711" s="22">
        <v>12.72</v>
      </c>
      <c r="C711" s="22">
        <v>12.78</v>
      </c>
      <c r="D711" s="22">
        <v>12.69</v>
      </c>
      <c r="E711" s="22">
        <v>12.81</v>
      </c>
      <c r="F711" s="22">
        <v>12.81</v>
      </c>
    </row>
    <row r="712" spans="1:6">
      <c r="A712" s="21" t="s">
        <v>716</v>
      </c>
      <c r="B712" s="22">
        <v>11.73</v>
      </c>
      <c r="C712" s="22">
        <v>12.51</v>
      </c>
      <c r="D712" s="22">
        <v>12.46</v>
      </c>
      <c r="E712" s="22">
        <v>12.33</v>
      </c>
      <c r="F712" s="22">
        <v>12.32</v>
      </c>
    </row>
    <row r="713" spans="1:6">
      <c r="A713" s="21" t="s">
        <v>717</v>
      </c>
      <c r="B713" s="22">
        <v>11.9</v>
      </c>
      <c r="C713" s="22">
        <v>12.66</v>
      </c>
      <c r="D713" s="22">
        <v>12.76</v>
      </c>
      <c r="E713" s="22">
        <v>12.69</v>
      </c>
      <c r="F713" s="22">
        <v>12.69</v>
      </c>
    </row>
    <row r="714" spans="1:6">
      <c r="A714" s="21" t="s">
        <v>718</v>
      </c>
      <c r="B714" s="22">
        <v>11.39</v>
      </c>
      <c r="C714" s="22">
        <v>12.68</v>
      </c>
      <c r="D714" s="22">
        <v>12.81</v>
      </c>
      <c r="E714" s="22">
        <v>12.57</v>
      </c>
      <c r="F714" s="22">
        <v>12.57</v>
      </c>
    </row>
    <row r="715" spans="1:6">
      <c r="A715" s="21" t="s">
        <v>719</v>
      </c>
      <c r="B715" s="22">
        <v>11.37</v>
      </c>
      <c r="C715" s="22">
        <v>12.93</v>
      </c>
      <c r="D715" s="22">
        <v>12.74</v>
      </c>
      <c r="E715" s="22">
        <v>12.61</v>
      </c>
      <c r="F715" s="22">
        <v>12.61</v>
      </c>
    </row>
    <row r="716" spans="1:6">
      <c r="A716" s="21" t="s">
        <v>720</v>
      </c>
      <c r="B716" s="22">
        <v>11.47</v>
      </c>
      <c r="C716" s="22">
        <v>12.28</v>
      </c>
      <c r="D716" s="22">
        <v>12.49</v>
      </c>
      <c r="E716" s="22">
        <v>12.5</v>
      </c>
      <c r="F716" s="22">
        <v>12.5</v>
      </c>
    </row>
    <row r="717" spans="1:6">
      <c r="A717" s="21" t="s">
        <v>721</v>
      </c>
      <c r="B717" s="22">
        <v>11.57</v>
      </c>
      <c r="C717" s="22">
        <v>12.11</v>
      </c>
      <c r="D717" s="22">
        <v>12.3</v>
      </c>
      <c r="E717" s="22">
        <v>12.17</v>
      </c>
      <c r="F717" s="22">
        <v>12.15</v>
      </c>
    </row>
    <row r="718" spans="1:6">
      <c r="A718" s="21" t="s">
        <v>722</v>
      </c>
      <c r="B718" s="22">
        <v>11.16</v>
      </c>
      <c r="C718" s="22">
        <v>12.9</v>
      </c>
      <c r="D718" s="22">
        <v>12.52</v>
      </c>
      <c r="E718" s="22">
        <v>12.34</v>
      </c>
      <c r="F718" s="22">
        <v>12.31</v>
      </c>
    </row>
    <row r="719" spans="1:6">
      <c r="A719" s="21" t="s">
        <v>723</v>
      </c>
      <c r="B719" s="22">
        <v>11.49</v>
      </c>
      <c r="C719" s="22">
        <v>12.59</v>
      </c>
      <c r="D719" s="22">
        <v>12.61</v>
      </c>
      <c r="E719" s="22">
        <v>12.16</v>
      </c>
      <c r="F719" s="22">
        <v>12.16</v>
      </c>
    </row>
    <row r="720" spans="1:6">
      <c r="A720" s="21" t="s">
        <v>724</v>
      </c>
      <c r="B720" s="22">
        <v>11.27</v>
      </c>
      <c r="C720" s="22">
        <v>12.06</v>
      </c>
      <c r="D720" s="22">
        <v>12.25</v>
      </c>
      <c r="E720" s="22">
        <v>12.13</v>
      </c>
      <c r="F720" s="22">
        <v>12.13</v>
      </c>
    </row>
    <row r="721" spans="1:6">
      <c r="A721" s="21" t="s">
        <v>725</v>
      </c>
      <c r="B721" s="22">
        <v>11.99</v>
      </c>
      <c r="C721" s="22">
        <v>12.84</v>
      </c>
      <c r="D721" s="22">
        <v>12.57</v>
      </c>
      <c r="E721" s="22">
        <v>12.23</v>
      </c>
      <c r="F721" s="22">
        <v>12.23</v>
      </c>
    </row>
    <row r="722" spans="1:6">
      <c r="A722" s="21" t="s">
        <v>726</v>
      </c>
      <c r="B722" s="22">
        <v>12.53</v>
      </c>
      <c r="C722" s="22">
        <v>12.85</v>
      </c>
      <c r="D722" s="22">
        <v>12.61</v>
      </c>
      <c r="E722" s="22">
        <v>12.15</v>
      </c>
      <c r="F722" s="22">
        <v>12.07</v>
      </c>
    </row>
    <row r="723" spans="1:6">
      <c r="A723" s="21" t="s">
        <v>727</v>
      </c>
      <c r="B723" s="22">
        <v>13.85</v>
      </c>
      <c r="C723" s="22">
        <v>12.82</v>
      </c>
      <c r="D723" s="22">
        <v>12.17</v>
      </c>
      <c r="E723" s="22">
        <v>12.65</v>
      </c>
      <c r="F723" s="22">
        <v>12.63</v>
      </c>
    </row>
    <row r="724" spans="1:6">
      <c r="A724" s="21" t="s">
        <v>728</v>
      </c>
      <c r="B724" s="22">
        <v>13.44</v>
      </c>
      <c r="C724" s="22">
        <v>12.93</v>
      </c>
      <c r="D724" s="22">
        <v>12.77</v>
      </c>
      <c r="E724" s="22">
        <v>13</v>
      </c>
      <c r="F724" s="22">
        <v>12.98</v>
      </c>
    </row>
    <row r="725" spans="1:6">
      <c r="A725" s="21" t="s">
        <v>729</v>
      </c>
      <c r="B725" s="22">
        <v>13.77</v>
      </c>
      <c r="C725" s="22">
        <v>12.97</v>
      </c>
      <c r="D725" s="22">
        <v>12.81</v>
      </c>
      <c r="E725" s="22">
        <v>12.78</v>
      </c>
      <c r="F725" s="22">
        <v>12.75</v>
      </c>
    </row>
    <row r="726" spans="1:6">
      <c r="A726" s="21" t="s">
        <v>730</v>
      </c>
      <c r="B726" s="22">
        <v>13.4</v>
      </c>
      <c r="C726" s="22">
        <v>12.61</v>
      </c>
      <c r="D726" s="22">
        <v>12.57</v>
      </c>
      <c r="E726" s="22">
        <v>12.69</v>
      </c>
      <c r="F726" s="22">
        <v>12.66</v>
      </c>
    </row>
    <row r="727" spans="1:6">
      <c r="A727" s="21" t="s">
        <v>731</v>
      </c>
      <c r="B727" s="22">
        <v>12.93</v>
      </c>
      <c r="C727" s="22">
        <v>13.01</v>
      </c>
      <c r="D727" s="22">
        <v>12.46</v>
      </c>
      <c r="E727" s="22">
        <v>12.38</v>
      </c>
      <c r="F727" s="22">
        <v>12.36</v>
      </c>
    </row>
    <row r="728" spans="1:6">
      <c r="A728" s="21" t="s">
        <v>732</v>
      </c>
      <c r="B728" s="22">
        <v>13.19</v>
      </c>
      <c r="C728" s="22">
        <v>12.85</v>
      </c>
      <c r="D728" s="22">
        <v>12.61</v>
      </c>
      <c r="E728" s="22">
        <v>12.72</v>
      </c>
      <c r="F728" s="22">
        <v>12.72</v>
      </c>
    </row>
    <row r="729" spans="1:6">
      <c r="A729" s="21" t="s">
        <v>733</v>
      </c>
      <c r="B729" s="22">
        <v>13.01</v>
      </c>
      <c r="C729" s="22">
        <v>12.82</v>
      </c>
      <c r="D729" s="22">
        <v>12.73</v>
      </c>
      <c r="E729" s="22">
        <v>12.84</v>
      </c>
      <c r="F729" s="22">
        <v>12.84</v>
      </c>
    </row>
    <row r="730" spans="1:6">
      <c r="A730" s="21" t="s">
        <v>734</v>
      </c>
      <c r="B730" s="22">
        <v>12.78</v>
      </c>
      <c r="C730" s="22">
        <v>12.6</v>
      </c>
      <c r="D730" s="22">
        <v>12.61</v>
      </c>
      <c r="E730" s="22">
        <v>12.7</v>
      </c>
      <c r="F730" s="22">
        <v>12.7</v>
      </c>
    </row>
    <row r="731" spans="1:6">
      <c r="A731" s="21" t="s">
        <v>735</v>
      </c>
      <c r="B731" s="22">
        <v>12.98</v>
      </c>
      <c r="C731" s="22">
        <v>12.65</v>
      </c>
      <c r="D731" s="22">
        <v>12.59</v>
      </c>
      <c r="E731" s="22">
        <v>12.65</v>
      </c>
      <c r="F731" s="22">
        <v>12.61</v>
      </c>
    </row>
    <row r="732" spans="1:6">
      <c r="A732" s="21" t="s">
        <v>736</v>
      </c>
      <c r="B732" s="22">
        <v>13.09</v>
      </c>
      <c r="C732" s="22">
        <v>12.61</v>
      </c>
      <c r="D732" s="22">
        <v>12.52</v>
      </c>
      <c r="E732" s="22">
        <v>12.56</v>
      </c>
      <c r="F732" s="22">
        <v>12.56</v>
      </c>
    </row>
    <row r="733" spans="1:6">
      <c r="A733" s="21" t="s">
        <v>737</v>
      </c>
      <c r="B733" s="22">
        <v>12.75</v>
      </c>
      <c r="C733" s="22">
        <v>12.8</v>
      </c>
      <c r="D733" s="22">
        <v>12.85</v>
      </c>
      <c r="E733" s="22">
        <v>12.9</v>
      </c>
      <c r="F733" s="22">
        <v>12.9</v>
      </c>
    </row>
    <row r="734" spans="1:6">
      <c r="A734" s="21" t="s">
        <v>738</v>
      </c>
      <c r="B734" s="22">
        <v>12.68</v>
      </c>
      <c r="C734" s="22">
        <v>12.62</v>
      </c>
      <c r="D734" s="22">
        <v>12.73</v>
      </c>
      <c r="E734" s="22">
        <v>12.82</v>
      </c>
      <c r="F734" s="22">
        <v>12.82</v>
      </c>
    </row>
    <row r="735" spans="1:6">
      <c r="A735" s="21" t="s">
        <v>739</v>
      </c>
      <c r="B735" s="22">
        <v>12.65</v>
      </c>
      <c r="C735" s="22">
        <v>12.64</v>
      </c>
      <c r="D735" s="22">
        <v>12.79</v>
      </c>
      <c r="E735" s="22">
        <v>12.71</v>
      </c>
      <c r="F735" s="22">
        <v>12.71</v>
      </c>
    </row>
    <row r="736" spans="1:6">
      <c r="A736" s="21" t="s">
        <v>740</v>
      </c>
      <c r="B736" s="22">
        <v>13.54</v>
      </c>
      <c r="C736" s="22">
        <v>12.76</v>
      </c>
      <c r="D736" s="22">
        <v>12.68</v>
      </c>
      <c r="E736" s="22">
        <v>12.77</v>
      </c>
      <c r="F736" s="22">
        <v>12.77</v>
      </c>
    </row>
    <row r="737" spans="1:6">
      <c r="A737" s="21" t="s">
        <v>741</v>
      </c>
      <c r="B737" s="22">
        <v>12.96</v>
      </c>
      <c r="C737" s="22">
        <v>13.4</v>
      </c>
      <c r="D737" s="22">
        <v>13.77</v>
      </c>
      <c r="E737" s="22">
        <v>12.75</v>
      </c>
      <c r="F737" s="22">
        <v>12.72</v>
      </c>
    </row>
    <row r="738" spans="1:6">
      <c r="A738" s="21" t="s">
        <v>742</v>
      </c>
      <c r="B738" s="22">
        <v>13.16</v>
      </c>
      <c r="C738" s="22">
        <v>13.03</v>
      </c>
      <c r="D738" s="22">
        <v>13.03</v>
      </c>
      <c r="E738" s="22">
        <v>13.08</v>
      </c>
      <c r="F738" s="22">
        <v>13.07</v>
      </c>
    </row>
    <row r="739" spans="1:6">
      <c r="A739" s="21" t="s">
        <v>743</v>
      </c>
      <c r="B739" s="22">
        <v>13.53</v>
      </c>
      <c r="C739" s="22">
        <v>12.73</v>
      </c>
      <c r="D739" s="22">
        <v>12.64</v>
      </c>
      <c r="E739" s="22">
        <v>12.77</v>
      </c>
      <c r="F739" s="22">
        <v>12.8</v>
      </c>
    </row>
    <row r="740" spans="1:6">
      <c r="A740" s="21" t="s">
        <v>744</v>
      </c>
      <c r="B740" s="22">
        <v>13.41</v>
      </c>
      <c r="C740" s="22">
        <v>12.72</v>
      </c>
      <c r="D740" s="22">
        <v>12.54</v>
      </c>
      <c r="E740" s="22">
        <v>12.68</v>
      </c>
      <c r="F740" s="22">
        <v>12.71</v>
      </c>
    </row>
    <row r="741" spans="1:6">
      <c r="A741" s="21" t="s">
        <v>745</v>
      </c>
      <c r="B741" s="22">
        <v>13.55</v>
      </c>
      <c r="C741" s="22">
        <v>12.82</v>
      </c>
      <c r="D741" s="22">
        <v>12.51</v>
      </c>
      <c r="E741" s="22">
        <v>12.6</v>
      </c>
      <c r="F741" s="22">
        <v>12.6</v>
      </c>
    </row>
    <row r="742" spans="1:6">
      <c r="A742" s="21" t="s">
        <v>746</v>
      </c>
      <c r="B742" s="22">
        <v>13.53</v>
      </c>
      <c r="C742" s="22">
        <v>12.94</v>
      </c>
      <c r="D742" s="22">
        <v>13.27</v>
      </c>
      <c r="E742" s="22">
        <v>12.6</v>
      </c>
      <c r="F742" s="22">
        <v>12.64</v>
      </c>
    </row>
    <row r="743" spans="1:6">
      <c r="A743" s="21" t="s">
        <v>747</v>
      </c>
      <c r="B743" s="22">
        <v>13.79</v>
      </c>
      <c r="C743" s="22">
        <v>13.25</v>
      </c>
      <c r="D743" s="22">
        <v>12.75</v>
      </c>
      <c r="E743" s="22">
        <v>12.86</v>
      </c>
      <c r="F743" s="22">
        <v>12.9</v>
      </c>
    </row>
    <row r="744" spans="1:6">
      <c r="A744" s="21" t="s">
        <v>748</v>
      </c>
      <c r="B744" s="22">
        <v>14.12</v>
      </c>
      <c r="C744" s="22">
        <v>13.39</v>
      </c>
      <c r="D744" s="22">
        <v>12.92</v>
      </c>
      <c r="E744" s="22">
        <v>13.12</v>
      </c>
      <c r="F744" s="22">
        <v>13.18</v>
      </c>
    </row>
    <row r="745" spans="1:6">
      <c r="A745" s="21" t="s">
        <v>749</v>
      </c>
      <c r="B745" s="22">
        <v>14.3</v>
      </c>
      <c r="C745" s="22">
        <v>13.79</v>
      </c>
      <c r="D745" s="22">
        <v>12.79</v>
      </c>
      <c r="E745" s="22">
        <v>13.06</v>
      </c>
      <c r="F745" s="22">
        <v>13.14</v>
      </c>
    </row>
    <row r="746" spans="1:6">
      <c r="A746" s="21" t="s">
        <v>750</v>
      </c>
      <c r="B746" s="22">
        <v>14.3</v>
      </c>
      <c r="C746" s="22">
        <v>13.77</v>
      </c>
      <c r="D746" s="22">
        <v>12.93</v>
      </c>
      <c r="E746" s="22">
        <v>12.99</v>
      </c>
      <c r="F746" s="22">
        <v>13.09</v>
      </c>
    </row>
    <row r="747" spans="1:6">
      <c r="A747" s="21" t="s">
        <v>751</v>
      </c>
      <c r="B747" s="22">
        <v>14.67</v>
      </c>
      <c r="C747" s="22">
        <v>13.38</v>
      </c>
      <c r="D747" s="22">
        <v>13.47</v>
      </c>
      <c r="E747" s="22">
        <v>12.96</v>
      </c>
      <c r="F747" s="22">
        <v>13.06</v>
      </c>
    </row>
    <row r="748" spans="1:6">
      <c r="A748" s="21" t="s">
        <v>752</v>
      </c>
      <c r="B748" s="22">
        <v>15.26</v>
      </c>
      <c r="C748" s="22">
        <v>14.65</v>
      </c>
      <c r="D748" s="22">
        <v>13.76</v>
      </c>
      <c r="E748" s="22">
        <v>14.07</v>
      </c>
      <c r="F748" s="22">
        <v>14.18</v>
      </c>
    </row>
    <row r="749" spans="1:6">
      <c r="A749" s="21" t="s">
        <v>753</v>
      </c>
      <c r="B749" s="22">
        <v>15.44</v>
      </c>
      <c r="C749" s="22">
        <v>14.52</v>
      </c>
      <c r="D749" s="22">
        <v>13.79</v>
      </c>
      <c r="E749" s="22">
        <v>14.05</v>
      </c>
      <c r="F749" s="22">
        <v>14.15</v>
      </c>
    </row>
    <row r="750" spans="1:6">
      <c r="A750" s="21" t="s">
        <v>754</v>
      </c>
      <c r="B750" s="22">
        <v>15.34</v>
      </c>
      <c r="C750" s="22">
        <v>14.41</v>
      </c>
      <c r="D750" s="22">
        <v>13.88</v>
      </c>
      <c r="E750" s="22">
        <v>14.15</v>
      </c>
      <c r="F750" s="22">
        <v>14.21</v>
      </c>
    </row>
    <row r="751" spans="1:6">
      <c r="A751" s="21" t="s">
        <v>755</v>
      </c>
      <c r="B751" s="22">
        <v>15.21</v>
      </c>
      <c r="C751" s="22">
        <v>14.44</v>
      </c>
      <c r="D751" s="22">
        <v>14.53</v>
      </c>
      <c r="E751" s="22">
        <v>14.04</v>
      </c>
      <c r="F751" s="22">
        <v>14.12</v>
      </c>
    </row>
    <row r="752" spans="1:6">
      <c r="A752" s="21" t="s">
        <v>756</v>
      </c>
      <c r="B752" s="22">
        <v>14.28</v>
      </c>
      <c r="C752" s="22">
        <v>14.55</v>
      </c>
      <c r="D752" s="22">
        <v>14.66</v>
      </c>
      <c r="E752" s="22">
        <v>14.61</v>
      </c>
      <c r="F752" s="22">
        <v>14.58</v>
      </c>
    </row>
    <row r="753" spans="1:6">
      <c r="A753" s="21" t="s">
        <v>757</v>
      </c>
      <c r="B753" s="22">
        <v>14.3</v>
      </c>
      <c r="C753" s="22">
        <v>14.54</v>
      </c>
      <c r="D753" s="22">
        <v>14.58</v>
      </c>
      <c r="E753" s="22">
        <v>14.69</v>
      </c>
      <c r="F753" s="22">
        <v>14.69</v>
      </c>
    </row>
    <row r="754" spans="1:6">
      <c r="A754" s="21" t="s">
        <v>758</v>
      </c>
      <c r="B754" s="22">
        <v>14.25</v>
      </c>
      <c r="C754" s="22">
        <v>14.5</v>
      </c>
      <c r="D754" s="22">
        <v>14.41</v>
      </c>
      <c r="E754" s="22">
        <v>14.57</v>
      </c>
      <c r="F754" s="22">
        <v>14.57</v>
      </c>
    </row>
    <row r="755" spans="1:6">
      <c r="A755" s="21" t="s">
        <v>759</v>
      </c>
      <c r="B755" s="22">
        <v>14.02</v>
      </c>
      <c r="C755" s="22">
        <v>14.57</v>
      </c>
      <c r="D755" s="22">
        <v>14.57</v>
      </c>
      <c r="E755" s="22">
        <v>14.59</v>
      </c>
      <c r="F755" s="22">
        <v>14.56</v>
      </c>
    </row>
    <row r="756" spans="1:6">
      <c r="A756" s="21" t="s">
        <v>760</v>
      </c>
      <c r="B756" s="22">
        <v>14.06</v>
      </c>
      <c r="C756" s="22">
        <v>14.61</v>
      </c>
      <c r="D756" s="22">
        <v>14.59</v>
      </c>
      <c r="E756" s="22">
        <v>14.61</v>
      </c>
      <c r="F756" s="22">
        <v>14.6</v>
      </c>
    </row>
    <row r="757" spans="1:6">
      <c r="A757" s="21" t="s">
        <v>761</v>
      </c>
      <c r="B757" s="22">
        <v>13.85</v>
      </c>
      <c r="C757" s="22">
        <v>14.58</v>
      </c>
      <c r="D757" s="22">
        <v>14.43</v>
      </c>
      <c r="E757" s="22">
        <v>14.65</v>
      </c>
      <c r="F757" s="22">
        <v>14.59</v>
      </c>
    </row>
    <row r="758" spans="1:6">
      <c r="A758" s="21" t="s">
        <v>762</v>
      </c>
      <c r="B758" s="22">
        <v>13.7</v>
      </c>
      <c r="C758" s="22">
        <v>14.48</v>
      </c>
      <c r="D758" s="22">
        <v>14.39</v>
      </c>
      <c r="E758" s="22">
        <v>14.31</v>
      </c>
      <c r="F758" s="22">
        <v>14.31</v>
      </c>
    </row>
    <row r="759" spans="1:6">
      <c r="A759" s="21" t="s">
        <v>763</v>
      </c>
      <c r="B759" s="22">
        <v>13.78</v>
      </c>
      <c r="C759" s="22">
        <v>14.43</v>
      </c>
      <c r="D759" s="22">
        <v>14.62</v>
      </c>
      <c r="E759" s="22">
        <v>14.44</v>
      </c>
      <c r="F759" s="22">
        <v>14.43</v>
      </c>
    </row>
    <row r="760" spans="1:6">
      <c r="A760" s="21" t="s">
        <v>764</v>
      </c>
      <c r="B760" s="22">
        <v>15.12</v>
      </c>
      <c r="C760" s="22">
        <v>14.42</v>
      </c>
      <c r="D760" s="22">
        <v>14.26</v>
      </c>
      <c r="E760" s="22">
        <v>14.37</v>
      </c>
      <c r="F760" s="22">
        <v>14.37</v>
      </c>
    </row>
    <row r="761" spans="1:6">
      <c r="A761" s="21" t="s">
        <v>765</v>
      </c>
      <c r="B761" s="22">
        <v>15.45</v>
      </c>
      <c r="C761" s="22">
        <v>14.5</v>
      </c>
      <c r="D761" s="22">
        <v>14.25</v>
      </c>
      <c r="E761" s="22">
        <v>14.42</v>
      </c>
      <c r="F761" s="22">
        <v>14.39</v>
      </c>
    </row>
    <row r="762" spans="1:6">
      <c r="A762" s="21" t="s">
        <v>766</v>
      </c>
      <c r="B762" s="22">
        <v>15.58</v>
      </c>
      <c r="C762" s="22">
        <v>14.52</v>
      </c>
      <c r="D762" s="22">
        <v>14.26</v>
      </c>
      <c r="E762" s="22">
        <v>14.47</v>
      </c>
      <c r="F762" s="22">
        <v>14.47</v>
      </c>
    </row>
    <row r="763" spans="1:6">
      <c r="A763" s="21" t="s">
        <v>767</v>
      </c>
      <c r="B763" s="22">
        <v>15.67</v>
      </c>
      <c r="C763" s="22">
        <v>14.6</v>
      </c>
      <c r="D763" s="22">
        <v>14.25</v>
      </c>
      <c r="E763" s="22">
        <v>14.47</v>
      </c>
      <c r="F763" s="22">
        <v>14.47</v>
      </c>
    </row>
    <row r="764" spans="1:6">
      <c r="A764" s="21" t="s">
        <v>768</v>
      </c>
      <c r="B764" s="22">
        <v>14.77</v>
      </c>
      <c r="C764" s="22">
        <v>14.45</v>
      </c>
      <c r="D764" s="22">
        <v>14.47</v>
      </c>
      <c r="E764" s="22">
        <v>14.47</v>
      </c>
      <c r="F764" s="22">
        <v>14.47</v>
      </c>
    </row>
    <row r="765" spans="1:6">
      <c r="A765" s="21" t="s">
        <v>769</v>
      </c>
      <c r="B765" s="22">
        <v>15.37</v>
      </c>
      <c r="C765" s="22">
        <v>14.47</v>
      </c>
      <c r="D765" s="22">
        <v>14.35</v>
      </c>
      <c r="E765" s="22">
        <v>14.49</v>
      </c>
      <c r="F765" s="22">
        <v>14.48</v>
      </c>
    </row>
    <row r="766" spans="1:6">
      <c r="A766" s="21" t="s">
        <v>770</v>
      </c>
      <c r="B766" s="22">
        <v>15.73</v>
      </c>
      <c r="C766" s="22">
        <v>14.6</v>
      </c>
      <c r="D766" s="22">
        <v>14.32</v>
      </c>
      <c r="E766" s="22">
        <v>14.55</v>
      </c>
      <c r="F766" s="22">
        <v>14.55</v>
      </c>
    </row>
    <row r="767" spans="1:6">
      <c r="A767" s="21" t="s">
        <v>771</v>
      </c>
      <c r="B767" s="22">
        <v>15.6</v>
      </c>
      <c r="C767" s="22">
        <v>14.56</v>
      </c>
      <c r="D767" s="22">
        <v>14.33</v>
      </c>
      <c r="E767" s="22">
        <v>14.53</v>
      </c>
      <c r="F767" s="22">
        <v>14.53</v>
      </c>
    </row>
    <row r="768" spans="1:6">
      <c r="A768" s="21" t="s">
        <v>772</v>
      </c>
      <c r="B768" s="22">
        <v>15.89</v>
      </c>
      <c r="C768" s="22">
        <v>14.67</v>
      </c>
      <c r="D768" s="22">
        <v>14.26</v>
      </c>
      <c r="E768" s="22">
        <v>14.55</v>
      </c>
      <c r="F768" s="22">
        <v>14.55</v>
      </c>
    </row>
    <row r="769" spans="1:6">
      <c r="A769" s="21" t="s">
        <v>773</v>
      </c>
      <c r="B769" s="22">
        <v>16.13</v>
      </c>
      <c r="C769" s="22">
        <v>14.87</v>
      </c>
      <c r="D769" s="22">
        <v>14.56</v>
      </c>
      <c r="E769" s="22">
        <v>14.81</v>
      </c>
      <c r="F769" s="22">
        <v>14.78</v>
      </c>
    </row>
    <row r="770" spans="1:6">
      <c r="A770" s="21" t="s">
        <v>774</v>
      </c>
      <c r="B770" s="22">
        <v>16.07</v>
      </c>
      <c r="C770" s="22">
        <v>14.92</v>
      </c>
      <c r="D770" s="22">
        <v>14.48</v>
      </c>
      <c r="E770" s="22">
        <v>14.77</v>
      </c>
      <c r="F770" s="22">
        <v>14.78</v>
      </c>
    </row>
    <row r="771" spans="1:6">
      <c r="A771" s="21" t="s">
        <v>775</v>
      </c>
      <c r="B771" s="22">
        <v>16.17</v>
      </c>
      <c r="C771" s="22">
        <v>14.97</v>
      </c>
      <c r="D771" s="22">
        <v>14.48</v>
      </c>
      <c r="E771" s="22">
        <v>14.83</v>
      </c>
      <c r="F771" s="22">
        <v>14.81</v>
      </c>
    </row>
    <row r="772" spans="1:6">
      <c r="A772" s="21" t="s">
        <v>776</v>
      </c>
      <c r="B772" s="22">
        <v>16.07</v>
      </c>
      <c r="C772" s="22">
        <v>14.92</v>
      </c>
      <c r="D772" s="22">
        <v>14.52</v>
      </c>
      <c r="E772" s="22">
        <v>14.79</v>
      </c>
      <c r="F772" s="22">
        <v>14.8</v>
      </c>
    </row>
    <row r="773" spans="1:6">
      <c r="A773" s="21" t="s">
        <v>777</v>
      </c>
      <c r="B773" s="22">
        <v>15.91</v>
      </c>
      <c r="C773" s="22">
        <v>14.98</v>
      </c>
      <c r="D773" s="22">
        <v>14.56</v>
      </c>
      <c r="E773" s="22">
        <v>14.8</v>
      </c>
      <c r="F773" s="22">
        <v>14.8</v>
      </c>
    </row>
    <row r="774" spans="1:6">
      <c r="A774" s="21" t="s">
        <v>778</v>
      </c>
      <c r="B774" s="22">
        <v>15.93</v>
      </c>
      <c r="C774" s="22">
        <v>14.99</v>
      </c>
      <c r="D774" s="22">
        <v>14.73</v>
      </c>
      <c r="E774" s="22">
        <v>14.9</v>
      </c>
      <c r="F774" s="22">
        <v>14.87</v>
      </c>
    </row>
    <row r="775" spans="1:6">
      <c r="A775" s="21" t="s">
        <v>779</v>
      </c>
      <c r="B775" s="22">
        <v>15.93</v>
      </c>
      <c r="C775" s="22">
        <v>15.07</v>
      </c>
      <c r="D775" s="22">
        <v>14.64</v>
      </c>
      <c r="E775" s="22">
        <v>14.91</v>
      </c>
      <c r="F775" s="22">
        <v>14.9</v>
      </c>
    </row>
    <row r="776" spans="1:6">
      <c r="A776" s="21" t="s">
        <v>780</v>
      </c>
      <c r="B776" s="22">
        <v>15.88</v>
      </c>
      <c r="C776" s="22">
        <v>15.09</v>
      </c>
      <c r="D776" s="22">
        <v>14.59</v>
      </c>
      <c r="E776" s="22">
        <v>14.93</v>
      </c>
      <c r="F776" s="22">
        <v>14.93</v>
      </c>
    </row>
    <row r="777" spans="1:6">
      <c r="A777" s="21" t="s">
        <v>781</v>
      </c>
      <c r="B777" s="22">
        <v>16</v>
      </c>
      <c r="C777" s="22">
        <v>14.95</v>
      </c>
      <c r="D777" s="22">
        <v>14.5</v>
      </c>
      <c r="E777" s="22">
        <v>14.83</v>
      </c>
      <c r="F777" s="22">
        <v>14.84</v>
      </c>
    </row>
    <row r="778" spans="1:6">
      <c r="A778" s="21" t="s">
        <v>782</v>
      </c>
      <c r="B778" s="22">
        <v>15.96</v>
      </c>
      <c r="C778" s="22">
        <v>14.86</v>
      </c>
      <c r="D778" s="22">
        <v>14.44</v>
      </c>
      <c r="E778" s="22">
        <v>14.77</v>
      </c>
      <c r="F778" s="22">
        <v>14.77</v>
      </c>
    </row>
    <row r="779" spans="1:6">
      <c r="A779" s="21" t="s">
        <v>783</v>
      </c>
      <c r="B779" s="22">
        <v>15.82</v>
      </c>
      <c r="C779" s="22">
        <v>14.94</v>
      </c>
      <c r="D779" s="22">
        <v>14.41</v>
      </c>
      <c r="E779" s="22">
        <v>14.75</v>
      </c>
      <c r="F779" s="22">
        <v>14.75</v>
      </c>
    </row>
    <row r="780" spans="1:6">
      <c r="A780" s="21" t="s">
        <v>784</v>
      </c>
      <c r="B780" s="22">
        <v>15.56</v>
      </c>
      <c r="C780" s="22">
        <v>15.54</v>
      </c>
      <c r="D780" s="22">
        <v>14.36</v>
      </c>
      <c r="E780" s="22">
        <v>15.01</v>
      </c>
      <c r="F780" s="22">
        <v>15</v>
      </c>
    </row>
    <row r="781" spans="1:6">
      <c r="A781" s="21" t="s">
        <v>785</v>
      </c>
      <c r="B781" s="22">
        <v>15.14</v>
      </c>
      <c r="C781" s="22">
        <v>15.58</v>
      </c>
      <c r="D781" s="22">
        <v>14.36</v>
      </c>
      <c r="E781" s="22">
        <v>15.02</v>
      </c>
      <c r="F781" s="22">
        <v>15.01</v>
      </c>
    </row>
    <row r="782" spans="1:6">
      <c r="A782" s="21" t="s">
        <v>786</v>
      </c>
      <c r="B782" s="22">
        <v>15.91</v>
      </c>
      <c r="C782" s="22">
        <v>15.76</v>
      </c>
      <c r="D782" s="22">
        <v>14.43</v>
      </c>
      <c r="E782" s="22">
        <v>15.24</v>
      </c>
      <c r="F782" s="22">
        <v>15.24</v>
      </c>
    </row>
    <row r="783" spans="1:6">
      <c r="A783" s="21" t="s">
        <v>787</v>
      </c>
      <c r="B783" s="22">
        <v>15.74</v>
      </c>
      <c r="C783" s="22">
        <v>15.58</v>
      </c>
      <c r="D783" s="22">
        <v>14.35</v>
      </c>
      <c r="E783" s="22">
        <v>15.01</v>
      </c>
      <c r="F783" s="22">
        <v>15.01</v>
      </c>
    </row>
    <row r="784" spans="1:6">
      <c r="A784" s="21" t="s">
        <v>788</v>
      </c>
      <c r="B784" s="22">
        <v>15.81</v>
      </c>
      <c r="C784" s="22">
        <v>15.65</v>
      </c>
      <c r="D784" s="22">
        <v>14.51</v>
      </c>
      <c r="E784" s="22">
        <v>15.15</v>
      </c>
      <c r="F784" s="22">
        <v>15.07</v>
      </c>
    </row>
    <row r="785" spans="1:6">
      <c r="A785" s="21" t="s">
        <v>789</v>
      </c>
      <c r="B785" s="22">
        <v>15.58</v>
      </c>
      <c r="C785" s="22">
        <v>15.56</v>
      </c>
      <c r="D785" s="22">
        <v>14.29</v>
      </c>
      <c r="E785" s="22">
        <v>14.93</v>
      </c>
      <c r="F785" s="22">
        <v>14.93</v>
      </c>
    </row>
    <row r="786" spans="1:6">
      <c r="A786" s="21" t="s">
        <v>790</v>
      </c>
      <c r="B786" s="22">
        <v>15.66</v>
      </c>
      <c r="C786" s="22">
        <v>15.78</v>
      </c>
      <c r="D786" s="22">
        <v>14.35</v>
      </c>
      <c r="E786" s="22">
        <v>15.1</v>
      </c>
      <c r="F786" s="22">
        <v>15.12</v>
      </c>
    </row>
    <row r="787" spans="1:6">
      <c r="A787" s="21" t="s">
        <v>791</v>
      </c>
      <c r="B787" s="22">
        <v>15.76</v>
      </c>
      <c r="C787" s="22">
        <v>15.79</v>
      </c>
      <c r="D787" s="22">
        <v>14.34</v>
      </c>
      <c r="E787" s="22">
        <v>15.11</v>
      </c>
      <c r="F787" s="22">
        <v>15.12</v>
      </c>
    </row>
    <row r="788" spans="1:6">
      <c r="A788" s="21" t="s">
        <v>792</v>
      </c>
      <c r="B788" s="22">
        <v>15.82</v>
      </c>
      <c r="C788" s="22">
        <v>15.77</v>
      </c>
      <c r="D788" s="22">
        <v>14.34</v>
      </c>
      <c r="E788" s="22">
        <v>15.14</v>
      </c>
      <c r="F788" s="22">
        <v>15.14</v>
      </c>
    </row>
    <row r="789" spans="1:6">
      <c r="A789" s="21" t="s">
        <v>793</v>
      </c>
      <c r="B789" s="22">
        <v>15.92</v>
      </c>
      <c r="C789" s="22">
        <v>15.66</v>
      </c>
      <c r="D789" s="22">
        <v>14.33</v>
      </c>
      <c r="E789" s="22">
        <v>15.08</v>
      </c>
      <c r="F789" s="22">
        <v>15.07</v>
      </c>
    </row>
    <row r="790" spans="1:6">
      <c r="A790" s="21" t="s">
        <v>794</v>
      </c>
      <c r="B790" s="22">
        <v>15.81</v>
      </c>
      <c r="C790" s="22">
        <v>15.7</v>
      </c>
      <c r="D790" s="22">
        <v>14.39</v>
      </c>
      <c r="E790" s="22">
        <v>15.1</v>
      </c>
      <c r="F790" s="22">
        <v>15.08</v>
      </c>
    </row>
    <row r="791" spans="1:6">
      <c r="A791" s="21" t="s">
        <v>795</v>
      </c>
      <c r="B791" s="22">
        <v>15.74</v>
      </c>
      <c r="C791" s="22">
        <v>15.86</v>
      </c>
      <c r="D791" s="22">
        <v>14.52</v>
      </c>
      <c r="E791" s="22">
        <v>15.27</v>
      </c>
      <c r="F791" s="22">
        <v>15.24</v>
      </c>
    </row>
    <row r="792" spans="1:6">
      <c r="A792" s="21" t="s">
        <v>796</v>
      </c>
      <c r="B792" s="22">
        <v>15.79</v>
      </c>
      <c r="C792" s="22">
        <v>15.95</v>
      </c>
      <c r="D792" s="22">
        <v>14.46</v>
      </c>
      <c r="E792" s="22">
        <v>15.27</v>
      </c>
      <c r="F792" s="22">
        <v>15.28</v>
      </c>
    </row>
    <row r="793" spans="1:6">
      <c r="A793" s="21" t="s">
        <v>797</v>
      </c>
      <c r="B793" s="22">
        <v>15.61</v>
      </c>
      <c r="C793" s="22">
        <v>15.86</v>
      </c>
      <c r="D793" s="22">
        <v>14.42</v>
      </c>
      <c r="E793" s="22">
        <v>15.28</v>
      </c>
      <c r="F793" s="22">
        <v>15.29</v>
      </c>
    </row>
    <row r="794" spans="1:6">
      <c r="A794" s="21" t="s">
        <v>798</v>
      </c>
      <c r="B794" s="22">
        <v>15.94</v>
      </c>
      <c r="C794" s="22">
        <v>15.77</v>
      </c>
      <c r="D794" s="22">
        <v>14.45</v>
      </c>
      <c r="E794" s="22">
        <v>15.23</v>
      </c>
      <c r="F794" s="22">
        <v>15.2</v>
      </c>
    </row>
    <row r="795" spans="1:6">
      <c r="A795" s="21" t="s">
        <v>799</v>
      </c>
      <c r="B795" s="22">
        <v>16.17</v>
      </c>
      <c r="C795" s="22">
        <v>15.99</v>
      </c>
      <c r="D795" s="22">
        <v>14.39</v>
      </c>
      <c r="E795" s="22">
        <v>15.28</v>
      </c>
      <c r="F795" s="22">
        <v>15.22</v>
      </c>
    </row>
    <row r="796" spans="1:6">
      <c r="A796" s="21" t="s">
        <v>800</v>
      </c>
      <c r="B796" s="22">
        <v>15.96</v>
      </c>
      <c r="C796" s="22">
        <v>15.72</v>
      </c>
      <c r="D796" s="22">
        <v>14.38</v>
      </c>
      <c r="E796" s="22">
        <v>15.22</v>
      </c>
      <c r="F796" s="22">
        <v>15.16</v>
      </c>
    </row>
    <row r="797" spans="1:6">
      <c r="A797" s="21" t="s">
        <v>801</v>
      </c>
      <c r="B797" s="22">
        <v>15.95</v>
      </c>
      <c r="C797" s="22">
        <v>15.84</v>
      </c>
      <c r="D797" s="22">
        <v>14.38</v>
      </c>
      <c r="E797" s="22">
        <v>15.31</v>
      </c>
      <c r="F797" s="22">
        <v>15.21</v>
      </c>
    </row>
    <row r="798" spans="1:6">
      <c r="A798" s="21" t="s">
        <v>802</v>
      </c>
      <c r="B798" s="22">
        <v>16.18</v>
      </c>
      <c r="C798" s="22">
        <v>16.23</v>
      </c>
      <c r="D798" s="22">
        <v>14.38</v>
      </c>
      <c r="E798" s="22">
        <v>15.35</v>
      </c>
      <c r="F798" s="22">
        <v>15.38</v>
      </c>
    </row>
    <row r="799" spans="1:6">
      <c r="A799" s="21" t="s">
        <v>803</v>
      </c>
      <c r="B799" s="22">
        <v>15.97</v>
      </c>
      <c r="C799" s="22">
        <v>16.24</v>
      </c>
      <c r="D799" s="22">
        <v>14.41</v>
      </c>
      <c r="E799" s="22">
        <v>15.4</v>
      </c>
      <c r="F799" s="22">
        <v>15.35</v>
      </c>
    </row>
    <row r="800" spans="1:6">
      <c r="A800" s="21" t="s">
        <v>804</v>
      </c>
      <c r="B800" s="22">
        <v>15.99</v>
      </c>
      <c r="C800" s="22">
        <v>16.36</v>
      </c>
      <c r="D800" s="22">
        <v>14.48</v>
      </c>
      <c r="E800" s="22">
        <v>15.51</v>
      </c>
      <c r="F800" s="22">
        <v>15.45</v>
      </c>
    </row>
    <row r="801" spans="1:6">
      <c r="A801" s="21" t="s">
        <v>805</v>
      </c>
      <c r="B801" s="22">
        <v>15.95</v>
      </c>
      <c r="C801" s="22">
        <v>16.41</v>
      </c>
      <c r="D801" s="22">
        <v>14.44</v>
      </c>
      <c r="E801" s="22">
        <v>15.5</v>
      </c>
      <c r="F801" s="22">
        <v>15.45</v>
      </c>
    </row>
    <row r="802" spans="1:6">
      <c r="A802" s="21" t="s">
        <v>806</v>
      </c>
      <c r="B802" s="22">
        <v>15.97</v>
      </c>
      <c r="C802" s="22">
        <v>16.45</v>
      </c>
      <c r="D802" s="22">
        <v>14.49</v>
      </c>
      <c r="E802" s="22">
        <v>15.62</v>
      </c>
      <c r="F802" s="22">
        <v>15.56</v>
      </c>
    </row>
    <row r="803" spans="1:6">
      <c r="A803" s="21" t="s">
        <v>807</v>
      </c>
      <c r="B803" s="22">
        <v>15.99</v>
      </c>
      <c r="C803" s="22">
        <v>16.47</v>
      </c>
      <c r="D803" s="22">
        <v>14.5</v>
      </c>
      <c r="E803" s="22">
        <v>15.63</v>
      </c>
      <c r="F803" s="22">
        <v>15.57</v>
      </c>
    </row>
    <row r="804" spans="1:6">
      <c r="A804" s="21" t="s">
        <v>808</v>
      </c>
      <c r="B804" s="22">
        <v>15.88</v>
      </c>
      <c r="C804" s="22">
        <v>16.46</v>
      </c>
      <c r="D804" s="22">
        <v>14.51</v>
      </c>
      <c r="E804" s="22">
        <v>15.58</v>
      </c>
      <c r="F804" s="22">
        <v>15.53</v>
      </c>
    </row>
    <row r="805" spans="1:6">
      <c r="A805" s="21" t="s">
        <v>809</v>
      </c>
      <c r="B805" s="22">
        <v>16.2</v>
      </c>
      <c r="C805" s="22">
        <v>16.59</v>
      </c>
      <c r="D805" s="22">
        <v>14.42</v>
      </c>
      <c r="E805" s="22">
        <v>15.6</v>
      </c>
      <c r="F805" s="22">
        <v>15.55</v>
      </c>
    </row>
    <row r="806" spans="1:6">
      <c r="A806" s="21" t="s">
        <v>810</v>
      </c>
      <c r="B806" s="22">
        <v>16.27</v>
      </c>
      <c r="C806" s="22">
        <v>16.45</v>
      </c>
      <c r="D806" s="22">
        <v>14.42</v>
      </c>
      <c r="E806" s="22">
        <v>15.53</v>
      </c>
      <c r="F806" s="22">
        <v>15.47</v>
      </c>
    </row>
    <row r="807" spans="1:6">
      <c r="A807" s="21" t="s">
        <v>811</v>
      </c>
      <c r="B807" s="22">
        <v>16.19</v>
      </c>
      <c r="C807" s="22">
        <v>16.44</v>
      </c>
      <c r="D807" s="22">
        <v>14.53</v>
      </c>
      <c r="E807" s="22">
        <v>15.49</v>
      </c>
      <c r="F807" s="22">
        <v>15.49</v>
      </c>
    </row>
    <row r="808" spans="1:6">
      <c r="A808" s="21" t="s">
        <v>812</v>
      </c>
      <c r="B808" s="22">
        <v>16.18</v>
      </c>
      <c r="C808" s="22">
        <v>16.39</v>
      </c>
      <c r="D808" s="22">
        <v>14.41</v>
      </c>
      <c r="E808" s="22">
        <v>15.49</v>
      </c>
      <c r="F808" s="22">
        <v>15.49</v>
      </c>
    </row>
    <row r="809" spans="1:6">
      <c r="A809" s="21" t="s">
        <v>813</v>
      </c>
      <c r="B809" s="22">
        <v>16.21</v>
      </c>
      <c r="C809" s="22">
        <v>16.47</v>
      </c>
      <c r="D809" s="22">
        <v>14.49</v>
      </c>
      <c r="E809" s="22">
        <v>15.5</v>
      </c>
      <c r="F809" s="22">
        <v>15.5</v>
      </c>
    </row>
    <row r="810" spans="1:6">
      <c r="A810" s="21" t="s">
        <v>814</v>
      </c>
      <c r="B810" s="22">
        <v>16.38</v>
      </c>
      <c r="C810" s="22">
        <v>16.62</v>
      </c>
      <c r="D810" s="22">
        <v>14.36</v>
      </c>
      <c r="E810" s="22">
        <v>15.56</v>
      </c>
      <c r="F810" s="22">
        <v>15.56</v>
      </c>
    </row>
    <row r="811" spans="1:6">
      <c r="A811" s="21" t="s">
        <v>815</v>
      </c>
      <c r="B811" s="22">
        <v>16.32</v>
      </c>
      <c r="C811" s="22">
        <v>16.56</v>
      </c>
      <c r="D811" s="22">
        <v>14.37</v>
      </c>
      <c r="E811" s="22">
        <v>15.55</v>
      </c>
      <c r="F811" s="22">
        <v>15.56</v>
      </c>
    </row>
    <row r="812" spans="1:6">
      <c r="A812" s="21" t="s">
        <v>816</v>
      </c>
      <c r="B812" s="22">
        <v>16.24</v>
      </c>
      <c r="C812" s="22">
        <v>16.63</v>
      </c>
      <c r="D812" s="22">
        <v>14.36</v>
      </c>
      <c r="E812" s="22">
        <v>15.57</v>
      </c>
      <c r="F812" s="22">
        <v>15.53</v>
      </c>
    </row>
    <row r="813" spans="1:6">
      <c r="A813" s="21" t="s">
        <v>817</v>
      </c>
      <c r="B813" s="22">
        <v>16.29</v>
      </c>
      <c r="C813" s="22">
        <v>16.59</v>
      </c>
      <c r="D813" s="22">
        <v>14.43</v>
      </c>
      <c r="E813" s="22">
        <v>15.6</v>
      </c>
      <c r="F813" s="22">
        <v>15.6</v>
      </c>
    </row>
    <row r="814" spans="1:6">
      <c r="A814" s="21" t="s">
        <v>818</v>
      </c>
      <c r="B814" s="22">
        <v>16.96</v>
      </c>
      <c r="C814" s="22">
        <v>17.02</v>
      </c>
      <c r="D814" s="22">
        <v>14.49</v>
      </c>
      <c r="E814" s="22">
        <v>15.87</v>
      </c>
      <c r="F814" s="22">
        <v>15.86</v>
      </c>
    </row>
    <row r="815" spans="1:6">
      <c r="A815" s="21" t="s">
        <v>819</v>
      </c>
      <c r="B815" s="22">
        <v>16.34</v>
      </c>
      <c r="C815" s="22">
        <v>17.09</v>
      </c>
      <c r="D815" s="22">
        <v>14.53</v>
      </c>
      <c r="E815" s="22">
        <v>15.94</v>
      </c>
      <c r="F815" s="22">
        <v>15.93</v>
      </c>
    </row>
    <row r="816" spans="1:6">
      <c r="A816" s="21" t="s">
        <v>820</v>
      </c>
      <c r="B816" s="22">
        <v>16.82</v>
      </c>
      <c r="C816" s="22">
        <v>16.84</v>
      </c>
      <c r="D816" s="22">
        <v>14.48</v>
      </c>
      <c r="E816" s="22">
        <v>15.78</v>
      </c>
      <c r="F816" s="22">
        <v>15.77</v>
      </c>
    </row>
    <row r="817" spans="1:6">
      <c r="A817" s="21" t="s">
        <v>821</v>
      </c>
      <c r="B817" s="22">
        <v>16.46</v>
      </c>
      <c r="C817" s="22">
        <v>16.6</v>
      </c>
      <c r="D817" s="22">
        <v>14.47</v>
      </c>
      <c r="E817" s="22">
        <v>15.62</v>
      </c>
      <c r="F817" s="22">
        <v>15.61</v>
      </c>
    </row>
    <row r="818" spans="1:6">
      <c r="A818" s="21" t="s">
        <v>822</v>
      </c>
      <c r="B818" s="22">
        <v>16.27</v>
      </c>
      <c r="C818" s="22">
        <v>16.62</v>
      </c>
      <c r="D818" s="22">
        <v>14.51</v>
      </c>
      <c r="E818" s="22">
        <v>15.63</v>
      </c>
      <c r="F818" s="22">
        <v>15.61</v>
      </c>
    </row>
    <row r="819" spans="1:6">
      <c r="A819" s="21" t="s">
        <v>823</v>
      </c>
      <c r="B819" s="22">
        <v>16.66</v>
      </c>
      <c r="C819" s="22">
        <v>16.78</v>
      </c>
      <c r="D819" s="22">
        <v>14.56</v>
      </c>
      <c r="E819" s="22">
        <v>15.65</v>
      </c>
      <c r="F819" s="22">
        <v>15.63</v>
      </c>
    </row>
    <row r="820" spans="1:6">
      <c r="A820" s="21" t="s">
        <v>824</v>
      </c>
      <c r="B820" s="22">
        <v>16.44</v>
      </c>
      <c r="C820" s="22">
        <v>16.75</v>
      </c>
      <c r="D820" s="22">
        <v>15.21</v>
      </c>
      <c r="E820" s="22">
        <v>16.06</v>
      </c>
      <c r="F820" s="22">
        <v>16.04</v>
      </c>
    </row>
    <row r="821" spans="1:6">
      <c r="A821" s="21" t="s">
        <v>825</v>
      </c>
      <c r="B821" s="22">
        <v>16.41</v>
      </c>
      <c r="C821" s="22">
        <v>16.88</v>
      </c>
      <c r="D821" s="22">
        <v>15.04</v>
      </c>
      <c r="E821" s="22">
        <v>16.05</v>
      </c>
      <c r="F821" s="22">
        <v>15.95</v>
      </c>
    </row>
    <row r="822" spans="1:6">
      <c r="A822" s="21" t="s">
        <v>826</v>
      </c>
      <c r="B822" s="22">
        <v>16.83</v>
      </c>
      <c r="C822" s="22">
        <v>16.7</v>
      </c>
      <c r="D822" s="22">
        <v>15.03</v>
      </c>
      <c r="E822" s="22">
        <v>15.93</v>
      </c>
      <c r="F822" s="22">
        <v>15.92</v>
      </c>
    </row>
    <row r="823" spans="1:6">
      <c r="A823" s="21" t="s">
        <v>827</v>
      </c>
      <c r="B823" s="22">
        <v>17.02</v>
      </c>
      <c r="C823" s="22">
        <v>16.76</v>
      </c>
      <c r="D823" s="22">
        <v>15.12</v>
      </c>
      <c r="E823" s="22">
        <v>15.83</v>
      </c>
      <c r="F823" s="22">
        <v>15.92</v>
      </c>
    </row>
    <row r="824" spans="1:6">
      <c r="A824" s="21" t="s">
        <v>828</v>
      </c>
      <c r="B824" s="22">
        <v>16.83</v>
      </c>
      <c r="C824" s="22">
        <v>16.96</v>
      </c>
      <c r="D824" s="22">
        <v>15.99</v>
      </c>
      <c r="E824" s="22">
        <v>16.49</v>
      </c>
      <c r="F824" s="22">
        <v>16.54</v>
      </c>
    </row>
    <row r="825" spans="1:6">
      <c r="A825" s="21" t="s">
        <v>829</v>
      </c>
      <c r="B825" s="22">
        <v>16.85</v>
      </c>
      <c r="C825" s="22">
        <v>17</v>
      </c>
      <c r="D825" s="22">
        <v>15.92</v>
      </c>
      <c r="E825" s="22">
        <v>16.48</v>
      </c>
      <c r="F825" s="22">
        <v>16.53</v>
      </c>
    </row>
    <row r="826" spans="1:6">
      <c r="A826" s="21" t="s">
        <v>830</v>
      </c>
      <c r="B826" s="22">
        <v>16.87</v>
      </c>
      <c r="C826" s="22">
        <v>17.03</v>
      </c>
      <c r="D826" s="22">
        <v>15.91</v>
      </c>
      <c r="E826" s="22">
        <v>16.49</v>
      </c>
      <c r="F826" s="22">
        <v>16.52</v>
      </c>
    </row>
    <row r="827" spans="1:6">
      <c r="A827" s="21" t="s">
        <v>831</v>
      </c>
      <c r="B827" s="22">
        <v>16.85</v>
      </c>
      <c r="C827" s="22">
        <v>17.06</v>
      </c>
      <c r="D827" s="22">
        <v>15.87</v>
      </c>
      <c r="E827" s="22">
        <v>16.48</v>
      </c>
      <c r="F827" s="22">
        <v>16.52</v>
      </c>
    </row>
    <row r="828" spans="1:6">
      <c r="A828" s="21" t="s">
        <v>832</v>
      </c>
      <c r="B828" s="22">
        <v>16.9</v>
      </c>
      <c r="C828" s="22">
        <v>17.15</v>
      </c>
      <c r="D828" s="22">
        <v>15.67</v>
      </c>
      <c r="E828" s="22">
        <v>16.52</v>
      </c>
      <c r="F828" s="22">
        <v>16.56</v>
      </c>
    </row>
    <row r="829" spans="1:6">
      <c r="A829" s="21" t="s">
        <v>833</v>
      </c>
      <c r="B829" s="22">
        <v>17.13</v>
      </c>
      <c r="C829" s="22">
        <v>17.16</v>
      </c>
      <c r="D829" s="22">
        <v>15.77</v>
      </c>
      <c r="E829" s="22">
        <v>16.52</v>
      </c>
      <c r="F829" s="22">
        <v>16.57</v>
      </c>
    </row>
    <row r="830" spans="1:6">
      <c r="A830" s="21" t="s">
        <v>834</v>
      </c>
      <c r="B830" s="22">
        <v>17.16</v>
      </c>
      <c r="C830" s="22">
        <v>17.1</v>
      </c>
      <c r="D830" s="22">
        <v>15.75</v>
      </c>
      <c r="E830" s="22">
        <v>16.52</v>
      </c>
      <c r="F830" s="22">
        <v>16.56</v>
      </c>
    </row>
    <row r="831" spans="1:6">
      <c r="A831" s="21" t="s">
        <v>835</v>
      </c>
      <c r="B831" s="22">
        <v>17.18</v>
      </c>
      <c r="C831" s="22">
        <v>17.23</v>
      </c>
      <c r="D831" s="22">
        <v>15.82</v>
      </c>
      <c r="E831" s="22">
        <v>16.52</v>
      </c>
      <c r="F831" s="22">
        <v>16.56</v>
      </c>
    </row>
    <row r="832" spans="1:6">
      <c r="A832" s="21" t="s">
        <v>836</v>
      </c>
      <c r="B832" s="22">
        <v>17.51</v>
      </c>
      <c r="C832" s="22">
        <v>17.24</v>
      </c>
      <c r="D832" s="22">
        <v>15.68</v>
      </c>
      <c r="E832" s="22">
        <v>16.57</v>
      </c>
      <c r="F832" s="22">
        <v>16.6</v>
      </c>
    </row>
    <row r="833" spans="1:6">
      <c r="A833" s="21" t="s">
        <v>837</v>
      </c>
      <c r="B833" s="22">
        <v>17.33</v>
      </c>
      <c r="C833" s="22">
        <v>17.23</v>
      </c>
      <c r="D833" s="22">
        <v>15.66</v>
      </c>
      <c r="E833" s="22">
        <v>16.54</v>
      </c>
      <c r="F833" s="22">
        <v>16.59</v>
      </c>
    </row>
    <row r="834" spans="1:6">
      <c r="A834" s="21" t="s">
        <v>838</v>
      </c>
      <c r="B834" s="22">
        <v>16.71</v>
      </c>
      <c r="C834" s="22">
        <v>16.8</v>
      </c>
      <c r="D834" s="22">
        <v>16.46</v>
      </c>
      <c r="E834" s="22">
        <v>16.63</v>
      </c>
      <c r="F834" s="22">
        <v>16.63</v>
      </c>
    </row>
    <row r="835" spans="1:6">
      <c r="A835" s="21" t="s">
        <v>839</v>
      </c>
      <c r="B835" s="22">
        <v>16.42</v>
      </c>
      <c r="C835" s="22">
        <v>16.81</v>
      </c>
      <c r="D835" s="22">
        <v>16.3</v>
      </c>
      <c r="E835" s="22">
        <v>16.63</v>
      </c>
      <c r="F835" s="22">
        <v>16.64</v>
      </c>
    </row>
    <row r="836" spans="1:6">
      <c r="A836" s="21" t="s">
        <v>840</v>
      </c>
      <c r="B836" s="22">
        <v>16.42</v>
      </c>
      <c r="C836" s="22">
        <v>16.87</v>
      </c>
      <c r="D836" s="22">
        <v>16.48</v>
      </c>
      <c r="E836" s="22">
        <v>16.65</v>
      </c>
      <c r="F836" s="22">
        <v>16.64</v>
      </c>
    </row>
    <row r="837" spans="1:6">
      <c r="A837" s="21" t="s">
        <v>841</v>
      </c>
      <c r="B837" s="22">
        <v>16.41</v>
      </c>
      <c r="C837" s="22">
        <v>16.89</v>
      </c>
      <c r="D837" s="22">
        <v>16.41</v>
      </c>
      <c r="E837" s="22">
        <v>16.66</v>
      </c>
      <c r="F837" s="22">
        <v>16.62</v>
      </c>
    </row>
    <row r="838" spans="1:6">
      <c r="A838" s="21" t="s">
        <v>842</v>
      </c>
      <c r="B838" s="22">
        <v>16.41</v>
      </c>
      <c r="C838" s="22">
        <v>16.74</v>
      </c>
      <c r="D838" s="22">
        <v>16.38</v>
      </c>
      <c r="E838" s="22">
        <v>16.58</v>
      </c>
      <c r="F838" s="22">
        <v>16.59</v>
      </c>
    </row>
    <row r="839" spans="1:6">
      <c r="A839" s="21" t="s">
        <v>843</v>
      </c>
      <c r="B839" s="22">
        <v>16.48</v>
      </c>
      <c r="C839" s="22">
        <v>16.85</v>
      </c>
      <c r="D839" s="22">
        <v>16.42</v>
      </c>
      <c r="E839" s="22">
        <v>16.64</v>
      </c>
      <c r="F839" s="22">
        <v>16.63</v>
      </c>
    </row>
    <row r="840" spans="1:6">
      <c r="A840" s="21" t="s">
        <v>844</v>
      </c>
      <c r="B840" s="22">
        <v>16.33</v>
      </c>
      <c r="C840" s="22">
        <v>16.74</v>
      </c>
      <c r="D840" s="22">
        <v>16.33</v>
      </c>
      <c r="E840" s="22">
        <v>16.56</v>
      </c>
      <c r="F840" s="22">
        <v>16.56</v>
      </c>
    </row>
    <row r="841" spans="1:6">
      <c r="A841" s="21" t="s">
        <v>845</v>
      </c>
      <c r="B841" s="22">
        <v>16.28</v>
      </c>
      <c r="C841" s="22">
        <v>16.71</v>
      </c>
      <c r="D841" s="22">
        <v>16.31</v>
      </c>
      <c r="E841" s="22">
        <v>16.52</v>
      </c>
      <c r="F841" s="22">
        <v>16.53</v>
      </c>
    </row>
    <row r="842" spans="1:6">
      <c r="A842" s="21" t="s">
        <v>846</v>
      </c>
      <c r="B842" s="22">
        <v>16.28</v>
      </c>
      <c r="C842" s="22">
        <v>16.78</v>
      </c>
      <c r="D842" s="22">
        <v>16.33</v>
      </c>
      <c r="E842" s="22">
        <v>16.53</v>
      </c>
      <c r="F842" s="22">
        <v>16.53</v>
      </c>
    </row>
    <row r="843" spans="1:6">
      <c r="A843" s="21" t="s">
        <v>847</v>
      </c>
      <c r="B843" s="22">
        <v>16.27</v>
      </c>
      <c r="C843" s="22">
        <v>16.78</v>
      </c>
      <c r="D843" s="22">
        <v>16.33</v>
      </c>
      <c r="E843" s="22">
        <v>16.5</v>
      </c>
      <c r="F843" s="22">
        <v>16.52</v>
      </c>
    </row>
    <row r="844" spans="1:6">
      <c r="A844" s="21" t="s">
        <v>848</v>
      </c>
      <c r="B844" s="22">
        <v>16.59</v>
      </c>
      <c r="C844" s="22">
        <v>16.72</v>
      </c>
      <c r="D844" s="22">
        <v>16.62</v>
      </c>
      <c r="E844" s="22">
        <v>16.67</v>
      </c>
      <c r="F844" s="22">
        <v>16.67</v>
      </c>
    </row>
    <row r="845" spans="1:6">
      <c r="A845" s="21" t="s">
        <v>849</v>
      </c>
      <c r="B845" s="22">
        <v>16.59</v>
      </c>
      <c r="C845" s="22">
        <v>16.62</v>
      </c>
      <c r="D845" s="22">
        <v>16.61</v>
      </c>
      <c r="E845" s="22">
        <v>16.66</v>
      </c>
      <c r="F845" s="22">
        <v>16.66</v>
      </c>
    </row>
    <row r="846" spans="1:6">
      <c r="A846" s="21" t="s">
        <v>850</v>
      </c>
      <c r="B846" s="22">
        <v>16.52</v>
      </c>
      <c r="C846" s="22">
        <v>16.6</v>
      </c>
      <c r="D846" s="22">
        <v>16.56</v>
      </c>
      <c r="E846" s="22">
        <v>16.62</v>
      </c>
      <c r="F846" s="22">
        <v>16.63</v>
      </c>
    </row>
    <row r="847" spans="1:6">
      <c r="A847" s="21" t="s">
        <v>851</v>
      </c>
      <c r="B847" s="22">
        <v>16.61</v>
      </c>
      <c r="C847" s="22">
        <v>16.59</v>
      </c>
      <c r="D847" s="22">
        <v>16.59</v>
      </c>
      <c r="E847" s="22">
        <v>16.61</v>
      </c>
      <c r="F847" s="22">
        <v>16.62</v>
      </c>
    </row>
    <row r="848" spans="1:6">
      <c r="A848" s="21" t="s">
        <v>852</v>
      </c>
      <c r="B848" s="22">
        <v>16.55</v>
      </c>
      <c r="C848" s="22">
        <v>16.66</v>
      </c>
      <c r="D848" s="22">
        <v>16.61</v>
      </c>
      <c r="E848" s="22">
        <v>16.6</v>
      </c>
      <c r="F848" s="22">
        <v>16.62</v>
      </c>
    </row>
    <row r="849" spans="1:6">
      <c r="A849" s="21" t="s">
        <v>853</v>
      </c>
      <c r="B849" s="22">
        <v>16.54</v>
      </c>
      <c r="C849" s="22">
        <v>17</v>
      </c>
      <c r="D849" s="22">
        <v>16.76</v>
      </c>
      <c r="E849" s="22">
        <v>16.92</v>
      </c>
      <c r="F849" s="22">
        <v>16.91</v>
      </c>
    </row>
    <row r="850" spans="1:6">
      <c r="A850" s="21" t="s">
        <v>854</v>
      </c>
      <c r="B850" s="22">
        <v>16.6</v>
      </c>
      <c r="C850" s="22">
        <v>16.99</v>
      </c>
      <c r="D850" s="22">
        <v>16.71</v>
      </c>
      <c r="E850" s="22">
        <v>16.89</v>
      </c>
      <c r="F850" s="22">
        <v>16.92</v>
      </c>
    </row>
    <row r="851" spans="1:6">
      <c r="A851" s="21" t="s">
        <v>855</v>
      </c>
      <c r="B851" s="22">
        <v>16.59</v>
      </c>
      <c r="C851" s="22">
        <v>17.03</v>
      </c>
      <c r="D851" s="22">
        <v>16.7</v>
      </c>
      <c r="E851" s="22">
        <v>16.89</v>
      </c>
      <c r="F851" s="22">
        <v>16.9</v>
      </c>
    </row>
    <row r="852" spans="1:6">
      <c r="A852" s="21" t="s">
        <v>856</v>
      </c>
      <c r="B852" s="22">
        <v>16.45</v>
      </c>
      <c r="C852" s="22">
        <v>17.04</v>
      </c>
      <c r="D852" s="22">
        <v>16.74</v>
      </c>
      <c r="E852" s="22">
        <v>16.91</v>
      </c>
      <c r="F852" s="22">
        <v>16.91</v>
      </c>
    </row>
    <row r="853" spans="1:6">
      <c r="A853" s="21" t="s">
        <v>857</v>
      </c>
      <c r="B853" s="22">
        <v>16.61</v>
      </c>
      <c r="C853" s="22">
        <v>17.09</v>
      </c>
      <c r="D853" s="22">
        <v>16.72</v>
      </c>
      <c r="E853" s="22">
        <v>16.92</v>
      </c>
      <c r="F853" s="22">
        <v>16.93</v>
      </c>
    </row>
    <row r="854" spans="1:6">
      <c r="A854" s="21" t="s">
        <v>858</v>
      </c>
      <c r="B854" s="22">
        <v>16.44</v>
      </c>
      <c r="C854" s="22">
        <v>16.97</v>
      </c>
      <c r="D854" s="22">
        <v>16.67</v>
      </c>
      <c r="E854" s="22">
        <v>16.85</v>
      </c>
      <c r="F854" s="22">
        <v>16.86</v>
      </c>
    </row>
    <row r="855" spans="1:6">
      <c r="A855" s="21" t="s">
        <v>859</v>
      </c>
      <c r="B855" s="22">
        <v>16.4</v>
      </c>
      <c r="C855" s="22">
        <v>16.92</v>
      </c>
      <c r="D855" s="22">
        <v>16.78</v>
      </c>
      <c r="E855" s="22">
        <v>16.84</v>
      </c>
      <c r="F855" s="22">
        <v>16.84</v>
      </c>
    </row>
    <row r="856" spans="1:6">
      <c r="A856" s="21" t="s">
        <v>860</v>
      </c>
      <c r="B856" s="22">
        <v>16.16</v>
      </c>
      <c r="C856" s="22">
        <v>16.48</v>
      </c>
      <c r="D856" s="22">
        <v>16.7</v>
      </c>
      <c r="E856" s="22">
        <v>16.65</v>
      </c>
      <c r="F856" s="22">
        <v>16.65</v>
      </c>
    </row>
    <row r="857" spans="1:6">
      <c r="A857" s="21" t="s">
        <v>861</v>
      </c>
      <c r="B857" s="22">
        <v>16.16</v>
      </c>
      <c r="C857" s="22">
        <v>16.64</v>
      </c>
      <c r="D857" s="22">
        <v>16.77</v>
      </c>
      <c r="E857" s="22">
        <v>16.68</v>
      </c>
      <c r="F857" s="22">
        <v>16.65</v>
      </c>
    </row>
    <row r="858" spans="1:6">
      <c r="A858" s="21" t="s">
        <v>862</v>
      </c>
      <c r="B858" s="22">
        <v>16.15</v>
      </c>
      <c r="C858" s="22">
        <v>16.7</v>
      </c>
      <c r="D858" s="22">
        <v>16.74</v>
      </c>
      <c r="E858" s="22">
        <v>16.65</v>
      </c>
      <c r="F858" s="22">
        <v>16.65</v>
      </c>
    </row>
    <row r="859" spans="1:6">
      <c r="A859" s="21" t="s">
        <v>863</v>
      </c>
      <c r="B859" s="22">
        <v>16.21</v>
      </c>
      <c r="C859" s="22">
        <v>16.88</v>
      </c>
      <c r="D859" s="22">
        <v>16.85</v>
      </c>
      <c r="E859" s="22">
        <v>16.83</v>
      </c>
      <c r="F859" s="22">
        <v>16.84</v>
      </c>
    </row>
    <row r="860" spans="1:6">
      <c r="A860" s="21" t="s">
        <v>864</v>
      </c>
      <c r="B860" s="22">
        <v>16.8</v>
      </c>
      <c r="C860" s="22">
        <v>17.04</v>
      </c>
      <c r="D860" s="22">
        <v>16.78</v>
      </c>
      <c r="E860" s="22">
        <v>16.91</v>
      </c>
      <c r="F860" s="22">
        <v>16.94</v>
      </c>
    </row>
    <row r="861" spans="1:6">
      <c r="A861" s="21" t="s">
        <v>865</v>
      </c>
      <c r="B861" s="22">
        <v>16.73</v>
      </c>
      <c r="C861" s="22">
        <v>17.1</v>
      </c>
      <c r="D861" s="22">
        <v>16.74</v>
      </c>
      <c r="E861" s="22">
        <v>16.93</v>
      </c>
      <c r="F861" s="22">
        <v>16.94</v>
      </c>
    </row>
    <row r="862" spans="1:6">
      <c r="A862" s="21" t="s">
        <v>866</v>
      </c>
      <c r="B862" s="22">
        <v>16.68</v>
      </c>
      <c r="C862" s="22">
        <v>17</v>
      </c>
      <c r="D862" s="22">
        <v>16.69</v>
      </c>
      <c r="E862" s="22">
        <v>16.9</v>
      </c>
      <c r="F862" s="22">
        <v>16.91</v>
      </c>
    </row>
    <row r="863" spans="1:6">
      <c r="A863" s="21" t="s">
        <v>867</v>
      </c>
      <c r="B863" s="22">
        <v>16.82</v>
      </c>
      <c r="C863" s="22">
        <v>17.13</v>
      </c>
      <c r="D863" s="22">
        <v>16.82</v>
      </c>
      <c r="E863" s="22">
        <v>16.99</v>
      </c>
      <c r="F863" s="22">
        <v>17</v>
      </c>
    </row>
    <row r="864" spans="1:6">
      <c r="A864" s="21" t="s">
        <v>868</v>
      </c>
      <c r="B864" s="22">
        <v>16.85</v>
      </c>
      <c r="C864" s="22">
        <v>16.98</v>
      </c>
      <c r="D864" s="22">
        <v>16.82</v>
      </c>
      <c r="E864" s="22">
        <v>16.88</v>
      </c>
      <c r="F864" s="22">
        <v>16.88</v>
      </c>
    </row>
    <row r="865" spans="1:6">
      <c r="A865" s="21" t="s">
        <v>869</v>
      </c>
      <c r="B865" s="22">
        <v>16.76</v>
      </c>
      <c r="C865" s="22">
        <v>16.95</v>
      </c>
      <c r="D865" s="22">
        <v>16.81</v>
      </c>
      <c r="E865" s="22">
        <v>16.88</v>
      </c>
      <c r="F865" s="22">
        <v>16.89</v>
      </c>
    </row>
    <row r="866" spans="1:6">
      <c r="A866" s="21" t="s">
        <v>870</v>
      </c>
      <c r="B866" s="22">
        <v>16.74</v>
      </c>
      <c r="C866" s="22">
        <v>16.74</v>
      </c>
      <c r="D866" s="22">
        <v>16.76</v>
      </c>
      <c r="E866" s="22">
        <v>16.83</v>
      </c>
      <c r="F866" s="22">
        <v>16.83</v>
      </c>
    </row>
    <row r="867" spans="1:6">
      <c r="A867" s="21" t="s">
        <v>871</v>
      </c>
      <c r="B867" s="22">
        <v>16.52</v>
      </c>
      <c r="C867" s="22">
        <v>16.73</v>
      </c>
      <c r="D867" s="22">
        <v>16.69</v>
      </c>
      <c r="E867" s="22">
        <v>16.72</v>
      </c>
      <c r="F867" s="22">
        <v>16.73</v>
      </c>
    </row>
    <row r="868" spans="1:6">
      <c r="A868" s="21" t="s">
        <v>872</v>
      </c>
      <c r="B868" s="22">
        <v>16.74</v>
      </c>
      <c r="C868" s="22">
        <v>17.08</v>
      </c>
      <c r="D868" s="22">
        <v>16.72</v>
      </c>
      <c r="E868" s="22">
        <v>16.97</v>
      </c>
      <c r="F868" s="22">
        <v>17</v>
      </c>
    </row>
    <row r="869" spans="1:6">
      <c r="A869" s="21" t="s">
        <v>873</v>
      </c>
      <c r="B869" s="22">
        <v>16.6</v>
      </c>
      <c r="C869" s="22">
        <v>17.16</v>
      </c>
      <c r="D869" s="22">
        <v>16.87</v>
      </c>
      <c r="E869" s="22">
        <v>17.02</v>
      </c>
      <c r="F869" s="22">
        <v>17.05</v>
      </c>
    </row>
    <row r="870" spans="1:6">
      <c r="A870" s="21" t="s">
        <v>874</v>
      </c>
      <c r="B870" s="22">
        <v>16.87</v>
      </c>
      <c r="C870" s="22">
        <v>17.16</v>
      </c>
      <c r="D870" s="22">
        <v>16.84</v>
      </c>
      <c r="E870" s="22">
        <v>17.04</v>
      </c>
      <c r="F870" s="22">
        <v>17.05</v>
      </c>
    </row>
    <row r="871" spans="1:6">
      <c r="A871" s="21" t="s">
        <v>875</v>
      </c>
      <c r="B871" s="22">
        <v>16.84</v>
      </c>
      <c r="C871" s="22">
        <v>17.16</v>
      </c>
      <c r="D871" s="22">
        <v>16.89</v>
      </c>
      <c r="E871" s="22">
        <v>17.04</v>
      </c>
      <c r="F871" s="22">
        <v>17.05</v>
      </c>
    </row>
    <row r="872" spans="1:6">
      <c r="A872" s="21" t="s">
        <v>876</v>
      </c>
      <c r="B872" s="22">
        <v>16.84</v>
      </c>
      <c r="C872" s="22">
        <v>17.19</v>
      </c>
      <c r="D872" s="22">
        <v>16.87</v>
      </c>
      <c r="E872" s="22">
        <v>17.07</v>
      </c>
      <c r="F872" s="22">
        <v>17.05</v>
      </c>
    </row>
    <row r="873" spans="1:6">
      <c r="A873" s="21" t="s">
        <v>877</v>
      </c>
      <c r="B873" s="22">
        <v>16.5</v>
      </c>
      <c r="C873" s="22">
        <v>16.88</v>
      </c>
      <c r="D873" s="22">
        <v>16.89</v>
      </c>
      <c r="E873" s="22">
        <v>16.85</v>
      </c>
      <c r="F873" s="22">
        <v>16.85</v>
      </c>
    </row>
    <row r="874" spans="1:6">
      <c r="A874" s="21" t="s">
        <v>878</v>
      </c>
      <c r="B874" s="22">
        <v>16.41</v>
      </c>
      <c r="C874" s="22">
        <v>16.84</v>
      </c>
      <c r="D874" s="22">
        <v>16.93</v>
      </c>
      <c r="E874" s="22">
        <v>16.86</v>
      </c>
      <c r="F874" s="22">
        <v>16.85</v>
      </c>
    </row>
    <row r="875" spans="1:6">
      <c r="A875" s="21" t="s">
        <v>879</v>
      </c>
      <c r="B875" s="22">
        <v>16.37</v>
      </c>
      <c r="C875" s="22">
        <v>16.81</v>
      </c>
      <c r="D875" s="22">
        <v>16.95</v>
      </c>
      <c r="E875" s="22">
        <v>16.82</v>
      </c>
      <c r="F875" s="22">
        <v>16.81</v>
      </c>
    </row>
    <row r="876" spans="1:6">
      <c r="A876" s="21" t="s">
        <v>880</v>
      </c>
      <c r="B876" s="22">
        <v>16.31</v>
      </c>
      <c r="C876" s="22">
        <v>16.85</v>
      </c>
      <c r="D876" s="22">
        <v>16.9</v>
      </c>
      <c r="E876" s="22">
        <v>16.82</v>
      </c>
      <c r="F876" s="22">
        <v>16.82</v>
      </c>
    </row>
    <row r="877" spans="1:6">
      <c r="A877" s="21" t="s">
        <v>881</v>
      </c>
      <c r="B877" s="22">
        <v>16.59</v>
      </c>
      <c r="C877" s="22">
        <v>16.84</v>
      </c>
      <c r="D877" s="22">
        <v>16.88</v>
      </c>
      <c r="E877" s="22">
        <v>16.84</v>
      </c>
      <c r="F877" s="22">
        <v>16.84</v>
      </c>
    </row>
    <row r="878" spans="1:6">
      <c r="A878" s="21" t="s">
        <v>882</v>
      </c>
      <c r="B878" s="22">
        <v>16.91</v>
      </c>
      <c r="C878" s="22">
        <v>17.33</v>
      </c>
      <c r="D878" s="22">
        <v>16.82</v>
      </c>
      <c r="E878" s="22">
        <v>17.05</v>
      </c>
      <c r="F878" s="22">
        <v>17.07</v>
      </c>
    </row>
    <row r="879" spans="1:6">
      <c r="A879" s="21" t="s">
        <v>883</v>
      </c>
      <c r="B879" s="22">
        <v>16.91</v>
      </c>
      <c r="C879" s="22">
        <v>17.32</v>
      </c>
      <c r="D879" s="22">
        <v>16.82</v>
      </c>
      <c r="E879" s="22">
        <v>17.05</v>
      </c>
      <c r="F879" s="22">
        <v>17.07</v>
      </c>
    </row>
    <row r="880" spans="1:6">
      <c r="A880" s="21" t="s">
        <v>884</v>
      </c>
      <c r="B880" s="22">
        <v>17.01</v>
      </c>
      <c r="C880" s="22">
        <v>17.02</v>
      </c>
      <c r="D880" s="22">
        <v>16.65</v>
      </c>
      <c r="E880" s="22">
        <v>17.07</v>
      </c>
      <c r="F880" s="22">
        <v>17.08</v>
      </c>
    </row>
    <row r="881" spans="1:6">
      <c r="A881" s="21" t="s">
        <v>885</v>
      </c>
      <c r="B881" s="22">
        <v>16.83</v>
      </c>
      <c r="C881" s="22">
        <v>16.95</v>
      </c>
      <c r="D881" s="22">
        <v>16.86</v>
      </c>
      <c r="E881" s="22">
        <v>16.96</v>
      </c>
      <c r="F881" s="22">
        <v>16.97</v>
      </c>
    </row>
    <row r="882" spans="1:6">
      <c r="A882" s="21" t="s">
        <v>886</v>
      </c>
      <c r="B882" s="22">
        <v>16.8</v>
      </c>
      <c r="C882" s="22">
        <v>16.88</v>
      </c>
      <c r="D882" s="22">
        <v>16.84</v>
      </c>
      <c r="E882" s="22">
        <v>16.88</v>
      </c>
      <c r="F882" s="22">
        <v>16.88</v>
      </c>
    </row>
    <row r="883" spans="1:6">
      <c r="A883" s="21" t="s">
        <v>887</v>
      </c>
      <c r="B883" s="22">
        <v>16.84</v>
      </c>
      <c r="C883" s="22">
        <v>16.79</v>
      </c>
      <c r="D883" s="22">
        <v>16.86</v>
      </c>
      <c r="E883" s="22">
        <v>16.88</v>
      </c>
      <c r="F883" s="22">
        <v>16.88</v>
      </c>
    </row>
    <row r="884" spans="1:6">
      <c r="A884" s="21" t="s">
        <v>888</v>
      </c>
      <c r="B884" s="22">
        <v>16.82</v>
      </c>
      <c r="C884" s="22">
        <v>16.9</v>
      </c>
      <c r="D884" s="22">
        <v>16.85</v>
      </c>
      <c r="E884" s="22">
        <v>16.88</v>
      </c>
      <c r="F884" s="22">
        <v>16.88</v>
      </c>
    </row>
    <row r="885" spans="1:6">
      <c r="A885" s="21" t="s">
        <v>889</v>
      </c>
      <c r="B885" s="22">
        <v>16.76</v>
      </c>
      <c r="C885" s="22">
        <v>16.94</v>
      </c>
      <c r="D885" s="22">
        <v>16.89</v>
      </c>
      <c r="E885" s="22">
        <v>16.9</v>
      </c>
      <c r="F885" s="22">
        <v>16.9</v>
      </c>
    </row>
    <row r="886" spans="1:6">
      <c r="A886" s="21" t="s">
        <v>890</v>
      </c>
      <c r="B886" s="22">
        <v>16.79</v>
      </c>
      <c r="C886" s="22">
        <v>16.87</v>
      </c>
      <c r="D886" s="22">
        <v>16.89</v>
      </c>
      <c r="E886" s="22">
        <v>16.9</v>
      </c>
      <c r="F886" s="22">
        <v>16.9</v>
      </c>
    </row>
    <row r="887" spans="1:6">
      <c r="A887" s="21" t="s">
        <v>891</v>
      </c>
      <c r="B887" s="22">
        <v>16.8</v>
      </c>
      <c r="C887" s="22">
        <v>16.9</v>
      </c>
      <c r="D887" s="22">
        <v>16.85</v>
      </c>
      <c r="E887" s="22">
        <v>16.9</v>
      </c>
      <c r="F887" s="22">
        <v>16.9</v>
      </c>
    </row>
    <row r="888" spans="1:6">
      <c r="A888" s="21" t="s">
        <v>892</v>
      </c>
      <c r="B888" s="22">
        <v>16.8</v>
      </c>
      <c r="C888" s="22">
        <v>16.92</v>
      </c>
      <c r="D888" s="22">
        <v>16.85</v>
      </c>
      <c r="E888" s="22">
        <v>16.88</v>
      </c>
      <c r="F888" s="22">
        <v>16.88</v>
      </c>
    </row>
    <row r="889" spans="1:6">
      <c r="A889" s="21" t="s">
        <v>893</v>
      </c>
      <c r="B889" s="22">
        <v>16.76</v>
      </c>
      <c r="C889" s="22">
        <v>16.9</v>
      </c>
      <c r="D889" s="22">
        <v>16.86</v>
      </c>
      <c r="E889" s="22">
        <v>16.88</v>
      </c>
      <c r="F889" s="22">
        <v>16.88</v>
      </c>
    </row>
    <row r="890" spans="1:6">
      <c r="A890" s="21" t="s">
        <v>894</v>
      </c>
      <c r="B890" s="22">
        <v>16.76</v>
      </c>
      <c r="C890" s="22">
        <v>17.05</v>
      </c>
      <c r="D890" s="22">
        <v>16.85</v>
      </c>
      <c r="E890" s="22">
        <v>16.88</v>
      </c>
      <c r="F890" s="22">
        <v>16.89</v>
      </c>
    </row>
    <row r="891" spans="1:6">
      <c r="A891" s="21" t="s">
        <v>895</v>
      </c>
      <c r="B891" s="22">
        <v>16.72</v>
      </c>
      <c r="C891" s="22">
        <v>16.91</v>
      </c>
      <c r="D891" s="22">
        <v>16.9</v>
      </c>
      <c r="E891" s="22">
        <v>16.89</v>
      </c>
      <c r="F891" s="22">
        <v>16.89</v>
      </c>
    </row>
    <row r="892" spans="1:6">
      <c r="A892" s="21" t="s">
        <v>896</v>
      </c>
      <c r="B892" s="22">
        <v>16.68</v>
      </c>
      <c r="C892" s="22">
        <v>16.86</v>
      </c>
      <c r="D892" s="22">
        <v>16.9</v>
      </c>
      <c r="E892" s="22">
        <v>16.86</v>
      </c>
      <c r="F892" s="22">
        <v>16.86</v>
      </c>
    </row>
    <row r="893" spans="1:6">
      <c r="A893" s="21" t="s">
        <v>897</v>
      </c>
      <c r="B893" s="22">
        <v>16.63</v>
      </c>
      <c r="C893" s="22">
        <v>16.99</v>
      </c>
      <c r="D893" s="22">
        <v>17.08</v>
      </c>
      <c r="E893" s="22">
        <v>17</v>
      </c>
      <c r="F893" s="22">
        <v>17</v>
      </c>
    </row>
    <row r="894" spans="1:6">
      <c r="A894" s="21" t="s">
        <v>898</v>
      </c>
      <c r="B894" s="22">
        <v>16.57</v>
      </c>
      <c r="C894" s="22">
        <v>16.97</v>
      </c>
      <c r="D894" s="22">
        <v>17.07</v>
      </c>
      <c r="E894" s="22">
        <v>16.97</v>
      </c>
      <c r="F894" s="22">
        <v>16.96</v>
      </c>
    </row>
    <row r="895" spans="1:6">
      <c r="A895" s="21" t="s">
        <v>899</v>
      </c>
      <c r="B895" s="22">
        <v>16.58</v>
      </c>
      <c r="C895" s="22">
        <v>16.89</v>
      </c>
      <c r="D895" s="22">
        <v>17.02</v>
      </c>
      <c r="E895" s="22">
        <v>16.96</v>
      </c>
      <c r="F895" s="22">
        <v>16.96</v>
      </c>
    </row>
    <row r="896" spans="1:6">
      <c r="A896" s="21" t="s">
        <v>900</v>
      </c>
      <c r="B896" s="22">
        <v>16.8</v>
      </c>
      <c r="C896" s="22">
        <v>16.95</v>
      </c>
      <c r="D896" s="22">
        <v>17.02</v>
      </c>
      <c r="E896" s="22">
        <v>16.88</v>
      </c>
      <c r="F896" s="22">
        <v>16.87</v>
      </c>
    </row>
    <row r="897" spans="1:6">
      <c r="A897" s="21" t="s">
        <v>901</v>
      </c>
      <c r="B897" s="22">
        <v>16.37</v>
      </c>
      <c r="C897" s="22">
        <v>16.65</v>
      </c>
      <c r="D897" s="22">
        <v>16.85</v>
      </c>
      <c r="E897" s="22">
        <v>16.78</v>
      </c>
      <c r="F897" s="22">
        <v>16.78</v>
      </c>
    </row>
    <row r="898" spans="1:6">
      <c r="A898" s="21" t="s">
        <v>902</v>
      </c>
      <c r="B898" s="22">
        <v>17.13</v>
      </c>
      <c r="C898" s="22">
        <v>17.28</v>
      </c>
      <c r="D898" s="22">
        <v>16.98</v>
      </c>
      <c r="E898" s="22">
        <v>17.18</v>
      </c>
      <c r="F898" s="22">
        <v>17.21</v>
      </c>
    </row>
    <row r="899" spans="1:6">
      <c r="A899" s="21" t="s">
        <v>903</v>
      </c>
      <c r="B899" s="22">
        <v>17.52</v>
      </c>
      <c r="C899" s="22">
        <v>17.4</v>
      </c>
      <c r="D899" s="22">
        <v>16.94</v>
      </c>
      <c r="E899" s="22">
        <v>17.17</v>
      </c>
      <c r="F899" s="22">
        <v>17.2</v>
      </c>
    </row>
    <row r="900" spans="1:6">
      <c r="A900" s="21" t="s">
        <v>904</v>
      </c>
      <c r="B900" s="22">
        <v>17.09</v>
      </c>
      <c r="C900" s="22">
        <v>17.36</v>
      </c>
      <c r="D900" s="22">
        <v>16.96</v>
      </c>
      <c r="E900" s="22">
        <v>17.18</v>
      </c>
      <c r="F900" s="22">
        <v>17.18</v>
      </c>
    </row>
    <row r="901" spans="1:6">
      <c r="A901" s="21" t="s">
        <v>905</v>
      </c>
      <c r="B901" s="22">
        <v>17.04</v>
      </c>
      <c r="C901" s="22">
        <v>17.32</v>
      </c>
      <c r="D901" s="22">
        <v>16.93</v>
      </c>
      <c r="E901" s="22">
        <v>17.13</v>
      </c>
      <c r="F901" s="22">
        <v>17.13</v>
      </c>
    </row>
    <row r="902" spans="1:6">
      <c r="A902" s="21" t="s">
        <v>906</v>
      </c>
      <c r="B902" s="22">
        <v>16.83</v>
      </c>
      <c r="C902" s="22">
        <v>17.07</v>
      </c>
      <c r="D902" s="22">
        <v>16.97</v>
      </c>
      <c r="E902" s="22">
        <v>17.03</v>
      </c>
      <c r="F902" s="22">
        <v>17.03</v>
      </c>
    </row>
    <row r="903" spans="1:6">
      <c r="A903" s="21" t="s">
        <v>907</v>
      </c>
      <c r="B903" s="22">
        <v>17.06</v>
      </c>
      <c r="C903" s="22">
        <v>17.04</v>
      </c>
      <c r="D903" s="22">
        <v>16.98</v>
      </c>
      <c r="E903" s="22">
        <v>17.04</v>
      </c>
      <c r="F903" s="22">
        <v>17.04</v>
      </c>
    </row>
    <row r="904" spans="1:6">
      <c r="A904" s="21" t="s">
        <v>908</v>
      </c>
      <c r="B904" s="22">
        <v>16.87</v>
      </c>
      <c r="C904" s="22">
        <v>17.05</v>
      </c>
      <c r="D904" s="22">
        <v>16.98</v>
      </c>
      <c r="E904" s="22">
        <v>17.02</v>
      </c>
      <c r="F904" s="22">
        <v>17.02</v>
      </c>
    </row>
    <row r="905" spans="1:6">
      <c r="A905" s="21" t="s">
        <v>909</v>
      </c>
      <c r="B905" s="22">
        <v>16.86</v>
      </c>
      <c r="C905" s="22">
        <v>16.99</v>
      </c>
      <c r="D905" s="22">
        <v>17.02</v>
      </c>
      <c r="E905" s="22">
        <v>17.02</v>
      </c>
      <c r="F905" s="22">
        <v>17.02</v>
      </c>
    </row>
    <row r="906" spans="1:6">
      <c r="A906" s="21" t="s">
        <v>910</v>
      </c>
      <c r="B906" s="22">
        <v>16.8</v>
      </c>
      <c r="C906" s="22">
        <v>17.08</v>
      </c>
      <c r="D906" s="22">
        <v>17</v>
      </c>
      <c r="E906" s="22">
        <v>17.01</v>
      </c>
      <c r="F906" s="22">
        <v>17.02</v>
      </c>
    </row>
    <row r="907" spans="1:6">
      <c r="A907" s="21" t="s">
        <v>911</v>
      </c>
      <c r="B907" s="22">
        <v>16.95</v>
      </c>
      <c r="C907" s="22">
        <v>17.38</v>
      </c>
      <c r="D907" s="22">
        <v>17.05</v>
      </c>
      <c r="E907" s="22">
        <v>17.22</v>
      </c>
      <c r="F907" s="22">
        <v>17.23</v>
      </c>
    </row>
    <row r="908" spans="1:6">
      <c r="A908" s="21" t="s">
        <v>912</v>
      </c>
      <c r="B908" s="22">
        <v>16.95</v>
      </c>
      <c r="C908" s="22">
        <v>17.4</v>
      </c>
      <c r="D908" s="22">
        <v>17.11</v>
      </c>
      <c r="E908" s="22">
        <v>17.22</v>
      </c>
      <c r="F908" s="22">
        <v>17.23</v>
      </c>
    </row>
    <row r="909" spans="1:6">
      <c r="A909" s="21" t="s">
        <v>913</v>
      </c>
      <c r="B909" s="22">
        <v>16.96</v>
      </c>
      <c r="C909" s="22">
        <v>17.4</v>
      </c>
      <c r="D909" s="22">
        <v>17</v>
      </c>
      <c r="E909" s="22">
        <v>17.22</v>
      </c>
      <c r="F909" s="22">
        <v>17.23</v>
      </c>
    </row>
    <row r="910" spans="1:6">
      <c r="A910" s="21" t="s">
        <v>914</v>
      </c>
      <c r="B910" s="22">
        <v>16.94</v>
      </c>
      <c r="C910" s="22">
        <v>17.26</v>
      </c>
      <c r="D910" s="22">
        <v>16.95</v>
      </c>
      <c r="E910" s="22">
        <v>17.08</v>
      </c>
      <c r="F910" s="22">
        <v>17.08</v>
      </c>
    </row>
    <row r="911" spans="1:6">
      <c r="A911" s="21" t="s">
        <v>915</v>
      </c>
      <c r="B911" s="22">
        <v>16.8</v>
      </c>
      <c r="C911" s="22">
        <v>17.16</v>
      </c>
      <c r="D911" s="22">
        <v>16.97</v>
      </c>
      <c r="E911" s="22">
        <v>17.09</v>
      </c>
      <c r="F911" s="22">
        <v>17.09</v>
      </c>
    </row>
    <row r="912" spans="1:6">
      <c r="A912" s="21" t="s">
        <v>916</v>
      </c>
      <c r="B912" s="22">
        <v>17.27</v>
      </c>
      <c r="C912" s="22">
        <v>17.12</v>
      </c>
      <c r="D912" s="22">
        <v>16.99</v>
      </c>
      <c r="E912" s="22">
        <v>17.07</v>
      </c>
      <c r="F912" s="22">
        <v>17.07</v>
      </c>
    </row>
    <row r="913" spans="1:6">
      <c r="A913" s="21" t="s">
        <v>917</v>
      </c>
      <c r="B913" s="22">
        <v>17.19</v>
      </c>
      <c r="C913" s="22">
        <v>17.14</v>
      </c>
      <c r="D913" s="22">
        <v>16.99</v>
      </c>
      <c r="E913" s="22">
        <v>17.07</v>
      </c>
      <c r="F913" s="22">
        <v>17.07</v>
      </c>
    </row>
    <row r="914" spans="1:6">
      <c r="A914" s="21" t="s">
        <v>918</v>
      </c>
      <c r="B914" s="22">
        <v>17.19</v>
      </c>
      <c r="C914" s="22">
        <v>17.16</v>
      </c>
      <c r="D914" s="22">
        <v>16.96</v>
      </c>
      <c r="E914" s="22">
        <v>17.07</v>
      </c>
      <c r="F914" s="22">
        <v>17.07</v>
      </c>
    </row>
    <row r="915" spans="1:6">
      <c r="A915" s="21" t="s">
        <v>919</v>
      </c>
      <c r="B915" s="22">
        <v>16.74</v>
      </c>
      <c r="C915" s="22">
        <v>17.16</v>
      </c>
      <c r="D915" s="22">
        <v>16.96</v>
      </c>
      <c r="E915" s="22">
        <v>17.03</v>
      </c>
      <c r="F915" s="22">
        <v>17.03</v>
      </c>
    </row>
    <row r="916" spans="1:6">
      <c r="A916" s="21" t="s">
        <v>920</v>
      </c>
      <c r="B916" s="22">
        <v>16.94</v>
      </c>
      <c r="C916" s="22">
        <v>16.99</v>
      </c>
      <c r="D916" s="22">
        <v>16.93</v>
      </c>
      <c r="E916" s="22">
        <v>16.96</v>
      </c>
      <c r="F916" s="22">
        <v>16.97</v>
      </c>
    </row>
    <row r="917" spans="1:6">
      <c r="A917" s="21" t="s">
        <v>921</v>
      </c>
      <c r="B917" s="22">
        <v>16.87</v>
      </c>
      <c r="C917" s="22">
        <v>17.12</v>
      </c>
      <c r="D917" s="22">
        <v>16.88</v>
      </c>
      <c r="E917" s="22">
        <v>17.08</v>
      </c>
      <c r="F917" s="22">
        <v>17.1</v>
      </c>
    </row>
    <row r="918" spans="1:6">
      <c r="A918" s="21" t="s">
        <v>922</v>
      </c>
      <c r="B918" s="22">
        <v>16.82</v>
      </c>
      <c r="C918" s="22">
        <v>17.15</v>
      </c>
      <c r="D918" s="22">
        <v>16.91</v>
      </c>
      <c r="E918" s="22">
        <v>17.02</v>
      </c>
      <c r="F918" s="22">
        <v>17.04</v>
      </c>
    </row>
    <row r="919" spans="1:6">
      <c r="A919" s="21" t="s">
        <v>923</v>
      </c>
      <c r="B919" s="22">
        <v>16.97</v>
      </c>
      <c r="C919" s="22">
        <v>17.12</v>
      </c>
      <c r="D919" s="22">
        <v>16.88</v>
      </c>
      <c r="E919" s="22">
        <v>17.05</v>
      </c>
      <c r="F919" s="22">
        <v>17.05</v>
      </c>
    </row>
    <row r="920" spans="1:6">
      <c r="A920" s="21" t="s">
        <v>924</v>
      </c>
      <c r="B920" s="22">
        <v>16.97</v>
      </c>
      <c r="C920" s="22">
        <v>16.93</v>
      </c>
      <c r="D920" s="22">
        <v>16.78</v>
      </c>
      <c r="E920" s="22">
        <v>16.94</v>
      </c>
      <c r="F920" s="22">
        <v>16.94</v>
      </c>
    </row>
    <row r="921" spans="1:6">
      <c r="A921" s="21" t="s">
        <v>925</v>
      </c>
      <c r="B921" s="22">
        <v>17.08</v>
      </c>
      <c r="C921" s="22">
        <v>17</v>
      </c>
      <c r="D921" s="22">
        <v>16.77</v>
      </c>
      <c r="E921" s="22">
        <v>16.94</v>
      </c>
      <c r="F921" s="22">
        <v>16.94</v>
      </c>
    </row>
    <row r="922" spans="1:6">
      <c r="A922" s="21" t="s">
        <v>926</v>
      </c>
      <c r="B922" s="22">
        <v>16.94</v>
      </c>
      <c r="C922" s="22">
        <v>16.78</v>
      </c>
      <c r="D922" s="22">
        <v>16.58</v>
      </c>
      <c r="E922" s="22">
        <v>16.66</v>
      </c>
      <c r="F922" s="22">
        <v>16.67</v>
      </c>
    </row>
    <row r="923" spans="1:6">
      <c r="A923" s="21" t="s">
        <v>927</v>
      </c>
      <c r="B923" s="22">
        <v>16.59</v>
      </c>
      <c r="C923" s="22">
        <v>16.56</v>
      </c>
      <c r="D923" s="22">
        <v>16.59</v>
      </c>
      <c r="E923" s="22">
        <v>16.56</v>
      </c>
      <c r="F923" s="22">
        <v>16.56</v>
      </c>
    </row>
    <row r="924" spans="1:6">
      <c r="A924" s="21" t="s">
        <v>928</v>
      </c>
      <c r="B924" s="22">
        <v>16.66</v>
      </c>
      <c r="C924" s="22">
        <v>16.59</v>
      </c>
      <c r="D924" s="22">
        <v>16.58</v>
      </c>
      <c r="E924" s="22">
        <v>16.59</v>
      </c>
      <c r="F924" s="22">
        <v>16.59</v>
      </c>
    </row>
    <row r="925" spans="1:6">
      <c r="A925" s="21" t="s">
        <v>929</v>
      </c>
      <c r="B925" s="22">
        <v>16.61</v>
      </c>
      <c r="C925" s="22">
        <v>16.56</v>
      </c>
      <c r="D925" s="22">
        <v>16.62</v>
      </c>
      <c r="E925" s="22">
        <v>16.59</v>
      </c>
      <c r="F925" s="22">
        <v>16.59</v>
      </c>
    </row>
    <row r="926" spans="1:6">
      <c r="A926" s="21" t="s">
        <v>930</v>
      </c>
      <c r="B926" s="22">
        <v>16.99</v>
      </c>
      <c r="C926" s="22">
        <v>16.71</v>
      </c>
      <c r="D926" s="22">
        <v>16.48</v>
      </c>
      <c r="E926" s="22">
        <v>16.72</v>
      </c>
      <c r="F926" s="22">
        <v>16.73</v>
      </c>
    </row>
    <row r="927" spans="1:6">
      <c r="A927" s="21" t="s">
        <v>931</v>
      </c>
      <c r="B927" s="22">
        <v>17.07</v>
      </c>
      <c r="C927" s="22">
        <v>16.93</v>
      </c>
      <c r="D927" s="22">
        <v>16.25</v>
      </c>
      <c r="E927" s="22">
        <v>16.64</v>
      </c>
      <c r="F927" s="22">
        <v>16.65</v>
      </c>
    </row>
    <row r="928" spans="1:6">
      <c r="A928" s="21" t="s">
        <v>932</v>
      </c>
      <c r="B928" s="22">
        <v>17.08</v>
      </c>
      <c r="C928" s="22">
        <v>16.94</v>
      </c>
      <c r="D928" s="22">
        <v>16.23</v>
      </c>
      <c r="E928" s="22">
        <v>16.61</v>
      </c>
      <c r="F928" s="22">
        <v>16.63</v>
      </c>
    </row>
    <row r="929" spans="1:6">
      <c r="A929" s="21" t="s">
        <v>933</v>
      </c>
      <c r="B929" s="22">
        <v>16.89</v>
      </c>
      <c r="C929" s="22">
        <v>16.78</v>
      </c>
      <c r="D929" s="22">
        <v>16.14</v>
      </c>
      <c r="E929" s="22">
        <v>16.52</v>
      </c>
      <c r="F929" s="22">
        <v>16.54</v>
      </c>
    </row>
    <row r="930" spans="1:6">
      <c r="A930" s="21" t="s">
        <v>934</v>
      </c>
      <c r="B930" s="22">
        <v>16.85</v>
      </c>
      <c r="C930" s="22">
        <v>16.77</v>
      </c>
      <c r="D930" s="22">
        <v>16.09</v>
      </c>
      <c r="E930" s="22">
        <v>16.52</v>
      </c>
      <c r="F930" s="22">
        <v>16.53</v>
      </c>
    </row>
    <row r="931" spans="1:6">
      <c r="A931" s="21" t="s">
        <v>935</v>
      </c>
      <c r="B931" s="22">
        <v>16.9</v>
      </c>
      <c r="C931" s="22">
        <v>16.78</v>
      </c>
      <c r="D931" s="22">
        <v>15.97</v>
      </c>
      <c r="E931" s="22">
        <v>16.52</v>
      </c>
      <c r="F931" s="22">
        <v>16.54</v>
      </c>
    </row>
    <row r="932" spans="1:6">
      <c r="A932" s="21" t="s">
        <v>936</v>
      </c>
      <c r="B932" s="22">
        <v>16.91</v>
      </c>
      <c r="C932" s="22">
        <v>16.81</v>
      </c>
      <c r="D932" s="22">
        <v>15.69</v>
      </c>
      <c r="E932" s="22">
        <v>16.36</v>
      </c>
      <c r="F932" s="22">
        <v>16.38</v>
      </c>
    </row>
    <row r="933" spans="1:6">
      <c r="A933" s="21" t="s">
        <v>937</v>
      </c>
      <c r="B933" s="22">
        <v>16.83</v>
      </c>
      <c r="C933" s="22">
        <v>16.75</v>
      </c>
      <c r="D933" s="22">
        <v>15.77</v>
      </c>
      <c r="E933" s="22">
        <v>16.32</v>
      </c>
      <c r="F933" s="22">
        <v>16.35</v>
      </c>
    </row>
    <row r="934" spans="1:6">
      <c r="A934" s="21" t="s">
        <v>938</v>
      </c>
      <c r="B934" s="22">
        <v>16.96</v>
      </c>
      <c r="C934" s="22">
        <v>16.83</v>
      </c>
      <c r="D934" s="22">
        <v>15.78</v>
      </c>
      <c r="E934" s="22">
        <v>16.33</v>
      </c>
      <c r="F934" s="22">
        <v>16.36</v>
      </c>
    </row>
    <row r="935" spans="1:6">
      <c r="A935" s="21" t="s">
        <v>939</v>
      </c>
      <c r="B935" s="22">
        <v>16.65</v>
      </c>
      <c r="C935" s="22">
        <v>16.42</v>
      </c>
      <c r="D935" s="22">
        <v>15.74</v>
      </c>
      <c r="E935" s="22">
        <v>16.33</v>
      </c>
      <c r="F935" s="22">
        <v>16.36</v>
      </c>
    </row>
    <row r="936" spans="1:6">
      <c r="A936" s="21" t="s">
        <v>940</v>
      </c>
      <c r="B936" s="22">
        <v>16.6</v>
      </c>
      <c r="C936" s="22">
        <v>16.45</v>
      </c>
      <c r="D936" s="22">
        <v>15.68</v>
      </c>
      <c r="E936" s="22">
        <v>16.09</v>
      </c>
      <c r="F936" s="22">
        <v>16.11</v>
      </c>
    </row>
    <row r="937" spans="1:6">
      <c r="A937" s="21" t="s">
        <v>941</v>
      </c>
      <c r="B937" s="22">
        <v>16.72</v>
      </c>
      <c r="C937" s="22">
        <v>16.43</v>
      </c>
      <c r="D937" s="22">
        <v>15.68</v>
      </c>
      <c r="E937" s="22">
        <v>16.21</v>
      </c>
      <c r="F937" s="22">
        <v>16.23</v>
      </c>
    </row>
    <row r="938" spans="1:6">
      <c r="A938" s="21" t="s">
        <v>942</v>
      </c>
      <c r="B938" s="22">
        <v>16.66</v>
      </c>
      <c r="C938" s="22">
        <v>16.32</v>
      </c>
      <c r="D938" s="22">
        <v>15.55</v>
      </c>
      <c r="E938" s="22">
        <v>16.11</v>
      </c>
      <c r="F938" s="22">
        <v>16.13</v>
      </c>
    </row>
    <row r="939" spans="1:6">
      <c r="A939" s="21" t="s">
        <v>943</v>
      </c>
      <c r="B939" s="22">
        <v>16.71</v>
      </c>
      <c r="C939" s="22">
        <v>16.51</v>
      </c>
      <c r="D939" s="22">
        <v>15.6</v>
      </c>
      <c r="E939" s="22">
        <v>16.1</v>
      </c>
      <c r="F939" s="22">
        <v>16.13</v>
      </c>
    </row>
    <row r="940" spans="1:6">
      <c r="A940" s="21" t="s">
        <v>944</v>
      </c>
      <c r="B940" s="22">
        <v>16.61</v>
      </c>
      <c r="C940" s="22">
        <v>16.44</v>
      </c>
      <c r="D940" s="22">
        <v>15.55</v>
      </c>
      <c r="E940" s="22">
        <v>16.09</v>
      </c>
      <c r="F940" s="22">
        <v>16.12</v>
      </c>
    </row>
    <row r="941" spans="1:6">
      <c r="A941" s="21" t="s">
        <v>945</v>
      </c>
      <c r="B941" s="22">
        <v>16.73</v>
      </c>
      <c r="C941" s="22">
        <v>16.26</v>
      </c>
      <c r="D941" s="22">
        <v>15.49</v>
      </c>
      <c r="E941" s="22">
        <v>15.95</v>
      </c>
      <c r="F941" s="22">
        <v>15.96</v>
      </c>
    </row>
    <row r="942" spans="1:6">
      <c r="A942" s="21" t="s">
        <v>946</v>
      </c>
      <c r="B942" s="22">
        <v>16.61</v>
      </c>
      <c r="C942" s="22">
        <v>16.44</v>
      </c>
      <c r="D942" s="22">
        <v>15.59</v>
      </c>
      <c r="E942" s="22">
        <v>16.02</v>
      </c>
      <c r="F942" s="22">
        <v>16.04</v>
      </c>
    </row>
    <row r="943" spans="1:6">
      <c r="A943" s="21" t="s">
        <v>947</v>
      </c>
      <c r="B943" s="22">
        <v>16.68</v>
      </c>
      <c r="C943" s="22">
        <v>16.34</v>
      </c>
      <c r="D943" s="22">
        <v>15.59</v>
      </c>
      <c r="E943" s="22">
        <v>16.02</v>
      </c>
      <c r="F943" s="22">
        <v>16.04</v>
      </c>
    </row>
    <row r="944" spans="1:6">
      <c r="A944" s="21" t="s">
        <v>948</v>
      </c>
      <c r="B944" s="22">
        <v>16.5</v>
      </c>
      <c r="C944" s="22">
        <v>16.41</v>
      </c>
      <c r="D944" s="22">
        <v>15.57</v>
      </c>
      <c r="E944" s="22">
        <v>16.01</v>
      </c>
      <c r="F944" s="22">
        <v>16.04</v>
      </c>
    </row>
    <row r="945" spans="1:6">
      <c r="A945" s="21" t="s">
        <v>949</v>
      </c>
      <c r="B945" s="22">
        <v>16.73</v>
      </c>
      <c r="C945" s="22">
        <v>16.22</v>
      </c>
      <c r="D945" s="22">
        <v>15.53</v>
      </c>
      <c r="E945" s="22">
        <v>16.02</v>
      </c>
      <c r="F945" s="22">
        <v>16.05</v>
      </c>
    </row>
    <row r="946" spans="1:6">
      <c r="A946" s="21" t="s">
        <v>950</v>
      </c>
      <c r="B946" s="22">
        <v>16.59</v>
      </c>
      <c r="C946" s="22">
        <v>16.25</v>
      </c>
      <c r="D946" s="22">
        <v>15.56</v>
      </c>
      <c r="E946" s="22">
        <v>15.99</v>
      </c>
      <c r="F946" s="22">
        <v>16.01</v>
      </c>
    </row>
    <row r="947" spans="1:6">
      <c r="A947" s="21" t="s">
        <v>951</v>
      </c>
      <c r="B947" s="22">
        <v>16.63</v>
      </c>
      <c r="C947" s="22">
        <v>16.26</v>
      </c>
      <c r="D947" s="22">
        <v>15.52</v>
      </c>
      <c r="E947" s="22">
        <v>15.99</v>
      </c>
      <c r="F947" s="22">
        <v>16</v>
      </c>
    </row>
    <row r="948" spans="1:6">
      <c r="A948" s="21" t="s">
        <v>952</v>
      </c>
      <c r="B948" s="22">
        <v>16.4</v>
      </c>
      <c r="C948" s="22">
        <v>16.28</v>
      </c>
      <c r="D948" s="22">
        <v>15.5</v>
      </c>
      <c r="E948" s="22">
        <v>15.98</v>
      </c>
      <c r="F948" s="22">
        <v>15.99</v>
      </c>
    </row>
    <row r="949" spans="1:6">
      <c r="A949" s="21" t="s">
        <v>953</v>
      </c>
      <c r="B949" s="22">
        <v>17.02</v>
      </c>
      <c r="C949" s="22">
        <v>16.13</v>
      </c>
      <c r="D949" s="22">
        <v>15.35</v>
      </c>
      <c r="E949" s="22">
        <v>16.02</v>
      </c>
      <c r="F949" s="22">
        <v>16.03</v>
      </c>
    </row>
    <row r="950" spans="1:6">
      <c r="A950" s="21" t="s">
        <v>954</v>
      </c>
      <c r="B950" s="22">
        <v>16.65</v>
      </c>
      <c r="C950" s="22">
        <v>16.03</v>
      </c>
      <c r="D950" s="22">
        <v>15.46</v>
      </c>
      <c r="E950" s="22">
        <v>15.9</v>
      </c>
      <c r="F950" s="22">
        <v>15.9</v>
      </c>
    </row>
    <row r="951" spans="1:6">
      <c r="A951" s="21" t="s">
        <v>955</v>
      </c>
      <c r="B951" s="22">
        <v>16.53</v>
      </c>
      <c r="C951" s="22">
        <v>16.05</v>
      </c>
      <c r="D951" s="22">
        <v>15.43</v>
      </c>
      <c r="E951" s="22">
        <v>15.91</v>
      </c>
      <c r="F951" s="22">
        <v>15.91</v>
      </c>
    </row>
    <row r="952" spans="1:6">
      <c r="A952" s="21" t="s">
        <v>956</v>
      </c>
      <c r="B952" s="22">
        <v>16.45</v>
      </c>
      <c r="C952" s="22">
        <v>16.12</v>
      </c>
      <c r="D952" s="22">
        <v>15.44</v>
      </c>
      <c r="E952" s="22">
        <v>15.92</v>
      </c>
      <c r="F952" s="22">
        <v>15.93</v>
      </c>
    </row>
    <row r="953" spans="1:6">
      <c r="A953" s="21" t="s">
        <v>957</v>
      </c>
      <c r="B953" s="22">
        <v>16.41</v>
      </c>
      <c r="C953" s="22">
        <v>16.24</v>
      </c>
      <c r="D953" s="22">
        <v>15.44</v>
      </c>
      <c r="E953" s="22">
        <v>15.89</v>
      </c>
      <c r="F953" s="22">
        <v>15.9</v>
      </c>
    </row>
    <row r="954" spans="1:6">
      <c r="A954" s="21" t="s">
        <v>958</v>
      </c>
      <c r="B954" s="22">
        <v>16.53</v>
      </c>
      <c r="C954" s="22">
        <v>16.22</v>
      </c>
      <c r="D954" s="22">
        <v>15.41</v>
      </c>
      <c r="E954" s="22">
        <v>15.86</v>
      </c>
      <c r="F954" s="22">
        <v>15.87</v>
      </c>
    </row>
    <row r="955" spans="1:6">
      <c r="A955" s="21" t="s">
        <v>959</v>
      </c>
      <c r="B955" s="22">
        <v>16.54</v>
      </c>
      <c r="C955" s="22">
        <v>16.23</v>
      </c>
      <c r="D955" s="22">
        <v>15.38</v>
      </c>
      <c r="E955" s="22">
        <v>15.86</v>
      </c>
      <c r="F955" s="22">
        <v>15.87</v>
      </c>
    </row>
    <row r="956" spans="1:6">
      <c r="A956" s="21" t="s">
        <v>960</v>
      </c>
      <c r="B956" s="22">
        <v>16.85</v>
      </c>
      <c r="C956" s="22">
        <v>16.17</v>
      </c>
      <c r="D956" s="22">
        <v>15.38</v>
      </c>
      <c r="E956" s="22">
        <v>15.87</v>
      </c>
      <c r="F956" s="22">
        <v>15.88</v>
      </c>
    </row>
    <row r="957" spans="1:6">
      <c r="A957" s="21" t="s">
        <v>961</v>
      </c>
      <c r="B957" s="22">
        <v>16.59</v>
      </c>
      <c r="C957" s="22">
        <v>16.24</v>
      </c>
      <c r="D957" s="22">
        <v>15.47</v>
      </c>
      <c r="E957" s="22">
        <v>15.91</v>
      </c>
      <c r="F957" s="22">
        <v>15.91</v>
      </c>
    </row>
    <row r="958" spans="1:6">
      <c r="A958" s="21" t="s">
        <v>962</v>
      </c>
      <c r="B958" s="22">
        <v>16.57</v>
      </c>
      <c r="C958" s="22">
        <v>16.29</v>
      </c>
      <c r="D958" s="22">
        <v>15.53</v>
      </c>
      <c r="E958" s="22">
        <v>15.97</v>
      </c>
      <c r="F958" s="22">
        <v>15.99</v>
      </c>
    </row>
    <row r="959" spans="1:6">
      <c r="A959" s="21" t="s">
        <v>963</v>
      </c>
      <c r="B959" s="22">
        <v>17.19</v>
      </c>
      <c r="C959" s="22">
        <v>16.36</v>
      </c>
      <c r="D959" s="22">
        <v>15.65</v>
      </c>
      <c r="E959" s="22">
        <v>16.03</v>
      </c>
      <c r="F959" s="22">
        <v>16.04</v>
      </c>
    </row>
    <row r="960" spans="1:6">
      <c r="A960" s="21" t="s">
        <v>964</v>
      </c>
      <c r="B960" s="22">
        <v>16.82</v>
      </c>
      <c r="C960" s="22">
        <v>16.37</v>
      </c>
      <c r="D960" s="22">
        <v>15.58</v>
      </c>
      <c r="E960" s="22">
        <v>16.02</v>
      </c>
      <c r="F960" s="22">
        <v>16.04</v>
      </c>
    </row>
    <row r="961" spans="1:6">
      <c r="A961" s="21" t="s">
        <v>965</v>
      </c>
      <c r="B961" s="22">
        <v>17.02</v>
      </c>
      <c r="C961" s="22">
        <v>16.42</v>
      </c>
      <c r="D961" s="22">
        <v>15.58</v>
      </c>
      <c r="E961" s="22">
        <v>16.06</v>
      </c>
      <c r="F961" s="22">
        <v>16.08</v>
      </c>
    </row>
    <row r="962" spans="1:6">
      <c r="A962" s="21" t="s">
        <v>966</v>
      </c>
      <c r="B962" s="22">
        <v>17.03</v>
      </c>
      <c r="C962" s="22">
        <v>16.37</v>
      </c>
      <c r="D962" s="22">
        <v>15.42</v>
      </c>
      <c r="E962" s="22">
        <v>16.19</v>
      </c>
      <c r="F962" s="22">
        <v>16.21</v>
      </c>
    </row>
    <row r="963" spans="1:6">
      <c r="A963" s="21" t="s">
        <v>967</v>
      </c>
      <c r="B963" s="22">
        <v>17.48</v>
      </c>
      <c r="C963" s="22">
        <v>16.31</v>
      </c>
      <c r="D963" s="22">
        <v>15.46</v>
      </c>
      <c r="E963" s="22">
        <v>16.11</v>
      </c>
      <c r="F963" s="22">
        <v>16.11</v>
      </c>
    </row>
    <row r="964" spans="1:6">
      <c r="A964" s="21" t="s">
        <v>968</v>
      </c>
      <c r="B964" s="22">
        <v>17.13</v>
      </c>
      <c r="C964" s="22">
        <v>16.24</v>
      </c>
      <c r="D964" s="22">
        <v>15.54</v>
      </c>
      <c r="E964" s="22">
        <v>16.06</v>
      </c>
      <c r="F964" s="22">
        <v>16.05</v>
      </c>
    </row>
    <row r="965" spans="1:6">
      <c r="A965" s="21" t="s">
        <v>969</v>
      </c>
      <c r="B965" s="22">
        <v>17.15</v>
      </c>
      <c r="C965" s="22">
        <v>16.41</v>
      </c>
      <c r="D965" s="22">
        <v>15.42</v>
      </c>
      <c r="E965" s="22">
        <v>16.03</v>
      </c>
      <c r="F965" s="22">
        <v>16.05</v>
      </c>
    </row>
    <row r="966" spans="1:6">
      <c r="A966" s="21" t="s">
        <v>970</v>
      </c>
      <c r="B966" s="22">
        <v>17.13</v>
      </c>
      <c r="C966" s="22">
        <v>16.31</v>
      </c>
      <c r="D966" s="22">
        <v>15.39</v>
      </c>
      <c r="E966" s="22">
        <v>16</v>
      </c>
      <c r="F966" s="22">
        <v>16.01</v>
      </c>
    </row>
    <row r="967" spans="1:6">
      <c r="A967" s="21" t="s">
        <v>971</v>
      </c>
      <c r="B967" s="22">
        <v>16.74</v>
      </c>
      <c r="C967" s="22">
        <v>16.28</v>
      </c>
      <c r="D967" s="22">
        <v>15.44</v>
      </c>
      <c r="E967" s="22">
        <v>15.98</v>
      </c>
      <c r="F967" s="22">
        <v>16</v>
      </c>
    </row>
    <row r="968" spans="1:6">
      <c r="A968" s="21" t="s">
        <v>972</v>
      </c>
      <c r="B968" s="22">
        <v>16.91</v>
      </c>
      <c r="C968" s="22">
        <v>16.41</v>
      </c>
      <c r="D968" s="22">
        <v>15.45</v>
      </c>
      <c r="E968" s="22">
        <v>16.06</v>
      </c>
      <c r="F968" s="22">
        <v>15.98</v>
      </c>
    </row>
    <row r="969" spans="1:6">
      <c r="A969" s="21" t="s">
        <v>973</v>
      </c>
      <c r="B969" s="22">
        <v>16.81</v>
      </c>
      <c r="C969" s="22">
        <v>16.11</v>
      </c>
      <c r="D969" s="22">
        <v>15.37</v>
      </c>
      <c r="E969" s="22">
        <v>15.95</v>
      </c>
      <c r="F969" s="22">
        <v>15.97</v>
      </c>
    </row>
    <row r="970" spans="1:6">
      <c r="A970" s="21" t="s">
        <v>974</v>
      </c>
      <c r="B970" s="22">
        <v>16.79</v>
      </c>
      <c r="C970" s="22">
        <v>16.28</v>
      </c>
      <c r="D970" s="22">
        <v>15.36</v>
      </c>
      <c r="E970" s="22">
        <v>15.95</v>
      </c>
      <c r="F970" s="22">
        <v>15.96</v>
      </c>
    </row>
    <row r="971" spans="1:6">
      <c r="A971" s="21" t="s">
        <v>975</v>
      </c>
      <c r="B971" s="22">
        <v>16.69</v>
      </c>
      <c r="C971" s="22">
        <v>16.07</v>
      </c>
      <c r="D971" s="22">
        <v>15.45</v>
      </c>
      <c r="E971" s="22">
        <v>15.96</v>
      </c>
      <c r="F971" s="22">
        <v>15.98</v>
      </c>
    </row>
    <row r="972" spans="1:6">
      <c r="A972" s="21" t="s">
        <v>976</v>
      </c>
      <c r="B972" s="22">
        <v>16.59</v>
      </c>
      <c r="C972" s="22">
        <v>16.15</v>
      </c>
      <c r="D972" s="22">
        <v>15.36</v>
      </c>
      <c r="E972" s="22">
        <v>15.95</v>
      </c>
      <c r="F972" s="22">
        <v>15.96</v>
      </c>
    </row>
    <row r="973" spans="1:6">
      <c r="A973" s="21" t="s">
        <v>977</v>
      </c>
      <c r="B973" s="22">
        <v>16.63</v>
      </c>
      <c r="C973" s="22">
        <v>16.32</v>
      </c>
      <c r="D973" s="22">
        <v>15.33</v>
      </c>
      <c r="E973" s="22">
        <v>15.93</v>
      </c>
      <c r="F973" s="22">
        <v>15.91</v>
      </c>
    </row>
    <row r="974" spans="1:6">
      <c r="A974" s="21" t="s">
        <v>978</v>
      </c>
      <c r="B974" s="22">
        <v>17.14</v>
      </c>
      <c r="C974" s="22">
        <v>16.32</v>
      </c>
      <c r="D974" s="22">
        <v>15.31</v>
      </c>
      <c r="E974" s="22">
        <v>15.9</v>
      </c>
      <c r="F974" s="22">
        <v>15.91</v>
      </c>
    </row>
    <row r="975" spans="1:6">
      <c r="A975" s="21" t="s">
        <v>979</v>
      </c>
      <c r="B975" s="22">
        <v>16.54</v>
      </c>
      <c r="C975" s="22">
        <v>16.3</v>
      </c>
      <c r="D975" s="22">
        <v>15.44</v>
      </c>
      <c r="E975" s="22">
        <v>15.95</v>
      </c>
      <c r="F975" s="22">
        <v>15.91</v>
      </c>
    </row>
    <row r="976" spans="1:6">
      <c r="A976" s="21" t="s">
        <v>980</v>
      </c>
      <c r="B976" s="22">
        <v>16.58</v>
      </c>
      <c r="C976" s="22">
        <v>16.2</v>
      </c>
      <c r="D976" s="22">
        <v>15.37</v>
      </c>
      <c r="E976" s="22">
        <v>15.9</v>
      </c>
      <c r="F976" s="22">
        <v>15.91</v>
      </c>
    </row>
    <row r="977" spans="1:6">
      <c r="A977" s="21" t="s">
        <v>981</v>
      </c>
      <c r="B977" s="22">
        <v>16.52</v>
      </c>
      <c r="C977" s="22">
        <v>16.11</v>
      </c>
      <c r="D977" s="22">
        <v>15.45</v>
      </c>
      <c r="E977" s="22">
        <v>15.91</v>
      </c>
      <c r="F977" s="22">
        <v>15.88</v>
      </c>
    </row>
    <row r="978" spans="1:6">
      <c r="A978" s="21" t="s">
        <v>982</v>
      </c>
      <c r="B978" s="22">
        <v>16.55</v>
      </c>
      <c r="C978" s="22">
        <v>16.26</v>
      </c>
      <c r="D978" s="22">
        <v>15.3</v>
      </c>
      <c r="E978" s="22">
        <v>15.85</v>
      </c>
      <c r="F978" s="22">
        <v>15.86</v>
      </c>
    </row>
    <row r="979" spans="1:6">
      <c r="A979" s="21" t="s">
        <v>983</v>
      </c>
      <c r="B979" s="22">
        <v>16.48</v>
      </c>
      <c r="C979" s="22">
        <v>16.21</v>
      </c>
      <c r="D979" s="22">
        <v>15.24</v>
      </c>
      <c r="E979" s="22">
        <v>15.82</v>
      </c>
      <c r="F979" s="22">
        <v>15.84</v>
      </c>
    </row>
    <row r="980" spans="1:6">
      <c r="A980" s="21" t="s">
        <v>984</v>
      </c>
      <c r="B980" s="22">
        <v>16.7</v>
      </c>
      <c r="C980" s="22">
        <v>16.25</v>
      </c>
      <c r="D980" s="22">
        <v>15.26</v>
      </c>
      <c r="E980" s="22">
        <v>15.86</v>
      </c>
      <c r="F980" s="22">
        <v>15.88</v>
      </c>
    </row>
    <row r="981" spans="1:6">
      <c r="A981" s="21" t="s">
        <v>985</v>
      </c>
      <c r="B981" s="22">
        <v>16.58</v>
      </c>
      <c r="C981" s="22">
        <v>16.53</v>
      </c>
      <c r="D981" s="22">
        <v>15.24</v>
      </c>
      <c r="E981" s="22">
        <v>15.86</v>
      </c>
      <c r="F981" s="22">
        <v>15.88</v>
      </c>
    </row>
    <row r="982" spans="1:6">
      <c r="A982" s="21" t="s">
        <v>986</v>
      </c>
      <c r="B982" s="22">
        <v>16.59</v>
      </c>
      <c r="C982" s="22">
        <v>16.26</v>
      </c>
      <c r="D982" s="22">
        <v>15.3</v>
      </c>
      <c r="E982" s="22">
        <v>15.88</v>
      </c>
      <c r="F982" s="22">
        <v>15.91</v>
      </c>
    </row>
    <row r="983" spans="1:6">
      <c r="A983" s="21" t="s">
        <v>987</v>
      </c>
      <c r="B983" s="22">
        <v>17.9</v>
      </c>
      <c r="C983" s="22">
        <v>16.31</v>
      </c>
      <c r="D983" s="22">
        <v>15.22</v>
      </c>
      <c r="E983" s="22">
        <v>15.94</v>
      </c>
      <c r="F983" s="22">
        <v>15.98</v>
      </c>
    </row>
    <row r="984" spans="1:6">
      <c r="A984" s="21" t="s">
        <v>988</v>
      </c>
      <c r="B984" s="22">
        <v>17.52</v>
      </c>
      <c r="C984" s="22">
        <v>16.29</v>
      </c>
      <c r="D984" s="22">
        <v>15.2</v>
      </c>
      <c r="E984" s="22">
        <v>15.96</v>
      </c>
      <c r="F984" s="22">
        <v>15.98</v>
      </c>
    </row>
    <row r="985" spans="1:6">
      <c r="A985" s="21" t="s">
        <v>989</v>
      </c>
      <c r="B985" s="22">
        <v>16.96</v>
      </c>
      <c r="C985" s="22">
        <v>16.21</v>
      </c>
      <c r="D985" s="22">
        <v>15.26</v>
      </c>
      <c r="E985" s="22">
        <v>15.81</v>
      </c>
      <c r="F985" s="22">
        <v>15.83</v>
      </c>
    </row>
    <row r="986" spans="1:6">
      <c r="A986" s="21" t="s">
        <v>990</v>
      </c>
      <c r="B986" s="22">
        <v>17.35</v>
      </c>
      <c r="C986" s="22">
        <v>16.37</v>
      </c>
      <c r="D986" s="22">
        <v>15.23</v>
      </c>
      <c r="E986" s="22">
        <v>15.88</v>
      </c>
      <c r="F986" s="22">
        <v>15.89</v>
      </c>
    </row>
    <row r="987" spans="1:6">
      <c r="A987" s="21" t="s">
        <v>991</v>
      </c>
      <c r="B987" s="22">
        <v>17.64</v>
      </c>
      <c r="C987" s="22">
        <v>16.41</v>
      </c>
      <c r="D987" s="22">
        <v>15.22</v>
      </c>
      <c r="E987" s="22">
        <v>16.01</v>
      </c>
      <c r="F987" s="22">
        <v>15.96</v>
      </c>
    </row>
    <row r="988" spans="1:6">
      <c r="A988" s="21" t="s">
        <v>992</v>
      </c>
      <c r="B988" s="22">
        <v>17.21</v>
      </c>
      <c r="C988" s="22">
        <v>16.09</v>
      </c>
      <c r="D988" s="22">
        <v>15.15</v>
      </c>
      <c r="E988" s="22">
        <v>15.83</v>
      </c>
      <c r="F988" s="22">
        <v>15.84</v>
      </c>
    </row>
    <row r="989" spans="1:6">
      <c r="A989" s="21" t="s">
        <v>993</v>
      </c>
      <c r="B989" s="22">
        <v>17.3</v>
      </c>
      <c r="C989" s="22">
        <v>16.23</v>
      </c>
      <c r="D989" s="22">
        <v>15.13</v>
      </c>
      <c r="E989" s="22">
        <v>15.83</v>
      </c>
      <c r="F989" s="22">
        <v>15.85</v>
      </c>
    </row>
    <row r="990" spans="1:6">
      <c r="A990" s="21" t="s">
        <v>994</v>
      </c>
      <c r="B990" s="22">
        <v>17.42</v>
      </c>
      <c r="C990" s="22">
        <v>16.2</v>
      </c>
      <c r="D990" s="22">
        <v>15.23</v>
      </c>
      <c r="E990" s="22">
        <v>15.9</v>
      </c>
      <c r="F990" s="22">
        <v>15.83</v>
      </c>
    </row>
    <row r="991" spans="1:6">
      <c r="A991" s="21" t="s">
        <v>995</v>
      </c>
      <c r="B991" s="22">
        <v>17.14</v>
      </c>
      <c r="C991" s="22">
        <v>16.07</v>
      </c>
      <c r="D991" s="22">
        <v>15.17</v>
      </c>
      <c r="E991" s="22">
        <v>15.84</v>
      </c>
      <c r="F991" s="22">
        <v>15.83</v>
      </c>
    </row>
    <row r="992" spans="1:6">
      <c r="A992" s="21" t="s">
        <v>996</v>
      </c>
      <c r="B992" s="22">
        <v>17.04</v>
      </c>
      <c r="C992" s="22">
        <v>16.08</v>
      </c>
      <c r="D992" s="22">
        <v>15.16</v>
      </c>
      <c r="E992" s="22">
        <v>15.8</v>
      </c>
      <c r="F992" s="22">
        <v>15.82</v>
      </c>
    </row>
    <row r="993" spans="1:6">
      <c r="A993" s="21" t="s">
        <v>997</v>
      </c>
      <c r="B993" s="22">
        <v>17.06</v>
      </c>
      <c r="C993" s="22">
        <v>16</v>
      </c>
      <c r="D993" s="22">
        <v>15.17</v>
      </c>
      <c r="E993" s="22">
        <v>15.79</v>
      </c>
      <c r="F993" s="22">
        <v>15.81</v>
      </c>
    </row>
    <row r="994" spans="1:6">
      <c r="A994" s="21" t="s">
        <v>998</v>
      </c>
      <c r="B994" s="22">
        <v>17.07</v>
      </c>
      <c r="C994" s="22">
        <v>15.97</v>
      </c>
      <c r="D994" s="22">
        <v>15.14</v>
      </c>
      <c r="E994" s="22">
        <v>15.8</v>
      </c>
      <c r="F994" s="22">
        <v>15.82</v>
      </c>
    </row>
    <row r="995" spans="1:6">
      <c r="A995" s="21" t="s">
        <v>999</v>
      </c>
      <c r="B995" s="22">
        <v>16.97</v>
      </c>
      <c r="C995" s="22">
        <v>16.08</v>
      </c>
      <c r="D995" s="22">
        <v>15.19</v>
      </c>
      <c r="E995" s="22">
        <v>15.77</v>
      </c>
      <c r="F995" s="22">
        <v>15.77</v>
      </c>
    </row>
    <row r="996" spans="1:6">
      <c r="A996" s="21" t="s">
        <v>1000</v>
      </c>
      <c r="B996" s="22">
        <v>16.6</v>
      </c>
      <c r="C996" s="22">
        <v>16.02</v>
      </c>
      <c r="D996" s="22">
        <v>15.16</v>
      </c>
      <c r="E996" s="22">
        <v>15.79</v>
      </c>
      <c r="F996" s="22">
        <v>15.78</v>
      </c>
    </row>
    <row r="997" spans="1:6">
      <c r="A997" s="21" t="s">
        <v>1001</v>
      </c>
      <c r="B997" s="22">
        <v>17.09</v>
      </c>
      <c r="C997" s="22">
        <v>16.04</v>
      </c>
      <c r="D997" s="22">
        <v>15.07</v>
      </c>
      <c r="E997" s="22">
        <v>15.74</v>
      </c>
      <c r="F997" s="22">
        <v>15.78</v>
      </c>
    </row>
    <row r="998" spans="1:6">
      <c r="A998" s="21" t="s">
        <v>1002</v>
      </c>
      <c r="B998" s="22">
        <v>17.01</v>
      </c>
      <c r="C998" s="22">
        <v>16.06</v>
      </c>
      <c r="D998" s="22">
        <v>15.1</v>
      </c>
      <c r="E998" s="22">
        <v>15.71</v>
      </c>
      <c r="F998" s="22">
        <v>15.74</v>
      </c>
    </row>
    <row r="999" spans="1:6">
      <c r="A999" s="21" t="s">
        <v>1003</v>
      </c>
      <c r="B999" s="22">
        <v>16.96</v>
      </c>
      <c r="C999" s="22">
        <v>15.96</v>
      </c>
      <c r="D999" s="22">
        <v>15.09</v>
      </c>
      <c r="E999" s="22">
        <v>15.73</v>
      </c>
      <c r="F999" s="22">
        <v>15.75</v>
      </c>
    </row>
    <row r="1000" spans="1:6">
      <c r="A1000" s="21" t="s">
        <v>1004</v>
      </c>
      <c r="B1000" s="22">
        <v>17.08</v>
      </c>
      <c r="C1000" s="22">
        <v>15.97</v>
      </c>
      <c r="D1000" s="22">
        <v>15.1</v>
      </c>
      <c r="E1000" s="22">
        <v>15.7</v>
      </c>
      <c r="F1000" s="22">
        <v>15.74</v>
      </c>
    </row>
    <row r="1001" spans="1:6">
      <c r="A1001" s="21" t="s">
        <v>1005</v>
      </c>
      <c r="B1001" s="22">
        <v>17.2</v>
      </c>
      <c r="C1001" s="22">
        <v>16.06</v>
      </c>
      <c r="D1001" s="22">
        <v>15.04</v>
      </c>
      <c r="E1001" s="22">
        <v>15.72</v>
      </c>
      <c r="F1001" s="22">
        <v>15.75</v>
      </c>
    </row>
    <row r="1002" spans="1:6">
      <c r="A1002" s="21" t="s">
        <v>1006</v>
      </c>
      <c r="B1002" s="22">
        <v>17.13</v>
      </c>
      <c r="C1002" s="22">
        <v>16</v>
      </c>
      <c r="D1002" s="22">
        <v>15.13</v>
      </c>
      <c r="E1002" s="22">
        <v>15.74</v>
      </c>
      <c r="F1002" s="22">
        <v>15.78</v>
      </c>
    </row>
    <row r="1003" spans="1:6">
      <c r="A1003" s="21" t="s">
        <v>1007</v>
      </c>
      <c r="B1003" s="22">
        <v>17.1</v>
      </c>
      <c r="C1003" s="22">
        <v>16.18</v>
      </c>
      <c r="D1003" s="22">
        <v>15</v>
      </c>
      <c r="E1003" s="22">
        <v>15.75</v>
      </c>
      <c r="F1003" s="22">
        <v>15.74</v>
      </c>
    </row>
    <row r="1004" spans="1:6">
      <c r="A1004" s="21" t="s">
        <v>1008</v>
      </c>
      <c r="B1004" s="22">
        <v>17.15</v>
      </c>
      <c r="C1004" s="22">
        <v>16.07</v>
      </c>
      <c r="D1004" s="22">
        <v>14.99</v>
      </c>
      <c r="E1004" s="22">
        <v>15.75</v>
      </c>
      <c r="F1004" s="22">
        <v>15.77</v>
      </c>
    </row>
    <row r="1005" spans="1:6">
      <c r="A1005" s="21" t="s">
        <v>1009</v>
      </c>
      <c r="B1005" s="22">
        <v>17.43</v>
      </c>
      <c r="C1005" s="22">
        <v>16.15</v>
      </c>
      <c r="D1005" s="22">
        <v>15.16</v>
      </c>
      <c r="E1005" s="22">
        <v>15.84</v>
      </c>
      <c r="F1005" s="22">
        <v>15.86</v>
      </c>
    </row>
    <row r="1006" spans="1:6">
      <c r="A1006" s="21" t="s">
        <v>1010</v>
      </c>
      <c r="B1006" s="22">
        <v>17.22</v>
      </c>
      <c r="C1006" s="22">
        <v>16.11</v>
      </c>
      <c r="D1006" s="22">
        <v>15.18</v>
      </c>
      <c r="E1006" s="22">
        <v>15.89</v>
      </c>
      <c r="F1006" s="22">
        <v>15.9</v>
      </c>
    </row>
    <row r="1007" spans="1:6">
      <c r="A1007" s="21" t="s">
        <v>1011</v>
      </c>
      <c r="B1007" s="22">
        <v>17.03</v>
      </c>
      <c r="C1007" s="22">
        <v>16.07</v>
      </c>
      <c r="D1007" s="22">
        <v>14.99</v>
      </c>
      <c r="E1007" s="22">
        <v>15.79</v>
      </c>
      <c r="F1007" s="22">
        <v>15.81</v>
      </c>
    </row>
    <row r="1008" spans="1:6">
      <c r="A1008" s="21" t="s">
        <v>1012</v>
      </c>
      <c r="B1008" s="22">
        <v>17.2</v>
      </c>
      <c r="C1008" s="22">
        <v>16.14</v>
      </c>
      <c r="D1008" s="22">
        <v>15.1</v>
      </c>
      <c r="E1008" s="22">
        <v>15.81</v>
      </c>
      <c r="F1008" s="22">
        <v>15.83</v>
      </c>
    </row>
    <row r="1009" spans="1:6">
      <c r="A1009" s="21" t="s">
        <v>1013</v>
      </c>
      <c r="B1009" s="22">
        <v>17.01</v>
      </c>
      <c r="C1009" s="22">
        <v>15.83</v>
      </c>
      <c r="D1009" s="22">
        <v>15.08</v>
      </c>
      <c r="E1009" s="22">
        <v>15.76</v>
      </c>
      <c r="F1009" s="22">
        <v>15.77</v>
      </c>
    </row>
    <row r="1010" spans="1:6">
      <c r="A1010" s="21" t="s">
        <v>1014</v>
      </c>
      <c r="B1010" s="22">
        <v>17.05</v>
      </c>
      <c r="C1010" s="22">
        <v>16.17</v>
      </c>
      <c r="D1010" s="22">
        <v>15.12</v>
      </c>
      <c r="E1010" s="22">
        <v>15.79</v>
      </c>
      <c r="F1010" s="22">
        <v>15.79</v>
      </c>
    </row>
    <row r="1011" spans="1:6">
      <c r="A1011" s="21" t="s">
        <v>1015</v>
      </c>
      <c r="B1011" s="22">
        <v>17.13</v>
      </c>
      <c r="C1011" s="22">
        <v>16.05</v>
      </c>
      <c r="D1011" s="22">
        <v>15.08</v>
      </c>
      <c r="E1011" s="22">
        <v>15.8</v>
      </c>
      <c r="F1011" s="22">
        <v>15.82</v>
      </c>
    </row>
    <row r="1012" spans="1:6">
      <c r="A1012" s="21" t="s">
        <v>1016</v>
      </c>
      <c r="B1012" s="22">
        <v>17.17</v>
      </c>
      <c r="C1012" s="22">
        <v>15.89</v>
      </c>
      <c r="D1012" s="22">
        <v>15.14</v>
      </c>
      <c r="E1012" s="22">
        <v>15.83</v>
      </c>
      <c r="F1012" s="22">
        <v>15.85</v>
      </c>
    </row>
    <row r="1013" spans="1:6">
      <c r="A1013" s="21" t="s">
        <v>1017</v>
      </c>
      <c r="B1013" s="22">
        <v>17.25</v>
      </c>
      <c r="C1013" s="22">
        <v>16.01</v>
      </c>
      <c r="D1013" s="22">
        <v>15.13</v>
      </c>
      <c r="E1013" s="22">
        <v>15.69</v>
      </c>
      <c r="F1013" s="22">
        <v>15.82</v>
      </c>
    </row>
    <row r="1014" spans="1:6">
      <c r="A1014" s="21" t="s">
        <v>1018</v>
      </c>
      <c r="B1014" s="22">
        <v>17.31</v>
      </c>
      <c r="C1014" s="22">
        <v>15.94</v>
      </c>
      <c r="D1014" s="22">
        <v>15.14</v>
      </c>
      <c r="E1014" s="22">
        <v>15.71</v>
      </c>
      <c r="F1014" s="22">
        <v>15.84</v>
      </c>
    </row>
    <row r="1015" spans="1:6">
      <c r="A1015" s="21" t="s">
        <v>1019</v>
      </c>
      <c r="B1015" s="22">
        <v>17.14</v>
      </c>
      <c r="C1015" s="22">
        <v>15.98</v>
      </c>
      <c r="D1015" s="22">
        <v>15.22</v>
      </c>
      <c r="E1015" s="22">
        <v>15.76</v>
      </c>
      <c r="F1015" s="22">
        <v>15.87</v>
      </c>
    </row>
    <row r="1016" spans="1:6">
      <c r="A1016" s="21" t="s">
        <v>1020</v>
      </c>
      <c r="B1016" s="22">
        <v>17.54</v>
      </c>
      <c r="C1016" s="22">
        <v>16.14</v>
      </c>
      <c r="D1016" s="22">
        <v>15.18</v>
      </c>
      <c r="E1016" s="22">
        <v>15.86</v>
      </c>
      <c r="F1016" s="22">
        <v>15.89</v>
      </c>
    </row>
    <row r="1017" spans="1:6">
      <c r="A1017" s="21" t="s">
        <v>1021</v>
      </c>
      <c r="B1017" s="22">
        <v>17.31</v>
      </c>
      <c r="C1017" s="22">
        <v>16.21</v>
      </c>
      <c r="D1017" s="22">
        <v>15.12</v>
      </c>
      <c r="E1017" s="22">
        <v>15.83</v>
      </c>
      <c r="F1017" s="22">
        <v>15.85</v>
      </c>
    </row>
    <row r="1018" spans="1:6">
      <c r="A1018" s="21" t="s">
        <v>1022</v>
      </c>
      <c r="B1018" s="22">
        <v>17.24</v>
      </c>
      <c r="C1018" s="22">
        <v>16.29</v>
      </c>
      <c r="D1018" s="22">
        <v>15.11</v>
      </c>
      <c r="E1018" s="22">
        <v>15.81</v>
      </c>
      <c r="F1018" s="22">
        <v>15.84</v>
      </c>
    </row>
    <row r="1019" spans="1:6">
      <c r="A1019" s="21" t="s">
        <v>1023</v>
      </c>
      <c r="B1019" s="22">
        <v>17.95</v>
      </c>
      <c r="C1019" s="22">
        <v>16.42</v>
      </c>
      <c r="D1019" s="22">
        <v>15.12</v>
      </c>
      <c r="E1019" s="22">
        <v>15.95</v>
      </c>
      <c r="F1019" s="22">
        <v>15.97</v>
      </c>
    </row>
    <row r="1020" spans="1:6">
      <c r="A1020" s="21" t="s">
        <v>1024</v>
      </c>
      <c r="B1020" s="22">
        <v>18.83</v>
      </c>
      <c r="C1020" s="22">
        <v>16.45</v>
      </c>
      <c r="D1020" s="22">
        <v>15.11</v>
      </c>
      <c r="E1020" s="22">
        <v>16.3</v>
      </c>
      <c r="F1020" s="22">
        <v>16.31</v>
      </c>
    </row>
    <row r="1021" spans="1:6">
      <c r="A1021" s="21" t="s">
        <v>1025</v>
      </c>
      <c r="B1021" s="22">
        <v>17.64</v>
      </c>
      <c r="C1021" s="22">
        <v>16.26</v>
      </c>
      <c r="D1021" s="22">
        <v>15.15</v>
      </c>
      <c r="E1021" s="22">
        <v>16</v>
      </c>
      <c r="F1021" s="22">
        <v>16.02</v>
      </c>
    </row>
    <row r="1022" spans="1:6">
      <c r="A1022" s="21" t="s">
        <v>1026</v>
      </c>
      <c r="B1022" s="22">
        <v>17.45</v>
      </c>
      <c r="C1022" s="22">
        <v>16.03</v>
      </c>
      <c r="D1022" s="22">
        <v>15.06</v>
      </c>
      <c r="E1022" s="22">
        <v>15.85</v>
      </c>
      <c r="F1022" s="22">
        <v>15.87</v>
      </c>
    </row>
    <row r="1023" spans="1:6">
      <c r="A1023" s="21" t="s">
        <v>1027</v>
      </c>
      <c r="B1023" s="22">
        <v>17.28</v>
      </c>
      <c r="C1023" s="22">
        <v>16</v>
      </c>
      <c r="D1023" s="22">
        <v>15.15</v>
      </c>
      <c r="E1023" s="22">
        <v>15.86</v>
      </c>
      <c r="F1023" s="22">
        <v>15.88</v>
      </c>
    </row>
    <row r="1024" spans="1:6">
      <c r="A1024" s="21" t="s">
        <v>1028</v>
      </c>
      <c r="B1024" s="22">
        <v>17.69</v>
      </c>
      <c r="C1024" s="22">
        <v>16.35</v>
      </c>
      <c r="D1024" s="22">
        <v>15.1</v>
      </c>
      <c r="E1024" s="22">
        <v>16</v>
      </c>
      <c r="F1024" s="22">
        <v>16.03</v>
      </c>
    </row>
    <row r="1025" spans="1:6">
      <c r="A1025" s="21" t="s">
        <v>1029</v>
      </c>
      <c r="B1025" s="22">
        <v>18.32</v>
      </c>
      <c r="C1025" s="22">
        <v>16.35</v>
      </c>
      <c r="D1025" s="22">
        <v>15.07</v>
      </c>
      <c r="E1025" s="22">
        <v>16.02</v>
      </c>
      <c r="F1025" s="22">
        <v>16.05</v>
      </c>
    </row>
    <row r="1026" spans="1:6">
      <c r="A1026" s="21" t="s">
        <v>1030</v>
      </c>
      <c r="B1026" s="22">
        <v>18.16</v>
      </c>
      <c r="C1026" s="22">
        <v>16.34</v>
      </c>
      <c r="D1026" s="22">
        <v>15.1</v>
      </c>
      <c r="E1026" s="22">
        <v>15.98</v>
      </c>
      <c r="F1026" s="22">
        <v>16</v>
      </c>
    </row>
    <row r="1027" spans="1:6">
      <c r="A1027" s="21" t="s">
        <v>1031</v>
      </c>
      <c r="B1027" s="22">
        <v>18.12</v>
      </c>
      <c r="C1027" s="22">
        <v>16.35</v>
      </c>
      <c r="D1027" s="22">
        <v>15.04</v>
      </c>
      <c r="E1027" s="22">
        <v>15.97</v>
      </c>
      <c r="F1027" s="22">
        <v>15.99</v>
      </c>
    </row>
    <row r="1028" spans="1:6">
      <c r="A1028" s="21" t="s">
        <v>1032</v>
      </c>
      <c r="B1028" s="22">
        <v>18.11</v>
      </c>
      <c r="C1028" s="22">
        <v>16.31</v>
      </c>
      <c r="D1028" s="22">
        <v>15.05</v>
      </c>
      <c r="E1028" s="22">
        <v>16.09</v>
      </c>
      <c r="F1028" s="22">
        <v>16.12</v>
      </c>
    </row>
    <row r="1029" spans="1:6">
      <c r="A1029" s="21" t="s">
        <v>1033</v>
      </c>
      <c r="B1029" s="22">
        <v>18.29</v>
      </c>
      <c r="C1029" s="22">
        <v>16.35</v>
      </c>
      <c r="D1029" s="22">
        <v>15.07</v>
      </c>
      <c r="E1029" s="22">
        <v>16.04</v>
      </c>
      <c r="F1029" s="22">
        <v>16.06</v>
      </c>
    </row>
    <row r="1030" spans="1:6">
      <c r="A1030" s="21" t="s">
        <v>1034</v>
      </c>
      <c r="B1030" s="22">
        <v>17.96</v>
      </c>
      <c r="C1030" s="22">
        <v>16.45</v>
      </c>
      <c r="D1030" s="22">
        <v>15.23</v>
      </c>
      <c r="E1030" s="22">
        <v>16.11</v>
      </c>
      <c r="F1030" s="22">
        <v>16.08</v>
      </c>
    </row>
    <row r="1031" spans="1:6">
      <c r="A1031" s="21" t="s">
        <v>1035</v>
      </c>
      <c r="B1031" s="22">
        <v>18.22</v>
      </c>
      <c r="C1031" s="22">
        <v>16.34</v>
      </c>
      <c r="D1031" s="22">
        <v>15.05</v>
      </c>
      <c r="E1031" s="22">
        <v>16.03</v>
      </c>
      <c r="F1031" s="22">
        <v>16.07</v>
      </c>
    </row>
    <row r="1032" spans="1:6">
      <c r="A1032" s="21" t="s">
        <v>1036</v>
      </c>
      <c r="B1032" s="22">
        <v>18.32</v>
      </c>
      <c r="C1032" s="22">
        <v>16.25</v>
      </c>
      <c r="D1032" s="22">
        <v>14.99</v>
      </c>
      <c r="E1032" s="22">
        <v>16.08</v>
      </c>
      <c r="F1032" s="22">
        <v>16.12</v>
      </c>
    </row>
    <row r="1033" spans="1:6">
      <c r="A1033" s="21" t="s">
        <v>1037</v>
      </c>
      <c r="B1033" s="22">
        <v>18.48</v>
      </c>
      <c r="C1033" s="22">
        <v>16.39</v>
      </c>
      <c r="D1033" s="22">
        <v>15.09</v>
      </c>
      <c r="E1033" s="22">
        <v>16.08</v>
      </c>
      <c r="F1033" s="22">
        <v>16.11</v>
      </c>
    </row>
    <row r="1034" spans="1:6">
      <c r="A1034" s="21" t="s">
        <v>1038</v>
      </c>
      <c r="B1034" s="22">
        <v>18.52</v>
      </c>
      <c r="C1034" s="22">
        <v>16.44</v>
      </c>
      <c r="D1034" s="22">
        <v>15.07</v>
      </c>
      <c r="E1034" s="22">
        <v>16.12</v>
      </c>
      <c r="F1034" s="22">
        <v>16.12</v>
      </c>
    </row>
    <row r="1035" spans="1:6">
      <c r="A1035" s="21" t="s">
        <v>1039</v>
      </c>
      <c r="B1035" s="22">
        <v>18.14</v>
      </c>
      <c r="C1035" s="22">
        <v>16.47</v>
      </c>
      <c r="D1035" s="22">
        <v>15.07</v>
      </c>
      <c r="E1035" s="22">
        <v>16.18</v>
      </c>
      <c r="F1035" s="22">
        <v>16.11</v>
      </c>
    </row>
    <row r="1036" spans="1:6">
      <c r="A1036" s="21" t="s">
        <v>1040</v>
      </c>
      <c r="B1036" s="22">
        <v>18.23</v>
      </c>
      <c r="C1036" s="22">
        <v>16.26</v>
      </c>
      <c r="D1036" s="22">
        <v>14.92</v>
      </c>
      <c r="E1036" s="22">
        <v>16.02</v>
      </c>
      <c r="F1036" s="22">
        <v>16.04</v>
      </c>
    </row>
    <row r="1037" spans="1:6">
      <c r="A1037" s="21" t="s">
        <v>1041</v>
      </c>
      <c r="B1037" s="22">
        <v>18.19</v>
      </c>
      <c r="C1037" s="22">
        <v>16.31</v>
      </c>
      <c r="D1037" s="22">
        <v>14.97</v>
      </c>
      <c r="E1037" s="22">
        <v>16</v>
      </c>
      <c r="F1037" s="22">
        <v>16.03</v>
      </c>
    </row>
    <row r="1038" spans="1:6">
      <c r="A1038" s="21" t="s">
        <v>1042</v>
      </c>
      <c r="B1038" s="22">
        <v>18.17</v>
      </c>
      <c r="C1038" s="22">
        <v>16.19</v>
      </c>
      <c r="D1038" s="22">
        <v>15.13</v>
      </c>
      <c r="E1038" s="22">
        <v>16.1</v>
      </c>
      <c r="F1038" s="22">
        <v>16.04</v>
      </c>
    </row>
    <row r="1039" spans="1:6">
      <c r="A1039" s="21" t="s">
        <v>1043</v>
      </c>
      <c r="B1039" s="22">
        <v>18.36</v>
      </c>
      <c r="C1039" s="22">
        <v>16.19</v>
      </c>
      <c r="D1039" s="22">
        <v>15</v>
      </c>
      <c r="E1039" s="22">
        <v>16.05</v>
      </c>
      <c r="F1039" s="22">
        <v>16.07</v>
      </c>
    </row>
    <row r="1040" spans="1:6">
      <c r="A1040" s="21" t="s">
        <v>1044</v>
      </c>
      <c r="B1040" s="22">
        <v>17.59</v>
      </c>
      <c r="C1040" s="22">
        <v>16.18</v>
      </c>
      <c r="D1040" s="22">
        <v>14.99</v>
      </c>
      <c r="E1040" s="22">
        <v>15.92</v>
      </c>
      <c r="F1040" s="22">
        <v>15.94</v>
      </c>
    </row>
    <row r="1041" spans="1:6">
      <c r="A1041" s="21" t="s">
        <v>1045</v>
      </c>
      <c r="B1041" s="22">
        <v>18.13</v>
      </c>
      <c r="C1041" s="22">
        <v>16.18</v>
      </c>
      <c r="D1041" s="22">
        <v>15</v>
      </c>
      <c r="E1041" s="22">
        <v>16.04</v>
      </c>
      <c r="F1041" s="22">
        <v>16.06</v>
      </c>
    </row>
    <row r="1042" spans="1:6">
      <c r="A1042" s="21" t="s">
        <v>1046</v>
      </c>
      <c r="B1042" s="22">
        <v>18.31</v>
      </c>
      <c r="C1042" s="22">
        <v>16.19</v>
      </c>
      <c r="D1042" s="22">
        <v>14.98</v>
      </c>
      <c r="E1042" s="22">
        <v>16.07</v>
      </c>
      <c r="F1042" s="22">
        <v>16.09</v>
      </c>
    </row>
    <row r="1043" spans="1:6">
      <c r="A1043" s="21" t="s">
        <v>1047</v>
      </c>
      <c r="B1043" s="22">
        <v>18.25</v>
      </c>
      <c r="C1043" s="22">
        <v>16.12</v>
      </c>
      <c r="D1043" s="22">
        <v>15.09</v>
      </c>
      <c r="E1043" s="22">
        <v>16.11</v>
      </c>
      <c r="F1043" s="22">
        <v>16.07</v>
      </c>
    </row>
    <row r="1044" spans="1:6">
      <c r="A1044" s="21" t="s">
        <v>1048</v>
      </c>
      <c r="B1044" s="22">
        <v>18.1</v>
      </c>
      <c r="C1044" s="22">
        <v>16.28</v>
      </c>
      <c r="D1044" s="22">
        <v>15.03</v>
      </c>
      <c r="E1044" s="22">
        <v>16.02</v>
      </c>
      <c r="F1044" s="22">
        <v>16.03</v>
      </c>
    </row>
    <row r="1045" spans="1:6">
      <c r="A1045" s="21" t="s">
        <v>1049</v>
      </c>
      <c r="B1045" s="22">
        <v>18.26</v>
      </c>
      <c r="C1045" s="22">
        <v>16.59</v>
      </c>
      <c r="D1045" s="22">
        <v>15.03</v>
      </c>
      <c r="E1045" s="22">
        <v>16.23</v>
      </c>
      <c r="F1045" s="22">
        <v>16.25</v>
      </c>
    </row>
    <row r="1046" spans="1:6">
      <c r="A1046" s="21" t="s">
        <v>1050</v>
      </c>
      <c r="B1046" s="22">
        <v>18.09</v>
      </c>
      <c r="C1046" s="22">
        <v>16.37</v>
      </c>
      <c r="D1046" s="22">
        <v>15.01</v>
      </c>
      <c r="E1046" s="22">
        <v>16.13</v>
      </c>
      <c r="F1046" s="22">
        <v>16.14</v>
      </c>
    </row>
    <row r="1047" spans="1:6">
      <c r="A1047" s="21" t="s">
        <v>1051</v>
      </c>
      <c r="B1047" s="22">
        <v>17.24</v>
      </c>
      <c r="C1047" s="22">
        <v>16.41</v>
      </c>
      <c r="D1047" s="22">
        <v>15.09</v>
      </c>
      <c r="E1047" s="22">
        <v>16.18</v>
      </c>
      <c r="F1047" s="22">
        <v>16.11</v>
      </c>
    </row>
    <row r="1048" spans="1:6">
      <c r="A1048" s="21" t="s">
        <v>1052</v>
      </c>
      <c r="B1048" s="22">
        <v>17.62</v>
      </c>
      <c r="C1048" s="22">
        <v>16.33</v>
      </c>
      <c r="D1048" s="22">
        <v>15.33</v>
      </c>
      <c r="E1048" s="22">
        <v>16.38</v>
      </c>
      <c r="F1048" s="22">
        <v>16.36</v>
      </c>
    </row>
    <row r="1049" spans="1:6">
      <c r="A1049" s="21" t="s">
        <v>1053</v>
      </c>
      <c r="B1049" s="22">
        <v>17.19</v>
      </c>
      <c r="C1049" s="22">
        <v>16.72</v>
      </c>
      <c r="D1049" s="22">
        <v>15.32</v>
      </c>
      <c r="E1049" s="22">
        <v>16.45</v>
      </c>
      <c r="F1049" s="22">
        <v>16.43</v>
      </c>
    </row>
    <row r="1050" spans="1:6">
      <c r="A1050" s="21" t="s">
        <v>1054</v>
      </c>
      <c r="B1050" s="22">
        <v>17.36</v>
      </c>
      <c r="C1050" s="22">
        <v>16.68</v>
      </c>
      <c r="D1050" s="22">
        <v>15.42</v>
      </c>
      <c r="E1050" s="22">
        <v>16.6</v>
      </c>
      <c r="F1050" s="22">
        <v>16.57</v>
      </c>
    </row>
    <row r="1051" spans="1:6">
      <c r="A1051" s="21" t="s">
        <v>1055</v>
      </c>
      <c r="B1051" s="22">
        <v>17.26</v>
      </c>
      <c r="C1051" s="22">
        <v>17.05</v>
      </c>
      <c r="D1051" s="22">
        <v>15.35</v>
      </c>
      <c r="E1051" s="22">
        <v>16.6</v>
      </c>
      <c r="F1051" s="22">
        <v>16.57</v>
      </c>
    </row>
    <row r="1052" spans="1:6">
      <c r="A1052" s="21" t="s">
        <v>1056</v>
      </c>
      <c r="B1052" s="22">
        <v>17.57</v>
      </c>
      <c r="C1052" s="22">
        <v>16.69</v>
      </c>
      <c r="D1052" s="22">
        <v>15.35</v>
      </c>
      <c r="E1052" s="22">
        <v>16.62</v>
      </c>
      <c r="F1052" s="22">
        <v>16.59</v>
      </c>
    </row>
    <row r="1053" spans="1:6">
      <c r="A1053" s="21" t="s">
        <v>1057</v>
      </c>
      <c r="B1053" s="22">
        <v>17.32</v>
      </c>
      <c r="C1053" s="22">
        <v>16.9</v>
      </c>
      <c r="D1053" s="22">
        <v>15.27</v>
      </c>
      <c r="E1053" s="22">
        <v>16.62</v>
      </c>
      <c r="F1053" s="22">
        <v>16.59</v>
      </c>
    </row>
    <row r="1054" spans="1:6">
      <c r="A1054" s="21" t="s">
        <v>1058</v>
      </c>
      <c r="B1054" s="22">
        <v>17.5</v>
      </c>
      <c r="C1054" s="22">
        <v>16.52</v>
      </c>
      <c r="D1054" s="22">
        <v>15.21</v>
      </c>
      <c r="E1054" s="22">
        <v>16.54</v>
      </c>
      <c r="F1054" s="22">
        <v>16.55</v>
      </c>
    </row>
    <row r="1055" spans="1:6">
      <c r="A1055" s="21" t="s">
        <v>1059</v>
      </c>
      <c r="B1055" s="22">
        <v>17.42</v>
      </c>
      <c r="C1055" s="22">
        <v>16.6</v>
      </c>
      <c r="D1055" s="22">
        <v>15.23</v>
      </c>
      <c r="E1055" s="22">
        <v>16.45</v>
      </c>
      <c r="F1055" s="22">
        <v>16.46</v>
      </c>
    </row>
    <row r="1056" spans="1:6">
      <c r="A1056" s="21" t="s">
        <v>1060</v>
      </c>
      <c r="B1056" s="22">
        <v>17.01</v>
      </c>
      <c r="C1056" s="22">
        <v>16.45</v>
      </c>
      <c r="D1056" s="22">
        <v>15.09</v>
      </c>
      <c r="E1056" s="22">
        <v>16.12</v>
      </c>
      <c r="F1056" s="22">
        <v>16.14</v>
      </c>
    </row>
    <row r="1057" spans="1:6">
      <c r="A1057" s="21" t="s">
        <v>1061</v>
      </c>
      <c r="B1057" s="22">
        <v>17.18</v>
      </c>
      <c r="C1057" s="22">
        <v>16.52</v>
      </c>
      <c r="D1057" s="22">
        <v>15.23</v>
      </c>
      <c r="E1057" s="22">
        <v>16.39</v>
      </c>
      <c r="F1057" s="22">
        <v>16.37</v>
      </c>
    </row>
    <row r="1058" spans="1:6">
      <c r="A1058" s="21" t="s">
        <v>1062</v>
      </c>
      <c r="B1058" s="22">
        <v>16.31</v>
      </c>
      <c r="C1058" s="22">
        <v>16.77</v>
      </c>
      <c r="D1058" s="22">
        <v>15.14</v>
      </c>
      <c r="E1058" s="22">
        <v>16.4</v>
      </c>
      <c r="F1058" s="22">
        <v>16.39</v>
      </c>
    </row>
    <row r="1059" spans="1:6">
      <c r="A1059" s="21" t="s">
        <v>1063</v>
      </c>
      <c r="B1059" s="22">
        <v>17.37</v>
      </c>
      <c r="C1059" s="22">
        <v>16.36</v>
      </c>
      <c r="D1059" s="22">
        <v>15</v>
      </c>
      <c r="E1059" s="22">
        <v>16.4</v>
      </c>
      <c r="F1059" s="22">
        <v>16.38</v>
      </c>
    </row>
    <row r="1060" spans="1:6">
      <c r="A1060" s="21" t="s">
        <v>1064</v>
      </c>
      <c r="B1060" s="22">
        <v>16.69</v>
      </c>
      <c r="C1060" s="22">
        <v>16.05</v>
      </c>
      <c r="D1060" s="22">
        <v>14.88</v>
      </c>
      <c r="E1060" s="22">
        <v>15.9</v>
      </c>
      <c r="F1060" s="22">
        <v>15.89</v>
      </c>
    </row>
    <row r="1061" spans="1:6">
      <c r="A1061" s="21" t="s">
        <v>1065</v>
      </c>
      <c r="B1061" s="22">
        <v>16.65</v>
      </c>
      <c r="C1061" s="22">
        <v>15.6</v>
      </c>
      <c r="D1061" s="22">
        <v>14.72</v>
      </c>
      <c r="E1061" s="22">
        <v>15.74</v>
      </c>
      <c r="F1061" s="22">
        <v>15.73</v>
      </c>
    </row>
    <row r="1062" spans="1:6">
      <c r="A1062" s="21" t="s">
        <v>1066</v>
      </c>
      <c r="B1062" s="22">
        <v>16.7</v>
      </c>
      <c r="C1062" s="22">
        <v>15.88</v>
      </c>
      <c r="D1062" s="22">
        <v>15.03</v>
      </c>
      <c r="E1062" s="22">
        <v>15.74</v>
      </c>
      <c r="F1062" s="22">
        <v>15.72</v>
      </c>
    </row>
    <row r="1063" spans="1:6">
      <c r="A1063" s="21" t="s">
        <v>1067</v>
      </c>
      <c r="B1063" s="22">
        <v>16.48</v>
      </c>
      <c r="C1063" s="22">
        <v>15.71</v>
      </c>
      <c r="D1063" s="22">
        <v>14.92</v>
      </c>
      <c r="E1063" s="22">
        <v>15.73</v>
      </c>
      <c r="F1063" s="22">
        <v>15.72</v>
      </c>
    </row>
    <row r="1064" spans="1:6">
      <c r="A1064" s="21" t="s">
        <v>1068</v>
      </c>
      <c r="B1064" s="22">
        <v>17.04</v>
      </c>
      <c r="C1064" s="22">
        <v>15.85</v>
      </c>
      <c r="D1064" s="22">
        <v>14.79</v>
      </c>
      <c r="E1064" s="22">
        <v>15.92</v>
      </c>
      <c r="F1064" s="22">
        <v>15.91</v>
      </c>
    </row>
    <row r="1065" spans="1:6">
      <c r="A1065" s="21" t="s">
        <v>1069</v>
      </c>
      <c r="B1065" s="22">
        <v>16.61</v>
      </c>
      <c r="C1065" s="22">
        <v>16.26</v>
      </c>
      <c r="D1065" s="22">
        <v>14.93</v>
      </c>
      <c r="E1065" s="22">
        <v>15.86</v>
      </c>
      <c r="F1065" s="22">
        <v>15.83</v>
      </c>
    </row>
    <row r="1066" spans="1:6">
      <c r="A1066" s="21" t="s">
        <v>1070</v>
      </c>
      <c r="B1066" s="22">
        <v>16.68</v>
      </c>
      <c r="C1066" s="22">
        <v>16.39</v>
      </c>
      <c r="D1066" s="22">
        <v>14.86</v>
      </c>
      <c r="E1066" s="22">
        <v>16.14</v>
      </c>
      <c r="F1066" s="22">
        <v>16.11</v>
      </c>
    </row>
    <row r="1067" spans="1:6">
      <c r="A1067" s="21" t="s">
        <v>1071</v>
      </c>
      <c r="B1067" s="22">
        <v>17.18</v>
      </c>
      <c r="C1067" s="22">
        <v>16.33</v>
      </c>
      <c r="D1067" s="22">
        <v>14.98</v>
      </c>
      <c r="E1067" s="22">
        <v>16.24</v>
      </c>
      <c r="F1067" s="22">
        <v>16.17</v>
      </c>
    </row>
    <row r="1068" spans="1:6">
      <c r="A1068" s="21" t="s">
        <v>1072</v>
      </c>
      <c r="B1068" s="22">
        <v>16.15</v>
      </c>
      <c r="C1068" s="22">
        <v>15.08</v>
      </c>
      <c r="D1068" s="22">
        <v>14.27</v>
      </c>
      <c r="E1068" s="22">
        <v>14.75</v>
      </c>
      <c r="F1068" s="22">
        <v>15.02</v>
      </c>
    </row>
    <row r="1069" spans="1:6">
      <c r="A1069" s="21" t="s">
        <v>1073</v>
      </c>
      <c r="B1069" s="22">
        <v>15.96</v>
      </c>
      <c r="C1069" s="22">
        <v>14.92</v>
      </c>
      <c r="D1069" s="22">
        <v>14.37</v>
      </c>
      <c r="E1069" s="22">
        <v>14.6</v>
      </c>
      <c r="F1069" s="22">
        <v>14.86</v>
      </c>
    </row>
    <row r="1070" spans="1:6">
      <c r="A1070" s="21" t="s">
        <v>1074</v>
      </c>
      <c r="B1070" s="22">
        <v>15.81</v>
      </c>
      <c r="C1070" s="22">
        <v>14.9</v>
      </c>
      <c r="D1070" s="22">
        <v>14.31</v>
      </c>
      <c r="E1070" s="22">
        <v>14.58</v>
      </c>
      <c r="F1070" s="22">
        <v>14.84</v>
      </c>
    </row>
    <row r="1071" spans="1:6">
      <c r="A1071" s="21" t="s">
        <v>1075</v>
      </c>
      <c r="B1071" s="22">
        <v>15.96</v>
      </c>
      <c r="C1071" s="22">
        <v>14.95</v>
      </c>
      <c r="D1071" s="22">
        <v>14.26</v>
      </c>
      <c r="E1071" s="22">
        <v>14.84</v>
      </c>
      <c r="F1071" s="22">
        <v>14.83</v>
      </c>
    </row>
    <row r="1072" spans="1:6">
      <c r="A1072" s="21" t="s">
        <v>1076</v>
      </c>
      <c r="B1072" s="22">
        <v>16.03</v>
      </c>
      <c r="C1072" s="22">
        <v>14.89</v>
      </c>
      <c r="D1072" s="22">
        <v>14.23</v>
      </c>
      <c r="E1072" s="22">
        <v>14.79</v>
      </c>
      <c r="F1072" s="22">
        <v>14.78</v>
      </c>
    </row>
    <row r="1073" spans="1:6">
      <c r="A1073" s="21" t="s">
        <v>1077</v>
      </c>
      <c r="B1073" s="22">
        <v>16.09</v>
      </c>
      <c r="C1073" s="22">
        <v>14.89</v>
      </c>
      <c r="D1073" s="22">
        <v>14.14</v>
      </c>
      <c r="E1073" s="22">
        <v>14.67</v>
      </c>
      <c r="F1073" s="22">
        <v>14.81</v>
      </c>
    </row>
    <row r="1074" spans="1:6">
      <c r="A1074" s="21" t="s">
        <v>1078</v>
      </c>
      <c r="B1074" s="22">
        <v>16.19</v>
      </c>
      <c r="C1074" s="22">
        <v>14.88</v>
      </c>
      <c r="D1074" s="22">
        <v>14.17</v>
      </c>
      <c r="E1074" s="22">
        <v>14.68</v>
      </c>
      <c r="F1074" s="22">
        <v>14.83</v>
      </c>
    </row>
    <row r="1075" spans="1:6">
      <c r="A1075" s="21" t="s">
        <v>1079</v>
      </c>
      <c r="B1075" s="22">
        <v>16.16</v>
      </c>
      <c r="C1075" s="22">
        <v>14.89</v>
      </c>
      <c r="D1075" s="22">
        <v>14.15</v>
      </c>
      <c r="E1075" s="22">
        <v>14.68</v>
      </c>
      <c r="F1075" s="22">
        <v>14.83</v>
      </c>
    </row>
    <row r="1076" spans="1:6">
      <c r="A1076" s="21" t="s">
        <v>1080</v>
      </c>
      <c r="B1076" s="22">
        <v>16.2</v>
      </c>
      <c r="C1076" s="22">
        <v>14.95</v>
      </c>
      <c r="D1076" s="22">
        <v>14.26</v>
      </c>
      <c r="E1076" s="22">
        <v>14.84</v>
      </c>
      <c r="F1076" s="22">
        <v>14.83</v>
      </c>
    </row>
    <row r="1077" spans="1:6">
      <c r="A1077" s="21" t="s">
        <v>1081</v>
      </c>
      <c r="B1077" s="22">
        <v>16.2</v>
      </c>
      <c r="C1077" s="22">
        <v>14.85</v>
      </c>
      <c r="D1077" s="22">
        <v>14.25</v>
      </c>
      <c r="E1077" s="22">
        <v>14.84</v>
      </c>
      <c r="F1077" s="22">
        <v>14.82</v>
      </c>
    </row>
    <row r="1078" spans="1:6">
      <c r="A1078" s="21" t="s">
        <v>1082</v>
      </c>
      <c r="B1078" s="22">
        <v>16.19</v>
      </c>
      <c r="C1078" s="22">
        <v>14.94</v>
      </c>
      <c r="D1078" s="22">
        <v>14.14</v>
      </c>
      <c r="E1078" s="22">
        <v>14.6</v>
      </c>
      <c r="F1078" s="22">
        <v>14.82</v>
      </c>
    </row>
    <row r="1079" spans="1:6">
      <c r="A1079" s="21" t="s">
        <v>1083</v>
      </c>
      <c r="B1079" s="22">
        <v>16.29</v>
      </c>
      <c r="C1079" s="22">
        <v>14.76</v>
      </c>
      <c r="D1079" s="22">
        <v>14.22</v>
      </c>
      <c r="E1079" s="22">
        <v>14.6</v>
      </c>
      <c r="F1079" s="22">
        <v>14.82</v>
      </c>
    </row>
    <row r="1080" spans="1:6">
      <c r="A1080" s="21" t="s">
        <v>1084</v>
      </c>
      <c r="B1080" s="22">
        <v>16.32</v>
      </c>
      <c r="C1080" s="22">
        <v>14.79</v>
      </c>
      <c r="D1080" s="22">
        <v>14.12</v>
      </c>
      <c r="E1080" s="22">
        <v>14.62</v>
      </c>
      <c r="F1080" s="22">
        <v>14.84</v>
      </c>
    </row>
    <row r="1081" spans="1:6">
      <c r="A1081" s="21" t="s">
        <v>1085</v>
      </c>
      <c r="B1081" s="22">
        <v>16.2</v>
      </c>
      <c r="C1081" s="22">
        <v>14.91</v>
      </c>
      <c r="D1081" s="22">
        <v>14.09</v>
      </c>
      <c r="E1081" s="22">
        <v>14.81</v>
      </c>
      <c r="F1081" s="22">
        <v>14.8</v>
      </c>
    </row>
    <row r="1082" spans="1:6">
      <c r="A1082" s="21" t="s">
        <v>1086</v>
      </c>
      <c r="B1082" s="22">
        <v>16.24</v>
      </c>
      <c r="C1082" s="22">
        <v>15.02</v>
      </c>
      <c r="D1082" s="22">
        <v>14.1</v>
      </c>
      <c r="E1082" s="22">
        <v>14.84</v>
      </c>
      <c r="F1082" s="22">
        <v>14.83</v>
      </c>
    </row>
    <row r="1083" spans="1:6">
      <c r="A1083" s="21" t="s">
        <v>1087</v>
      </c>
      <c r="B1083" s="22">
        <v>16.49</v>
      </c>
      <c r="C1083" s="22">
        <v>14.8</v>
      </c>
      <c r="D1083" s="22">
        <v>14.05</v>
      </c>
      <c r="E1083" s="22">
        <v>14.52</v>
      </c>
      <c r="F1083" s="22">
        <v>14.89</v>
      </c>
    </row>
    <row r="1084" spans="1:6">
      <c r="A1084" s="21" t="s">
        <v>1088</v>
      </c>
      <c r="B1084" s="22">
        <v>16.55</v>
      </c>
      <c r="C1084" s="22">
        <v>14.67</v>
      </c>
      <c r="D1084" s="22">
        <v>14.01</v>
      </c>
      <c r="E1084" s="22">
        <v>14.56</v>
      </c>
      <c r="F1084" s="22">
        <v>14.96</v>
      </c>
    </row>
    <row r="1085" spans="1:6">
      <c r="A1085" s="21" t="s">
        <v>1089</v>
      </c>
      <c r="B1085" s="22">
        <v>16.45</v>
      </c>
      <c r="C1085" s="22">
        <v>14.64</v>
      </c>
      <c r="D1085" s="22">
        <v>14.09</v>
      </c>
      <c r="E1085" s="22">
        <v>14.58</v>
      </c>
      <c r="F1085" s="22">
        <v>14.96</v>
      </c>
    </row>
    <row r="1086" spans="1:6">
      <c r="A1086" s="21" t="s">
        <v>1090</v>
      </c>
      <c r="B1086" s="22">
        <v>15.66</v>
      </c>
      <c r="C1086" s="22">
        <v>15.12</v>
      </c>
      <c r="D1086" s="22">
        <v>14.17</v>
      </c>
      <c r="E1086" s="22">
        <v>14.86</v>
      </c>
      <c r="F1086" s="22">
        <v>14.85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1"/>
  <sheetViews>
    <sheetView workbookViewId="0">
      <selection activeCell="A2" sqref="A2"/>
    </sheetView>
  </sheetViews>
  <sheetFormatPr defaultColWidth="9.625" defaultRowHeight="17.6" outlineLevelCol="5"/>
  <cols>
    <col min="1" max="1" width="11.375" style="13" customWidth="1"/>
    <col min="2" max="16384" width="9.625" style="13"/>
  </cols>
  <sheetData>
    <row r="1" spans="1:6">
      <c r="A1" s="13" t="s">
        <v>1</v>
      </c>
      <c r="B1" s="13" t="s">
        <v>1091</v>
      </c>
      <c r="C1" s="13" t="s">
        <v>1092</v>
      </c>
      <c r="D1" s="13" t="s">
        <v>1093</v>
      </c>
      <c r="E1" s="13" t="s">
        <v>1094</v>
      </c>
      <c r="F1" s="13" t="s">
        <v>1095</v>
      </c>
    </row>
    <row r="2" spans="1:6">
      <c r="A2" s="14">
        <v>45523</v>
      </c>
      <c r="B2" s="13">
        <v>13.379</v>
      </c>
      <c r="C2" s="13">
        <v>13.379</v>
      </c>
      <c r="D2" s="13">
        <v>13.379</v>
      </c>
      <c r="E2" s="13">
        <v>13.379</v>
      </c>
      <c r="F2" s="15">
        <v>0</v>
      </c>
    </row>
    <row r="3" spans="1:6">
      <c r="A3" s="14">
        <v>45520</v>
      </c>
      <c r="B3" s="13">
        <v>13.379</v>
      </c>
      <c r="C3" s="13">
        <v>13.379</v>
      </c>
      <c r="D3" s="13">
        <v>13.379</v>
      </c>
      <c r="E3" s="13">
        <v>13.379</v>
      </c>
      <c r="F3" s="15">
        <v>0</v>
      </c>
    </row>
    <row r="4" spans="1:6">
      <c r="A4" s="14">
        <v>45519</v>
      </c>
      <c r="B4" s="13">
        <v>13.379</v>
      </c>
      <c r="C4" s="13">
        <v>13.379</v>
      </c>
      <c r="D4" s="13">
        <v>13.379</v>
      </c>
      <c r="E4" s="13">
        <v>13.379</v>
      </c>
      <c r="F4" s="15">
        <v>0</v>
      </c>
    </row>
    <row r="5" spans="1:6">
      <c r="A5" s="14">
        <v>45518</v>
      </c>
      <c r="B5" s="13">
        <v>13.379</v>
      </c>
      <c r="C5" s="13">
        <v>13.379</v>
      </c>
      <c r="D5" s="13">
        <v>13.379</v>
      </c>
      <c r="E5" s="13">
        <v>13.379</v>
      </c>
      <c r="F5" s="15">
        <v>-0.0037</v>
      </c>
    </row>
    <row r="6" spans="1:6">
      <c r="A6" s="14">
        <v>45517</v>
      </c>
      <c r="B6" s="13">
        <v>13.429</v>
      </c>
      <c r="C6" s="13">
        <v>13.429</v>
      </c>
      <c r="D6" s="13">
        <v>13.429</v>
      </c>
      <c r="E6" s="13">
        <v>13.429</v>
      </c>
      <c r="F6" s="15">
        <v>0</v>
      </c>
    </row>
    <row r="7" spans="1:6">
      <c r="A7" s="14">
        <v>45516</v>
      </c>
      <c r="B7" s="13">
        <v>13.429</v>
      </c>
      <c r="C7" s="13">
        <v>13.429</v>
      </c>
      <c r="D7" s="13">
        <v>13.429</v>
      </c>
      <c r="E7" s="13">
        <v>13.429</v>
      </c>
      <c r="F7" s="15">
        <v>0</v>
      </c>
    </row>
    <row r="8" spans="1:6">
      <c r="A8" s="14">
        <v>45513</v>
      </c>
      <c r="B8" s="13">
        <v>13.429</v>
      </c>
      <c r="C8" s="13">
        <v>13.429</v>
      </c>
      <c r="D8" s="13">
        <v>13.429</v>
      </c>
      <c r="E8" s="13">
        <v>13.429</v>
      </c>
      <c r="F8" s="15">
        <v>0</v>
      </c>
    </row>
    <row r="9" spans="1:6">
      <c r="A9" s="14">
        <v>45512</v>
      </c>
      <c r="B9" s="13">
        <v>13.429</v>
      </c>
      <c r="C9" s="13">
        <v>13.429</v>
      </c>
      <c r="D9" s="13">
        <v>13.429</v>
      </c>
      <c r="E9" s="13">
        <v>13.429</v>
      </c>
      <c r="F9" s="15">
        <v>0</v>
      </c>
    </row>
    <row r="10" spans="1:6">
      <c r="A10" s="14">
        <v>45511</v>
      </c>
      <c r="B10" s="13">
        <v>13.429</v>
      </c>
      <c r="C10" s="13">
        <v>13.429</v>
      </c>
      <c r="D10" s="13">
        <v>13.429</v>
      </c>
      <c r="E10" s="13">
        <v>13.429</v>
      </c>
      <c r="F10" s="15">
        <v>-0.0037</v>
      </c>
    </row>
    <row r="11" spans="1:6">
      <c r="A11" s="14">
        <v>45510</v>
      </c>
      <c r="B11" s="13">
        <v>13.479</v>
      </c>
      <c r="C11" s="13">
        <v>13.479</v>
      </c>
      <c r="D11" s="13">
        <v>13.479</v>
      </c>
      <c r="E11" s="13">
        <v>13.479</v>
      </c>
      <c r="F11" s="15">
        <v>0.0566</v>
      </c>
    </row>
    <row r="12" spans="1:6">
      <c r="A12" s="14">
        <v>45317</v>
      </c>
      <c r="B12" s="13">
        <v>12.757</v>
      </c>
      <c r="C12" s="13">
        <v>12.75</v>
      </c>
      <c r="D12" s="13">
        <v>12.757</v>
      </c>
      <c r="E12" s="13">
        <v>12.75</v>
      </c>
      <c r="F12" s="15">
        <v>0.0004</v>
      </c>
    </row>
    <row r="13" spans="1:6">
      <c r="A13" s="14">
        <v>45316</v>
      </c>
      <c r="B13" s="13">
        <v>12.752</v>
      </c>
      <c r="C13" s="13">
        <v>12.75</v>
      </c>
      <c r="D13" s="13">
        <v>12.752</v>
      </c>
      <c r="E13" s="13">
        <v>12.75</v>
      </c>
      <c r="F13" s="15">
        <v>0</v>
      </c>
    </row>
    <row r="14" spans="1:6">
      <c r="A14" s="14">
        <v>45315</v>
      </c>
      <c r="B14" s="13">
        <v>12.752</v>
      </c>
      <c r="C14" s="13">
        <v>12.75</v>
      </c>
      <c r="D14" s="13">
        <v>12.752</v>
      </c>
      <c r="E14" s="13">
        <v>12.75</v>
      </c>
      <c r="F14" s="15">
        <v>0</v>
      </c>
    </row>
    <row r="15" spans="1:6">
      <c r="A15" s="14">
        <v>45314</v>
      </c>
      <c r="B15" s="13">
        <v>12.752</v>
      </c>
      <c r="C15" s="13">
        <v>12.75</v>
      </c>
      <c r="D15" s="13">
        <v>12.752</v>
      </c>
      <c r="E15" s="13">
        <v>12.75</v>
      </c>
      <c r="F15" s="15">
        <v>0</v>
      </c>
    </row>
    <row r="16" spans="1:6">
      <c r="A16" s="14">
        <v>45313</v>
      </c>
      <c r="B16" s="13">
        <v>12.752</v>
      </c>
      <c r="C16" s="13">
        <v>12.75</v>
      </c>
      <c r="D16" s="13">
        <v>12.752</v>
      </c>
      <c r="E16" s="13">
        <v>12.75</v>
      </c>
      <c r="F16" s="15">
        <v>-0.0004</v>
      </c>
    </row>
    <row r="17" spans="1:6">
      <c r="A17" s="14">
        <v>45310</v>
      </c>
      <c r="B17" s="13">
        <v>12.757</v>
      </c>
      <c r="C17" s="13">
        <v>12.75</v>
      </c>
      <c r="D17" s="13">
        <v>12.757</v>
      </c>
      <c r="E17" s="13">
        <v>12.75</v>
      </c>
      <c r="F17" s="15">
        <v>0.0004</v>
      </c>
    </row>
    <row r="18" spans="1:6">
      <c r="A18" s="14">
        <v>45309</v>
      </c>
      <c r="B18" s="13">
        <v>12.752</v>
      </c>
      <c r="C18" s="13">
        <v>12.75</v>
      </c>
      <c r="D18" s="13">
        <v>12.752</v>
      </c>
      <c r="E18" s="13">
        <v>12.75</v>
      </c>
      <c r="F18" s="15">
        <v>0</v>
      </c>
    </row>
    <row r="19" spans="1:6">
      <c r="A19" s="14">
        <v>45308</v>
      </c>
      <c r="B19" s="13">
        <v>12.752</v>
      </c>
      <c r="C19" s="13">
        <v>12.75</v>
      </c>
      <c r="D19" s="13">
        <v>12.752</v>
      </c>
      <c r="E19" s="13">
        <v>12.75</v>
      </c>
      <c r="F19" s="15">
        <v>0</v>
      </c>
    </row>
    <row r="20" spans="1:6">
      <c r="A20" s="14">
        <v>45307</v>
      </c>
      <c r="B20" s="13">
        <v>12.752</v>
      </c>
      <c r="C20" s="13">
        <v>12.75</v>
      </c>
      <c r="D20" s="13">
        <v>12.752</v>
      </c>
      <c r="E20" s="13">
        <v>12.75</v>
      </c>
      <c r="F20" s="15">
        <v>0</v>
      </c>
    </row>
    <row r="21" spans="1:6">
      <c r="A21" s="14">
        <v>45306</v>
      </c>
      <c r="B21" s="13">
        <v>12.752</v>
      </c>
      <c r="C21" s="13">
        <v>12.75</v>
      </c>
      <c r="D21" s="13">
        <v>12.752</v>
      </c>
      <c r="E21" s="13">
        <v>12.75</v>
      </c>
      <c r="F21" s="15">
        <v>-0.0004</v>
      </c>
    </row>
    <row r="22" spans="1:6">
      <c r="A22" s="14">
        <v>45303</v>
      </c>
      <c r="B22" s="13">
        <v>12.757</v>
      </c>
      <c r="C22" s="13">
        <v>12.75</v>
      </c>
      <c r="D22" s="13">
        <v>12.757</v>
      </c>
      <c r="E22" s="13">
        <v>12.75</v>
      </c>
      <c r="F22" s="15">
        <v>0.0004</v>
      </c>
    </row>
    <row r="23" spans="1:6">
      <c r="A23" s="14">
        <v>45302</v>
      </c>
      <c r="B23" s="13">
        <v>12.752</v>
      </c>
      <c r="C23" s="13">
        <v>13.55</v>
      </c>
      <c r="D23" s="13">
        <v>13.55</v>
      </c>
      <c r="E23" s="13">
        <v>12.75</v>
      </c>
      <c r="F23" s="15">
        <v>-0.059</v>
      </c>
    </row>
    <row r="24" spans="1:6">
      <c r="A24" s="14">
        <v>45301</v>
      </c>
      <c r="B24" s="13">
        <v>13.552</v>
      </c>
      <c r="C24" s="13">
        <v>13.55</v>
      </c>
      <c r="D24" s="13">
        <v>13.552</v>
      </c>
      <c r="E24" s="13">
        <v>13.55</v>
      </c>
      <c r="F24" s="15">
        <v>0</v>
      </c>
    </row>
    <row r="25" spans="1:6">
      <c r="A25" s="14">
        <v>45300</v>
      </c>
      <c r="B25" s="13">
        <v>13.552</v>
      </c>
      <c r="C25" s="13">
        <v>13.55</v>
      </c>
      <c r="D25" s="13">
        <v>13.552</v>
      </c>
      <c r="E25" s="13">
        <v>13.55</v>
      </c>
      <c r="F25" s="15">
        <v>0</v>
      </c>
    </row>
    <row r="26" spans="1:6">
      <c r="A26" s="14">
        <v>45299</v>
      </c>
      <c r="B26" s="13">
        <v>13.552</v>
      </c>
      <c r="C26" s="13">
        <v>13.55</v>
      </c>
      <c r="D26" s="13">
        <v>13.552</v>
      </c>
      <c r="E26" s="13">
        <v>13.55</v>
      </c>
      <c r="F26" s="15">
        <v>-0.0004</v>
      </c>
    </row>
    <row r="27" spans="1:6">
      <c r="A27" s="14">
        <v>45296</v>
      </c>
      <c r="B27" s="13">
        <v>13.557</v>
      </c>
      <c r="C27" s="13">
        <v>13.55</v>
      </c>
      <c r="D27" s="13">
        <v>13.557</v>
      </c>
      <c r="E27" s="13">
        <v>13.55</v>
      </c>
      <c r="F27" s="15">
        <v>0.0004</v>
      </c>
    </row>
    <row r="28" spans="1:6">
      <c r="A28" s="14">
        <v>45295</v>
      </c>
      <c r="B28" s="13">
        <v>13.552</v>
      </c>
      <c r="C28" s="13">
        <v>13.62</v>
      </c>
      <c r="D28" s="13">
        <v>13.62</v>
      </c>
      <c r="E28" s="13">
        <v>13.55</v>
      </c>
      <c r="F28" s="15">
        <v>0</v>
      </c>
    </row>
    <row r="29" spans="1:6">
      <c r="A29" s="14">
        <v>45294</v>
      </c>
      <c r="B29" s="13">
        <v>13.552</v>
      </c>
      <c r="C29" s="13">
        <v>14.04</v>
      </c>
      <c r="D29" s="13">
        <v>14.04</v>
      </c>
      <c r="E29" s="13">
        <v>13.55</v>
      </c>
      <c r="F29" s="15">
        <v>-0.0169</v>
      </c>
    </row>
    <row r="30" spans="1:6">
      <c r="A30" s="14">
        <v>45293</v>
      </c>
      <c r="B30" s="13">
        <v>13.785</v>
      </c>
      <c r="C30" s="13">
        <v>13.783</v>
      </c>
      <c r="D30" s="13">
        <v>13.785</v>
      </c>
      <c r="E30" s="13">
        <v>13.783</v>
      </c>
      <c r="F30" s="15">
        <v>0.0002</v>
      </c>
    </row>
    <row r="31" spans="1:6">
      <c r="A31" s="14">
        <v>45292</v>
      </c>
      <c r="B31" s="13">
        <v>13.783</v>
      </c>
      <c r="C31" s="13">
        <v>13.783</v>
      </c>
      <c r="D31" s="13">
        <v>13.783</v>
      </c>
      <c r="E31" s="13">
        <v>13.783</v>
      </c>
      <c r="F31" s="15">
        <v>-0.0006</v>
      </c>
    </row>
    <row r="32" spans="1:6">
      <c r="A32" s="14">
        <v>45289</v>
      </c>
      <c r="B32" s="13">
        <v>13.791</v>
      </c>
      <c r="C32" s="13">
        <v>14.035</v>
      </c>
      <c r="D32" s="13">
        <v>14.035</v>
      </c>
      <c r="E32" s="13">
        <v>13.783</v>
      </c>
      <c r="F32" s="15">
        <v>0.0004</v>
      </c>
    </row>
    <row r="33" spans="1:6">
      <c r="A33" s="14">
        <v>45288</v>
      </c>
      <c r="B33" s="13">
        <v>13.785</v>
      </c>
      <c r="C33" s="13">
        <v>13.783</v>
      </c>
      <c r="D33" s="13">
        <v>14.034</v>
      </c>
      <c r="E33" s="13">
        <v>13.783</v>
      </c>
      <c r="F33" s="15">
        <v>0</v>
      </c>
    </row>
    <row r="34" spans="1:6">
      <c r="A34" s="14">
        <v>45287</v>
      </c>
      <c r="B34" s="13">
        <v>13.785</v>
      </c>
      <c r="C34" s="13">
        <v>14.04</v>
      </c>
      <c r="D34" s="13">
        <v>14.04</v>
      </c>
      <c r="E34" s="13">
        <v>13.785</v>
      </c>
      <c r="F34" s="15">
        <v>0</v>
      </c>
    </row>
    <row r="35" spans="1:6">
      <c r="A35" s="14">
        <v>45286</v>
      </c>
      <c r="B35" s="13">
        <v>13.785</v>
      </c>
      <c r="C35" s="13">
        <v>14.04</v>
      </c>
      <c r="D35" s="13">
        <v>14.04</v>
      </c>
      <c r="E35" s="13">
        <v>13.783</v>
      </c>
      <c r="F35" s="15">
        <v>0</v>
      </c>
    </row>
    <row r="36" spans="1:6">
      <c r="A36" s="14">
        <v>45285</v>
      </c>
      <c r="B36" s="13">
        <v>13.785</v>
      </c>
      <c r="C36" s="13">
        <v>13.783</v>
      </c>
      <c r="D36" s="13">
        <v>13.785</v>
      </c>
      <c r="E36" s="13">
        <v>13.783</v>
      </c>
      <c r="F36" s="15">
        <v>-0.0004</v>
      </c>
    </row>
    <row r="37" spans="1:6">
      <c r="A37" s="14">
        <v>45282</v>
      </c>
      <c r="B37" s="13">
        <v>13.791</v>
      </c>
      <c r="C37" s="13">
        <v>13.783</v>
      </c>
      <c r="D37" s="13">
        <v>13.791</v>
      </c>
      <c r="E37" s="13">
        <v>13.783</v>
      </c>
      <c r="F37" s="15">
        <v>0.0004</v>
      </c>
    </row>
    <row r="38" spans="1:6">
      <c r="A38" s="14">
        <v>45281</v>
      </c>
      <c r="B38" s="13">
        <v>13.785</v>
      </c>
      <c r="C38" s="13">
        <v>13.783</v>
      </c>
      <c r="D38" s="13">
        <v>13.785</v>
      </c>
      <c r="E38" s="13">
        <v>13.783</v>
      </c>
      <c r="F38" s="15">
        <v>0</v>
      </c>
    </row>
    <row r="39" spans="1:6">
      <c r="A39" s="14">
        <v>45280</v>
      </c>
      <c r="B39" s="13">
        <v>13.785</v>
      </c>
      <c r="C39" s="13">
        <v>13.783</v>
      </c>
      <c r="D39" s="13">
        <v>13.785</v>
      </c>
      <c r="E39" s="13">
        <v>13.783</v>
      </c>
      <c r="F39" s="15">
        <v>0.0002</v>
      </c>
    </row>
    <row r="40" spans="1:6">
      <c r="A40" s="14">
        <v>45279</v>
      </c>
      <c r="B40" s="13">
        <v>13.783</v>
      </c>
      <c r="C40" s="13">
        <v>13.65</v>
      </c>
      <c r="D40" s="13">
        <v>13.783</v>
      </c>
      <c r="E40" s="13">
        <v>13.65</v>
      </c>
      <c r="F40" s="15">
        <v>0.0097</v>
      </c>
    </row>
    <row r="41" spans="1:6">
      <c r="A41" s="14">
        <v>45278</v>
      </c>
      <c r="B41" s="13">
        <v>13.65</v>
      </c>
      <c r="C41" s="13">
        <v>13.644</v>
      </c>
      <c r="D41" s="13">
        <v>13.65</v>
      </c>
      <c r="E41" s="13">
        <v>13.644</v>
      </c>
      <c r="F41" s="15">
        <v>-0.0009</v>
      </c>
    </row>
    <row r="42" spans="1:6">
      <c r="A42" s="14">
        <v>45275</v>
      </c>
      <c r="B42" s="13">
        <v>13.663</v>
      </c>
      <c r="C42" s="13">
        <v>13.649</v>
      </c>
      <c r="D42" s="13">
        <v>13.663</v>
      </c>
      <c r="E42" s="13">
        <v>13.649</v>
      </c>
      <c r="F42" s="15">
        <v>0.0008</v>
      </c>
    </row>
    <row r="43" spans="1:6">
      <c r="A43" s="14">
        <v>45274</v>
      </c>
      <c r="B43" s="13">
        <v>13.652</v>
      </c>
      <c r="C43" s="13">
        <v>13.649</v>
      </c>
      <c r="D43" s="13">
        <v>13.652</v>
      </c>
      <c r="E43" s="13">
        <v>13.649</v>
      </c>
      <c r="F43" s="15">
        <v>0</v>
      </c>
    </row>
    <row r="44" spans="1:6">
      <c r="A44" s="14">
        <v>45273</v>
      </c>
      <c r="B44" s="13">
        <v>13.652</v>
      </c>
      <c r="C44" s="13">
        <v>13.649</v>
      </c>
      <c r="D44" s="13">
        <v>13.652</v>
      </c>
      <c r="E44" s="13">
        <v>13.649</v>
      </c>
      <c r="F44" s="15">
        <v>0</v>
      </c>
    </row>
    <row r="45" spans="1:6">
      <c r="A45" s="14">
        <v>45272</v>
      </c>
      <c r="B45" s="13">
        <v>13.652</v>
      </c>
      <c r="C45" s="13">
        <v>13.649</v>
      </c>
      <c r="D45" s="13">
        <v>13.652</v>
      </c>
      <c r="E45" s="13">
        <v>13.649</v>
      </c>
      <c r="F45" s="15">
        <v>0</v>
      </c>
    </row>
    <row r="46" spans="1:6">
      <c r="A46" s="14">
        <v>45271</v>
      </c>
      <c r="B46" s="13">
        <v>13.652</v>
      </c>
      <c r="C46" s="13">
        <v>13.649</v>
      </c>
      <c r="D46" s="13">
        <v>13.652</v>
      </c>
      <c r="E46" s="13">
        <v>13.649</v>
      </c>
      <c r="F46" s="15">
        <v>-0.0005</v>
      </c>
    </row>
    <row r="47" spans="1:6">
      <c r="A47" s="14">
        <v>45268</v>
      </c>
      <c r="B47" s="13">
        <v>13.659</v>
      </c>
      <c r="C47" s="13">
        <v>13.637</v>
      </c>
      <c r="D47" s="13">
        <v>13.659</v>
      </c>
      <c r="E47" s="13">
        <v>13.637</v>
      </c>
      <c r="F47" s="15">
        <v>0.0013</v>
      </c>
    </row>
    <row r="48" spans="1:6">
      <c r="A48" s="14">
        <v>45267</v>
      </c>
      <c r="B48" s="13">
        <v>13.641</v>
      </c>
      <c r="C48" s="13">
        <v>13.649</v>
      </c>
      <c r="D48" s="13">
        <v>13.649</v>
      </c>
      <c r="E48" s="13">
        <v>13.641</v>
      </c>
      <c r="F48" s="15">
        <v>-0.0009</v>
      </c>
    </row>
    <row r="49" spans="1:6">
      <c r="A49" s="14">
        <v>45266</v>
      </c>
      <c r="B49" s="13">
        <v>13.653</v>
      </c>
      <c r="C49" s="13">
        <v>13.649</v>
      </c>
      <c r="D49" s="13">
        <v>13.653</v>
      </c>
      <c r="E49" s="13">
        <v>13.649</v>
      </c>
      <c r="F49" s="15">
        <v>0</v>
      </c>
    </row>
    <row r="50" spans="1:6">
      <c r="A50" s="14">
        <v>45265</v>
      </c>
      <c r="B50" s="13">
        <v>13.653</v>
      </c>
      <c r="C50" s="13">
        <v>13.649</v>
      </c>
      <c r="D50" s="13">
        <v>13.653</v>
      </c>
      <c r="E50" s="13">
        <v>13.649</v>
      </c>
      <c r="F50" s="15">
        <v>0</v>
      </c>
    </row>
    <row r="51" spans="1:6">
      <c r="A51" s="14">
        <v>45264</v>
      </c>
      <c r="B51" s="13">
        <v>13.653</v>
      </c>
      <c r="C51" s="13">
        <v>13.65</v>
      </c>
      <c r="D51" s="13">
        <v>13.653</v>
      </c>
      <c r="E51" s="13">
        <v>13.65</v>
      </c>
      <c r="F51" s="15">
        <v>-0.0005</v>
      </c>
    </row>
    <row r="52" spans="1:6">
      <c r="A52" s="14">
        <v>45261</v>
      </c>
      <c r="B52" s="13">
        <v>13.66</v>
      </c>
      <c r="C52" s="13">
        <v>13.716</v>
      </c>
      <c r="D52" s="13">
        <v>13.716</v>
      </c>
      <c r="E52" s="13">
        <v>13.65</v>
      </c>
      <c r="F52" s="15">
        <v>-0.0044</v>
      </c>
    </row>
    <row r="53" spans="1:6">
      <c r="A53" s="14">
        <v>45260</v>
      </c>
      <c r="B53" s="13">
        <v>13.72</v>
      </c>
      <c r="C53" s="13">
        <v>13.716</v>
      </c>
      <c r="D53" s="13">
        <v>13.72</v>
      </c>
      <c r="E53" s="13">
        <v>13.716</v>
      </c>
      <c r="F53" s="15">
        <v>0</v>
      </c>
    </row>
    <row r="54" spans="1:6">
      <c r="A54" s="14">
        <v>45259</v>
      </c>
      <c r="B54" s="13">
        <v>13.72</v>
      </c>
      <c r="C54" s="13">
        <v>13.716</v>
      </c>
      <c r="D54" s="13">
        <v>13.72</v>
      </c>
      <c r="E54" s="13">
        <v>13.716</v>
      </c>
      <c r="F54" s="15">
        <v>0</v>
      </c>
    </row>
    <row r="55" spans="1:6">
      <c r="A55" s="14">
        <v>45258</v>
      </c>
      <c r="B55" s="13">
        <v>13.72</v>
      </c>
      <c r="C55" s="13">
        <v>13.716</v>
      </c>
      <c r="D55" s="13">
        <v>13.72</v>
      </c>
      <c r="E55" s="13">
        <v>13.716</v>
      </c>
      <c r="F55" s="15">
        <v>0</v>
      </c>
    </row>
    <row r="56" spans="1:6">
      <c r="A56" s="14">
        <v>45257</v>
      </c>
      <c r="B56" s="13">
        <v>13.719</v>
      </c>
      <c r="C56" s="13">
        <v>13.792</v>
      </c>
      <c r="D56" s="13">
        <v>13.792</v>
      </c>
      <c r="E56" s="13">
        <v>13.716</v>
      </c>
      <c r="F56" s="15">
        <v>-0.006</v>
      </c>
    </row>
    <row r="57" spans="1:6">
      <c r="A57" s="14">
        <v>45254</v>
      </c>
      <c r="B57" s="13">
        <v>13.802</v>
      </c>
      <c r="C57" s="13">
        <v>13.792</v>
      </c>
      <c r="D57" s="13">
        <v>13.802</v>
      </c>
      <c r="E57" s="13">
        <v>13.792</v>
      </c>
      <c r="F57" s="15">
        <v>0.0005</v>
      </c>
    </row>
    <row r="58" spans="1:6">
      <c r="A58" s="14">
        <v>45253</v>
      </c>
      <c r="B58" s="13">
        <v>13.796</v>
      </c>
      <c r="C58" s="13">
        <v>13.792</v>
      </c>
      <c r="D58" s="13">
        <v>13.796</v>
      </c>
      <c r="E58" s="13">
        <v>13.792</v>
      </c>
      <c r="F58" s="15">
        <v>0</v>
      </c>
    </row>
    <row r="59" spans="1:6">
      <c r="A59" s="14">
        <v>45252</v>
      </c>
      <c r="B59" s="13">
        <v>13.796</v>
      </c>
      <c r="C59" s="13">
        <v>13.792</v>
      </c>
      <c r="D59" s="13">
        <v>13.796</v>
      </c>
      <c r="E59" s="13">
        <v>13.792</v>
      </c>
      <c r="F59" s="15">
        <v>0</v>
      </c>
    </row>
    <row r="60" spans="1:6">
      <c r="A60" s="14">
        <v>45251</v>
      </c>
      <c r="B60" s="13">
        <v>13.796</v>
      </c>
      <c r="C60" s="13">
        <v>13.492</v>
      </c>
      <c r="D60" s="13">
        <v>13.796</v>
      </c>
      <c r="E60" s="13">
        <v>13.492</v>
      </c>
      <c r="F60" s="15">
        <v>0.0223</v>
      </c>
    </row>
    <row r="61" spans="1:6">
      <c r="A61" s="14">
        <v>45250</v>
      </c>
      <c r="B61" s="13">
        <v>13.495</v>
      </c>
      <c r="C61" s="13">
        <v>13.309</v>
      </c>
      <c r="D61" s="13">
        <v>13.495</v>
      </c>
      <c r="E61" s="13">
        <v>13.309</v>
      </c>
      <c r="F61" s="15">
        <v>0.0133</v>
      </c>
    </row>
    <row r="62" spans="1:6">
      <c r="A62" s="14">
        <v>45247</v>
      </c>
      <c r="B62" s="13">
        <v>13.318</v>
      </c>
      <c r="C62" s="13">
        <v>13.309</v>
      </c>
      <c r="D62" s="13">
        <v>13.318</v>
      </c>
      <c r="E62" s="13">
        <v>13.309</v>
      </c>
      <c r="F62" s="15">
        <v>0.0005</v>
      </c>
    </row>
    <row r="63" spans="1:6">
      <c r="A63" s="14">
        <v>45246</v>
      </c>
      <c r="B63" s="13">
        <v>13.312</v>
      </c>
      <c r="C63" s="13">
        <v>13.309</v>
      </c>
      <c r="D63" s="13">
        <v>13.312</v>
      </c>
      <c r="E63" s="13">
        <v>13.309</v>
      </c>
      <c r="F63" s="15">
        <v>0</v>
      </c>
    </row>
    <row r="64" spans="1:6">
      <c r="A64" s="14">
        <v>45245</v>
      </c>
      <c r="B64" s="13">
        <v>13.312</v>
      </c>
      <c r="C64" s="13">
        <v>13.309</v>
      </c>
      <c r="D64" s="13">
        <v>13.651</v>
      </c>
      <c r="E64" s="13">
        <v>13.309</v>
      </c>
      <c r="F64" s="15">
        <v>0</v>
      </c>
    </row>
    <row r="65" spans="1:6">
      <c r="A65" s="14">
        <v>45244</v>
      </c>
      <c r="B65" s="13">
        <v>13.312</v>
      </c>
      <c r="C65" s="13">
        <v>13.653</v>
      </c>
      <c r="D65" s="13">
        <v>13.653</v>
      </c>
      <c r="E65" s="13">
        <v>13.312</v>
      </c>
      <c r="F65" s="15">
        <v>0</v>
      </c>
    </row>
    <row r="66" spans="1:6">
      <c r="A66" s="14">
        <v>45243</v>
      </c>
      <c r="B66" s="13">
        <v>13.312</v>
      </c>
      <c r="C66" s="13">
        <v>13.334</v>
      </c>
      <c r="D66" s="13">
        <v>13.663</v>
      </c>
      <c r="E66" s="13">
        <v>13.309</v>
      </c>
      <c r="F66" s="15">
        <v>-0.0024</v>
      </c>
    </row>
    <row r="67" spans="1:6">
      <c r="A67" s="14">
        <v>45240</v>
      </c>
      <c r="B67" s="13">
        <v>13.344</v>
      </c>
      <c r="C67" s="13">
        <v>13.334</v>
      </c>
      <c r="D67" s="13">
        <v>13.559</v>
      </c>
      <c r="E67" s="13">
        <v>13.334</v>
      </c>
      <c r="F67" s="15">
        <v>0.0005</v>
      </c>
    </row>
    <row r="68" spans="1:6">
      <c r="A68" s="14">
        <v>45239</v>
      </c>
      <c r="B68" s="13">
        <v>13.337</v>
      </c>
      <c r="C68" s="13">
        <v>13.334</v>
      </c>
      <c r="D68" s="13">
        <v>13.337</v>
      </c>
      <c r="E68" s="13">
        <v>13.334</v>
      </c>
      <c r="F68" s="15">
        <v>0</v>
      </c>
    </row>
    <row r="69" spans="1:6">
      <c r="A69" s="14">
        <v>45238</v>
      </c>
      <c r="B69" s="13">
        <v>13.337</v>
      </c>
      <c r="C69" s="13">
        <v>13.334</v>
      </c>
      <c r="D69" s="13">
        <v>13.337</v>
      </c>
      <c r="E69" s="13">
        <v>13.334</v>
      </c>
      <c r="F69" s="15">
        <v>0</v>
      </c>
    </row>
    <row r="70" spans="1:6">
      <c r="A70" s="14">
        <v>45237</v>
      </c>
      <c r="B70" s="13">
        <v>13.337</v>
      </c>
      <c r="C70" s="13">
        <v>13.334</v>
      </c>
      <c r="D70" s="13">
        <v>13.337</v>
      </c>
      <c r="E70" s="13">
        <v>13.334</v>
      </c>
      <c r="F70" s="15">
        <v>0</v>
      </c>
    </row>
    <row r="71" spans="1:6">
      <c r="A71" s="14">
        <v>45236</v>
      </c>
      <c r="B71" s="13">
        <v>13.337</v>
      </c>
      <c r="C71" s="13">
        <v>13.401</v>
      </c>
      <c r="D71" s="13">
        <v>13.401</v>
      </c>
      <c r="E71" s="13">
        <v>13.334</v>
      </c>
      <c r="F71" s="15">
        <v>-0.0054</v>
      </c>
    </row>
    <row r="72" spans="1:6">
      <c r="A72" s="14">
        <v>45233</v>
      </c>
      <c r="B72" s="13">
        <v>13.41</v>
      </c>
      <c r="C72" s="13">
        <v>13.694</v>
      </c>
      <c r="D72" s="13">
        <v>13.694</v>
      </c>
      <c r="E72" s="13">
        <v>13.41</v>
      </c>
      <c r="F72" s="15">
        <v>0.0005</v>
      </c>
    </row>
    <row r="73" spans="1:6">
      <c r="A73" s="14">
        <v>45232</v>
      </c>
      <c r="B73" s="13">
        <v>13.403</v>
      </c>
      <c r="C73" s="13">
        <v>13.401</v>
      </c>
      <c r="D73" s="13">
        <v>13.403</v>
      </c>
      <c r="E73" s="13">
        <v>13.401</v>
      </c>
      <c r="F73" s="15">
        <v>0</v>
      </c>
    </row>
    <row r="74" spans="1:6">
      <c r="A74" s="14">
        <v>45231</v>
      </c>
      <c r="B74" s="13">
        <v>13.403</v>
      </c>
      <c r="C74" s="13">
        <v>13.451</v>
      </c>
      <c r="D74" s="13">
        <v>13.697</v>
      </c>
      <c r="E74" s="13">
        <v>13.401</v>
      </c>
      <c r="F74" s="15">
        <v>-0.0005</v>
      </c>
    </row>
    <row r="75" spans="1:6">
      <c r="A75" s="14">
        <v>45230</v>
      </c>
      <c r="B75" s="13">
        <v>13.41</v>
      </c>
      <c r="C75" s="13">
        <v>13.44</v>
      </c>
      <c r="D75" s="13">
        <v>13.44</v>
      </c>
      <c r="E75" s="13">
        <v>13.401</v>
      </c>
      <c r="F75" s="15">
        <v>0.0012</v>
      </c>
    </row>
    <row r="76" spans="1:6">
      <c r="A76" s="14">
        <v>45229</v>
      </c>
      <c r="B76" s="13">
        <v>13.394</v>
      </c>
      <c r="C76" s="13">
        <v>13.453</v>
      </c>
      <c r="D76" s="13">
        <v>13.453</v>
      </c>
      <c r="E76" s="13">
        <v>13.394</v>
      </c>
      <c r="F76" s="15">
        <v>-0.0012</v>
      </c>
    </row>
    <row r="77" spans="1:6">
      <c r="A77" s="14">
        <v>45226</v>
      </c>
      <c r="B77" s="13">
        <v>13.41</v>
      </c>
      <c r="C77" s="13">
        <v>13.447</v>
      </c>
      <c r="D77" s="13">
        <v>13.447</v>
      </c>
      <c r="E77" s="13">
        <v>13.401</v>
      </c>
      <c r="F77" s="15">
        <v>0.0005</v>
      </c>
    </row>
    <row r="78" spans="1:6">
      <c r="A78" s="14">
        <v>45225</v>
      </c>
      <c r="B78" s="13">
        <v>13.403</v>
      </c>
      <c r="C78" s="13">
        <v>13.443</v>
      </c>
      <c r="D78" s="13">
        <v>13.443</v>
      </c>
      <c r="E78" s="13">
        <v>13.401</v>
      </c>
      <c r="F78" s="15">
        <v>0.0002</v>
      </c>
    </row>
    <row r="79" spans="1:6">
      <c r="A79" s="14">
        <v>45224</v>
      </c>
      <c r="B79" s="13">
        <v>13.401</v>
      </c>
      <c r="C79" s="13">
        <v>13.401</v>
      </c>
      <c r="D79" s="13">
        <v>13.401</v>
      </c>
      <c r="E79" s="13">
        <v>13.401</v>
      </c>
      <c r="F79" s="15">
        <v>-0.0004</v>
      </c>
    </row>
    <row r="80" spans="1:6">
      <c r="A80" s="14">
        <v>45223</v>
      </c>
      <c r="B80" s="13">
        <v>13.406</v>
      </c>
      <c r="C80" s="13">
        <v>13.446</v>
      </c>
      <c r="D80" s="13">
        <v>13.446</v>
      </c>
      <c r="E80" s="13">
        <v>13.401</v>
      </c>
      <c r="F80" s="15">
        <v>0.0002</v>
      </c>
    </row>
    <row r="81" spans="1:6">
      <c r="A81" s="14">
        <v>45222</v>
      </c>
      <c r="B81" s="13">
        <v>13.403</v>
      </c>
      <c r="C81" s="13">
        <v>13.45</v>
      </c>
      <c r="D81" s="13">
        <v>13.45</v>
      </c>
      <c r="E81" s="13">
        <v>13.401</v>
      </c>
      <c r="F81" s="15">
        <v>-0.0005</v>
      </c>
    </row>
    <row r="82" spans="1:6">
      <c r="A82" s="14">
        <v>45219</v>
      </c>
      <c r="B82" s="13">
        <v>13.41</v>
      </c>
      <c r="C82" s="13">
        <v>13.469</v>
      </c>
      <c r="D82" s="13">
        <v>13.469</v>
      </c>
      <c r="E82" s="13">
        <v>13.401</v>
      </c>
      <c r="F82" s="15">
        <v>-0.0032</v>
      </c>
    </row>
    <row r="83" spans="1:6">
      <c r="A83" s="14">
        <v>45218</v>
      </c>
      <c r="B83" s="13">
        <v>13.453</v>
      </c>
      <c r="C83" s="13">
        <v>13.469</v>
      </c>
      <c r="D83" s="13">
        <v>13.469</v>
      </c>
      <c r="E83" s="13">
        <v>13.45</v>
      </c>
      <c r="F83" s="15">
        <v>0</v>
      </c>
    </row>
    <row r="84" spans="1:6">
      <c r="A84" s="14">
        <v>45217</v>
      </c>
      <c r="B84" s="13">
        <v>13.453</v>
      </c>
      <c r="C84" s="13">
        <v>13.473</v>
      </c>
      <c r="D84" s="13">
        <v>13.473</v>
      </c>
      <c r="E84" s="13">
        <v>13.45</v>
      </c>
      <c r="F84" s="15">
        <v>0</v>
      </c>
    </row>
    <row r="85" spans="1:6">
      <c r="A85" s="14">
        <v>45216</v>
      </c>
      <c r="B85" s="13">
        <v>13.453</v>
      </c>
      <c r="C85" s="13">
        <v>13.473</v>
      </c>
      <c r="D85" s="13">
        <v>13.473</v>
      </c>
      <c r="E85" s="13">
        <v>13.45</v>
      </c>
      <c r="F85" s="15">
        <v>0</v>
      </c>
    </row>
    <row r="86" spans="1:6">
      <c r="A86" s="14">
        <v>45215</v>
      </c>
      <c r="B86" s="13">
        <v>13.453</v>
      </c>
      <c r="C86" s="13">
        <v>13.476</v>
      </c>
      <c r="D86" s="13">
        <v>13.476</v>
      </c>
      <c r="E86" s="13">
        <v>13.45</v>
      </c>
      <c r="F86" s="15">
        <v>-0.0004</v>
      </c>
    </row>
    <row r="87" spans="1:6">
      <c r="A87" s="14">
        <v>45212</v>
      </c>
      <c r="B87" s="13">
        <v>13.46</v>
      </c>
      <c r="C87" s="13">
        <v>12.969</v>
      </c>
      <c r="D87" s="13">
        <v>13.46</v>
      </c>
      <c r="E87" s="13">
        <v>12.969</v>
      </c>
      <c r="F87" s="15">
        <v>0.0391</v>
      </c>
    </row>
    <row r="88" spans="1:6">
      <c r="A88" s="14">
        <v>45211</v>
      </c>
      <c r="B88" s="13">
        <v>12.953</v>
      </c>
      <c r="C88" s="13">
        <v>12.969</v>
      </c>
      <c r="D88" s="13">
        <v>12.969</v>
      </c>
      <c r="E88" s="13">
        <v>12.95</v>
      </c>
      <c r="F88" s="15">
        <v>0</v>
      </c>
    </row>
    <row r="89" spans="1:6">
      <c r="A89" s="14">
        <v>45210</v>
      </c>
      <c r="B89" s="13">
        <v>12.953</v>
      </c>
      <c r="C89" s="13">
        <v>12.861</v>
      </c>
      <c r="D89" s="13">
        <v>12.953</v>
      </c>
      <c r="E89" s="13">
        <v>12.861</v>
      </c>
      <c r="F89" s="15">
        <v>0.0177</v>
      </c>
    </row>
    <row r="90" spans="1:6">
      <c r="A90" s="14">
        <v>45209</v>
      </c>
      <c r="B90" s="13">
        <v>12.729</v>
      </c>
      <c r="C90" s="13">
        <v>12.861</v>
      </c>
      <c r="D90" s="13">
        <v>12.861</v>
      </c>
      <c r="E90" s="13">
        <v>12.726</v>
      </c>
      <c r="F90" s="15">
        <v>0</v>
      </c>
    </row>
    <row r="91" spans="1:6">
      <c r="A91" s="14">
        <v>45208</v>
      </c>
      <c r="B91" s="13">
        <v>12.729</v>
      </c>
      <c r="C91" s="13">
        <v>12.863</v>
      </c>
      <c r="D91" s="13">
        <v>12.863</v>
      </c>
      <c r="E91" s="13">
        <v>12.726</v>
      </c>
      <c r="F91" s="15">
        <v>-0.0004</v>
      </c>
    </row>
    <row r="92" spans="1:6">
      <c r="A92" s="14">
        <v>45205</v>
      </c>
      <c r="B92" s="13">
        <v>12.733</v>
      </c>
      <c r="C92" s="13">
        <v>12.858</v>
      </c>
      <c r="D92" s="13">
        <v>12.858</v>
      </c>
      <c r="E92" s="13">
        <v>12.726</v>
      </c>
      <c r="F92" s="15">
        <v>0.0004</v>
      </c>
    </row>
    <row r="93" spans="1:6">
      <c r="A93" s="14">
        <v>45204</v>
      </c>
      <c r="B93" s="13">
        <v>12.729</v>
      </c>
      <c r="C93" s="13">
        <v>12.858</v>
      </c>
      <c r="D93" s="13">
        <v>12.858</v>
      </c>
      <c r="E93" s="13">
        <v>12.726</v>
      </c>
      <c r="F93" s="15">
        <v>0</v>
      </c>
    </row>
    <row r="94" spans="1:6">
      <c r="A94" s="14">
        <v>45203</v>
      </c>
      <c r="B94" s="13">
        <v>12.729</v>
      </c>
      <c r="C94" s="13">
        <v>12.861</v>
      </c>
      <c r="D94" s="13">
        <v>12.861</v>
      </c>
      <c r="E94" s="13">
        <v>12.726</v>
      </c>
      <c r="F94" s="15">
        <v>0</v>
      </c>
    </row>
    <row r="95" spans="1:6">
      <c r="A95" s="14">
        <v>45202</v>
      </c>
      <c r="B95" s="13">
        <v>12.729</v>
      </c>
      <c r="C95" s="13">
        <v>12.861</v>
      </c>
      <c r="D95" s="13">
        <v>12.861</v>
      </c>
      <c r="E95" s="13">
        <v>12.726</v>
      </c>
      <c r="F95" s="15">
        <v>0</v>
      </c>
    </row>
    <row r="96" spans="1:6">
      <c r="A96" s="14">
        <v>45201</v>
      </c>
      <c r="B96" s="13">
        <v>12.729</v>
      </c>
      <c r="C96" s="13">
        <v>12.863</v>
      </c>
      <c r="D96" s="13">
        <v>12.863</v>
      </c>
      <c r="E96" s="13">
        <v>12.726</v>
      </c>
      <c r="F96" s="15">
        <v>-0.0004</v>
      </c>
    </row>
    <row r="97" spans="1:6">
      <c r="A97" s="14">
        <v>45198</v>
      </c>
      <c r="B97" s="13">
        <v>12.733</v>
      </c>
      <c r="C97" s="13">
        <v>12.858</v>
      </c>
      <c r="D97" s="13">
        <v>12.858</v>
      </c>
      <c r="E97" s="13">
        <v>12.726</v>
      </c>
      <c r="F97" s="15">
        <v>0.0004</v>
      </c>
    </row>
    <row r="98" spans="1:6">
      <c r="A98" s="14">
        <v>45197</v>
      </c>
      <c r="B98" s="13">
        <v>12.729</v>
      </c>
      <c r="C98" s="13">
        <v>12.858</v>
      </c>
      <c r="D98" s="13">
        <v>12.858</v>
      </c>
      <c r="E98" s="13">
        <v>12.726</v>
      </c>
      <c r="F98" s="15">
        <v>0</v>
      </c>
    </row>
    <row r="99" spans="1:6">
      <c r="A99" s="14">
        <v>45196</v>
      </c>
      <c r="B99" s="13">
        <v>12.729</v>
      </c>
      <c r="C99" s="13">
        <v>12.861</v>
      </c>
      <c r="D99" s="13">
        <v>12.861</v>
      </c>
      <c r="E99" s="13">
        <v>12.726</v>
      </c>
      <c r="F99" s="15">
        <v>0</v>
      </c>
    </row>
    <row r="100" spans="1:6">
      <c r="A100" s="14">
        <v>45195</v>
      </c>
      <c r="B100" s="13">
        <v>12.729</v>
      </c>
      <c r="C100" s="13">
        <v>12.861</v>
      </c>
      <c r="D100" s="13">
        <v>12.861</v>
      </c>
      <c r="E100" s="13">
        <v>12.726</v>
      </c>
      <c r="F100" s="15">
        <v>0</v>
      </c>
    </row>
    <row r="101" spans="1:6">
      <c r="A101" s="14">
        <v>45194</v>
      </c>
      <c r="B101" s="13">
        <v>12.729</v>
      </c>
      <c r="C101" s="13">
        <v>12.863</v>
      </c>
      <c r="D101" s="13">
        <v>12.863</v>
      </c>
      <c r="E101" s="13">
        <v>12.726</v>
      </c>
      <c r="F101" s="15">
        <v>-0.0004</v>
      </c>
    </row>
    <row r="102" spans="1:6">
      <c r="A102" s="14">
        <v>45191</v>
      </c>
      <c r="B102" s="13">
        <v>12.733</v>
      </c>
      <c r="C102" s="13">
        <v>12.858</v>
      </c>
      <c r="D102" s="13">
        <v>12.858</v>
      </c>
      <c r="E102" s="13">
        <v>12.726</v>
      </c>
      <c r="F102" s="15">
        <v>0.0004</v>
      </c>
    </row>
    <row r="103" spans="1:6">
      <c r="A103" s="14">
        <v>45190</v>
      </c>
      <c r="B103" s="13">
        <v>12.729</v>
      </c>
      <c r="C103" s="13">
        <v>12.858</v>
      </c>
      <c r="D103" s="13">
        <v>12.858</v>
      </c>
      <c r="E103" s="13">
        <v>12.726</v>
      </c>
      <c r="F103" s="15">
        <v>0</v>
      </c>
    </row>
    <row r="104" spans="1:6">
      <c r="A104" s="14">
        <v>45189</v>
      </c>
      <c r="B104" s="13">
        <v>12.729</v>
      </c>
      <c r="C104" s="13">
        <v>12.861</v>
      </c>
      <c r="D104" s="13">
        <v>12.861</v>
      </c>
      <c r="E104" s="13">
        <v>12.726</v>
      </c>
      <c r="F104" s="15">
        <v>0</v>
      </c>
    </row>
    <row r="105" spans="1:6">
      <c r="A105" s="14">
        <v>45188</v>
      </c>
      <c r="B105" s="13">
        <v>12.729</v>
      </c>
      <c r="C105" s="13">
        <v>12.861</v>
      </c>
      <c r="D105" s="13">
        <v>12.861</v>
      </c>
      <c r="E105" s="13">
        <v>12.726</v>
      </c>
      <c r="F105" s="15">
        <v>0</v>
      </c>
    </row>
    <row r="106" spans="1:6">
      <c r="A106" s="14">
        <v>45187</v>
      </c>
      <c r="B106" s="13">
        <v>12.729</v>
      </c>
      <c r="C106" s="13">
        <v>12.863</v>
      </c>
      <c r="D106" s="13">
        <v>12.863</v>
      </c>
      <c r="E106" s="13">
        <v>12.726</v>
      </c>
      <c r="F106" s="15">
        <v>-0.0004</v>
      </c>
    </row>
    <row r="107" spans="1:6">
      <c r="A107" s="14">
        <v>45184</v>
      </c>
      <c r="B107" s="13">
        <v>12.733</v>
      </c>
      <c r="C107" s="13">
        <v>12.858</v>
      </c>
      <c r="D107" s="13">
        <v>12.858</v>
      </c>
      <c r="E107" s="13">
        <v>12.726</v>
      </c>
      <c r="F107" s="15">
        <v>0.0004</v>
      </c>
    </row>
    <row r="108" spans="1:6">
      <c r="A108" s="14">
        <v>45183</v>
      </c>
      <c r="B108" s="13">
        <v>12.729</v>
      </c>
      <c r="C108" s="13">
        <v>12.858</v>
      </c>
      <c r="D108" s="13">
        <v>12.858</v>
      </c>
      <c r="E108" s="13">
        <v>12.726</v>
      </c>
      <c r="F108" s="15">
        <v>0</v>
      </c>
    </row>
    <row r="109" spans="1:6">
      <c r="A109" s="14">
        <v>45182</v>
      </c>
      <c r="B109" s="13">
        <v>12.729</v>
      </c>
      <c r="C109" s="13">
        <v>12.861</v>
      </c>
      <c r="D109" s="13">
        <v>12.861</v>
      </c>
      <c r="E109" s="13">
        <v>12.729</v>
      </c>
      <c r="F109" s="15">
        <v>0</v>
      </c>
    </row>
    <row r="110" spans="1:6">
      <c r="A110" s="14">
        <v>45181</v>
      </c>
      <c r="B110" s="13">
        <v>12.729</v>
      </c>
      <c r="C110" s="13">
        <v>12.861</v>
      </c>
      <c r="D110" s="13">
        <v>12.861</v>
      </c>
      <c r="E110" s="13">
        <v>12.726</v>
      </c>
      <c r="F110" s="15">
        <v>0</v>
      </c>
    </row>
    <row r="111" spans="1:6">
      <c r="A111" s="14">
        <v>45180</v>
      </c>
      <c r="B111" s="13">
        <v>12.729</v>
      </c>
      <c r="C111" s="13">
        <v>12.863</v>
      </c>
      <c r="D111" s="13">
        <v>12.863</v>
      </c>
      <c r="E111" s="13">
        <v>12.726</v>
      </c>
      <c r="F111" s="15">
        <v>-0.0004</v>
      </c>
    </row>
    <row r="112" spans="1:6">
      <c r="A112" s="14">
        <v>45177</v>
      </c>
      <c r="B112" s="13">
        <v>12.733</v>
      </c>
      <c r="C112" s="13">
        <v>12.858</v>
      </c>
      <c r="D112" s="13">
        <v>12.858</v>
      </c>
      <c r="E112" s="13">
        <v>12.726</v>
      </c>
      <c r="F112" s="15">
        <v>0.0004</v>
      </c>
    </row>
    <row r="113" spans="1:6">
      <c r="A113" s="14">
        <v>45176</v>
      </c>
      <c r="B113" s="13">
        <v>12.729</v>
      </c>
      <c r="C113" s="13">
        <v>12.858</v>
      </c>
      <c r="D113" s="13">
        <v>12.858</v>
      </c>
      <c r="E113" s="13">
        <v>12.726</v>
      </c>
      <c r="F113" s="15">
        <v>0</v>
      </c>
    </row>
    <row r="114" spans="1:6">
      <c r="A114" s="14">
        <v>45175</v>
      </c>
      <c r="B114" s="13">
        <v>12.729</v>
      </c>
      <c r="C114" s="13">
        <v>13.186</v>
      </c>
      <c r="D114" s="13">
        <v>13.186</v>
      </c>
      <c r="E114" s="13">
        <v>12.726</v>
      </c>
      <c r="F114" s="15">
        <v>-0.0487</v>
      </c>
    </row>
    <row r="115" spans="1:6">
      <c r="A115" s="14">
        <v>45174</v>
      </c>
      <c r="B115" s="13">
        <v>13.38</v>
      </c>
      <c r="C115" s="13">
        <v>13.186</v>
      </c>
      <c r="D115" s="13">
        <v>13.38</v>
      </c>
      <c r="E115" s="13">
        <v>13.186</v>
      </c>
      <c r="F115" s="15">
        <v>0.0003</v>
      </c>
    </row>
    <row r="116" spans="1:6">
      <c r="A116" s="14">
        <v>45173</v>
      </c>
      <c r="B116" s="13">
        <v>13.376</v>
      </c>
      <c r="C116" s="13">
        <v>13.189</v>
      </c>
      <c r="D116" s="13">
        <v>13.376</v>
      </c>
      <c r="E116" s="13">
        <v>13.189</v>
      </c>
      <c r="F116" s="15">
        <v>-0.0006</v>
      </c>
    </row>
    <row r="117" spans="1:6">
      <c r="A117" s="14">
        <v>45170</v>
      </c>
      <c r="B117" s="13">
        <v>13.384</v>
      </c>
      <c r="C117" s="13">
        <v>13.186</v>
      </c>
      <c r="D117" s="13">
        <v>13.384</v>
      </c>
      <c r="E117" s="13">
        <v>13.186</v>
      </c>
      <c r="F117" s="15">
        <v>-0.0001</v>
      </c>
    </row>
    <row r="118" spans="1:6">
      <c r="A118" s="14">
        <v>45169</v>
      </c>
      <c r="B118" s="13">
        <v>13.385</v>
      </c>
      <c r="C118" s="13">
        <v>13.179</v>
      </c>
      <c r="D118" s="13">
        <v>13.385</v>
      </c>
      <c r="E118" s="13">
        <v>13.179</v>
      </c>
      <c r="F118" s="15">
        <v>0.0007</v>
      </c>
    </row>
    <row r="119" spans="1:6">
      <c r="A119" s="14">
        <v>45168</v>
      </c>
      <c r="B119" s="13">
        <v>13.376</v>
      </c>
      <c r="C119" s="13">
        <v>13.376</v>
      </c>
      <c r="D119" s="13">
        <v>13.376</v>
      </c>
      <c r="E119" s="13">
        <v>13.376</v>
      </c>
      <c r="F119" s="15">
        <v>0.0003</v>
      </c>
    </row>
    <row r="120" spans="1:6">
      <c r="A120" s="14">
        <v>45167</v>
      </c>
      <c r="B120" s="13">
        <v>13.373</v>
      </c>
      <c r="C120" s="13">
        <v>13.186</v>
      </c>
      <c r="D120" s="13">
        <v>13.376</v>
      </c>
      <c r="E120" s="13">
        <v>13.186</v>
      </c>
      <c r="F120" s="15">
        <v>-0.0005</v>
      </c>
    </row>
    <row r="121" spans="1:6">
      <c r="A121" s="14">
        <v>45166</v>
      </c>
      <c r="B121" s="13">
        <v>13.38</v>
      </c>
      <c r="C121" s="13">
        <v>13.189</v>
      </c>
      <c r="D121" s="13">
        <v>13.38</v>
      </c>
      <c r="E121" s="13">
        <v>13.189</v>
      </c>
      <c r="F121" s="15">
        <v>-0.0004</v>
      </c>
    </row>
    <row r="122" spans="1:6">
      <c r="A122" s="14">
        <v>45163</v>
      </c>
      <c r="B122" s="13">
        <v>13.384</v>
      </c>
      <c r="C122" s="13">
        <v>13.182</v>
      </c>
      <c r="D122" s="13">
        <v>13.384</v>
      </c>
      <c r="E122" s="13">
        <v>13.182</v>
      </c>
      <c r="F122" s="15">
        <v>0.0004</v>
      </c>
    </row>
    <row r="123" spans="1:6">
      <c r="A123" s="14">
        <v>45162</v>
      </c>
      <c r="B123" s="13">
        <v>13.38</v>
      </c>
      <c r="C123" s="13">
        <v>13.183</v>
      </c>
      <c r="D123" s="13">
        <v>13.38</v>
      </c>
      <c r="E123" s="13">
        <v>13.183</v>
      </c>
      <c r="F123" s="15">
        <v>0</v>
      </c>
    </row>
    <row r="124" spans="1:6">
      <c r="A124" s="14">
        <v>45161</v>
      </c>
      <c r="B124" s="13">
        <v>13.379</v>
      </c>
      <c r="C124" s="13">
        <v>13.186</v>
      </c>
      <c r="D124" s="13">
        <v>13.379</v>
      </c>
      <c r="E124" s="13">
        <v>13.186</v>
      </c>
      <c r="F124" s="15">
        <v>0</v>
      </c>
    </row>
    <row r="125" spans="1:6">
      <c r="A125" s="14">
        <v>45160</v>
      </c>
      <c r="B125" s="13">
        <v>13.38</v>
      </c>
      <c r="C125" s="13">
        <v>13.186</v>
      </c>
      <c r="D125" s="13">
        <v>13.38</v>
      </c>
      <c r="E125" s="13">
        <v>13.186</v>
      </c>
      <c r="F125" s="15">
        <v>0.0001</v>
      </c>
    </row>
    <row r="126" spans="1:6">
      <c r="A126" s="14">
        <v>45159</v>
      </c>
      <c r="B126" s="13">
        <v>13.378</v>
      </c>
      <c r="C126" s="13">
        <v>13.189</v>
      </c>
      <c r="D126" s="13">
        <v>13.378</v>
      </c>
      <c r="E126" s="13">
        <v>13.189</v>
      </c>
      <c r="F126" s="15">
        <v>-0.0004</v>
      </c>
    </row>
    <row r="127" spans="1:6">
      <c r="A127" s="14">
        <v>45156</v>
      </c>
      <c r="B127" s="13">
        <v>13.384</v>
      </c>
      <c r="C127" s="13">
        <v>13.183</v>
      </c>
      <c r="D127" s="13">
        <v>13.384</v>
      </c>
      <c r="E127" s="13">
        <v>13.183</v>
      </c>
      <c r="F127" s="15">
        <v>0.0004</v>
      </c>
    </row>
    <row r="128" spans="1:6">
      <c r="A128" s="14">
        <v>45155</v>
      </c>
      <c r="B128" s="13">
        <v>13.378</v>
      </c>
      <c r="C128" s="13">
        <v>13.183</v>
      </c>
      <c r="D128" s="13">
        <v>13.378</v>
      </c>
      <c r="E128" s="13">
        <v>13.183</v>
      </c>
      <c r="F128" s="15">
        <v>0</v>
      </c>
    </row>
    <row r="129" spans="1:6">
      <c r="A129" s="14">
        <v>45154</v>
      </c>
      <c r="B129" s="13">
        <v>13.378</v>
      </c>
      <c r="C129" s="13">
        <v>13.186</v>
      </c>
      <c r="D129" s="13">
        <v>13.378</v>
      </c>
      <c r="E129" s="13">
        <v>13.186</v>
      </c>
      <c r="F129" s="15">
        <v>0</v>
      </c>
    </row>
    <row r="130" spans="1:6">
      <c r="A130" s="14">
        <v>45153</v>
      </c>
      <c r="B130" s="13">
        <v>13.378</v>
      </c>
      <c r="C130" s="13">
        <v>13.186</v>
      </c>
      <c r="D130" s="13">
        <v>13.378</v>
      </c>
      <c r="E130" s="13">
        <v>13.186</v>
      </c>
      <c r="F130" s="15">
        <v>0</v>
      </c>
    </row>
    <row r="131" spans="1:6">
      <c r="A131" s="14">
        <v>45152</v>
      </c>
      <c r="B131" s="13">
        <v>13.378</v>
      </c>
      <c r="C131" s="13">
        <v>13.189</v>
      </c>
      <c r="D131" s="13">
        <v>13.378</v>
      </c>
      <c r="E131" s="13">
        <v>13.189</v>
      </c>
      <c r="F131" s="15">
        <v>-0.0004</v>
      </c>
    </row>
    <row r="132" spans="1:6">
      <c r="A132" s="14">
        <v>45149</v>
      </c>
      <c r="B132" s="13">
        <v>13.384</v>
      </c>
      <c r="C132" s="13">
        <v>13.183</v>
      </c>
      <c r="D132" s="13">
        <v>13.384</v>
      </c>
      <c r="E132" s="13">
        <v>13.183</v>
      </c>
      <c r="F132" s="15">
        <v>0.0004</v>
      </c>
    </row>
    <row r="133" spans="1:6">
      <c r="A133" s="14">
        <v>45148</v>
      </c>
      <c r="B133" s="13">
        <v>13.378</v>
      </c>
      <c r="C133" s="13">
        <v>13.184</v>
      </c>
      <c r="D133" s="13">
        <v>13.378</v>
      </c>
      <c r="E133" s="13">
        <v>13.184</v>
      </c>
      <c r="F133" s="15">
        <v>0</v>
      </c>
    </row>
    <row r="134" spans="1:6">
      <c r="A134" s="14">
        <v>45147</v>
      </c>
      <c r="B134" s="13">
        <v>13.378</v>
      </c>
      <c r="C134" s="13">
        <v>13.186</v>
      </c>
      <c r="D134" s="13">
        <v>13.378</v>
      </c>
      <c r="E134" s="13">
        <v>13.186</v>
      </c>
      <c r="F134" s="15">
        <v>0</v>
      </c>
    </row>
    <row r="135" spans="1:6">
      <c r="A135" s="14">
        <v>45146</v>
      </c>
      <c r="B135" s="13">
        <v>13.378</v>
      </c>
      <c r="C135" s="13">
        <v>13.186</v>
      </c>
      <c r="D135" s="13">
        <v>13.378</v>
      </c>
      <c r="E135" s="13">
        <v>13.186</v>
      </c>
      <c r="F135" s="15">
        <v>0</v>
      </c>
    </row>
    <row r="136" spans="1:6">
      <c r="A136" s="14">
        <v>45145</v>
      </c>
      <c r="B136" s="13">
        <v>13.378</v>
      </c>
      <c r="C136" s="13">
        <v>13.189</v>
      </c>
      <c r="D136" s="13">
        <v>13.378</v>
      </c>
      <c r="E136" s="13">
        <v>13.189</v>
      </c>
      <c r="F136" s="15">
        <v>-0.0004</v>
      </c>
    </row>
    <row r="137" spans="1:6">
      <c r="A137" s="14">
        <v>45142</v>
      </c>
      <c r="B137" s="13">
        <v>13.384</v>
      </c>
      <c r="C137" s="13">
        <v>13.183</v>
      </c>
      <c r="D137" s="13">
        <v>13.384</v>
      </c>
      <c r="E137" s="13">
        <v>13.183</v>
      </c>
      <c r="F137" s="15">
        <v>0.0004</v>
      </c>
    </row>
    <row r="138" spans="1:6">
      <c r="A138" s="14">
        <v>45141</v>
      </c>
      <c r="B138" s="13">
        <v>13.378</v>
      </c>
      <c r="C138" s="13">
        <v>13.184</v>
      </c>
      <c r="D138" s="13">
        <v>13.378</v>
      </c>
      <c r="E138" s="13">
        <v>13.184</v>
      </c>
      <c r="F138" s="15">
        <v>0</v>
      </c>
    </row>
    <row r="139" spans="1:6">
      <c r="A139" s="14">
        <v>45140</v>
      </c>
      <c r="B139" s="13">
        <v>13.378</v>
      </c>
      <c r="C139" s="13">
        <v>13.186</v>
      </c>
      <c r="D139" s="13">
        <v>13.378</v>
      </c>
      <c r="E139" s="13">
        <v>13.186</v>
      </c>
      <c r="F139" s="15">
        <v>0</v>
      </c>
    </row>
    <row r="140" spans="1:6">
      <c r="A140" s="14">
        <v>45139</v>
      </c>
      <c r="B140" s="13">
        <v>13.378</v>
      </c>
      <c r="C140" s="13">
        <v>13.189</v>
      </c>
      <c r="D140" s="13">
        <v>13.378</v>
      </c>
      <c r="E140" s="13">
        <v>13.189</v>
      </c>
      <c r="F140" s="15">
        <v>-0.0005</v>
      </c>
    </row>
    <row r="141" spans="1:6">
      <c r="A141" s="14">
        <v>45138</v>
      </c>
      <c r="B141" s="13">
        <v>13.385</v>
      </c>
      <c r="C141" s="13">
        <v>13.181</v>
      </c>
      <c r="D141" s="13">
        <v>13.385</v>
      </c>
      <c r="E141" s="13">
        <v>13.181</v>
      </c>
      <c r="F141" s="15">
        <v>0.0007</v>
      </c>
    </row>
    <row r="142" spans="1:6">
      <c r="A142" s="14">
        <v>45135</v>
      </c>
      <c r="B142" s="13">
        <v>13.375</v>
      </c>
      <c r="C142" s="13">
        <v>13.184</v>
      </c>
      <c r="D142" s="13">
        <v>13.376</v>
      </c>
      <c r="E142" s="13">
        <v>13.184</v>
      </c>
      <c r="F142" s="15">
        <v>-0.0002</v>
      </c>
    </row>
    <row r="143" spans="1:6">
      <c r="A143" s="14">
        <v>45134</v>
      </c>
      <c r="B143" s="13">
        <v>13.378</v>
      </c>
      <c r="C143" s="13">
        <v>13.184</v>
      </c>
      <c r="D143" s="13">
        <v>13.378</v>
      </c>
      <c r="E143" s="13">
        <v>13.184</v>
      </c>
      <c r="F143" s="15">
        <v>0</v>
      </c>
    </row>
    <row r="144" spans="1:6">
      <c r="A144" s="14">
        <v>45133</v>
      </c>
      <c r="B144" s="13">
        <v>13.378</v>
      </c>
      <c r="C144" s="13">
        <v>13.186</v>
      </c>
      <c r="D144" s="13">
        <v>13.378</v>
      </c>
      <c r="E144" s="13">
        <v>13.186</v>
      </c>
      <c r="F144" s="15">
        <v>0</v>
      </c>
    </row>
    <row r="145" spans="1:6">
      <c r="A145" s="14">
        <v>45132</v>
      </c>
      <c r="B145" s="13">
        <v>13.378</v>
      </c>
      <c r="C145" s="13">
        <v>13.186</v>
      </c>
      <c r="D145" s="13">
        <v>13.378</v>
      </c>
      <c r="E145" s="13">
        <v>13.186</v>
      </c>
      <c r="F145" s="15">
        <v>0</v>
      </c>
    </row>
    <row r="146" spans="1:6">
      <c r="A146" s="14">
        <v>45131</v>
      </c>
      <c r="B146" s="13">
        <v>13.378</v>
      </c>
      <c r="C146" s="13">
        <v>13.189</v>
      </c>
      <c r="D146" s="13">
        <v>13.378</v>
      </c>
      <c r="E146" s="13">
        <v>13.189</v>
      </c>
      <c r="F146" s="15">
        <v>-0.0004</v>
      </c>
    </row>
    <row r="147" spans="1:6">
      <c r="A147" s="14">
        <v>45128</v>
      </c>
      <c r="B147" s="13">
        <v>13.384</v>
      </c>
      <c r="C147" s="13">
        <v>13.183</v>
      </c>
      <c r="D147" s="13">
        <v>13.384</v>
      </c>
      <c r="E147" s="13">
        <v>13.183</v>
      </c>
      <c r="F147" s="15">
        <v>0.0004</v>
      </c>
    </row>
    <row r="148" spans="1:6">
      <c r="A148" s="14">
        <v>45127</v>
      </c>
      <c r="B148" s="13">
        <v>13.378</v>
      </c>
      <c r="C148" s="13">
        <v>13.183</v>
      </c>
      <c r="D148" s="13">
        <v>13.378</v>
      </c>
      <c r="E148" s="13">
        <v>13.183</v>
      </c>
      <c r="F148" s="15">
        <v>0</v>
      </c>
    </row>
    <row r="149" spans="1:6">
      <c r="A149" s="14">
        <v>45126</v>
      </c>
      <c r="B149" s="13">
        <v>13.378</v>
      </c>
      <c r="C149" s="13">
        <v>13.186</v>
      </c>
      <c r="D149" s="13">
        <v>13.378</v>
      </c>
      <c r="E149" s="13">
        <v>13.087</v>
      </c>
      <c r="F149" s="15">
        <v>0</v>
      </c>
    </row>
    <row r="150" spans="1:6">
      <c r="A150" s="14">
        <v>45125</v>
      </c>
      <c r="B150" s="13">
        <v>13.378</v>
      </c>
      <c r="C150" s="13">
        <v>13.376</v>
      </c>
      <c r="D150" s="13">
        <v>13.684</v>
      </c>
      <c r="E150" s="13">
        <v>13.376</v>
      </c>
      <c r="F150" s="15">
        <v>0</v>
      </c>
    </row>
    <row r="151" spans="1:6">
      <c r="A151" s="14">
        <v>45124</v>
      </c>
      <c r="B151" s="13">
        <v>13.378</v>
      </c>
      <c r="C151" s="13">
        <v>13.376</v>
      </c>
      <c r="D151" s="13">
        <v>13.684</v>
      </c>
      <c r="E151" s="13">
        <v>13.376</v>
      </c>
      <c r="F151" s="15">
        <v>-0.0004</v>
      </c>
    </row>
    <row r="152" spans="1:6">
      <c r="A152" s="14">
        <v>45121</v>
      </c>
      <c r="B152" s="13">
        <v>13.384</v>
      </c>
      <c r="C152" s="13">
        <v>13.376</v>
      </c>
      <c r="D152" s="13">
        <v>13.432</v>
      </c>
      <c r="E152" s="13">
        <v>13.376</v>
      </c>
      <c r="F152" s="15">
        <v>0.0004</v>
      </c>
    </row>
    <row r="153" spans="1:6">
      <c r="A153" s="14">
        <v>45120</v>
      </c>
      <c r="B153" s="13">
        <v>13.378</v>
      </c>
      <c r="C153" s="13">
        <v>13.376</v>
      </c>
      <c r="D153" s="13">
        <v>13.432</v>
      </c>
      <c r="E153" s="13">
        <v>13.376</v>
      </c>
      <c r="F153" s="15">
        <v>0</v>
      </c>
    </row>
    <row r="154" spans="1:6">
      <c r="A154" s="14">
        <v>45119</v>
      </c>
      <c r="B154" s="13">
        <v>13.378</v>
      </c>
      <c r="C154" s="13">
        <v>13.376</v>
      </c>
      <c r="D154" s="13">
        <v>13.378</v>
      </c>
      <c r="E154" s="13">
        <v>13.376</v>
      </c>
      <c r="F154" s="15">
        <v>0</v>
      </c>
    </row>
    <row r="155" spans="1:6">
      <c r="A155" s="14">
        <v>45118</v>
      </c>
      <c r="B155" s="13">
        <v>13.378</v>
      </c>
      <c r="C155" s="13">
        <v>13.376</v>
      </c>
      <c r="D155" s="13">
        <v>13.684</v>
      </c>
      <c r="E155" s="13">
        <v>13.376</v>
      </c>
      <c r="F155" s="15">
        <v>0</v>
      </c>
    </row>
    <row r="156" spans="1:6">
      <c r="A156" s="14">
        <v>45117</v>
      </c>
      <c r="B156" s="13">
        <v>13.378</v>
      </c>
      <c r="C156" s="13">
        <v>13.376</v>
      </c>
      <c r="D156" s="13">
        <v>13.378</v>
      </c>
      <c r="E156" s="13">
        <v>13.376</v>
      </c>
      <c r="F156" s="15">
        <v>0.0002</v>
      </c>
    </row>
    <row r="157" spans="1:6">
      <c r="A157" s="14">
        <v>45114</v>
      </c>
      <c r="B157" s="13">
        <v>13.376</v>
      </c>
      <c r="C157" s="13">
        <v>13.376</v>
      </c>
      <c r="D157" s="13">
        <v>13.376</v>
      </c>
      <c r="E157" s="13">
        <v>13.376</v>
      </c>
      <c r="F157" s="15">
        <v>0</v>
      </c>
    </row>
    <row r="158" spans="1:6">
      <c r="A158" s="14">
        <v>45113</v>
      </c>
      <c r="B158" s="13">
        <v>13.376</v>
      </c>
      <c r="C158" s="13">
        <v>13.376</v>
      </c>
      <c r="D158" s="13">
        <v>13.376</v>
      </c>
      <c r="E158" s="13">
        <v>13.376</v>
      </c>
      <c r="F158" s="15">
        <v>-0.001</v>
      </c>
    </row>
    <row r="159" spans="1:6">
      <c r="A159" s="14">
        <v>45112</v>
      </c>
      <c r="B159" s="13">
        <v>13.389</v>
      </c>
      <c r="C159" s="13">
        <v>13.176</v>
      </c>
      <c r="D159" s="13">
        <v>13.578</v>
      </c>
      <c r="E159" s="13">
        <v>13.176</v>
      </c>
      <c r="F159" s="15">
        <v>0.016</v>
      </c>
    </row>
    <row r="160" spans="1:6">
      <c r="A160" s="14">
        <v>45111</v>
      </c>
      <c r="B160" s="13">
        <v>13.179</v>
      </c>
      <c r="C160" s="13">
        <v>13.578</v>
      </c>
      <c r="D160" s="13">
        <v>13.578</v>
      </c>
      <c r="E160" s="13">
        <v>13.176</v>
      </c>
      <c r="F160" s="15">
        <v>0</v>
      </c>
    </row>
    <row r="161" spans="1:6">
      <c r="A161" s="14">
        <v>45110</v>
      </c>
      <c r="B161" s="13">
        <v>13.179</v>
      </c>
      <c r="C161" s="13">
        <v>13.176</v>
      </c>
      <c r="D161" s="13">
        <v>13.585</v>
      </c>
      <c r="E161" s="13">
        <v>13.176</v>
      </c>
      <c r="F161" s="15">
        <v>-0.0303</v>
      </c>
    </row>
    <row r="162" spans="1:6">
      <c r="A162" s="14">
        <v>45108</v>
      </c>
      <c r="B162" s="13">
        <v>13.59</v>
      </c>
      <c r="C162" s="13">
        <v>13.59</v>
      </c>
      <c r="D162" s="13">
        <v>13.59</v>
      </c>
      <c r="E162" s="13">
        <v>13.59</v>
      </c>
      <c r="F162" s="15">
        <v>0.0308</v>
      </c>
    </row>
    <row r="163" spans="1:6">
      <c r="A163" s="14">
        <v>45107</v>
      </c>
      <c r="B163" s="13">
        <v>13.184</v>
      </c>
      <c r="C163" s="13">
        <v>13.176</v>
      </c>
      <c r="D163" s="13">
        <v>13.184</v>
      </c>
      <c r="E163" s="13">
        <v>13.176</v>
      </c>
      <c r="F163" s="15">
        <v>0.0004</v>
      </c>
    </row>
    <row r="164" spans="1:6">
      <c r="A164" s="14">
        <v>45106</v>
      </c>
      <c r="B164" s="13">
        <v>13.179</v>
      </c>
      <c r="C164" s="13">
        <v>13.176</v>
      </c>
      <c r="D164" s="13">
        <v>13.585</v>
      </c>
      <c r="E164" s="13">
        <v>13.176</v>
      </c>
      <c r="F164" s="15">
        <v>0.0002</v>
      </c>
    </row>
    <row r="165" spans="1:6">
      <c r="A165" s="14">
        <v>45105</v>
      </c>
      <c r="B165" s="13">
        <v>13.176</v>
      </c>
      <c r="C165" s="13">
        <v>13.176</v>
      </c>
      <c r="D165" s="13">
        <v>13.176</v>
      </c>
      <c r="E165" s="13">
        <v>13.176</v>
      </c>
      <c r="F165" s="15">
        <v>-0.0004</v>
      </c>
    </row>
    <row r="166" spans="1:6">
      <c r="A166" s="14">
        <v>45104</v>
      </c>
      <c r="B166" s="13">
        <v>13.181</v>
      </c>
      <c r="C166" s="13">
        <v>13.176</v>
      </c>
      <c r="D166" s="13">
        <v>13.181</v>
      </c>
      <c r="E166" s="13">
        <v>13.176</v>
      </c>
      <c r="F166" s="15">
        <v>0.0002</v>
      </c>
    </row>
    <row r="167" spans="1:6">
      <c r="A167" s="14">
        <v>45103</v>
      </c>
      <c r="B167" s="13">
        <v>13.179</v>
      </c>
      <c r="C167" s="13">
        <v>13.176</v>
      </c>
      <c r="D167" s="13">
        <v>13.179</v>
      </c>
      <c r="E167" s="13">
        <v>13.176</v>
      </c>
      <c r="F167" s="15">
        <v>-0.0004</v>
      </c>
    </row>
    <row r="168" spans="1:6">
      <c r="A168" s="14">
        <v>45100</v>
      </c>
      <c r="B168" s="13">
        <v>13.184</v>
      </c>
      <c r="C168" s="13">
        <v>13.176</v>
      </c>
      <c r="D168" s="13">
        <v>13.184</v>
      </c>
      <c r="E168" s="13">
        <v>13.176</v>
      </c>
      <c r="F168" s="15">
        <v>0.0004</v>
      </c>
    </row>
    <row r="169" spans="1:6">
      <c r="A169" s="14">
        <v>45099</v>
      </c>
      <c r="B169" s="13">
        <v>13.179</v>
      </c>
      <c r="C169" s="13">
        <v>13.176</v>
      </c>
      <c r="D169" s="13">
        <v>13.179</v>
      </c>
      <c r="E169" s="13">
        <v>13.176</v>
      </c>
      <c r="F169" s="15">
        <v>0</v>
      </c>
    </row>
    <row r="170" spans="1:6">
      <c r="A170" s="14">
        <v>45098</v>
      </c>
      <c r="B170" s="13">
        <v>13.179</v>
      </c>
      <c r="C170" s="13">
        <v>13.176</v>
      </c>
      <c r="D170" s="13">
        <v>13.179</v>
      </c>
      <c r="E170" s="13">
        <v>13.176</v>
      </c>
      <c r="F170" s="15">
        <v>0</v>
      </c>
    </row>
    <row r="171" spans="1:6">
      <c r="A171" s="14">
        <v>45097</v>
      </c>
      <c r="B171" s="13">
        <v>13.179</v>
      </c>
      <c r="C171" s="13">
        <v>13.176</v>
      </c>
      <c r="D171" s="13">
        <v>13.179</v>
      </c>
      <c r="E171" s="13">
        <v>13.176</v>
      </c>
      <c r="F171" s="15">
        <v>0</v>
      </c>
    </row>
    <row r="172" spans="1:6">
      <c r="A172" s="14">
        <v>45096</v>
      </c>
      <c r="B172" s="13">
        <v>13.179</v>
      </c>
      <c r="C172" s="13">
        <v>13.176</v>
      </c>
      <c r="D172" s="13">
        <v>13.179</v>
      </c>
      <c r="E172" s="13">
        <v>13.176</v>
      </c>
      <c r="F172" s="15">
        <v>-0.0004</v>
      </c>
    </row>
    <row r="173" spans="1:6">
      <c r="A173" s="14">
        <v>45093</v>
      </c>
      <c r="B173" s="13">
        <v>13.184</v>
      </c>
      <c r="C173" s="13">
        <v>13.176</v>
      </c>
      <c r="D173" s="13">
        <v>13.184</v>
      </c>
      <c r="E173" s="13">
        <v>13.176</v>
      </c>
      <c r="F173" s="15">
        <v>0.0004</v>
      </c>
    </row>
    <row r="174" spans="1:6">
      <c r="A174" s="14">
        <v>45092</v>
      </c>
      <c r="B174" s="13">
        <v>13.179</v>
      </c>
      <c r="C174" s="13">
        <v>13.176</v>
      </c>
      <c r="D174" s="13">
        <v>13.179</v>
      </c>
      <c r="E174" s="13">
        <v>13.176</v>
      </c>
      <c r="F174" s="15">
        <v>0</v>
      </c>
    </row>
    <row r="175" spans="1:6">
      <c r="A175" s="14">
        <v>45091</v>
      </c>
      <c r="B175" s="13">
        <v>13.179</v>
      </c>
      <c r="C175" s="13">
        <v>13.176</v>
      </c>
      <c r="D175" s="13">
        <v>13.179</v>
      </c>
      <c r="E175" s="13">
        <v>13.176</v>
      </c>
      <c r="F175" s="15">
        <v>0</v>
      </c>
    </row>
    <row r="176" spans="1:6">
      <c r="A176" s="14">
        <v>45090</v>
      </c>
      <c r="B176" s="13">
        <v>13.179</v>
      </c>
      <c r="C176" s="13">
        <v>13.376</v>
      </c>
      <c r="D176" s="13">
        <v>13.376</v>
      </c>
      <c r="E176" s="13">
        <v>13.176</v>
      </c>
      <c r="F176" s="15">
        <v>-0.0149</v>
      </c>
    </row>
    <row r="177" spans="1:6">
      <c r="A177" s="14">
        <v>45089</v>
      </c>
      <c r="B177" s="13">
        <v>13.378</v>
      </c>
      <c r="C177" s="13">
        <v>13.376</v>
      </c>
      <c r="D177" s="13">
        <v>13.378</v>
      </c>
      <c r="E177" s="13">
        <v>13.376</v>
      </c>
      <c r="F177" s="15">
        <v>-0.0004</v>
      </c>
    </row>
    <row r="178" spans="1:6">
      <c r="A178" s="14">
        <v>45086</v>
      </c>
      <c r="B178" s="13">
        <v>13.384</v>
      </c>
      <c r="C178" s="13">
        <v>13.376</v>
      </c>
      <c r="D178" s="13">
        <v>13.384</v>
      </c>
      <c r="E178" s="13">
        <v>13.376</v>
      </c>
      <c r="F178" s="15">
        <v>0.0004</v>
      </c>
    </row>
    <row r="179" spans="1:6">
      <c r="A179" s="14">
        <v>45085</v>
      </c>
      <c r="B179" s="13">
        <v>13.378</v>
      </c>
      <c r="C179" s="13">
        <v>13.376</v>
      </c>
      <c r="D179" s="13">
        <v>13.682</v>
      </c>
      <c r="E179" s="13">
        <v>13.376</v>
      </c>
      <c r="F179" s="15">
        <v>0</v>
      </c>
    </row>
    <row r="180" spans="1:6">
      <c r="A180" s="14">
        <v>45084</v>
      </c>
      <c r="B180" s="13">
        <v>13.378</v>
      </c>
      <c r="C180" s="13">
        <v>13.376</v>
      </c>
      <c r="D180" s="13">
        <v>13.685</v>
      </c>
      <c r="E180" s="13">
        <v>13.376</v>
      </c>
      <c r="F180" s="15">
        <v>0</v>
      </c>
    </row>
    <row r="181" spans="1:6">
      <c r="A181" s="14">
        <v>45083</v>
      </c>
      <c r="B181" s="13">
        <v>13.378</v>
      </c>
      <c r="C181" s="13">
        <v>13.376</v>
      </c>
      <c r="D181" s="13">
        <v>13.685</v>
      </c>
      <c r="E181" s="13">
        <v>13.376</v>
      </c>
      <c r="F181" s="15">
        <v>0</v>
      </c>
    </row>
    <row r="182" spans="1:6">
      <c r="A182" s="14">
        <v>45082</v>
      </c>
      <c r="B182" s="13">
        <v>13.378</v>
      </c>
      <c r="C182" s="13">
        <v>13.376</v>
      </c>
      <c r="D182" s="13">
        <v>13.685</v>
      </c>
      <c r="E182" s="13">
        <v>13.376</v>
      </c>
      <c r="F182" s="15">
        <v>-0.0004</v>
      </c>
    </row>
    <row r="183" spans="1:6">
      <c r="A183" s="14">
        <v>45079</v>
      </c>
      <c r="B183" s="13">
        <v>13.384</v>
      </c>
      <c r="C183" s="13">
        <v>13.376</v>
      </c>
      <c r="D183" s="13">
        <v>13.682</v>
      </c>
      <c r="E183" s="13">
        <v>13.376</v>
      </c>
      <c r="F183" s="15">
        <v>0.0004</v>
      </c>
    </row>
    <row r="184" spans="1:6">
      <c r="A184" s="14">
        <v>45078</v>
      </c>
      <c r="B184" s="13">
        <v>13.378</v>
      </c>
      <c r="C184" s="13">
        <v>13.376</v>
      </c>
      <c r="D184" s="13">
        <v>13.682</v>
      </c>
      <c r="E184" s="13">
        <v>13.376</v>
      </c>
      <c r="F184" s="15">
        <v>-0.0005</v>
      </c>
    </row>
    <row r="185" spans="1:6">
      <c r="A185" s="14">
        <v>45077</v>
      </c>
      <c r="B185" s="13">
        <v>13.385</v>
      </c>
      <c r="C185" s="13">
        <v>13.376</v>
      </c>
      <c r="D185" s="13">
        <v>13.682</v>
      </c>
      <c r="E185" s="13">
        <v>13.376</v>
      </c>
      <c r="F185" s="15">
        <v>0.0012</v>
      </c>
    </row>
    <row r="186" spans="1:6">
      <c r="A186" s="14">
        <v>45076</v>
      </c>
      <c r="B186" s="13">
        <v>13.37</v>
      </c>
      <c r="C186" s="13">
        <v>13.376</v>
      </c>
      <c r="D186" s="13">
        <v>13.686</v>
      </c>
      <c r="E186" s="13">
        <v>13.37</v>
      </c>
      <c r="F186" s="15">
        <v>-0.0007</v>
      </c>
    </row>
    <row r="187" spans="1:6">
      <c r="A187" s="14">
        <v>45075</v>
      </c>
      <c r="B187" s="13">
        <v>13.378</v>
      </c>
      <c r="C187" s="13">
        <v>13.376</v>
      </c>
      <c r="D187" s="13">
        <v>13.686</v>
      </c>
      <c r="E187" s="13">
        <v>13.376</v>
      </c>
      <c r="F187" s="15">
        <v>-0.0004</v>
      </c>
    </row>
    <row r="188" spans="1:6">
      <c r="A188" s="14">
        <v>45072</v>
      </c>
      <c r="B188" s="13">
        <v>13.384</v>
      </c>
      <c r="C188" s="13">
        <v>13.376</v>
      </c>
      <c r="D188" s="13">
        <v>13.384</v>
      </c>
      <c r="E188" s="13">
        <v>13.376</v>
      </c>
      <c r="F188" s="15">
        <v>0.0004</v>
      </c>
    </row>
    <row r="189" spans="1:6">
      <c r="A189" s="14">
        <v>45071</v>
      </c>
      <c r="B189" s="13">
        <v>13.378</v>
      </c>
      <c r="C189" s="13">
        <v>13.376</v>
      </c>
      <c r="D189" s="13">
        <v>13.682</v>
      </c>
      <c r="E189" s="13">
        <v>13.376</v>
      </c>
      <c r="F189" s="15">
        <v>0</v>
      </c>
    </row>
    <row r="190" spans="1:6">
      <c r="A190" s="14">
        <v>45070</v>
      </c>
      <c r="B190" s="13">
        <v>13.378</v>
      </c>
      <c r="C190" s="13">
        <v>13.376</v>
      </c>
      <c r="D190" s="13">
        <v>13.685</v>
      </c>
      <c r="E190" s="13">
        <v>13.376</v>
      </c>
      <c r="F190" s="15">
        <v>0</v>
      </c>
    </row>
    <row r="191" spans="1:6">
      <c r="A191" s="14">
        <v>45069</v>
      </c>
      <c r="B191" s="13">
        <v>13.378</v>
      </c>
      <c r="C191" s="13">
        <v>13.376</v>
      </c>
      <c r="D191" s="13">
        <v>13.685</v>
      </c>
      <c r="E191" s="13">
        <v>13.376</v>
      </c>
      <c r="F191" s="15">
        <v>0</v>
      </c>
    </row>
    <row r="192" spans="1:6">
      <c r="A192" s="14">
        <v>45068</v>
      </c>
      <c r="B192" s="13">
        <v>13.378</v>
      </c>
      <c r="C192" s="13">
        <v>13.376</v>
      </c>
      <c r="D192" s="13">
        <v>13.685</v>
      </c>
      <c r="E192" s="13">
        <v>13.376</v>
      </c>
      <c r="F192" s="15">
        <v>-0.0004</v>
      </c>
    </row>
    <row r="193" spans="1:6">
      <c r="A193" s="14">
        <v>45065</v>
      </c>
      <c r="B193" s="13">
        <v>13.384</v>
      </c>
      <c r="C193" s="13">
        <v>13.376</v>
      </c>
      <c r="D193" s="13">
        <v>13.682</v>
      </c>
      <c r="E193" s="13">
        <v>13.376</v>
      </c>
      <c r="F193" s="15">
        <v>0.0004</v>
      </c>
    </row>
    <row r="194" spans="1:6">
      <c r="A194" s="14">
        <v>45064</v>
      </c>
      <c r="B194" s="13">
        <v>13.378</v>
      </c>
      <c r="C194" s="13">
        <v>13.376</v>
      </c>
      <c r="D194" s="13">
        <v>13.378</v>
      </c>
      <c r="E194" s="13">
        <v>13.376</v>
      </c>
      <c r="F194" s="15">
        <v>0</v>
      </c>
    </row>
    <row r="195" spans="1:6">
      <c r="A195" s="14">
        <v>45063</v>
      </c>
      <c r="B195" s="13">
        <v>13.378</v>
      </c>
      <c r="C195" s="13">
        <v>13.376</v>
      </c>
      <c r="D195" s="13">
        <v>13.378</v>
      </c>
      <c r="E195" s="13">
        <v>13.376</v>
      </c>
      <c r="F195" s="15">
        <v>0</v>
      </c>
    </row>
    <row r="196" spans="1:6">
      <c r="A196" s="14">
        <v>45062</v>
      </c>
      <c r="B196" s="13">
        <v>13.378</v>
      </c>
      <c r="C196" s="13">
        <v>13.376</v>
      </c>
      <c r="D196" s="13">
        <v>13.378</v>
      </c>
      <c r="E196" s="13">
        <v>13.376</v>
      </c>
      <c r="F196" s="15">
        <v>0</v>
      </c>
    </row>
    <row r="197" spans="1:6">
      <c r="A197" s="14">
        <v>45061</v>
      </c>
      <c r="B197" s="13">
        <v>13.378</v>
      </c>
      <c r="C197" s="13">
        <v>14.075</v>
      </c>
      <c r="D197" s="13">
        <v>14.075</v>
      </c>
      <c r="E197" s="13">
        <v>13.376</v>
      </c>
      <c r="F197" s="15">
        <v>-0.0501</v>
      </c>
    </row>
    <row r="198" spans="1:6">
      <c r="A198" s="14">
        <v>45058</v>
      </c>
      <c r="B198" s="13">
        <v>14.083</v>
      </c>
      <c r="C198" s="13">
        <v>14.075</v>
      </c>
      <c r="D198" s="13">
        <v>14.083</v>
      </c>
      <c r="E198" s="13">
        <v>14.031</v>
      </c>
      <c r="F198" s="15">
        <v>0.0004</v>
      </c>
    </row>
    <row r="199" spans="1:6">
      <c r="A199" s="14">
        <v>45057</v>
      </c>
      <c r="B199" s="13">
        <v>14.078</v>
      </c>
      <c r="C199" s="13">
        <v>14.075</v>
      </c>
      <c r="D199" s="13">
        <v>14.078</v>
      </c>
      <c r="E199" s="13">
        <v>14.031</v>
      </c>
      <c r="F199" s="15">
        <v>0</v>
      </c>
    </row>
    <row r="200" spans="1:6">
      <c r="A200" s="14">
        <v>45056</v>
      </c>
      <c r="B200" s="13">
        <v>14.078</v>
      </c>
      <c r="C200" s="13">
        <v>14.075</v>
      </c>
      <c r="D200" s="13">
        <v>14.078</v>
      </c>
      <c r="E200" s="13">
        <v>14.035</v>
      </c>
      <c r="F200" s="15">
        <v>0.0002</v>
      </c>
    </row>
    <row r="201" spans="1:6">
      <c r="A201" s="14">
        <v>45055</v>
      </c>
      <c r="B201" s="13">
        <v>14.075</v>
      </c>
      <c r="C201" s="13">
        <v>14.075</v>
      </c>
      <c r="D201" s="13">
        <v>14.075</v>
      </c>
      <c r="E201" s="13">
        <v>14.075</v>
      </c>
      <c r="F201" s="15">
        <v>0</v>
      </c>
    </row>
    <row r="202" spans="1:6">
      <c r="A202" s="14">
        <v>45054</v>
      </c>
      <c r="B202" s="13">
        <v>14.075</v>
      </c>
      <c r="C202" s="13">
        <v>14.075</v>
      </c>
      <c r="D202" s="13">
        <v>14.075</v>
      </c>
      <c r="E202" s="13">
        <v>14.075</v>
      </c>
      <c r="F202" s="15">
        <v>-0.001</v>
      </c>
    </row>
    <row r="203" spans="1:6">
      <c r="A203" s="14">
        <v>45051</v>
      </c>
      <c r="B203" s="13">
        <v>14.089</v>
      </c>
      <c r="C203" s="13">
        <v>14.075</v>
      </c>
      <c r="D203" s="13">
        <v>14.089</v>
      </c>
      <c r="E203" s="13">
        <v>14.028</v>
      </c>
      <c r="F203" s="15">
        <v>0.0008</v>
      </c>
    </row>
    <row r="204" spans="1:6">
      <c r="A204" s="14">
        <v>45050</v>
      </c>
      <c r="B204" s="13">
        <v>14.078</v>
      </c>
      <c r="C204" s="13">
        <v>14.075</v>
      </c>
      <c r="D204" s="13">
        <v>14.078</v>
      </c>
      <c r="E204" s="13">
        <v>14.028</v>
      </c>
      <c r="F204" s="15">
        <v>0</v>
      </c>
    </row>
    <row r="205" spans="1:6">
      <c r="A205" s="14">
        <v>45049</v>
      </c>
      <c r="B205" s="13">
        <v>14.078</v>
      </c>
      <c r="C205" s="13">
        <v>14.075</v>
      </c>
      <c r="D205" s="13">
        <v>14.078</v>
      </c>
      <c r="E205" s="13">
        <v>14.075</v>
      </c>
      <c r="F205" s="15">
        <v>0</v>
      </c>
    </row>
    <row r="206" spans="1:6">
      <c r="A206" s="14">
        <v>45048</v>
      </c>
      <c r="B206" s="13">
        <v>14.078</v>
      </c>
      <c r="C206" s="13">
        <v>14.075</v>
      </c>
      <c r="D206" s="13">
        <v>14.078</v>
      </c>
      <c r="E206" s="13">
        <v>14.075</v>
      </c>
      <c r="F206" s="15">
        <v>0.0002</v>
      </c>
    </row>
    <row r="207" spans="1:6">
      <c r="A207" s="14">
        <v>45047</v>
      </c>
      <c r="B207" s="13">
        <v>14.075</v>
      </c>
      <c r="C207" s="13">
        <v>14.075</v>
      </c>
      <c r="D207" s="13">
        <v>14.075</v>
      </c>
      <c r="E207" s="13">
        <v>14.075</v>
      </c>
      <c r="F207" s="15">
        <v>-0.0008</v>
      </c>
    </row>
    <row r="208" spans="1:6">
      <c r="A208" s="14">
        <v>45044</v>
      </c>
      <c r="B208" s="13">
        <v>14.086</v>
      </c>
      <c r="C208" s="13">
        <v>14.075</v>
      </c>
      <c r="D208" s="13">
        <v>14.086</v>
      </c>
      <c r="E208" s="13">
        <v>14.075</v>
      </c>
      <c r="F208" s="15">
        <v>0.0006</v>
      </c>
    </row>
    <row r="209" spans="1:6">
      <c r="A209" s="14">
        <v>45043</v>
      </c>
      <c r="B209" s="13">
        <v>14.078</v>
      </c>
      <c r="C209" s="13">
        <v>14.075</v>
      </c>
      <c r="D209" s="13">
        <v>14.078</v>
      </c>
      <c r="E209" s="13">
        <v>14.075</v>
      </c>
      <c r="F209" s="15">
        <v>0</v>
      </c>
    </row>
    <row r="210" spans="1:6">
      <c r="A210" s="14">
        <v>45042</v>
      </c>
      <c r="B210" s="13">
        <v>14.078</v>
      </c>
      <c r="C210" s="13">
        <v>14.375</v>
      </c>
      <c r="D210" s="13">
        <v>14.375</v>
      </c>
      <c r="E210" s="13">
        <v>14.075</v>
      </c>
      <c r="F210" s="15">
        <v>-0.0209</v>
      </c>
    </row>
    <row r="211" spans="1:6">
      <c r="A211" s="14">
        <v>45041</v>
      </c>
      <c r="B211" s="13">
        <v>14.378</v>
      </c>
      <c r="C211" s="13">
        <v>14.627</v>
      </c>
      <c r="D211" s="13">
        <v>14.627</v>
      </c>
      <c r="E211" s="13">
        <v>14.375</v>
      </c>
      <c r="F211" s="15">
        <v>-0.0174</v>
      </c>
    </row>
    <row r="212" spans="1:6">
      <c r="A212" s="14">
        <v>45040</v>
      </c>
      <c r="B212" s="13">
        <v>14.632</v>
      </c>
      <c r="C212" s="13">
        <v>14.627</v>
      </c>
      <c r="D212" s="13">
        <v>14.632</v>
      </c>
      <c r="E212" s="13">
        <v>14.627</v>
      </c>
      <c r="F212" s="15">
        <v>-0.0007</v>
      </c>
    </row>
    <row r="213" spans="1:6">
      <c r="A213" s="14">
        <v>45037</v>
      </c>
      <c r="B213" s="13">
        <v>14.643</v>
      </c>
      <c r="C213" s="13">
        <v>14.627</v>
      </c>
      <c r="D213" s="13">
        <v>14.643</v>
      </c>
      <c r="E213" s="13">
        <v>14.627</v>
      </c>
      <c r="F213" s="15">
        <v>0.0007</v>
      </c>
    </row>
    <row r="214" spans="1:6">
      <c r="A214" s="14">
        <v>45036</v>
      </c>
      <c r="B214" s="13">
        <v>14.632</v>
      </c>
      <c r="C214" s="13">
        <v>14.627</v>
      </c>
      <c r="D214" s="13">
        <v>14.632</v>
      </c>
      <c r="E214" s="13">
        <v>14.627</v>
      </c>
      <c r="F214" s="15">
        <v>0</v>
      </c>
    </row>
    <row r="215" spans="1:6">
      <c r="A215" s="14">
        <v>45035</v>
      </c>
      <c r="B215" s="13">
        <v>14.632</v>
      </c>
      <c r="C215" s="13">
        <v>14.627</v>
      </c>
      <c r="D215" s="13">
        <v>14.632</v>
      </c>
      <c r="E215" s="13">
        <v>14.627</v>
      </c>
      <c r="F215" s="15">
        <v>0</v>
      </c>
    </row>
    <row r="216" spans="1:6">
      <c r="A216" s="14">
        <v>45034</v>
      </c>
      <c r="B216" s="13">
        <v>14.632</v>
      </c>
      <c r="C216" s="13">
        <v>14.627</v>
      </c>
      <c r="D216" s="13">
        <v>14.632</v>
      </c>
      <c r="E216" s="13">
        <v>14.627</v>
      </c>
      <c r="F216" s="15">
        <v>0</v>
      </c>
    </row>
    <row r="217" spans="1:6">
      <c r="A217" s="14">
        <v>45033</v>
      </c>
      <c r="B217" s="13">
        <v>14.632</v>
      </c>
      <c r="C217" s="13">
        <v>14.627</v>
      </c>
      <c r="D217" s="13">
        <v>14.632</v>
      </c>
      <c r="E217" s="13">
        <v>14.627</v>
      </c>
      <c r="F217" s="15">
        <v>-0.0007</v>
      </c>
    </row>
    <row r="218" spans="1:6">
      <c r="A218" s="14">
        <v>45030</v>
      </c>
      <c r="B218" s="13">
        <v>14.643</v>
      </c>
      <c r="C218" s="13">
        <v>14.627</v>
      </c>
      <c r="D218" s="13">
        <v>14.643</v>
      </c>
      <c r="E218" s="13">
        <v>14.627</v>
      </c>
      <c r="F218" s="15">
        <v>0.0007</v>
      </c>
    </row>
    <row r="219" spans="1:6">
      <c r="A219" s="14">
        <v>45029</v>
      </c>
      <c r="B219" s="13">
        <v>14.632</v>
      </c>
      <c r="C219" s="13">
        <v>14.627</v>
      </c>
      <c r="D219" s="13">
        <v>14.632</v>
      </c>
      <c r="E219" s="13">
        <v>14.627</v>
      </c>
      <c r="F219" s="15">
        <v>0</v>
      </c>
    </row>
    <row r="220" spans="1:6">
      <c r="A220" s="14">
        <v>45028</v>
      </c>
      <c r="B220" s="13">
        <v>14.632</v>
      </c>
      <c r="C220" s="13">
        <v>14.627</v>
      </c>
      <c r="D220" s="13">
        <v>14.632</v>
      </c>
      <c r="E220" s="13">
        <v>14.627</v>
      </c>
      <c r="F220" s="15">
        <v>0</v>
      </c>
    </row>
    <row r="221" spans="1:6">
      <c r="A221" s="14">
        <v>45026</v>
      </c>
      <c r="B221" s="13">
        <v>14.632</v>
      </c>
      <c r="C221" s="13">
        <v>14.627</v>
      </c>
      <c r="D221" s="13">
        <v>14.632</v>
      </c>
      <c r="E221" s="13">
        <v>14.627</v>
      </c>
      <c r="F221" s="15">
        <v>-0.0007</v>
      </c>
    </row>
    <row r="222" spans="1:6">
      <c r="A222" s="14">
        <v>45023</v>
      </c>
      <c r="B222" s="13">
        <v>14.642</v>
      </c>
      <c r="C222" s="13">
        <v>14.632</v>
      </c>
      <c r="D222" s="13">
        <v>14.642</v>
      </c>
      <c r="E222" s="13">
        <v>14.632</v>
      </c>
      <c r="F222" s="15">
        <v>0.0007</v>
      </c>
    </row>
    <row r="223" spans="1:6">
      <c r="A223" s="14">
        <v>45022</v>
      </c>
      <c r="B223" s="13">
        <v>14.632</v>
      </c>
      <c r="C223" s="13">
        <v>14.627</v>
      </c>
      <c r="D223" s="13">
        <v>14.632</v>
      </c>
      <c r="E223" s="13">
        <v>14.627</v>
      </c>
      <c r="F223" s="15">
        <v>0</v>
      </c>
    </row>
    <row r="224" spans="1:6">
      <c r="A224" s="14">
        <v>45021</v>
      </c>
      <c r="B224" s="13">
        <v>14.632</v>
      </c>
      <c r="C224" s="13">
        <v>14.627</v>
      </c>
      <c r="D224" s="13">
        <v>14.632</v>
      </c>
      <c r="E224" s="13">
        <v>14.627</v>
      </c>
      <c r="F224" s="15">
        <v>0.0004</v>
      </c>
    </row>
    <row r="225" spans="1:6">
      <c r="A225" s="14">
        <v>45020</v>
      </c>
      <c r="B225" s="13">
        <v>14.627</v>
      </c>
      <c r="C225" s="13">
        <v>14.627</v>
      </c>
      <c r="D225" s="13">
        <v>14.627</v>
      </c>
      <c r="E225" s="13">
        <v>14.627</v>
      </c>
      <c r="F225" s="15">
        <v>-0.0004</v>
      </c>
    </row>
    <row r="226" spans="1:6">
      <c r="A226" s="14">
        <v>45019</v>
      </c>
      <c r="B226" s="13">
        <v>14.632</v>
      </c>
      <c r="C226" s="13">
        <v>14.691</v>
      </c>
      <c r="D226" s="13">
        <v>14.691</v>
      </c>
      <c r="E226" s="13">
        <v>14.627</v>
      </c>
      <c r="F226" s="15">
        <v>-0.0054</v>
      </c>
    </row>
    <row r="227" spans="1:6">
      <c r="A227" s="14">
        <v>45016</v>
      </c>
      <c r="B227" s="13">
        <v>14.712</v>
      </c>
      <c r="C227" s="13">
        <v>14.691</v>
      </c>
      <c r="D227" s="13">
        <v>14.712</v>
      </c>
      <c r="E227" s="13">
        <v>14.691</v>
      </c>
      <c r="F227" s="15">
        <v>0.0018</v>
      </c>
    </row>
    <row r="228" spans="1:6">
      <c r="A228" s="14">
        <v>45015</v>
      </c>
      <c r="B228" s="13">
        <v>14.685</v>
      </c>
      <c r="C228" s="13">
        <v>14.691</v>
      </c>
      <c r="D228" s="13">
        <v>14.691</v>
      </c>
      <c r="E228" s="13">
        <v>14.685</v>
      </c>
      <c r="F228" s="15">
        <v>-0.0007</v>
      </c>
    </row>
    <row r="229" spans="1:6">
      <c r="A229" s="14">
        <v>45014</v>
      </c>
      <c r="B229" s="13">
        <v>14.696</v>
      </c>
      <c r="C229" s="13">
        <v>14.691</v>
      </c>
      <c r="D229" s="13">
        <v>14.696</v>
      </c>
      <c r="E229" s="13">
        <v>14.691</v>
      </c>
      <c r="F229" s="15">
        <v>0.0003</v>
      </c>
    </row>
    <row r="230" spans="1:6">
      <c r="A230" s="14">
        <v>45013</v>
      </c>
      <c r="B230" s="13">
        <v>14.691</v>
      </c>
      <c r="C230" s="13">
        <v>14.691</v>
      </c>
      <c r="D230" s="13">
        <v>14.691</v>
      </c>
      <c r="E230" s="13">
        <v>14.691</v>
      </c>
      <c r="F230" s="15">
        <v>0</v>
      </c>
    </row>
    <row r="231" spans="1:6">
      <c r="A231" s="14">
        <v>45012</v>
      </c>
      <c r="B231" s="13">
        <v>14.691</v>
      </c>
      <c r="C231" s="13">
        <v>14.691</v>
      </c>
      <c r="D231" s="13">
        <v>14.691</v>
      </c>
      <c r="E231" s="13">
        <v>14.691</v>
      </c>
      <c r="F231" s="15">
        <v>-0.0011</v>
      </c>
    </row>
    <row r="232" spans="1:6">
      <c r="A232" s="14">
        <v>45009</v>
      </c>
      <c r="B232" s="13">
        <v>14.707</v>
      </c>
      <c r="C232" s="13">
        <v>14.691</v>
      </c>
      <c r="D232" s="13">
        <v>14.707</v>
      </c>
      <c r="E232" s="13">
        <v>14.691</v>
      </c>
      <c r="F232" s="15">
        <v>0.0007</v>
      </c>
    </row>
    <row r="233" spans="1:6">
      <c r="A233" s="14">
        <v>45008</v>
      </c>
      <c r="B233" s="13">
        <v>14.696</v>
      </c>
      <c r="C233" s="13">
        <v>14.696</v>
      </c>
      <c r="D233" s="13">
        <v>14.696</v>
      </c>
      <c r="E233" s="13">
        <v>14.696</v>
      </c>
      <c r="F233" s="15">
        <v>0</v>
      </c>
    </row>
    <row r="234" spans="1:6">
      <c r="A234" s="14">
        <v>45007</v>
      </c>
      <c r="B234" s="13">
        <v>14.696</v>
      </c>
      <c r="C234" s="13">
        <v>14.684</v>
      </c>
      <c r="D234" s="13">
        <v>14.696</v>
      </c>
      <c r="E234" s="13">
        <v>14.684</v>
      </c>
      <c r="F234" s="15">
        <v>0.0001</v>
      </c>
    </row>
    <row r="235" spans="1:6">
      <c r="A235" s="14">
        <v>45006</v>
      </c>
      <c r="B235" s="13">
        <v>14.694</v>
      </c>
      <c r="C235" s="13">
        <v>14.694</v>
      </c>
      <c r="D235" s="13">
        <v>14.694</v>
      </c>
      <c r="E235" s="13">
        <v>14.694</v>
      </c>
      <c r="F235" s="15">
        <v>0.001</v>
      </c>
    </row>
    <row r="236" spans="1:6">
      <c r="A236" s="14">
        <v>45005</v>
      </c>
      <c r="B236" s="13">
        <v>14.679</v>
      </c>
      <c r="C236" s="13">
        <v>15.502</v>
      </c>
      <c r="D236" s="13">
        <v>15.502</v>
      </c>
      <c r="E236" s="13">
        <v>14.679</v>
      </c>
      <c r="F236" s="15">
        <v>-0.0541</v>
      </c>
    </row>
    <row r="237" spans="1:6">
      <c r="A237" s="14">
        <v>45002</v>
      </c>
      <c r="B237" s="13">
        <v>15.518</v>
      </c>
      <c r="C237" s="13">
        <v>15.502</v>
      </c>
      <c r="D237" s="13">
        <v>15.518</v>
      </c>
      <c r="E237" s="13">
        <v>15.502</v>
      </c>
      <c r="F237" s="15">
        <v>0.0007</v>
      </c>
    </row>
    <row r="238" spans="1:6">
      <c r="A238" s="14">
        <v>45001</v>
      </c>
      <c r="B238" s="13">
        <v>15.507</v>
      </c>
      <c r="C238" s="13">
        <v>15.502</v>
      </c>
      <c r="D238" s="13">
        <v>15.507</v>
      </c>
      <c r="E238" s="13">
        <v>15.502</v>
      </c>
      <c r="F238" s="15">
        <v>0.0001</v>
      </c>
    </row>
    <row r="239" spans="1:6">
      <c r="A239" s="14">
        <v>45000</v>
      </c>
      <c r="B239" s="13">
        <v>15.507</v>
      </c>
      <c r="C239" s="13">
        <v>15.451</v>
      </c>
      <c r="D239" s="13">
        <v>15.507</v>
      </c>
      <c r="E239" s="13">
        <v>15.451</v>
      </c>
      <c r="F239" s="15">
        <v>0.0032</v>
      </c>
    </row>
    <row r="240" spans="1:6">
      <c r="A240" s="14">
        <v>44999</v>
      </c>
      <c r="B240" s="13">
        <v>15.457</v>
      </c>
      <c r="C240" s="13">
        <v>15.451</v>
      </c>
      <c r="D240" s="13">
        <v>15.457</v>
      </c>
      <c r="E240" s="13">
        <v>15.451</v>
      </c>
      <c r="F240" s="15">
        <v>0</v>
      </c>
    </row>
    <row r="241" spans="1:6">
      <c r="A241" s="14">
        <v>44998</v>
      </c>
      <c r="B241" s="13">
        <v>15.457</v>
      </c>
      <c r="C241" s="13">
        <v>15.451</v>
      </c>
      <c r="D241" s="13">
        <v>15.457</v>
      </c>
      <c r="E241" s="13">
        <v>15.451</v>
      </c>
      <c r="F241" s="15">
        <v>-0.0007</v>
      </c>
    </row>
    <row r="242" spans="1:6">
      <c r="A242" s="14">
        <v>44995</v>
      </c>
      <c r="B242" s="13">
        <v>15.467</v>
      </c>
      <c r="C242" s="13">
        <v>15.451</v>
      </c>
      <c r="D242" s="13">
        <v>15.467</v>
      </c>
      <c r="E242" s="13">
        <v>15.451</v>
      </c>
      <c r="F242" s="15">
        <v>0.0011</v>
      </c>
    </row>
    <row r="243" spans="1:6">
      <c r="A243" s="14">
        <v>44994</v>
      </c>
      <c r="B243" s="13">
        <v>15.451</v>
      </c>
      <c r="C243" s="13">
        <v>15.451</v>
      </c>
      <c r="D243" s="13">
        <v>15.451</v>
      </c>
      <c r="E243" s="13">
        <v>15.451</v>
      </c>
      <c r="F243" s="15">
        <v>0</v>
      </c>
    </row>
    <row r="244" spans="1:6">
      <c r="A244" s="14">
        <v>44993</v>
      </c>
      <c r="B244" s="13">
        <v>15.451</v>
      </c>
      <c r="C244" s="13">
        <v>15.451</v>
      </c>
      <c r="D244" s="13">
        <v>15.451</v>
      </c>
      <c r="E244" s="13">
        <v>15.451</v>
      </c>
      <c r="F244" s="15">
        <v>-0.0007</v>
      </c>
    </row>
    <row r="245" spans="1:6">
      <c r="A245" s="14">
        <v>44992</v>
      </c>
      <c r="B245" s="13">
        <v>15.462</v>
      </c>
      <c r="C245" s="13">
        <v>15.451</v>
      </c>
      <c r="D245" s="13">
        <v>15.462</v>
      </c>
      <c r="E245" s="13">
        <v>15.451</v>
      </c>
      <c r="F245" s="15">
        <v>0.0003</v>
      </c>
    </row>
    <row r="246" spans="1:6">
      <c r="A246" s="14">
        <v>44991</v>
      </c>
      <c r="B246" s="13">
        <v>15.457</v>
      </c>
      <c r="C246" s="13">
        <v>15.451</v>
      </c>
      <c r="D246" s="13">
        <v>15.457</v>
      </c>
      <c r="E246" s="13">
        <v>15.451</v>
      </c>
      <c r="F246" s="15">
        <v>-0.0007</v>
      </c>
    </row>
    <row r="247" spans="1:6">
      <c r="A247" s="14">
        <v>44988</v>
      </c>
      <c r="B247" s="13">
        <v>15.467</v>
      </c>
      <c r="C247" s="13">
        <v>15.451</v>
      </c>
      <c r="D247" s="13">
        <v>15.467</v>
      </c>
      <c r="E247" s="13">
        <v>15.451</v>
      </c>
      <c r="F247" s="15">
        <v>0.0007</v>
      </c>
    </row>
    <row r="248" spans="1:6">
      <c r="A248" s="14">
        <v>44987</v>
      </c>
      <c r="B248" s="13">
        <v>15.457</v>
      </c>
      <c r="C248" s="13">
        <v>15.451</v>
      </c>
      <c r="D248" s="13">
        <v>15.457</v>
      </c>
      <c r="E248" s="13">
        <v>15.451</v>
      </c>
      <c r="F248" s="15">
        <v>0</v>
      </c>
    </row>
    <row r="249" spans="1:6">
      <c r="A249" s="14">
        <v>44986</v>
      </c>
      <c r="B249" s="13">
        <v>15.457</v>
      </c>
      <c r="C249" s="13">
        <v>15.451</v>
      </c>
      <c r="D249" s="13">
        <v>15.457</v>
      </c>
      <c r="E249" s="13">
        <v>15.451</v>
      </c>
      <c r="F249" s="15">
        <v>0.0007</v>
      </c>
    </row>
    <row r="250" spans="1:6">
      <c r="A250" s="14">
        <v>44985</v>
      </c>
      <c r="B250" s="13">
        <v>15.445</v>
      </c>
      <c r="C250" s="13">
        <v>15.451</v>
      </c>
      <c r="D250" s="13">
        <v>15.451</v>
      </c>
      <c r="E250" s="13">
        <v>15.445</v>
      </c>
      <c r="F250" s="15">
        <v>-0.0022</v>
      </c>
    </row>
    <row r="251" spans="1:6">
      <c r="A251" s="14">
        <v>44984</v>
      </c>
      <c r="B251" s="13">
        <v>15.479</v>
      </c>
      <c r="C251" s="13">
        <v>15.451</v>
      </c>
      <c r="D251" s="13">
        <v>15.479</v>
      </c>
      <c r="E251" s="13">
        <v>15.451</v>
      </c>
      <c r="F251" s="15">
        <v>0.0008</v>
      </c>
    </row>
    <row r="252" spans="1:6">
      <c r="A252" s="14">
        <v>44981</v>
      </c>
      <c r="B252" s="13">
        <v>15.467</v>
      </c>
      <c r="C252" s="13">
        <v>15.451</v>
      </c>
      <c r="D252" s="13">
        <v>15.467</v>
      </c>
      <c r="E252" s="13">
        <v>15.451</v>
      </c>
      <c r="F252" s="15">
        <v>0.0007</v>
      </c>
    </row>
    <row r="253" spans="1:6">
      <c r="A253" s="14">
        <v>44980</v>
      </c>
      <c r="B253" s="13">
        <v>15.457</v>
      </c>
      <c r="C253" s="13">
        <v>15.451</v>
      </c>
      <c r="D253" s="13">
        <v>15.457</v>
      </c>
      <c r="E253" s="13">
        <v>15.451</v>
      </c>
      <c r="F253" s="15">
        <v>0</v>
      </c>
    </row>
    <row r="254" spans="1:6">
      <c r="A254" s="14">
        <v>44979</v>
      </c>
      <c r="B254" s="13">
        <v>15.457</v>
      </c>
      <c r="C254" s="13">
        <v>15.451</v>
      </c>
      <c r="D254" s="13">
        <v>15.457</v>
      </c>
      <c r="E254" s="13">
        <v>15.451</v>
      </c>
      <c r="F254" s="15">
        <v>0</v>
      </c>
    </row>
    <row r="255" spans="1:6">
      <c r="A255" s="14">
        <v>44978</v>
      </c>
      <c r="B255" s="13">
        <v>15.457</v>
      </c>
      <c r="C255" s="13">
        <v>15.451</v>
      </c>
      <c r="D255" s="13">
        <v>15.457</v>
      </c>
      <c r="E255" s="13">
        <v>15.451</v>
      </c>
      <c r="F255" s="15">
        <v>0</v>
      </c>
    </row>
    <row r="256" spans="1:6">
      <c r="A256" s="14">
        <v>44977</v>
      </c>
      <c r="B256" s="13">
        <v>15.457</v>
      </c>
      <c r="C256" s="13">
        <v>15.451</v>
      </c>
      <c r="D256" s="13">
        <v>15.457</v>
      </c>
      <c r="E256" s="13">
        <v>15.451</v>
      </c>
      <c r="F256" s="15">
        <v>-0.0007</v>
      </c>
    </row>
    <row r="257" spans="1:6">
      <c r="A257" s="14">
        <v>44974</v>
      </c>
      <c r="B257" s="13">
        <v>15.467</v>
      </c>
      <c r="C257" s="13">
        <v>15.467</v>
      </c>
      <c r="D257" s="13">
        <v>15.467</v>
      </c>
      <c r="E257" s="13">
        <v>15.467</v>
      </c>
      <c r="F257" s="15">
        <v>0.0007</v>
      </c>
    </row>
    <row r="258" spans="1:6">
      <c r="A258" s="14">
        <v>44972</v>
      </c>
      <c r="B258" s="13">
        <v>15.457</v>
      </c>
      <c r="C258" s="13">
        <v>15.451</v>
      </c>
      <c r="D258" s="13">
        <v>15.457</v>
      </c>
      <c r="E258" s="13">
        <v>15.451</v>
      </c>
      <c r="F258" s="15">
        <v>0</v>
      </c>
    </row>
    <row r="259" spans="1:6">
      <c r="A259" s="14">
        <v>44971</v>
      </c>
      <c r="B259" s="13">
        <v>15.457</v>
      </c>
      <c r="C259" s="13">
        <v>15.451</v>
      </c>
      <c r="D259" s="13">
        <v>15.457</v>
      </c>
      <c r="E259" s="13">
        <v>15.451</v>
      </c>
      <c r="F259" s="15">
        <v>0</v>
      </c>
    </row>
    <row r="260" spans="1:6">
      <c r="A260" s="14">
        <v>44970</v>
      </c>
      <c r="B260" s="13">
        <v>15.457</v>
      </c>
      <c r="C260" s="13">
        <v>15.451</v>
      </c>
      <c r="D260" s="13">
        <v>15.457</v>
      </c>
      <c r="E260" s="13">
        <v>15.451</v>
      </c>
      <c r="F260" s="15">
        <v>-0.0007</v>
      </c>
    </row>
    <row r="261" spans="1:6">
      <c r="A261" s="14">
        <v>44967</v>
      </c>
      <c r="B261" s="13">
        <v>15.467</v>
      </c>
      <c r="C261" s="13">
        <v>15.451</v>
      </c>
      <c r="D261" s="13">
        <v>15.467</v>
      </c>
      <c r="E261" s="13">
        <v>15.451</v>
      </c>
      <c r="F261" s="15">
        <v>0.0007</v>
      </c>
    </row>
    <row r="262" spans="1:6">
      <c r="A262" s="14">
        <v>44966</v>
      </c>
      <c r="B262" s="13">
        <v>15.457</v>
      </c>
      <c r="C262" s="13">
        <v>15.451</v>
      </c>
      <c r="D262" s="13">
        <v>15.457</v>
      </c>
      <c r="E262" s="13">
        <v>15.451</v>
      </c>
      <c r="F262" s="15">
        <v>0</v>
      </c>
    </row>
    <row r="263" spans="1:6">
      <c r="A263" s="14">
        <v>44965</v>
      </c>
      <c r="B263" s="13">
        <v>15.457</v>
      </c>
      <c r="C263" s="13">
        <v>15.451</v>
      </c>
      <c r="D263" s="13">
        <v>15.457</v>
      </c>
      <c r="E263" s="13">
        <v>15.451</v>
      </c>
      <c r="F263" s="15">
        <v>0</v>
      </c>
    </row>
    <row r="264" spans="1:6">
      <c r="A264" s="14">
        <v>44964</v>
      </c>
      <c r="B264" s="13">
        <v>15.457</v>
      </c>
      <c r="C264" s="13">
        <v>15.451</v>
      </c>
      <c r="D264" s="13">
        <v>15.457</v>
      </c>
      <c r="E264" s="13">
        <v>15.451</v>
      </c>
      <c r="F264" s="15">
        <v>0</v>
      </c>
    </row>
    <row r="265" spans="1:6">
      <c r="A265" s="14">
        <v>44963</v>
      </c>
      <c r="B265" s="13">
        <v>15.457</v>
      </c>
      <c r="C265" s="13">
        <v>15.451</v>
      </c>
      <c r="D265" s="13">
        <v>15.457</v>
      </c>
      <c r="E265" s="13">
        <v>15.451</v>
      </c>
      <c r="F265" s="15">
        <v>-0.0007</v>
      </c>
    </row>
    <row r="266" spans="1:6">
      <c r="A266" s="14">
        <v>44960</v>
      </c>
      <c r="B266" s="13">
        <v>15.467</v>
      </c>
      <c r="C266" s="13">
        <v>15.451</v>
      </c>
      <c r="D266" s="13">
        <v>15.467</v>
      </c>
      <c r="E266" s="13">
        <v>15.451</v>
      </c>
      <c r="F266" s="15">
        <v>0.0007</v>
      </c>
    </row>
    <row r="267" spans="1:6">
      <c r="A267" s="14">
        <v>44959</v>
      </c>
      <c r="B267" s="13">
        <v>15.457</v>
      </c>
      <c r="C267" s="13">
        <v>15.451</v>
      </c>
      <c r="D267" s="13">
        <v>15.457</v>
      </c>
      <c r="E267" s="13">
        <v>15.451</v>
      </c>
      <c r="F267" s="15">
        <v>0</v>
      </c>
    </row>
    <row r="268" spans="1:6">
      <c r="A268" s="14">
        <v>44958</v>
      </c>
      <c r="B268" s="13">
        <v>15.457</v>
      </c>
      <c r="C268" s="13">
        <v>15.451</v>
      </c>
      <c r="D268" s="13">
        <v>15.457</v>
      </c>
      <c r="E268" s="13">
        <v>15.451</v>
      </c>
      <c r="F268" s="15">
        <v>-0.0004</v>
      </c>
    </row>
    <row r="269" spans="1:6">
      <c r="A269" s="14">
        <v>44957</v>
      </c>
      <c r="B269" s="13">
        <v>15.462</v>
      </c>
      <c r="C269" s="13">
        <v>15.451</v>
      </c>
      <c r="D269" s="13">
        <v>15.462</v>
      </c>
      <c r="E269" s="13">
        <v>15.451</v>
      </c>
      <c r="F269" s="15">
        <v>0.0011</v>
      </c>
    </row>
    <row r="270" spans="1:6">
      <c r="A270" s="14">
        <v>44956</v>
      </c>
      <c r="B270" s="13">
        <v>15.446</v>
      </c>
      <c r="C270" s="13">
        <v>15.451</v>
      </c>
      <c r="D270" s="13">
        <v>15.451</v>
      </c>
      <c r="E270" s="13">
        <v>15.446</v>
      </c>
      <c r="F270" s="15">
        <v>-0.0014</v>
      </c>
    </row>
    <row r="271" spans="1:6">
      <c r="A271" s="14">
        <v>44953</v>
      </c>
      <c r="B271" s="13">
        <v>15.467</v>
      </c>
      <c r="C271" s="13">
        <v>15.451</v>
      </c>
      <c r="D271" s="13">
        <v>15.467</v>
      </c>
      <c r="E271" s="13">
        <v>15.451</v>
      </c>
      <c r="F271" s="15">
        <v>0.0007</v>
      </c>
    </row>
    <row r="272" spans="1:6">
      <c r="A272" s="14">
        <v>44952</v>
      </c>
      <c r="B272" s="13">
        <v>15.457</v>
      </c>
      <c r="C272" s="13">
        <v>15.451</v>
      </c>
      <c r="D272" s="13">
        <v>15.457</v>
      </c>
      <c r="E272" s="13">
        <v>15.451</v>
      </c>
      <c r="F272" s="15">
        <v>0</v>
      </c>
    </row>
    <row r="273" spans="1:6">
      <c r="A273" s="14">
        <v>44951</v>
      </c>
      <c r="B273" s="13">
        <v>15.457</v>
      </c>
      <c r="C273" s="13">
        <v>15.451</v>
      </c>
      <c r="D273" s="13">
        <v>15.457</v>
      </c>
      <c r="E273" s="13">
        <v>15.451</v>
      </c>
      <c r="F273" s="15">
        <v>0</v>
      </c>
    </row>
    <row r="274" spans="1:6">
      <c r="A274" s="14">
        <v>44950</v>
      </c>
      <c r="B274" s="13">
        <v>15.457</v>
      </c>
      <c r="C274" s="13">
        <v>15.451</v>
      </c>
      <c r="D274" s="13">
        <v>15.457</v>
      </c>
      <c r="E274" s="13">
        <v>15.451</v>
      </c>
      <c r="F274" s="15">
        <v>0</v>
      </c>
    </row>
    <row r="275" spans="1:6">
      <c r="A275" s="14">
        <v>44949</v>
      </c>
      <c r="B275" s="13">
        <v>15.457</v>
      </c>
      <c r="C275" s="13">
        <v>15.457</v>
      </c>
      <c r="D275" s="13">
        <v>15.457</v>
      </c>
      <c r="E275" s="13">
        <v>15.457</v>
      </c>
      <c r="F275" s="15">
        <v>-0.0007</v>
      </c>
    </row>
    <row r="276" spans="1:6">
      <c r="A276" s="14">
        <v>44946</v>
      </c>
      <c r="B276" s="13">
        <v>15.467</v>
      </c>
      <c r="C276" s="13">
        <v>15.451</v>
      </c>
      <c r="D276" s="13">
        <v>15.467</v>
      </c>
      <c r="E276" s="13">
        <v>15.451</v>
      </c>
      <c r="F276" s="15">
        <v>0.0007</v>
      </c>
    </row>
    <row r="277" spans="1:6">
      <c r="A277" s="14">
        <v>44945</v>
      </c>
      <c r="B277" s="13">
        <v>15.457</v>
      </c>
      <c r="C277" s="13">
        <v>15.451</v>
      </c>
      <c r="D277" s="13">
        <v>15.457</v>
      </c>
      <c r="E277" s="13">
        <v>15.451</v>
      </c>
      <c r="F277" s="15">
        <v>0</v>
      </c>
    </row>
    <row r="278" spans="1:6">
      <c r="A278" s="14">
        <v>44944</v>
      </c>
      <c r="B278" s="13">
        <v>15.457</v>
      </c>
      <c r="C278" s="13">
        <v>15.451</v>
      </c>
      <c r="D278" s="13">
        <v>15.457</v>
      </c>
      <c r="E278" s="13">
        <v>15.451</v>
      </c>
      <c r="F278" s="15">
        <v>0</v>
      </c>
    </row>
    <row r="279" spans="1:6">
      <c r="A279" s="14">
        <v>44943</v>
      </c>
      <c r="B279" s="13">
        <v>15.457</v>
      </c>
      <c r="C279" s="13">
        <v>15.451</v>
      </c>
      <c r="D279" s="13">
        <v>15.457</v>
      </c>
      <c r="E279" s="13">
        <v>15.451</v>
      </c>
      <c r="F279" s="15">
        <v>0</v>
      </c>
    </row>
    <row r="280" spans="1:6">
      <c r="A280" s="14">
        <v>44942</v>
      </c>
      <c r="B280" s="13">
        <v>15.457</v>
      </c>
      <c r="C280" s="13">
        <v>15.451</v>
      </c>
      <c r="D280" s="13">
        <v>15.457</v>
      </c>
      <c r="E280" s="13">
        <v>15.451</v>
      </c>
      <c r="F280" s="15">
        <v>-0.0006</v>
      </c>
    </row>
    <row r="281" spans="1:6">
      <c r="A281" s="14">
        <v>44939</v>
      </c>
      <c r="B281" s="13">
        <v>15.467</v>
      </c>
      <c r="C281" s="13">
        <v>15.451</v>
      </c>
      <c r="D281" s="13">
        <v>15.467</v>
      </c>
      <c r="E281" s="13">
        <v>15.451</v>
      </c>
      <c r="F281" s="15">
        <v>0.0006</v>
      </c>
    </row>
    <row r="282" spans="1:6">
      <c r="A282" s="14">
        <v>44938</v>
      </c>
      <c r="B282" s="13">
        <v>15.457</v>
      </c>
      <c r="C282" s="13">
        <v>15.451</v>
      </c>
      <c r="D282" s="13">
        <v>15.457</v>
      </c>
      <c r="E282" s="13">
        <v>15.451</v>
      </c>
      <c r="F282" s="15">
        <v>0</v>
      </c>
    </row>
    <row r="283" spans="1:6">
      <c r="A283" s="14">
        <v>44937</v>
      </c>
      <c r="B283" s="13">
        <v>15.457</v>
      </c>
      <c r="C283" s="13">
        <v>15.451</v>
      </c>
      <c r="D283" s="13">
        <v>15.457</v>
      </c>
      <c r="E283" s="13">
        <v>15.451</v>
      </c>
      <c r="F283" s="15">
        <v>0</v>
      </c>
    </row>
    <row r="284" spans="1:6">
      <c r="A284" s="14">
        <v>44936</v>
      </c>
      <c r="B284" s="13">
        <v>15.457</v>
      </c>
      <c r="C284" s="13">
        <v>15.451</v>
      </c>
      <c r="D284" s="13">
        <v>15.457</v>
      </c>
      <c r="E284" s="13">
        <v>15.451</v>
      </c>
      <c r="F284" s="15">
        <v>0</v>
      </c>
    </row>
    <row r="285" spans="1:6">
      <c r="A285" s="14">
        <v>44935</v>
      </c>
      <c r="B285" s="13">
        <v>15.457</v>
      </c>
      <c r="C285" s="13">
        <v>15.451</v>
      </c>
      <c r="D285" s="13">
        <v>15.457</v>
      </c>
      <c r="E285" s="13">
        <v>15.451</v>
      </c>
      <c r="F285" s="15">
        <v>-0.0006</v>
      </c>
    </row>
    <row r="286" spans="1:6">
      <c r="A286" s="14">
        <v>44932</v>
      </c>
      <c r="B286" s="13">
        <v>15.467</v>
      </c>
      <c r="C286" s="13">
        <v>15.854</v>
      </c>
      <c r="D286" s="13">
        <v>15.854</v>
      </c>
      <c r="E286" s="13">
        <v>15.451</v>
      </c>
      <c r="F286" s="15">
        <v>-0.0248</v>
      </c>
    </row>
    <row r="287" spans="1:6">
      <c r="A287" s="14">
        <v>44931</v>
      </c>
      <c r="B287" s="13">
        <v>15.859</v>
      </c>
      <c r="C287" s="13">
        <v>15.854</v>
      </c>
      <c r="D287" s="13">
        <v>15.859</v>
      </c>
      <c r="E287" s="13">
        <v>15.854</v>
      </c>
      <c r="F287" s="15">
        <v>0</v>
      </c>
    </row>
    <row r="288" spans="1:6">
      <c r="A288" s="14">
        <v>44930</v>
      </c>
      <c r="B288" s="13">
        <v>15.859</v>
      </c>
      <c r="C288" s="13">
        <v>15.854</v>
      </c>
      <c r="D288" s="13">
        <v>15.859</v>
      </c>
      <c r="E288" s="13">
        <v>15.854</v>
      </c>
      <c r="F288" s="15">
        <v>0</v>
      </c>
    </row>
    <row r="289" spans="1:6">
      <c r="A289" s="14">
        <v>44929</v>
      </c>
      <c r="B289" s="13">
        <v>15.859</v>
      </c>
      <c r="C289" s="13">
        <v>15.859</v>
      </c>
      <c r="D289" s="13">
        <v>15.859</v>
      </c>
      <c r="E289" s="13">
        <v>15.859</v>
      </c>
      <c r="F289" s="15">
        <v>-0.0003</v>
      </c>
    </row>
    <row r="290" spans="1:6">
      <c r="A290" s="14">
        <v>44928</v>
      </c>
      <c r="B290" s="13">
        <v>15.865</v>
      </c>
      <c r="C290" s="13">
        <v>15.865</v>
      </c>
      <c r="D290" s="13">
        <v>15.865</v>
      </c>
      <c r="E290" s="13">
        <v>15.865</v>
      </c>
      <c r="F290" s="15">
        <v>-0.0007</v>
      </c>
    </row>
    <row r="291" spans="1:6">
      <c r="A291" s="14">
        <v>44925</v>
      </c>
      <c r="B291" s="13">
        <v>15.875</v>
      </c>
      <c r="C291" s="13">
        <v>15.854</v>
      </c>
      <c r="D291" s="13">
        <v>15.875</v>
      </c>
      <c r="E291" s="13">
        <v>15.854</v>
      </c>
      <c r="F291" s="15">
        <v>0.001</v>
      </c>
    </row>
    <row r="292" spans="1:6">
      <c r="A292" s="14">
        <v>44924</v>
      </c>
      <c r="B292" s="13">
        <v>15.859</v>
      </c>
      <c r="C292" s="13">
        <v>15.854</v>
      </c>
      <c r="D292" s="13">
        <v>15.859</v>
      </c>
      <c r="E292" s="13">
        <v>15.854</v>
      </c>
      <c r="F292" s="15">
        <v>0</v>
      </c>
    </row>
    <row r="293" spans="1:6">
      <c r="A293" s="14">
        <v>44923</v>
      </c>
      <c r="B293" s="13">
        <v>15.859</v>
      </c>
      <c r="C293" s="13">
        <v>15.854</v>
      </c>
      <c r="D293" s="13">
        <v>15.859</v>
      </c>
      <c r="E293" s="13">
        <v>15.854</v>
      </c>
      <c r="F293" s="15">
        <v>0</v>
      </c>
    </row>
    <row r="294" spans="1:6">
      <c r="A294" s="14">
        <v>44922</v>
      </c>
      <c r="B294" s="13">
        <v>15.859</v>
      </c>
      <c r="C294" s="13">
        <v>15.854</v>
      </c>
      <c r="D294" s="13">
        <v>15.859</v>
      </c>
      <c r="E294" s="13">
        <v>15.854</v>
      </c>
      <c r="F294" s="15">
        <v>0</v>
      </c>
    </row>
    <row r="295" spans="1:6">
      <c r="A295" s="14">
        <v>44921</v>
      </c>
      <c r="B295" s="13">
        <v>15.859</v>
      </c>
      <c r="C295" s="13">
        <v>15.854</v>
      </c>
      <c r="D295" s="13">
        <v>15.859</v>
      </c>
      <c r="E295" s="13">
        <v>15.854</v>
      </c>
      <c r="F295" s="15">
        <v>-0.0007</v>
      </c>
    </row>
    <row r="296" spans="1:6">
      <c r="A296" s="14">
        <v>44918</v>
      </c>
      <c r="B296" s="13">
        <v>15.87</v>
      </c>
      <c r="C296" s="13">
        <v>15.854</v>
      </c>
      <c r="D296" s="13">
        <v>15.87</v>
      </c>
      <c r="E296" s="13">
        <v>15.854</v>
      </c>
      <c r="F296" s="15">
        <v>0.0007</v>
      </c>
    </row>
    <row r="297" spans="1:6">
      <c r="A297" s="14">
        <v>44917</v>
      </c>
      <c r="B297" s="13">
        <v>15.859</v>
      </c>
      <c r="C297" s="13">
        <v>15.854</v>
      </c>
      <c r="D297" s="13">
        <v>15.859</v>
      </c>
      <c r="E297" s="13">
        <v>15.854</v>
      </c>
      <c r="F297" s="15">
        <v>0</v>
      </c>
    </row>
    <row r="298" spans="1:6">
      <c r="A298" s="14">
        <v>44916</v>
      </c>
      <c r="B298" s="13">
        <v>15.859</v>
      </c>
      <c r="C298" s="13">
        <v>15.454</v>
      </c>
      <c r="D298" s="13">
        <v>15.859</v>
      </c>
      <c r="E298" s="13">
        <v>15.454</v>
      </c>
      <c r="F298" s="15">
        <v>0.0259</v>
      </c>
    </row>
    <row r="299" spans="1:6">
      <c r="A299" s="14">
        <v>44915</v>
      </c>
      <c r="B299" s="13">
        <v>15.46</v>
      </c>
      <c r="C299" s="13">
        <v>15.454</v>
      </c>
      <c r="D299" s="13">
        <v>15.46</v>
      </c>
      <c r="E299" s="13">
        <v>15.454</v>
      </c>
      <c r="F299" s="15">
        <v>0</v>
      </c>
    </row>
    <row r="300" spans="1:6">
      <c r="A300" s="14">
        <v>44914</v>
      </c>
      <c r="B300" s="13">
        <v>15.46</v>
      </c>
      <c r="C300" s="13">
        <v>15.454</v>
      </c>
      <c r="D300" s="13">
        <v>15.46</v>
      </c>
      <c r="E300" s="13">
        <v>15.454</v>
      </c>
      <c r="F300" s="15">
        <v>0.0004</v>
      </c>
    </row>
    <row r="301" spans="1:6">
      <c r="A301" s="14">
        <v>44911</v>
      </c>
      <c r="B301" s="13">
        <v>15.454</v>
      </c>
      <c r="C301" s="13">
        <v>15.454</v>
      </c>
      <c r="D301" s="13">
        <v>15.454</v>
      </c>
      <c r="E301" s="13">
        <v>15.454</v>
      </c>
      <c r="F301" s="15">
        <v>-0.0013</v>
      </c>
    </row>
    <row r="302" spans="1:6">
      <c r="A302" s="14">
        <v>44910</v>
      </c>
      <c r="B302" s="13">
        <v>15.474</v>
      </c>
      <c r="C302" s="13">
        <v>15.454</v>
      </c>
      <c r="D302" s="13">
        <v>15.474</v>
      </c>
      <c r="E302" s="13">
        <v>15.454</v>
      </c>
      <c r="F302" s="15">
        <v>0.0009</v>
      </c>
    </row>
    <row r="303" spans="1:6">
      <c r="A303" s="14">
        <v>44909</v>
      </c>
      <c r="B303" s="13">
        <v>15.46</v>
      </c>
      <c r="C303" s="13">
        <v>15.454</v>
      </c>
      <c r="D303" s="13">
        <v>15.46</v>
      </c>
      <c r="E303" s="13">
        <v>15.454</v>
      </c>
      <c r="F303" s="15">
        <v>0</v>
      </c>
    </row>
    <row r="304" spans="1:6">
      <c r="A304" s="14">
        <v>44908</v>
      </c>
      <c r="B304" s="13">
        <v>15.46</v>
      </c>
      <c r="C304" s="13">
        <v>15.454</v>
      </c>
      <c r="D304" s="13">
        <v>15.46</v>
      </c>
      <c r="E304" s="13">
        <v>15.454</v>
      </c>
      <c r="F304" s="15">
        <v>0</v>
      </c>
    </row>
    <row r="305" spans="1:6">
      <c r="A305" s="14">
        <v>44907</v>
      </c>
      <c r="B305" s="13">
        <v>15.46</v>
      </c>
      <c r="C305" s="13">
        <v>15.454</v>
      </c>
      <c r="D305" s="13">
        <v>15.46</v>
      </c>
      <c r="E305" s="13">
        <v>15.454</v>
      </c>
      <c r="F305" s="15">
        <v>-0.0006</v>
      </c>
    </row>
    <row r="306" spans="1:6">
      <c r="A306" s="14">
        <v>44904</v>
      </c>
      <c r="B306" s="13">
        <v>15.469</v>
      </c>
      <c r="C306" s="13">
        <v>15.454</v>
      </c>
      <c r="D306" s="13">
        <v>15.469</v>
      </c>
      <c r="E306" s="13">
        <v>15.454</v>
      </c>
      <c r="F306" s="15">
        <v>0.0006</v>
      </c>
    </row>
    <row r="307" spans="1:6">
      <c r="A307" s="14">
        <v>44903</v>
      </c>
      <c r="B307" s="13">
        <v>15.46</v>
      </c>
      <c r="C307" s="13">
        <v>15.454</v>
      </c>
      <c r="D307" s="13">
        <v>15.46</v>
      </c>
      <c r="E307" s="13">
        <v>15.454</v>
      </c>
      <c r="F307" s="15">
        <v>0</v>
      </c>
    </row>
    <row r="308" spans="1:6">
      <c r="A308" s="14">
        <v>44902</v>
      </c>
      <c r="B308" s="13">
        <v>15.46</v>
      </c>
      <c r="C308" s="13">
        <v>15.454</v>
      </c>
      <c r="D308" s="13">
        <v>15.46</v>
      </c>
      <c r="E308" s="13">
        <v>15.454</v>
      </c>
      <c r="F308" s="15">
        <v>0</v>
      </c>
    </row>
    <row r="309" spans="1:6">
      <c r="A309" s="14">
        <v>44901</v>
      </c>
      <c r="B309" s="13">
        <v>15.46</v>
      </c>
      <c r="C309" s="13">
        <v>15.176</v>
      </c>
      <c r="D309" s="13">
        <v>15.46</v>
      </c>
      <c r="E309" s="13">
        <v>15.176</v>
      </c>
      <c r="F309" s="15">
        <v>0.0184</v>
      </c>
    </row>
    <row r="310" spans="1:6">
      <c r="A310" s="14">
        <v>44900</v>
      </c>
      <c r="B310" s="13">
        <v>15.181</v>
      </c>
      <c r="C310" s="13">
        <v>15.176</v>
      </c>
      <c r="D310" s="13">
        <v>15.181</v>
      </c>
      <c r="E310" s="13">
        <v>15.176</v>
      </c>
      <c r="F310" s="15">
        <v>-0.0006</v>
      </c>
    </row>
    <row r="311" spans="1:6">
      <c r="A311" s="14">
        <v>44897</v>
      </c>
      <c r="B311" s="13">
        <v>15.19</v>
      </c>
      <c r="C311" s="13">
        <v>15.176</v>
      </c>
      <c r="D311" s="13">
        <v>15.19</v>
      </c>
      <c r="E311" s="13">
        <v>15.176</v>
      </c>
      <c r="F311" s="15">
        <v>0.0006</v>
      </c>
    </row>
    <row r="312" spans="1:6">
      <c r="A312" s="14">
        <v>44896</v>
      </c>
      <c r="B312" s="13">
        <v>15.181</v>
      </c>
      <c r="C312" s="13">
        <v>15.176</v>
      </c>
      <c r="D312" s="13">
        <v>15.181</v>
      </c>
      <c r="E312" s="13">
        <v>15.176</v>
      </c>
      <c r="F312" s="15">
        <v>0</v>
      </c>
    </row>
    <row r="313" spans="1:6">
      <c r="A313" s="14">
        <v>44895</v>
      </c>
      <c r="B313" s="13">
        <v>15.181</v>
      </c>
      <c r="C313" s="13">
        <v>15.176</v>
      </c>
      <c r="D313" s="13">
        <v>15.181</v>
      </c>
      <c r="E313" s="13">
        <v>15.176</v>
      </c>
      <c r="F313" s="15">
        <v>0</v>
      </c>
    </row>
    <row r="314" spans="1:6">
      <c r="A314" s="14">
        <v>44894</v>
      </c>
      <c r="B314" s="13">
        <v>15.181</v>
      </c>
      <c r="C314" s="13">
        <v>15.176</v>
      </c>
      <c r="D314" s="13">
        <v>15.181</v>
      </c>
      <c r="E314" s="13">
        <v>15.176</v>
      </c>
      <c r="F314" s="15">
        <v>0</v>
      </c>
    </row>
    <row r="315" spans="1:6">
      <c r="A315" s="14">
        <v>44893</v>
      </c>
      <c r="B315" s="13">
        <v>15.181</v>
      </c>
      <c r="C315" s="13">
        <v>15.176</v>
      </c>
      <c r="D315" s="13">
        <v>15.181</v>
      </c>
      <c r="E315" s="13">
        <v>15.176</v>
      </c>
      <c r="F315" s="15">
        <v>-0.0006</v>
      </c>
    </row>
    <row r="316" spans="1:6">
      <c r="A316" s="14">
        <v>44890</v>
      </c>
      <c r="B316" s="13">
        <v>15.19</v>
      </c>
      <c r="C316" s="13">
        <v>15.176</v>
      </c>
      <c r="D316" s="13">
        <v>15.19</v>
      </c>
      <c r="E316" s="13">
        <v>15.176</v>
      </c>
      <c r="F316" s="15">
        <v>0.0006</v>
      </c>
    </row>
    <row r="317" spans="1:6">
      <c r="A317" s="14">
        <v>44889</v>
      </c>
      <c r="B317" s="13">
        <v>15.181</v>
      </c>
      <c r="C317" s="13">
        <v>15.176</v>
      </c>
      <c r="D317" s="13">
        <v>15.181</v>
      </c>
      <c r="E317" s="13">
        <v>15.176</v>
      </c>
      <c r="F317" s="15">
        <v>0</v>
      </c>
    </row>
    <row r="318" spans="1:6">
      <c r="A318" s="14">
        <v>44888</v>
      </c>
      <c r="B318" s="13">
        <v>15.181</v>
      </c>
      <c r="C318" s="13">
        <v>15.176</v>
      </c>
      <c r="D318" s="13">
        <v>15.181</v>
      </c>
      <c r="E318" s="13">
        <v>15.176</v>
      </c>
      <c r="F318" s="15">
        <v>0</v>
      </c>
    </row>
    <row r="319" spans="1:6">
      <c r="A319" s="14">
        <v>44887</v>
      </c>
      <c r="B319" s="13">
        <v>15.181</v>
      </c>
      <c r="C319" s="13">
        <v>15.176</v>
      </c>
      <c r="D319" s="13">
        <v>15.181</v>
      </c>
      <c r="E319" s="13">
        <v>15.176</v>
      </c>
      <c r="F319" s="15">
        <v>0</v>
      </c>
    </row>
    <row r="320" spans="1:6">
      <c r="A320" s="14">
        <v>44886</v>
      </c>
      <c r="B320" s="13">
        <v>15.181</v>
      </c>
      <c r="C320" s="13">
        <v>15.176</v>
      </c>
      <c r="D320" s="13">
        <v>15.181</v>
      </c>
      <c r="E320" s="13">
        <v>15.176</v>
      </c>
      <c r="F320" s="15">
        <v>-0.0006</v>
      </c>
    </row>
    <row r="321" spans="1:6">
      <c r="A321" s="14">
        <v>44883</v>
      </c>
      <c r="B321" s="13">
        <v>15.189</v>
      </c>
      <c r="C321" s="13">
        <v>15.176</v>
      </c>
      <c r="D321" s="13">
        <v>15.189</v>
      </c>
      <c r="E321" s="13">
        <v>15.176</v>
      </c>
      <c r="F321" s="15">
        <v>0.0006</v>
      </c>
    </row>
    <row r="322" spans="1:6">
      <c r="A322" s="14">
        <v>44882</v>
      </c>
      <c r="B322" s="13">
        <v>15.181</v>
      </c>
      <c r="C322" s="13">
        <v>15.176</v>
      </c>
      <c r="D322" s="13">
        <v>15.181</v>
      </c>
      <c r="E322" s="13">
        <v>15.176</v>
      </c>
      <c r="F322" s="15">
        <v>0</v>
      </c>
    </row>
    <row r="323" spans="1:6">
      <c r="A323" s="14">
        <v>44881</v>
      </c>
      <c r="B323" s="13">
        <v>15.181</v>
      </c>
      <c r="C323" s="13">
        <v>15.176</v>
      </c>
      <c r="D323" s="13">
        <v>15.181</v>
      </c>
      <c r="E323" s="13">
        <v>15.176</v>
      </c>
      <c r="F323" s="15">
        <v>0</v>
      </c>
    </row>
    <row r="324" spans="1:6">
      <c r="A324" s="14">
        <v>44880</v>
      </c>
      <c r="B324" s="13">
        <v>15.181</v>
      </c>
      <c r="C324" s="13">
        <v>13.814</v>
      </c>
      <c r="D324" s="13">
        <v>15.181</v>
      </c>
      <c r="E324" s="13">
        <v>13.814</v>
      </c>
      <c r="F324" s="15">
        <v>0.0986</v>
      </c>
    </row>
    <row r="325" spans="1:6">
      <c r="A325" s="14">
        <v>44879</v>
      </c>
      <c r="B325" s="13">
        <v>13.818</v>
      </c>
      <c r="C325" s="13">
        <v>13.814</v>
      </c>
      <c r="D325" s="13">
        <v>13.818</v>
      </c>
      <c r="E325" s="13">
        <v>13.814</v>
      </c>
      <c r="F325" s="15">
        <v>-0.0006</v>
      </c>
    </row>
    <row r="326" spans="1:6">
      <c r="A326" s="14">
        <v>44876</v>
      </c>
      <c r="B326" s="13">
        <v>13.826</v>
      </c>
      <c r="C326" s="13">
        <v>13.814</v>
      </c>
      <c r="D326" s="13">
        <v>13.826</v>
      </c>
      <c r="E326" s="13">
        <v>13.814</v>
      </c>
      <c r="F326" s="15">
        <v>0.0006</v>
      </c>
    </row>
    <row r="327" spans="1:6">
      <c r="A327" s="14">
        <v>44875</v>
      </c>
      <c r="B327" s="13">
        <v>13.818</v>
      </c>
      <c r="C327" s="13">
        <v>13.814</v>
      </c>
      <c r="D327" s="13">
        <v>13.818</v>
      </c>
      <c r="E327" s="13">
        <v>13.814</v>
      </c>
      <c r="F327" s="15">
        <v>0</v>
      </c>
    </row>
    <row r="328" spans="1:6">
      <c r="A328" s="14">
        <v>44874</v>
      </c>
      <c r="B328" s="13">
        <v>13.818</v>
      </c>
      <c r="C328" s="13">
        <v>13.814</v>
      </c>
      <c r="D328" s="13">
        <v>13.818</v>
      </c>
      <c r="E328" s="13">
        <v>13.814</v>
      </c>
      <c r="F328" s="15">
        <v>0</v>
      </c>
    </row>
    <row r="329" spans="1:6">
      <c r="A329" s="14">
        <v>44873</v>
      </c>
      <c r="B329" s="13">
        <v>13.818</v>
      </c>
      <c r="C329" s="13">
        <v>13.814</v>
      </c>
      <c r="D329" s="13">
        <v>13.818</v>
      </c>
      <c r="E329" s="13">
        <v>13.814</v>
      </c>
      <c r="F329" s="15">
        <v>0</v>
      </c>
    </row>
    <row r="330" spans="1:6">
      <c r="A330" s="14">
        <v>44872</v>
      </c>
      <c r="B330" s="13">
        <v>13.818</v>
      </c>
      <c r="C330" s="13">
        <v>13.814</v>
      </c>
      <c r="D330" s="13">
        <v>13.818</v>
      </c>
      <c r="E330" s="13">
        <v>13.814</v>
      </c>
      <c r="F330" s="15">
        <v>-0.0006</v>
      </c>
    </row>
    <row r="331" spans="1:6">
      <c r="A331" s="14">
        <v>44869</v>
      </c>
      <c r="B331" s="13">
        <v>13.826</v>
      </c>
      <c r="C331" s="13">
        <v>13.814</v>
      </c>
      <c r="D331" s="13">
        <v>13.826</v>
      </c>
      <c r="E331" s="13">
        <v>13.814</v>
      </c>
      <c r="F331" s="15">
        <v>0.0006</v>
      </c>
    </row>
    <row r="332" spans="1:6">
      <c r="A332" s="14">
        <v>44868</v>
      </c>
      <c r="B332" s="13">
        <v>13.818</v>
      </c>
      <c r="C332" s="13">
        <v>13.814</v>
      </c>
      <c r="D332" s="13">
        <v>13.818</v>
      </c>
      <c r="E332" s="13">
        <v>13.814</v>
      </c>
      <c r="F332" s="15">
        <v>0</v>
      </c>
    </row>
    <row r="333" spans="1:6">
      <c r="A333" s="14">
        <v>44867</v>
      </c>
      <c r="B333" s="13">
        <v>13.818</v>
      </c>
      <c r="C333" s="13">
        <v>13.814</v>
      </c>
      <c r="D333" s="13">
        <v>13.818</v>
      </c>
      <c r="E333" s="13">
        <v>13.814</v>
      </c>
      <c r="F333" s="15">
        <v>0</v>
      </c>
    </row>
    <row r="334" spans="1:6">
      <c r="A334" s="14">
        <v>44866</v>
      </c>
      <c r="B334" s="13">
        <v>13.818</v>
      </c>
      <c r="C334" s="13">
        <v>13.814</v>
      </c>
      <c r="D334" s="13">
        <v>13.818</v>
      </c>
      <c r="E334" s="13">
        <v>13.814</v>
      </c>
      <c r="F334" s="15">
        <v>-0.0004</v>
      </c>
    </row>
    <row r="335" spans="1:6">
      <c r="A335" s="14">
        <v>44865</v>
      </c>
      <c r="B335" s="13">
        <v>13.823</v>
      </c>
      <c r="C335" s="13">
        <v>13.814</v>
      </c>
      <c r="D335" s="13">
        <v>13.823</v>
      </c>
      <c r="E335" s="13">
        <v>13.814</v>
      </c>
      <c r="F335" s="15">
        <v>0.0006</v>
      </c>
    </row>
    <row r="336" spans="1:6">
      <c r="A336" s="14">
        <v>44862</v>
      </c>
      <c r="B336" s="13">
        <v>13.814</v>
      </c>
      <c r="C336" s="13">
        <v>13.814</v>
      </c>
      <c r="D336" s="13">
        <v>13.814</v>
      </c>
      <c r="E336" s="13">
        <v>13.814</v>
      </c>
      <c r="F336" s="15">
        <v>-0.0003</v>
      </c>
    </row>
    <row r="337" spans="1:6">
      <c r="A337" s="14">
        <v>44861</v>
      </c>
      <c r="B337" s="13">
        <v>13.818</v>
      </c>
      <c r="C337" s="13">
        <v>13.814</v>
      </c>
      <c r="D337" s="13">
        <v>13.818</v>
      </c>
      <c r="E337" s="13">
        <v>13.814</v>
      </c>
      <c r="F337" s="15">
        <v>0</v>
      </c>
    </row>
    <row r="338" spans="1:6">
      <c r="A338" s="14">
        <v>44860</v>
      </c>
      <c r="B338" s="13">
        <v>13.818</v>
      </c>
      <c r="C338" s="13">
        <v>13.764</v>
      </c>
      <c r="D338" s="13">
        <v>13.818</v>
      </c>
      <c r="E338" s="13">
        <v>13.764</v>
      </c>
      <c r="F338" s="15">
        <v>0.0036</v>
      </c>
    </row>
    <row r="339" spans="1:6">
      <c r="A339" s="14">
        <v>44859</v>
      </c>
      <c r="B339" s="13">
        <v>13.767</v>
      </c>
      <c r="C339" s="13">
        <v>13.664</v>
      </c>
      <c r="D339" s="13">
        <v>13.767</v>
      </c>
      <c r="E339" s="13">
        <v>13.664</v>
      </c>
      <c r="F339" s="15">
        <v>0.0073</v>
      </c>
    </row>
    <row r="340" spans="1:6">
      <c r="A340" s="14">
        <v>44858</v>
      </c>
      <c r="B340" s="13">
        <v>13.667</v>
      </c>
      <c r="C340" s="13">
        <v>13.664</v>
      </c>
      <c r="D340" s="13">
        <v>13.667</v>
      </c>
      <c r="E340" s="13">
        <v>13.664</v>
      </c>
      <c r="F340" s="15">
        <v>-0.0005</v>
      </c>
    </row>
    <row r="341" spans="1:6">
      <c r="A341" s="14">
        <v>44855</v>
      </c>
      <c r="B341" s="13">
        <v>13.675</v>
      </c>
      <c r="C341" s="13">
        <v>13.664</v>
      </c>
      <c r="D341" s="13">
        <v>13.675</v>
      </c>
      <c r="E341" s="13">
        <v>13.664</v>
      </c>
      <c r="F341" s="15">
        <v>0.0005</v>
      </c>
    </row>
    <row r="342" spans="1:6">
      <c r="A342" s="14">
        <v>44854</v>
      </c>
      <c r="B342" s="13">
        <v>13.667</v>
      </c>
      <c r="C342" s="13">
        <v>13.664</v>
      </c>
      <c r="D342" s="13">
        <v>13.667</v>
      </c>
      <c r="E342" s="13">
        <v>13.664</v>
      </c>
      <c r="F342" s="15">
        <v>0</v>
      </c>
    </row>
    <row r="343" spans="1:6">
      <c r="A343" s="14">
        <v>44853</v>
      </c>
      <c r="B343" s="13">
        <v>13.667</v>
      </c>
      <c r="C343" s="13">
        <v>13.664</v>
      </c>
      <c r="D343" s="13">
        <v>13.667</v>
      </c>
      <c r="E343" s="13">
        <v>13.664</v>
      </c>
      <c r="F343" s="15">
        <v>0</v>
      </c>
    </row>
    <row r="344" spans="1:6">
      <c r="A344" s="14">
        <v>44852</v>
      </c>
      <c r="B344" s="13">
        <v>13.668</v>
      </c>
      <c r="C344" s="13">
        <v>13.664</v>
      </c>
      <c r="D344" s="13">
        <v>13.668</v>
      </c>
      <c r="E344" s="13">
        <v>13.664</v>
      </c>
      <c r="F344" s="15">
        <v>0</v>
      </c>
    </row>
    <row r="345" spans="1:6">
      <c r="A345" s="14">
        <v>44851</v>
      </c>
      <c r="B345" s="13">
        <v>13.668</v>
      </c>
      <c r="C345" s="13">
        <v>13.664</v>
      </c>
      <c r="D345" s="13">
        <v>13.668</v>
      </c>
      <c r="E345" s="13">
        <v>13.664</v>
      </c>
      <c r="F345" s="15">
        <v>-0.0007</v>
      </c>
    </row>
    <row r="346" spans="1:6">
      <c r="A346" s="14">
        <v>44848</v>
      </c>
      <c r="B346" s="13">
        <v>13.677</v>
      </c>
      <c r="C346" s="13">
        <v>13.664</v>
      </c>
      <c r="D346" s="13">
        <v>13.677</v>
      </c>
      <c r="E346" s="13">
        <v>13.664</v>
      </c>
      <c r="F346" s="15">
        <v>0.0007</v>
      </c>
    </row>
    <row r="347" spans="1:6">
      <c r="A347" s="14">
        <v>44847</v>
      </c>
      <c r="B347" s="13">
        <v>13.668</v>
      </c>
      <c r="C347" s="13">
        <v>13.664</v>
      </c>
      <c r="D347" s="13">
        <v>13.668</v>
      </c>
      <c r="E347" s="13">
        <v>13.664</v>
      </c>
      <c r="F347" s="15">
        <v>0</v>
      </c>
    </row>
    <row r="348" spans="1:6">
      <c r="A348" s="14">
        <v>44846</v>
      </c>
      <c r="B348" s="13">
        <v>13.668</v>
      </c>
      <c r="C348" s="13">
        <v>13.664</v>
      </c>
      <c r="D348" s="13">
        <v>13.668</v>
      </c>
      <c r="E348" s="13">
        <v>13.664</v>
      </c>
      <c r="F348" s="15">
        <v>0</v>
      </c>
    </row>
    <row r="349" spans="1:6">
      <c r="A349" s="14">
        <v>44845</v>
      </c>
      <c r="B349" s="13">
        <v>13.668</v>
      </c>
      <c r="C349" s="13">
        <v>13.664</v>
      </c>
      <c r="D349" s="13">
        <v>13.668</v>
      </c>
      <c r="E349" s="13">
        <v>13.664</v>
      </c>
      <c r="F349" s="15">
        <v>0</v>
      </c>
    </row>
    <row r="350" spans="1:6">
      <c r="A350" s="14">
        <v>44844</v>
      </c>
      <c r="B350" s="13">
        <v>13.668</v>
      </c>
      <c r="C350" s="13">
        <v>13.664</v>
      </c>
      <c r="D350" s="13">
        <v>13.668</v>
      </c>
      <c r="E350" s="13">
        <v>13.664</v>
      </c>
      <c r="F350" s="15">
        <v>-0.0007</v>
      </c>
    </row>
    <row r="351" spans="1:6">
      <c r="A351" s="14">
        <v>44841</v>
      </c>
      <c r="B351" s="13">
        <v>13.677</v>
      </c>
      <c r="C351" s="13">
        <v>13.664</v>
      </c>
      <c r="D351" s="13">
        <v>13.677</v>
      </c>
      <c r="E351" s="13">
        <v>13.664</v>
      </c>
      <c r="F351" s="15">
        <v>0.0007</v>
      </c>
    </row>
    <row r="352" spans="1:6">
      <c r="A352" s="14">
        <v>44840</v>
      </c>
      <c r="B352" s="13">
        <v>13.668</v>
      </c>
      <c r="C352" s="13">
        <v>13.664</v>
      </c>
      <c r="D352" s="13">
        <v>13.668</v>
      </c>
      <c r="E352" s="13">
        <v>13.664</v>
      </c>
      <c r="F352" s="15">
        <v>0</v>
      </c>
    </row>
    <row r="353" spans="1:6">
      <c r="A353" s="14">
        <v>44839</v>
      </c>
      <c r="B353" s="13">
        <v>13.668</v>
      </c>
      <c r="C353" s="13">
        <v>13.664</v>
      </c>
      <c r="D353" s="13">
        <v>13.668</v>
      </c>
      <c r="E353" s="13">
        <v>13.664</v>
      </c>
      <c r="F353" s="15">
        <v>0</v>
      </c>
    </row>
    <row r="354" spans="1:6">
      <c r="A354" s="14">
        <v>44838</v>
      </c>
      <c r="B354" s="13">
        <v>13.668</v>
      </c>
      <c r="C354" s="13">
        <v>13.664</v>
      </c>
      <c r="D354" s="13">
        <v>13.668</v>
      </c>
      <c r="E354" s="13">
        <v>13.664</v>
      </c>
      <c r="F354" s="15">
        <v>0</v>
      </c>
    </row>
    <row r="355" spans="1:6">
      <c r="A355" s="14">
        <v>44837</v>
      </c>
      <c r="B355" s="13">
        <v>13.668</v>
      </c>
      <c r="C355" s="13">
        <v>13.664</v>
      </c>
      <c r="D355" s="13">
        <v>13.668</v>
      </c>
      <c r="E355" s="13">
        <v>13.664</v>
      </c>
      <c r="F355" s="15">
        <v>-0.0007</v>
      </c>
    </row>
    <row r="356" spans="1:6">
      <c r="A356" s="14">
        <v>44834</v>
      </c>
      <c r="B356" s="13">
        <v>13.677</v>
      </c>
      <c r="C356" s="13">
        <v>13.664</v>
      </c>
      <c r="D356" s="13">
        <v>13.677</v>
      </c>
      <c r="E356" s="13">
        <v>13.664</v>
      </c>
      <c r="F356" s="15">
        <v>0.0007</v>
      </c>
    </row>
    <row r="357" spans="1:6">
      <c r="A357" s="14">
        <v>44833</v>
      </c>
      <c r="B357" s="13">
        <v>13.668</v>
      </c>
      <c r="C357" s="13">
        <v>13.664</v>
      </c>
      <c r="D357" s="13">
        <v>13.668</v>
      </c>
      <c r="E357" s="13">
        <v>13.664</v>
      </c>
      <c r="F357" s="15">
        <v>0</v>
      </c>
    </row>
    <row r="358" spans="1:6">
      <c r="A358" s="14">
        <v>44832</v>
      </c>
      <c r="B358" s="13">
        <v>13.668</v>
      </c>
      <c r="C358" s="13">
        <v>13.664</v>
      </c>
      <c r="D358" s="13">
        <v>13.668</v>
      </c>
      <c r="E358" s="13">
        <v>13.664</v>
      </c>
      <c r="F358" s="15">
        <v>0</v>
      </c>
    </row>
    <row r="359" spans="1:6">
      <c r="A359" s="14">
        <v>44831</v>
      </c>
      <c r="B359" s="13">
        <v>13.668</v>
      </c>
      <c r="C359" s="13">
        <v>13.664</v>
      </c>
      <c r="D359" s="13">
        <v>13.668</v>
      </c>
      <c r="E359" s="13">
        <v>13.664</v>
      </c>
      <c r="F359" s="15">
        <v>0</v>
      </c>
    </row>
    <row r="360" spans="1:6">
      <c r="A360" s="14">
        <v>44830</v>
      </c>
      <c r="B360" s="13">
        <v>13.668</v>
      </c>
      <c r="C360" s="13">
        <v>13.664</v>
      </c>
      <c r="D360" s="13">
        <v>13.668</v>
      </c>
      <c r="E360" s="13">
        <v>13.664</v>
      </c>
      <c r="F360" s="15">
        <v>-0.0007</v>
      </c>
    </row>
    <row r="361" spans="1:6">
      <c r="A361" s="14">
        <v>44827</v>
      </c>
      <c r="B361" s="13">
        <v>13.677</v>
      </c>
      <c r="C361" s="13">
        <v>13.664</v>
      </c>
      <c r="D361" s="13">
        <v>13.677</v>
      </c>
      <c r="E361" s="13">
        <v>13.664</v>
      </c>
      <c r="F361" s="15">
        <v>0.0007</v>
      </c>
    </row>
    <row r="362" spans="1:6">
      <c r="A362" s="14">
        <v>44826</v>
      </c>
      <c r="B362" s="13">
        <v>13.668</v>
      </c>
      <c r="C362" s="13">
        <v>13.664</v>
      </c>
      <c r="D362" s="13">
        <v>13.668</v>
      </c>
      <c r="E362" s="13">
        <v>13.664</v>
      </c>
      <c r="F362" s="15">
        <v>0</v>
      </c>
    </row>
    <row r="363" spans="1:6">
      <c r="A363" s="14">
        <v>44825</v>
      </c>
      <c r="B363" s="13">
        <v>13.668</v>
      </c>
      <c r="C363" s="13">
        <v>13.664</v>
      </c>
      <c r="D363" s="13">
        <v>13.668</v>
      </c>
      <c r="E363" s="13">
        <v>13.664</v>
      </c>
      <c r="F363" s="15">
        <v>0</v>
      </c>
    </row>
    <row r="364" spans="1:6">
      <c r="A364" s="14">
        <v>44824</v>
      </c>
      <c r="B364" s="13">
        <v>13.668</v>
      </c>
      <c r="C364" s="13">
        <v>13.664</v>
      </c>
      <c r="D364" s="13">
        <v>13.668</v>
      </c>
      <c r="E364" s="13">
        <v>13.664</v>
      </c>
      <c r="F364" s="15">
        <v>0</v>
      </c>
    </row>
    <row r="365" spans="1:6">
      <c r="A365" s="14">
        <v>44823</v>
      </c>
      <c r="B365" s="13">
        <v>13.668</v>
      </c>
      <c r="C365" s="13">
        <v>13.664</v>
      </c>
      <c r="D365" s="13">
        <v>13.668</v>
      </c>
      <c r="E365" s="13">
        <v>13.664</v>
      </c>
      <c r="F365" s="15">
        <v>-0.0006</v>
      </c>
    </row>
    <row r="366" spans="1:6">
      <c r="A366" s="14">
        <v>44820</v>
      </c>
      <c r="B366" s="13">
        <v>13.677</v>
      </c>
      <c r="C366" s="13">
        <v>13.664</v>
      </c>
      <c r="D366" s="13">
        <v>13.677</v>
      </c>
      <c r="E366" s="13">
        <v>13.664</v>
      </c>
      <c r="F366" s="15">
        <v>0.0006</v>
      </c>
    </row>
    <row r="367" spans="1:6">
      <c r="A367" s="14">
        <v>44819</v>
      </c>
      <c r="B367" s="13">
        <v>13.668</v>
      </c>
      <c r="C367" s="13">
        <v>13.664</v>
      </c>
      <c r="D367" s="13">
        <v>13.668</v>
      </c>
      <c r="E367" s="13">
        <v>13.664</v>
      </c>
      <c r="F367" s="15">
        <v>0</v>
      </c>
    </row>
    <row r="368" spans="1:6">
      <c r="A368" s="14">
        <v>44818</v>
      </c>
      <c r="B368" s="13">
        <v>13.667</v>
      </c>
      <c r="C368" s="13">
        <v>13.664</v>
      </c>
      <c r="D368" s="13">
        <v>13.667</v>
      </c>
      <c r="E368" s="13">
        <v>13.664</v>
      </c>
      <c r="F368" s="15">
        <v>0</v>
      </c>
    </row>
    <row r="369" spans="1:6">
      <c r="A369" s="14">
        <v>44817</v>
      </c>
      <c r="B369" s="13">
        <v>13.667</v>
      </c>
      <c r="C369" s="13">
        <v>13.664</v>
      </c>
      <c r="D369" s="13">
        <v>13.667</v>
      </c>
      <c r="E369" s="13">
        <v>13.664</v>
      </c>
      <c r="F369" s="15">
        <v>0</v>
      </c>
    </row>
    <row r="370" spans="1:6">
      <c r="A370" s="14">
        <v>44816</v>
      </c>
      <c r="B370" s="13">
        <v>13.667</v>
      </c>
      <c r="C370" s="13">
        <v>13.664</v>
      </c>
      <c r="D370" s="13">
        <v>13.667</v>
      </c>
      <c r="E370" s="13">
        <v>13.664</v>
      </c>
      <c r="F370" s="15">
        <v>-0.0007</v>
      </c>
    </row>
    <row r="371" spans="1:6">
      <c r="A371" s="14">
        <v>44813</v>
      </c>
      <c r="B371" s="13">
        <v>13.677</v>
      </c>
      <c r="C371" s="13">
        <v>13.664</v>
      </c>
      <c r="D371" s="13">
        <v>13.677</v>
      </c>
      <c r="E371" s="13">
        <v>13.664</v>
      </c>
      <c r="F371" s="15">
        <v>0.0007</v>
      </c>
    </row>
    <row r="372" spans="1:6">
      <c r="A372" s="14">
        <v>44812</v>
      </c>
      <c r="B372" s="13">
        <v>13.667</v>
      </c>
      <c r="C372" s="13">
        <v>13.664</v>
      </c>
      <c r="D372" s="13">
        <v>13.667</v>
      </c>
      <c r="E372" s="13">
        <v>13.664</v>
      </c>
      <c r="F372" s="15">
        <v>0</v>
      </c>
    </row>
    <row r="373" spans="1:6">
      <c r="A373" s="14">
        <v>44811</v>
      </c>
      <c r="B373" s="13">
        <v>13.667</v>
      </c>
      <c r="C373" s="13">
        <v>13.664</v>
      </c>
      <c r="D373" s="13">
        <v>13.667</v>
      </c>
      <c r="E373" s="13">
        <v>13.664</v>
      </c>
      <c r="F373" s="15">
        <v>0</v>
      </c>
    </row>
    <row r="374" spans="1:6">
      <c r="A374" s="14">
        <v>44810</v>
      </c>
      <c r="B374" s="13">
        <v>13.667</v>
      </c>
      <c r="C374" s="13">
        <v>13.664</v>
      </c>
      <c r="D374" s="13">
        <v>13.667</v>
      </c>
      <c r="E374" s="13">
        <v>13.664</v>
      </c>
      <c r="F374" s="15">
        <v>0</v>
      </c>
    </row>
    <row r="375" spans="1:6">
      <c r="A375" s="14">
        <v>44809</v>
      </c>
      <c r="B375" s="13">
        <v>13.667</v>
      </c>
      <c r="C375" s="13">
        <v>13</v>
      </c>
      <c r="D375" s="13">
        <v>13.667</v>
      </c>
      <c r="E375" s="13">
        <v>13</v>
      </c>
      <c r="F375" s="15">
        <v>0.0504</v>
      </c>
    </row>
    <row r="376" spans="1:6">
      <c r="A376" s="14">
        <v>44806</v>
      </c>
      <c r="B376" s="13">
        <v>13.012</v>
      </c>
      <c r="C376" s="13">
        <v>13</v>
      </c>
      <c r="D376" s="13">
        <v>13.012</v>
      </c>
      <c r="E376" s="13">
        <v>13</v>
      </c>
      <c r="F376" s="15">
        <v>0.0006</v>
      </c>
    </row>
    <row r="377" spans="1:6">
      <c r="A377" s="14">
        <v>44805</v>
      </c>
      <c r="B377" s="13">
        <v>13.003</v>
      </c>
      <c r="C377" s="13">
        <v>13</v>
      </c>
      <c r="D377" s="13">
        <v>13.003</v>
      </c>
      <c r="E377" s="13">
        <v>13</v>
      </c>
      <c r="F377" s="15">
        <v>-0.0004</v>
      </c>
    </row>
    <row r="378" spans="1:6">
      <c r="A378" s="14">
        <v>44804</v>
      </c>
      <c r="B378" s="13">
        <v>13.009</v>
      </c>
      <c r="C378" s="13">
        <v>13.524</v>
      </c>
      <c r="D378" s="13">
        <v>13.524</v>
      </c>
      <c r="E378" s="13">
        <v>13</v>
      </c>
      <c r="F378" s="15">
        <v>-0.0381</v>
      </c>
    </row>
    <row r="379" spans="1:6">
      <c r="A379" s="14">
        <v>44803</v>
      </c>
      <c r="B379" s="13">
        <v>13.524</v>
      </c>
      <c r="C379" s="13">
        <v>13.524</v>
      </c>
      <c r="D379" s="13">
        <v>13.524</v>
      </c>
      <c r="E379" s="13">
        <v>13.524</v>
      </c>
      <c r="F379" s="15">
        <v>0</v>
      </c>
    </row>
    <row r="380" spans="1:6">
      <c r="A380" s="14">
        <v>44802</v>
      </c>
      <c r="B380" s="13">
        <v>13.524</v>
      </c>
      <c r="C380" s="13">
        <v>13.524</v>
      </c>
      <c r="D380" s="13">
        <v>13.524</v>
      </c>
      <c r="E380" s="13">
        <v>13.524</v>
      </c>
      <c r="F380" s="15">
        <v>-0.001</v>
      </c>
    </row>
    <row r="381" spans="1:6">
      <c r="A381" s="14">
        <v>44799</v>
      </c>
      <c r="B381" s="13">
        <v>13.536</v>
      </c>
      <c r="C381" s="13">
        <v>13.524</v>
      </c>
      <c r="D381" s="13">
        <v>13.536</v>
      </c>
      <c r="E381" s="13">
        <v>13.524</v>
      </c>
      <c r="F381" s="15">
        <v>0.0006</v>
      </c>
    </row>
    <row r="382" spans="1:6">
      <c r="A382" s="14">
        <v>44798</v>
      </c>
      <c r="B382" s="13">
        <v>13.528</v>
      </c>
      <c r="C382" s="13">
        <v>13.524</v>
      </c>
      <c r="D382" s="13">
        <v>13.528</v>
      </c>
      <c r="E382" s="13">
        <v>13.524</v>
      </c>
      <c r="F382" s="15">
        <v>0</v>
      </c>
    </row>
    <row r="383" spans="1:6">
      <c r="A383" s="14">
        <v>44797</v>
      </c>
      <c r="B383" s="13">
        <v>13.528</v>
      </c>
      <c r="C383" s="13">
        <v>13.524</v>
      </c>
      <c r="D383" s="13">
        <v>13.528</v>
      </c>
      <c r="E383" s="13">
        <v>13.524</v>
      </c>
      <c r="F383" s="15">
        <v>0</v>
      </c>
    </row>
    <row r="384" spans="1:6">
      <c r="A384" s="14">
        <v>44796</v>
      </c>
      <c r="B384" s="13">
        <v>13.528</v>
      </c>
      <c r="C384" s="13">
        <v>13.524</v>
      </c>
      <c r="D384" s="13">
        <v>13.528</v>
      </c>
      <c r="E384" s="13">
        <v>13.524</v>
      </c>
      <c r="F384" s="15">
        <v>0</v>
      </c>
    </row>
    <row r="385" spans="1:6">
      <c r="A385" s="14">
        <v>44795</v>
      </c>
      <c r="B385" s="13">
        <v>13.528</v>
      </c>
      <c r="C385" s="13">
        <v>13.524</v>
      </c>
      <c r="D385" s="13">
        <v>13.528</v>
      </c>
      <c r="E385" s="13">
        <v>13.524</v>
      </c>
      <c r="F385" s="15">
        <v>-0.0006</v>
      </c>
    </row>
    <row r="386" spans="1:6">
      <c r="A386" s="14">
        <v>44792</v>
      </c>
      <c r="B386" s="13">
        <v>13.536</v>
      </c>
      <c r="C386" s="13">
        <v>13.524</v>
      </c>
      <c r="D386" s="13">
        <v>13.536</v>
      </c>
      <c r="E386" s="13">
        <v>13.524</v>
      </c>
      <c r="F386" s="15">
        <v>0.0006</v>
      </c>
    </row>
    <row r="387" spans="1:6">
      <c r="A387" s="14">
        <v>44791</v>
      </c>
      <c r="B387" s="13">
        <v>13.528</v>
      </c>
      <c r="C387" s="13">
        <v>13.524</v>
      </c>
      <c r="D387" s="13">
        <v>13.528</v>
      </c>
      <c r="E387" s="13">
        <v>13.524</v>
      </c>
      <c r="F387" s="15">
        <v>0</v>
      </c>
    </row>
    <row r="388" spans="1:6">
      <c r="A388" s="14">
        <v>44790</v>
      </c>
      <c r="B388" s="13">
        <v>13.528</v>
      </c>
      <c r="C388" s="13">
        <v>13.524</v>
      </c>
      <c r="D388" s="13">
        <v>13.528</v>
      </c>
      <c r="E388" s="13">
        <v>13.524</v>
      </c>
      <c r="F388" s="15">
        <v>0</v>
      </c>
    </row>
    <row r="389" spans="1:6">
      <c r="A389" s="14">
        <v>44789</v>
      </c>
      <c r="B389" s="13">
        <v>13.528</v>
      </c>
      <c r="C389" s="13">
        <v>13.573</v>
      </c>
      <c r="D389" s="13">
        <v>13.573</v>
      </c>
      <c r="E389" s="13">
        <v>13.524</v>
      </c>
      <c r="F389" s="15">
        <v>-0.0036</v>
      </c>
    </row>
    <row r="390" spans="1:6">
      <c r="A390" s="14">
        <v>44788</v>
      </c>
      <c r="B390" s="13">
        <v>13.577</v>
      </c>
      <c r="C390" s="13">
        <v>13.573</v>
      </c>
      <c r="D390" s="13">
        <v>13.577</v>
      </c>
      <c r="E390" s="13">
        <v>13.573</v>
      </c>
      <c r="F390" s="15">
        <v>-0.0006</v>
      </c>
    </row>
    <row r="391" spans="1:6">
      <c r="A391" s="14">
        <v>44785</v>
      </c>
      <c r="B391" s="13">
        <v>13.585</v>
      </c>
      <c r="C391" s="13">
        <v>13.573</v>
      </c>
      <c r="D391" s="13">
        <v>13.585</v>
      </c>
      <c r="E391" s="13">
        <v>13.573</v>
      </c>
      <c r="F391" s="15">
        <v>0.0007</v>
      </c>
    </row>
    <row r="392" spans="1:6">
      <c r="A392" s="14">
        <v>44784</v>
      </c>
      <c r="B392" s="13">
        <v>13.576</v>
      </c>
      <c r="C392" s="13">
        <v>13.573</v>
      </c>
      <c r="D392" s="13">
        <v>13.576</v>
      </c>
      <c r="E392" s="13">
        <v>13.573</v>
      </c>
      <c r="F392" s="15">
        <v>0</v>
      </c>
    </row>
    <row r="393" spans="1:6">
      <c r="A393" s="14">
        <v>44783</v>
      </c>
      <c r="B393" s="13">
        <v>13.576</v>
      </c>
      <c r="C393" s="13">
        <v>13.573</v>
      </c>
      <c r="D393" s="13">
        <v>13.576</v>
      </c>
      <c r="E393" s="13">
        <v>13.573</v>
      </c>
      <c r="F393" s="15">
        <v>0</v>
      </c>
    </row>
    <row r="394" spans="1:6">
      <c r="A394" s="14">
        <v>44782</v>
      </c>
      <c r="B394" s="13">
        <v>13.576</v>
      </c>
      <c r="C394" s="13">
        <v>13.573</v>
      </c>
      <c r="D394" s="13">
        <v>13.576</v>
      </c>
      <c r="E394" s="13">
        <v>13.573</v>
      </c>
      <c r="F394" s="15">
        <v>0</v>
      </c>
    </row>
    <row r="395" spans="1:6">
      <c r="A395" s="14">
        <v>44781</v>
      </c>
      <c r="B395" s="13">
        <v>13.576</v>
      </c>
      <c r="C395" s="13">
        <v>13.573</v>
      </c>
      <c r="D395" s="13">
        <v>13.576</v>
      </c>
      <c r="E395" s="13">
        <v>13.573</v>
      </c>
      <c r="F395" s="15">
        <v>-0.0007</v>
      </c>
    </row>
    <row r="396" spans="1:6">
      <c r="A396" s="14">
        <v>44778</v>
      </c>
      <c r="B396" s="13">
        <v>13.585</v>
      </c>
      <c r="C396" s="13">
        <v>13.573</v>
      </c>
      <c r="D396" s="13">
        <v>13.585</v>
      </c>
      <c r="E396" s="13">
        <v>13.573</v>
      </c>
      <c r="F396" s="15">
        <v>0.0007</v>
      </c>
    </row>
    <row r="397" spans="1:6">
      <c r="A397" s="14">
        <v>44777</v>
      </c>
      <c r="B397" s="13">
        <v>13.576</v>
      </c>
      <c r="C397" s="13">
        <v>13.573</v>
      </c>
      <c r="D397" s="13">
        <v>13.576</v>
      </c>
      <c r="E397" s="13">
        <v>13.573</v>
      </c>
      <c r="F397" s="15">
        <v>0</v>
      </c>
    </row>
    <row r="398" spans="1:6">
      <c r="A398" s="14">
        <v>44776</v>
      </c>
      <c r="B398" s="13">
        <v>13.576</v>
      </c>
      <c r="C398" s="13">
        <v>13.573</v>
      </c>
      <c r="D398" s="13">
        <v>13.576</v>
      </c>
      <c r="E398" s="13">
        <v>13.573</v>
      </c>
      <c r="F398" s="15">
        <v>0</v>
      </c>
    </row>
    <row r="399" spans="1:6">
      <c r="A399" s="14">
        <v>44775</v>
      </c>
      <c r="B399" s="13">
        <v>13.576</v>
      </c>
      <c r="C399" s="13">
        <v>13.573</v>
      </c>
      <c r="D399" s="13">
        <v>13.576</v>
      </c>
      <c r="E399" s="13">
        <v>13.573</v>
      </c>
      <c r="F399" s="15">
        <v>0</v>
      </c>
    </row>
    <row r="400" spans="1:6">
      <c r="A400" s="14">
        <v>44774</v>
      </c>
      <c r="B400" s="13">
        <v>13.576</v>
      </c>
      <c r="C400" s="13">
        <v>13.573</v>
      </c>
      <c r="D400" s="13">
        <v>13.576</v>
      </c>
      <c r="E400" s="13">
        <v>13.573</v>
      </c>
      <c r="F400" s="15">
        <v>-0.0003</v>
      </c>
    </row>
    <row r="401" spans="1:6">
      <c r="A401" s="14">
        <v>44771</v>
      </c>
      <c r="B401" s="13">
        <v>13.581</v>
      </c>
      <c r="C401" s="13">
        <v>13.573</v>
      </c>
      <c r="D401" s="13">
        <v>13.581</v>
      </c>
      <c r="E401" s="13">
        <v>13.573</v>
      </c>
      <c r="F401" s="15">
        <v>0.0003</v>
      </c>
    </row>
    <row r="402" spans="1:6">
      <c r="A402" s="14">
        <v>44770</v>
      </c>
      <c r="B402" s="13">
        <v>13.576</v>
      </c>
      <c r="C402" s="13">
        <v>13.573</v>
      </c>
      <c r="D402" s="13">
        <v>13.576</v>
      </c>
      <c r="E402" s="13">
        <v>13.573</v>
      </c>
      <c r="F402" s="15">
        <v>0</v>
      </c>
    </row>
    <row r="403" spans="1:6">
      <c r="A403" s="14">
        <v>44769</v>
      </c>
      <c r="B403" s="13">
        <v>13.576</v>
      </c>
      <c r="C403" s="13">
        <v>13.573</v>
      </c>
      <c r="D403" s="13">
        <v>13.576</v>
      </c>
      <c r="E403" s="13">
        <v>13.573</v>
      </c>
      <c r="F403" s="15">
        <v>0</v>
      </c>
    </row>
    <row r="404" spans="1:6">
      <c r="A404" s="14">
        <v>44768</v>
      </c>
      <c r="B404" s="13">
        <v>13.576</v>
      </c>
      <c r="C404" s="13">
        <v>13.573</v>
      </c>
      <c r="D404" s="13">
        <v>13.576</v>
      </c>
      <c r="E404" s="13">
        <v>13.573</v>
      </c>
      <c r="F404" s="15">
        <v>0</v>
      </c>
    </row>
    <row r="405" spans="1:6">
      <c r="A405" s="14">
        <v>44767</v>
      </c>
      <c r="B405" s="13">
        <v>13.576</v>
      </c>
      <c r="C405" s="13">
        <v>13.573</v>
      </c>
      <c r="D405" s="13">
        <v>13.576</v>
      </c>
      <c r="E405" s="13">
        <v>13.573</v>
      </c>
      <c r="F405" s="15">
        <v>-0.0006</v>
      </c>
    </row>
    <row r="406" spans="1:6">
      <c r="A406" s="14">
        <v>44764</v>
      </c>
      <c r="B406" s="13">
        <v>13.585</v>
      </c>
      <c r="C406" s="13">
        <v>13.573</v>
      </c>
      <c r="D406" s="13">
        <v>13.585</v>
      </c>
      <c r="E406" s="13">
        <v>13.573</v>
      </c>
      <c r="F406" s="15">
        <v>0.0006</v>
      </c>
    </row>
    <row r="407" spans="1:6">
      <c r="A407" s="14">
        <v>44763</v>
      </c>
      <c r="B407" s="13">
        <v>13.576</v>
      </c>
      <c r="C407" s="13">
        <v>13.573</v>
      </c>
      <c r="D407" s="13">
        <v>13.576</v>
      </c>
      <c r="E407" s="13">
        <v>13.573</v>
      </c>
      <c r="F407" s="15">
        <v>0</v>
      </c>
    </row>
    <row r="408" spans="1:6">
      <c r="A408" s="14">
        <v>44762</v>
      </c>
      <c r="B408" s="13">
        <v>13.576</v>
      </c>
      <c r="C408" s="13">
        <v>13.573</v>
      </c>
      <c r="D408" s="13">
        <v>13.576</v>
      </c>
      <c r="E408" s="13">
        <v>13.573</v>
      </c>
      <c r="F408" s="15">
        <v>0</v>
      </c>
    </row>
    <row r="409" spans="1:6">
      <c r="A409" s="14">
        <v>44761</v>
      </c>
      <c r="B409" s="13">
        <v>13.576</v>
      </c>
      <c r="C409" s="13">
        <v>13.573</v>
      </c>
      <c r="D409" s="13">
        <v>13.576</v>
      </c>
      <c r="E409" s="13">
        <v>13.573</v>
      </c>
      <c r="F409" s="15">
        <v>0</v>
      </c>
    </row>
    <row r="410" spans="1:6">
      <c r="A410" s="14">
        <v>44760</v>
      </c>
      <c r="B410" s="13">
        <v>13.576</v>
      </c>
      <c r="C410" s="13">
        <v>13.573</v>
      </c>
      <c r="D410" s="13">
        <v>13.576</v>
      </c>
      <c r="E410" s="13">
        <v>13.573</v>
      </c>
      <c r="F410" s="15">
        <v>-0.0006</v>
      </c>
    </row>
    <row r="411" spans="1:6">
      <c r="A411" s="14">
        <v>44757</v>
      </c>
      <c r="B411" s="13">
        <v>13.585</v>
      </c>
      <c r="C411" s="13">
        <v>13.573</v>
      </c>
      <c r="D411" s="13">
        <v>13.585</v>
      </c>
      <c r="E411" s="13">
        <v>13.573</v>
      </c>
      <c r="F411" s="15">
        <v>0.0006</v>
      </c>
    </row>
    <row r="412" spans="1:6">
      <c r="A412" s="14">
        <v>44756</v>
      </c>
      <c r="B412" s="13">
        <v>13.576</v>
      </c>
      <c r="C412" s="13">
        <v>13.573</v>
      </c>
      <c r="D412" s="13">
        <v>13.576</v>
      </c>
      <c r="E412" s="13">
        <v>13.573</v>
      </c>
      <c r="F412" s="15">
        <v>0</v>
      </c>
    </row>
    <row r="413" spans="1:6">
      <c r="A413" s="14">
        <v>44755</v>
      </c>
      <c r="B413" s="13">
        <v>13.576</v>
      </c>
      <c r="C413" s="13">
        <v>13.573</v>
      </c>
      <c r="D413" s="13">
        <v>13.576</v>
      </c>
      <c r="E413" s="13">
        <v>13.573</v>
      </c>
      <c r="F413" s="15">
        <v>0</v>
      </c>
    </row>
    <row r="414" spans="1:6">
      <c r="A414" s="14">
        <v>44754</v>
      </c>
      <c r="B414" s="13">
        <v>13.576</v>
      </c>
      <c r="C414" s="13">
        <v>13.573</v>
      </c>
      <c r="D414" s="13">
        <v>13.576</v>
      </c>
      <c r="E414" s="13">
        <v>13.573</v>
      </c>
      <c r="F414" s="15">
        <v>0</v>
      </c>
    </row>
    <row r="415" spans="1:6">
      <c r="A415" s="14">
        <v>44753</v>
      </c>
      <c r="B415" s="13">
        <v>13.576</v>
      </c>
      <c r="C415" s="13">
        <v>13.573</v>
      </c>
      <c r="D415" s="13">
        <v>13.576</v>
      </c>
      <c r="E415" s="13">
        <v>13.573</v>
      </c>
      <c r="F415" s="15">
        <v>-0.0006</v>
      </c>
    </row>
    <row r="416" spans="1:6">
      <c r="A416" s="14">
        <v>44750</v>
      </c>
      <c r="B416" s="13">
        <v>13.585</v>
      </c>
      <c r="C416" s="13">
        <v>13.573</v>
      </c>
      <c r="D416" s="13">
        <v>13.585</v>
      </c>
      <c r="E416" s="13">
        <v>13.573</v>
      </c>
      <c r="F416" s="15">
        <v>0.0006</v>
      </c>
    </row>
    <row r="417" spans="1:6">
      <c r="A417" s="14">
        <v>44749</v>
      </c>
      <c r="B417" s="13">
        <v>13.576</v>
      </c>
      <c r="C417" s="13">
        <v>13.573</v>
      </c>
      <c r="D417" s="13">
        <v>13.576</v>
      </c>
      <c r="E417" s="13">
        <v>13.573</v>
      </c>
      <c r="F417" s="15">
        <v>0</v>
      </c>
    </row>
    <row r="418" spans="1:6">
      <c r="A418" s="14">
        <v>44748</v>
      </c>
      <c r="B418" s="13">
        <v>13.576</v>
      </c>
      <c r="C418" s="13">
        <v>13.573</v>
      </c>
      <c r="D418" s="13">
        <v>13.576</v>
      </c>
      <c r="E418" s="13">
        <v>13.573</v>
      </c>
      <c r="F418" s="15">
        <v>0</v>
      </c>
    </row>
    <row r="419" spans="1:6">
      <c r="A419" s="14">
        <v>44747</v>
      </c>
      <c r="B419" s="13">
        <v>13.576</v>
      </c>
      <c r="C419" s="13">
        <v>13.573</v>
      </c>
      <c r="D419" s="13">
        <v>13.576</v>
      </c>
      <c r="E419" s="13">
        <v>13.573</v>
      </c>
      <c r="F419" s="15">
        <v>0</v>
      </c>
    </row>
    <row r="420" spans="1:6">
      <c r="A420" s="14">
        <v>44746</v>
      </c>
      <c r="B420" s="13">
        <v>13.576</v>
      </c>
      <c r="C420" s="13">
        <v>13.573</v>
      </c>
      <c r="D420" s="13">
        <v>13.576</v>
      </c>
      <c r="E420" s="13">
        <v>13.573</v>
      </c>
      <c r="F420" s="15">
        <v>-0.0006</v>
      </c>
    </row>
    <row r="421" spans="1:6">
      <c r="A421" s="14">
        <v>44743</v>
      </c>
      <c r="B421" s="13">
        <v>13.585</v>
      </c>
      <c r="C421" s="13">
        <v>12.323</v>
      </c>
      <c r="D421" s="13">
        <v>13.585</v>
      </c>
      <c r="E421" s="13">
        <v>12.323</v>
      </c>
      <c r="F421" s="15">
        <v>0.1021</v>
      </c>
    </row>
    <row r="422" spans="1:6">
      <c r="A422" s="14">
        <v>44742</v>
      </c>
      <c r="B422" s="13">
        <v>12.326</v>
      </c>
      <c r="C422" s="13">
        <v>12.323</v>
      </c>
      <c r="D422" s="13">
        <v>12.326</v>
      </c>
      <c r="E422" s="13">
        <v>12.323</v>
      </c>
      <c r="F422" s="15">
        <v>0</v>
      </c>
    </row>
    <row r="423" spans="1:6">
      <c r="A423" s="14">
        <v>44741</v>
      </c>
      <c r="B423" s="13">
        <v>12.326</v>
      </c>
      <c r="C423" s="13">
        <v>12.323</v>
      </c>
      <c r="D423" s="13">
        <v>12.326</v>
      </c>
      <c r="E423" s="13">
        <v>12.323</v>
      </c>
      <c r="F423" s="15">
        <v>0</v>
      </c>
    </row>
    <row r="424" spans="1:6">
      <c r="A424" s="14">
        <v>44740</v>
      </c>
      <c r="B424" s="13">
        <v>12.326</v>
      </c>
      <c r="C424" s="13">
        <v>12.323</v>
      </c>
      <c r="D424" s="13">
        <v>12.326</v>
      </c>
      <c r="E424" s="13">
        <v>12.323</v>
      </c>
      <c r="F424" s="15">
        <v>0</v>
      </c>
    </row>
    <row r="425" spans="1:6">
      <c r="A425" s="14">
        <v>44739</v>
      </c>
      <c r="B425" s="13">
        <v>12.326</v>
      </c>
      <c r="C425" s="13">
        <v>12.323</v>
      </c>
      <c r="D425" s="13">
        <v>12.326</v>
      </c>
      <c r="E425" s="13">
        <v>12.323</v>
      </c>
      <c r="F425" s="15">
        <v>-0.0006</v>
      </c>
    </row>
    <row r="426" spans="1:6">
      <c r="A426" s="14">
        <v>44736</v>
      </c>
      <c r="B426" s="13">
        <v>12.333</v>
      </c>
      <c r="C426" s="13">
        <v>12.323</v>
      </c>
      <c r="D426" s="13">
        <v>12.333</v>
      </c>
      <c r="E426" s="13">
        <v>12.323</v>
      </c>
      <c r="F426" s="15">
        <v>0.0008</v>
      </c>
    </row>
    <row r="427" spans="1:6">
      <c r="A427" s="14">
        <v>44735</v>
      </c>
      <c r="B427" s="13">
        <v>12.323</v>
      </c>
      <c r="C427" s="13">
        <v>12.323</v>
      </c>
      <c r="D427" s="13">
        <v>12.323</v>
      </c>
      <c r="E427" s="13">
        <v>12.323</v>
      </c>
      <c r="F427" s="15">
        <v>-0.0002</v>
      </c>
    </row>
    <row r="428" spans="1:6">
      <c r="A428" s="14">
        <v>44734</v>
      </c>
      <c r="B428" s="13">
        <v>12.326</v>
      </c>
      <c r="C428" s="13">
        <v>12.323</v>
      </c>
      <c r="D428" s="13">
        <v>12.326</v>
      </c>
      <c r="E428" s="13">
        <v>12.323</v>
      </c>
      <c r="F428" s="15">
        <v>0</v>
      </c>
    </row>
    <row r="429" spans="1:6">
      <c r="A429" s="14">
        <v>44733</v>
      </c>
      <c r="B429" s="13">
        <v>12.326</v>
      </c>
      <c r="C429" s="13">
        <v>12.323</v>
      </c>
      <c r="D429" s="13">
        <v>12.326</v>
      </c>
      <c r="E429" s="13">
        <v>12.323</v>
      </c>
      <c r="F429" s="15">
        <v>0</v>
      </c>
    </row>
    <row r="430" spans="1:6">
      <c r="A430" s="14">
        <v>44732</v>
      </c>
      <c r="B430" s="13">
        <v>12.326</v>
      </c>
      <c r="C430" s="13">
        <v>12.323</v>
      </c>
      <c r="D430" s="13">
        <v>12.326</v>
      </c>
      <c r="E430" s="13">
        <v>12.323</v>
      </c>
      <c r="F430" s="15">
        <v>-0.0006</v>
      </c>
    </row>
    <row r="431" spans="1:6">
      <c r="A431" s="14">
        <v>44729</v>
      </c>
      <c r="B431" s="13">
        <v>12.333</v>
      </c>
      <c r="C431" s="13">
        <v>12.323</v>
      </c>
      <c r="D431" s="13">
        <v>12.333</v>
      </c>
      <c r="E431" s="13">
        <v>12.323</v>
      </c>
      <c r="F431" s="15">
        <v>0.0006</v>
      </c>
    </row>
    <row r="432" spans="1:6">
      <c r="A432" s="14">
        <v>44728</v>
      </c>
      <c r="B432" s="13">
        <v>12.326</v>
      </c>
      <c r="C432" s="13">
        <v>12.323</v>
      </c>
      <c r="D432" s="13">
        <v>12.326</v>
      </c>
      <c r="E432" s="13">
        <v>12.323</v>
      </c>
      <c r="F432" s="15">
        <v>0</v>
      </c>
    </row>
    <row r="433" spans="1:6">
      <c r="A433" s="14">
        <v>44727</v>
      </c>
      <c r="B433" s="13">
        <v>12.326</v>
      </c>
      <c r="C433" s="13">
        <v>12.323</v>
      </c>
      <c r="D433" s="13">
        <v>12.326</v>
      </c>
      <c r="E433" s="13">
        <v>12.323</v>
      </c>
      <c r="F433" s="15">
        <v>0</v>
      </c>
    </row>
    <row r="434" spans="1:6">
      <c r="A434" s="14">
        <v>44726</v>
      </c>
      <c r="B434" s="13">
        <v>12.326</v>
      </c>
      <c r="C434" s="13">
        <v>12.323</v>
      </c>
      <c r="D434" s="13">
        <v>12.326</v>
      </c>
      <c r="E434" s="13">
        <v>12.323</v>
      </c>
      <c r="F434" s="15">
        <v>0</v>
      </c>
    </row>
    <row r="435" spans="1:6">
      <c r="A435" s="14">
        <v>44725</v>
      </c>
      <c r="B435" s="13">
        <v>12.326</v>
      </c>
      <c r="C435" s="13">
        <v>12.323</v>
      </c>
      <c r="D435" s="13">
        <v>12.326</v>
      </c>
      <c r="E435" s="13">
        <v>12.323</v>
      </c>
      <c r="F435" s="15">
        <v>-0.0006</v>
      </c>
    </row>
    <row r="436" spans="1:6">
      <c r="A436" s="14">
        <v>44722</v>
      </c>
      <c r="B436" s="13">
        <v>12.333</v>
      </c>
      <c r="C436" s="13">
        <v>12.323</v>
      </c>
      <c r="D436" s="13">
        <v>12.333</v>
      </c>
      <c r="E436" s="13">
        <v>12.323</v>
      </c>
      <c r="F436" s="15">
        <v>0.0006</v>
      </c>
    </row>
    <row r="437" spans="1:6">
      <c r="A437" s="14">
        <v>44721</v>
      </c>
      <c r="B437" s="13">
        <v>12.326</v>
      </c>
      <c r="C437" s="13">
        <v>12.323</v>
      </c>
      <c r="D437" s="13">
        <v>12.326</v>
      </c>
      <c r="E437" s="13">
        <v>12.323</v>
      </c>
      <c r="F437" s="15">
        <v>0</v>
      </c>
    </row>
    <row r="438" spans="1:6">
      <c r="A438" s="14">
        <v>44720</v>
      </c>
      <c r="B438" s="13">
        <v>12.326</v>
      </c>
      <c r="C438" s="13">
        <v>12.323</v>
      </c>
      <c r="D438" s="13">
        <v>12.326</v>
      </c>
      <c r="E438" s="13">
        <v>12.323</v>
      </c>
      <c r="F438" s="15">
        <v>0</v>
      </c>
    </row>
    <row r="439" spans="1:6">
      <c r="A439" s="14">
        <v>44719</v>
      </c>
      <c r="B439" s="13">
        <v>12.326</v>
      </c>
      <c r="C439" s="13">
        <v>12.323</v>
      </c>
      <c r="D439" s="13">
        <v>12.326</v>
      </c>
      <c r="E439" s="13">
        <v>12.323</v>
      </c>
      <c r="F439" s="15">
        <v>0</v>
      </c>
    </row>
    <row r="440" spans="1:6">
      <c r="A440" s="14">
        <v>44718</v>
      </c>
      <c r="B440" s="13">
        <v>12.326</v>
      </c>
      <c r="C440" s="13">
        <v>12.323</v>
      </c>
      <c r="D440" s="13">
        <v>12.326</v>
      </c>
      <c r="E440" s="13">
        <v>12.323</v>
      </c>
      <c r="F440" s="15">
        <v>0.0002</v>
      </c>
    </row>
    <row r="441" spans="1:6">
      <c r="A441" s="14">
        <v>44715</v>
      </c>
      <c r="B441" s="13">
        <v>12.323</v>
      </c>
      <c r="C441" s="13">
        <v>12.323</v>
      </c>
      <c r="D441" s="13">
        <v>12.323</v>
      </c>
      <c r="E441" s="13">
        <v>12.323</v>
      </c>
      <c r="F441" s="15">
        <v>-0.0002</v>
      </c>
    </row>
    <row r="442" spans="1:6">
      <c r="A442" s="14">
        <v>44714</v>
      </c>
      <c r="B442" s="13">
        <v>12.326</v>
      </c>
      <c r="C442" s="13">
        <v>12.323</v>
      </c>
      <c r="D442" s="13">
        <v>12.326</v>
      </c>
      <c r="E442" s="13">
        <v>12.323</v>
      </c>
      <c r="F442" s="15">
        <v>0</v>
      </c>
    </row>
    <row r="443" spans="1:6">
      <c r="A443" s="14">
        <v>44713</v>
      </c>
      <c r="B443" s="13">
        <v>12.326</v>
      </c>
      <c r="C443" s="13">
        <v>12.323</v>
      </c>
      <c r="D443" s="13">
        <v>12.326</v>
      </c>
      <c r="E443" s="13">
        <v>12.323</v>
      </c>
      <c r="F443" s="15">
        <v>-0.0004</v>
      </c>
    </row>
    <row r="444" spans="1:6">
      <c r="A444" s="14">
        <v>44712</v>
      </c>
      <c r="B444" s="13">
        <v>12.331</v>
      </c>
      <c r="C444" s="13">
        <v>12.323</v>
      </c>
      <c r="D444" s="13">
        <v>12.331</v>
      </c>
      <c r="E444" s="13">
        <v>12.323</v>
      </c>
      <c r="F444" s="15">
        <v>0.0011</v>
      </c>
    </row>
    <row r="445" spans="1:6">
      <c r="A445" s="14">
        <v>44711</v>
      </c>
      <c r="B445" s="13">
        <v>12.318</v>
      </c>
      <c r="C445" s="13">
        <v>12.373</v>
      </c>
      <c r="D445" s="13">
        <v>12.373</v>
      </c>
      <c r="E445" s="13">
        <v>12.318</v>
      </c>
      <c r="F445" s="15">
        <v>-0.0052</v>
      </c>
    </row>
    <row r="446" spans="1:6">
      <c r="A446" s="14">
        <v>44708</v>
      </c>
      <c r="B446" s="13">
        <v>12.383</v>
      </c>
      <c r="C446" s="13">
        <v>12.373</v>
      </c>
      <c r="D446" s="13">
        <v>12.383</v>
      </c>
      <c r="E446" s="13">
        <v>12.373</v>
      </c>
      <c r="F446" s="15">
        <v>0.0006</v>
      </c>
    </row>
    <row r="447" spans="1:6">
      <c r="A447" s="14">
        <v>44707</v>
      </c>
      <c r="B447" s="13">
        <v>12.376</v>
      </c>
      <c r="C447" s="13">
        <v>12.373</v>
      </c>
      <c r="D447" s="13">
        <v>12.376</v>
      </c>
      <c r="E447" s="13">
        <v>12.373</v>
      </c>
      <c r="F447" s="15">
        <v>0</v>
      </c>
    </row>
    <row r="448" spans="1:6">
      <c r="A448" s="14">
        <v>44706</v>
      </c>
      <c r="B448" s="13">
        <v>12.376</v>
      </c>
      <c r="C448" s="13">
        <v>12.373</v>
      </c>
      <c r="D448" s="13">
        <v>12.376</v>
      </c>
      <c r="E448" s="13">
        <v>12.373</v>
      </c>
      <c r="F448" s="15">
        <v>0</v>
      </c>
    </row>
    <row r="449" spans="1:6">
      <c r="A449" s="14">
        <v>44705</v>
      </c>
      <c r="B449" s="13">
        <v>12.376</v>
      </c>
      <c r="C449" s="13">
        <v>12.323</v>
      </c>
      <c r="D449" s="13">
        <v>12.376</v>
      </c>
      <c r="E449" s="13">
        <v>12.323</v>
      </c>
      <c r="F449" s="15">
        <v>0.0041</v>
      </c>
    </row>
    <row r="450" spans="1:6">
      <c r="A450" s="14">
        <v>44704</v>
      </c>
      <c r="B450" s="13">
        <v>12.326</v>
      </c>
      <c r="C450" s="13">
        <v>12.323</v>
      </c>
      <c r="D450" s="13">
        <v>12.326</v>
      </c>
      <c r="E450" s="13">
        <v>12.323</v>
      </c>
      <c r="F450" s="15">
        <v>-0.0005</v>
      </c>
    </row>
    <row r="451" spans="1:6">
      <c r="A451" s="14">
        <v>44701</v>
      </c>
      <c r="B451" s="13">
        <v>12.333</v>
      </c>
      <c r="C451" s="13">
        <v>12.323</v>
      </c>
      <c r="D451" s="13">
        <v>12.333</v>
      </c>
      <c r="E451" s="13">
        <v>12.323</v>
      </c>
      <c r="F451" s="15">
        <v>0.0005</v>
      </c>
    </row>
    <row r="452" spans="1:6">
      <c r="A452" s="14">
        <v>44700</v>
      </c>
      <c r="B452" s="13">
        <v>12.326</v>
      </c>
      <c r="C452" s="13">
        <v>12.323</v>
      </c>
      <c r="D452" s="13">
        <v>12.326</v>
      </c>
      <c r="E452" s="13">
        <v>12.323</v>
      </c>
      <c r="F452" s="15">
        <v>0</v>
      </c>
    </row>
    <row r="453" spans="1:6">
      <c r="A453" s="14">
        <v>44699</v>
      </c>
      <c r="B453" s="13">
        <v>12.326</v>
      </c>
      <c r="C453" s="13">
        <v>12.323</v>
      </c>
      <c r="D453" s="13">
        <v>12.326</v>
      </c>
      <c r="E453" s="13">
        <v>12.323</v>
      </c>
      <c r="F453" s="15">
        <v>0</v>
      </c>
    </row>
    <row r="454" spans="1:6">
      <c r="A454" s="14">
        <v>44698</v>
      </c>
      <c r="B454" s="13">
        <v>12.326</v>
      </c>
      <c r="C454" s="13">
        <v>12.323</v>
      </c>
      <c r="D454" s="13">
        <v>12.326</v>
      </c>
      <c r="E454" s="13">
        <v>12.323</v>
      </c>
      <c r="F454" s="15">
        <v>0</v>
      </c>
    </row>
    <row r="455" spans="1:6">
      <c r="A455" s="14">
        <v>44697</v>
      </c>
      <c r="B455" s="13">
        <v>12.326</v>
      </c>
      <c r="C455" s="13">
        <v>12.323</v>
      </c>
      <c r="D455" s="13">
        <v>12.326</v>
      </c>
      <c r="E455" s="13">
        <v>12.323</v>
      </c>
      <c r="F455" s="15">
        <v>-0.0005</v>
      </c>
    </row>
    <row r="456" spans="1:6">
      <c r="A456" s="14">
        <v>44694</v>
      </c>
      <c r="B456" s="13">
        <v>12.332</v>
      </c>
      <c r="C456" s="13">
        <v>12.323</v>
      </c>
      <c r="D456" s="13">
        <v>12.332</v>
      </c>
      <c r="E456" s="13">
        <v>12.323</v>
      </c>
      <c r="F456" s="15">
        <v>0.0005</v>
      </c>
    </row>
    <row r="457" spans="1:6">
      <c r="A457" s="14">
        <v>44693</v>
      </c>
      <c r="B457" s="13">
        <v>12.326</v>
      </c>
      <c r="C457" s="13">
        <v>12.25</v>
      </c>
      <c r="D457" s="13">
        <v>12.326</v>
      </c>
      <c r="E457" s="13">
        <v>12.25</v>
      </c>
      <c r="F457" s="15">
        <v>0.0059</v>
      </c>
    </row>
    <row r="458" spans="1:6">
      <c r="A458" s="14">
        <v>44692</v>
      </c>
      <c r="B458" s="13">
        <v>12.254</v>
      </c>
      <c r="C458" s="13">
        <v>12.25</v>
      </c>
      <c r="D458" s="13">
        <v>12.254</v>
      </c>
      <c r="E458" s="13">
        <v>12.25</v>
      </c>
      <c r="F458" s="15">
        <v>0</v>
      </c>
    </row>
    <row r="459" spans="1:6">
      <c r="A459" s="14">
        <v>44691</v>
      </c>
      <c r="B459" s="13">
        <v>12.255</v>
      </c>
      <c r="C459" s="13">
        <v>12.25</v>
      </c>
      <c r="D459" s="13">
        <v>12.255</v>
      </c>
      <c r="E459" s="13">
        <v>12.25</v>
      </c>
      <c r="F459" s="15">
        <v>0.0004</v>
      </c>
    </row>
    <row r="460" spans="1:6">
      <c r="A460" s="14">
        <v>44690</v>
      </c>
      <c r="B460" s="13">
        <v>12.25</v>
      </c>
      <c r="C460" s="13">
        <v>12.25</v>
      </c>
      <c r="D460" s="13">
        <v>12.25</v>
      </c>
      <c r="E460" s="13">
        <v>12.25</v>
      </c>
      <c r="F460" s="15">
        <v>-0.0013</v>
      </c>
    </row>
    <row r="461" spans="1:6">
      <c r="A461" s="14">
        <v>44687</v>
      </c>
      <c r="B461" s="13">
        <v>12.267</v>
      </c>
      <c r="C461" s="13">
        <v>12.25</v>
      </c>
      <c r="D461" s="13">
        <v>12.267</v>
      </c>
      <c r="E461" s="13">
        <v>12.25</v>
      </c>
      <c r="F461" s="15">
        <v>0.001</v>
      </c>
    </row>
    <row r="462" spans="1:6">
      <c r="A462" s="14">
        <v>44686</v>
      </c>
      <c r="B462" s="13">
        <v>12.254</v>
      </c>
      <c r="C462" s="13">
        <v>12.25</v>
      </c>
      <c r="D462" s="13">
        <v>12.254</v>
      </c>
      <c r="E462" s="13">
        <v>12.25</v>
      </c>
      <c r="F462" s="15">
        <v>0</v>
      </c>
    </row>
    <row r="463" spans="1:6">
      <c r="A463" s="14">
        <v>44685</v>
      </c>
      <c r="B463" s="13">
        <v>12.254</v>
      </c>
      <c r="C463" s="13">
        <v>12.25</v>
      </c>
      <c r="D463" s="13">
        <v>12.254</v>
      </c>
      <c r="E463" s="13">
        <v>12.25</v>
      </c>
      <c r="F463" s="15">
        <v>0</v>
      </c>
    </row>
    <row r="464" spans="1:6">
      <c r="A464" s="14">
        <v>44684</v>
      </c>
      <c r="B464" s="13">
        <v>12.254</v>
      </c>
      <c r="C464" s="13">
        <v>12.25</v>
      </c>
      <c r="D464" s="13">
        <v>12.254</v>
      </c>
      <c r="E464" s="13">
        <v>12.25</v>
      </c>
      <c r="F464" s="15">
        <v>0</v>
      </c>
    </row>
    <row r="465" spans="1:6">
      <c r="A465" s="14">
        <v>44683</v>
      </c>
      <c r="B465" s="13">
        <v>12.254</v>
      </c>
      <c r="C465" s="13">
        <v>12.25</v>
      </c>
      <c r="D465" s="13">
        <v>12.254</v>
      </c>
      <c r="E465" s="13">
        <v>12.25</v>
      </c>
      <c r="F465" s="15">
        <v>-0.0007</v>
      </c>
    </row>
    <row r="466" spans="1:6">
      <c r="A466" s="14">
        <v>44680</v>
      </c>
      <c r="B466" s="13">
        <v>12.262</v>
      </c>
      <c r="C466" s="13">
        <v>12.25</v>
      </c>
      <c r="D466" s="13">
        <v>12.262</v>
      </c>
      <c r="E466" s="13">
        <v>12.25</v>
      </c>
      <c r="F466" s="15">
        <v>0.001</v>
      </c>
    </row>
    <row r="467" spans="1:6">
      <c r="A467" s="14">
        <v>44679</v>
      </c>
      <c r="B467" s="13">
        <v>12.25</v>
      </c>
      <c r="C467" s="13">
        <v>12.25</v>
      </c>
      <c r="D467" s="13">
        <v>12.25</v>
      </c>
      <c r="E467" s="13">
        <v>12.25</v>
      </c>
      <c r="F467" s="15">
        <v>-0.0003</v>
      </c>
    </row>
    <row r="468" spans="1:6">
      <c r="A468" s="14">
        <v>44678</v>
      </c>
      <c r="B468" s="13">
        <v>12.254</v>
      </c>
      <c r="C468" s="13">
        <v>12.25</v>
      </c>
      <c r="D468" s="13">
        <v>12.254</v>
      </c>
      <c r="E468" s="13">
        <v>12.25</v>
      </c>
      <c r="F468" s="15">
        <v>0</v>
      </c>
    </row>
    <row r="469" spans="1:6">
      <c r="A469" s="14">
        <v>44677</v>
      </c>
      <c r="B469" s="13">
        <v>12.254</v>
      </c>
      <c r="C469" s="13">
        <v>12.25</v>
      </c>
      <c r="D469" s="13">
        <v>12.254</v>
      </c>
      <c r="E469" s="13">
        <v>12.25</v>
      </c>
      <c r="F469" s="15">
        <v>0</v>
      </c>
    </row>
    <row r="470" spans="1:6">
      <c r="A470" s="14">
        <v>44676</v>
      </c>
      <c r="B470" s="13">
        <v>12.254</v>
      </c>
      <c r="C470" s="13">
        <v>12.25</v>
      </c>
      <c r="D470" s="13">
        <v>12.254</v>
      </c>
      <c r="E470" s="13">
        <v>12.25</v>
      </c>
      <c r="F470" s="15">
        <v>-0.0007</v>
      </c>
    </row>
    <row r="471" spans="1:6">
      <c r="A471" s="14">
        <v>44673</v>
      </c>
      <c r="B471" s="13">
        <v>12.262</v>
      </c>
      <c r="C471" s="13">
        <v>12.25</v>
      </c>
      <c r="D471" s="13">
        <v>12.262</v>
      </c>
      <c r="E471" s="13">
        <v>12.25</v>
      </c>
      <c r="F471" s="15">
        <v>0.0007</v>
      </c>
    </row>
    <row r="472" spans="1:6">
      <c r="A472" s="14">
        <v>44672</v>
      </c>
      <c r="B472" s="13">
        <v>12.254</v>
      </c>
      <c r="C472" s="13">
        <v>12.25</v>
      </c>
      <c r="D472" s="13">
        <v>12.254</v>
      </c>
      <c r="E472" s="13">
        <v>12.25</v>
      </c>
      <c r="F472" s="15">
        <v>0</v>
      </c>
    </row>
    <row r="473" spans="1:6">
      <c r="A473" s="14">
        <v>44671</v>
      </c>
      <c r="B473" s="13">
        <v>12.254</v>
      </c>
      <c r="C473" s="13">
        <v>12.25</v>
      </c>
      <c r="D473" s="13">
        <v>12.254</v>
      </c>
      <c r="E473" s="13">
        <v>12.25</v>
      </c>
      <c r="F473" s="15">
        <v>0</v>
      </c>
    </row>
    <row r="474" spans="1:6">
      <c r="A474" s="14">
        <v>44670</v>
      </c>
      <c r="B474" s="13">
        <v>12.254</v>
      </c>
      <c r="C474" s="13">
        <v>12.25</v>
      </c>
      <c r="D474" s="13">
        <v>12.254</v>
      </c>
      <c r="E474" s="13">
        <v>12.25</v>
      </c>
      <c r="F474" s="15">
        <v>0</v>
      </c>
    </row>
    <row r="475" spans="1:6">
      <c r="A475" s="14">
        <v>44669</v>
      </c>
      <c r="B475" s="13">
        <v>12.254</v>
      </c>
      <c r="C475" s="13">
        <v>12.25</v>
      </c>
      <c r="D475" s="13">
        <v>12.254</v>
      </c>
      <c r="E475" s="13">
        <v>12.25</v>
      </c>
      <c r="F475" s="15">
        <v>-0.0007</v>
      </c>
    </row>
    <row r="476" spans="1:6">
      <c r="A476" s="14">
        <v>44666</v>
      </c>
      <c r="B476" s="13">
        <v>12.262</v>
      </c>
      <c r="C476" s="13">
        <v>12.25</v>
      </c>
      <c r="D476" s="13">
        <v>12.262</v>
      </c>
      <c r="E476" s="13">
        <v>12.25</v>
      </c>
      <c r="F476" s="15">
        <v>0.0007</v>
      </c>
    </row>
    <row r="477" spans="1:6">
      <c r="A477" s="14">
        <v>44665</v>
      </c>
      <c r="B477" s="13">
        <v>12.254</v>
      </c>
      <c r="C477" s="13">
        <v>12.25</v>
      </c>
      <c r="D477" s="13">
        <v>12.254</v>
      </c>
      <c r="E477" s="13">
        <v>12.25</v>
      </c>
      <c r="F477" s="15">
        <v>0</v>
      </c>
    </row>
    <row r="478" spans="1:6">
      <c r="A478" s="14">
        <v>44664</v>
      </c>
      <c r="B478" s="13">
        <v>12.254</v>
      </c>
      <c r="C478" s="13">
        <v>12.25</v>
      </c>
      <c r="D478" s="13">
        <v>12.254</v>
      </c>
      <c r="E478" s="13">
        <v>12.25</v>
      </c>
      <c r="F478" s="15">
        <v>0</v>
      </c>
    </row>
    <row r="479" spans="1:6">
      <c r="A479" s="14">
        <v>44663</v>
      </c>
      <c r="B479" s="13">
        <v>12.254</v>
      </c>
      <c r="C479" s="13">
        <v>12.25</v>
      </c>
      <c r="D479" s="13">
        <v>12.254</v>
      </c>
      <c r="E479" s="13">
        <v>12.25</v>
      </c>
      <c r="F479" s="15">
        <v>0</v>
      </c>
    </row>
    <row r="480" spans="1:6">
      <c r="A480" s="14">
        <v>44662</v>
      </c>
      <c r="B480" s="13">
        <v>12.254</v>
      </c>
      <c r="C480" s="13">
        <v>12.25</v>
      </c>
      <c r="D480" s="13">
        <v>12.254</v>
      </c>
      <c r="E480" s="13">
        <v>12.25</v>
      </c>
      <c r="F480" s="15">
        <v>-0.0007</v>
      </c>
    </row>
    <row r="481" spans="1:6">
      <c r="A481" s="14">
        <v>44659</v>
      </c>
      <c r="B481" s="13">
        <v>12.262</v>
      </c>
      <c r="C481" s="13">
        <v>12.25</v>
      </c>
      <c r="D481" s="13">
        <v>12.262</v>
      </c>
      <c r="E481" s="13">
        <v>12.25</v>
      </c>
      <c r="F481" s="15">
        <v>0.0007</v>
      </c>
    </row>
    <row r="482" spans="1:6">
      <c r="A482" s="14">
        <v>44658</v>
      </c>
      <c r="B482" s="13">
        <v>12.254</v>
      </c>
      <c r="C482" s="13">
        <v>12.25</v>
      </c>
      <c r="D482" s="13">
        <v>12.254</v>
      </c>
      <c r="E482" s="13">
        <v>12.25</v>
      </c>
      <c r="F482" s="15">
        <v>0</v>
      </c>
    </row>
    <row r="483" spans="1:6">
      <c r="A483" s="14">
        <v>44657</v>
      </c>
      <c r="B483" s="13">
        <v>12.254</v>
      </c>
      <c r="C483" s="13">
        <v>12.25</v>
      </c>
      <c r="D483" s="13">
        <v>12.254</v>
      </c>
      <c r="E483" s="13">
        <v>12.25</v>
      </c>
      <c r="F483" s="15">
        <v>0</v>
      </c>
    </row>
    <row r="484" spans="1:6">
      <c r="A484" s="14">
        <v>44656</v>
      </c>
      <c r="B484" s="13">
        <v>12.254</v>
      </c>
      <c r="C484" s="13">
        <v>12.25</v>
      </c>
      <c r="D484" s="13">
        <v>12.254</v>
      </c>
      <c r="E484" s="13">
        <v>12.25</v>
      </c>
      <c r="F484" s="15">
        <v>0</v>
      </c>
    </row>
    <row r="485" spans="1:6">
      <c r="A485" s="14">
        <v>44655</v>
      </c>
      <c r="B485" s="13">
        <v>12.254</v>
      </c>
      <c r="C485" s="13">
        <v>12.25</v>
      </c>
      <c r="D485" s="13">
        <v>12.254</v>
      </c>
      <c r="E485" s="13">
        <v>12.25</v>
      </c>
      <c r="F485" s="15">
        <v>0.0003</v>
      </c>
    </row>
    <row r="486" spans="1:6">
      <c r="A486" s="14">
        <v>44652</v>
      </c>
      <c r="B486" s="13">
        <v>12.25</v>
      </c>
      <c r="C486" s="13">
        <v>12.25</v>
      </c>
      <c r="D486" s="13">
        <v>12.25</v>
      </c>
      <c r="E486" s="13">
        <v>12.25</v>
      </c>
      <c r="F486" s="15">
        <v>-0.0008</v>
      </c>
    </row>
    <row r="487" spans="1:6">
      <c r="A487" s="14">
        <v>44651</v>
      </c>
      <c r="B487" s="13">
        <v>12.259</v>
      </c>
      <c r="C487" s="13">
        <v>12.25</v>
      </c>
      <c r="D487" s="13">
        <v>12.259</v>
      </c>
      <c r="E487" s="13">
        <v>12.25</v>
      </c>
      <c r="F487" s="15">
        <v>0.0012</v>
      </c>
    </row>
    <row r="488" spans="1:6">
      <c r="A488" s="14">
        <v>44650</v>
      </c>
      <c r="B488" s="13">
        <v>12.245</v>
      </c>
      <c r="C488" s="13">
        <v>12.25</v>
      </c>
      <c r="D488" s="13">
        <v>12.25</v>
      </c>
      <c r="E488" s="13">
        <v>12.245</v>
      </c>
      <c r="F488" s="15">
        <v>-0.0008</v>
      </c>
    </row>
    <row r="489" spans="1:6">
      <c r="A489" s="14">
        <v>44649</v>
      </c>
      <c r="B489" s="13">
        <v>12.254</v>
      </c>
      <c r="C489" s="13">
        <v>12.25</v>
      </c>
      <c r="D489" s="13">
        <v>12.254</v>
      </c>
      <c r="E489" s="13">
        <v>12.25</v>
      </c>
      <c r="F489" s="15">
        <v>0</v>
      </c>
    </row>
    <row r="490" spans="1:6">
      <c r="A490" s="14">
        <v>44648</v>
      </c>
      <c r="B490" s="13">
        <v>12.254</v>
      </c>
      <c r="C490" s="13">
        <v>12.25</v>
      </c>
      <c r="D490" s="13">
        <v>12.254</v>
      </c>
      <c r="E490" s="13">
        <v>12.25</v>
      </c>
      <c r="F490" s="15">
        <v>-0.0007</v>
      </c>
    </row>
    <row r="491" spans="1:6">
      <c r="A491" s="14">
        <v>44645</v>
      </c>
      <c r="B491" s="13">
        <v>12.262</v>
      </c>
      <c r="C491" s="13">
        <v>12.25</v>
      </c>
      <c r="D491" s="13">
        <v>12.262</v>
      </c>
      <c r="E491" s="13">
        <v>12.25</v>
      </c>
      <c r="F491" s="15">
        <v>0.0007</v>
      </c>
    </row>
    <row r="492" spans="1:6">
      <c r="A492" s="14">
        <v>44644</v>
      </c>
      <c r="B492" s="13">
        <v>12.254</v>
      </c>
      <c r="C492" s="13">
        <v>12.25</v>
      </c>
      <c r="D492" s="13">
        <v>12.254</v>
      </c>
      <c r="E492" s="13">
        <v>12.25</v>
      </c>
      <c r="F492" s="15">
        <v>0</v>
      </c>
    </row>
    <row r="493" spans="1:6">
      <c r="A493" s="14">
        <v>44643</v>
      </c>
      <c r="B493" s="13">
        <v>12.254</v>
      </c>
      <c r="C493" s="13">
        <v>12.25</v>
      </c>
      <c r="D493" s="13">
        <v>12.254</v>
      </c>
      <c r="E493" s="13">
        <v>12.25</v>
      </c>
      <c r="F493" s="15">
        <v>0.0003</v>
      </c>
    </row>
    <row r="494" spans="1:6">
      <c r="A494" s="14">
        <v>44642</v>
      </c>
      <c r="B494" s="13">
        <v>12.25</v>
      </c>
      <c r="C494" s="13">
        <v>12.25</v>
      </c>
      <c r="D494" s="13">
        <v>12.25</v>
      </c>
      <c r="E494" s="13">
        <v>12.25</v>
      </c>
      <c r="F494" s="15">
        <v>-0.0006</v>
      </c>
    </row>
    <row r="495" spans="1:6">
      <c r="A495" s="14">
        <v>44641</v>
      </c>
      <c r="B495" s="13">
        <v>12.257</v>
      </c>
      <c r="C495" s="13">
        <v>12.25</v>
      </c>
      <c r="D495" s="13">
        <v>12.257</v>
      </c>
      <c r="E495" s="13">
        <v>12.25</v>
      </c>
      <c r="F495" s="15">
        <v>-0.0004</v>
      </c>
    </row>
    <row r="496" spans="1:6">
      <c r="A496" s="14">
        <v>44638</v>
      </c>
      <c r="B496" s="13">
        <v>12.262</v>
      </c>
      <c r="C496" s="13">
        <v>12.25</v>
      </c>
      <c r="D496" s="13">
        <v>12.262</v>
      </c>
      <c r="E496" s="13">
        <v>12.25</v>
      </c>
      <c r="F496" s="15">
        <v>0.0007</v>
      </c>
    </row>
    <row r="497" spans="1:6">
      <c r="A497" s="14">
        <v>44637</v>
      </c>
      <c r="B497" s="13">
        <v>12.254</v>
      </c>
      <c r="C497" s="13">
        <v>11.09</v>
      </c>
      <c r="D497" s="13">
        <v>12.254</v>
      </c>
      <c r="E497" s="13">
        <v>11.09</v>
      </c>
      <c r="F497" s="15">
        <v>0.1046</v>
      </c>
    </row>
    <row r="498" spans="1:6">
      <c r="A498" s="14">
        <v>44636</v>
      </c>
      <c r="B498" s="13">
        <v>11.094</v>
      </c>
      <c r="C498" s="13">
        <v>11.09</v>
      </c>
      <c r="D498" s="13">
        <v>11.094</v>
      </c>
      <c r="E498" s="13">
        <v>11.09</v>
      </c>
      <c r="F498" s="15">
        <v>0</v>
      </c>
    </row>
    <row r="499" spans="1:6">
      <c r="A499" s="14">
        <v>44635</v>
      </c>
      <c r="B499" s="13">
        <v>11.094</v>
      </c>
      <c r="C499" s="13">
        <v>11.09</v>
      </c>
      <c r="D499" s="13">
        <v>11.094</v>
      </c>
      <c r="E499" s="13">
        <v>11.09</v>
      </c>
      <c r="F499" s="15">
        <v>0</v>
      </c>
    </row>
    <row r="500" spans="1:6">
      <c r="A500" s="14">
        <v>44634</v>
      </c>
      <c r="B500" s="13">
        <v>11.094</v>
      </c>
      <c r="C500" s="13">
        <v>11.09</v>
      </c>
      <c r="D500" s="13">
        <v>11.094</v>
      </c>
      <c r="E500" s="13">
        <v>11.09</v>
      </c>
      <c r="F500" s="15">
        <v>-0.0005</v>
      </c>
    </row>
    <row r="501" spans="1:6">
      <c r="A501" s="14">
        <v>44631</v>
      </c>
      <c r="B501" s="13">
        <v>11.099</v>
      </c>
      <c r="C501" s="13">
        <v>11.09</v>
      </c>
      <c r="D501" s="13">
        <v>11.099</v>
      </c>
      <c r="E501" s="13">
        <v>11.09</v>
      </c>
      <c r="F501" s="15">
        <v>0.0005</v>
      </c>
    </row>
    <row r="502" spans="1:6">
      <c r="A502" s="14">
        <v>44630</v>
      </c>
      <c r="B502" s="13">
        <v>11.094</v>
      </c>
      <c r="C502" s="13">
        <v>11.09</v>
      </c>
      <c r="D502" s="13">
        <v>11.094</v>
      </c>
      <c r="E502" s="13">
        <v>11.09</v>
      </c>
      <c r="F502" s="15">
        <v>0</v>
      </c>
    </row>
    <row r="503" spans="1:6">
      <c r="A503" s="14">
        <v>44629</v>
      </c>
      <c r="B503" s="13">
        <v>11.094</v>
      </c>
      <c r="C503" s="13">
        <v>11.09</v>
      </c>
      <c r="D503" s="13">
        <v>11.094</v>
      </c>
      <c r="E503" s="13">
        <v>11.09</v>
      </c>
      <c r="F503" s="15">
        <v>0.0003</v>
      </c>
    </row>
    <row r="504" spans="1:6">
      <c r="A504" s="14">
        <v>44628</v>
      </c>
      <c r="B504" s="13">
        <v>11.09</v>
      </c>
      <c r="C504" s="13">
        <v>11.09</v>
      </c>
      <c r="D504" s="13">
        <v>11.09</v>
      </c>
      <c r="E504" s="13">
        <v>11.09</v>
      </c>
      <c r="F504" s="15">
        <v>-0.0005</v>
      </c>
    </row>
    <row r="505" spans="1:6">
      <c r="A505" s="14">
        <v>44627</v>
      </c>
      <c r="B505" s="13">
        <v>11.096</v>
      </c>
      <c r="C505" s="13">
        <v>11.24</v>
      </c>
      <c r="D505" s="13">
        <v>11.24</v>
      </c>
      <c r="E505" s="13">
        <v>11.09</v>
      </c>
      <c r="F505" s="15">
        <v>-0.0136</v>
      </c>
    </row>
    <row r="506" spans="1:6">
      <c r="A506" s="14">
        <v>44624</v>
      </c>
      <c r="B506" s="13">
        <v>11.25</v>
      </c>
      <c r="C506" s="13">
        <v>10.99</v>
      </c>
      <c r="D506" s="13">
        <v>11.25</v>
      </c>
      <c r="E506" s="13">
        <v>10.99</v>
      </c>
      <c r="F506" s="15">
        <v>0.0233</v>
      </c>
    </row>
    <row r="507" spans="1:6">
      <c r="A507" s="14">
        <v>44623</v>
      </c>
      <c r="B507" s="13">
        <v>10.993</v>
      </c>
      <c r="C507" s="13">
        <v>10.99</v>
      </c>
      <c r="D507" s="13">
        <v>10.993</v>
      </c>
      <c r="E507" s="13">
        <v>10.99</v>
      </c>
      <c r="F507" s="15">
        <v>0.0581</v>
      </c>
    </row>
    <row r="508" spans="1:6">
      <c r="A508" s="14">
        <v>44621</v>
      </c>
      <c r="B508" s="13">
        <v>10.39</v>
      </c>
      <c r="C508" s="13">
        <v>10.39</v>
      </c>
      <c r="D508" s="13">
        <v>10.39</v>
      </c>
      <c r="E508" s="13">
        <v>10.39</v>
      </c>
      <c r="F508" s="15">
        <v>0.0007</v>
      </c>
    </row>
    <row r="509" spans="1:6">
      <c r="A509" s="14">
        <v>44620</v>
      </c>
      <c r="B509" s="13">
        <v>10.383</v>
      </c>
      <c r="C509" s="13">
        <v>10.39</v>
      </c>
      <c r="D509" s="13">
        <v>10.39</v>
      </c>
      <c r="E509" s="13">
        <v>10.383</v>
      </c>
      <c r="F509" s="15">
        <v>-0.0158</v>
      </c>
    </row>
    <row r="510" spans="1:6">
      <c r="A510" s="14">
        <v>44617</v>
      </c>
      <c r="B510" s="13">
        <v>10.55</v>
      </c>
      <c r="C510" s="13">
        <v>10.55</v>
      </c>
      <c r="D510" s="13">
        <v>10.55</v>
      </c>
      <c r="E510" s="13">
        <v>10.55</v>
      </c>
      <c r="F510" s="15">
        <v>-0.0002</v>
      </c>
    </row>
    <row r="511" spans="1:6">
      <c r="A511" s="14">
        <v>44616</v>
      </c>
      <c r="B511" s="13">
        <v>10.552</v>
      </c>
      <c r="C511" s="13">
        <v>10.55</v>
      </c>
      <c r="D511" s="13">
        <v>10.552</v>
      </c>
      <c r="E511" s="13">
        <v>10.55</v>
      </c>
      <c r="F511" s="15">
        <v>0.0154</v>
      </c>
    </row>
    <row r="512" spans="1:6">
      <c r="A512" s="14">
        <v>44615</v>
      </c>
      <c r="B512" s="13">
        <v>10.392</v>
      </c>
      <c r="C512" s="13">
        <v>10.39</v>
      </c>
      <c r="D512" s="13">
        <v>10.392</v>
      </c>
      <c r="E512" s="13">
        <v>10.39</v>
      </c>
      <c r="F512" s="15">
        <v>0</v>
      </c>
    </row>
    <row r="513" spans="1:6">
      <c r="A513" s="14">
        <v>44614</v>
      </c>
      <c r="B513" s="13">
        <v>10.392</v>
      </c>
      <c r="C513" s="13">
        <v>10.39</v>
      </c>
      <c r="D513" s="13">
        <v>10.392</v>
      </c>
      <c r="E513" s="13">
        <v>10.39</v>
      </c>
      <c r="F513" s="15">
        <v>0</v>
      </c>
    </row>
    <row r="514" spans="1:6">
      <c r="A514" s="14">
        <v>44613</v>
      </c>
      <c r="B514" s="13">
        <v>10.392</v>
      </c>
      <c r="C514" s="13">
        <v>10.39</v>
      </c>
      <c r="D514" s="13">
        <v>10.392</v>
      </c>
      <c r="E514" s="13">
        <v>10.39</v>
      </c>
      <c r="F514" s="15">
        <v>-0.0005</v>
      </c>
    </row>
    <row r="515" spans="1:6">
      <c r="A515" s="14">
        <v>44610</v>
      </c>
      <c r="B515" s="13">
        <v>10.398</v>
      </c>
      <c r="C515" s="13">
        <v>10.39</v>
      </c>
      <c r="D515" s="13">
        <v>10.398</v>
      </c>
      <c r="E515" s="13">
        <v>10.39</v>
      </c>
      <c r="F515" s="15">
        <v>0.0005</v>
      </c>
    </row>
    <row r="516" spans="1:6">
      <c r="A516" s="14">
        <v>44609</v>
      </c>
      <c r="B516" s="13">
        <v>10.392</v>
      </c>
      <c r="C516" s="13">
        <v>10.39</v>
      </c>
      <c r="D516" s="13">
        <v>10.392</v>
      </c>
      <c r="E516" s="13">
        <v>10.39</v>
      </c>
      <c r="F516" s="15">
        <v>0</v>
      </c>
    </row>
    <row r="517" spans="1:6">
      <c r="A517" s="14">
        <v>44608</v>
      </c>
      <c r="B517" s="13">
        <v>10.392</v>
      </c>
      <c r="C517" s="13">
        <v>10.39</v>
      </c>
      <c r="D517" s="13">
        <v>10.392</v>
      </c>
      <c r="E517" s="13">
        <v>10.39</v>
      </c>
      <c r="F517" s="15">
        <v>0</v>
      </c>
    </row>
    <row r="518" spans="1:6">
      <c r="A518" s="14">
        <v>44607</v>
      </c>
      <c r="B518" s="13">
        <v>10.392</v>
      </c>
      <c r="C518" s="13">
        <v>10.39</v>
      </c>
      <c r="D518" s="13">
        <v>10.392</v>
      </c>
      <c r="E518" s="13">
        <v>10.39</v>
      </c>
      <c r="F518" s="15">
        <v>0</v>
      </c>
    </row>
    <row r="519" spans="1:6">
      <c r="A519" s="14">
        <v>44606</v>
      </c>
      <c r="B519" s="13">
        <v>10.392</v>
      </c>
      <c r="C519" s="13">
        <v>10.39</v>
      </c>
      <c r="D519" s="13">
        <v>10.392</v>
      </c>
      <c r="E519" s="13">
        <v>10.39</v>
      </c>
      <c r="F519" s="15">
        <v>-0.0005</v>
      </c>
    </row>
    <row r="520" spans="1:6">
      <c r="A520" s="14">
        <v>44603</v>
      </c>
      <c r="B520" s="13">
        <v>10.398</v>
      </c>
      <c r="C520" s="13">
        <v>10.39</v>
      </c>
      <c r="D520" s="13">
        <v>10.398</v>
      </c>
      <c r="E520" s="13">
        <v>10.39</v>
      </c>
      <c r="F520" s="15">
        <v>0.0005</v>
      </c>
    </row>
    <row r="521" spans="1:6">
      <c r="A521" s="14">
        <v>44602</v>
      </c>
      <c r="B521" s="13">
        <v>10.392</v>
      </c>
      <c r="C521" s="13">
        <v>10.39</v>
      </c>
      <c r="D521" s="13">
        <v>10.392</v>
      </c>
      <c r="E521" s="13">
        <v>10.39</v>
      </c>
      <c r="F521" s="15">
        <v>0</v>
      </c>
    </row>
    <row r="522" spans="1:6">
      <c r="A522" s="14">
        <v>44601</v>
      </c>
      <c r="B522" s="13">
        <v>10.392</v>
      </c>
      <c r="C522" s="13">
        <v>10.39</v>
      </c>
      <c r="D522" s="13">
        <v>10.392</v>
      </c>
      <c r="E522" s="13">
        <v>10.39</v>
      </c>
      <c r="F522" s="15">
        <v>0</v>
      </c>
    </row>
    <row r="523" spans="1:6">
      <c r="A523" s="14">
        <v>44600</v>
      </c>
      <c r="B523" s="13">
        <v>10.392</v>
      </c>
      <c r="C523" s="13">
        <v>10.39</v>
      </c>
      <c r="D523" s="13">
        <v>10.392</v>
      </c>
      <c r="E523" s="13">
        <v>10.39</v>
      </c>
      <c r="F523" s="15">
        <v>0</v>
      </c>
    </row>
    <row r="524" spans="1:6">
      <c r="A524" s="14">
        <v>44599</v>
      </c>
      <c r="B524" s="13">
        <v>10.392</v>
      </c>
      <c r="C524" s="13">
        <v>10.39</v>
      </c>
      <c r="D524" s="13">
        <v>10.392</v>
      </c>
      <c r="E524" s="13">
        <v>10.39</v>
      </c>
      <c r="F524" s="15">
        <v>-0.0005</v>
      </c>
    </row>
    <row r="525" spans="1:6">
      <c r="A525" s="14">
        <v>44596</v>
      </c>
      <c r="B525" s="13">
        <v>10.398</v>
      </c>
      <c r="C525" s="13">
        <v>10.39</v>
      </c>
      <c r="D525" s="13">
        <v>10.398</v>
      </c>
      <c r="E525" s="13">
        <v>10.39</v>
      </c>
      <c r="F525" s="15">
        <v>0.0005</v>
      </c>
    </row>
    <row r="526" spans="1:6">
      <c r="A526" s="14">
        <v>44595</v>
      </c>
      <c r="B526" s="13">
        <v>10.392</v>
      </c>
      <c r="C526" s="13">
        <v>10.39</v>
      </c>
      <c r="D526" s="13">
        <v>10.392</v>
      </c>
      <c r="E526" s="13">
        <v>10.39</v>
      </c>
      <c r="F526" s="15">
        <v>0</v>
      </c>
    </row>
    <row r="527" spans="1:6">
      <c r="A527" s="14">
        <v>44594</v>
      </c>
      <c r="B527" s="13">
        <v>10.392</v>
      </c>
      <c r="C527" s="13">
        <v>10.39</v>
      </c>
      <c r="D527" s="13">
        <v>10.392</v>
      </c>
      <c r="E527" s="13">
        <v>10.39</v>
      </c>
      <c r="F527" s="15">
        <v>0</v>
      </c>
    </row>
    <row r="528" spans="1:6">
      <c r="A528" s="14">
        <v>44593</v>
      </c>
      <c r="B528" s="13">
        <v>10.392</v>
      </c>
      <c r="C528" s="13">
        <v>10.39</v>
      </c>
      <c r="D528" s="13">
        <v>10.392</v>
      </c>
      <c r="E528" s="13">
        <v>10.39</v>
      </c>
      <c r="F528" s="15">
        <v>-0.0005</v>
      </c>
    </row>
    <row r="529" spans="1:6">
      <c r="A529" s="14">
        <v>44592</v>
      </c>
      <c r="B529" s="13">
        <v>10.398</v>
      </c>
      <c r="C529" s="13">
        <v>10.39</v>
      </c>
      <c r="D529" s="13">
        <v>10.398</v>
      </c>
      <c r="E529" s="13">
        <v>10.39</v>
      </c>
      <c r="F529" s="15">
        <v>0.0007</v>
      </c>
    </row>
    <row r="530" spans="1:6">
      <c r="A530" s="14">
        <v>44589</v>
      </c>
      <c r="B530" s="13">
        <v>10.391</v>
      </c>
      <c r="C530" s="13">
        <v>10.39</v>
      </c>
      <c r="D530" s="13">
        <v>10.391</v>
      </c>
      <c r="E530" s="13">
        <v>10.39</v>
      </c>
      <c r="F530" s="15">
        <v>-0.0002</v>
      </c>
    </row>
    <row r="531" spans="1:6">
      <c r="A531" s="14">
        <v>44588</v>
      </c>
      <c r="B531" s="13">
        <v>10.392</v>
      </c>
      <c r="C531" s="13">
        <v>10.65</v>
      </c>
      <c r="D531" s="13">
        <v>10.65</v>
      </c>
      <c r="E531" s="13">
        <v>10.39</v>
      </c>
      <c r="F531" s="15">
        <v>-0.0245</v>
      </c>
    </row>
    <row r="532" spans="1:6">
      <c r="A532" s="14">
        <v>44587</v>
      </c>
      <c r="B532" s="13">
        <v>10.653</v>
      </c>
      <c r="C532" s="13">
        <v>10.654</v>
      </c>
      <c r="D532" s="13">
        <v>10.654</v>
      </c>
      <c r="E532" s="13">
        <v>10.653</v>
      </c>
      <c r="F532" s="15">
        <v>0</v>
      </c>
    </row>
    <row r="533" spans="1:6">
      <c r="A533" s="14">
        <v>44586</v>
      </c>
      <c r="B533" s="13">
        <v>10.653</v>
      </c>
      <c r="C533" s="13">
        <v>10.65</v>
      </c>
      <c r="D533" s="13">
        <v>10.653</v>
      </c>
      <c r="E533" s="13">
        <v>10.65</v>
      </c>
      <c r="F533" s="15">
        <v>0</v>
      </c>
    </row>
    <row r="534" spans="1:6">
      <c r="A534" s="14">
        <v>44585</v>
      </c>
      <c r="B534" s="13">
        <v>10.653</v>
      </c>
      <c r="C534" s="13">
        <v>10.65</v>
      </c>
      <c r="D534" s="13">
        <v>10.653</v>
      </c>
      <c r="E534" s="13">
        <v>10.65</v>
      </c>
      <c r="F534" s="15">
        <v>-0.0005</v>
      </c>
    </row>
    <row r="535" spans="1:6">
      <c r="A535" s="14">
        <v>44582</v>
      </c>
      <c r="B535" s="13">
        <v>10.658</v>
      </c>
      <c r="C535" s="13">
        <v>10.65</v>
      </c>
      <c r="D535" s="13">
        <v>10.658</v>
      </c>
      <c r="E535" s="13">
        <v>10.65</v>
      </c>
      <c r="F535" s="15">
        <v>0.0005</v>
      </c>
    </row>
    <row r="536" spans="1:6">
      <c r="A536" s="14">
        <v>44581</v>
      </c>
      <c r="B536" s="13">
        <v>10.653</v>
      </c>
      <c r="C536" s="13">
        <v>10.65</v>
      </c>
      <c r="D536" s="13">
        <v>10.653</v>
      </c>
      <c r="E536" s="13">
        <v>10.65</v>
      </c>
      <c r="F536" s="15">
        <v>0</v>
      </c>
    </row>
    <row r="537" spans="1:6">
      <c r="A537" s="14">
        <v>44580</v>
      </c>
      <c r="B537" s="13">
        <v>10.653</v>
      </c>
      <c r="C537" s="13">
        <v>10.65</v>
      </c>
      <c r="D537" s="13">
        <v>10.653</v>
      </c>
      <c r="E537" s="13">
        <v>10.65</v>
      </c>
      <c r="F537" s="15">
        <v>0</v>
      </c>
    </row>
    <row r="538" spans="1:6">
      <c r="A538" s="14">
        <v>44579</v>
      </c>
      <c r="B538" s="13">
        <v>10.653</v>
      </c>
      <c r="C538" s="13">
        <v>10.65</v>
      </c>
      <c r="D538" s="13">
        <v>10.653</v>
      </c>
      <c r="E538" s="13">
        <v>10.65</v>
      </c>
      <c r="F538" s="15">
        <v>0</v>
      </c>
    </row>
    <row r="539" spans="1:6">
      <c r="A539" s="14">
        <v>44578</v>
      </c>
      <c r="B539" s="13">
        <v>10.653</v>
      </c>
      <c r="C539" s="13">
        <v>10.653</v>
      </c>
      <c r="D539" s="13">
        <v>10.653</v>
      </c>
      <c r="E539" s="13">
        <v>10.653</v>
      </c>
      <c r="F539" s="15">
        <v>-0.0005</v>
      </c>
    </row>
    <row r="540" spans="1:6">
      <c r="A540" s="14">
        <v>44575</v>
      </c>
      <c r="B540" s="13">
        <v>10.658</v>
      </c>
      <c r="C540" s="13">
        <v>10.65</v>
      </c>
      <c r="D540" s="13">
        <v>10.658</v>
      </c>
      <c r="E540" s="13">
        <v>10.65</v>
      </c>
      <c r="F540" s="15">
        <v>0.0005</v>
      </c>
    </row>
    <row r="541" spans="1:6">
      <c r="A541" s="14">
        <v>44574</v>
      </c>
      <c r="B541" s="13">
        <v>10.653</v>
      </c>
      <c r="C541" s="13">
        <v>10.65</v>
      </c>
      <c r="D541" s="13">
        <v>10.653</v>
      </c>
      <c r="E541" s="13">
        <v>10.65</v>
      </c>
      <c r="F541" s="15">
        <v>0</v>
      </c>
    </row>
    <row r="542" spans="1:6">
      <c r="A542" s="14">
        <v>44573</v>
      </c>
      <c r="B542" s="13">
        <v>10.653</v>
      </c>
      <c r="C542" s="13">
        <v>10.65</v>
      </c>
      <c r="D542" s="13">
        <v>10.653</v>
      </c>
      <c r="E542" s="13">
        <v>10.65</v>
      </c>
      <c r="F542" s="15">
        <v>0</v>
      </c>
    </row>
    <row r="543" spans="1:6">
      <c r="A543" s="14">
        <v>44572</v>
      </c>
      <c r="B543" s="13">
        <v>10.653</v>
      </c>
      <c r="C543" s="13">
        <v>10.65</v>
      </c>
      <c r="D543" s="13">
        <v>10.653</v>
      </c>
      <c r="E543" s="13">
        <v>10.65</v>
      </c>
      <c r="F543" s="15">
        <v>0</v>
      </c>
    </row>
    <row r="544" spans="1:6">
      <c r="A544" s="14">
        <v>44571</v>
      </c>
      <c r="B544" s="13">
        <v>10.653</v>
      </c>
      <c r="C544" s="13">
        <v>10.65</v>
      </c>
      <c r="D544" s="13">
        <v>10.653</v>
      </c>
      <c r="E544" s="13">
        <v>10.65</v>
      </c>
      <c r="F544" s="15">
        <v>0.0003</v>
      </c>
    </row>
    <row r="545" spans="1:6">
      <c r="A545" s="14">
        <v>44568</v>
      </c>
      <c r="B545" s="13">
        <v>10.65</v>
      </c>
      <c r="C545" s="13">
        <v>10.47</v>
      </c>
      <c r="D545" s="13">
        <v>10.65</v>
      </c>
      <c r="E545" s="13">
        <v>10.47</v>
      </c>
      <c r="F545" s="15">
        <v>0.0162</v>
      </c>
    </row>
    <row r="546" spans="1:6">
      <c r="A546" s="14">
        <v>44567</v>
      </c>
      <c r="B546" s="13">
        <v>10.481</v>
      </c>
      <c r="C546" s="13">
        <v>10.47</v>
      </c>
      <c r="D546" s="13">
        <v>10.481</v>
      </c>
      <c r="E546" s="13">
        <v>10.47</v>
      </c>
      <c r="F546" s="15">
        <v>0.0008</v>
      </c>
    </row>
    <row r="547" spans="1:6">
      <c r="A547" s="14">
        <v>44566</v>
      </c>
      <c r="B547" s="13">
        <v>10.472</v>
      </c>
      <c r="C547" s="13">
        <v>10.47</v>
      </c>
      <c r="D547" s="13">
        <v>10.472</v>
      </c>
      <c r="E547" s="13">
        <v>10.47</v>
      </c>
      <c r="F547" s="15">
        <v>0</v>
      </c>
    </row>
    <row r="548" spans="1:6">
      <c r="A548" s="14">
        <v>44565</v>
      </c>
      <c r="B548" s="13">
        <v>10.472</v>
      </c>
      <c r="C548" s="13">
        <v>10.47</v>
      </c>
      <c r="D548" s="13">
        <v>10.472</v>
      </c>
      <c r="E548" s="13">
        <v>10.47</v>
      </c>
      <c r="F548" s="15">
        <v>0</v>
      </c>
    </row>
    <row r="549" spans="1:6">
      <c r="A549" s="14">
        <v>44564</v>
      </c>
      <c r="B549" s="13">
        <v>10.472</v>
      </c>
      <c r="C549" s="13">
        <v>10.47</v>
      </c>
      <c r="D549" s="13">
        <v>10.472</v>
      </c>
      <c r="E549" s="13">
        <v>10.47</v>
      </c>
      <c r="F549" s="15">
        <v>-0.001</v>
      </c>
    </row>
    <row r="550" spans="1:6">
      <c r="A550" s="14">
        <v>44561</v>
      </c>
      <c r="B550" s="13">
        <v>10.483</v>
      </c>
      <c r="C550" s="13">
        <v>10.47</v>
      </c>
      <c r="D550" s="13">
        <v>10.483</v>
      </c>
      <c r="E550" s="13">
        <v>10.47</v>
      </c>
      <c r="F550" s="15">
        <v>0.0017</v>
      </c>
    </row>
    <row r="551" spans="1:6">
      <c r="A551" s="14">
        <v>44560</v>
      </c>
      <c r="B551" s="13">
        <v>10.465</v>
      </c>
      <c r="C551" s="13">
        <v>10.47</v>
      </c>
      <c r="D551" s="13">
        <v>10.47</v>
      </c>
      <c r="E551" s="13">
        <v>10.465</v>
      </c>
      <c r="F551" s="15">
        <v>-0.0007</v>
      </c>
    </row>
    <row r="552" spans="1:6">
      <c r="A552" s="14">
        <v>44559</v>
      </c>
      <c r="B552" s="13">
        <v>10.472</v>
      </c>
      <c r="C552" s="13">
        <v>10.47</v>
      </c>
      <c r="D552" s="13">
        <v>10.472</v>
      </c>
      <c r="E552" s="13">
        <v>10.47</v>
      </c>
      <c r="F552" s="15">
        <v>0</v>
      </c>
    </row>
    <row r="553" spans="1:6">
      <c r="A553" s="14">
        <v>44558</v>
      </c>
      <c r="B553" s="13">
        <v>10.472</v>
      </c>
      <c r="C553" s="13">
        <v>10.47</v>
      </c>
      <c r="D553" s="13">
        <v>10.472</v>
      </c>
      <c r="E553" s="13">
        <v>10.47</v>
      </c>
      <c r="F553" s="15">
        <v>0</v>
      </c>
    </row>
    <row r="554" spans="1:6">
      <c r="A554" s="14">
        <v>44557</v>
      </c>
      <c r="B554" s="13">
        <v>10.472</v>
      </c>
      <c r="C554" s="13">
        <v>10.47</v>
      </c>
      <c r="D554" s="13">
        <v>10.472</v>
      </c>
      <c r="E554" s="13">
        <v>10.47</v>
      </c>
      <c r="F554" s="15">
        <v>-0.0005</v>
      </c>
    </row>
    <row r="555" spans="1:6">
      <c r="A555" s="14">
        <v>44554</v>
      </c>
      <c r="B555" s="13">
        <v>10.477</v>
      </c>
      <c r="C555" s="13">
        <v>10.47</v>
      </c>
      <c r="D555" s="13">
        <v>10.477</v>
      </c>
      <c r="E555" s="13">
        <v>10.47</v>
      </c>
      <c r="F555" s="15">
        <v>0.0005</v>
      </c>
    </row>
    <row r="556" spans="1:6">
      <c r="A556" s="14">
        <v>44553</v>
      </c>
      <c r="B556" s="13">
        <v>10.472</v>
      </c>
      <c r="C556" s="13">
        <v>10.47</v>
      </c>
      <c r="D556" s="13">
        <v>10.472</v>
      </c>
      <c r="E556" s="13">
        <v>10.47</v>
      </c>
      <c r="F556" s="15">
        <v>0</v>
      </c>
    </row>
    <row r="557" spans="1:6">
      <c r="A557" s="14">
        <v>44552</v>
      </c>
      <c r="B557" s="13">
        <v>10.472</v>
      </c>
      <c r="C557" s="13">
        <v>10.47</v>
      </c>
      <c r="D557" s="13">
        <v>10.472</v>
      </c>
      <c r="E557" s="13">
        <v>10.47</v>
      </c>
      <c r="F557" s="15">
        <v>0</v>
      </c>
    </row>
    <row r="558" spans="1:6">
      <c r="A558" s="14">
        <v>44551</v>
      </c>
      <c r="B558" s="13">
        <v>10.472</v>
      </c>
      <c r="C558" s="13">
        <v>10.47</v>
      </c>
      <c r="D558" s="13">
        <v>10.472</v>
      </c>
      <c r="E558" s="13">
        <v>10.47</v>
      </c>
      <c r="F558" s="15">
        <v>0</v>
      </c>
    </row>
    <row r="559" spans="1:6">
      <c r="A559" s="14">
        <v>44550</v>
      </c>
      <c r="B559" s="13">
        <v>10.472</v>
      </c>
      <c r="C559" s="13">
        <v>10.47</v>
      </c>
      <c r="D559" s="13">
        <v>10.472</v>
      </c>
      <c r="E559" s="13">
        <v>10.47</v>
      </c>
      <c r="F559" s="15">
        <v>-0.0005</v>
      </c>
    </row>
    <row r="560" spans="1:6">
      <c r="A560" s="14">
        <v>44547</v>
      </c>
      <c r="B560" s="13">
        <v>10.477</v>
      </c>
      <c r="C560" s="13">
        <v>10.47</v>
      </c>
      <c r="D560" s="13">
        <v>10.477</v>
      </c>
      <c r="E560" s="13">
        <v>10.47</v>
      </c>
      <c r="F560" s="15">
        <v>0.0007</v>
      </c>
    </row>
    <row r="561" spans="1:6">
      <c r="A561" s="14">
        <v>44546</v>
      </c>
      <c r="B561" s="13">
        <v>10.47</v>
      </c>
      <c r="C561" s="13">
        <v>10.47</v>
      </c>
      <c r="D561" s="13">
        <v>10.47</v>
      </c>
      <c r="E561" s="13">
        <v>10.47</v>
      </c>
      <c r="F561" s="15">
        <v>-0.0005</v>
      </c>
    </row>
    <row r="562" spans="1:6">
      <c r="A562" s="14">
        <v>44545</v>
      </c>
      <c r="B562" s="13">
        <v>10.475</v>
      </c>
      <c r="C562" s="13">
        <v>10.47</v>
      </c>
      <c r="D562" s="13">
        <v>10.475</v>
      </c>
      <c r="E562" s="13">
        <v>10.47</v>
      </c>
      <c r="F562" s="15">
        <v>0.0002</v>
      </c>
    </row>
    <row r="563" spans="1:6">
      <c r="A563" s="14">
        <v>44544</v>
      </c>
      <c r="B563" s="13">
        <v>10.472</v>
      </c>
      <c r="C563" s="13">
        <v>10.472</v>
      </c>
      <c r="D563" s="13">
        <v>10.472</v>
      </c>
      <c r="E563" s="13">
        <v>10.472</v>
      </c>
      <c r="F563" s="15">
        <v>0.0505</v>
      </c>
    </row>
    <row r="564" spans="1:6">
      <c r="A564" s="14">
        <v>44490</v>
      </c>
      <c r="B564" s="13">
        <v>9.969</v>
      </c>
      <c r="C564" s="13">
        <v>9.969</v>
      </c>
      <c r="D564" s="13">
        <v>9.969</v>
      </c>
      <c r="E564" s="13">
        <v>9.969</v>
      </c>
      <c r="F564" s="15">
        <v>0</v>
      </c>
    </row>
    <row r="565" spans="1:6">
      <c r="A565" s="14">
        <v>44488</v>
      </c>
      <c r="B565" s="13">
        <v>9.969</v>
      </c>
      <c r="C565" s="13">
        <v>9.969</v>
      </c>
      <c r="D565" s="13">
        <v>9.969</v>
      </c>
      <c r="E565" s="13">
        <v>9.969</v>
      </c>
      <c r="F565" s="15">
        <v>0.0007</v>
      </c>
    </row>
    <row r="566" spans="1:6">
      <c r="A566" s="14">
        <v>44484</v>
      </c>
      <c r="B566" s="13">
        <v>9.963</v>
      </c>
      <c r="C566" s="13">
        <v>9.963</v>
      </c>
      <c r="D566" s="13">
        <v>9.963</v>
      </c>
      <c r="E566" s="13">
        <v>9.963</v>
      </c>
      <c r="F566" s="15">
        <v>-0.0053</v>
      </c>
    </row>
    <row r="567" spans="1:6">
      <c r="A567" s="14">
        <v>44456</v>
      </c>
      <c r="B567" s="13">
        <v>10.017</v>
      </c>
      <c r="C567" s="13">
        <v>10.017</v>
      </c>
      <c r="D567" s="13">
        <v>10.017</v>
      </c>
      <c r="E567" s="13">
        <v>10.017</v>
      </c>
      <c r="F567" s="15">
        <v>-0.0275</v>
      </c>
    </row>
    <row r="568" spans="1:6">
      <c r="A568" s="14">
        <v>44452</v>
      </c>
      <c r="B568" s="13">
        <v>10.3</v>
      </c>
      <c r="C568" s="13">
        <v>10.3</v>
      </c>
      <c r="D568" s="13">
        <v>10.3</v>
      </c>
      <c r="E568" s="13">
        <v>10.3</v>
      </c>
      <c r="F568" s="15">
        <v>-0.0006</v>
      </c>
    </row>
    <row r="569" spans="1:6">
      <c r="A569" s="14">
        <v>44449</v>
      </c>
      <c r="B569" s="13">
        <v>10.307</v>
      </c>
      <c r="C569" s="13">
        <v>10.3</v>
      </c>
      <c r="D569" s="13">
        <v>10.307</v>
      </c>
      <c r="E569" s="13">
        <v>10.3</v>
      </c>
      <c r="F569" s="15">
        <v>0.0004</v>
      </c>
    </row>
    <row r="570" spans="1:6">
      <c r="A570" s="14">
        <v>44448</v>
      </c>
      <c r="B570" s="13">
        <v>10.302</v>
      </c>
      <c r="C570" s="13">
        <v>10.3</v>
      </c>
      <c r="D570" s="13">
        <v>10.302</v>
      </c>
      <c r="E570" s="13">
        <v>10.3</v>
      </c>
      <c r="F570" s="15">
        <v>0</v>
      </c>
    </row>
    <row r="571" spans="1:6">
      <c r="A571" s="14">
        <v>44447</v>
      </c>
      <c r="B571" s="13">
        <v>10.302</v>
      </c>
      <c r="C571" s="13">
        <v>9.948</v>
      </c>
      <c r="D571" s="13">
        <v>10.302</v>
      </c>
      <c r="E571" s="13">
        <v>9.948</v>
      </c>
      <c r="F571" s="15">
        <v>0.0345</v>
      </c>
    </row>
    <row r="572" spans="1:6">
      <c r="A572" s="14">
        <v>44446</v>
      </c>
      <c r="B572" s="13">
        <v>9.958</v>
      </c>
      <c r="C572" s="13">
        <v>9.958</v>
      </c>
      <c r="D572" s="13">
        <v>9.958</v>
      </c>
      <c r="E572" s="13">
        <v>9.958</v>
      </c>
      <c r="F572" s="15">
        <v>0.0067</v>
      </c>
    </row>
    <row r="573" spans="1:6">
      <c r="A573" s="14">
        <v>44445</v>
      </c>
      <c r="B573" s="13">
        <v>9.892</v>
      </c>
      <c r="C573" s="13">
        <v>9.892</v>
      </c>
      <c r="D573" s="13">
        <v>9.892</v>
      </c>
      <c r="E573" s="13">
        <v>9.892</v>
      </c>
      <c r="F573" s="15">
        <v>0.0002</v>
      </c>
    </row>
    <row r="574" spans="1:6">
      <c r="A574" s="14">
        <v>44442</v>
      </c>
      <c r="B574" s="13">
        <v>9.89</v>
      </c>
      <c r="C574" s="13">
        <v>9.89</v>
      </c>
      <c r="D574" s="13">
        <v>9.89</v>
      </c>
      <c r="E574" s="13">
        <v>9.89</v>
      </c>
      <c r="F574" s="15">
        <v>-0.0019</v>
      </c>
    </row>
    <row r="575" spans="1:6">
      <c r="A575" s="14">
        <v>44441</v>
      </c>
      <c r="B575" s="13">
        <v>9.909</v>
      </c>
      <c r="C575" s="13">
        <v>9.909</v>
      </c>
      <c r="D575" s="13">
        <v>9.909</v>
      </c>
      <c r="E575" s="13">
        <v>9.909</v>
      </c>
      <c r="F575" s="15">
        <v>-0.0024</v>
      </c>
    </row>
    <row r="576" spans="1:6">
      <c r="A576" s="14">
        <v>44440</v>
      </c>
      <c r="B576" s="13">
        <v>9.933</v>
      </c>
      <c r="C576" s="13">
        <v>9.933</v>
      </c>
      <c r="D576" s="13">
        <v>9.933</v>
      </c>
      <c r="E576" s="13">
        <v>9.933</v>
      </c>
      <c r="F576" s="15">
        <v>-0.0006</v>
      </c>
    </row>
    <row r="577" spans="1:6">
      <c r="A577" s="14">
        <v>44439</v>
      </c>
      <c r="B577" s="13">
        <v>9.939</v>
      </c>
      <c r="C577" s="13">
        <v>9.939</v>
      </c>
      <c r="D577" s="13">
        <v>9.939</v>
      </c>
      <c r="E577" s="13">
        <v>9.939</v>
      </c>
      <c r="F577" s="15">
        <v>-0.0029</v>
      </c>
    </row>
    <row r="578" spans="1:6">
      <c r="A578" s="14">
        <v>44435</v>
      </c>
      <c r="B578" s="13">
        <v>9.968</v>
      </c>
      <c r="C578" s="13">
        <v>9.968</v>
      </c>
      <c r="D578" s="13">
        <v>9.968</v>
      </c>
      <c r="E578" s="13">
        <v>9.968</v>
      </c>
      <c r="F578" s="15">
        <v>-0.001</v>
      </c>
    </row>
    <row r="579" spans="1:6">
      <c r="A579" s="14">
        <v>44434</v>
      </c>
      <c r="B579" s="13">
        <v>9.978</v>
      </c>
      <c r="C579" s="13">
        <v>9.978</v>
      </c>
      <c r="D579" s="13">
        <v>9.978</v>
      </c>
      <c r="E579" s="13">
        <v>9.978</v>
      </c>
      <c r="F579" s="15">
        <v>0.0182</v>
      </c>
    </row>
    <row r="580" spans="1:6">
      <c r="A580" s="14">
        <v>44433</v>
      </c>
      <c r="B580" s="13">
        <v>9.8</v>
      </c>
      <c r="C580" s="13">
        <v>9.963</v>
      </c>
      <c r="D580" s="13">
        <v>9.963</v>
      </c>
      <c r="E580" s="13">
        <v>9.8</v>
      </c>
      <c r="F580" s="15">
        <v>-0.0002</v>
      </c>
    </row>
    <row r="581" spans="1:6">
      <c r="A581" s="14">
        <v>44432</v>
      </c>
      <c r="B581" s="13">
        <v>9.802</v>
      </c>
      <c r="C581" s="13">
        <v>9.456</v>
      </c>
      <c r="D581" s="13">
        <v>9.802</v>
      </c>
      <c r="E581" s="13">
        <v>9.456</v>
      </c>
      <c r="F581" s="15">
        <v>0</v>
      </c>
    </row>
    <row r="582" spans="1:6">
      <c r="A582" s="14">
        <v>44431</v>
      </c>
      <c r="B582" s="13">
        <v>9.802</v>
      </c>
      <c r="C582" s="13">
        <v>9.874</v>
      </c>
      <c r="D582" s="13">
        <v>9.874</v>
      </c>
      <c r="E582" s="13">
        <v>9.8</v>
      </c>
      <c r="F582" s="15">
        <v>-0.0004</v>
      </c>
    </row>
    <row r="583" spans="1:6">
      <c r="A583" s="14">
        <v>44428</v>
      </c>
      <c r="B583" s="13">
        <v>9.806</v>
      </c>
      <c r="C583" s="13">
        <v>9.902</v>
      </c>
      <c r="D583" s="13">
        <v>9.902</v>
      </c>
      <c r="E583" s="13">
        <v>9.8</v>
      </c>
      <c r="F583" s="15">
        <v>-0.0234</v>
      </c>
    </row>
    <row r="584" spans="1:6">
      <c r="A584" s="14">
        <v>44427</v>
      </c>
      <c r="B584" s="13">
        <v>10.041</v>
      </c>
      <c r="C584" s="13">
        <v>10.041</v>
      </c>
      <c r="D584" s="13">
        <v>10.041</v>
      </c>
      <c r="E584" s="13">
        <v>10.041</v>
      </c>
      <c r="F584" s="15">
        <v>-0.0065</v>
      </c>
    </row>
    <row r="585" spans="1:6">
      <c r="A585" s="14">
        <v>44426</v>
      </c>
      <c r="B585" s="13">
        <v>10.107</v>
      </c>
      <c r="C585" s="13">
        <v>10.107</v>
      </c>
      <c r="D585" s="13">
        <v>10.107</v>
      </c>
      <c r="E585" s="13">
        <v>10.107</v>
      </c>
      <c r="F585" s="15">
        <v>-0.0053</v>
      </c>
    </row>
    <row r="586" spans="1:6">
      <c r="A586" s="14">
        <v>44425</v>
      </c>
      <c r="B586" s="13">
        <v>10.161</v>
      </c>
      <c r="C586" s="13">
        <v>10.161</v>
      </c>
      <c r="D586" s="13">
        <v>10.161</v>
      </c>
      <c r="E586" s="13">
        <v>10.161</v>
      </c>
      <c r="F586" s="15">
        <v>0.0186</v>
      </c>
    </row>
    <row r="587" spans="1:6">
      <c r="A587" s="14">
        <v>44424</v>
      </c>
      <c r="B587" s="13">
        <v>9.975</v>
      </c>
      <c r="C587" s="13">
        <v>9.975</v>
      </c>
      <c r="D587" s="13">
        <v>9.975</v>
      </c>
      <c r="E587" s="13">
        <v>9.975</v>
      </c>
      <c r="F587" s="15">
        <v>0.0011</v>
      </c>
    </row>
    <row r="588" spans="1:6">
      <c r="A588" s="14">
        <v>44421</v>
      </c>
      <c r="B588" s="13">
        <v>9.964</v>
      </c>
      <c r="C588" s="13">
        <v>9.964</v>
      </c>
      <c r="D588" s="13">
        <v>9.964</v>
      </c>
      <c r="E588" s="13">
        <v>9.964</v>
      </c>
      <c r="F588" s="15">
        <v>0.0002</v>
      </c>
    </row>
    <row r="589" spans="1:6">
      <c r="A589" s="14">
        <v>44420</v>
      </c>
      <c r="B589" s="13">
        <v>9.962</v>
      </c>
      <c r="C589" s="13">
        <v>9.962</v>
      </c>
      <c r="D589" s="13">
        <v>9.962</v>
      </c>
      <c r="E589" s="13">
        <v>9.962</v>
      </c>
      <c r="F589" s="15">
        <v>-0.002</v>
      </c>
    </row>
    <row r="590" spans="1:6">
      <c r="A590" s="14">
        <v>44419</v>
      </c>
      <c r="B590" s="13">
        <v>9.982</v>
      </c>
      <c r="C590" s="13">
        <v>9.982</v>
      </c>
      <c r="D590" s="13">
        <v>9.982</v>
      </c>
      <c r="E590" s="13">
        <v>9.982</v>
      </c>
      <c r="F590" s="15">
        <v>-0.0015</v>
      </c>
    </row>
    <row r="591" spans="1:6">
      <c r="A591" s="14">
        <v>44418</v>
      </c>
      <c r="B591" s="13">
        <v>9.997</v>
      </c>
      <c r="C591" s="13">
        <v>9.997</v>
      </c>
      <c r="D591" s="13">
        <v>9.997</v>
      </c>
      <c r="E591" s="13">
        <v>9.997</v>
      </c>
      <c r="F591" s="15">
        <v>-0.02</v>
      </c>
    </row>
    <row r="592" spans="1:6">
      <c r="A592" s="14">
        <v>44414</v>
      </c>
      <c r="B592" s="13">
        <v>10.201</v>
      </c>
      <c r="C592" s="13">
        <v>10.201</v>
      </c>
      <c r="D592" s="13">
        <v>10.201</v>
      </c>
      <c r="E592" s="13">
        <v>10.201</v>
      </c>
      <c r="F592" s="15">
        <v>0.004</v>
      </c>
    </row>
    <row r="593" spans="1:6">
      <c r="A593" s="14">
        <v>44413</v>
      </c>
      <c r="B593" s="13">
        <v>10.16</v>
      </c>
      <c r="C593" s="13">
        <v>10.16</v>
      </c>
      <c r="D593" s="13">
        <v>10.16</v>
      </c>
      <c r="E593" s="13">
        <v>10.16</v>
      </c>
      <c r="F593" s="15">
        <v>0.0191</v>
      </c>
    </row>
    <row r="594" spans="1:6">
      <c r="A594" s="14">
        <v>44412</v>
      </c>
      <c r="B594" s="13">
        <v>9.97</v>
      </c>
      <c r="C594" s="13">
        <v>9.97</v>
      </c>
      <c r="D594" s="13">
        <v>9.97</v>
      </c>
      <c r="E594" s="13">
        <v>9.97</v>
      </c>
      <c r="F594" s="15">
        <v>-0.0061</v>
      </c>
    </row>
    <row r="595" spans="1:6">
      <c r="A595" s="14">
        <v>44411</v>
      </c>
      <c r="B595" s="13">
        <v>10.031</v>
      </c>
      <c r="C595" s="13">
        <v>10.031</v>
      </c>
      <c r="D595" s="13">
        <v>10.031</v>
      </c>
      <c r="E595" s="13">
        <v>10.031</v>
      </c>
      <c r="F595" s="15">
        <v>-0.0048</v>
      </c>
    </row>
    <row r="596" spans="1:6">
      <c r="A596" s="14">
        <v>44410</v>
      </c>
      <c r="B596" s="13">
        <v>10.079</v>
      </c>
      <c r="C596" s="13">
        <v>10.079</v>
      </c>
      <c r="D596" s="13">
        <v>10.079</v>
      </c>
      <c r="E596" s="13">
        <v>10.079</v>
      </c>
      <c r="F596" s="15">
        <v>0.0006</v>
      </c>
    </row>
    <row r="597" spans="1:6">
      <c r="A597" s="14">
        <v>44407</v>
      </c>
      <c r="B597" s="13">
        <v>10.073</v>
      </c>
      <c r="C597" s="13">
        <v>10.073</v>
      </c>
      <c r="D597" s="13">
        <v>10.073</v>
      </c>
      <c r="E597" s="13">
        <v>10.073</v>
      </c>
      <c r="F597" s="15">
        <v>-0.0001</v>
      </c>
    </row>
    <row r="598" spans="1:6">
      <c r="A598" s="14">
        <v>44406</v>
      </c>
      <c r="B598" s="13">
        <v>10.074</v>
      </c>
      <c r="C598" s="13">
        <v>10.074</v>
      </c>
      <c r="D598" s="13">
        <v>10.074</v>
      </c>
      <c r="E598" s="13">
        <v>10.074</v>
      </c>
      <c r="F598" s="15">
        <v>-0.0031</v>
      </c>
    </row>
    <row r="599" spans="1:6">
      <c r="A599" s="14">
        <v>44405</v>
      </c>
      <c r="B599" s="13">
        <v>10.105</v>
      </c>
      <c r="C599" s="13">
        <v>10.105</v>
      </c>
      <c r="D599" s="13">
        <v>10.105</v>
      </c>
      <c r="E599" s="13">
        <v>10.105</v>
      </c>
      <c r="F599" s="15">
        <v>0.0168</v>
      </c>
    </row>
    <row r="600" spans="1:6">
      <c r="A600" s="14">
        <v>44404</v>
      </c>
      <c r="B600" s="13">
        <v>9.938</v>
      </c>
      <c r="C600" s="13">
        <v>9.938</v>
      </c>
      <c r="D600" s="13">
        <v>9.938</v>
      </c>
      <c r="E600" s="13">
        <v>9.938</v>
      </c>
      <c r="F600" s="15">
        <v>-0.0118</v>
      </c>
    </row>
    <row r="601" spans="1:6">
      <c r="A601" s="14">
        <v>44403</v>
      </c>
      <c r="B601" s="13">
        <v>10.057</v>
      </c>
      <c r="C601" s="13">
        <v>10.057</v>
      </c>
      <c r="D601" s="13">
        <v>10.057</v>
      </c>
      <c r="E601" s="13">
        <v>10.057</v>
      </c>
      <c r="F601" s="15">
        <v>-0.0369</v>
      </c>
    </row>
    <row r="602" spans="1:6">
      <c r="A602" s="14">
        <v>44400</v>
      </c>
      <c r="B602" s="13">
        <v>10.442</v>
      </c>
      <c r="C602" s="13">
        <v>10.442</v>
      </c>
      <c r="D602" s="13">
        <v>10.442</v>
      </c>
      <c r="E602" s="13">
        <v>10.442</v>
      </c>
      <c r="F602" s="15">
        <v>0.0028</v>
      </c>
    </row>
    <row r="603" spans="1:6">
      <c r="A603" s="14">
        <v>44399</v>
      </c>
      <c r="B603" s="13">
        <v>10.413</v>
      </c>
      <c r="C603" s="13">
        <v>10.413</v>
      </c>
      <c r="D603" s="13">
        <v>10.413</v>
      </c>
      <c r="E603" s="13">
        <v>10.413</v>
      </c>
      <c r="F603" s="15">
        <v>0.0008</v>
      </c>
    </row>
    <row r="604" spans="1:6">
      <c r="A604" s="14">
        <v>44398</v>
      </c>
      <c r="B604" s="13">
        <v>10.405</v>
      </c>
      <c r="C604" s="13">
        <v>10.405</v>
      </c>
      <c r="D604" s="13">
        <v>10.405</v>
      </c>
      <c r="E604" s="13">
        <v>10.405</v>
      </c>
      <c r="F604" s="15">
        <v>0.0067</v>
      </c>
    </row>
    <row r="605" spans="1:6">
      <c r="A605" s="14">
        <v>44396</v>
      </c>
      <c r="B605" s="13">
        <v>10.336</v>
      </c>
      <c r="C605" s="13">
        <v>10.336</v>
      </c>
      <c r="D605" s="13">
        <v>10.336</v>
      </c>
      <c r="E605" s="13">
        <v>10.336</v>
      </c>
      <c r="F605" s="15">
        <v>0.002</v>
      </c>
    </row>
    <row r="606" spans="1:6">
      <c r="A606" s="14">
        <v>44393</v>
      </c>
      <c r="B606" s="13">
        <v>10.315</v>
      </c>
      <c r="C606" s="13">
        <v>10.315</v>
      </c>
      <c r="D606" s="13">
        <v>10.315</v>
      </c>
      <c r="E606" s="13">
        <v>10.315</v>
      </c>
      <c r="F606" s="15">
        <v>-0.0005</v>
      </c>
    </row>
    <row r="607" spans="1:6">
      <c r="A607" s="14">
        <v>44392</v>
      </c>
      <c r="B607" s="13">
        <v>10.32</v>
      </c>
      <c r="C607" s="13">
        <v>10.32</v>
      </c>
      <c r="D607" s="13">
        <v>10.32</v>
      </c>
      <c r="E607" s="13">
        <v>10.32</v>
      </c>
      <c r="F607" s="15">
        <v>0.0048</v>
      </c>
    </row>
    <row r="608" spans="1:6">
      <c r="A608" s="14">
        <v>44391</v>
      </c>
      <c r="B608" s="13">
        <v>10.271</v>
      </c>
      <c r="C608" s="13">
        <v>10.271</v>
      </c>
      <c r="D608" s="13">
        <v>10.271</v>
      </c>
      <c r="E608" s="13">
        <v>10.271</v>
      </c>
      <c r="F608" s="15">
        <v>0.0061</v>
      </c>
    </row>
    <row r="609" spans="1:6">
      <c r="A609" s="14">
        <v>44390</v>
      </c>
      <c r="B609" s="13">
        <v>10.209</v>
      </c>
      <c r="C609" s="13">
        <v>10.209</v>
      </c>
      <c r="D609" s="13">
        <v>10.209</v>
      </c>
      <c r="E609" s="13">
        <v>10.209</v>
      </c>
      <c r="F609" s="15">
        <v>0.011</v>
      </c>
    </row>
    <row r="610" spans="1:6">
      <c r="A610" s="14">
        <v>44389</v>
      </c>
      <c r="B610" s="13">
        <v>10.098</v>
      </c>
      <c r="C610" s="13">
        <v>10.098</v>
      </c>
      <c r="D610" s="13">
        <v>10.098</v>
      </c>
      <c r="E610" s="13">
        <v>10.098</v>
      </c>
      <c r="F610" s="15">
        <v>0.0004</v>
      </c>
    </row>
    <row r="611" spans="1:6">
      <c r="A611" s="14">
        <v>44386</v>
      </c>
      <c r="B611" s="13">
        <v>10.094</v>
      </c>
      <c r="C611" s="13">
        <v>10.094</v>
      </c>
      <c r="D611" s="13">
        <v>10.094</v>
      </c>
      <c r="E611" s="13">
        <v>10.094</v>
      </c>
      <c r="F611" s="15">
        <v>0.0003</v>
      </c>
    </row>
    <row r="612" spans="1:6">
      <c r="A612" s="14">
        <v>44385</v>
      </c>
      <c r="B612" s="13">
        <v>10.091</v>
      </c>
      <c r="C612" s="13">
        <v>10.091</v>
      </c>
      <c r="D612" s="13">
        <v>10.091</v>
      </c>
      <c r="E612" s="13">
        <v>10.091</v>
      </c>
      <c r="F612" s="15">
        <v>0.0049</v>
      </c>
    </row>
    <row r="613" spans="1:6">
      <c r="A613" s="14">
        <v>44384</v>
      </c>
      <c r="B613" s="13">
        <v>10.042</v>
      </c>
      <c r="C613" s="13">
        <v>10.042</v>
      </c>
      <c r="D613" s="13">
        <v>10.042</v>
      </c>
      <c r="E613" s="13">
        <v>10.042</v>
      </c>
      <c r="F613" s="15">
        <v>-0.0009</v>
      </c>
    </row>
    <row r="614" spans="1:6">
      <c r="A614" s="14">
        <v>44380</v>
      </c>
      <c r="B614" s="13">
        <v>10.051</v>
      </c>
      <c r="C614" s="13">
        <v>10.051</v>
      </c>
      <c r="D614" s="13">
        <v>10.051</v>
      </c>
      <c r="E614" s="13">
        <v>10.051</v>
      </c>
      <c r="F614" s="15">
        <v>0.0055</v>
      </c>
    </row>
    <row r="615" spans="1:6">
      <c r="A615" s="14">
        <v>44379</v>
      </c>
      <c r="B615" s="13">
        <v>9.996</v>
      </c>
      <c r="C615" s="13">
        <v>9.996</v>
      </c>
      <c r="D615" s="13">
        <v>9.996</v>
      </c>
      <c r="E615" s="13">
        <v>9.996</v>
      </c>
      <c r="F615" s="15">
        <v>0.0003</v>
      </c>
    </row>
    <row r="616" spans="1:6">
      <c r="A616" s="14">
        <v>44378</v>
      </c>
      <c r="B616" s="13">
        <v>9.993</v>
      </c>
      <c r="C616" s="13">
        <v>9.993</v>
      </c>
      <c r="D616" s="13">
        <v>9.993</v>
      </c>
      <c r="E616" s="13">
        <v>9.993</v>
      </c>
      <c r="F616" s="15">
        <v>0.0052</v>
      </c>
    </row>
    <row r="617" spans="1:6">
      <c r="A617" s="14">
        <v>44377</v>
      </c>
      <c r="B617" s="13">
        <v>9.941</v>
      </c>
      <c r="C617" s="13">
        <v>9.941</v>
      </c>
      <c r="D617" s="13">
        <v>9.941</v>
      </c>
      <c r="E617" s="13">
        <v>9.941</v>
      </c>
      <c r="F617" s="15">
        <v>0.0002</v>
      </c>
    </row>
    <row r="618" spans="1:6">
      <c r="A618" s="14">
        <v>44376</v>
      </c>
      <c r="B618" s="13">
        <v>9.939</v>
      </c>
      <c r="C618" s="13">
        <v>9.939</v>
      </c>
      <c r="D618" s="13">
        <v>9.939</v>
      </c>
      <c r="E618" s="13">
        <v>9.939</v>
      </c>
      <c r="F618" s="15">
        <v>-0.003</v>
      </c>
    </row>
    <row r="619" spans="1:6">
      <c r="A619" s="14">
        <v>44375</v>
      </c>
      <c r="B619" s="13">
        <v>9.969</v>
      </c>
      <c r="C619" s="13">
        <v>9.969</v>
      </c>
      <c r="D619" s="13">
        <v>9.969</v>
      </c>
      <c r="E619" s="13">
        <v>9.969</v>
      </c>
      <c r="F619" s="15">
        <v>-0.0025</v>
      </c>
    </row>
    <row r="620" spans="1:6">
      <c r="A620" s="14">
        <v>44372</v>
      </c>
      <c r="B620" s="13">
        <v>9.994</v>
      </c>
      <c r="C620" s="13">
        <v>9.994</v>
      </c>
      <c r="D620" s="13">
        <v>9.994</v>
      </c>
      <c r="E620" s="13">
        <v>9.994</v>
      </c>
      <c r="F620" s="15">
        <v>-0.0067</v>
      </c>
    </row>
    <row r="621" spans="1:6">
      <c r="A621" s="14">
        <v>44371</v>
      </c>
      <c r="B621" s="13">
        <v>10.061</v>
      </c>
      <c r="C621" s="13">
        <v>10.061</v>
      </c>
      <c r="D621" s="13">
        <v>10.061</v>
      </c>
      <c r="E621" s="13">
        <v>10.061</v>
      </c>
      <c r="F621" s="15">
        <v>-0.001</v>
      </c>
    </row>
    <row r="622" spans="1:6">
      <c r="A622" s="14">
        <v>44370</v>
      </c>
      <c r="B622" s="13">
        <v>10.071</v>
      </c>
      <c r="C622" s="13">
        <v>10.071</v>
      </c>
      <c r="D622" s="13">
        <v>10.071</v>
      </c>
      <c r="E622" s="13">
        <v>10.071</v>
      </c>
      <c r="F622" s="15">
        <v>0.0032</v>
      </c>
    </row>
    <row r="623" spans="1:6">
      <c r="A623" s="14">
        <v>44369</v>
      </c>
      <c r="B623" s="13">
        <v>10.039</v>
      </c>
      <c r="C623" s="13">
        <v>10.039</v>
      </c>
      <c r="D623" s="13">
        <v>10.039</v>
      </c>
      <c r="E623" s="13">
        <v>10.039</v>
      </c>
      <c r="F623" s="15">
        <v>0.0047</v>
      </c>
    </row>
    <row r="624" spans="1:6">
      <c r="A624" s="14">
        <v>44368</v>
      </c>
      <c r="B624" s="13">
        <v>9.992</v>
      </c>
      <c r="C624" s="13">
        <v>9.992</v>
      </c>
      <c r="D624" s="13">
        <v>9.992</v>
      </c>
      <c r="E624" s="13">
        <v>9.992</v>
      </c>
      <c r="F624" s="15">
        <v>-0.0045</v>
      </c>
    </row>
    <row r="625" spans="1:6">
      <c r="A625" s="14">
        <v>44365</v>
      </c>
      <c r="B625" s="13">
        <v>10.037</v>
      </c>
      <c r="C625" s="13">
        <v>10.037</v>
      </c>
      <c r="D625" s="13">
        <v>10.037</v>
      </c>
      <c r="E625" s="13">
        <v>10.037</v>
      </c>
      <c r="F625" s="15">
        <v>-0.0099</v>
      </c>
    </row>
    <row r="626" spans="1:6">
      <c r="A626" s="14">
        <v>44364</v>
      </c>
      <c r="B626" s="13">
        <v>10.137</v>
      </c>
      <c r="C626" s="13">
        <v>10.137</v>
      </c>
      <c r="D626" s="13">
        <v>10.137</v>
      </c>
      <c r="E626" s="13">
        <v>10.137</v>
      </c>
      <c r="F626" s="15">
        <v>-0.003</v>
      </c>
    </row>
    <row r="627" spans="1:6">
      <c r="A627" s="14">
        <v>44363</v>
      </c>
      <c r="B627" s="13">
        <v>10.167</v>
      </c>
      <c r="C627" s="13">
        <v>10.167</v>
      </c>
      <c r="D627" s="13">
        <v>10.167</v>
      </c>
      <c r="E627" s="13">
        <v>10.167</v>
      </c>
      <c r="F627" s="15">
        <v>-0.0005</v>
      </c>
    </row>
    <row r="628" spans="1:6">
      <c r="A628" s="14">
        <v>44362</v>
      </c>
      <c r="B628" s="13">
        <v>10.172</v>
      </c>
      <c r="C628" s="13">
        <v>10.172</v>
      </c>
      <c r="D628" s="13">
        <v>10.172</v>
      </c>
      <c r="E628" s="13">
        <v>10.172</v>
      </c>
      <c r="F628" s="15">
        <v>0.0002</v>
      </c>
    </row>
    <row r="629" spans="1:6">
      <c r="A629" s="14">
        <v>44361</v>
      </c>
      <c r="B629" s="13">
        <v>10.17</v>
      </c>
      <c r="C629" s="13">
        <v>10.17</v>
      </c>
      <c r="D629" s="13">
        <v>10.17</v>
      </c>
      <c r="E629" s="13">
        <v>10.17</v>
      </c>
      <c r="F629" s="15">
        <v>0.0093</v>
      </c>
    </row>
    <row r="630" spans="1:6">
      <c r="A630" s="14">
        <v>44358</v>
      </c>
      <c r="B630" s="13">
        <v>10.076</v>
      </c>
      <c r="C630" s="13">
        <v>10.076</v>
      </c>
      <c r="D630" s="13">
        <v>10.076</v>
      </c>
      <c r="E630" s="13">
        <v>10.076</v>
      </c>
      <c r="F630" s="15">
        <v>0.0096</v>
      </c>
    </row>
    <row r="631" spans="1:6">
      <c r="A631" s="14">
        <v>44357</v>
      </c>
      <c r="B631" s="13">
        <v>9.98</v>
      </c>
      <c r="C631" s="13">
        <v>9.98</v>
      </c>
      <c r="D631" s="13">
        <v>9.98</v>
      </c>
      <c r="E631" s="13">
        <v>9.98</v>
      </c>
      <c r="F631" s="15">
        <v>-0.0046</v>
      </c>
    </row>
    <row r="632" spans="1:6">
      <c r="A632" s="14">
        <v>44356</v>
      </c>
      <c r="B632" s="13">
        <v>10.026</v>
      </c>
      <c r="C632" s="13">
        <v>10.026</v>
      </c>
      <c r="D632" s="13">
        <v>10.026</v>
      </c>
      <c r="E632" s="13">
        <v>10.026</v>
      </c>
      <c r="F632" s="15">
        <v>0.0007</v>
      </c>
    </row>
    <row r="633" spans="1:6">
      <c r="A633" s="14">
        <v>44355</v>
      </c>
      <c r="B633" s="13">
        <v>10.019</v>
      </c>
      <c r="C633" s="13">
        <v>10.019</v>
      </c>
      <c r="D633" s="13">
        <v>10.019</v>
      </c>
      <c r="E633" s="13">
        <v>10.019</v>
      </c>
      <c r="F633" s="15">
        <v>-0.0078</v>
      </c>
    </row>
    <row r="634" spans="1:6">
      <c r="A634" s="14">
        <v>44354</v>
      </c>
      <c r="B634" s="13">
        <v>10.098</v>
      </c>
      <c r="C634" s="13">
        <v>10.098</v>
      </c>
      <c r="D634" s="13">
        <v>10.098</v>
      </c>
      <c r="E634" s="13">
        <v>10.098</v>
      </c>
      <c r="F634" s="15">
        <v>0.0012</v>
      </c>
    </row>
    <row r="635" spans="1:6">
      <c r="A635" s="14">
        <v>44351</v>
      </c>
      <c r="B635" s="13">
        <v>10.086</v>
      </c>
      <c r="C635" s="13">
        <v>10.086</v>
      </c>
      <c r="D635" s="13">
        <v>10.086</v>
      </c>
      <c r="E635" s="13">
        <v>10.086</v>
      </c>
      <c r="F635" s="15">
        <v>-0.0053</v>
      </c>
    </row>
    <row r="636" spans="1:6">
      <c r="A636" s="14">
        <v>44350</v>
      </c>
      <c r="B636" s="13">
        <v>10.14</v>
      </c>
      <c r="C636" s="13">
        <v>10.14</v>
      </c>
      <c r="D636" s="13">
        <v>10.14</v>
      </c>
      <c r="E636" s="13">
        <v>10.14</v>
      </c>
      <c r="F636" s="15">
        <v>0.0079</v>
      </c>
    </row>
    <row r="637" spans="1:6">
      <c r="A637" s="14">
        <v>44349</v>
      </c>
      <c r="B637" s="13">
        <v>10.061</v>
      </c>
      <c r="C637" s="13">
        <v>10.061</v>
      </c>
      <c r="D637" s="13">
        <v>10.061</v>
      </c>
      <c r="E637" s="13">
        <v>10.061</v>
      </c>
      <c r="F637" s="15">
        <v>0.0042</v>
      </c>
    </row>
    <row r="638" spans="1:6">
      <c r="A638" s="14">
        <v>44347</v>
      </c>
      <c r="B638" s="13">
        <v>10.019</v>
      </c>
      <c r="C638" s="13">
        <v>10.019</v>
      </c>
      <c r="D638" s="13">
        <v>10.019</v>
      </c>
      <c r="E638" s="13">
        <v>10.019</v>
      </c>
      <c r="F638" s="15">
        <v>-0.0015</v>
      </c>
    </row>
    <row r="639" spans="1:6">
      <c r="A639" s="14">
        <v>44344</v>
      </c>
      <c r="B639" s="13">
        <v>10.034</v>
      </c>
      <c r="C639" s="13">
        <v>10.034</v>
      </c>
      <c r="D639" s="13">
        <v>10.034</v>
      </c>
      <c r="E639" s="13">
        <v>10.034</v>
      </c>
      <c r="F639" s="15">
        <v>-0.0014</v>
      </c>
    </row>
    <row r="640" spans="1:6">
      <c r="A640" s="14">
        <v>44343</v>
      </c>
      <c r="B640" s="13">
        <v>10.048</v>
      </c>
      <c r="C640" s="13">
        <v>10.048</v>
      </c>
      <c r="D640" s="13">
        <v>10.048</v>
      </c>
      <c r="E640" s="13">
        <v>10.048</v>
      </c>
      <c r="F640" s="15">
        <v>0.01</v>
      </c>
    </row>
    <row r="641" spans="1:6">
      <c r="A641" s="14">
        <v>44342</v>
      </c>
      <c r="B641" s="13">
        <v>9.949</v>
      </c>
      <c r="C641" s="13">
        <v>9.949</v>
      </c>
      <c r="D641" s="13">
        <v>9.949</v>
      </c>
      <c r="E641" s="13">
        <v>9.949</v>
      </c>
      <c r="F641" s="15">
        <v>-0.0026</v>
      </c>
    </row>
    <row r="642" spans="1:6">
      <c r="A642" s="14">
        <v>44341</v>
      </c>
      <c r="B642" s="13">
        <v>9.975</v>
      </c>
      <c r="C642" s="13">
        <v>10.079</v>
      </c>
      <c r="D642" s="13">
        <v>10.079</v>
      </c>
      <c r="E642" s="13">
        <v>9.975</v>
      </c>
      <c r="F642" s="15">
        <v>-0.0101</v>
      </c>
    </row>
    <row r="643" spans="1:6">
      <c r="A643" s="14">
        <v>44340</v>
      </c>
      <c r="B643" s="13">
        <v>10.077</v>
      </c>
      <c r="C643" s="13">
        <v>10.077</v>
      </c>
      <c r="D643" s="13">
        <v>10.077</v>
      </c>
      <c r="E643" s="13">
        <v>10.077</v>
      </c>
      <c r="F643" s="15">
        <v>0.0024</v>
      </c>
    </row>
    <row r="644" spans="1:6">
      <c r="A644" s="14">
        <v>44337</v>
      </c>
      <c r="B644" s="13">
        <v>10.053</v>
      </c>
      <c r="C644" s="13">
        <v>10.053</v>
      </c>
      <c r="D644" s="13">
        <v>10.053</v>
      </c>
      <c r="E644" s="13">
        <v>10.053</v>
      </c>
      <c r="F644" s="15">
        <v>-0.0046</v>
      </c>
    </row>
    <row r="645" spans="1:6">
      <c r="A645" s="14">
        <v>44336</v>
      </c>
      <c r="B645" s="13">
        <v>10.099</v>
      </c>
      <c r="C645" s="13">
        <v>10.099</v>
      </c>
      <c r="D645" s="13">
        <v>10.099</v>
      </c>
      <c r="E645" s="13">
        <v>10.099</v>
      </c>
      <c r="F645" s="15">
        <v>0.0007</v>
      </c>
    </row>
    <row r="646" spans="1:6">
      <c r="A646" s="14">
        <v>44335</v>
      </c>
      <c r="B646" s="13">
        <v>10.092</v>
      </c>
      <c r="C646" s="13">
        <v>10.092</v>
      </c>
      <c r="D646" s="13">
        <v>10.092</v>
      </c>
      <c r="E646" s="13">
        <v>10.092</v>
      </c>
      <c r="F646" s="15">
        <v>0.0019</v>
      </c>
    </row>
    <row r="647" spans="1:6">
      <c r="A647" s="14">
        <v>44334</v>
      </c>
      <c r="B647" s="13">
        <v>10.073</v>
      </c>
      <c r="C647" s="13">
        <v>10.073</v>
      </c>
      <c r="D647" s="13">
        <v>10.073</v>
      </c>
      <c r="E647" s="13">
        <v>10.073</v>
      </c>
      <c r="F647" s="15">
        <v>-0.0014</v>
      </c>
    </row>
    <row r="648" spans="1:6">
      <c r="A648" s="14">
        <v>44333</v>
      </c>
      <c r="B648" s="13">
        <v>10.087</v>
      </c>
      <c r="C648" s="13">
        <v>10.087</v>
      </c>
      <c r="D648" s="13">
        <v>10.087</v>
      </c>
      <c r="E648" s="13">
        <v>10.087</v>
      </c>
      <c r="F648" s="15">
        <v>0.004</v>
      </c>
    </row>
    <row r="649" spans="1:6">
      <c r="A649" s="14">
        <v>44330</v>
      </c>
      <c r="B649" s="13">
        <v>10.047</v>
      </c>
      <c r="C649" s="13">
        <v>10.047</v>
      </c>
      <c r="D649" s="13">
        <v>10.047</v>
      </c>
      <c r="E649" s="13">
        <v>10.047</v>
      </c>
      <c r="F649" s="15">
        <v>0.001</v>
      </c>
    </row>
    <row r="650" spans="1:6">
      <c r="A650" s="14">
        <v>44329</v>
      </c>
      <c r="B650" s="13">
        <v>10.037</v>
      </c>
      <c r="C650" s="13">
        <v>10.037</v>
      </c>
      <c r="D650" s="13">
        <v>10.037</v>
      </c>
      <c r="E650" s="13">
        <v>10.037</v>
      </c>
      <c r="F650" s="15">
        <v>0.0006</v>
      </c>
    </row>
    <row r="651" spans="1:6">
      <c r="A651" s="14">
        <v>44328</v>
      </c>
      <c r="B651" s="13">
        <v>10.031</v>
      </c>
      <c r="C651" s="13">
        <v>10.031</v>
      </c>
      <c r="D651" s="13">
        <v>10.031</v>
      </c>
      <c r="E651" s="13">
        <v>10.031</v>
      </c>
      <c r="F651" s="15">
        <v>0.0027</v>
      </c>
    </row>
    <row r="652" spans="1:6">
      <c r="A652" s="14">
        <v>44327</v>
      </c>
      <c r="B652" s="13">
        <v>10.004</v>
      </c>
      <c r="C652" s="13">
        <v>10.004</v>
      </c>
      <c r="D652" s="13">
        <v>10.004</v>
      </c>
      <c r="E652" s="13">
        <v>10.004</v>
      </c>
      <c r="F652" s="15">
        <v>0.0055</v>
      </c>
    </row>
    <row r="653" spans="1:6">
      <c r="A653" s="14">
        <v>44322</v>
      </c>
      <c r="B653" s="13">
        <v>9.949</v>
      </c>
      <c r="C653" s="13">
        <v>9.949</v>
      </c>
      <c r="D653" s="13">
        <v>9.949</v>
      </c>
      <c r="E653" s="13">
        <v>9.949</v>
      </c>
      <c r="F653" s="15">
        <v>-0.0001</v>
      </c>
    </row>
    <row r="654" spans="1:6">
      <c r="A654" s="14">
        <v>44321</v>
      </c>
      <c r="B654" s="13">
        <v>9.95</v>
      </c>
      <c r="C654" s="13">
        <v>9.95</v>
      </c>
      <c r="D654" s="13">
        <v>9.95</v>
      </c>
      <c r="E654" s="13">
        <v>9.95</v>
      </c>
      <c r="F654" s="15">
        <v>0.001</v>
      </c>
    </row>
    <row r="655" spans="1:6">
      <c r="A655" s="14">
        <v>44320</v>
      </c>
      <c r="B655" s="13">
        <v>9.94</v>
      </c>
      <c r="C655" s="13">
        <v>9.94</v>
      </c>
      <c r="D655" s="13">
        <v>9.94</v>
      </c>
      <c r="E655" s="13">
        <v>9.94</v>
      </c>
      <c r="F655" s="15">
        <v>0.0009</v>
      </c>
    </row>
    <row r="656" spans="1:6">
      <c r="A656" s="14">
        <v>44316</v>
      </c>
      <c r="B656" s="13">
        <v>9.931</v>
      </c>
      <c r="C656" s="13">
        <v>9.931</v>
      </c>
      <c r="D656" s="13">
        <v>9.931</v>
      </c>
      <c r="E656" s="13">
        <v>9.931</v>
      </c>
      <c r="F656" s="15">
        <v>-0.001</v>
      </c>
    </row>
    <row r="657" spans="1:6">
      <c r="A657" s="14">
        <v>44315</v>
      </c>
      <c r="B657" s="13">
        <v>9.941</v>
      </c>
      <c r="C657" s="13">
        <v>9.941</v>
      </c>
      <c r="D657" s="13">
        <v>9.941</v>
      </c>
      <c r="E657" s="13">
        <v>9.941</v>
      </c>
      <c r="F657" s="15">
        <v>0.0038</v>
      </c>
    </row>
    <row r="658" spans="1:6">
      <c r="A658" s="14">
        <v>44314</v>
      </c>
      <c r="B658" s="13">
        <v>9.903</v>
      </c>
      <c r="C658" s="13">
        <v>9.903</v>
      </c>
      <c r="D658" s="13">
        <v>9.903</v>
      </c>
      <c r="E658" s="13">
        <v>9.903</v>
      </c>
      <c r="F658" s="15">
        <v>-0.0017</v>
      </c>
    </row>
    <row r="659" spans="1:6">
      <c r="A659" s="14">
        <v>44313</v>
      </c>
      <c r="B659" s="13">
        <v>9.92</v>
      </c>
      <c r="C659" s="13">
        <v>9.92</v>
      </c>
      <c r="D659" s="13">
        <v>9.92</v>
      </c>
      <c r="E659" s="13">
        <v>9.92</v>
      </c>
      <c r="F659" s="15">
        <v>0.0033</v>
      </c>
    </row>
    <row r="660" spans="1:6">
      <c r="A660" s="14">
        <v>44312</v>
      </c>
      <c r="B660" s="13">
        <v>9.887</v>
      </c>
      <c r="C660" s="13">
        <v>9.887</v>
      </c>
      <c r="D660" s="13">
        <v>9.887</v>
      </c>
      <c r="E660" s="13">
        <v>9.887</v>
      </c>
      <c r="F660" s="15">
        <v>0.0047</v>
      </c>
    </row>
    <row r="661" spans="1:6">
      <c r="A661" s="14">
        <v>44309</v>
      </c>
      <c r="B661" s="13">
        <v>9.841</v>
      </c>
      <c r="C661" s="13">
        <v>9.841</v>
      </c>
      <c r="D661" s="13">
        <v>9.841</v>
      </c>
      <c r="E661" s="13">
        <v>9.841</v>
      </c>
      <c r="F661" s="15">
        <v>-0.0001</v>
      </c>
    </row>
    <row r="662" spans="1:6">
      <c r="A662" s="14">
        <v>44308</v>
      </c>
      <c r="B662" s="13">
        <v>9.842</v>
      </c>
      <c r="C662" s="13">
        <v>9.842</v>
      </c>
      <c r="D662" s="13">
        <v>9.842</v>
      </c>
      <c r="E662" s="13">
        <v>9.842</v>
      </c>
      <c r="F662" s="15">
        <v>-0.0002</v>
      </c>
    </row>
    <row r="663" spans="1:6">
      <c r="A663" s="14">
        <v>44307</v>
      </c>
      <c r="B663" s="13">
        <v>9.844</v>
      </c>
      <c r="C663" s="13">
        <v>9.844</v>
      </c>
      <c r="D663" s="13">
        <v>9.844</v>
      </c>
      <c r="E663" s="13">
        <v>9.844</v>
      </c>
      <c r="F663" s="15">
        <v>0.0042</v>
      </c>
    </row>
    <row r="664" spans="1:6">
      <c r="A664" s="14">
        <v>44306</v>
      </c>
      <c r="B664" s="13">
        <v>9.803</v>
      </c>
      <c r="C664" s="13">
        <v>9.803</v>
      </c>
      <c r="D664" s="13">
        <v>9.803</v>
      </c>
      <c r="E664" s="13">
        <v>9.803</v>
      </c>
      <c r="F664" s="15">
        <v>-0.0038</v>
      </c>
    </row>
    <row r="665" spans="1:6">
      <c r="A665" s="14">
        <v>44305</v>
      </c>
      <c r="B665" s="13">
        <v>9.84</v>
      </c>
      <c r="C665" s="13">
        <v>9.84</v>
      </c>
      <c r="D665" s="13">
        <v>9.84</v>
      </c>
      <c r="E665" s="13">
        <v>9.84</v>
      </c>
      <c r="F665" s="15">
        <v>0.0018</v>
      </c>
    </row>
    <row r="666" spans="1:6">
      <c r="A666" s="14">
        <v>44302</v>
      </c>
      <c r="B666" s="13">
        <v>9.822</v>
      </c>
      <c r="C666" s="13">
        <v>9.822</v>
      </c>
      <c r="D666" s="13">
        <v>9.822</v>
      </c>
      <c r="E666" s="13">
        <v>9.822</v>
      </c>
      <c r="F666" s="15">
        <v>0.0014</v>
      </c>
    </row>
    <row r="667" spans="1:6">
      <c r="A667" s="14">
        <v>44301</v>
      </c>
      <c r="B667" s="13">
        <v>9.808</v>
      </c>
      <c r="C667" s="13">
        <v>9.808</v>
      </c>
      <c r="D667" s="13">
        <v>9.808</v>
      </c>
      <c r="E667" s="13">
        <v>9.808</v>
      </c>
      <c r="F667" s="15">
        <v>-0.0074</v>
      </c>
    </row>
    <row r="668" spans="1:6">
      <c r="A668" s="14">
        <v>44299</v>
      </c>
      <c r="B668" s="13">
        <v>9.881</v>
      </c>
      <c r="C668" s="13">
        <v>9.881</v>
      </c>
      <c r="D668" s="13">
        <v>9.881</v>
      </c>
      <c r="E668" s="13">
        <v>9.881</v>
      </c>
      <c r="F668" s="15">
        <v>0.0022</v>
      </c>
    </row>
    <row r="669" spans="1:6">
      <c r="A669" s="14">
        <v>44298</v>
      </c>
      <c r="B669" s="13">
        <v>9.859</v>
      </c>
      <c r="C669" s="13">
        <v>9.859</v>
      </c>
      <c r="D669" s="13">
        <v>9.859</v>
      </c>
      <c r="E669" s="13">
        <v>9.859</v>
      </c>
      <c r="F669" s="15">
        <v>0.0089</v>
      </c>
    </row>
    <row r="670" spans="1:6">
      <c r="A670" s="14">
        <v>44295</v>
      </c>
      <c r="B670" s="13">
        <v>9.772</v>
      </c>
      <c r="C670" s="13">
        <v>9.772</v>
      </c>
      <c r="D670" s="13">
        <v>9.772</v>
      </c>
      <c r="E670" s="13">
        <v>9.772</v>
      </c>
      <c r="F670" s="15">
        <v>0.0002</v>
      </c>
    </row>
    <row r="671" spans="1:6">
      <c r="A671" s="14">
        <v>44294</v>
      </c>
      <c r="B671" s="13">
        <v>9.77</v>
      </c>
      <c r="C671" s="13">
        <v>9.77</v>
      </c>
      <c r="D671" s="13">
        <v>9.77</v>
      </c>
      <c r="E671" s="13">
        <v>9.77</v>
      </c>
      <c r="F671" s="15">
        <v>0.0014</v>
      </c>
    </row>
    <row r="672" spans="1:6">
      <c r="A672" s="14">
        <v>44293</v>
      </c>
      <c r="B672" s="13">
        <v>9.756</v>
      </c>
      <c r="C672" s="13">
        <v>9.756</v>
      </c>
      <c r="D672" s="13">
        <v>9.756</v>
      </c>
      <c r="E672" s="13">
        <v>9.756</v>
      </c>
      <c r="F672" s="15">
        <v>0.0037</v>
      </c>
    </row>
    <row r="673" spans="1:6">
      <c r="A673" s="14">
        <v>44292</v>
      </c>
      <c r="B673" s="13">
        <v>9.72</v>
      </c>
      <c r="C673" s="13">
        <v>9.72</v>
      </c>
      <c r="D673" s="13">
        <v>9.72</v>
      </c>
      <c r="E673" s="13">
        <v>9.72</v>
      </c>
      <c r="F673" s="15">
        <v>0.0069</v>
      </c>
    </row>
    <row r="674" spans="1:6">
      <c r="A674" s="14">
        <v>44291</v>
      </c>
      <c r="B674" s="13">
        <v>9.653</v>
      </c>
      <c r="C674" s="13">
        <v>9.653</v>
      </c>
      <c r="D674" s="13">
        <v>9.653</v>
      </c>
      <c r="E674" s="13">
        <v>9.653</v>
      </c>
      <c r="F674" s="15">
        <v>0.0106</v>
      </c>
    </row>
    <row r="675" spans="1:6">
      <c r="A675" s="14">
        <v>44288</v>
      </c>
      <c r="B675" s="13">
        <v>9.552</v>
      </c>
      <c r="C675" s="13">
        <v>9.552</v>
      </c>
      <c r="D675" s="13">
        <v>9.552</v>
      </c>
      <c r="E675" s="13">
        <v>9.552</v>
      </c>
      <c r="F675" s="15">
        <v>-0.0166</v>
      </c>
    </row>
    <row r="676" spans="1:6">
      <c r="A676" s="14">
        <v>44287</v>
      </c>
      <c r="B676" s="13">
        <v>9.713</v>
      </c>
      <c r="C676" s="13">
        <v>9.713</v>
      </c>
      <c r="D676" s="13">
        <v>9.713</v>
      </c>
      <c r="E676" s="13">
        <v>9.713</v>
      </c>
      <c r="F676" s="15">
        <v>0.0013</v>
      </c>
    </row>
    <row r="677" spans="1:6">
      <c r="A677" s="14">
        <v>44286</v>
      </c>
      <c r="B677" s="13">
        <v>9.7</v>
      </c>
      <c r="C677" s="13">
        <v>9.7</v>
      </c>
      <c r="D677" s="13">
        <v>9.7</v>
      </c>
      <c r="E677" s="13">
        <v>9.7</v>
      </c>
      <c r="F677" s="15">
        <v>0.0067</v>
      </c>
    </row>
    <row r="678" spans="1:6">
      <c r="A678" s="14">
        <v>44285</v>
      </c>
      <c r="B678" s="13">
        <v>9.635</v>
      </c>
      <c r="C678" s="13">
        <v>9.635</v>
      </c>
      <c r="D678" s="13">
        <v>9.635</v>
      </c>
      <c r="E678" s="13">
        <v>9.635</v>
      </c>
      <c r="F678" s="15">
        <v>0.0215</v>
      </c>
    </row>
    <row r="679" spans="1:6">
      <c r="A679" s="14">
        <v>44284</v>
      </c>
      <c r="B679" s="13">
        <v>9.432</v>
      </c>
      <c r="C679" s="13">
        <v>9.432</v>
      </c>
      <c r="D679" s="13">
        <v>9.432</v>
      </c>
      <c r="E679" s="13">
        <v>9.432</v>
      </c>
      <c r="F679" s="15">
        <v>0.0005</v>
      </c>
    </row>
    <row r="680" spans="1:6">
      <c r="A680" s="14">
        <v>44281</v>
      </c>
      <c r="B680" s="13">
        <v>9.427</v>
      </c>
      <c r="C680" s="13">
        <v>9.427</v>
      </c>
      <c r="D680" s="13">
        <v>9.427</v>
      </c>
      <c r="E680" s="13">
        <v>9.427</v>
      </c>
      <c r="F680" s="15">
        <v>0.0078</v>
      </c>
    </row>
    <row r="681" spans="1:6">
      <c r="A681" s="14">
        <v>44280</v>
      </c>
      <c r="B681" s="13">
        <v>9.354</v>
      </c>
      <c r="C681" s="13">
        <v>9.354</v>
      </c>
      <c r="D681" s="13">
        <v>9.354</v>
      </c>
      <c r="E681" s="13">
        <v>9.354</v>
      </c>
      <c r="F681" s="15">
        <v>-0.0029</v>
      </c>
    </row>
    <row r="682" spans="1:6">
      <c r="A682" s="14">
        <v>44274</v>
      </c>
      <c r="B682" s="13">
        <v>9.381</v>
      </c>
      <c r="C682" s="13">
        <v>9.381</v>
      </c>
      <c r="D682" s="13">
        <v>9.381</v>
      </c>
      <c r="E682" s="13">
        <v>9.381</v>
      </c>
      <c r="F682" s="15">
        <v>0.0074</v>
      </c>
    </row>
    <row r="683" spans="1:6">
      <c r="A683" s="14">
        <v>44273</v>
      </c>
      <c r="B683" s="13">
        <v>9.312</v>
      </c>
      <c r="C683" s="13">
        <v>9.312</v>
      </c>
      <c r="D683" s="13">
        <v>9.312</v>
      </c>
      <c r="E683" s="13">
        <v>9.312</v>
      </c>
      <c r="F683" s="15">
        <v>0.0127</v>
      </c>
    </row>
    <row r="684" spans="1:6">
      <c r="A684" s="14">
        <v>44272</v>
      </c>
      <c r="B684" s="13">
        <v>9.195</v>
      </c>
      <c r="C684" s="13">
        <v>9.195</v>
      </c>
      <c r="D684" s="13">
        <v>9.195</v>
      </c>
      <c r="E684" s="13">
        <v>9.195</v>
      </c>
      <c r="F684" s="15">
        <v>-0.0026</v>
      </c>
    </row>
    <row r="685" spans="1:6">
      <c r="A685" s="14">
        <v>44271</v>
      </c>
      <c r="B685" s="13">
        <v>9.219</v>
      </c>
      <c r="C685" s="13">
        <v>9.219</v>
      </c>
      <c r="D685" s="13">
        <v>9.219</v>
      </c>
      <c r="E685" s="13">
        <v>9.219</v>
      </c>
      <c r="F685" s="15">
        <v>0.0013</v>
      </c>
    </row>
    <row r="686" spans="1:6">
      <c r="A686" s="14">
        <v>44270</v>
      </c>
      <c r="B686" s="13">
        <v>9.207</v>
      </c>
      <c r="C686" s="13">
        <v>9.207</v>
      </c>
      <c r="D686" s="13">
        <v>9.207</v>
      </c>
      <c r="E686" s="13">
        <v>9.207</v>
      </c>
      <c r="F686" s="15">
        <v>-0.0003</v>
      </c>
    </row>
    <row r="687" spans="1:6">
      <c r="A687" s="14">
        <v>44267</v>
      </c>
      <c r="B687" s="13">
        <v>9.21</v>
      </c>
      <c r="C687" s="13">
        <v>9.21</v>
      </c>
      <c r="D687" s="13">
        <v>9.21</v>
      </c>
      <c r="E687" s="13">
        <v>9.21</v>
      </c>
      <c r="F687" s="15">
        <v>-0.0042</v>
      </c>
    </row>
    <row r="688" spans="1:6">
      <c r="A688" s="14">
        <v>44266</v>
      </c>
      <c r="B688" s="13">
        <v>9.249</v>
      </c>
      <c r="C688" s="13">
        <v>9.249</v>
      </c>
      <c r="D688" s="13">
        <v>9.249</v>
      </c>
      <c r="E688" s="13">
        <v>9.249</v>
      </c>
      <c r="F688" s="15">
        <v>-0.0033</v>
      </c>
    </row>
    <row r="689" spans="1:6">
      <c r="A689" s="14">
        <v>44265</v>
      </c>
      <c r="B689" s="13">
        <v>9.28</v>
      </c>
      <c r="C689" s="13">
        <v>9.28</v>
      </c>
      <c r="D689" s="13">
        <v>9.28</v>
      </c>
      <c r="E689" s="13">
        <v>9.28</v>
      </c>
      <c r="F689" s="15">
        <v>-0.0014</v>
      </c>
    </row>
    <row r="690" spans="1:6">
      <c r="A690" s="14">
        <v>44264</v>
      </c>
      <c r="B690" s="13">
        <v>9.293</v>
      </c>
      <c r="C690" s="13">
        <v>9.293</v>
      </c>
      <c r="D690" s="13">
        <v>9.293</v>
      </c>
      <c r="E690" s="13">
        <v>9.293</v>
      </c>
      <c r="F690" s="15">
        <v>0.0046</v>
      </c>
    </row>
    <row r="691" spans="1:6">
      <c r="A691" s="14">
        <v>44260</v>
      </c>
      <c r="B691" s="13">
        <v>9.25</v>
      </c>
      <c r="C691" s="13">
        <v>9.25</v>
      </c>
      <c r="D691" s="13">
        <v>9.25</v>
      </c>
      <c r="E691" s="13">
        <v>9.25</v>
      </c>
      <c r="F691" s="15">
        <v>-0.0046</v>
      </c>
    </row>
    <row r="692" spans="1:6">
      <c r="A692" s="14">
        <v>44259</v>
      </c>
      <c r="B692" s="13">
        <v>9.293</v>
      </c>
      <c r="C692" s="13">
        <v>9.293</v>
      </c>
      <c r="D692" s="13">
        <v>9.293</v>
      </c>
      <c r="E692" s="13">
        <v>9.293</v>
      </c>
      <c r="F692" s="15">
        <v>0.0002</v>
      </c>
    </row>
    <row r="693" spans="1:6">
      <c r="A693" s="14">
        <v>44258</v>
      </c>
      <c r="B693" s="13">
        <v>9.291</v>
      </c>
      <c r="C693" s="13">
        <v>9.291</v>
      </c>
      <c r="D693" s="13">
        <v>9.291</v>
      </c>
      <c r="E693" s="13">
        <v>9.291</v>
      </c>
      <c r="F693" s="15">
        <v>0.0069</v>
      </c>
    </row>
    <row r="694" spans="1:6">
      <c r="A694" s="14">
        <v>44257</v>
      </c>
      <c r="B694" s="13">
        <v>9.227</v>
      </c>
      <c r="C694" s="13">
        <v>9.227</v>
      </c>
      <c r="D694" s="13">
        <v>9.227</v>
      </c>
      <c r="E694" s="13">
        <v>9.227</v>
      </c>
      <c r="F694" s="15">
        <v>-0.0488</v>
      </c>
    </row>
    <row r="695" spans="1:6">
      <c r="A695" s="14">
        <v>44256</v>
      </c>
      <c r="B695" s="13">
        <v>9.7</v>
      </c>
      <c r="C695" s="13">
        <v>9.7</v>
      </c>
      <c r="D695" s="13">
        <v>9.7</v>
      </c>
      <c r="E695" s="13">
        <v>9.7</v>
      </c>
      <c r="F695" s="15">
        <v>0.0083</v>
      </c>
    </row>
    <row r="696" spans="1:6">
      <c r="A696" s="14">
        <v>44253</v>
      </c>
      <c r="B696" s="13">
        <v>9.62</v>
      </c>
      <c r="C696" s="13">
        <v>9.62</v>
      </c>
      <c r="D696" s="13">
        <v>9.62</v>
      </c>
      <c r="E696" s="13">
        <v>9.62</v>
      </c>
      <c r="F696" s="15">
        <v>-0.0226</v>
      </c>
    </row>
    <row r="697" spans="1:6">
      <c r="A697" s="14">
        <v>44252</v>
      </c>
      <c r="B697" s="13">
        <v>9.842</v>
      </c>
      <c r="C697" s="13">
        <v>9.842</v>
      </c>
      <c r="D697" s="13">
        <v>9.842</v>
      </c>
      <c r="E697" s="13">
        <v>9.842</v>
      </c>
      <c r="F697" s="15">
        <v>0.0148</v>
      </c>
    </row>
    <row r="698" spans="1:6">
      <c r="A698" s="14">
        <v>44251</v>
      </c>
      <c r="B698" s="13">
        <v>9.698</v>
      </c>
      <c r="C698" s="13">
        <v>9.698</v>
      </c>
      <c r="D698" s="13">
        <v>9.698</v>
      </c>
      <c r="E698" s="13">
        <v>9.698</v>
      </c>
      <c r="F698" s="15">
        <v>-0.0047</v>
      </c>
    </row>
    <row r="699" spans="1:6">
      <c r="A699" s="14">
        <v>44250</v>
      </c>
      <c r="B699" s="13">
        <v>9.744</v>
      </c>
      <c r="C699" s="13">
        <v>9.744</v>
      </c>
      <c r="D699" s="13">
        <v>9.744</v>
      </c>
      <c r="E699" s="13">
        <v>9.744</v>
      </c>
      <c r="F699" s="15">
        <v>0.0013</v>
      </c>
    </row>
    <row r="700" spans="1:6">
      <c r="A700" s="14">
        <v>44249</v>
      </c>
      <c r="B700" s="13">
        <v>9.731</v>
      </c>
      <c r="C700" s="13">
        <v>9.731</v>
      </c>
      <c r="D700" s="13">
        <v>9.731</v>
      </c>
      <c r="E700" s="13">
        <v>9.731</v>
      </c>
      <c r="F700" s="15">
        <v>0.0056</v>
      </c>
    </row>
    <row r="701" spans="1:6">
      <c r="A701" s="14">
        <v>44246</v>
      </c>
      <c r="B701" s="13">
        <v>9.677</v>
      </c>
      <c r="C701" s="13">
        <v>9.677</v>
      </c>
      <c r="D701" s="13">
        <v>9.677</v>
      </c>
      <c r="E701" s="13">
        <v>9.677</v>
      </c>
      <c r="F701" s="15">
        <v>-0.0002</v>
      </c>
    </row>
    <row r="702" spans="1:6">
      <c r="A702" s="14">
        <v>44245</v>
      </c>
      <c r="B702" s="13">
        <v>9.679</v>
      </c>
      <c r="C702" s="13">
        <v>9.679</v>
      </c>
      <c r="D702" s="13">
        <v>9.679</v>
      </c>
      <c r="E702" s="13">
        <v>9.679</v>
      </c>
      <c r="F702" s="15">
        <v>-0.0018</v>
      </c>
    </row>
    <row r="703" spans="1:6">
      <c r="A703" s="14">
        <v>44244</v>
      </c>
      <c r="B703" s="13">
        <v>9.696</v>
      </c>
      <c r="C703" s="13">
        <v>9.696</v>
      </c>
      <c r="D703" s="13">
        <v>9.696</v>
      </c>
      <c r="E703" s="13">
        <v>9.696</v>
      </c>
      <c r="F703" s="15">
        <v>-0.0005</v>
      </c>
    </row>
    <row r="704" spans="1:6">
      <c r="A704" s="14">
        <v>44243</v>
      </c>
      <c r="B704" s="13">
        <v>9.701</v>
      </c>
      <c r="C704" s="13">
        <v>9.701</v>
      </c>
      <c r="D704" s="13">
        <v>9.701</v>
      </c>
      <c r="E704" s="13">
        <v>9.701</v>
      </c>
      <c r="F704" s="15">
        <v>-0.0002</v>
      </c>
    </row>
    <row r="705" spans="1:6">
      <c r="A705" s="14">
        <v>44242</v>
      </c>
      <c r="B705" s="13">
        <v>9.703</v>
      </c>
      <c r="C705" s="13">
        <v>9.703</v>
      </c>
      <c r="D705" s="13">
        <v>9.703</v>
      </c>
      <c r="E705" s="13">
        <v>9.703</v>
      </c>
      <c r="F705" s="15">
        <v>0.0005</v>
      </c>
    </row>
    <row r="706" spans="1:6">
      <c r="A706" s="14">
        <v>44239</v>
      </c>
      <c r="B706" s="13">
        <v>9.698</v>
      </c>
      <c r="C706" s="13">
        <v>9.698</v>
      </c>
      <c r="D706" s="13">
        <v>9.698</v>
      </c>
      <c r="E706" s="13">
        <v>9.698</v>
      </c>
      <c r="F706" s="15">
        <v>-0.0002</v>
      </c>
    </row>
    <row r="707" spans="1:6">
      <c r="A707" s="14">
        <v>44238</v>
      </c>
      <c r="B707" s="13">
        <v>9.7</v>
      </c>
      <c r="C707" s="13">
        <v>9.7</v>
      </c>
      <c r="D707" s="13">
        <v>9.7</v>
      </c>
      <c r="E707" s="13">
        <v>9.7</v>
      </c>
      <c r="F707" s="15">
        <v>0.0018</v>
      </c>
    </row>
    <row r="708" spans="1:6">
      <c r="A708" s="14">
        <v>44237</v>
      </c>
      <c r="B708" s="13">
        <v>9.683</v>
      </c>
      <c r="C708" s="13">
        <v>9.683</v>
      </c>
      <c r="D708" s="13">
        <v>9.683</v>
      </c>
      <c r="E708" s="13">
        <v>9.683</v>
      </c>
      <c r="F708" s="15">
        <v>-0.0009</v>
      </c>
    </row>
    <row r="709" spans="1:6">
      <c r="A709" s="14">
        <v>44236</v>
      </c>
      <c r="B709" s="13">
        <v>9.692</v>
      </c>
      <c r="C709" s="13">
        <v>9.692</v>
      </c>
      <c r="D709" s="13">
        <v>9.692</v>
      </c>
      <c r="E709" s="13">
        <v>9.692</v>
      </c>
      <c r="F709" s="15">
        <v>-0.0002</v>
      </c>
    </row>
    <row r="710" spans="1:6">
      <c r="A710" s="14">
        <v>44235</v>
      </c>
      <c r="B710" s="13">
        <v>9.694</v>
      </c>
      <c r="C710" s="13">
        <v>9.694</v>
      </c>
      <c r="D710" s="13">
        <v>9.694</v>
      </c>
      <c r="E710" s="13">
        <v>9.694</v>
      </c>
      <c r="F710" s="15">
        <v>-0.0009</v>
      </c>
    </row>
    <row r="711" spans="1:6">
      <c r="A711" s="14">
        <v>44232</v>
      </c>
      <c r="B711" s="13">
        <v>9.703</v>
      </c>
      <c r="C711" s="13">
        <v>9.703</v>
      </c>
      <c r="D711" s="13">
        <v>9.703</v>
      </c>
      <c r="E711" s="13">
        <v>9.703</v>
      </c>
      <c r="F711" s="15">
        <v>-0.0006</v>
      </c>
    </row>
    <row r="712" spans="1:6">
      <c r="A712" s="14">
        <v>44231</v>
      </c>
      <c r="B712" s="13">
        <v>9.709</v>
      </c>
      <c r="C712" s="13">
        <v>9.709</v>
      </c>
      <c r="D712" s="13">
        <v>9.709</v>
      </c>
      <c r="E712" s="13">
        <v>9.709</v>
      </c>
      <c r="F712" s="15">
        <v>0.0013</v>
      </c>
    </row>
    <row r="713" spans="1:6">
      <c r="A713" s="14">
        <v>44230</v>
      </c>
      <c r="B713" s="13">
        <v>9.696</v>
      </c>
      <c r="C713" s="13">
        <v>9.696</v>
      </c>
      <c r="D713" s="13">
        <v>9.696</v>
      </c>
      <c r="E713" s="13">
        <v>9.696</v>
      </c>
      <c r="F713" s="15">
        <v>-0.0058</v>
      </c>
    </row>
    <row r="714" spans="1:6">
      <c r="A714" s="14">
        <v>44229</v>
      </c>
      <c r="B714" s="13">
        <v>9.753</v>
      </c>
      <c r="C714" s="13">
        <v>9.753</v>
      </c>
      <c r="D714" s="13">
        <v>9.753</v>
      </c>
      <c r="E714" s="13">
        <v>9.753</v>
      </c>
      <c r="F714" s="15">
        <v>-0.0066</v>
      </c>
    </row>
    <row r="715" spans="1:6">
      <c r="A715" s="14">
        <v>44228</v>
      </c>
      <c r="B715" s="13">
        <v>9.818</v>
      </c>
      <c r="C715" s="13">
        <v>9.818</v>
      </c>
      <c r="D715" s="13">
        <v>9.818</v>
      </c>
      <c r="E715" s="13">
        <v>9.818</v>
      </c>
      <c r="F715" s="15">
        <v>0.0004</v>
      </c>
    </row>
    <row r="716" spans="1:6">
      <c r="A716" s="14">
        <v>44225</v>
      </c>
      <c r="B716" s="13">
        <v>9.814</v>
      </c>
      <c r="C716" s="13">
        <v>9.814</v>
      </c>
      <c r="D716" s="13">
        <v>9.814</v>
      </c>
      <c r="E716" s="13">
        <v>9.814</v>
      </c>
      <c r="F716" s="15">
        <v>0.0051</v>
      </c>
    </row>
    <row r="717" spans="1:6">
      <c r="A717" s="14">
        <v>44224</v>
      </c>
      <c r="B717" s="13">
        <v>9.764</v>
      </c>
      <c r="C717" s="13">
        <v>9.764</v>
      </c>
      <c r="D717" s="13">
        <v>9.764</v>
      </c>
      <c r="E717" s="13">
        <v>9.764</v>
      </c>
      <c r="F717" s="15">
        <v>-0.0044</v>
      </c>
    </row>
    <row r="718" spans="1:6">
      <c r="A718" s="14">
        <v>44223</v>
      </c>
      <c r="B718" s="13">
        <v>9.807</v>
      </c>
      <c r="C718" s="13">
        <v>9.807</v>
      </c>
      <c r="D718" s="13">
        <v>9.807</v>
      </c>
      <c r="E718" s="13">
        <v>9.807</v>
      </c>
      <c r="F718" s="15">
        <v>-0.0061</v>
      </c>
    </row>
    <row r="719" spans="1:6">
      <c r="A719" s="14">
        <v>44222</v>
      </c>
      <c r="B719" s="13">
        <v>9.867</v>
      </c>
      <c r="C719" s="13">
        <v>9.867</v>
      </c>
      <c r="D719" s="13">
        <v>9.867</v>
      </c>
      <c r="E719" s="13">
        <v>9.867</v>
      </c>
      <c r="F719" s="15">
        <v>-0.0054</v>
      </c>
    </row>
    <row r="720" spans="1:6">
      <c r="A720" s="14">
        <v>44221</v>
      </c>
      <c r="B720" s="13">
        <v>9.921</v>
      </c>
      <c r="C720" s="13">
        <v>9.921</v>
      </c>
      <c r="D720" s="13">
        <v>9.921</v>
      </c>
      <c r="E720" s="13">
        <v>9.921</v>
      </c>
      <c r="F720" s="15">
        <v>-0.0034</v>
      </c>
    </row>
    <row r="721" spans="1:6">
      <c r="A721" s="14">
        <v>44218</v>
      </c>
      <c r="B721" s="13">
        <v>9.955</v>
      </c>
      <c r="C721" s="13">
        <v>9.955</v>
      </c>
      <c r="D721" s="13">
        <v>9.955</v>
      </c>
      <c r="E721" s="13">
        <v>9.955</v>
      </c>
      <c r="F721" s="15">
        <v>-0.0028</v>
      </c>
    </row>
    <row r="722" spans="1:6">
      <c r="A722" s="14">
        <v>44217</v>
      </c>
      <c r="B722" s="13">
        <v>9.983</v>
      </c>
      <c r="C722" s="13">
        <v>9.983</v>
      </c>
      <c r="D722" s="13">
        <v>9.983</v>
      </c>
      <c r="E722" s="13">
        <v>9.983</v>
      </c>
      <c r="F722" s="15">
        <v>0.0061</v>
      </c>
    </row>
    <row r="723" spans="1:6">
      <c r="A723" s="14">
        <v>44216</v>
      </c>
      <c r="B723" s="13">
        <v>9.922</v>
      </c>
      <c r="C723" s="13">
        <v>9.922</v>
      </c>
      <c r="D723" s="13">
        <v>9.922</v>
      </c>
      <c r="E723" s="13">
        <v>9.922</v>
      </c>
      <c r="F723" s="15">
        <v>0.0002</v>
      </c>
    </row>
    <row r="724" spans="1:6">
      <c r="A724" s="14">
        <v>44215</v>
      </c>
      <c r="B724" s="13">
        <v>9.92</v>
      </c>
      <c r="C724" s="13">
        <v>9.92</v>
      </c>
      <c r="D724" s="13">
        <v>9.92</v>
      </c>
      <c r="E724" s="13">
        <v>9.92</v>
      </c>
      <c r="F724" s="15">
        <v>-0.0017</v>
      </c>
    </row>
    <row r="725" spans="1:6">
      <c r="A725" s="14">
        <v>44214</v>
      </c>
      <c r="B725" s="13">
        <v>9.937</v>
      </c>
      <c r="C725" s="13">
        <v>9.937</v>
      </c>
      <c r="D725" s="13">
        <v>9.937</v>
      </c>
      <c r="E725" s="13">
        <v>9.937</v>
      </c>
      <c r="F725" s="15">
        <v>0.0017</v>
      </c>
    </row>
    <row r="726" spans="1:6">
      <c r="A726" s="14">
        <v>44211</v>
      </c>
      <c r="B726" s="13">
        <v>9.92</v>
      </c>
      <c r="C726" s="13">
        <v>9.92</v>
      </c>
      <c r="D726" s="13">
        <v>9.92</v>
      </c>
      <c r="E726" s="13">
        <v>9.92</v>
      </c>
      <c r="F726" s="15">
        <v>-0.0031</v>
      </c>
    </row>
    <row r="727" spans="1:6">
      <c r="A727" s="14">
        <v>44210</v>
      </c>
      <c r="B727" s="13">
        <v>9.951</v>
      </c>
      <c r="C727" s="13">
        <v>9.951</v>
      </c>
      <c r="D727" s="13">
        <v>9.951</v>
      </c>
      <c r="E727" s="13">
        <v>9.951</v>
      </c>
      <c r="F727" s="15">
        <v>0.0024</v>
      </c>
    </row>
    <row r="728" spans="1:6">
      <c r="A728" s="14">
        <v>44209</v>
      </c>
      <c r="B728" s="13">
        <v>9.927</v>
      </c>
      <c r="C728" s="13">
        <v>9.927</v>
      </c>
      <c r="D728" s="13">
        <v>9.927</v>
      </c>
      <c r="E728" s="13">
        <v>9.927</v>
      </c>
      <c r="F728" s="15">
        <v>-0.0002</v>
      </c>
    </row>
    <row r="729" spans="1:6">
      <c r="A729" s="14">
        <v>44208</v>
      </c>
      <c r="B729" s="13">
        <v>9.929</v>
      </c>
      <c r="C729" s="13">
        <v>9.929</v>
      </c>
      <c r="D729" s="13">
        <v>9.929</v>
      </c>
      <c r="E729" s="13">
        <v>9.929</v>
      </c>
      <c r="F729" s="15">
        <v>-0.0009</v>
      </c>
    </row>
    <row r="730" spans="1:6">
      <c r="A730" s="14">
        <v>44207</v>
      </c>
      <c r="B730" s="13">
        <v>9.938</v>
      </c>
      <c r="C730" s="13">
        <v>9.938</v>
      </c>
      <c r="D730" s="13">
        <v>9.938</v>
      </c>
      <c r="E730" s="13">
        <v>9.938</v>
      </c>
      <c r="F730" s="15">
        <v>0.0006</v>
      </c>
    </row>
    <row r="731" spans="1:6">
      <c r="A731" s="14">
        <v>44204</v>
      </c>
      <c r="B731" s="13">
        <v>9.932</v>
      </c>
      <c r="C731" s="13">
        <v>9.932</v>
      </c>
      <c r="D731" s="13">
        <v>9.932</v>
      </c>
      <c r="E731" s="13">
        <v>9.932</v>
      </c>
      <c r="F731" s="15">
        <v>0</v>
      </c>
    </row>
    <row r="732" spans="1:6">
      <c r="A732" s="14">
        <v>44202</v>
      </c>
      <c r="B732" s="13">
        <v>9.932</v>
      </c>
      <c r="C732" s="13">
        <v>9.932</v>
      </c>
      <c r="D732" s="13">
        <v>9.932</v>
      </c>
      <c r="E732" s="13">
        <v>9.932</v>
      </c>
      <c r="F732" s="15">
        <v>-0.0002</v>
      </c>
    </row>
    <row r="733" spans="1:6">
      <c r="A733" s="14">
        <v>44201</v>
      </c>
      <c r="B733" s="13">
        <v>9.934</v>
      </c>
      <c r="C733" s="13">
        <v>9.934</v>
      </c>
      <c r="D733" s="13">
        <v>9.934</v>
      </c>
      <c r="E733" s="13">
        <v>9.934</v>
      </c>
      <c r="F733" s="15">
        <v>-0.0005</v>
      </c>
    </row>
    <row r="734" spans="1:6">
      <c r="A734" s="14">
        <v>44196</v>
      </c>
      <c r="B734" s="13">
        <v>9.939</v>
      </c>
      <c r="C734" s="13">
        <v>9.939</v>
      </c>
      <c r="D734" s="13">
        <v>9.939</v>
      </c>
      <c r="E734" s="13">
        <v>9.939</v>
      </c>
      <c r="F734" s="15">
        <v>-0.0015</v>
      </c>
    </row>
    <row r="735" spans="1:6">
      <c r="A735" s="14">
        <v>44195</v>
      </c>
      <c r="B735" s="13">
        <v>9.954</v>
      </c>
      <c r="C735" s="13">
        <v>9.954</v>
      </c>
      <c r="D735" s="13">
        <v>9.954</v>
      </c>
      <c r="E735" s="13">
        <v>9.954</v>
      </c>
      <c r="F735" s="15">
        <v>0.0013</v>
      </c>
    </row>
    <row r="736" spans="1:6">
      <c r="A736" s="14">
        <v>44194</v>
      </c>
      <c r="B736" s="13">
        <v>9.941</v>
      </c>
      <c r="C736" s="13">
        <v>9.941</v>
      </c>
      <c r="D736" s="13">
        <v>9.941</v>
      </c>
      <c r="E736" s="13">
        <v>9.941</v>
      </c>
      <c r="F736" s="15">
        <v>0.0002</v>
      </c>
    </row>
    <row r="737" spans="1:6">
      <c r="A737" s="14">
        <v>44193</v>
      </c>
      <c r="B737" s="13">
        <v>9.939</v>
      </c>
      <c r="C737" s="13">
        <v>9.939</v>
      </c>
      <c r="D737" s="13">
        <v>9.939</v>
      </c>
      <c r="E737" s="13">
        <v>9.939</v>
      </c>
      <c r="F737" s="15">
        <v>0.0016</v>
      </c>
    </row>
    <row r="738" spans="1:6">
      <c r="A738" s="14">
        <v>44190</v>
      </c>
      <c r="B738" s="13">
        <v>9.923</v>
      </c>
      <c r="C738" s="13">
        <v>9.923</v>
      </c>
      <c r="D738" s="13">
        <v>9.923</v>
      </c>
      <c r="E738" s="13">
        <v>9.923</v>
      </c>
      <c r="F738" s="15">
        <v>-0.0012</v>
      </c>
    </row>
    <row r="739" spans="1:6">
      <c r="A739" s="14">
        <v>44189</v>
      </c>
      <c r="B739" s="13">
        <v>9.935</v>
      </c>
      <c r="C739" s="13">
        <v>9.935</v>
      </c>
      <c r="D739" s="13">
        <v>9.935</v>
      </c>
      <c r="E739" s="13">
        <v>9.935</v>
      </c>
      <c r="F739" s="15">
        <v>0.0012</v>
      </c>
    </row>
    <row r="740" spans="1:6">
      <c r="A740" s="14">
        <v>44188</v>
      </c>
      <c r="B740" s="13">
        <v>9.923</v>
      </c>
      <c r="C740" s="13">
        <v>9.923</v>
      </c>
      <c r="D740" s="13">
        <v>9.923</v>
      </c>
      <c r="E740" s="13">
        <v>9.923</v>
      </c>
      <c r="F740" s="15">
        <v>-0.0012</v>
      </c>
    </row>
    <row r="741" spans="1:6">
      <c r="A741" s="14">
        <v>44187</v>
      </c>
      <c r="B741" s="13">
        <v>9.935</v>
      </c>
      <c r="C741" s="13">
        <v>9.935</v>
      </c>
      <c r="D741" s="13">
        <v>9.935</v>
      </c>
      <c r="E741" s="13">
        <v>9.935</v>
      </c>
      <c r="F741" s="15">
        <v>-0.0006</v>
      </c>
    </row>
    <row r="742" spans="1:6">
      <c r="A742" s="14">
        <v>44186</v>
      </c>
      <c r="B742" s="13">
        <v>9.941</v>
      </c>
      <c r="C742" s="13">
        <v>9.941</v>
      </c>
      <c r="D742" s="13">
        <v>9.941</v>
      </c>
      <c r="E742" s="13">
        <v>9.941</v>
      </c>
      <c r="F742" s="15">
        <v>0.0018</v>
      </c>
    </row>
    <row r="743" spans="1:6">
      <c r="A743" s="14">
        <v>44185</v>
      </c>
      <c r="B743" s="13">
        <v>9.923</v>
      </c>
      <c r="C743" s="13">
        <v>9.923</v>
      </c>
      <c r="D743" s="13">
        <v>9.923</v>
      </c>
      <c r="E743" s="13">
        <v>9.923</v>
      </c>
      <c r="F743" s="15">
        <v>0</v>
      </c>
    </row>
    <row r="744" spans="1:6">
      <c r="A744" s="14">
        <v>44180</v>
      </c>
      <c r="B744" s="13">
        <v>9.923</v>
      </c>
      <c r="C744" s="13">
        <v>9.923</v>
      </c>
      <c r="D744" s="13">
        <v>9.923</v>
      </c>
      <c r="E744" s="13">
        <v>9.923</v>
      </c>
      <c r="F744" s="15">
        <v>-0.0002</v>
      </c>
    </row>
    <row r="745" spans="1:6">
      <c r="A745" s="14">
        <v>44179</v>
      </c>
      <c r="B745" s="13">
        <v>9.925</v>
      </c>
      <c r="C745" s="13">
        <v>9.925</v>
      </c>
      <c r="D745" s="13">
        <v>9.925</v>
      </c>
      <c r="E745" s="13">
        <v>9.925</v>
      </c>
      <c r="F745" s="15">
        <v>-0.0123</v>
      </c>
    </row>
    <row r="746" spans="1:6">
      <c r="A746" s="14">
        <v>44176</v>
      </c>
      <c r="B746" s="13">
        <v>10.049</v>
      </c>
      <c r="C746" s="13">
        <v>10.049</v>
      </c>
      <c r="D746" s="13">
        <v>10.049</v>
      </c>
      <c r="E746" s="13">
        <v>10.049</v>
      </c>
      <c r="F746" s="15">
        <v>-0.0041</v>
      </c>
    </row>
    <row r="747" spans="1:6">
      <c r="A747" s="14">
        <v>44175</v>
      </c>
      <c r="B747" s="13">
        <v>10.09</v>
      </c>
      <c r="C747" s="13">
        <v>10.09</v>
      </c>
      <c r="D747" s="13">
        <v>10.09</v>
      </c>
      <c r="E747" s="13">
        <v>10.09</v>
      </c>
      <c r="F747" s="15">
        <v>-0.002</v>
      </c>
    </row>
    <row r="748" spans="1:6">
      <c r="A748" s="14">
        <v>44174</v>
      </c>
      <c r="B748" s="13">
        <v>10.11</v>
      </c>
      <c r="C748" s="13">
        <v>10.11</v>
      </c>
      <c r="D748" s="13">
        <v>10.11</v>
      </c>
      <c r="E748" s="13">
        <v>10.11</v>
      </c>
      <c r="F748" s="15">
        <v>-0.0005</v>
      </c>
    </row>
    <row r="749" spans="1:6">
      <c r="A749" s="14">
        <v>44173</v>
      </c>
      <c r="B749" s="13">
        <v>10.115</v>
      </c>
      <c r="C749" s="13">
        <v>10.115</v>
      </c>
      <c r="D749" s="13">
        <v>10.115</v>
      </c>
      <c r="E749" s="13">
        <v>10.115</v>
      </c>
      <c r="F749" s="15">
        <v>-0.0009</v>
      </c>
    </row>
    <row r="750" spans="1:6">
      <c r="A750" s="14">
        <v>44172</v>
      </c>
      <c r="B750" s="13">
        <v>10.124</v>
      </c>
      <c r="C750" s="13">
        <v>10.124</v>
      </c>
      <c r="D750" s="13">
        <v>10.124</v>
      </c>
      <c r="E750" s="13">
        <v>10.124</v>
      </c>
      <c r="F750" s="15">
        <v>-0.0101</v>
      </c>
    </row>
    <row r="751" spans="1:6">
      <c r="A751" s="14">
        <v>44169</v>
      </c>
      <c r="B751" s="13">
        <v>10.227</v>
      </c>
      <c r="C751" s="13">
        <v>10.227</v>
      </c>
      <c r="D751" s="13">
        <v>10.227</v>
      </c>
      <c r="E751" s="13">
        <v>10.227</v>
      </c>
      <c r="F751" s="15">
        <v>-0.0114</v>
      </c>
    </row>
    <row r="752" spans="1:6">
      <c r="A752" s="14">
        <v>44168</v>
      </c>
      <c r="B752" s="13">
        <v>10.345</v>
      </c>
      <c r="C752" s="13">
        <v>10.345</v>
      </c>
      <c r="D752" s="13">
        <v>10.345</v>
      </c>
      <c r="E752" s="13">
        <v>10.345</v>
      </c>
      <c r="F752" s="15">
        <v>0.0016</v>
      </c>
    </row>
    <row r="753" spans="1:6">
      <c r="A753" s="14">
        <v>44167</v>
      </c>
      <c r="B753" s="13">
        <v>10.328</v>
      </c>
      <c r="C753" s="13">
        <v>10.328</v>
      </c>
      <c r="D753" s="13">
        <v>10.328</v>
      </c>
      <c r="E753" s="13">
        <v>10.328</v>
      </c>
      <c r="F753" s="15">
        <v>0</v>
      </c>
    </row>
    <row r="754" spans="1:6">
      <c r="A754" s="14">
        <v>44165</v>
      </c>
      <c r="B754" s="13">
        <v>10.328</v>
      </c>
      <c r="C754" s="13">
        <v>10.328</v>
      </c>
      <c r="D754" s="13">
        <v>10.328</v>
      </c>
      <c r="E754" s="13">
        <v>10.328</v>
      </c>
      <c r="F754" s="15">
        <v>-0.0015</v>
      </c>
    </row>
    <row r="755" spans="1:6">
      <c r="A755" s="14">
        <v>44162</v>
      </c>
      <c r="B755" s="13">
        <v>10.344</v>
      </c>
      <c r="C755" s="13">
        <v>10.344</v>
      </c>
      <c r="D755" s="13">
        <v>10.344</v>
      </c>
      <c r="E755" s="13">
        <v>10.344</v>
      </c>
      <c r="F755" s="15">
        <v>0.0038</v>
      </c>
    </row>
    <row r="756" spans="1:6">
      <c r="A756" s="14">
        <v>44161</v>
      </c>
      <c r="B756" s="13">
        <v>10.305</v>
      </c>
      <c r="C756" s="13">
        <v>10.305</v>
      </c>
      <c r="D756" s="13">
        <v>10.305</v>
      </c>
      <c r="E756" s="13">
        <v>10.305</v>
      </c>
      <c r="F756" s="15">
        <v>0.0022</v>
      </c>
    </row>
    <row r="757" spans="1:6">
      <c r="A757" s="14">
        <v>44160</v>
      </c>
      <c r="B757" s="13">
        <v>10.282</v>
      </c>
      <c r="C757" s="13">
        <v>10.282</v>
      </c>
      <c r="D757" s="13">
        <v>10.282</v>
      </c>
      <c r="E757" s="13">
        <v>10.282</v>
      </c>
      <c r="F757" s="15">
        <v>-0.0106</v>
      </c>
    </row>
    <row r="758" spans="1:6">
      <c r="A758" s="14">
        <v>44159</v>
      </c>
      <c r="B758" s="13">
        <v>10.392</v>
      </c>
      <c r="C758" s="13">
        <v>10.392</v>
      </c>
      <c r="D758" s="13">
        <v>10.392</v>
      </c>
      <c r="E758" s="13">
        <v>10.392</v>
      </c>
      <c r="F758" s="15">
        <v>0.0034</v>
      </c>
    </row>
    <row r="759" spans="1:6">
      <c r="A759" s="14">
        <v>44158</v>
      </c>
      <c r="B759" s="13">
        <v>10.357</v>
      </c>
      <c r="C759" s="13">
        <v>10.357</v>
      </c>
      <c r="D759" s="13">
        <v>10.357</v>
      </c>
      <c r="E759" s="13">
        <v>10.357</v>
      </c>
      <c r="F759" s="15">
        <v>-0.0019</v>
      </c>
    </row>
    <row r="760" spans="1:6">
      <c r="A760" s="14">
        <v>44155</v>
      </c>
      <c r="B760" s="13">
        <v>10.377</v>
      </c>
      <c r="C760" s="13">
        <v>10.377</v>
      </c>
      <c r="D760" s="13">
        <v>10.377</v>
      </c>
      <c r="E760" s="13">
        <v>10.377</v>
      </c>
      <c r="F760" s="15">
        <v>0.0136</v>
      </c>
    </row>
    <row r="761" spans="1:6">
      <c r="A761" s="14">
        <v>44154</v>
      </c>
      <c r="B761" s="13">
        <v>10.238</v>
      </c>
      <c r="C761" s="13">
        <v>10.238</v>
      </c>
      <c r="D761" s="13">
        <v>10.238</v>
      </c>
      <c r="E761" s="13">
        <v>10.238</v>
      </c>
      <c r="F761" s="15">
        <v>0.0041</v>
      </c>
    </row>
    <row r="762" spans="1:6">
      <c r="A762" s="14">
        <v>44153</v>
      </c>
      <c r="B762" s="13">
        <v>10.196</v>
      </c>
      <c r="C762" s="13">
        <v>10.196</v>
      </c>
      <c r="D762" s="13">
        <v>10.196</v>
      </c>
      <c r="E762" s="13">
        <v>10.196</v>
      </c>
      <c r="F762" s="15">
        <v>0.0005</v>
      </c>
    </row>
    <row r="763" spans="1:6">
      <c r="A763" s="14">
        <v>44152</v>
      </c>
      <c r="B763" s="13">
        <v>10.191</v>
      </c>
      <c r="C763" s="13">
        <v>10.191</v>
      </c>
      <c r="D763" s="13">
        <v>10.191</v>
      </c>
      <c r="E763" s="13">
        <v>10.191</v>
      </c>
      <c r="F763" s="15">
        <v>0.0002</v>
      </c>
    </row>
    <row r="764" spans="1:6">
      <c r="A764" s="14">
        <v>44151</v>
      </c>
      <c r="B764" s="13">
        <v>10.189</v>
      </c>
      <c r="C764" s="13">
        <v>10.189</v>
      </c>
      <c r="D764" s="13">
        <v>10.189</v>
      </c>
      <c r="E764" s="13">
        <v>10.189</v>
      </c>
      <c r="F764" s="15">
        <v>0.0005</v>
      </c>
    </row>
    <row r="765" spans="1:6">
      <c r="A765" s="14">
        <v>44148</v>
      </c>
      <c r="B765" s="13">
        <v>10.184</v>
      </c>
      <c r="C765" s="13">
        <v>10.184</v>
      </c>
      <c r="D765" s="13">
        <v>10.184</v>
      </c>
      <c r="E765" s="13">
        <v>10.184</v>
      </c>
      <c r="F765" s="15">
        <v>-0.0008</v>
      </c>
    </row>
    <row r="766" spans="1:6">
      <c r="A766" s="14">
        <v>44147</v>
      </c>
      <c r="B766" s="13">
        <v>10.192</v>
      </c>
      <c r="C766" s="13">
        <v>10.192</v>
      </c>
      <c r="D766" s="13">
        <v>10.192</v>
      </c>
      <c r="E766" s="13">
        <v>10.192</v>
      </c>
      <c r="F766" s="15">
        <v>-0.0006</v>
      </c>
    </row>
    <row r="767" spans="1:6">
      <c r="A767" s="14">
        <v>44146</v>
      </c>
      <c r="B767" s="13">
        <v>10.198</v>
      </c>
      <c r="C767" s="13">
        <v>10.198</v>
      </c>
      <c r="D767" s="13">
        <v>10.198</v>
      </c>
      <c r="E767" s="13">
        <v>10.198</v>
      </c>
      <c r="F767" s="15">
        <v>0.0002</v>
      </c>
    </row>
    <row r="768" spans="1:6">
      <c r="A768" s="14">
        <v>44145</v>
      </c>
      <c r="B768" s="13">
        <v>10.196</v>
      </c>
      <c r="C768" s="13">
        <v>10.196</v>
      </c>
      <c r="D768" s="13">
        <v>10.196</v>
      </c>
      <c r="E768" s="13">
        <v>10.196</v>
      </c>
      <c r="F768" s="15">
        <v>0.0005</v>
      </c>
    </row>
    <row r="769" spans="1:6">
      <c r="A769" s="14">
        <v>44144</v>
      </c>
      <c r="B769" s="13">
        <v>10.191</v>
      </c>
      <c r="C769" s="13">
        <v>10.191</v>
      </c>
      <c r="D769" s="13">
        <v>10.191</v>
      </c>
      <c r="E769" s="13">
        <v>10.191</v>
      </c>
      <c r="F769" s="15">
        <v>0.0002</v>
      </c>
    </row>
    <row r="770" spans="1:6">
      <c r="A770" s="14">
        <v>44141</v>
      </c>
      <c r="B770" s="13">
        <v>10.189</v>
      </c>
      <c r="C770" s="13">
        <v>10.189</v>
      </c>
      <c r="D770" s="13">
        <v>10.189</v>
      </c>
      <c r="E770" s="13">
        <v>10.189</v>
      </c>
      <c r="F770" s="15">
        <v>-0.0005</v>
      </c>
    </row>
    <row r="771" spans="1:6">
      <c r="A771" s="14">
        <v>44140</v>
      </c>
      <c r="B771" s="13">
        <v>10.194</v>
      </c>
      <c r="C771" s="13">
        <v>10.194</v>
      </c>
      <c r="D771" s="13">
        <v>10.194</v>
      </c>
      <c r="E771" s="13">
        <v>10.194</v>
      </c>
      <c r="F771" s="15">
        <v>-0.0012</v>
      </c>
    </row>
    <row r="772" spans="1:6">
      <c r="A772" s="14">
        <v>44139</v>
      </c>
      <c r="B772" s="13">
        <v>10.206</v>
      </c>
      <c r="C772" s="13">
        <v>10.206</v>
      </c>
      <c r="D772" s="13">
        <v>10.206</v>
      </c>
      <c r="E772" s="13">
        <v>10.206</v>
      </c>
      <c r="F772" s="15">
        <v>-0.0013</v>
      </c>
    </row>
    <row r="773" spans="1:6">
      <c r="A773" s="14">
        <v>44138</v>
      </c>
      <c r="B773" s="13">
        <v>10.219</v>
      </c>
      <c r="C773" s="13">
        <v>10.219</v>
      </c>
      <c r="D773" s="13">
        <v>10.219</v>
      </c>
      <c r="E773" s="13">
        <v>10.219</v>
      </c>
      <c r="F773" s="15">
        <v>-0.0015</v>
      </c>
    </row>
    <row r="774" spans="1:6">
      <c r="A774" s="14">
        <v>44137</v>
      </c>
      <c r="B774" s="13">
        <v>10.234</v>
      </c>
      <c r="C774" s="13">
        <v>10.234</v>
      </c>
      <c r="D774" s="13">
        <v>10.234</v>
      </c>
      <c r="E774" s="13">
        <v>10.234</v>
      </c>
      <c r="F774" s="15">
        <v>-0.0059</v>
      </c>
    </row>
    <row r="775" spans="1:6">
      <c r="A775" s="14">
        <v>44134</v>
      </c>
      <c r="B775" s="13">
        <v>10.295</v>
      </c>
      <c r="C775" s="13">
        <v>10.295</v>
      </c>
      <c r="D775" s="13">
        <v>10.295</v>
      </c>
      <c r="E775" s="13">
        <v>10.295</v>
      </c>
      <c r="F775" s="15">
        <v>0.0022</v>
      </c>
    </row>
    <row r="776" spans="1:6">
      <c r="A776" s="14">
        <v>44133</v>
      </c>
      <c r="B776" s="13">
        <v>10.272</v>
      </c>
      <c r="C776" s="13">
        <v>10.272</v>
      </c>
      <c r="D776" s="13">
        <v>10.272</v>
      </c>
      <c r="E776" s="13">
        <v>10.272</v>
      </c>
      <c r="F776" s="15">
        <v>-0.0108</v>
      </c>
    </row>
    <row r="777" spans="1:6">
      <c r="A777" s="14">
        <v>44132</v>
      </c>
      <c r="B777" s="13">
        <v>10.384</v>
      </c>
      <c r="C777" s="13">
        <v>10.384</v>
      </c>
      <c r="D777" s="13">
        <v>10.384</v>
      </c>
      <c r="E777" s="13">
        <v>10.384</v>
      </c>
      <c r="F777" s="15">
        <v>-0.0005</v>
      </c>
    </row>
    <row r="778" spans="1:6">
      <c r="A778" s="14">
        <v>44131</v>
      </c>
      <c r="B778" s="13">
        <v>10.389</v>
      </c>
      <c r="C778" s="13">
        <v>10.389</v>
      </c>
      <c r="D778" s="13">
        <v>10.389</v>
      </c>
      <c r="E778" s="13">
        <v>10.389</v>
      </c>
      <c r="F778" s="15">
        <v>0.0078</v>
      </c>
    </row>
    <row r="779" spans="1:6">
      <c r="A779" s="14">
        <v>44130</v>
      </c>
      <c r="B779" s="13">
        <v>10.309</v>
      </c>
      <c r="C779" s="13">
        <v>10.309</v>
      </c>
      <c r="D779" s="13">
        <v>10.309</v>
      </c>
      <c r="E779" s="13">
        <v>10.309</v>
      </c>
      <c r="F779" s="15">
        <v>0.0174</v>
      </c>
    </row>
    <row r="780" spans="1:6">
      <c r="A780" s="14">
        <v>44127</v>
      </c>
      <c r="B780" s="13">
        <v>10.133</v>
      </c>
      <c r="C780" s="13">
        <v>10.133</v>
      </c>
      <c r="D780" s="13">
        <v>10.133</v>
      </c>
      <c r="E780" s="13">
        <v>10.133</v>
      </c>
      <c r="F780" s="15">
        <v>0.0202</v>
      </c>
    </row>
    <row r="781" spans="1:6">
      <c r="A781" s="14">
        <v>44126</v>
      </c>
      <c r="B781" s="13">
        <v>9.932</v>
      </c>
      <c r="C781" s="13">
        <v>9.932</v>
      </c>
      <c r="D781" s="13">
        <v>9.932</v>
      </c>
      <c r="E781" s="13">
        <v>9.932</v>
      </c>
      <c r="F781" s="15">
        <v>0.0019</v>
      </c>
    </row>
    <row r="782" spans="1:6">
      <c r="A782" s="14">
        <v>44125</v>
      </c>
      <c r="B782" s="13">
        <v>9.913</v>
      </c>
      <c r="C782" s="13">
        <v>9.913</v>
      </c>
      <c r="D782" s="13">
        <v>9.913</v>
      </c>
      <c r="E782" s="13">
        <v>9.913</v>
      </c>
      <c r="F782" s="15">
        <v>0.0023</v>
      </c>
    </row>
    <row r="783" spans="1:6">
      <c r="A783" s="14">
        <v>44124</v>
      </c>
      <c r="B783" s="13">
        <v>9.89</v>
      </c>
      <c r="C783" s="13">
        <v>9.89</v>
      </c>
      <c r="D783" s="13">
        <v>9.89</v>
      </c>
      <c r="E783" s="13">
        <v>9.89</v>
      </c>
      <c r="F783" s="15">
        <v>0.0001</v>
      </c>
    </row>
    <row r="784" spans="1:6">
      <c r="A784" s="14">
        <v>44123</v>
      </c>
      <c r="B784" s="13">
        <v>9.889</v>
      </c>
      <c r="C784" s="13">
        <v>9.889</v>
      </c>
      <c r="D784" s="13">
        <v>9.889</v>
      </c>
      <c r="E784" s="13">
        <v>9.889</v>
      </c>
      <c r="F784" s="15">
        <v>-0.0005</v>
      </c>
    </row>
    <row r="785" spans="1:6">
      <c r="A785" s="14">
        <v>44120</v>
      </c>
      <c r="B785" s="13">
        <v>9.894</v>
      </c>
      <c r="C785" s="13">
        <v>9.894</v>
      </c>
      <c r="D785" s="13">
        <v>9.894</v>
      </c>
      <c r="E785" s="13">
        <v>9.894</v>
      </c>
      <c r="F785" s="15">
        <v>0.0008</v>
      </c>
    </row>
    <row r="786" spans="1:6">
      <c r="A786" s="14">
        <v>44119</v>
      </c>
      <c r="B786" s="13">
        <v>9.886</v>
      </c>
      <c r="C786" s="13">
        <v>9.886</v>
      </c>
      <c r="D786" s="13">
        <v>9.886</v>
      </c>
      <c r="E786" s="13">
        <v>9.886</v>
      </c>
      <c r="F786" s="15">
        <v>-0.0078</v>
      </c>
    </row>
    <row r="787" spans="1:6">
      <c r="A787" s="14">
        <v>44118</v>
      </c>
      <c r="B787" s="13">
        <v>9.964</v>
      </c>
      <c r="C787" s="13">
        <v>9.964</v>
      </c>
      <c r="D787" s="13">
        <v>9.964</v>
      </c>
      <c r="E787" s="13">
        <v>9.964</v>
      </c>
      <c r="F787" s="15">
        <v>-0.0079</v>
      </c>
    </row>
    <row r="788" spans="1:6">
      <c r="A788" s="14">
        <v>44117</v>
      </c>
      <c r="B788" s="13">
        <v>10.043</v>
      </c>
      <c r="C788" s="13">
        <v>10.043</v>
      </c>
      <c r="D788" s="13">
        <v>10.043</v>
      </c>
      <c r="E788" s="13">
        <v>10.043</v>
      </c>
      <c r="F788" s="15">
        <v>-0.0053</v>
      </c>
    </row>
    <row r="789" spans="1:6">
      <c r="A789" s="14">
        <v>44116</v>
      </c>
      <c r="B789" s="13">
        <v>10.097</v>
      </c>
      <c r="C789" s="13">
        <v>10.097</v>
      </c>
      <c r="D789" s="13">
        <v>10.097</v>
      </c>
      <c r="E789" s="13">
        <v>10.097</v>
      </c>
      <c r="F789" s="15">
        <v>-0.0009</v>
      </c>
    </row>
    <row r="790" spans="1:6">
      <c r="A790" s="14">
        <v>44113</v>
      </c>
      <c r="B790" s="13">
        <v>10.106</v>
      </c>
      <c r="C790" s="13">
        <v>10.106</v>
      </c>
      <c r="D790" s="13">
        <v>10.106</v>
      </c>
      <c r="E790" s="13">
        <v>10.106</v>
      </c>
      <c r="F790" s="15">
        <v>-0.0002</v>
      </c>
    </row>
    <row r="791" spans="1:6">
      <c r="A791" s="14">
        <v>44112</v>
      </c>
      <c r="B791" s="13">
        <v>10.108</v>
      </c>
      <c r="C791" s="13">
        <v>10.108</v>
      </c>
      <c r="D791" s="13">
        <v>10.108</v>
      </c>
      <c r="E791" s="13">
        <v>10.108</v>
      </c>
      <c r="F791" s="15">
        <v>-0.0001</v>
      </c>
    </row>
    <row r="792" spans="1:6">
      <c r="A792" s="14">
        <v>44111</v>
      </c>
      <c r="B792" s="13">
        <v>10.109</v>
      </c>
      <c r="C792" s="13">
        <v>10.109</v>
      </c>
      <c r="D792" s="13">
        <v>10.109</v>
      </c>
      <c r="E792" s="13">
        <v>10.109</v>
      </c>
      <c r="F792" s="15">
        <v>-0.0118</v>
      </c>
    </row>
    <row r="793" spans="1:6">
      <c r="A793" s="14">
        <v>44110</v>
      </c>
      <c r="B793" s="13">
        <v>10.23</v>
      </c>
      <c r="C793" s="13">
        <v>10.23</v>
      </c>
      <c r="D793" s="13">
        <v>10.23</v>
      </c>
      <c r="E793" s="13">
        <v>10.23</v>
      </c>
      <c r="F793" s="15">
        <v>0.0119</v>
      </c>
    </row>
    <row r="794" spans="1:6">
      <c r="A794" s="14">
        <v>44109</v>
      </c>
      <c r="B794" s="13">
        <v>10.11</v>
      </c>
      <c r="C794" s="13">
        <v>10.11</v>
      </c>
      <c r="D794" s="13">
        <v>10.11</v>
      </c>
      <c r="E794" s="13">
        <v>10.11</v>
      </c>
      <c r="F794" s="15">
        <v>0.0012</v>
      </c>
    </row>
    <row r="795" spans="1:6">
      <c r="A795" s="14">
        <v>44106</v>
      </c>
      <c r="B795" s="13">
        <v>10.098</v>
      </c>
      <c r="C795" s="13">
        <v>10.098</v>
      </c>
      <c r="D795" s="13">
        <v>10.098</v>
      </c>
      <c r="E795" s="13">
        <v>10.098</v>
      </c>
      <c r="F795" s="15">
        <v>0.0082</v>
      </c>
    </row>
    <row r="796" spans="1:6">
      <c r="A796" s="14">
        <v>44105</v>
      </c>
      <c r="B796" s="13">
        <v>10.016</v>
      </c>
      <c r="C796" s="13">
        <v>10.016</v>
      </c>
      <c r="D796" s="13">
        <v>10.016</v>
      </c>
      <c r="E796" s="13">
        <v>10.016</v>
      </c>
      <c r="F796" s="15">
        <v>0.0019</v>
      </c>
    </row>
    <row r="797" spans="1:6">
      <c r="A797" s="14">
        <v>44104</v>
      </c>
      <c r="B797" s="13">
        <v>9.997</v>
      </c>
      <c r="C797" s="13">
        <v>9.997</v>
      </c>
      <c r="D797" s="13">
        <v>9.997</v>
      </c>
      <c r="E797" s="13">
        <v>9.997</v>
      </c>
      <c r="F797" s="15">
        <v>0.0029</v>
      </c>
    </row>
    <row r="798" spans="1:6">
      <c r="A798" s="14">
        <v>44103</v>
      </c>
      <c r="B798" s="13">
        <v>9.968</v>
      </c>
      <c r="C798" s="13">
        <v>9.968</v>
      </c>
      <c r="D798" s="13">
        <v>9.968</v>
      </c>
      <c r="E798" s="13">
        <v>9.968</v>
      </c>
      <c r="F798" s="15">
        <v>-0.0002</v>
      </c>
    </row>
    <row r="799" spans="1:6">
      <c r="A799" s="14">
        <v>44102</v>
      </c>
      <c r="B799" s="13">
        <v>9.97</v>
      </c>
      <c r="C799" s="13">
        <v>9.97</v>
      </c>
      <c r="D799" s="13">
        <v>9.97</v>
      </c>
      <c r="E799" s="13">
        <v>9.97</v>
      </c>
      <c r="F799" s="15">
        <v>0.0032</v>
      </c>
    </row>
    <row r="800" spans="1:6">
      <c r="A800" s="14">
        <v>44099</v>
      </c>
      <c r="B800" s="13">
        <v>9.938</v>
      </c>
      <c r="C800" s="13">
        <v>9.938</v>
      </c>
      <c r="D800" s="13">
        <v>9.938</v>
      </c>
      <c r="E800" s="13">
        <v>9.938</v>
      </c>
      <c r="F800" s="15">
        <v>0.0012</v>
      </c>
    </row>
    <row r="801" spans="1:6">
      <c r="A801" s="14">
        <v>44098</v>
      </c>
      <c r="B801" s="13">
        <v>9.926</v>
      </c>
      <c r="C801" s="13">
        <v>9.926</v>
      </c>
      <c r="D801" s="13">
        <v>9.926</v>
      </c>
      <c r="E801" s="13">
        <v>9.926</v>
      </c>
      <c r="F801" s="15">
        <v>0.0093</v>
      </c>
    </row>
    <row r="802" spans="1:6">
      <c r="A802" s="14">
        <v>44097</v>
      </c>
      <c r="B802" s="13">
        <v>9.835</v>
      </c>
      <c r="C802" s="13">
        <v>9.835</v>
      </c>
      <c r="D802" s="13">
        <v>9.835</v>
      </c>
      <c r="E802" s="13">
        <v>9.835</v>
      </c>
      <c r="F802" s="15">
        <v>-0.0036</v>
      </c>
    </row>
    <row r="803" spans="1:6">
      <c r="A803" s="14">
        <v>44096</v>
      </c>
      <c r="B803" s="13">
        <v>9.871</v>
      </c>
      <c r="C803" s="13">
        <v>9.871</v>
      </c>
      <c r="D803" s="13">
        <v>9.871</v>
      </c>
      <c r="E803" s="13">
        <v>9.871</v>
      </c>
      <c r="F803" s="15">
        <v>0.0025</v>
      </c>
    </row>
    <row r="804" spans="1:6">
      <c r="A804" s="14">
        <v>44095</v>
      </c>
      <c r="B804" s="13">
        <v>9.846</v>
      </c>
      <c r="C804" s="13">
        <v>9.846</v>
      </c>
      <c r="D804" s="13">
        <v>9.846</v>
      </c>
      <c r="E804" s="13">
        <v>9.846</v>
      </c>
      <c r="F804" s="15">
        <v>0.0025</v>
      </c>
    </row>
    <row r="805" spans="1:6">
      <c r="A805" s="14">
        <v>44092</v>
      </c>
      <c r="B805" s="13">
        <v>9.821</v>
      </c>
      <c r="C805" s="13">
        <v>9.821</v>
      </c>
      <c r="D805" s="13">
        <v>9.821</v>
      </c>
      <c r="E805" s="13">
        <v>9.821</v>
      </c>
      <c r="F805" s="15">
        <v>-0.0051</v>
      </c>
    </row>
    <row r="806" spans="1:6">
      <c r="A806" s="14">
        <v>44091</v>
      </c>
      <c r="B806" s="13">
        <v>9.871</v>
      </c>
      <c r="C806" s="13">
        <v>9.871</v>
      </c>
      <c r="D806" s="13">
        <v>9.871</v>
      </c>
      <c r="E806" s="13">
        <v>9.871</v>
      </c>
      <c r="F806" s="15">
        <v>-0.0122</v>
      </c>
    </row>
    <row r="807" spans="1:6">
      <c r="A807" s="14">
        <v>44090</v>
      </c>
      <c r="B807" s="13">
        <v>9.993</v>
      </c>
      <c r="C807" s="13">
        <v>9.993</v>
      </c>
      <c r="D807" s="13">
        <v>9.993</v>
      </c>
      <c r="E807" s="13">
        <v>9.993</v>
      </c>
      <c r="F807" s="15">
        <v>-0.0008</v>
      </c>
    </row>
    <row r="808" spans="1:6">
      <c r="A808" s="14">
        <v>44089</v>
      </c>
      <c r="B808" s="13">
        <v>10.001</v>
      </c>
      <c r="C808" s="13">
        <v>10.001</v>
      </c>
      <c r="D808" s="13">
        <v>10.001</v>
      </c>
      <c r="E808" s="13">
        <v>10.001</v>
      </c>
      <c r="F808" s="15">
        <v>-0.0016</v>
      </c>
    </row>
    <row r="809" spans="1:6">
      <c r="A809" s="14">
        <v>44088</v>
      </c>
      <c r="B809" s="13">
        <v>10.017</v>
      </c>
      <c r="C809" s="13">
        <v>10.017</v>
      </c>
      <c r="D809" s="13">
        <v>10.017</v>
      </c>
      <c r="E809" s="13">
        <v>10.017</v>
      </c>
      <c r="F809" s="15">
        <v>-0.0073</v>
      </c>
    </row>
    <row r="810" spans="1:6">
      <c r="A810" s="14">
        <v>44085</v>
      </c>
      <c r="B810" s="13">
        <v>10.091</v>
      </c>
      <c r="C810" s="13">
        <v>10.091</v>
      </c>
      <c r="D810" s="13">
        <v>10.091</v>
      </c>
      <c r="E810" s="13">
        <v>10.091</v>
      </c>
      <c r="F810" s="15">
        <v>0.0012</v>
      </c>
    </row>
    <row r="811" spans="1:6">
      <c r="A811" s="14">
        <v>44084</v>
      </c>
      <c r="B811" s="13">
        <v>10.079</v>
      </c>
      <c r="C811" s="13">
        <v>10.079</v>
      </c>
      <c r="D811" s="13">
        <v>10.079</v>
      </c>
      <c r="E811" s="13">
        <v>10.079</v>
      </c>
      <c r="F811" s="15">
        <v>-0.003</v>
      </c>
    </row>
    <row r="812" spans="1:6">
      <c r="A812" s="14">
        <v>44083</v>
      </c>
      <c r="B812" s="13">
        <v>10.109</v>
      </c>
      <c r="C812" s="13">
        <v>10.109</v>
      </c>
      <c r="D812" s="13">
        <v>10.109</v>
      </c>
      <c r="E812" s="13">
        <v>10.109</v>
      </c>
      <c r="F812" s="15">
        <v>0.0008</v>
      </c>
    </row>
    <row r="813" spans="1:6">
      <c r="A813" s="14">
        <v>44082</v>
      </c>
      <c r="B813" s="13">
        <v>10.101</v>
      </c>
      <c r="C813" s="13">
        <v>10.101</v>
      </c>
      <c r="D813" s="13">
        <v>10.101</v>
      </c>
      <c r="E813" s="13">
        <v>10.101</v>
      </c>
      <c r="F813" s="15">
        <v>-0.0021</v>
      </c>
    </row>
    <row r="814" spans="1:6">
      <c r="A814" s="14">
        <v>44081</v>
      </c>
      <c r="B814" s="13">
        <v>10.122</v>
      </c>
      <c r="C814" s="13">
        <v>10.122</v>
      </c>
      <c r="D814" s="13">
        <v>10.122</v>
      </c>
      <c r="E814" s="13">
        <v>10.122</v>
      </c>
      <c r="F814" s="15">
        <v>-0.0035</v>
      </c>
    </row>
    <row r="815" spans="1:6">
      <c r="A815" s="14">
        <v>44078</v>
      </c>
      <c r="B815" s="13">
        <v>10.158</v>
      </c>
      <c r="C815" s="13">
        <v>10.158</v>
      </c>
      <c r="D815" s="13">
        <v>10.158</v>
      </c>
      <c r="E815" s="13">
        <v>10.158</v>
      </c>
      <c r="F815" s="15">
        <v>-0.0012</v>
      </c>
    </row>
    <row r="816" spans="1:6">
      <c r="A816" s="14">
        <v>44077</v>
      </c>
      <c r="B816" s="13">
        <v>10.17</v>
      </c>
      <c r="C816" s="13">
        <v>10.17</v>
      </c>
      <c r="D816" s="13">
        <v>10.17</v>
      </c>
      <c r="E816" s="13">
        <v>10.17</v>
      </c>
      <c r="F816" s="15">
        <v>-0.0151</v>
      </c>
    </row>
    <row r="817" spans="1:6">
      <c r="A817" s="14">
        <v>44075</v>
      </c>
      <c r="B817" s="13">
        <v>10.326</v>
      </c>
      <c r="C817" s="13">
        <v>10.326</v>
      </c>
      <c r="D817" s="13">
        <v>10.326</v>
      </c>
      <c r="E817" s="13">
        <v>10.326</v>
      </c>
      <c r="F817" s="15">
        <v>-0.03</v>
      </c>
    </row>
    <row r="818" spans="1:6">
      <c r="A818" s="14">
        <v>44042</v>
      </c>
      <c r="B818" s="13">
        <v>10.645</v>
      </c>
      <c r="C818" s="13">
        <v>10.645</v>
      </c>
      <c r="D818" s="13">
        <v>10.645</v>
      </c>
      <c r="E818" s="13">
        <v>10.645</v>
      </c>
      <c r="F818" s="15">
        <v>0.0001</v>
      </c>
    </row>
    <row r="819" spans="1:6">
      <c r="A819" s="14">
        <v>44041</v>
      </c>
      <c r="B819" s="13">
        <v>10.644</v>
      </c>
      <c r="C819" s="13">
        <v>10.644</v>
      </c>
      <c r="D819" s="13">
        <v>10.644</v>
      </c>
      <c r="E819" s="13">
        <v>10.644</v>
      </c>
      <c r="F819" s="15">
        <v>-0.0094</v>
      </c>
    </row>
    <row r="820" spans="1:6">
      <c r="A820" s="14">
        <v>44040</v>
      </c>
      <c r="B820" s="13">
        <v>10.745</v>
      </c>
      <c r="C820" s="13">
        <v>10.745</v>
      </c>
      <c r="D820" s="13">
        <v>10.745</v>
      </c>
      <c r="E820" s="13">
        <v>10.745</v>
      </c>
      <c r="F820" s="15">
        <v>0</v>
      </c>
    </row>
    <row r="821" spans="1:6">
      <c r="A821" s="14">
        <v>44039</v>
      </c>
      <c r="B821" s="13">
        <v>10.745</v>
      </c>
      <c r="C821" s="13">
        <v>10.745</v>
      </c>
      <c r="D821" s="13">
        <v>10.745</v>
      </c>
      <c r="E821" s="13">
        <v>10.745</v>
      </c>
      <c r="F821" s="15">
        <v>-0.0006</v>
      </c>
    </row>
    <row r="822" spans="1:6">
      <c r="A822" s="14">
        <v>44036</v>
      </c>
      <c r="B822" s="13">
        <v>10.751</v>
      </c>
      <c r="C822" s="13">
        <v>10.751</v>
      </c>
      <c r="D822" s="13">
        <v>10.751</v>
      </c>
      <c r="E822" s="13">
        <v>10.751</v>
      </c>
      <c r="F822" s="15">
        <v>-0.001</v>
      </c>
    </row>
    <row r="823" spans="1:6">
      <c r="A823" s="14">
        <v>44035</v>
      </c>
      <c r="B823" s="13">
        <v>10.762</v>
      </c>
      <c r="C823" s="13">
        <v>10.762</v>
      </c>
      <c r="D823" s="13">
        <v>10.762</v>
      </c>
      <c r="E823" s="13">
        <v>10.762</v>
      </c>
      <c r="F823" s="15">
        <v>-0.0012</v>
      </c>
    </row>
    <row r="824" spans="1:6">
      <c r="A824" s="14">
        <v>44034</v>
      </c>
      <c r="B824" s="13">
        <v>10.775</v>
      </c>
      <c r="C824" s="13">
        <v>10.775</v>
      </c>
      <c r="D824" s="13">
        <v>10.775</v>
      </c>
      <c r="E824" s="13">
        <v>10.775</v>
      </c>
      <c r="F824" s="15">
        <v>-0.0021</v>
      </c>
    </row>
    <row r="825" spans="1:6">
      <c r="A825" s="14">
        <v>44033</v>
      </c>
      <c r="B825" s="13">
        <v>10.798</v>
      </c>
      <c r="C825" s="13">
        <v>10.798</v>
      </c>
      <c r="D825" s="13">
        <v>10.798</v>
      </c>
      <c r="E825" s="13">
        <v>10.798</v>
      </c>
      <c r="F825" s="15">
        <v>-0.0029</v>
      </c>
    </row>
    <row r="826" spans="1:6">
      <c r="A826" s="14">
        <v>44032</v>
      </c>
      <c r="B826" s="13">
        <v>10.829</v>
      </c>
      <c r="C826" s="13">
        <v>10.829</v>
      </c>
      <c r="D826" s="13">
        <v>10.829</v>
      </c>
      <c r="E826" s="13">
        <v>10.829</v>
      </c>
      <c r="F826" s="15">
        <v>0.0021</v>
      </c>
    </row>
    <row r="827" spans="1:6">
      <c r="A827" s="14">
        <v>44029</v>
      </c>
      <c r="B827" s="13">
        <v>10.806</v>
      </c>
      <c r="C827" s="13">
        <v>10.806</v>
      </c>
      <c r="D827" s="13">
        <v>10.806</v>
      </c>
      <c r="E827" s="13">
        <v>10.806</v>
      </c>
      <c r="F827" s="15">
        <v>0.0105</v>
      </c>
    </row>
    <row r="828" spans="1:6">
      <c r="A828" s="14">
        <v>44028</v>
      </c>
      <c r="B828" s="13">
        <v>10.694</v>
      </c>
      <c r="C828" s="13">
        <v>10.694</v>
      </c>
      <c r="D828" s="13">
        <v>10.694</v>
      </c>
      <c r="E828" s="13">
        <v>10.694</v>
      </c>
      <c r="F828" s="15">
        <v>-0.0021</v>
      </c>
    </row>
    <row r="829" spans="1:6">
      <c r="A829" s="14">
        <v>44027</v>
      </c>
      <c r="B829" s="13">
        <v>10.717</v>
      </c>
      <c r="C829" s="13">
        <v>10.717</v>
      </c>
      <c r="D829" s="13">
        <v>10.717</v>
      </c>
      <c r="E829" s="13">
        <v>10.717</v>
      </c>
      <c r="F829" s="15">
        <v>0.0014</v>
      </c>
    </row>
    <row r="830" spans="1:6">
      <c r="A830" s="14">
        <v>44026</v>
      </c>
      <c r="B830" s="13">
        <v>10.702</v>
      </c>
      <c r="C830" s="13">
        <v>10.702</v>
      </c>
      <c r="D830" s="13">
        <v>10.702</v>
      </c>
      <c r="E830" s="13">
        <v>10.702</v>
      </c>
      <c r="F830" s="15">
        <v>0.0011</v>
      </c>
    </row>
    <row r="831" spans="1:6">
      <c r="A831" s="14">
        <v>44025</v>
      </c>
      <c r="B831" s="13">
        <v>10.69</v>
      </c>
      <c r="C831" s="13">
        <v>10.69</v>
      </c>
      <c r="D831" s="13">
        <v>10.69</v>
      </c>
      <c r="E831" s="13">
        <v>10.69</v>
      </c>
      <c r="F831" s="15">
        <v>-0.0006</v>
      </c>
    </row>
    <row r="832" spans="1:6">
      <c r="A832" s="14">
        <v>44022</v>
      </c>
      <c r="B832" s="13">
        <v>10.696</v>
      </c>
      <c r="C832" s="13">
        <v>10.696</v>
      </c>
      <c r="D832" s="13">
        <v>10.696</v>
      </c>
      <c r="E832" s="13">
        <v>10.696</v>
      </c>
      <c r="F832" s="15">
        <v>0.0011</v>
      </c>
    </row>
    <row r="833" spans="1:6">
      <c r="A833" s="14">
        <v>44021</v>
      </c>
      <c r="B833" s="13">
        <v>10.684</v>
      </c>
      <c r="C833" s="13">
        <v>10.684</v>
      </c>
      <c r="D833" s="13">
        <v>10.684</v>
      </c>
      <c r="E833" s="13">
        <v>10.684</v>
      </c>
      <c r="F833" s="15">
        <v>0</v>
      </c>
    </row>
    <row r="834" spans="1:6">
      <c r="A834" s="14">
        <v>44020</v>
      </c>
      <c r="B834" s="13">
        <v>10.684</v>
      </c>
      <c r="C834" s="13">
        <v>10.684</v>
      </c>
      <c r="D834" s="13">
        <v>10.684</v>
      </c>
      <c r="E834" s="13">
        <v>10.684</v>
      </c>
      <c r="F834" s="15">
        <v>-0.0015</v>
      </c>
    </row>
    <row r="835" spans="1:6">
      <c r="A835" s="14">
        <v>44019</v>
      </c>
      <c r="B835" s="13">
        <v>10.7</v>
      </c>
      <c r="C835" s="13">
        <v>10.7</v>
      </c>
      <c r="D835" s="13">
        <v>10.7</v>
      </c>
      <c r="E835" s="13">
        <v>10.7</v>
      </c>
      <c r="F835" s="15">
        <v>-0.0006</v>
      </c>
    </row>
    <row r="836" spans="1:6">
      <c r="A836" s="14">
        <v>44015</v>
      </c>
      <c r="B836" s="13">
        <v>10.706</v>
      </c>
      <c r="C836" s="13">
        <v>10.706</v>
      </c>
      <c r="D836" s="13">
        <v>10.706</v>
      </c>
      <c r="E836" s="13">
        <v>10.706</v>
      </c>
      <c r="F836" s="15">
        <v>0.001</v>
      </c>
    </row>
    <row r="837" spans="1:6">
      <c r="A837" s="14">
        <v>44014</v>
      </c>
      <c r="B837" s="13">
        <v>10.695</v>
      </c>
      <c r="C837" s="13">
        <v>10.695</v>
      </c>
      <c r="D837" s="13">
        <v>10.695</v>
      </c>
      <c r="E837" s="13">
        <v>10.695</v>
      </c>
      <c r="F837" s="15">
        <v>0.0003</v>
      </c>
    </row>
    <row r="838" spans="1:6">
      <c r="A838" s="14">
        <v>44013</v>
      </c>
      <c r="B838" s="13">
        <v>10.692</v>
      </c>
      <c r="C838" s="13">
        <v>10.692</v>
      </c>
      <c r="D838" s="13">
        <v>10.692</v>
      </c>
      <c r="E838" s="13">
        <v>10.692</v>
      </c>
      <c r="F838" s="15">
        <v>0.0007</v>
      </c>
    </row>
    <row r="839" spans="1:6">
      <c r="A839" s="14">
        <v>44012</v>
      </c>
      <c r="B839" s="13">
        <v>10.684</v>
      </c>
      <c r="C839" s="13">
        <v>10.684</v>
      </c>
      <c r="D839" s="13">
        <v>10.684</v>
      </c>
      <c r="E839" s="13">
        <v>10.684</v>
      </c>
      <c r="F839" s="15">
        <v>-0.0063</v>
      </c>
    </row>
    <row r="840" spans="1:6">
      <c r="A840" s="14">
        <v>44011</v>
      </c>
      <c r="B840" s="13">
        <v>10.752</v>
      </c>
      <c r="C840" s="13">
        <v>10.752</v>
      </c>
      <c r="D840" s="13">
        <v>10.752</v>
      </c>
      <c r="E840" s="13">
        <v>10.752</v>
      </c>
      <c r="F840" s="15">
        <v>-0.001</v>
      </c>
    </row>
    <row r="841" spans="1:6">
      <c r="A841" s="14">
        <v>44008</v>
      </c>
      <c r="B841" s="13">
        <v>10.763</v>
      </c>
      <c r="C841" s="13">
        <v>10.763</v>
      </c>
      <c r="D841" s="13">
        <v>10.763</v>
      </c>
      <c r="E841" s="13">
        <v>10.763</v>
      </c>
      <c r="F841" s="15">
        <v>-0.0017</v>
      </c>
    </row>
    <row r="842" spans="1:6">
      <c r="A842" s="14">
        <v>44007</v>
      </c>
      <c r="B842" s="13">
        <v>10.781</v>
      </c>
      <c r="C842" s="13">
        <v>10.781</v>
      </c>
      <c r="D842" s="13">
        <v>10.781</v>
      </c>
      <c r="E842" s="13">
        <v>10.781</v>
      </c>
      <c r="F842" s="15">
        <v>0</v>
      </c>
    </row>
    <row r="843" spans="1:6">
      <c r="A843" s="14">
        <v>44006</v>
      </c>
      <c r="B843" s="13">
        <v>10.781</v>
      </c>
      <c r="C843" s="13">
        <v>10.781</v>
      </c>
      <c r="D843" s="13">
        <v>10.781</v>
      </c>
      <c r="E843" s="13">
        <v>10.781</v>
      </c>
      <c r="F843" s="15">
        <v>-0.0019</v>
      </c>
    </row>
    <row r="844" spans="1:6">
      <c r="A844" s="14">
        <v>44005</v>
      </c>
      <c r="B844" s="13">
        <v>10.802</v>
      </c>
      <c r="C844" s="13">
        <v>10.802</v>
      </c>
      <c r="D844" s="13">
        <v>10.802</v>
      </c>
      <c r="E844" s="13">
        <v>10.802</v>
      </c>
      <c r="F844" s="15">
        <v>0.0017</v>
      </c>
    </row>
    <row r="845" spans="1:6">
      <c r="A845" s="14">
        <v>44004</v>
      </c>
      <c r="B845" s="13">
        <v>10.784</v>
      </c>
      <c r="C845" s="13">
        <v>10.784</v>
      </c>
      <c r="D845" s="13">
        <v>10.784</v>
      </c>
      <c r="E845" s="13">
        <v>10.784</v>
      </c>
      <c r="F845" s="15">
        <v>0.0002</v>
      </c>
    </row>
    <row r="846" spans="1:6">
      <c r="A846" s="14">
        <v>44001</v>
      </c>
      <c r="B846" s="13">
        <v>10.782</v>
      </c>
      <c r="C846" s="13">
        <v>10.782</v>
      </c>
      <c r="D846" s="13">
        <v>10.782</v>
      </c>
      <c r="E846" s="13">
        <v>10.782</v>
      </c>
      <c r="F846" s="15">
        <v>-0.0018</v>
      </c>
    </row>
    <row r="847" spans="1:6">
      <c r="A847" s="14">
        <v>44000</v>
      </c>
      <c r="B847" s="13">
        <v>10.801</v>
      </c>
      <c r="C847" s="13">
        <v>10.801</v>
      </c>
      <c r="D847" s="13">
        <v>10.801</v>
      </c>
      <c r="E847" s="13">
        <v>10.801</v>
      </c>
      <c r="F847" s="15">
        <v>0.0033</v>
      </c>
    </row>
    <row r="848" spans="1:6">
      <c r="A848" s="14">
        <v>43999</v>
      </c>
      <c r="B848" s="13">
        <v>10.765</v>
      </c>
      <c r="C848" s="13">
        <v>10.765</v>
      </c>
      <c r="D848" s="13">
        <v>10.765</v>
      </c>
      <c r="E848" s="13">
        <v>10.765</v>
      </c>
      <c r="F848" s="15">
        <v>0.003</v>
      </c>
    </row>
    <row r="849" spans="1:6">
      <c r="A849" s="14">
        <v>43998</v>
      </c>
      <c r="B849" s="13">
        <v>10.733</v>
      </c>
      <c r="C849" s="13">
        <v>10.733</v>
      </c>
      <c r="D849" s="13">
        <v>10.733</v>
      </c>
      <c r="E849" s="13">
        <v>10.733</v>
      </c>
      <c r="F849" s="15">
        <v>0</v>
      </c>
    </row>
    <row r="850" spans="1:6">
      <c r="A850" s="14">
        <v>43997</v>
      </c>
      <c r="B850" s="13">
        <v>10.733</v>
      </c>
      <c r="C850" s="13">
        <v>10.733</v>
      </c>
      <c r="D850" s="13">
        <v>10.733</v>
      </c>
      <c r="E850" s="13">
        <v>10.733</v>
      </c>
      <c r="F850" s="15">
        <v>0.0025</v>
      </c>
    </row>
    <row r="851" spans="1:6">
      <c r="A851" s="14">
        <v>43994</v>
      </c>
      <c r="B851" s="13">
        <v>10.706</v>
      </c>
      <c r="C851" s="13">
        <v>10.706</v>
      </c>
      <c r="D851" s="13">
        <v>10.706</v>
      </c>
      <c r="E851" s="13">
        <v>10.706</v>
      </c>
      <c r="F851" s="15">
        <v>0.0008</v>
      </c>
    </row>
    <row r="852" spans="1:6">
      <c r="A852" s="14">
        <v>43993</v>
      </c>
      <c r="B852" s="13">
        <v>10.697</v>
      </c>
      <c r="C852" s="13">
        <v>10.697</v>
      </c>
      <c r="D852" s="13">
        <v>10.697</v>
      </c>
      <c r="E852" s="13">
        <v>10.697</v>
      </c>
      <c r="F852" s="15">
        <v>0.0009</v>
      </c>
    </row>
    <row r="853" spans="1:6">
      <c r="A853" s="14">
        <v>43992</v>
      </c>
      <c r="B853" s="13">
        <v>10.687</v>
      </c>
      <c r="C853" s="13">
        <v>10.687</v>
      </c>
      <c r="D853" s="13">
        <v>10.687</v>
      </c>
      <c r="E853" s="13">
        <v>10.687</v>
      </c>
      <c r="F853" s="15">
        <v>0.001</v>
      </c>
    </row>
    <row r="854" spans="1:6">
      <c r="A854" s="14">
        <v>43991</v>
      </c>
      <c r="B854" s="13">
        <v>10.676</v>
      </c>
      <c r="C854" s="13">
        <v>10.676</v>
      </c>
      <c r="D854" s="13">
        <v>10.676</v>
      </c>
      <c r="E854" s="13">
        <v>10.676</v>
      </c>
      <c r="F854" s="15">
        <v>0.0008</v>
      </c>
    </row>
    <row r="855" spans="1:6">
      <c r="A855" s="14">
        <v>43990</v>
      </c>
      <c r="B855" s="13">
        <v>10.667</v>
      </c>
      <c r="C855" s="13">
        <v>10.667</v>
      </c>
      <c r="D855" s="13">
        <v>10.667</v>
      </c>
      <c r="E855" s="13">
        <v>10.667</v>
      </c>
      <c r="F855" s="15">
        <v>-0.0012</v>
      </c>
    </row>
    <row r="856" spans="1:6">
      <c r="A856" s="14">
        <v>43987</v>
      </c>
      <c r="B856" s="13">
        <v>10.68</v>
      </c>
      <c r="C856" s="13">
        <v>10.68</v>
      </c>
      <c r="D856" s="13">
        <v>10.68</v>
      </c>
      <c r="E856" s="13">
        <v>10.68</v>
      </c>
      <c r="F856" s="15">
        <v>0.0012</v>
      </c>
    </row>
    <row r="857" spans="1:6">
      <c r="A857" s="14">
        <v>43986</v>
      </c>
      <c r="B857" s="13">
        <v>10.667</v>
      </c>
      <c r="C857" s="13">
        <v>10.667</v>
      </c>
      <c r="D857" s="13">
        <v>10.667</v>
      </c>
      <c r="E857" s="13">
        <v>10.667</v>
      </c>
      <c r="F857" s="15">
        <v>-0.0007</v>
      </c>
    </row>
    <row r="858" spans="1:6">
      <c r="A858" s="14">
        <v>43985</v>
      </c>
      <c r="B858" s="13">
        <v>10.675</v>
      </c>
      <c r="C858" s="13">
        <v>10.675</v>
      </c>
      <c r="D858" s="13">
        <v>10.675</v>
      </c>
      <c r="E858" s="13">
        <v>10.675</v>
      </c>
      <c r="F858" s="15">
        <v>0.0045</v>
      </c>
    </row>
    <row r="859" spans="1:6">
      <c r="A859" s="14">
        <v>43984</v>
      </c>
      <c r="B859" s="13">
        <v>10.627</v>
      </c>
      <c r="C859" s="13">
        <v>10.627</v>
      </c>
      <c r="D859" s="13">
        <v>10.627</v>
      </c>
      <c r="E859" s="13">
        <v>10.627</v>
      </c>
      <c r="F859" s="15">
        <v>0.005</v>
      </c>
    </row>
    <row r="860" spans="1:6">
      <c r="A860" s="14">
        <v>43983</v>
      </c>
      <c r="B860" s="13">
        <v>10.574</v>
      </c>
      <c r="C860" s="13">
        <v>10.574</v>
      </c>
      <c r="D860" s="13">
        <v>10.574</v>
      </c>
      <c r="E860" s="13">
        <v>10.574</v>
      </c>
      <c r="F860" s="15">
        <v>-0.0012</v>
      </c>
    </row>
    <row r="861" spans="1:6">
      <c r="A861" s="14">
        <v>43980</v>
      </c>
      <c r="B861" s="13">
        <v>10.587</v>
      </c>
      <c r="C861" s="13">
        <v>10.587</v>
      </c>
      <c r="D861" s="13">
        <v>10.587</v>
      </c>
      <c r="E861" s="13">
        <v>10.587</v>
      </c>
      <c r="F861" s="15">
        <v>0.0044</v>
      </c>
    </row>
    <row r="862" spans="1:6">
      <c r="A862" s="14">
        <v>43979</v>
      </c>
      <c r="B862" s="13">
        <v>10.541</v>
      </c>
      <c r="C862" s="13">
        <v>10.541</v>
      </c>
      <c r="D862" s="13">
        <v>10.541</v>
      </c>
      <c r="E862" s="13">
        <v>10.541</v>
      </c>
      <c r="F862" s="15">
        <v>-0.0032</v>
      </c>
    </row>
    <row r="863" spans="1:6">
      <c r="A863" s="14">
        <v>43978</v>
      </c>
      <c r="B863" s="13">
        <v>10.575</v>
      </c>
      <c r="C863" s="13">
        <v>10.575</v>
      </c>
      <c r="D863" s="13">
        <v>10.575</v>
      </c>
      <c r="E863" s="13">
        <v>10.575</v>
      </c>
      <c r="F863" s="15">
        <v>-0.0003</v>
      </c>
    </row>
    <row r="864" spans="1:6">
      <c r="A864" s="14">
        <v>43977</v>
      </c>
      <c r="B864" s="13">
        <v>10.578</v>
      </c>
      <c r="C864" s="13">
        <v>10.578</v>
      </c>
      <c r="D864" s="13">
        <v>10.578</v>
      </c>
      <c r="E864" s="13">
        <v>10.578</v>
      </c>
      <c r="F864" s="15">
        <v>-0.0003</v>
      </c>
    </row>
    <row r="865" spans="1:6">
      <c r="A865" s="14">
        <v>43976</v>
      </c>
      <c r="B865" s="13">
        <v>10.581</v>
      </c>
      <c r="C865" s="13">
        <v>10.581</v>
      </c>
      <c r="D865" s="13">
        <v>10.581</v>
      </c>
      <c r="E865" s="13">
        <v>10.581</v>
      </c>
      <c r="F865" s="15">
        <v>-0.0001</v>
      </c>
    </row>
    <row r="866" spans="1:6">
      <c r="A866" s="14">
        <v>43973</v>
      </c>
      <c r="B866" s="13">
        <v>10.582</v>
      </c>
      <c r="C866" s="13">
        <v>10.582</v>
      </c>
      <c r="D866" s="13">
        <v>10.582</v>
      </c>
      <c r="E866" s="13">
        <v>10.582</v>
      </c>
      <c r="F866" s="15">
        <v>0.0071</v>
      </c>
    </row>
    <row r="867" spans="1:6">
      <c r="A867" s="14">
        <v>43972</v>
      </c>
      <c r="B867" s="13">
        <v>10.507</v>
      </c>
      <c r="C867" s="13">
        <v>10.507</v>
      </c>
      <c r="D867" s="13">
        <v>10.507</v>
      </c>
      <c r="E867" s="13">
        <v>10.507</v>
      </c>
      <c r="F867" s="15">
        <v>0</v>
      </c>
    </row>
    <row r="868" spans="1:6">
      <c r="A868" s="14">
        <v>43971</v>
      </c>
      <c r="B868" s="13">
        <v>10.507</v>
      </c>
      <c r="C868" s="13">
        <v>10.507</v>
      </c>
      <c r="D868" s="13">
        <v>10.507</v>
      </c>
      <c r="E868" s="13">
        <v>10.507</v>
      </c>
      <c r="F868" s="15">
        <v>-0.0004</v>
      </c>
    </row>
    <row r="869" spans="1:6">
      <c r="A869" s="14">
        <v>43970</v>
      </c>
      <c r="B869" s="13">
        <v>10.511</v>
      </c>
      <c r="C869" s="13">
        <v>10.511</v>
      </c>
      <c r="D869" s="13">
        <v>10.511</v>
      </c>
      <c r="E869" s="13">
        <v>10.511</v>
      </c>
      <c r="F869" s="15">
        <v>-0.0061</v>
      </c>
    </row>
    <row r="870" spans="1:6">
      <c r="A870" s="14">
        <v>43969</v>
      </c>
      <c r="B870" s="13">
        <v>10.576</v>
      </c>
      <c r="C870" s="13">
        <v>10.576</v>
      </c>
      <c r="D870" s="13">
        <v>10.576</v>
      </c>
      <c r="E870" s="13">
        <v>10.576</v>
      </c>
      <c r="F870" s="15">
        <v>-0.0025</v>
      </c>
    </row>
    <row r="871" spans="1:6">
      <c r="A871" s="14">
        <v>43966</v>
      </c>
      <c r="B871" s="13">
        <v>10.603</v>
      </c>
      <c r="C871" s="13">
        <v>10.603</v>
      </c>
      <c r="D871" s="13">
        <v>10.603</v>
      </c>
      <c r="E871" s="13">
        <v>10.603</v>
      </c>
      <c r="F871" s="15">
        <v>-0.0103</v>
      </c>
    </row>
    <row r="872" spans="1:6">
      <c r="A872" s="14">
        <v>43965</v>
      </c>
      <c r="B872" s="13">
        <v>10.713</v>
      </c>
      <c r="C872" s="13">
        <v>10.713</v>
      </c>
      <c r="D872" s="13">
        <v>10.713</v>
      </c>
      <c r="E872" s="13">
        <v>10.713</v>
      </c>
      <c r="F872" s="15">
        <v>0.0012</v>
      </c>
    </row>
    <row r="873" spans="1:6">
      <c r="A873" s="14">
        <v>43964</v>
      </c>
      <c r="B873" s="13">
        <v>10.7</v>
      </c>
      <c r="C873" s="13">
        <v>10.7</v>
      </c>
      <c r="D873" s="13">
        <v>10.7</v>
      </c>
      <c r="E873" s="13">
        <v>10.7</v>
      </c>
      <c r="F873" s="15">
        <v>-0.0001</v>
      </c>
    </row>
    <row r="874" spans="1:6">
      <c r="A874" s="14">
        <v>43963</v>
      </c>
      <c r="B874" s="13">
        <v>10.701</v>
      </c>
      <c r="C874" s="13">
        <v>10.701</v>
      </c>
      <c r="D874" s="13">
        <v>10.701</v>
      </c>
      <c r="E874" s="13">
        <v>10.701</v>
      </c>
      <c r="F874" s="15">
        <v>-0.0004</v>
      </c>
    </row>
    <row r="875" spans="1:6">
      <c r="A875" s="14">
        <v>43962</v>
      </c>
      <c r="B875" s="13">
        <v>10.705</v>
      </c>
      <c r="C875" s="13">
        <v>10.705</v>
      </c>
      <c r="D875" s="13">
        <v>10.705</v>
      </c>
      <c r="E875" s="13">
        <v>10.705</v>
      </c>
      <c r="F875" s="15">
        <v>0.0013</v>
      </c>
    </row>
    <row r="876" spans="1:6">
      <c r="A876" s="14">
        <v>43957</v>
      </c>
      <c r="B876" s="13">
        <v>10.691</v>
      </c>
      <c r="C876" s="13">
        <v>10.691</v>
      </c>
      <c r="D876" s="13">
        <v>10.691</v>
      </c>
      <c r="E876" s="13">
        <v>10.691</v>
      </c>
      <c r="F876" s="15">
        <v>-0.0006</v>
      </c>
    </row>
    <row r="877" spans="1:6">
      <c r="A877" s="14">
        <v>43956</v>
      </c>
      <c r="B877" s="13">
        <v>10.697</v>
      </c>
      <c r="C877" s="13">
        <v>10.697</v>
      </c>
      <c r="D877" s="13">
        <v>10.697</v>
      </c>
      <c r="E877" s="13">
        <v>10.697</v>
      </c>
      <c r="F877" s="15">
        <v>0.0002</v>
      </c>
    </row>
    <row r="878" spans="1:6">
      <c r="A878" s="14">
        <v>43955</v>
      </c>
      <c r="B878" s="13">
        <v>10.695</v>
      </c>
      <c r="C878" s="13">
        <v>10.695</v>
      </c>
      <c r="D878" s="13">
        <v>10.695</v>
      </c>
      <c r="E878" s="13">
        <v>10.695</v>
      </c>
      <c r="F878" s="15">
        <v>-0.0023</v>
      </c>
    </row>
    <row r="879" spans="1:6">
      <c r="A879" s="14">
        <v>43951</v>
      </c>
      <c r="B879" s="13">
        <v>10.72</v>
      </c>
      <c r="C879" s="13">
        <v>10.72</v>
      </c>
      <c r="D879" s="13">
        <v>10.72</v>
      </c>
      <c r="E879" s="13">
        <v>10.72</v>
      </c>
      <c r="F879" s="15">
        <v>0.0033</v>
      </c>
    </row>
    <row r="880" spans="1:6">
      <c r="A880" s="14">
        <v>43950</v>
      </c>
      <c r="B880" s="13">
        <v>10.685</v>
      </c>
      <c r="C880" s="13">
        <v>10.685</v>
      </c>
      <c r="D880" s="13">
        <v>10.685</v>
      </c>
      <c r="E880" s="13">
        <v>10.685</v>
      </c>
      <c r="F880" s="15">
        <v>0.0033</v>
      </c>
    </row>
    <row r="881" spans="1:6">
      <c r="A881" s="14">
        <v>43949</v>
      </c>
      <c r="B881" s="13">
        <v>10.65</v>
      </c>
      <c r="C881" s="13">
        <v>10.65</v>
      </c>
      <c r="D881" s="13">
        <v>10.65</v>
      </c>
      <c r="E881" s="13">
        <v>10.65</v>
      </c>
      <c r="F881" s="15">
        <v>-0.0009</v>
      </c>
    </row>
    <row r="882" spans="1:6">
      <c r="A882" s="14">
        <v>43948</v>
      </c>
      <c r="B882" s="13">
        <v>10.66</v>
      </c>
      <c r="C882" s="13">
        <v>10.66</v>
      </c>
      <c r="D882" s="13">
        <v>10.66</v>
      </c>
      <c r="E882" s="13">
        <v>10.66</v>
      </c>
      <c r="F882" s="15">
        <v>0.0017</v>
      </c>
    </row>
    <row r="883" spans="1:6">
      <c r="A883" s="14">
        <v>43945</v>
      </c>
      <c r="B883" s="13">
        <v>10.642</v>
      </c>
      <c r="C883" s="13">
        <v>10.642</v>
      </c>
      <c r="D883" s="13">
        <v>10.642</v>
      </c>
      <c r="E883" s="13">
        <v>10.642</v>
      </c>
      <c r="F883" s="15">
        <v>0.0004</v>
      </c>
    </row>
    <row r="884" spans="1:6">
      <c r="A884" s="14">
        <v>43944</v>
      </c>
      <c r="B884" s="13">
        <v>10.638</v>
      </c>
      <c r="C884" s="13">
        <v>10.638</v>
      </c>
      <c r="D884" s="13">
        <v>10.638</v>
      </c>
      <c r="E884" s="13">
        <v>10.638</v>
      </c>
      <c r="F884" s="15">
        <v>0.0047</v>
      </c>
    </row>
    <row r="885" spans="1:6">
      <c r="A885" s="14">
        <v>43943</v>
      </c>
      <c r="B885" s="13">
        <v>10.588</v>
      </c>
      <c r="C885" s="13">
        <v>10.588</v>
      </c>
      <c r="D885" s="13">
        <v>10.588</v>
      </c>
      <c r="E885" s="13">
        <v>10.588</v>
      </c>
      <c r="F885" s="15">
        <v>-0.0011</v>
      </c>
    </row>
    <row r="886" spans="1:6">
      <c r="A886" s="14">
        <v>43942</v>
      </c>
      <c r="B886" s="13">
        <v>10.6</v>
      </c>
      <c r="C886" s="13">
        <v>10.6</v>
      </c>
      <c r="D886" s="13">
        <v>10.6</v>
      </c>
      <c r="E886" s="13">
        <v>10.6</v>
      </c>
      <c r="F886" s="15">
        <v>0.0037</v>
      </c>
    </row>
    <row r="887" spans="1:6">
      <c r="A887" s="14">
        <v>43941</v>
      </c>
      <c r="B887" s="13">
        <v>10.561</v>
      </c>
      <c r="C887" s="13">
        <v>10.561</v>
      </c>
      <c r="D887" s="13">
        <v>10.561</v>
      </c>
      <c r="E887" s="13">
        <v>10.561</v>
      </c>
      <c r="F887" s="15">
        <v>-0.0084</v>
      </c>
    </row>
    <row r="888" spans="1:6">
      <c r="A888" s="14">
        <v>43938</v>
      </c>
      <c r="B888" s="13">
        <v>10.651</v>
      </c>
      <c r="C888" s="13">
        <v>10.651</v>
      </c>
      <c r="D888" s="13">
        <v>10.651</v>
      </c>
      <c r="E888" s="13">
        <v>10.651</v>
      </c>
      <c r="F888" s="15">
        <v>0.0007</v>
      </c>
    </row>
    <row r="889" spans="1:6">
      <c r="A889" s="14">
        <v>43937</v>
      </c>
      <c r="B889" s="13">
        <v>10.644</v>
      </c>
      <c r="C889" s="13">
        <v>10.644</v>
      </c>
      <c r="D889" s="13">
        <v>10.644</v>
      </c>
      <c r="E889" s="13">
        <v>10.644</v>
      </c>
      <c r="F889" s="15">
        <v>-0.0011</v>
      </c>
    </row>
    <row r="890" spans="1:6">
      <c r="A890" s="14">
        <v>43936</v>
      </c>
      <c r="B890" s="13">
        <v>10.656</v>
      </c>
      <c r="C890" s="13">
        <v>10.656</v>
      </c>
      <c r="D890" s="13">
        <v>10.656</v>
      </c>
      <c r="E890" s="13">
        <v>10.656</v>
      </c>
      <c r="F890" s="15">
        <v>0.0156</v>
      </c>
    </row>
    <row r="891" spans="1:6">
      <c r="A891" s="14">
        <v>43935</v>
      </c>
      <c r="B891" s="13">
        <v>10.492</v>
      </c>
      <c r="C891" s="13">
        <v>10.492</v>
      </c>
      <c r="D891" s="13">
        <v>10.492</v>
      </c>
      <c r="E891" s="13">
        <v>10.492</v>
      </c>
      <c r="F891" s="15">
        <v>0.0007</v>
      </c>
    </row>
    <row r="892" spans="1:6">
      <c r="A892" s="14">
        <v>43934</v>
      </c>
      <c r="B892" s="13">
        <v>10.485</v>
      </c>
      <c r="C892" s="13">
        <v>10.485</v>
      </c>
      <c r="D892" s="13">
        <v>10.485</v>
      </c>
      <c r="E892" s="13">
        <v>10.485</v>
      </c>
      <c r="F892" s="15">
        <v>-0.005</v>
      </c>
    </row>
    <row r="893" spans="1:6">
      <c r="A893" s="14">
        <v>43931</v>
      </c>
      <c r="B893" s="13">
        <v>10.538</v>
      </c>
      <c r="C893" s="13">
        <v>10.538</v>
      </c>
      <c r="D893" s="13">
        <v>10.538</v>
      </c>
      <c r="E893" s="13">
        <v>10.538</v>
      </c>
      <c r="F893" s="15">
        <v>-0.0002</v>
      </c>
    </row>
    <row r="894" spans="1:6">
      <c r="A894" s="14">
        <v>43930</v>
      </c>
      <c r="B894" s="13">
        <v>10.54</v>
      </c>
      <c r="C894" s="13">
        <v>10.54</v>
      </c>
      <c r="D894" s="13">
        <v>10.54</v>
      </c>
      <c r="E894" s="13">
        <v>10.54</v>
      </c>
      <c r="F894" s="15">
        <v>0.0079</v>
      </c>
    </row>
    <row r="895" spans="1:6">
      <c r="A895" s="14">
        <v>43929</v>
      </c>
      <c r="B895" s="13">
        <v>10.457</v>
      </c>
      <c r="C895" s="13">
        <v>10.457</v>
      </c>
      <c r="D895" s="13">
        <v>10.457</v>
      </c>
      <c r="E895" s="13">
        <v>10.457</v>
      </c>
      <c r="F895" s="15">
        <v>-0.0038</v>
      </c>
    </row>
    <row r="896" spans="1:6">
      <c r="A896" s="14">
        <v>43928</v>
      </c>
      <c r="B896" s="13">
        <v>10.497</v>
      </c>
      <c r="C896" s="13">
        <v>10.497</v>
      </c>
      <c r="D896" s="13">
        <v>10.497</v>
      </c>
      <c r="E896" s="13">
        <v>10.497</v>
      </c>
      <c r="F896" s="15">
        <v>-0.0118</v>
      </c>
    </row>
    <row r="897" spans="1:6">
      <c r="A897" s="14">
        <v>43927</v>
      </c>
      <c r="B897" s="13">
        <v>10.622</v>
      </c>
      <c r="C897" s="13">
        <v>10.622</v>
      </c>
      <c r="D897" s="13">
        <v>10.622</v>
      </c>
      <c r="E897" s="13">
        <v>10.622</v>
      </c>
      <c r="F897" s="15">
        <v>-0.0336</v>
      </c>
    </row>
    <row r="898" spans="1:6">
      <c r="A898" s="14">
        <v>43924</v>
      </c>
      <c r="B898" s="13">
        <v>10.991</v>
      </c>
      <c r="C898" s="13">
        <v>10.991</v>
      </c>
      <c r="D898" s="13">
        <v>10.991</v>
      </c>
      <c r="E898" s="13">
        <v>10.991</v>
      </c>
      <c r="F898" s="15">
        <v>-0.0034</v>
      </c>
    </row>
    <row r="899" spans="1:6">
      <c r="A899" s="14">
        <v>43923</v>
      </c>
      <c r="B899" s="13">
        <v>11.028</v>
      </c>
      <c r="C899" s="13">
        <v>11.028</v>
      </c>
      <c r="D899" s="13">
        <v>11.028</v>
      </c>
      <c r="E899" s="13">
        <v>11.028</v>
      </c>
      <c r="F899" s="15">
        <v>0.019</v>
      </c>
    </row>
    <row r="900" spans="1:6">
      <c r="A900" s="14">
        <v>43922</v>
      </c>
      <c r="B900" s="13">
        <v>10.822</v>
      </c>
      <c r="C900" s="13">
        <v>10.822</v>
      </c>
      <c r="D900" s="13">
        <v>10.822</v>
      </c>
      <c r="E900" s="13">
        <v>10.822</v>
      </c>
      <c r="F900" s="15">
        <v>0.0017</v>
      </c>
    </row>
    <row r="901" spans="1:6">
      <c r="A901" s="14">
        <v>43921</v>
      </c>
      <c r="B901" s="13">
        <v>10.804</v>
      </c>
      <c r="C901" s="13">
        <v>10.804</v>
      </c>
      <c r="D901" s="13">
        <v>10.804</v>
      </c>
      <c r="E901" s="13">
        <v>10.804</v>
      </c>
      <c r="F901" s="15">
        <v>0.0268</v>
      </c>
    </row>
    <row r="902" spans="1:6">
      <c r="A902" s="14">
        <v>43920</v>
      </c>
      <c r="B902" s="13">
        <v>10.522</v>
      </c>
      <c r="C902" s="13">
        <v>10.522</v>
      </c>
      <c r="D902" s="13">
        <v>10.522</v>
      </c>
      <c r="E902" s="13">
        <v>10.522</v>
      </c>
      <c r="F902" s="15">
        <v>-0.0054</v>
      </c>
    </row>
    <row r="903" spans="1:6">
      <c r="A903" s="14">
        <v>43917</v>
      </c>
      <c r="B903" s="13">
        <v>10.579</v>
      </c>
      <c r="C903" s="13">
        <v>10.579</v>
      </c>
      <c r="D903" s="13">
        <v>10.579</v>
      </c>
      <c r="E903" s="13">
        <v>10.579</v>
      </c>
      <c r="F903" s="15">
        <v>-0.001</v>
      </c>
    </row>
    <row r="904" spans="1:6">
      <c r="A904" s="14">
        <v>43916</v>
      </c>
      <c r="B904" s="13">
        <v>10.59</v>
      </c>
      <c r="C904" s="13">
        <v>10.59</v>
      </c>
      <c r="D904" s="13">
        <v>10.59</v>
      </c>
      <c r="E904" s="13">
        <v>10.59</v>
      </c>
      <c r="F904" s="15">
        <v>-0.0002</v>
      </c>
    </row>
    <row r="905" spans="1:6">
      <c r="A905" s="14">
        <v>43910</v>
      </c>
      <c r="B905" s="13">
        <v>10.592</v>
      </c>
      <c r="C905" s="13">
        <v>10.592</v>
      </c>
      <c r="D905" s="13">
        <v>10.592</v>
      </c>
      <c r="E905" s="13">
        <v>10.592</v>
      </c>
      <c r="F905" s="15">
        <v>0.0265</v>
      </c>
    </row>
    <row r="906" spans="1:6">
      <c r="A906" s="14">
        <v>43909</v>
      </c>
      <c r="B906" s="13">
        <v>10.319</v>
      </c>
      <c r="C906" s="13">
        <v>10.319</v>
      </c>
      <c r="D906" s="13">
        <v>10.319</v>
      </c>
      <c r="E906" s="13">
        <v>10.319</v>
      </c>
      <c r="F906" s="15">
        <v>-0.0001</v>
      </c>
    </row>
    <row r="907" spans="1:6">
      <c r="A907" s="14">
        <v>43908</v>
      </c>
      <c r="B907" s="13">
        <v>10.32</v>
      </c>
      <c r="C907" s="13">
        <v>10.32</v>
      </c>
      <c r="D907" s="13">
        <v>10.32</v>
      </c>
      <c r="E907" s="13">
        <v>10.32</v>
      </c>
      <c r="F907" s="15">
        <v>0</v>
      </c>
    </row>
    <row r="908" spans="1:6">
      <c r="A908" s="14">
        <v>43907</v>
      </c>
      <c r="B908" s="13">
        <v>10.32</v>
      </c>
      <c r="C908" s="13">
        <v>10.32</v>
      </c>
      <c r="D908" s="13">
        <v>10.32</v>
      </c>
      <c r="E908" s="13">
        <v>10.32</v>
      </c>
      <c r="F908" s="15">
        <v>0.015</v>
      </c>
    </row>
    <row r="909" spans="1:6">
      <c r="A909" s="14">
        <v>43906</v>
      </c>
      <c r="B909" s="13">
        <v>10.167</v>
      </c>
      <c r="C909" s="13">
        <v>10.167</v>
      </c>
      <c r="D909" s="13">
        <v>10.167</v>
      </c>
      <c r="E909" s="13">
        <v>10.167</v>
      </c>
      <c r="F909" s="15">
        <v>0.0259</v>
      </c>
    </row>
    <row r="910" spans="1:6">
      <c r="A910" s="14">
        <v>43903</v>
      </c>
      <c r="B910" s="13">
        <v>9.91</v>
      </c>
      <c r="C910" s="13">
        <v>9.91</v>
      </c>
      <c r="D910" s="13">
        <v>9.91</v>
      </c>
      <c r="E910" s="13">
        <v>9.91</v>
      </c>
      <c r="F910" s="15">
        <v>-0.0002</v>
      </c>
    </row>
    <row r="911" spans="1:6">
      <c r="A911" s="14">
        <v>43902</v>
      </c>
      <c r="B911" s="13">
        <v>9.912</v>
      </c>
      <c r="C911" s="13">
        <v>9.912</v>
      </c>
      <c r="D911" s="13">
        <v>9.912</v>
      </c>
      <c r="E911" s="13">
        <v>9.912</v>
      </c>
      <c r="F911" s="15">
        <v>-0.0009</v>
      </c>
    </row>
    <row r="912" spans="1:6">
      <c r="A912" s="14">
        <v>43901</v>
      </c>
      <c r="B912" s="13">
        <v>9.921</v>
      </c>
      <c r="C912" s="13">
        <v>9.921</v>
      </c>
      <c r="D912" s="13">
        <v>9.921</v>
      </c>
      <c r="E912" s="13">
        <v>9.921</v>
      </c>
      <c r="F912" s="15">
        <v>0.03</v>
      </c>
    </row>
    <row r="913" spans="1:6">
      <c r="A913" s="14">
        <v>43900</v>
      </c>
      <c r="B913" s="13">
        <v>9.632</v>
      </c>
      <c r="C913" s="13">
        <v>9.632</v>
      </c>
      <c r="D913" s="13">
        <v>9.632</v>
      </c>
      <c r="E913" s="13">
        <v>9.632</v>
      </c>
      <c r="F913" s="15">
        <v>-0.0016</v>
      </c>
    </row>
    <row r="914" spans="1:6">
      <c r="A914" s="14">
        <v>43896</v>
      </c>
      <c r="B914" s="13">
        <v>9.647</v>
      </c>
      <c r="C914" s="13">
        <v>9.647</v>
      </c>
      <c r="D914" s="13">
        <v>9.647</v>
      </c>
      <c r="E914" s="13">
        <v>9.647</v>
      </c>
      <c r="F914" s="15">
        <v>0.0008</v>
      </c>
    </row>
    <row r="915" spans="1:6">
      <c r="A915" s="14">
        <v>43895</v>
      </c>
      <c r="B915" s="13">
        <v>9.639</v>
      </c>
      <c r="C915" s="13">
        <v>9.639</v>
      </c>
      <c r="D915" s="13">
        <v>9.639</v>
      </c>
      <c r="E915" s="13">
        <v>9.639</v>
      </c>
      <c r="F915" s="15">
        <v>-0.0056</v>
      </c>
    </row>
    <row r="916" spans="1:6">
      <c r="A916" s="14">
        <v>43894</v>
      </c>
      <c r="B916" s="13">
        <v>9.693</v>
      </c>
      <c r="C916" s="13">
        <v>9.693</v>
      </c>
      <c r="D916" s="13">
        <v>9.693</v>
      </c>
      <c r="E916" s="13">
        <v>9.693</v>
      </c>
      <c r="F916" s="15">
        <v>0.0009</v>
      </c>
    </row>
    <row r="917" spans="1:6">
      <c r="A917" s="14">
        <v>43893</v>
      </c>
      <c r="B917" s="13">
        <v>9.684</v>
      </c>
      <c r="C917" s="13">
        <v>9.684</v>
      </c>
      <c r="D917" s="13">
        <v>9.684</v>
      </c>
      <c r="E917" s="13">
        <v>9.684</v>
      </c>
      <c r="F917" s="15">
        <v>-0.0011</v>
      </c>
    </row>
    <row r="918" spans="1:6">
      <c r="A918" s="14">
        <v>43892</v>
      </c>
      <c r="B918" s="13">
        <v>9.695</v>
      </c>
      <c r="C918" s="13">
        <v>9.695</v>
      </c>
      <c r="D918" s="13">
        <v>9.695</v>
      </c>
      <c r="E918" s="13">
        <v>9.695</v>
      </c>
      <c r="F918" s="15">
        <v>0.0023</v>
      </c>
    </row>
    <row r="919" spans="1:6">
      <c r="A919" s="14">
        <v>43889</v>
      </c>
      <c r="B919" s="13">
        <v>9.673</v>
      </c>
      <c r="C919" s="13">
        <v>9.673</v>
      </c>
      <c r="D919" s="13">
        <v>9.673</v>
      </c>
      <c r="E919" s="13">
        <v>9.673</v>
      </c>
      <c r="F919" s="15">
        <v>0.0004</v>
      </c>
    </row>
    <row r="920" spans="1:6">
      <c r="A920" s="14">
        <v>43888</v>
      </c>
      <c r="B920" s="13">
        <v>9.669</v>
      </c>
      <c r="C920" s="13">
        <v>9.669</v>
      </c>
      <c r="D920" s="13">
        <v>9.669</v>
      </c>
      <c r="E920" s="13">
        <v>9.669</v>
      </c>
      <c r="F920" s="15">
        <v>0.0005</v>
      </c>
    </row>
    <row r="921" spans="1:6">
      <c r="A921" s="14">
        <v>43887</v>
      </c>
      <c r="B921" s="13">
        <v>9.664</v>
      </c>
      <c r="C921" s="13">
        <v>9.664</v>
      </c>
      <c r="D921" s="13">
        <v>9.664</v>
      </c>
      <c r="E921" s="13">
        <v>9.664</v>
      </c>
      <c r="F921" s="15">
        <v>0.0007</v>
      </c>
    </row>
    <row r="922" spans="1:6">
      <c r="A922" s="14">
        <v>43886</v>
      </c>
      <c r="B922" s="13">
        <v>9.657</v>
      </c>
      <c r="C922" s="13">
        <v>9.657</v>
      </c>
      <c r="D922" s="13">
        <v>9.657</v>
      </c>
      <c r="E922" s="13">
        <v>9.657</v>
      </c>
      <c r="F922" s="15">
        <v>0.0029</v>
      </c>
    </row>
    <row r="923" spans="1:6">
      <c r="A923" s="14">
        <v>43885</v>
      </c>
      <c r="B923" s="13">
        <v>9.629</v>
      </c>
      <c r="C923" s="13">
        <v>9.629</v>
      </c>
      <c r="D923" s="13">
        <v>9.629</v>
      </c>
      <c r="E923" s="13">
        <v>9.629</v>
      </c>
      <c r="F923" s="15">
        <v>0.0014</v>
      </c>
    </row>
    <row r="924" spans="1:6">
      <c r="A924" s="14">
        <v>43882</v>
      </c>
      <c r="B924" s="13">
        <v>9.616</v>
      </c>
      <c r="C924" s="13">
        <v>9.616</v>
      </c>
      <c r="D924" s="13">
        <v>9.616</v>
      </c>
      <c r="E924" s="13">
        <v>9.616</v>
      </c>
      <c r="F924" s="15">
        <v>-0.0012</v>
      </c>
    </row>
    <row r="925" spans="1:6">
      <c r="A925" s="14">
        <v>43881</v>
      </c>
      <c r="B925" s="13">
        <v>9.628</v>
      </c>
      <c r="C925" s="13">
        <v>9.628</v>
      </c>
      <c r="D925" s="13">
        <v>9.628</v>
      </c>
      <c r="E925" s="13">
        <v>9.628</v>
      </c>
      <c r="F925" s="15">
        <v>-0.0001</v>
      </c>
    </row>
    <row r="926" spans="1:6">
      <c r="A926" s="14">
        <v>43880</v>
      </c>
      <c r="B926" s="13">
        <v>9.629</v>
      </c>
      <c r="C926" s="13">
        <v>9.629</v>
      </c>
      <c r="D926" s="13">
        <v>9.629</v>
      </c>
      <c r="E926" s="13">
        <v>9.629</v>
      </c>
      <c r="F926" s="15">
        <v>0.0019</v>
      </c>
    </row>
    <row r="927" spans="1:6">
      <c r="A927" s="14">
        <v>43879</v>
      </c>
      <c r="B927" s="13">
        <v>9.611</v>
      </c>
      <c r="C927" s="13">
        <v>9.611</v>
      </c>
      <c r="D927" s="13">
        <v>9.611</v>
      </c>
      <c r="E927" s="13">
        <v>9.611</v>
      </c>
      <c r="F927" s="15">
        <v>-0.0024</v>
      </c>
    </row>
    <row r="928" spans="1:6">
      <c r="A928" s="14">
        <v>43878</v>
      </c>
      <c r="B928" s="13">
        <v>9.634</v>
      </c>
      <c r="C928" s="13">
        <v>9.634</v>
      </c>
      <c r="D928" s="13">
        <v>9.634</v>
      </c>
      <c r="E928" s="13">
        <v>9.634</v>
      </c>
      <c r="F928" s="15">
        <v>0.0009</v>
      </c>
    </row>
    <row r="929" spans="1:6">
      <c r="A929" s="14">
        <v>43875</v>
      </c>
      <c r="B929" s="13">
        <v>9.625</v>
      </c>
      <c r="C929" s="13">
        <v>9.625</v>
      </c>
      <c r="D929" s="13">
        <v>9.625</v>
      </c>
      <c r="E929" s="13">
        <v>9.625</v>
      </c>
      <c r="F929" s="15">
        <v>0.0009</v>
      </c>
    </row>
    <row r="930" spans="1:6">
      <c r="A930" s="14">
        <v>43874</v>
      </c>
      <c r="B930" s="13">
        <v>9.616</v>
      </c>
      <c r="C930" s="13">
        <v>9.616</v>
      </c>
      <c r="D930" s="13">
        <v>9.616</v>
      </c>
      <c r="E930" s="13">
        <v>9.616</v>
      </c>
      <c r="F930" s="15">
        <v>0.0015</v>
      </c>
    </row>
    <row r="931" spans="1:6">
      <c r="A931" s="14">
        <v>43873</v>
      </c>
      <c r="B931" s="13">
        <v>9.602</v>
      </c>
      <c r="C931" s="13">
        <v>9.602</v>
      </c>
      <c r="D931" s="13">
        <v>9.602</v>
      </c>
      <c r="E931" s="13">
        <v>9.602</v>
      </c>
      <c r="F931" s="15">
        <v>-0.0001</v>
      </c>
    </row>
    <row r="932" spans="1:6">
      <c r="A932" s="14">
        <v>43872</v>
      </c>
      <c r="B932" s="13">
        <v>9.603</v>
      </c>
      <c r="C932" s="13">
        <v>9.603</v>
      </c>
      <c r="D932" s="13">
        <v>9.603</v>
      </c>
      <c r="E932" s="13">
        <v>9.603</v>
      </c>
      <c r="F932" s="15">
        <v>0.0021</v>
      </c>
    </row>
    <row r="933" spans="1:6">
      <c r="A933" s="14">
        <v>43871</v>
      </c>
      <c r="B933" s="13">
        <v>9.583</v>
      </c>
      <c r="C933" s="13">
        <v>9.583</v>
      </c>
      <c r="D933" s="13">
        <v>9.583</v>
      </c>
      <c r="E933" s="13">
        <v>9.583</v>
      </c>
      <c r="F933" s="15">
        <v>-0.0014</v>
      </c>
    </row>
    <row r="934" spans="1:6">
      <c r="A934" s="14">
        <v>43868</v>
      </c>
      <c r="B934" s="13">
        <v>9.596</v>
      </c>
      <c r="C934" s="13">
        <v>9.596</v>
      </c>
      <c r="D934" s="13">
        <v>9.596</v>
      </c>
      <c r="E934" s="13">
        <v>9.596</v>
      </c>
      <c r="F934" s="15">
        <v>-0.0017</v>
      </c>
    </row>
    <row r="935" spans="1:6">
      <c r="A935" s="14">
        <v>43867</v>
      </c>
      <c r="B935" s="13">
        <v>9.612</v>
      </c>
      <c r="C935" s="13">
        <v>9.612</v>
      </c>
      <c r="D935" s="13">
        <v>9.612</v>
      </c>
      <c r="E935" s="13">
        <v>9.612</v>
      </c>
      <c r="F935" s="15">
        <v>0.0006</v>
      </c>
    </row>
    <row r="936" spans="1:6">
      <c r="A936" s="14">
        <v>43866</v>
      </c>
      <c r="B936" s="13">
        <v>9.606</v>
      </c>
      <c r="C936" s="13">
        <v>9.606</v>
      </c>
      <c r="D936" s="13">
        <v>9.606</v>
      </c>
      <c r="E936" s="13">
        <v>9.606</v>
      </c>
      <c r="F936" s="15">
        <v>0.0003</v>
      </c>
    </row>
    <row r="937" spans="1:6">
      <c r="A937" s="14">
        <v>43865</v>
      </c>
      <c r="B937" s="13">
        <v>9.603</v>
      </c>
      <c r="C937" s="13">
        <v>9.603</v>
      </c>
      <c r="D937" s="13">
        <v>9.603</v>
      </c>
      <c r="E937" s="13">
        <v>9.603</v>
      </c>
      <c r="F937" s="15">
        <v>0.0015</v>
      </c>
    </row>
    <row r="938" spans="1:6">
      <c r="A938" s="14">
        <v>43864</v>
      </c>
      <c r="B938" s="13">
        <v>9.589</v>
      </c>
      <c r="C938" s="13">
        <v>9.589</v>
      </c>
      <c r="D938" s="13">
        <v>9.589</v>
      </c>
      <c r="E938" s="13">
        <v>9.589</v>
      </c>
      <c r="F938" s="15">
        <v>-0.0008</v>
      </c>
    </row>
    <row r="939" spans="1:6">
      <c r="A939" s="14">
        <v>43861</v>
      </c>
      <c r="B939" s="13">
        <v>9.597</v>
      </c>
      <c r="C939" s="13">
        <v>9.597</v>
      </c>
      <c r="D939" s="13">
        <v>9.597</v>
      </c>
      <c r="E939" s="13">
        <v>9.597</v>
      </c>
      <c r="F939" s="15">
        <v>0.0008</v>
      </c>
    </row>
    <row r="940" spans="1:6">
      <c r="A940" s="14">
        <v>43860</v>
      </c>
      <c r="B940" s="13">
        <v>9.589</v>
      </c>
      <c r="C940" s="13">
        <v>9.589</v>
      </c>
      <c r="D940" s="13">
        <v>9.589</v>
      </c>
      <c r="E940" s="13">
        <v>9.589</v>
      </c>
      <c r="F940" s="15">
        <v>0.0004</v>
      </c>
    </row>
    <row r="941" spans="1:6">
      <c r="A941" s="14">
        <v>43859</v>
      </c>
      <c r="B941" s="13">
        <v>9.585</v>
      </c>
      <c r="C941" s="13">
        <v>9.585</v>
      </c>
      <c r="D941" s="13">
        <v>9.585</v>
      </c>
      <c r="E941" s="13">
        <v>9.585</v>
      </c>
      <c r="F941" s="15">
        <v>0.0007</v>
      </c>
    </row>
    <row r="942" spans="1:6">
      <c r="A942" s="14">
        <v>43858</v>
      </c>
      <c r="B942" s="13">
        <v>9.578</v>
      </c>
      <c r="C942" s="13">
        <v>9.578</v>
      </c>
      <c r="D942" s="13">
        <v>9.578</v>
      </c>
      <c r="E942" s="13">
        <v>9.578</v>
      </c>
      <c r="F942" s="15">
        <v>-0.001</v>
      </c>
    </row>
    <row r="943" spans="1:6">
      <c r="A943" s="14">
        <v>43857</v>
      </c>
      <c r="B943" s="13">
        <v>9.588</v>
      </c>
      <c r="C943" s="13">
        <v>9.588</v>
      </c>
      <c r="D943" s="13">
        <v>9.588</v>
      </c>
      <c r="E943" s="13">
        <v>9.588</v>
      </c>
      <c r="F943" s="15">
        <v>0</v>
      </c>
    </row>
    <row r="944" spans="1:6">
      <c r="A944" s="14">
        <v>43854</v>
      </c>
      <c r="B944" s="13">
        <v>9.588</v>
      </c>
      <c r="C944" s="13">
        <v>9.588</v>
      </c>
      <c r="D944" s="13">
        <v>9.588</v>
      </c>
      <c r="E944" s="13">
        <v>9.588</v>
      </c>
      <c r="F944" s="15">
        <v>0.0014</v>
      </c>
    </row>
    <row r="945" spans="1:6">
      <c r="A945" s="14">
        <v>43853</v>
      </c>
      <c r="B945" s="13">
        <v>9.575</v>
      </c>
      <c r="C945" s="13">
        <v>9.575</v>
      </c>
      <c r="D945" s="13">
        <v>9.575</v>
      </c>
      <c r="E945" s="13">
        <v>9.575</v>
      </c>
      <c r="F945" s="15">
        <v>-0.0008</v>
      </c>
    </row>
    <row r="946" spans="1:6">
      <c r="A946" s="14">
        <v>43852</v>
      </c>
      <c r="B946" s="13">
        <v>9.583</v>
      </c>
      <c r="C946" s="13">
        <v>9.583</v>
      </c>
      <c r="D946" s="13">
        <v>9.583</v>
      </c>
      <c r="E946" s="13">
        <v>9.583</v>
      </c>
      <c r="F946" s="15">
        <v>0.0018</v>
      </c>
    </row>
    <row r="947" spans="1:6">
      <c r="A947" s="14">
        <v>43851</v>
      </c>
      <c r="B947" s="13">
        <v>9.566</v>
      </c>
      <c r="C947" s="13">
        <v>9.566</v>
      </c>
      <c r="D947" s="13">
        <v>9.566</v>
      </c>
      <c r="E947" s="13">
        <v>9.566</v>
      </c>
      <c r="F947" s="15">
        <v>-0.0003</v>
      </c>
    </row>
    <row r="948" spans="1:6">
      <c r="A948" s="14">
        <v>43850</v>
      </c>
      <c r="B948" s="13">
        <v>9.569</v>
      </c>
      <c r="C948" s="13">
        <v>9.569</v>
      </c>
      <c r="D948" s="13">
        <v>9.569</v>
      </c>
      <c r="E948" s="13">
        <v>9.569</v>
      </c>
      <c r="F948" s="15">
        <v>-0.0006</v>
      </c>
    </row>
    <row r="949" spans="1:6">
      <c r="A949" s="14">
        <v>43847</v>
      </c>
      <c r="B949" s="13">
        <v>9.575</v>
      </c>
      <c r="C949" s="13">
        <v>9.575</v>
      </c>
      <c r="D949" s="13">
        <v>9.575</v>
      </c>
      <c r="E949" s="13">
        <v>9.575</v>
      </c>
      <c r="F949" s="15">
        <v>0.0004</v>
      </c>
    </row>
    <row r="950" spans="1:6">
      <c r="A950" s="14">
        <v>43846</v>
      </c>
      <c r="B950" s="13">
        <v>9.571</v>
      </c>
      <c r="C950" s="13">
        <v>9.571</v>
      </c>
      <c r="D950" s="13">
        <v>9.571</v>
      </c>
      <c r="E950" s="13">
        <v>9.571</v>
      </c>
      <c r="F950" s="15">
        <v>0.0002</v>
      </c>
    </row>
    <row r="951" spans="1:6">
      <c r="A951" s="14">
        <v>43845</v>
      </c>
      <c r="B951" s="13">
        <v>9.569</v>
      </c>
      <c r="C951" s="13">
        <v>9.569</v>
      </c>
      <c r="D951" s="13">
        <v>9.569</v>
      </c>
      <c r="E951" s="13">
        <v>9.569</v>
      </c>
      <c r="F951" s="15">
        <v>0.002</v>
      </c>
    </row>
    <row r="952" spans="1:6">
      <c r="A952" s="14">
        <v>43844</v>
      </c>
      <c r="B952" s="13">
        <v>9.55</v>
      </c>
      <c r="C952" s="13">
        <v>9.55</v>
      </c>
      <c r="D952" s="13">
        <v>9.55</v>
      </c>
      <c r="E952" s="13">
        <v>9.55</v>
      </c>
      <c r="F952" s="15">
        <v>0.0001</v>
      </c>
    </row>
    <row r="953" spans="1:6">
      <c r="A953" s="14">
        <v>43843</v>
      </c>
      <c r="B953" s="13">
        <v>9.549</v>
      </c>
      <c r="C953" s="13">
        <v>9.549</v>
      </c>
      <c r="D953" s="13">
        <v>9.549</v>
      </c>
      <c r="E953" s="13">
        <v>9.549</v>
      </c>
      <c r="F953" s="15">
        <v>0.0002</v>
      </c>
    </row>
    <row r="954" spans="1:6">
      <c r="A954" s="14">
        <v>43840</v>
      </c>
      <c r="B954" s="13">
        <v>9.547</v>
      </c>
      <c r="C954" s="13">
        <v>9.547</v>
      </c>
      <c r="D954" s="13">
        <v>9.547</v>
      </c>
      <c r="E954" s="13">
        <v>9.547</v>
      </c>
      <c r="F954" s="15">
        <v>0</v>
      </c>
    </row>
    <row r="955" spans="1:6">
      <c r="A955" s="14">
        <v>43839</v>
      </c>
      <c r="B955" s="13">
        <v>9.547</v>
      </c>
      <c r="C955" s="13">
        <v>9.547</v>
      </c>
      <c r="D955" s="13">
        <v>9.547</v>
      </c>
      <c r="E955" s="13">
        <v>9.547</v>
      </c>
      <c r="F955" s="15">
        <v>0.0002</v>
      </c>
    </row>
    <row r="956" spans="1:6">
      <c r="A956" s="14">
        <v>43838</v>
      </c>
      <c r="B956" s="13">
        <v>9.545</v>
      </c>
      <c r="C956" s="13">
        <v>9.545</v>
      </c>
      <c r="D956" s="13">
        <v>9.545</v>
      </c>
      <c r="E956" s="13">
        <v>9.545</v>
      </c>
      <c r="F956" s="15">
        <v>-0.0075</v>
      </c>
    </row>
    <row r="957" spans="1:6">
      <c r="A957" s="14">
        <v>43836</v>
      </c>
      <c r="B957" s="13">
        <v>9.617</v>
      </c>
      <c r="C957" s="13">
        <v>9.617</v>
      </c>
      <c r="D957" s="13">
        <v>9.617</v>
      </c>
      <c r="E957" s="13">
        <v>9.617</v>
      </c>
      <c r="F957" s="15">
        <v>0.0012</v>
      </c>
    </row>
    <row r="958" spans="1:6">
      <c r="A958" s="14">
        <v>43835</v>
      </c>
      <c r="B958" s="13">
        <v>9.605</v>
      </c>
      <c r="C958" s="13">
        <v>9.605</v>
      </c>
      <c r="D958" s="13">
        <v>9.605</v>
      </c>
      <c r="E958" s="13">
        <v>9.605</v>
      </c>
      <c r="F958" s="15">
        <v>0.0589</v>
      </c>
    </row>
    <row r="959" spans="1:6">
      <c r="A959" s="14">
        <v>43830</v>
      </c>
      <c r="B959" s="13">
        <v>9.071</v>
      </c>
      <c r="C959" s="13">
        <v>9.071</v>
      </c>
      <c r="D959" s="13">
        <v>9.071</v>
      </c>
      <c r="E959" s="13">
        <v>9.071</v>
      </c>
      <c r="F959" s="15">
        <v>-0.0538</v>
      </c>
    </row>
    <row r="960" spans="1:6">
      <c r="A960" s="14">
        <v>43829</v>
      </c>
      <c r="B960" s="13">
        <v>9.587</v>
      </c>
      <c r="C960" s="13">
        <v>9.587</v>
      </c>
      <c r="D960" s="13">
        <v>9.587</v>
      </c>
      <c r="E960" s="13">
        <v>9.587</v>
      </c>
      <c r="F960" s="15">
        <v>0.0003</v>
      </c>
    </row>
    <row r="961" spans="1:6">
      <c r="A961" s="14">
        <v>43826</v>
      </c>
      <c r="B961" s="13">
        <v>9.584</v>
      </c>
      <c r="C961" s="13">
        <v>9.584</v>
      </c>
      <c r="D961" s="13">
        <v>9.584</v>
      </c>
      <c r="E961" s="13">
        <v>9.584</v>
      </c>
      <c r="F961" s="15">
        <v>0.0053</v>
      </c>
    </row>
    <row r="962" spans="1:6">
      <c r="A962" s="14">
        <v>43825</v>
      </c>
      <c r="B962" s="13">
        <v>9.533</v>
      </c>
      <c r="C962" s="13">
        <v>9.533</v>
      </c>
      <c r="D962" s="13">
        <v>9.533</v>
      </c>
      <c r="E962" s="13">
        <v>9.533</v>
      </c>
      <c r="F962" s="15">
        <v>-0.0022</v>
      </c>
    </row>
    <row r="963" spans="1:6">
      <c r="A963" s="14">
        <v>43824</v>
      </c>
      <c r="B963" s="13">
        <v>9.554</v>
      </c>
      <c r="C963" s="13">
        <v>9.554</v>
      </c>
      <c r="D963" s="13">
        <v>9.554</v>
      </c>
      <c r="E963" s="13">
        <v>9.554</v>
      </c>
      <c r="F963" s="15">
        <v>0.0007</v>
      </c>
    </row>
    <row r="964" spans="1:6">
      <c r="A964" s="14">
        <v>43823</v>
      </c>
      <c r="B964" s="13">
        <v>9.547</v>
      </c>
      <c r="C964" s="13">
        <v>9.547</v>
      </c>
      <c r="D964" s="13">
        <v>9.547</v>
      </c>
      <c r="E964" s="13">
        <v>9.547</v>
      </c>
      <c r="F964" s="15">
        <v>-0.0006</v>
      </c>
    </row>
    <row r="965" spans="1:6">
      <c r="A965" s="14">
        <v>43822</v>
      </c>
      <c r="B965" s="13">
        <v>9.553</v>
      </c>
      <c r="C965" s="13">
        <v>9.553</v>
      </c>
      <c r="D965" s="13">
        <v>9.553</v>
      </c>
      <c r="E965" s="13">
        <v>9.553</v>
      </c>
      <c r="F965" s="15">
        <v>0.0001</v>
      </c>
    </row>
    <row r="966" spans="1:6">
      <c r="A966" s="14">
        <v>43819</v>
      </c>
      <c r="B966" s="13">
        <v>9.552</v>
      </c>
      <c r="C966" s="13">
        <v>9.552</v>
      </c>
      <c r="D966" s="13">
        <v>9.552</v>
      </c>
      <c r="E966" s="13">
        <v>9.552</v>
      </c>
      <c r="F966" s="15">
        <v>0.0015</v>
      </c>
    </row>
    <row r="967" spans="1:6">
      <c r="A967" s="14">
        <v>43818</v>
      </c>
      <c r="B967" s="13">
        <v>9.538</v>
      </c>
      <c r="C967" s="13">
        <v>9.538</v>
      </c>
      <c r="D967" s="13">
        <v>9.538</v>
      </c>
      <c r="E967" s="13">
        <v>9.538</v>
      </c>
      <c r="F967" s="15">
        <v>0.0005</v>
      </c>
    </row>
    <row r="968" spans="1:6">
      <c r="A968" s="14">
        <v>43817</v>
      </c>
      <c r="B968" s="13">
        <v>9.533</v>
      </c>
      <c r="C968" s="13">
        <v>9.533</v>
      </c>
      <c r="D968" s="13">
        <v>9.533</v>
      </c>
      <c r="E968" s="13">
        <v>9.533</v>
      </c>
      <c r="F968" s="15">
        <v>0.0002</v>
      </c>
    </row>
    <row r="969" spans="1:6">
      <c r="A969" s="14">
        <v>43811</v>
      </c>
      <c r="B969" s="13">
        <v>9.531</v>
      </c>
      <c r="C969" s="13">
        <v>9.531</v>
      </c>
      <c r="D969" s="13">
        <v>9.531</v>
      </c>
      <c r="E969" s="13">
        <v>9.531</v>
      </c>
      <c r="F969" s="15">
        <v>0.0018</v>
      </c>
    </row>
    <row r="970" spans="1:6">
      <c r="A970" s="14">
        <v>43810</v>
      </c>
      <c r="B970" s="13">
        <v>9.514</v>
      </c>
      <c r="C970" s="13">
        <v>9.514</v>
      </c>
      <c r="D970" s="13">
        <v>9.514</v>
      </c>
      <c r="E970" s="13">
        <v>9.514</v>
      </c>
      <c r="F970" s="15">
        <v>0.0016</v>
      </c>
    </row>
    <row r="971" spans="1:6">
      <c r="A971" s="14">
        <v>43809</v>
      </c>
      <c r="B971" s="13">
        <v>9.499</v>
      </c>
      <c r="C971" s="13">
        <v>9.499</v>
      </c>
      <c r="D971" s="13">
        <v>9.499</v>
      </c>
      <c r="E971" s="13">
        <v>9.499</v>
      </c>
      <c r="F971" s="15">
        <v>0.0015</v>
      </c>
    </row>
    <row r="972" spans="1:6">
      <c r="A972" s="14">
        <v>43808</v>
      </c>
      <c r="B972" s="13">
        <v>9.485</v>
      </c>
      <c r="C972" s="13">
        <v>9.485</v>
      </c>
      <c r="D972" s="13">
        <v>9.485</v>
      </c>
      <c r="E972" s="13">
        <v>9.485</v>
      </c>
      <c r="F972" s="15">
        <v>0.0009</v>
      </c>
    </row>
    <row r="973" spans="1:6">
      <c r="A973" s="14">
        <v>43805</v>
      </c>
      <c r="B973" s="13">
        <v>9.476</v>
      </c>
      <c r="C973" s="13">
        <v>9.476</v>
      </c>
      <c r="D973" s="13">
        <v>9.476</v>
      </c>
      <c r="E973" s="13">
        <v>9.476</v>
      </c>
      <c r="F973" s="15">
        <v>0.0017</v>
      </c>
    </row>
    <row r="974" spans="1:6">
      <c r="A974" s="14">
        <v>43804</v>
      </c>
      <c r="B974" s="13">
        <v>9.46</v>
      </c>
      <c r="C974" s="13">
        <v>9.46</v>
      </c>
      <c r="D974" s="13">
        <v>9.46</v>
      </c>
      <c r="E974" s="13">
        <v>9.46</v>
      </c>
      <c r="F974" s="15">
        <v>-0.0131</v>
      </c>
    </row>
    <row r="975" spans="1:6">
      <c r="A975" s="14">
        <v>43803</v>
      </c>
      <c r="B975" s="13">
        <v>9.586</v>
      </c>
      <c r="C975" s="13">
        <v>9.586</v>
      </c>
      <c r="D975" s="13">
        <v>9.586</v>
      </c>
      <c r="E975" s="13">
        <v>9.586</v>
      </c>
      <c r="F975" s="15">
        <v>-0.002</v>
      </c>
    </row>
    <row r="976" spans="1:6">
      <c r="A976" s="14">
        <v>43802</v>
      </c>
      <c r="B976" s="13">
        <v>9.605</v>
      </c>
      <c r="C976" s="13">
        <v>9.605</v>
      </c>
      <c r="D976" s="13">
        <v>9.605</v>
      </c>
      <c r="E976" s="13">
        <v>9.605</v>
      </c>
      <c r="F976" s="15">
        <v>0.0006</v>
      </c>
    </row>
    <row r="977" spans="1:6">
      <c r="A977" s="14">
        <v>43798</v>
      </c>
      <c r="B977" s="13">
        <v>9.599</v>
      </c>
      <c r="C977" s="13">
        <v>9.599</v>
      </c>
      <c r="D977" s="13">
        <v>9.599</v>
      </c>
      <c r="E977" s="13">
        <v>9.599</v>
      </c>
      <c r="F977" s="15">
        <v>0.0013</v>
      </c>
    </row>
    <row r="978" spans="1:6">
      <c r="A978" s="14">
        <v>43797</v>
      </c>
      <c r="B978" s="13">
        <v>9.587</v>
      </c>
      <c r="C978" s="13">
        <v>9.587</v>
      </c>
      <c r="D978" s="13">
        <v>9.587</v>
      </c>
      <c r="E978" s="13">
        <v>9.587</v>
      </c>
      <c r="F978" s="15">
        <v>0.0002</v>
      </c>
    </row>
    <row r="979" spans="1:6">
      <c r="A979" s="14">
        <v>43796</v>
      </c>
      <c r="B979" s="13">
        <v>9.585</v>
      </c>
      <c r="C979" s="13">
        <v>9.585</v>
      </c>
      <c r="D979" s="13">
        <v>9.585</v>
      </c>
      <c r="E979" s="13">
        <v>9.585</v>
      </c>
      <c r="F979" s="15">
        <v>0.002</v>
      </c>
    </row>
    <row r="980" spans="1:6">
      <c r="A980" s="14">
        <v>43795</v>
      </c>
      <c r="B980" s="13">
        <v>9.566</v>
      </c>
      <c r="C980" s="13">
        <v>9.566</v>
      </c>
      <c r="D980" s="13">
        <v>9.566</v>
      </c>
      <c r="E980" s="13">
        <v>9.566</v>
      </c>
      <c r="F980" s="15">
        <v>-0.0003</v>
      </c>
    </row>
    <row r="981" spans="1:6">
      <c r="A981" s="14">
        <v>43794</v>
      </c>
      <c r="B981" s="13">
        <v>9.569</v>
      </c>
      <c r="C981" s="13">
        <v>9.569</v>
      </c>
      <c r="D981" s="13">
        <v>9.569</v>
      </c>
      <c r="E981" s="13">
        <v>9.569</v>
      </c>
      <c r="F981" s="15">
        <v>0.0145</v>
      </c>
    </row>
    <row r="982" spans="1:6">
      <c r="A982" s="14">
        <v>43791</v>
      </c>
      <c r="B982" s="13">
        <v>9.432</v>
      </c>
      <c r="C982" s="13">
        <v>9.432</v>
      </c>
      <c r="D982" s="13">
        <v>9.432</v>
      </c>
      <c r="E982" s="13">
        <v>9.432</v>
      </c>
      <c r="F982" s="15">
        <v>-0.0005</v>
      </c>
    </row>
    <row r="983" spans="1:6">
      <c r="A983" s="14">
        <v>43790</v>
      </c>
      <c r="B983" s="13">
        <v>9.437</v>
      </c>
      <c r="C983" s="13">
        <v>9.437</v>
      </c>
      <c r="D983" s="13">
        <v>9.437</v>
      </c>
      <c r="E983" s="13">
        <v>9.437</v>
      </c>
      <c r="F983" s="15">
        <v>-0.0032</v>
      </c>
    </row>
    <row r="984" spans="1:6">
      <c r="A984" s="14">
        <v>43789</v>
      </c>
      <c r="B984" s="13">
        <v>9.467</v>
      </c>
      <c r="C984" s="13">
        <v>9.467</v>
      </c>
      <c r="D984" s="13">
        <v>9.467</v>
      </c>
      <c r="E984" s="13">
        <v>9.467</v>
      </c>
      <c r="F984" s="15">
        <v>-0.0016</v>
      </c>
    </row>
    <row r="985" spans="1:6">
      <c r="A985" s="14">
        <v>43788</v>
      </c>
      <c r="B985" s="13">
        <v>9.482</v>
      </c>
      <c r="C985" s="13">
        <v>9.482</v>
      </c>
      <c r="D985" s="13">
        <v>9.482</v>
      </c>
      <c r="E985" s="13">
        <v>9.482</v>
      </c>
      <c r="F985" s="15">
        <v>-0.0003</v>
      </c>
    </row>
    <row r="986" spans="1:6">
      <c r="A986" s="14">
        <v>43787</v>
      </c>
      <c r="B986" s="13">
        <v>9.485</v>
      </c>
      <c r="C986" s="13">
        <v>9.485</v>
      </c>
      <c r="D986" s="13">
        <v>9.485</v>
      </c>
      <c r="E986" s="13">
        <v>9.485</v>
      </c>
      <c r="F986" s="15">
        <v>0.003</v>
      </c>
    </row>
    <row r="987" spans="1:6">
      <c r="A987" s="14">
        <v>43784</v>
      </c>
      <c r="B987" s="13">
        <v>9.457</v>
      </c>
      <c r="C987" s="13">
        <v>9.457</v>
      </c>
      <c r="D987" s="13">
        <v>9.457</v>
      </c>
      <c r="E987" s="13">
        <v>9.457</v>
      </c>
      <c r="F987" s="15">
        <v>0.0033</v>
      </c>
    </row>
    <row r="988" spans="1:6">
      <c r="A988" s="14">
        <v>43783</v>
      </c>
      <c r="B988" s="13">
        <v>9.426</v>
      </c>
      <c r="C988" s="13">
        <v>9.426</v>
      </c>
      <c r="D988" s="13">
        <v>9.426</v>
      </c>
      <c r="E988" s="13">
        <v>9.426</v>
      </c>
      <c r="F988" s="15">
        <v>0</v>
      </c>
    </row>
    <row r="989" spans="1:6">
      <c r="A989" s="14">
        <v>43782</v>
      </c>
      <c r="B989" s="13">
        <v>9.426</v>
      </c>
      <c r="C989" s="13">
        <v>9.426</v>
      </c>
      <c r="D989" s="13">
        <v>9.426</v>
      </c>
      <c r="E989" s="13">
        <v>9.426</v>
      </c>
      <c r="F989" s="15">
        <v>0.0107</v>
      </c>
    </row>
    <row r="990" spans="1:6">
      <c r="A990" s="14">
        <v>43781</v>
      </c>
      <c r="B990" s="13">
        <v>9.326</v>
      </c>
      <c r="C990" s="13">
        <v>9.326</v>
      </c>
      <c r="D990" s="13">
        <v>9.326</v>
      </c>
      <c r="E990" s="13">
        <v>9.326</v>
      </c>
      <c r="F990" s="15">
        <v>-0.0021</v>
      </c>
    </row>
    <row r="991" spans="1:6">
      <c r="A991" s="14">
        <v>43780</v>
      </c>
      <c r="B991" s="13">
        <v>9.346</v>
      </c>
      <c r="C991" s="13">
        <v>9.346</v>
      </c>
      <c r="D991" s="13">
        <v>9.346</v>
      </c>
      <c r="E991" s="13">
        <v>9.346</v>
      </c>
      <c r="F991" s="15">
        <v>-0.0005</v>
      </c>
    </row>
    <row r="992" spans="1:6">
      <c r="A992" s="14">
        <v>43777</v>
      </c>
      <c r="B992" s="13">
        <v>9.351</v>
      </c>
      <c r="C992" s="13">
        <v>9.351</v>
      </c>
      <c r="D992" s="13">
        <v>9.351</v>
      </c>
      <c r="E992" s="13">
        <v>9.351</v>
      </c>
      <c r="F992" s="15">
        <v>0.0038</v>
      </c>
    </row>
    <row r="993" spans="1:6">
      <c r="A993" s="14">
        <v>43776</v>
      </c>
      <c r="B993" s="13">
        <v>9.316</v>
      </c>
      <c r="C993" s="13">
        <v>9.316</v>
      </c>
      <c r="D993" s="13">
        <v>9.316</v>
      </c>
      <c r="E993" s="13">
        <v>9.316</v>
      </c>
      <c r="F993" s="15">
        <v>-0.002</v>
      </c>
    </row>
    <row r="994" spans="1:6">
      <c r="A994" s="14">
        <v>43775</v>
      </c>
      <c r="B994" s="13">
        <v>9.335</v>
      </c>
      <c r="C994" s="13">
        <v>9.335</v>
      </c>
      <c r="D994" s="13">
        <v>9.335</v>
      </c>
      <c r="E994" s="13">
        <v>9.335</v>
      </c>
      <c r="F994" s="15">
        <v>0.0003</v>
      </c>
    </row>
    <row r="995" spans="1:6">
      <c r="A995" s="14">
        <v>43774</v>
      </c>
      <c r="B995" s="13">
        <v>9.332</v>
      </c>
      <c r="C995" s="13">
        <v>9.332</v>
      </c>
      <c r="D995" s="13">
        <v>9.332</v>
      </c>
      <c r="E995" s="13">
        <v>9.332</v>
      </c>
      <c r="F995" s="15">
        <v>0.001</v>
      </c>
    </row>
    <row r="996" spans="1:6">
      <c r="A996" s="14">
        <v>43773</v>
      </c>
      <c r="B996" s="13">
        <v>9.323</v>
      </c>
      <c r="C996" s="13">
        <v>9.323</v>
      </c>
      <c r="D996" s="13">
        <v>9.323</v>
      </c>
      <c r="E996" s="13">
        <v>9.323</v>
      </c>
      <c r="F996" s="15">
        <v>0.0046</v>
      </c>
    </row>
    <row r="997" spans="1:6">
      <c r="A997" s="14">
        <v>43770</v>
      </c>
      <c r="B997" s="13">
        <v>9.28</v>
      </c>
      <c r="C997" s="13">
        <v>9.28</v>
      </c>
      <c r="D997" s="13">
        <v>9.28</v>
      </c>
      <c r="E997" s="13">
        <v>9.28</v>
      </c>
      <c r="F997" s="15">
        <v>-0.0006</v>
      </c>
    </row>
    <row r="998" spans="1:6">
      <c r="A998" s="14">
        <v>43769</v>
      </c>
      <c r="B998" s="13">
        <v>9.286</v>
      </c>
      <c r="C998" s="13">
        <v>9.286</v>
      </c>
      <c r="D998" s="13">
        <v>9.286</v>
      </c>
      <c r="E998" s="13">
        <v>9.286</v>
      </c>
      <c r="F998" s="15">
        <v>-0.0006</v>
      </c>
    </row>
    <row r="999" spans="1:6">
      <c r="A999" s="14">
        <v>43768</v>
      </c>
      <c r="B999" s="13">
        <v>9.292</v>
      </c>
      <c r="C999" s="13">
        <v>9.292</v>
      </c>
      <c r="D999" s="13">
        <v>9.292</v>
      </c>
      <c r="E999" s="13">
        <v>9.292</v>
      </c>
      <c r="F999" s="15">
        <v>0.0036</v>
      </c>
    </row>
    <row r="1000" spans="1:6">
      <c r="A1000" s="14">
        <v>43767</v>
      </c>
      <c r="B1000" s="13">
        <v>9.259</v>
      </c>
      <c r="C1000" s="13">
        <v>9.259</v>
      </c>
      <c r="D1000" s="13">
        <v>9.259</v>
      </c>
      <c r="E1000" s="13">
        <v>9.259</v>
      </c>
      <c r="F1000" s="15">
        <v>0.0049</v>
      </c>
    </row>
    <row r="1001" spans="1:6">
      <c r="A1001" s="14">
        <v>43766</v>
      </c>
      <c r="B1001" s="13">
        <v>9.214</v>
      </c>
      <c r="C1001" s="13">
        <v>9.214</v>
      </c>
      <c r="D1001" s="13">
        <v>9.214</v>
      </c>
      <c r="E1001" s="13">
        <v>9.214</v>
      </c>
      <c r="F1001" s="15">
        <v>-0.004</v>
      </c>
    </row>
    <row r="1002" spans="1:6">
      <c r="A1002" s="14">
        <v>43763</v>
      </c>
      <c r="B1002" s="13">
        <v>9.251</v>
      </c>
      <c r="C1002" s="13">
        <v>9.251</v>
      </c>
      <c r="D1002" s="13">
        <v>9.251</v>
      </c>
      <c r="E1002" s="13">
        <v>9.251</v>
      </c>
      <c r="F1002" s="15">
        <v>0.0005</v>
      </c>
    </row>
    <row r="1003" spans="1:6">
      <c r="A1003" s="14">
        <v>43762</v>
      </c>
      <c r="B1003" s="13">
        <v>9.246</v>
      </c>
      <c r="C1003" s="13">
        <v>9.246</v>
      </c>
      <c r="D1003" s="13">
        <v>9.246</v>
      </c>
      <c r="E1003" s="13">
        <v>9.246</v>
      </c>
      <c r="F1003" s="15">
        <v>-0.0009</v>
      </c>
    </row>
    <row r="1004" spans="1:6">
      <c r="A1004" s="14">
        <v>43761</v>
      </c>
      <c r="B1004" s="13">
        <v>9.254</v>
      </c>
      <c r="C1004" s="13">
        <v>9.254</v>
      </c>
      <c r="D1004" s="13">
        <v>9.254</v>
      </c>
      <c r="E1004" s="13">
        <v>9.254</v>
      </c>
      <c r="F1004" s="15">
        <v>0.0019</v>
      </c>
    </row>
    <row r="1005" spans="1:6">
      <c r="A1005" s="14">
        <v>43760</v>
      </c>
      <c r="B1005" s="13">
        <v>9.236</v>
      </c>
      <c r="C1005" s="13">
        <v>9.236</v>
      </c>
      <c r="D1005" s="13">
        <v>9.236</v>
      </c>
      <c r="E1005" s="13">
        <v>9.236</v>
      </c>
      <c r="F1005" s="15">
        <v>0.0014</v>
      </c>
    </row>
    <row r="1006" spans="1:6">
      <c r="A1006" s="14">
        <v>43759</v>
      </c>
      <c r="B1006" s="13">
        <v>9.223</v>
      </c>
      <c r="C1006" s="13">
        <v>9.223</v>
      </c>
      <c r="D1006" s="13">
        <v>9.223</v>
      </c>
      <c r="E1006" s="13">
        <v>9.223</v>
      </c>
      <c r="F1006" s="15">
        <v>-0.004</v>
      </c>
    </row>
    <row r="1007" spans="1:6">
      <c r="A1007" s="14">
        <v>43756</v>
      </c>
      <c r="B1007" s="13">
        <v>9.26</v>
      </c>
      <c r="C1007" s="13">
        <v>9.26</v>
      </c>
      <c r="D1007" s="13">
        <v>9.26</v>
      </c>
      <c r="E1007" s="13">
        <v>9.26</v>
      </c>
      <c r="F1007" s="15">
        <v>0.0022</v>
      </c>
    </row>
    <row r="1008" spans="1:6">
      <c r="A1008" s="14">
        <v>43755</v>
      </c>
      <c r="B1008" s="13">
        <v>9.24</v>
      </c>
      <c r="C1008" s="13">
        <v>9.24</v>
      </c>
      <c r="D1008" s="13">
        <v>9.24</v>
      </c>
      <c r="E1008" s="13">
        <v>9.24</v>
      </c>
      <c r="F1008" s="15">
        <v>-0.0005</v>
      </c>
    </row>
    <row r="1009" spans="1:6">
      <c r="A1009" s="14">
        <v>43754</v>
      </c>
      <c r="B1009" s="13">
        <v>9.245</v>
      </c>
      <c r="C1009" s="13">
        <v>9.245</v>
      </c>
      <c r="D1009" s="13">
        <v>9.245</v>
      </c>
      <c r="E1009" s="13">
        <v>9.245</v>
      </c>
      <c r="F1009" s="15">
        <v>-0.0004</v>
      </c>
    </row>
    <row r="1010" spans="1:6">
      <c r="A1010" s="14">
        <v>43753</v>
      </c>
      <c r="B1010" s="13">
        <v>9.249</v>
      </c>
      <c r="C1010" s="13">
        <v>9.249</v>
      </c>
      <c r="D1010" s="13">
        <v>9.249</v>
      </c>
      <c r="E1010" s="13">
        <v>9.249</v>
      </c>
      <c r="F1010" s="15">
        <v>-0.0014</v>
      </c>
    </row>
    <row r="1011" spans="1:6">
      <c r="A1011" s="14">
        <v>43752</v>
      </c>
      <c r="B1011" s="13">
        <v>9.262</v>
      </c>
      <c r="C1011" s="13">
        <v>9.262</v>
      </c>
      <c r="D1011" s="13">
        <v>9.262</v>
      </c>
      <c r="E1011" s="13">
        <v>9.262</v>
      </c>
      <c r="F1011" s="15">
        <v>-0.0009</v>
      </c>
    </row>
    <row r="1012" spans="1:6">
      <c r="A1012" s="14">
        <v>43749</v>
      </c>
      <c r="B1012" s="13">
        <v>9.27</v>
      </c>
      <c r="C1012" s="13">
        <v>9.27</v>
      </c>
      <c r="D1012" s="13">
        <v>9.27</v>
      </c>
      <c r="E1012" s="13">
        <v>9.27</v>
      </c>
      <c r="F1012" s="15">
        <v>-0.0004</v>
      </c>
    </row>
    <row r="1013" spans="1:6">
      <c r="A1013" s="14">
        <v>43748</v>
      </c>
      <c r="B1013" s="13">
        <v>9.274</v>
      </c>
      <c r="C1013" s="13">
        <v>9.274</v>
      </c>
      <c r="D1013" s="13">
        <v>9.274</v>
      </c>
      <c r="E1013" s="13">
        <v>9.274</v>
      </c>
      <c r="F1013" s="15">
        <v>0.0009</v>
      </c>
    </row>
    <row r="1014" spans="1:6">
      <c r="A1014" s="14">
        <v>43747</v>
      </c>
      <c r="B1014" s="13">
        <v>9.266</v>
      </c>
      <c r="C1014" s="13">
        <v>9.266</v>
      </c>
      <c r="D1014" s="13">
        <v>9.266</v>
      </c>
      <c r="E1014" s="13">
        <v>9.266</v>
      </c>
      <c r="F1014" s="15">
        <v>0.0014</v>
      </c>
    </row>
    <row r="1015" spans="1:6">
      <c r="A1015" s="14">
        <v>43746</v>
      </c>
      <c r="B1015" s="13">
        <v>9.253</v>
      </c>
      <c r="C1015" s="13">
        <v>9.253</v>
      </c>
      <c r="D1015" s="13">
        <v>9.253</v>
      </c>
      <c r="E1015" s="13">
        <v>9.253</v>
      </c>
      <c r="F1015" s="15">
        <v>0.0005</v>
      </c>
    </row>
    <row r="1016" spans="1:6">
      <c r="A1016" s="14">
        <v>43745</v>
      </c>
      <c r="B1016" s="13">
        <v>9.248</v>
      </c>
      <c r="C1016" s="13">
        <v>9.248</v>
      </c>
      <c r="D1016" s="13">
        <v>9.248</v>
      </c>
      <c r="E1016" s="13">
        <v>9.248</v>
      </c>
      <c r="F1016" s="15">
        <v>-0.0009</v>
      </c>
    </row>
    <row r="1017" spans="1:6">
      <c r="A1017" s="14">
        <v>43742</v>
      </c>
      <c r="B1017" s="13">
        <v>9.256</v>
      </c>
      <c r="C1017" s="13">
        <v>9.256</v>
      </c>
      <c r="D1017" s="13">
        <v>9.256</v>
      </c>
      <c r="E1017" s="13">
        <v>9.256</v>
      </c>
      <c r="F1017" s="15">
        <v>0.0012</v>
      </c>
    </row>
    <row r="1018" spans="1:6">
      <c r="A1018" s="14">
        <v>43741</v>
      </c>
      <c r="B1018" s="13">
        <v>9.245</v>
      </c>
      <c r="C1018" s="13">
        <v>9.245</v>
      </c>
      <c r="D1018" s="13">
        <v>9.245</v>
      </c>
      <c r="E1018" s="13">
        <v>9.245</v>
      </c>
      <c r="F1018" s="15">
        <v>-0.0001</v>
      </c>
    </row>
    <row r="1019" spans="1:6">
      <c r="A1019" s="14">
        <v>43740</v>
      </c>
      <c r="B1019" s="13">
        <v>9.246</v>
      </c>
      <c r="C1019" s="13">
        <v>9.246</v>
      </c>
      <c r="D1019" s="13">
        <v>9.246</v>
      </c>
      <c r="E1019" s="13">
        <v>9.246</v>
      </c>
      <c r="F1019" s="15">
        <v>-0.0006</v>
      </c>
    </row>
    <row r="1020" spans="1:6">
      <c r="A1020" s="14">
        <v>43739</v>
      </c>
      <c r="B1020" s="13">
        <v>9.252</v>
      </c>
      <c r="C1020" s="13">
        <v>9.252</v>
      </c>
      <c r="D1020" s="13">
        <v>9.252</v>
      </c>
      <c r="E1020" s="13">
        <v>9.252</v>
      </c>
      <c r="F1020" s="15">
        <v>-0.0008</v>
      </c>
    </row>
    <row r="1021" spans="1:6">
      <c r="A1021" s="14">
        <v>43738</v>
      </c>
      <c r="B1021" s="13">
        <v>9.259</v>
      </c>
      <c r="C1021" s="13">
        <v>9.259</v>
      </c>
      <c r="D1021" s="13">
        <v>9.259</v>
      </c>
      <c r="E1021" s="13">
        <v>9.259</v>
      </c>
      <c r="F1021" s="15">
        <v>-0.0012</v>
      </c>
    </row>
    <row r="1022" spans="1:6">
      <c r="A1022" s="14">
        <v>43735</v>
      </c>
      <c r="B1022" s="13">
        <v>9.27</v>
      </c>
      <c r="C1022" s="13">
        <v>9.27</v>
      </c>
      <c r="D1022" s="13">
        <v>9.27</v>
      </c>
      <c r="E1022" s="13">
        <v>9.27</v>
      </c>
      <c r="F1022" s="15">
        <v>0</v>
      </c>
    </row>
    <row r="1023" spans="1:6">
      <c r="A1023" s="14">
        <v>43734</v>
      </c>
      <c r="B1023" s="13">
        <v>9.27</v>
      </c>
      <c r="C1023" s="13">
        <v>9.27</v>
      </c>
      <c r="D1023" s="13">
        <v>9.27</v>
      </c>
      <c r="E1023" s="13">
        <v>9.27</v>
      </c>
      <c r="F1023" s="15">
        <v>-0.001</v>
      </c>
    </row>
    <row r="1024" spans="1:6">
      <c r="A1024" s="14">
        <v>43733</v>
      </c>
      <c r="B1024" s="13">
        <v>9.279</v>
      </c>
      <c r="C1024" s="13">
        <v>9.279</v>
      </c>
      <c r="D1024" s="13">
        <v>9.279</v>
      </c>
      <c r="E1024" s="13">
        <v>9.279</v>
      </c>
      <c r="F1024" s="15">
        <v>0</v>
      </c>
    </row>
    <row r="1025" spans="1:6">
      <c r="A1025" s="14">
        <v>43732</v>
      </c>
      <c r="B1025" s="13">
        <v>9.279</v>
      </c>
      <c r="C1025" s="13">
        <v>9.279</v>
      </c>
      <c r="D1025" s="13">
        <v>9.279</v>
      </c>
      <c r="E1025" s="13">
        <v>9.279</v>
      </c>
      <c r="F1025" s="15">
        <v>0.0009</v>
      </c>
    </row>
    <row r="1026" spans="1:6">
      <c r="A1026" s="14">
        <v>43731</v>
      </c>
      <c r="B1026" s="13">
        <v>9.271</v>
      </c>
      <c r="C1026" s="13">
        <v>9.271</v>
      </c>
      <c r="D1026" s="13">
        <v>9.271</v>
      </c>
      <c r="E1026" s="13">
        <v>9.271</v>
      </c>
      <c r="F1026" s="15">
        <v>0.0004</v>
      </c>
    </row>
    <row r="1027" spans="1:6">
      <c r="A1027" s="14">
        <v>43728</v>
      </c>
      <c r="B1027" s="13">
        <v>9.267</v>
      </c>
      <c r="C1027" s="13">
        <v>9.267</v>
      </c>
      <c r="D1027" s="13">
        <v>9.267</v>
      </c>
      <c r="E1027" s="13">
        <v>9.267</v>
      </c>
      <c r="F1027" s="15">
        <v>0</v>
      </c>
    </row>
    <row r="1028" spans="1:6">
      <c r="A1028" s="14">
        <v>43727</v>
      </c>
      <c r="B1028" s="13">
        <v>9.267</v>
      </c>
      <c r="C1028" s="13">
        <v>9.267</v>
      </c>
      <c r="D1028" s="13">
        <v>9.267</v>
      </c>
      <c r="E1028" s="13">
        <v>9.267</v>
      </c>
      <c r="F1028" s="15">
        <v>0.0009</v>
      </c>
    </row>
    <row r="1029" spans="1:6">
      <c r="A1029" s="14">
        <v>43726</v>
      </c>
      <c r="B1029" s="13">
        <v>9.259</v>
      </c>
      <c r="C1029" s="13">
        <v>9.259</v>
      </c>
      <c r="D1029" s="13">
        <v>9.259</v>
      </c>
      <c r="E1029" s="13">
        <v>9.259</v>
      </c>
      <c r="F1029" s="15">
        <v>0</v>
      </c>
    </row>
    <row r="1030" spans="1:6">
      <c r="A1030" s="14">
        <v>43725</v>
      </c>
      <c r="B1030" s="13">
        <v>9.259</v>
      </c>
      <c r="C1030" s="13">
        <v>9.259</v>
      </c>
      <c r="D1030" s="13">
        <v>9.259</v>
      </c>
      <c r="E1030" s="13">
        <v>9.259</v>
      </c>
      <c r="F1030" s="15">
        <v>0.0002</v>
      </c>
    </row>
    <row r="1031" spans="1:6">
      <c r="A1031" s="14">
        <v>43724</v>
      </c>
      <c r="B1031" s="13">
        <v>9.257</v>
      </c>
      <c r="C1031" s="13">
        <v>9.257</v>
      </c>
      <c r="D1031" s="13">
        <v>9.257</v>
      </c>
      <c r="E1031" s="13">
        <v>9.257</v>
      </c>
      <c r="F1031" s="15">
        <v>0.0003</v>
      </c>
    </row>
    <row r="1032" spans="1:6">
      <c r="A1032" s="14">
        <v>43721</v>
      </c>
      <c r="B1032" s="13">
        <v>9.254</v>
      </c>
      <c r="C1032" s="13">
        <v>9.254</v>
      </c>
      <c r="D1032" s="13">
        <v>9.254</v>
      </c>
      <c r="E1032" s="13">
        <v>9.254</v>
      </c>
      <c r="F1032" s="15">
        <v>0.0001</v>
      </c>
    </row>
    <row r="1033" spans="1:6">
      <c r="A1033" s="14">
        <v>43720</v>
      </c>
      <c r="B1033" s="13">
        <v>9.253</v>
      </c>
      <c r="C1033" s="13">
        <v>9.253</v>
      </c>
      <c r="D1033" s="13">
        <v>9.253</v>
      </c>
      <c r="E1033" s="13">
        <v>9.253</v>
      </c>
      <c r="F1033" s="15">
        <v>0.003</v>
      </c>
    </row>
    <row r="1034" spans="1:6">
      <c r="A1034" s="14">
        <v>43719</v>
      </c>
      <c r="B1034" s="13">
        <v>9.225</v>
      </c>
      <c r="C1034" s="13">
        <v>9.225</v>
      </c>
      <c r="D1034" s="13">
        <v>9.225</v>
      </c>
      <c r="E1034" s="13">
        <v>9.225</v>
      </c>
      <c r="F1034" s="15">
        <v>0.0001</v>
      </c>
    </row>
    <row r="1035" spans="1:6">
      <c r="A1035" s="14">
        <v>43718</v>
      </c>
      <c r="B1035" s="13">
        <v>9.224</v>
      </c>
      <c r="C1035" s="13">
        <v>9.224</v>
      </c>
      <c r="D1035" s="13">
        <v>9.224</v>
      </c>
      <c r="E1035" s="13">
        <v>9.224</v>
      </c>
      <c r="F1035" s="15">
        <v>0.0004</v>
      </c>
    </row>
    <row r="1036" spans="1:6">
      <c r="A1036" s="14">
        <v>43717</v>
      </c>
      <c r="B1036" s="13">
        <v>9.22</v>
      </c>
      <c r="C1036" s="13">
        <v>9.22</v>
      </c>
      <c r="D1036" s="13">
        <v>9.22</v>
      </c>
      <c r="E1036" s="13">
        <v>9.22</v>
      </c>
      <c r="F1036" s="15">
        <v>0.0032</v>
      </c>
    </row>
    <row r="1037" spans="1:6">
      <c r="A1037" s="14">
        <v>43714</v>
      </c>
      <c r="B1037" s="13">
        <v>9.191</v>
      </c>
      <c r="C1037" s="13">
        <v>9.191</v>
      </c>
      <c r="D1037" s="13">
        <v>9.191</v>
      </c>
      <c r="E1037" s="13">
        <v>9.191</v>
      </c>
      <c r="F1037" s="15">
        <v>0</v>
      </c>
    </row>
    <row r="1038" spans="1:6">
      <c r="A1038" s="14">
        <v>43713</v>
      </c>
      <c r="B1038" s="13">
        <v>9.191</v>
      </c>
      <c r="C1038" s="13">
        <v>9.191</v>
      </c>
      <c r="D1038" s="13">
        <v>9.191</v>
      </c>
      <c r="E1038" s="13">
        <v>9.191</v>
      </c>
      <c r="F1038" s="15">
        <v>0.0033</v>
      </c>
    </row>
    <row r="1039" spans="1:6">
      <c r="A1039" s="14">
        <v>43712</v>
      </c>
      <c r="B1039" s="13">
        <v>9.161</v>
      </c>
      <c r="C1039" s="13">
        <v>9.161</v>
      </c>
      <c r="D1039" s="13">
        <v>9.161</v>
      </c>
      <c r="E1039" s="13">
        <v>9.161</v>
      </c>
      <c r="F1039" s="15">
        <v>0</v>
      </c>
    </row>
    <row r="1040" spans="1:6">
      <c r="A1040" s="14">
        <v>43711</v>
      </c>
      <c r="B1040" s="13">
        <v>9.161</v>
      </c>
      <c r="C1040" s="13">
        <v>9.161</v>
      </c>
      <c r="D1040" s="13">
        <v>9.161</v>
      </c>
      <c r="E1040" s="13">
        <v>9.161</v>
      </c>
      <c r="F1040" s="15">
        <v>0.0007</v>
      </c>
    </row>
    <row r="1041" spans="1:6">
      <c r="A1041" s="14">
        <v>43710</v>
      </c>
      <c r="B1041" s="13">
        <v>9.155</v>
      </c>
      <c r="C1041" s="13">
        <v>9.155</v>
      </c>
      <c r="D1041" s="13">
        <v>9.155</v>
      </c>
      <c r="E1041" s="13">
        <v>9.155</v>
      </c>
      <c r="F1041" s="15">
        <v>-0.0016</v>
      </c>
    </row>
    <row r="1042" spans="1:6">
      <c r="A1042" s="14">
        <v>43706</v>
      </c>
      <c r="B1042" s="13">
        <v>9.17</v>
      </c>
      <c r="C1042" s="13">
        <v>9.17</v>
      </c>
      <c r="D1042" s="13">
        <v>9.17</v>
      </c>
      <c r="E1042" s="13">
        <v>9.17</v>
      </c>
      <c r="F1042" s="15">
        <v>0.0011</v>
      </c>
    </row>
    <row r="1043" spans="1:6">
      <c r="A1043" s="14">
        <v>43705</v>
      </c>
      <c r="B1043" s="13">
        <v>9.16</v>
      </c>
      <c r="C1043" s="13">
        <v>9.16</v>
      </c>
      <c r="D1043" s="13">
        <v>9.16</v>
      </c>
      <c r="E1043" s="13">
        <v>9.16</v>
      </c>
      <c r="F1043" s="15">
        <v>-0.0001</v>
      </c>
    </row>
    <row r="1044" spans="1:6">
      <c r="A1044" s="14">
        <v>43704</v>
      </c>
      <c r="B1044" s="13">
        <v>9.161</v>
      </c>
      <c r="C1044" s="13">
        <v>9.161</v>
      </c>
      <c r="D1044" s="13">
        <v>9.161</v>
      </c>
      <c r="E1044" s="13">
        <v>9.161</v>
      </c>
      <c r="F1044" s="15">
        <v>0.0015</v>
      </c>
    </row>
    <row r="1045" spans="1:6">
      <c r="A1045" s="14">
        <v>43703</v>
      </c>
      <c r="B1045" s="13">
        <v>9.147</v>
      </c>
      <c r="C1045" s="13">
        <v>9.147</v>
      </c>
      <c r="D1045" s="13">
        <v>9.147</v>
      </c>
      <c r="E1045" s="13">
        <v>9.147</v>
      </c>
      <c r="F1045" s="15">
        <v>0.0093</v>
      </c>
    </row>
    <row r="1046" spans="1:6">
      <c r="A1046" s="14">
        <v>43700</v>
      </c>
      <c r="B1046" s="13">
        <v>9.063</v>
      </c>
      <c r="C1046" s="13">
        <v>9.063</v>
      </c>
      <c r="D1046" s="13">
        <v>9.063</v>
      </c>
      <c r="E1046" s="13">
        <v>9.063</v>
      </c>
      <c r="F1046" s="15">
        <v>0</v>
      </c>
    </row>
    <row r="1047" spans="1:6">
      <c r="A1047" s="14">
        <v>43699</v>
      </c>
      <c r="B1047" s="13">
        <v>9.063</v>
      </c>
      <c r="C1047" s="13">
        <v>9.063</v>
      </c>
      <c r="D1047" s="13">
        <v>9.063</v>
      </c>
      <c r="E1047" s="13">
        <v>9.063</v>
      </c>
      <c r="F1047" s="15">
        <v>0.0002</v>
      </c>
    </row>
    <row r="1048" spans="1:6">
      <c r="A1048" s="14">
        <v>43698</v>
      </c>
      <c r="B1048" s="13">
        <v>9.061</v>
      </c>
      <c r="C1048" s="13">
        <v>9.061</v>
      </c>
      <c r="D1048" s="13">
        <v>9.061</v>
      </c>
      <c r="E1048" s="13">
        <v>9.061</v>
      </c>
      <c r="F1048" s="15">
        <v>0</v>
      </c>
    </row>
    <row r="1049" spans="1:6">
      <c r="A1049" s="14">
        <v>43697</v>
      </c>
      <c r="B1049" s="13">
        <v>9.061</v>
      </c>
      <c r="C1049" s="13">
        <v>9.061</v>
      </c>
      <c r="D1049" s="13">
        <v>9.061</v>
      </c>
      <c r="E1049" s="13">
        <v>9.061</v>
      </c>
      <c r="F1049" s="15">
        <v>0.0023</v>
      </c>
    </row>
    <row r="1050" spans="1:6">
      <c r="A1050" s="14">
        <v>43696</v>
      </c>
      <c r="B1050" s="13">
        <v>9.04</v>
      </c>
      <c r="C1050" s="13">
        <v>9.04</v>
      </c>
      <c r="D1050" s="13">
        <v>9.04</v>
      </c>
      <c r="E1050" s="13">
        <v>9.04</v>
      </c>
      <c r="F1050" s="15">
        <v>0.0001</v>
      </c>
    </row>
    <row r="1051" spans="1:6">
      <c r="A1051" s="14">
        <v>43693</v>
      </c>
      <c r="B1051" s="13">
        <v>9.039</v>
      </c>
      <c r="C1051" s="13">
        <v>9.039</v>
      </c>
      <c r="D1051" s="13">
        <v>9.039</v>
      </c>
      <c r="E1051" s="13">
        <v>9.039</v>
      </c>
      <c r="F1051" s="15">
        <v>0</v>
      </c>
    </row>
    <row r="1052" spans="1:6">
      <c r="A1052" s="14">
        <v>43692</v>
      </c>
      <c r="B1052" s="13">
        <v>9.039</v>
      </c>
      <c r="C1052" s="13">
        <v>9.039</v>
      </c>
      <c r="D1052" s="13">
        <v>9.039</v>
      </c>
      <c r="E1052" s="13">
        <v>9.039</v>
      </c>
      <c r="F1052" s="15">
        <v>0</v>
      </c>
    </row>
    <row r="1053" spans="1:6">
      <c r="A1053" s="14">
        <v>43691</v>
      </c>
      <c r="B1053" s="13">
        <v>9.039</v>
      </c>
      <c r="C1053" s="13">
        <v>9.039</v>
      </c>
      <c r="D1053" s="13">
        <v>9.039</v>
      </c>
      <c r="E1053" s="13">
        <v>9.039</v>
      </c>
      <c r="F1053" s="15">
        <v>0.0001</v>
      </c>
    </row>
    <row r="1054" spans="1:6">
      <c r="A1054" s="14">
        <v>43690</v>
      </c>
      <c r="B1054" s="13">
        <v>9.038</v>
      </c>
      <c r="C1054" s="13">
        <v>9.038</v>
      </c>
      <c r="D1054" s="13">
        <v>9.038</v>
      </c>
      <c r="E1054" s="13">
        <v>9.038</v>
      </c>
      <c r="F1054" s="15">
        <v>0.0014</v>
      </c>
    </row>
    <row r="1055" spans="1:6">
      <c r="A1055" s="14">
        <v>43689</v>
      </c>
      <c r="B1055" s="13">
        <v>9.025</v>
      </c>
      <c r="C1055" s="13">
        <v>9.025</v>
      </c>
      <c r="D1055" s="13">
        <v>9.025</v>
      </c>
      <c r="E1055" s="13">
        <v>9.025</v>
      </c>
      <c r="F1055" s="15">
        <v>0.0037</v>
      </c>
    </row>
    <row r="1056" spans="1:6">
      <c r="A1056" s="14">
        <v>43686</v>
      </c>
      <c r="B1056" s="13">
        <v>8.992</v>
      </c>
      <c r="C1056" s="13">
        <v>8.992</v>
      </c>
      <c r="D1056" s="13">
        <v>8.992</v>
      </c>
      <c r="E1056" s="13">
        <v>8.992</v>
      </c>
      <c r="F1056" s="15">
        <v>0</v>
      </c>
    </row>
    <row r="1057" spans="1:6">
      <c r="A1057" s="14">
        <v>43685</v>
      </c>
      <c r="B1057" s="13">
        <v>8.992</v>
      </c>
      <c r="C1057" s="13">
        <v>8.992</v>
      </c>
      <c r="D1057" s="13">
        <v>8.992</v>
      </c>
      <c r="E1057" s="13">
        <v>8.992</v>
      </c>
      <c r="F1057" s="15">
        <v>0.0051</v>
      </c>
    </row>
    <row r="1058" spans="1:6">
      <c r="A1058" s="14">
        <v>43684</v>
      </c>
      <c r="B1058" s="13">
        <v>8.946</v>
      </c>
      <c r="C1058" s="13">
        <v>8.946</v>
      </c>
      <c r="D1058" s="13">
        <v>8.946</v>
      </c>
      <c r="E1058" s="13">
        <v>8.946</v>
      </c>
      <c r="F1058" s="15">
        <v>0.0001</v>
      </c>
    </row>
    <row r="1059" spans="1:6">
      <c r="A1059" s="14">
        <v>43683</v>
      </c>
      <c r="B1059" s="13">
        <v>8.945</v>
      </c>
      <c r="C1059" s="13">
        <v>8.945</v>
      </c>
      <c r="D1059" s="13">
        <v>8.945</v>
      </c>
      <c r="E1059" s="13">
        <v>8.945</v>
      </c>
      <c r="F1059" s="15">
        <v>0.0002</v>
      </c>
    </row>
    <row r="1060" spans="1:6">
      <c r="A1060" s="14">
        <v>43682</v>
      </c>
      <c r="B1060" s="13">
        <v>8.943</v>
      </c>
      <c r="C1060" s="13">
        <v>8.943</v>
      </c>
      <c r="D1060" s="13">
        <v>8.943</v>
      </c>
      <c r="E1060" s="13">
        <v>8.943</v>
      </c>
      <c r="F1060" s="15">
        <v>0.0079</v>
      </c>
    </row>
    <row r="1061" spans="1:6">
      <c r="A1061" s="14">
        <v>43679</v>
      </c>
      <c r="B1061" s="13">
        <v>8.873</v>
      </c>
      <c r="C1061" s="13">
        <v>8.873</v>
      </c>
      <c r="D1061" s="13">
        <v>8.873</v>
      </c>
      <c r="E1061" s="13">
        <v>8.873</v>
      </c>
      <c r="F1061" s="15">
        <v>0</v>
      </c>
    </row>
    <row r="1062" spans="1:6">
      <c r="A1062" s="14">
        <v>43678</v>
      </c>
      <c r="B1062" s="13">
        <v>8.873</v>
      </c>
      <c r="C1062" s="13">
        <v>8.873</v>
      </c>
      <c r="D1062" s="13">
        <v>8.873</v>
      </c>
      <c r="E1062" s="13">
        <v>8.873</v>
      </c>
      <c r="F1062" s="15">
        <v>0.0008</v>
      </c>
    </row>
    <row r="1063" spans="1:6">
      <c r="A1063" s="14">
        <v>43677</v>
      </c>
      <c r="B1063" s="13">
        <v>8.866</v>
      </c>
      <c r="C1063" s="13">
        <v>8.866</v>
      </c>
      <c r="D1063" s="13">
        <v>8.866</v>
      </c>
      <c r="E1063" s="13">
        <v>8.866</v>
      </c>
      <c r="F1063" s="15">
        <v>-0.0006</v>
      </c>
    </row>
    <row r="1064" spans="1:6">
      <c r="A1064" s="14">
        <v>43676</v>
      </c>
      <c r="B1064" s="13">
        <v>8.871</v>
      </c>
      <c r="C1064" s="13">
        <v>8.871</v>
      </c>
      <c r="D1064" s="13">
        <v>8.871</v>
      </c>
      <c r="E1064" s="13">
        <v>8.871</v>
      </c>
      <c r="F1064" s="15">
        <v>-0.001</v>
      </c>
    </row>
    <row r="1065" spans="1:6">
      <c r="A1065" s="14">
        <v>43675</v>
      </c>
      <c r="B1065" s="13">
        <v>8.88</v>
      </c>
      <c r="C1065" s="13">
        <v>8.88</v>
      </c>
      <c r="D1065" s="13">
        <v>8.88</v>
      </c>
      <c r="E1065" s="13">
        <v>8.88</v>
      </c>
      <c r="F1065" s="15">
        <v>0.0003</v>
      </c>
    </row>
    <row r="1066" spans="1:6">
      <c r="A1066" s="14">
        <v>43672</v>
      </c>
      <c r="B1066" s="13">
        <v>8.877</v>
      </c>
      <c r="C1066" s="13">
        <v>8.877</v>
      </c>
      <c r="D1066" s="13">
        <v>8.877</v>
      </c>
      <c r="E1066" s="13">
        <v>8.877</v>
      </c>
      <c r="F1066" s="15">
        <v>0.0001</v>
      </c>
    </row>
    <row r="1067" spans="1:6">
      <c r="A1067" s="14">
        <v>43671</v>
      </c>
      <c r="B1067" s="13">
        <v>8.876</v>
      </c>
      <c r="C1067" s="13">
        <v>8.876</v>
      </c>
      <c r="D1067" s="13">
        <v>8.876</v>
      </c>
      <c r="E1067" s="13">
        <v>8.876</v>
      </c>
      <c r="F1067" s="15">
        <v>-0.0007</v>
      </c>
    </row>
    <row r="1068" spans="1:6">
      <c r="A1068" s="14">
        <v>43670</v>
      </c>
      <c r="B1068" s="13">
        <v>8.882</v>
      </c>
      <c r="C1068" s="13">
        <v>8.882</v>
      </c>
      <c r="D1068" s="13">
        <v>8.882</v>
      </c>
      <c r="E1068" s="13">
        <v>8.882</v>
      </c>
      <c r="F1068" s="15">
        <v>0</v>
      </c>
    </row>
    <row r="1069" spans="1:6">
      <c r="A1069" s="14">
        <v>43669</v>
      </c>
      <c r="B1069" s="13">
        <v>8.882</v>
      </c>
      <c r="C1069" s="13">
        <v>8.882</v>
      </c>
      <c r="D1069" s="13">
        <v>8.882</v>
      </c>
      <c r="E1069" s="13">
        <v>8.882</v>
      </c>
      <c r="F1069" s="15">
        <v>-0.0002</v>
      </c>
    </row>
    <row r="1070" spans="1:6">
      <c r="A1070" s="14">
        <v>43668</v>
      </c>
      <c r="B1070" s="13">
        <v>8.884</v>
      </c>
      <c r="C1070" s="13">
        <v>8.884</v>
      </c>
      <c r="D1070" s="13">
        <v>8.884</v>
      </c>
      <c r="E1070" s="13">
        <v>8.884</v>
      </c>
      <c r="F1070" s="15">
        <v>0.0001</v>
      </c>
    </row>
    <row r="1071" spans="1:6">
      <c r="A1071" s="14">
        <v>43665</v>
      </c>
      <c r="B1071" s="13">
        <v>8.883</v>
      </c>
      <c r="C1071" s="13">
        <v>8.883</v>
      </c>
      <c r="D1071" s="13">
        <v>8.883</v>
      </c>
      <c r="E1071" s="13">
        <v>8.883</v>
      </c>
      <c r="F1071" s="15">
        <v>0.0001</v>
      </c>
    </row>
    <row r="1072" spans="1:6">
      <c r="A1072" s="14">
        <v>43664</v>
      </c>
      <c r="B1072" s="13">
        <v>8.882</v>
      </c>
      <c r="C1072" s="13">
        <v>8.882</v>
      </c>
      <c r="D1072" s="13">
        <v>8.882</v>
      </c>
      <c r="E1072" s="13">
        <v>8.882</v>
      </c>
      <c r="F1072" s="15">
        <v>-0.0003</v>
      </c>
    </row>
    <row r="1073" spans="1:6">
      <c r="A1073" s="14">
        <v>43663</v>
      </c>
      <c r="B1073" s="13">
        <v>8.885</v>
      </c>
      <c r="C1073" s="13">
        <v>8.885</v>
      </c>
      <c r="D1073" s="13">
        <v>8.885</v>
      </c>
      <c r="E1073" s="13">
        <v>8.885</v>
      </c>
      <c r="F1073" s="15">
        <v>0.0001</v>
      </c>
    </row>
    <row r="1074" spans="1:6">
      <c r="A1074" s="14">
        <v>43662</v>
      </c>
      <c r="B1074" s="13">
        <v>8.884</v>
      </c>
      <c r="C1074" s="13">
        <v>8.884</v>
      </c>
      <c r="D1074" s="13">
        <v>8.884</v>
      </c>
      <c r="E1074" s="13">
        <v>8.884</v>
      </c>
      <c r="F1074" s="15">
        <v>-0.0024</v>
      </c>
    </row>
    <row r="1075" spans="1:6">
      <c r="A1075" s="14">
        <v>43661</v>
      </c>
      <c r="B1075" s="13">
        <v>8.905</v>
      </c>
      <c r="C1075" s="13">
        <v>8.905</v>
      </c>
      <c r="D1075" s="13">
        <v>8.905</v>
      </c>
      <c r="E1075" s="13">
        <v>8.905</v>
      </c>
      <c r="F1075" s="15">
        <v>0.006</v>
      </c>
    </row>
    <row r="1076" spans="1:6">
      <c r="A1076" s="14">
        <v>43658</v>
      </c>
      <c r="B1076" s="13">
        <v>8.852</v>
      </c>
      <c r="C1076" s="13">
        <v>8.852</v>
      </c>
      <c r="D1076" s="13">
        <v>8.852</v>
      </c>
      <c r="E1076" s="13">
        <v>8.852</v>
      </c>
      <c r="F1076" s="15">
        <v>0</v>
      </c>
    </row>
    <row r="1077" spans="1:6">
      <c r="A1077" s="14">
        <v>43657</v>
      </c>
      <c r="B1077" s="13">
        <v>8.852</v>
      </c>
      <c r="C1077" s="13">
        <v>8.852</v>
      </c>
      <c r="D1077" s="13">
        <v>8.852</v>
      </c>
      <c r="E1077" s="13">
        <v>8.852</v>
      </c>
      <c r="F1077" s="15">
        <v>0.0119</v>
      </c>
    </row>
    <row r="1078" spans="1:6">
      <c r="A1078" s="14">
        <v>43656</v>
      </c>
      <c r="B1078" s="13">
        <v>8.748</v>
      </c>
      <c r="C1078" s="13">
        <v>8.748</v>
      </c>
      <c r="D1078" s="13">
        <v>8.748</v>
      </c>
      <c r="E1078" s="13">
        <v>8.748</v>
      </c>
      <c r="F1078" s="15">
        <v>0.0002</v>
      </c>
    </row>
    <row r="1079" spans="1:6">
      <c r="A1079" s="14">
        <v>43655</v>
      </c>
      <c r="B1079" s="13">
        <v>8.746</v>
      </c>
      <c r="C1079" s="13">
        <v>8.746</v>
      </c>
      <c r="D1079" s="13">
        <v>8.746</v>
      </c>
      <c r="E1079" s="13">
        <v>8.746</v>
      </c>
      <c r="F1079" s="15">
        <v>0.0005</v>
      </c>
    </row>
    <row r="1080" spans="1:6">
      <c r="A1080" s="14">
        <v>43651</v>
      </c>
      <c r="B1080" s="13">
        <v>8.742</v>
      </c>
      <c r="C1080" s="13">
        <v>8.742</v>
      </c>
      <c r="D1080" s="13">
        <v>8.742</v>
      </c>
      <c r="E1080" s="13">
        <v>8.742</v>
      </c>
      <c r="F1080" s="15">
        <v>-0.0008</v>
      </c>
    </row>
    <row r="1081" spans="1:6">
      <c r="A1081" s="14">
        <v>43650</v>
      </c>
      <c r="B1081" s="13">
        <v>8.749</v>
      </c>
      <c r="C1081" s="13">
        <v>8.749</v>
      </c>
      <c r="D1081" s="13">
        <v>8.749</v>
      </c>
      <c r="E1081" s="13">
        <v>8.749</v>
      </c>
      <c r="F1081" s="15">
        <v>0</v>
      </c>
    </row>
    <row r="1082" spans="1:6">
      <c r="A1082" s="14">
        <v>43649</v>
      </c>
      <c r="B1082" s="13">
        <v>8.749</v>
      </c>
      <c r="C1082" s="13">
        <v>8.749</v>
      </c>
      <c r="D1082" s="13">
        <v>8.749</v>
      </c>
      <c r="E1082" s="13">
        <v>8.749</v>
      </c>
      <c r="F1082" s="15">
        <v>0</v>
      </c>
    </row>
    <row r="1083" spans="1:6">
      <c r="A1083" s="14">
        <v>43648</v>
      </c>
      <c r="B1083" s="13">
        <v>8.749</v>
      </c>
      <c r="C1083" s="13">
        <v>8.749</v>
      </c>
      <c r="D1083" s="13">
        <v>8.749</v>
      </c>
      <c r="E1083" s="13">
        <v>8.749</v>
      </c>
      <c r="F1083" s="15">
        <v>0</v>
      </c>
    </row>
    <row r="1084" spans="1:6">
      <c r="A1084" s="14">
        <v>43647</v>
      </c>
      <c r="B1084" s="13">
        <v>8.749</v>
      </c>
      <c r="C1084" s="13">
        <v>8.749</v>
      </c>
      <c r="D1084" s="13">
        <v>8.749</v>
      </c>
      <c r="E1084" s="13">
        <v>8.749</v>
      </c>
      <c r="F1084" s="15">
        <v>0.0002</v>
      </c>
    </row>
    <row r="1085" spans="1:6">
      <c r="A1085" s="14">
        <v>43644</v>
      </c>
      <c r="B1085" s="13">
        <v>8.747</v>
      </c>
      <c r="C1085" s="13">
        <v>8.747</v>
      </c>
      <c r="D1085" s="13">
        <v>8.747</v>
      </c>
      <c r="E1085" s="13">
        <v>8.747</v>
      </c>
      <c r="F1085" s="15">
        <v>0</v>
      </c>
    </row>
    <row r="1086" spans="1:6">
      <c r="A1086" s="14">
        <v>43643</v>
      </c>
      <c r="B1086" s="13">
        <v>8.747</v>
      </c>
      <c r="C1086" s="13">
        <v>8.747</v>
      </c>
      <c r="D1086" s="13">
        <v>8.747</v>
      </c>
      <c r="E1086" s="13">
        <v>8.747</v>
      </c>
      <c r="F1086" s="15">
        <v>-0.0003</v>
      </c>
    </row>
    <row r="1087" spans="1:6">
      <c r="A1087" s="14">
        <v>43642</v>
      </c>
      <c r="B1087" s="13">
        <v>8.75</v>
      </c>
      <c r="C1087" s="13">
        <v>8.75</v>
      </c>
      <c r="D1087" s="13">
        <v>8.75</v>
      </c>
      <c r="E1087" s="13">
        <v>8.75</v>
      </c>
      <c r="F1087" s="15">
        <v>0</v>
      </c>
    </row>
    <row r="1088" spans="1:6">
      <c r="A1088" s="14">
        <v>43641</v>
      </c>
      <c r="B1088" s="13">
        <v>8.75</v>
      </c>
      <c r="C1088" s="13">
        <v>8.75</v>
      </c>
      <c r="D1088" s="13">
        <v>8.75</v>
      </c>
      <c r="E1088" s="13">
        <v>8.75</v>
      </c>
      <c r="F1088" s="15">
        <v>0.0003</v>
      </c>
    </row>
    <row r="1089" spans="1:6">
      <c r="A1089" s="14">
        <v>43640</v>
      </c>
      <c r="B1089" s="13">
        <v>8.747</v>
      </c>
      <c r="C1089" s="13">
        <v>8.747</v>
      </c>
      <c r="D1089" s="13">
        <v>8.747</v>
      </c>
      <c r="E1089" s="13">
        <v>8.747</v>
      </c>
      <c r="F1089" s="15">
        <v>0.0068</v>
      </c>
    </row>
    <row r="1090" spans="1:6">
      <c r="A1090" s="14">
        <v>43637</v>
      </c>
      <c r="B1090" s="13">
        <v>8.688</v>
      </c>
      <c r="C1090" s="13">
        <v>8.688</v>
      </c>
      <c r="D1090" s="13">
        <v>8.688</v>
      </c>
      <c r="E1090" s="13">
        <v>8.688</v>
      </c>
      <c r="F1090" s="15">
        <v>0.0001</v>
      </c>
    </row>
    <row r="1091" spans="1:6">
      <c r="A1091" s="14">
        <v>43636</v>
      </c>
      <c r="B1091" s="13">
        <v>8.687</v>
      </c>
      <c r="C1091" s="13">
        <v>8.687</v>
      </c>
      <c r="D1091" s="13">
        <v>8.687</v>
      </c>
      <c r="E1091" s="13">
        <v>8.687</v>
      </c>
      <c r="F1091" s="15">
        <v>0.0027</v>
      </c>
    </row>
    <row r="1092" spans="1:6">
      <c r="A1092" s="14">
        <v>43635</v>
      </c>
      <c r="B1092" s="13">
        <v>8.664</v>
      </c>
      <c r="C1092" s="13">
        <v>8.664</v>
      </c>
      <c r="D1092" s="13">
        <v>8.664</v>
      </c>
      <c r="E1092" s="13">
        <v>8.664</v>
      </c>
      <c r="F1092" s="15">
        <v>0</v>
      </c>
    </row>
    <row r="1093" spans="1:6">
      <c r="A1093" s="14">
        <v>43634</v>
      </c>
      <c r="B1093" s="13">
        <v>8.664</v>
      </c>
      <c r="C1093" s="13">
        <v>8.664</v>
      </c>
      <c r="D1093" s="13">
        <v>8.664</v>
      </c>
      <c r="E1093" s="13">
        <v>8.664</v>
      </c>
      <c r="F1093" s="15">
        <v>0.003</v>
      </c>
    </row>
    <row r="1094" spans="1:6">
      <c r="A1094" s="14">
        <v>43633</v>
      </c>
      <c r="B1094" s="13">
        <v>8.638</v>
      </c>
      <c r="C1094" s="13">
        <v>8.638</v>
      </c>
      <c r="D1094" s="13">
        <v>8.638</v>
      </c>
      <c r="E1094" s="13">
        <v>8.638</v>
      </c>
      <c r="F1094" s="15">
        <v>0.0044</v>
      </c>
    </row>
    <row r="1095" spans="1:6">
      <c r="A1095" s="14">
        <v>43630</v>
      </c>
      <c r="B1095" s="13">
        <v>8.6</v>
      </c>
      <c r="C1095" s="13">
        <v>8.6</v>
      </c>
      <c r="D1095" s="13">
        <v>8.6</v>
      </c>
      <c r="E1095" s="13">
        <v>8.6</v>
      </c>
      <c r="F1095" s="15">
        <v>-0.0003</v>
      </c>
    </row>
    <row r="1096" spans="1:6">
      <c r="A1096" s="14">
        <v>43629</v>
      </c>
      <c r="B1096" s="13">
        <v>8.603</v>
      </c>
      <c r="C1096" s="13">
        <v>8.603</v>
      </c>
      <c r="D1096" s="13">
        <v>8.603</v>
      </c>
      <c r="E1096" s="13">
        <v>8.603</v>
      </c>
      <c r="F1096" s="15">
        <v>0</v>
      </c>
    </row>
    <row r="1097" spans="1:6">
      <c r="A1097" s="14">
        <v>43628</v>
      </c>
      <c r="B1097" s="13">
        <v>8.603</v>
      </c>
      <c r="C1097" s="13">
        <v>8.603</v>
      </c>
      <c r="D1097" s="13">
        <v>8.603</v>
      </c>
      <c r="E1097" s="13">
        <v>8.603</v>
      </c>
      <c r="F1097" s="15">
        <v>0</v>
      </c>
    </row>
    <row r="1098" spans="1:6">
      <c r="A1098" s="14">
        <v>43627</v>
      </c>
      <c r="B1098" s="13">
        <v>8.603</v>
      </c>
      <c r="C1098" s="13">
        <v>8.603</v>
      </c>
      <c r="D1098" s="13">
        <v>8.603</v>
      </c>
      <c r="E1098" s="13">
        <v>8.603</v>
      </c>
      <c r="F1098" s="15">
        <v>-0.0009</v>
      </c>
    </row>
    <row r="1099" spans="1:6">
      <c r="A1099" s="14">
        <v>43626</v>
      </c>
      <c r="B1099" s="13">
        <v>8.611</v>
      </c>
      <c r="C1099" s="13">
        <v>8.611</v>
      </c>
      <c r="D1099" s="13">
        <v>8.611</v>
      </c>
      <c r="E1099" s="13">
        <v>8.611</v>
      </c>
      <c r="F1099" s="15">
        <v>0.0003</v>
      </c>
    </row>
    <row r="1100" spans="1:6">
      <c r="A1100" s="14">
        <v>43623</v>
      </c>
      <c r="B1100" s="13">
        <v>8.608</v>
      </c>
      <c r="C1100" s="13">
        <v>8.608</v>
      </c>
      <c r="D1100" s="13">
        <v>8.608</v>
      </c>
      <c r="E1100" s="13">
        <v>8.608</v>
      </c>
      <c r="F1100" s="15">
        <v>-0.0001</v>
      </c>
    </row>
    <row r="1101" spans="1:6">
      <c r="A1101" s="14">
        <v>43622</v>
      </c>
      <c r="B1101" s="13">
        <v>8.609</v>
      </c>
      <c r="C1101" s="13">
        <v>8.609</v>
      </c>
      <c r="D1101" s="13">
        <v>8.609</v>
      </c>
      <c r="E1101" s="13">
        <v>8.609</v>
      </c>
      <c r="F1101" s="15">
        <v>0.0003</v>
      </c>
    </row>
    <row r="1102" spans="1:6">
      <c r="A1102" s="14">
        <v>43621</v>
      </c>
      <c r="B1102" s="13">
        <v>8.606</v>
      </c>
      <c r="C1102" s="13">
        <v>8.606</v>
      </c>
      <c r="D1102" s="13">
        <v>8.606</v>
      </c>
      <c r="E1102" s="13">
        <v>8.606</v>
      </c>
      <c r="F1102" s="15">
        <v>0</v>
      </c>
    </row>
    <row r="1103" spans="1:6">
      <c r="A1103" s="14">
        <v>43620</v>
      </c>
      <c r="B1103" s="13">
        <v>8.606</v>
      </c>
      <c r="C1103" s="13">
        <v>8.606</v>
      </c>
      <c r="D1103" s="13">
        <v>8.606</v>
      </c>
      <c r="E1103" s="13">
        <v>8.606</v>
      </c>
      <c r="F1103" s="15">
        <v>-0.0017</v>
      </c>
    </row>
    <row r="1104" spans="1:6">
      <c r="A1104" s="14">
        <v>43619</v>
      </c>
      <c r="B1104" s="13">
        <v>8.621</v>
      </c>
      <c r="C1104" s="13">
        <v>8.621</v>
      </c>
      <c r="D1104" s="13">
        <v>8.621</v>
      </c>
      <c r="E1104" s="13">
        <v>8.621</v>
      </c>
      <c r="F1104" s="15">
        <v>0.0048</v>
      </c>
    </row>
    <row r="1105" spans="1:6">
      <c r="A1105" s="14">
        <v>43616</v>
      </c>
      <c r="B1105" s="13">
        <v>8.58</v>
      </c>
      <c r="C1105" s="13">
        <v>8.58</v>
      </c>
      <c r="D1105" s="13">
        <v>8.58</v>
      </c>
      <c r="E1105" s="13">
        <v>8.58</v>
      </c>
      <c r="F1105" s="15">
        <v>-0.0003</v>
      </c>
    </row>
    <row r="1106" spans="1:6">
      <c r="A1106" s="14">
        <v>43615</v>
      </c>
      <c r="B1106" s="13">
        <v>8.583</v>
      </c>
      <c r="C1106" s="13">
        <v>8.583</v>
      </c>
      <c r="D1106" s="13">
        <v>8.583</v>
      </c>
      <c r="E1106" s="13">
        <v>8.583</v>
      </c>
      <c r="F1106" s="15">
        <v>-0.0021</v>
      </c>
    </row>
    <row r="1107" spans="1:6">
      <c r="A1107" s="14">
        <v>43614</v>
      </c>
      <c r="B1107" s="13">
        <v>8.601</v>
      </c>
      <c r="C1107" s="13">
        <v>8.601</v>
      </c>
      <c r="D1107" s="13">
        <v>8.601</v>
      </c>
      <c r="E1107" s="13">
        <v>8.601</v>
      </c>
      <c r="F1107" s="15">
        <v>-0.0001</v>
      </c>
    </row>
    <row r="1108" spans="1:6">
      <c r="A1108" s="14">
        <v>43613</v>
      </c>
      <c r="B1108" s="13">
        <v>8.602</v>
      </c>
      <c r="C1108" s="13">
        <v>8.602</v>
      </c>
      <c r="D1108" s="13">
        <v>8.602</v>
      </c>
      <c r="E1108" s="13">
        <v>8.602</v>
      </c>
      <c r="F1108" s="15">
        <v>-0.0013</v>
      </c>
    </row>
    <row r="1109" spans="1:6">
      <c r="A1109" s="14">
        <v>43612</v>
      </c>
      <c r="B1109" s="13">
        <v>8.613</v>
      </c>
      <c r="C1109" s="13">
        <v>8.613</v>
      </c>
      <c r="D1109" s="13">
        <v>8.613</v>
      </c>
      <c r="E1109" s="13">
        <v>8.613</v>
      </c>
      <c r="F1109" s="15">
        <v>-0.0044</v>
      </c>
    </row>
    <row r="1110" spans="1:6">
      <c r="A1110" s="14">
        <v>43609</v>
      </c>
      <c r="B1110" s="13">
        <v>8.651</v>
      </c>
      <c r="C1110" s="13">
        <v>8.651</v>
      </c>
      <c r="D1110" s="13">
        <v>8.651</v>
      </c>
      <c r="E1110" s="13">
        <v>8.651</v>
      </c>
      <c r="F1110" s="15">
        <v>0</v>
      </c>
    </row>
    <row r="1111" spans="1:6">
      <c r="A1111" s="14">
        <v>43608</v>
      </c>
      <c r="B1111" s="13">
        <v>8.651</v>
      </c>
      <c r="C1111" s="13">
        <v>8.651</v>
      </c>
      <c r="D1111" s="13">
        <v>8.651</v>
      </c>
      <c r="E1111" s="13">
        <v>8.651</v>
      </c>
      <c r="F1111" s="15">
        <v>0</v>
      </c>
    </row>
    <row r="1112" spans="1:6">
      <c r="A1112" s="14">
        <v>43607</v>
      </c>
      <c r="B1112" s="13">
        <v>8.651</v>
      </c>
      <c r="C1112" s="13">
        <v>8.651</v>
      </c>
      <c r="D1112" s="13">
        <v>8.651</v>
      </c>
      <c r="E1112" s="13">
        <v>8.651</v>
      </c>
      <c r="F1112" s="15">
        <v>0</v>
      </c>
    </row>
    <row r="1113" spans="1:6">
      <c r="A1113" s="14">
        <v>43606</v>
      </c>
      <c r="B1113" s="13">
        <v>8.651</v>
      </c>
      <c r="C1113" s="13">
        <v>8.651</v>
      </c>
      <c r="D1113" s="13">
        <v>8.651</v>
      </c>
      <c r="E1113" s="13">
        <v>8.651</v>
      </c>
      <c r="F1113" s="15">
        <v>0.0005</v>
      </c>
    </row>
    <row r="1114" spans="1:6">
      <c r="A1114" s="14">
        <v>43605</v>
      </c>
      <c r="B1114" s="13">
        <v>8.647</v>
      </c>
      <c r="C1114" s="13">
        <v>8.647</v>
      </c>
      <c r="D1114" s="13">
        <v>8.647</v>
      </c>
      <c r="E1114" s="13">
        <v>8.647</v>
      </c>
      <c r="F1114" s="15">
        <v>0.0007</v>
      </c>
    </row>
    <row r="1115" spans="1:6">
      <c r="A1115" s="14">
        <v>43602</v>
      </c>
      <c r="B1115" s="13">
        <v>8.641</v>
      </c>
      <c r="C1115" s="13">
        <v>8.641</v>
      </c>
      <c r="D1115" s="13">
        <v>8.641</v>
      </c>
      <c r="E1115" s="13">
        <v>8.641</v>
      </c>
      <c r="F1115" s="15">
        <v>0</v>
      </c>
    </row>
    <row r="1116" spans="1:6">
      <c r="A1116" s="14">
        <v>43601</v>
      </c>
      <c r="B1116" s="13">
        <v>8.641</v>
      </c>
      <c r="C1116" s="13">
        <v>8.641</v>
      </c>
      <c r="D1116" s="13">
        <v>8.641</v>
      </c>
      <c r="E1116" s="13">
        <v>8.641</v>
      </c>
      <c r="F1116" s="15">
        <v>0.0035</v>
      </c>
    </row>
    <row r="1117" spans="1:6">
      <c r="A1117" s="14">
        <v>43600</v>
      </c>
      <c r="B1117" s="13">
        <v>8.611</v>
      </c>
      <c r="C1117" s="13">
        <v>8.611</v>
      </c>
      <c r="D1117" s="13">
        <v>8.611</v>
      </c>
      <c r="E1117" s="13">
        <v>8.611</v>
      </c>
      <c r="F1117" s="15">
        <v>0</v>
      </c>
    </row>
    <row r="1118" spans="1:6">
      <c r="A1118" s="14">
        <v>43599</v>
      </c>
      <c r="B1118" s="13">
        <v>8.611</v>
      </c>
      <c r="C1118" s="13">
        <v>8.611</v>
      </c>
      <c r="D1118" s="13">
        <v>8.611</v>
      </c>
      <c r="E1118" s="13">
        <v>8.611</v>
      </c>
      <c r="F1118" s="15">
        <v>-0.0008</v>
      </c>
    </row>
    <row r="1119" spans="1:6">
      <c r="A1119" s="14">
        <v>43598</v>
      </c>
      <c r="B1119" s="13">
        <v>8.618</v>
      </c>
      <c r="C1119" s="13">
        <v>8.618</v>
      </c>
      <c r="D1119" s="13">
        <v>8.618</v>
      </c>
      <c r="E1119" s="13">
        <v>8.618</v>
      </c>
      <c r="F1119" s="15">
        <v>-0.0077</v>
      </c>
    </row>
    <row r="1120" spans="1:6">
      <c r="A1120" s="14">
        <v>43593</v>
      </c>
      <c r="B1120" s="13">
        <v>8.685</v>
      </c>
      <c r="C1120" s="13">
        <v>8.685</v>
      </c>
      <c r="D1120" s="13">
        <v>8.685</v>
      </c>
      <c r="E1120" s="13">
        <v>8.685</v>
      </c>
      <c r="F1120" s="15">
        <v>0.0001</v>
      </c>
    </row>
    <row r="1121" spans="1:6">
      <c r="A1121" s="14">
        <v>43591</v>
      </c>
      <c r="B1121" s="13">
        <v>8.684</v>
      </c>
      <c r="C1121" s="13">
        <v>8.684</v>
      </c>
      <c r="D1121" s="13">
        <v>8.684</v>
      </c>
      <c r="E1121" s="13">
        <v>8.684</v>
      </c>
      <c r="F1121" s="15">
        <v>0.0002</v>
      </c>
    </row>
    <row r="1122" spans="1:6">
      <c r="A1122" s="14">
        <v>43589</v>
      </c>
      <c r="B1122" s="13">
        <v>8.682</v>
      </c>
      <c r="C1122" s="13">
        <v>8.682</v>
      </c>
      <c r="D1122" s="13">
        <v>8.682</v>
      </c>
      <c r="E1122" s="13">
        <v>8.682</v>
      </c>
      <c r="F1122" s="15">
        <v>-0.0003</v>
      </c>
    </row>
    <row r="1123" spans="1:6">
      <c r="A1123" s="14">
        <v>43588</v>
      </c>
      <c r="B1123" s="13">
        <v>8.685</v>
      </c>
      <c r="C1123" s="13">
        <v>8.685</v>
      </c>
      <c r="D1123" s="13">
        <v>8.685</v>
      </c>
      <c r="E1123" s="13">
        <v>8.685</v>
      </c>
      <c r="F1123" s="15">
        <v>0</v>
      </c>
    </row>
    <row r="1124" spans="1:6">
      <c r="A1124" s="14">
        <v>43587</v>
      </c>
      <c r="B1124" s="13">
        <v>8.685</v>
      </c>
      <c r="C1124" s="13">
        <v>8.685</v>
      </c>
      <c r="D1124" s="13">
        <v>8.685</v>
      </c>
      <c r="E1124" s="13">
        <v>8.685</v>
      </c>
      <c r="F1124" s="15">
        <v>0</v>
      </c>
    </row>
    <row r="1125" spans="1:6">
      <c r="A1125" s="14">
        <v>43585</v>
      </c>
      <c r="B1125" s="13">
        <v>8.685</v>
      </c>
      <c r="C1125" s="13">
        <v>8.685</v>
      </c>
      <c r="D1125" s="13">
        <v>8.685</v>
      </c>
      <c r="E1125" s="13">
        <v>8.685</v>
      </c>
      <c r="F1125" s="15">
        <v>-0.0007</v>
      </c>
    </row>
    <row r="1126" spans="1:6">
      <c r="A1126" s="14">
        <v>43584</v>
      </c>
      <c r="B1126" s="13">
        <v>8.691</v>
      </c>
      <c r="C1126" s="13">
        <v>8.691</v>
      </c>
      <c r="D1126" s="13">
        <v>8.691</v>
      </c>
      <c r="E1126" s="13">
        <v>8.691</v>
      </c>
      <c r="F1126" s="15">
        <v>0.0017</v>
      </c>
    </row>
    <row r="1127" spans="1:6">
      <c r="A1127" s="14">
        <v>43581</v>
      </c>
      <c r="B1127" s="13">
        <v>8.676</v>
      </c>
      <c r="C1127" s="13">
        <v>8.676</v>
      </c>
      <c r="D1127" s="13">
        <v>8.676</v>
      </c>
      <c r="E1127" s="13">
        <v>8.676</v>
      </c>
      <c r="F1127" s="15">
        <v>0.0001</v>
      </c>
    </row>
    <row r="1128" spans="1:6">
      <c r="A1128" s="14">
        <v>43580</v>
      </c>
      <c r="B1128" s="13">
        <v>8.675</v>
      </c>
      <c r="C1128" s="13">
        <v>8.675</v>
      </c>
      <c r="D1128" s="13">
        <v>8.675</v>
      </c>
      <c r="E1128" s="13">
        <v>8.675</v>
      </c>
      <c r="F1128" s="15">
        <v>-0.009</v>
      </c>
    </row>
    <row r="1129" spans="1:6">
      <c r="A1129" s="14">
        <v>43579</v>
      </c>
      <c r="B1129" s="13">
        <v>8.754</v>
      </c>
      <c r="C1129" s="13">
        <v>8.754</v>
      </c>
      <c r="D1129" s="13">
        <v>8.754</v>
      </c>
      <c r="E1129" s="13">
        <v>8.754</v>
      </c>
      <c r="F1129" s="15">
        <v>-0.0001</v>
      </c>
    </row>
    <row r="1130" spans="1:6">
      <c r="A1130" s="14">
        <v>43578</v>
      </c>
      <c r="B1130" s="13">
        <v>8.755</v>
      </c>
      <c r="C1130" s="13">
        <v>8.755</v>
      </c>
      <c r="D1130" s="13">
        <v>8.755</v>
      </c>
      <c r="E1130" s="13">
        <v>8.755</v>
      </c>
      <c r="F1130" s="15">
        <v>0.0009</v>
      </c>
    </row>
    <row r="1131" spans="1:6">
      <c r="A1131" s="14">
        <v>43577</v>
      </c>
      <c r="B1131" s="13">
        <v>8.747</v>
      </c>
      <c r="C1131" s="13">
        <v>8.747</v>
      </c>
      <c r="D1131" s="13">
        <v>8.747</v>
      </c>
      <c r="E1131" s="13">
        <v>8.747</v>
      </c>
      <c r="F1131" s="15">
        <v>-0.0011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3"/>
  <sheetViews>
    <sheetView topLeftCell="A1102" workbookViewId="0">
      <selection activeCell="B504" sqref="B504:B1123"/>
    </sheetView>
  </sheetViews>
  <sheetFormatPr defaultColWidth="9.625" defaultRowHeight="17.6" outlineLevelCol="5"/>
  <cols>
    <col min="1" max="16384" width="9.625" style="13"/>
  </cols>
  <sheetData>
    <row r="1" spans="1:6">
      <c r="A1" s="13" t="s">
        <v>1</v>
      </c>
      <c r="B1" s="13" t="s">
        <v>1091</v>
      </c>
      <c r="C1" s="13" t="s">
        <v>1092</v>
      </c>
      <c r="D1" s="13" t="s">
        <v>1093</v>
      </c>
      <c r="E1" s="13" t="s">
        <v>1094</v>
      </c>
      <c r="F1" s="13" t="s">
        <v>1095</v>
      </c>
    </row>
    <row r="2" spans="1:6">
      <c r="A2" s="14">
        <v>45523</v>
      </c>
      <c r="B2" s="13">
        <v>13.39</v>
      </c>
      <c r="C2" s="13">
        <v>13.39</v>
      </c>
      <c r="D2" s="13">
        <v>13.39</v>
      </c>
      <c r="E2" s="13">
        <v>13.39</v>
      </c>
      <c r="F2" s="15">
        <v>0</v>
      </c>
    </row>
    <row r="3" spans="1:6">
      <c r="A3" s="14">
        <v>45520</v>
      </c>
      <c r="B3" s="13">
        <v>13.39</v>
      </c>
      <c r="C3" s="13">
        <v>13.39</v>
      </c>
      <c r="D3" s="13">
        <v>13.39</v>
      </c>
      <c r="E3" s="13">
        <v>13.39</v>
      </c>
      <c r="F3" s="15">
        <v>0</v>
      </c>
    </row>
    <row r="4" spans="1:6">
      <c r="A4" s="14">
        <v>45519</v>
      </c>
      <c r="B4" s="13">
        <v>13.39</v>
      </c>
      <c r="C4" s="13">
        <v>13.39</v>
      </c>
      <c r="D4" s="13">
        <v>13.39</v>
      </c>
      <c r="E4" s="13">
        <v>13.39</v>
      </c>
      <c r="F4" s="15">
        <v>0</v>
      </c>
    </row>
    <row r="5" spans="1:6">
      <c r="A5" s="14">
        <v>45518</v>
      </c>
      <c r="B5" s="13">
        <v>13.39</v>
      </c>
      <c r="C5" s="13">
        <v>13.39</v>
      </c>
      <c r="D5" s="13">
        <v>13.39</v>
      </c>
      <c r="E5" s="13">
        <v>13.39</v>
      </c>
      <c r="F5" s="15">
        <v>-0.0037</v>
      </c>
    </row>
    <row r="6" spans="1:6">
      <c r="A6" s="14">
        <v>45517</v>
      </c>
      <c r="B6" s="13">
        <v>13.44</v>
      </c>
      <c r="C6" s="13">
        <v>13.44</v>
      </c>
      <c r="D6" s="13">
        <v>13.44</v>
      </c>
      <c r="E6" s="13">
        <v>13.44</v>
      </c>
      <c r="F6" s="15">
        <v>0</v>
      </c>
    </row>
    <row r="7" spans="1:6">
      <c r="A7" s="14">
        <v>45516</v>
      </c>
      <c r="B7" s="13">
        <v>13.44</v>
      </c>
      <c r="C7" s="13">
        <v>13.44</v>
      </c>
      <c r="D7" s="13">
        <v>13.44</v>
      </c>
      <c r="E7" s="13">
        <v>13.44</v>
      </c>
      <c r="F7" s="15">
        <v>0</v>
      </c>
    </row>
    <row r="8" spans="1:6">
      <c r="A8" s="14">
        <v>45513</v>
      </c>
      <c r="B8" s="13">
        <v>13.44</v>
      </c>
      <c r="C8" s="13">
        <v>13.44</v>
      </c>
      <c r="D8" s="13">
        <v>13.44</v>
      </c>
      <c r="E8" s="13">
        <v>13.44</v>
      </c>
      <c r="F8" s="15">
        <v>0</v>
      </c>
    </row>
    <row r="9" spans="1:6">
      <c r="A9" s="14">
        <v>45512</v>
      </c>
      <c r="B9" s="13">
        <v>13.44</v>
      </c>
      <c r="C9" s="13">
        <v>13.44</v>
      </c>
      <c r="D9" s="13">
        <v>13.44</v>
      </c>
      <c r="E9" s="13">
        <v>13.44</v>
      </c>
      <c r="F9" s="15">
        <v>0</v>
      </c>
    </row>
    <row r="10" spans="1:6">
      <c r="A10" s="14">
        <v>45511</v>
      </c>
      <c r="B10" s="13">
        <v>13.44</v>
      </c>
      <c r="C10" s="13">
        <v>13.44</v>
      </c>
      <c r="D10" s="13">
        <v>13.44</v>
      </c>
      <c r="E10" s="13">
        <v>13.44</v>
      </c>
      <c r="F10" s="15">
        <v>-0.0037</v>
      </c>
    </row>
    <row r="11" spans="1:6">
      <c r="A11" s="14">
        <v>45510</v>
      </c>
      <c r="B11" s="13">
        <v>13.49</v>
      </c>
      <c r="C11" s="13">
        <v>13.49</v>
      </c>
      <c r="D11" s="13">
        <v>13.49</v>
      </c>
      <c r="E11" s="13">
        <v>13.49</v>
      </c>
      <c r="F11" s="15">
        <v>0.0308</v>
      </c>
    </row>
    <row r="12" spans="1:6">
      <c r="A12" s="14">
        <v>45317</v>
      </c>
      <c r="B12" s="13">
        <v>13.087</v>
      </c>
      <c r="C12" s="13">
        <v>12.951</v>
      </c>
      <c r="D12" s="13">
        <v>13.087</v>
      </c>
      <c r="E12" s="13">
        <v>12.555</v>
      </c>
      <c r="F12" s="15">
        <v>0.0019</v>
      </c>
    </row>
    <row r="13" spans="1:6">
      <c r="A13" s="14">
        <v>45316</v>
      </c>
      <c r="B13" s="13">
        <v>13.063</v>
      </c>
      <c r="C13" s="13">
        <v>12.951</v>
      </c>
      <c r="D13" s="13">
        <v>13.063</v>
      </c>
      <c r="E13" s="13">
        <v>12.555</v>
      </c>
      <c r="F13" s="15">
        <v>0</v>
      </c>
    </row>
    <row r="14" spans="1:6">
      <c r="A14" s="14">
        <v>45315</v>
      </c>
      <c r="B14" s="13">
        <v>13.063</v>
      </c>
      <c r="C14" s="13">
        <v>12.776</v>
      </c>
      <c r="D14" s="13">
        <v>13.063</v>
      </c>
      <c r="E14" s="13">
        <v>12.578</v>
      </c>
      <c r="F14" s="15">
        <v>0</v>
      </c>
    </row>
    <row r="15" spans="1:6">
      <c r="A15" s="14">
        <v>45314</v>
      </c>
      <c r="B15" s="13">
        <v>13.063</v>
      </c>
      <c r="C15" s="13">
        <v>12.908</v>
      </c>
      <c r="D15" s="13">
        <v>13.225</v>
      </c>
      <c r="E15" s="13">
        <v>12.877</v>
      </c>
      <c r="F15" s="15">
        <v>0</v>
      </c>
    </row>
    <row r="16" spans="1:6">
      <c r="A16" s="14">
        <v>45313</v>
      </c>
      <c r="B16" s="13">
        <v>13.063</v>
      </c>
      <c r="C16" s="13">
        <v>12.727</v>
      </c>
      <c r="D16" s="13">
        <v>13.125</v>
      </c>
      <c r="E16" s="13">
        <v>12.727</v>
      </c>
      <c r="F16" s="15">
        <v>-0.0018</v>
      </c>
    </row>
    <row r="17" spans="1:6">
      <c r="A17" s="14">
        <v>45310</v>
      </c>
      <c r="B17" s="13">
        <v>13.087</v>
      </c>
      <c r="C17" s="13">
        <v>12.705</v>
      </c>
      <c r="D17" s="13">
        <v>13.087</v>
      </c>
      <c r="E17" s="13">
        <v>12.705</v>
      </c>
      <c r="F17" s="15">
        <v>0.0018</v>
      </c>
    </row>
    <row r="18" spans="1:6">
      <c r="A18" s="14">
        <v>45309</v>
      </c>
      <c r="B18" s="13">
        <v>13.063</v>
      </c>
      <c r="C18" s="13">
        <v>13.2</v>
      </c>
      <c r="D18" s="13">
        <v>13.2</v>
      </c>
      <c r="E18" s="13">
        <v>12.953</v>
      </c>
      <c r="F18" s="15">
        <v>0</v>
      </c>
    </row>
    <row r="19" spans="1:6">
      <c r="A19" s="14">
        <v>45308</v>
      </c>
      <c r="B19" s="13">
        <v>13.063</v>
      </c>
      <c r="C19" s="13">
        <v>13.476</v>
      </c>
      <c r="D19" s="13">
        <v>13.476</v>
      </c>
      <c r="E19" s="13">
        <v>13.05</v>
      </c>
      <c r="F19" s="15">
        <v>-0.0331</v>
      </c>
    </row>
    <row r="20" spans="1:6">
      <c r="A20" s="14">
        <v>45307</v>
      </c>
      <c r="B20" s="13">
        <v>13.509</v>
      </c>
      <c r="C20" s="13">
        <v>13.474</v>
      </c>
      <c r="D20" s="13">
        <v>13.509</v>
      </c>
      <c r="E20" s="13">
        <v>13.474</v>
      </c>
      <c r="F20" s="15">
        <v>0.0002</v>
      </c>
    </row>
    <row r="21" spans="1:6">
      <c r="A21" s="14">
        <v>45306</v>
      </c>
      <c r="B21" s="13">
        <v>13.506</v>
      </c>
      <c r="C21" s="13">
        <v>13.472</v>
      </c>
      <c r="D21" s="13">
        <v>13.506</v>
      </c>
      <c r="E21" s="13">
        <v>13.472</v>
      </c>
      <c r="F21" s="15">
        <v>-0.0045</v>
      </c>
    </row>
    <row r="22" spans="1:6">
      <c r="A22" s="14">
        <v>45303</v>
      </c>
      <c r="B22" s="13">
        <v>13.568</v>
      </c>
      <c r="C22" s="13">
        <v>13.465</v>
      </c>
      <c r="D22" s="13">
        <v>13.568</v>
      </c>
      <c r="E22" s="13">
        <v>13.465</v>
      </c>
      <c r="F22" s="15">
        <v>0.0053</v>
      </c>
    </row>
    <row r="23" spans="1:6">
      <c r="A23" s="14">
        <v>45302</v>
      </c>
      <c r="B23" s="13">
        <v>13.496</v>
      </c>
      <c r="C23" s="13">
        <v>14.868</v>
      </c>
      <c r="D23" s="13">
        <v>14.868</v>
      </c>
      <c r="E23" s="13">
        <v>13.462</v>
      </c>
      <c r="F23" s="15">
        <v>-0.0945</v>
      </c>
    </row>
    <row r="24" spans="1:6">
      <c r="A24" s="14">
        <v>45301</v>
      </c>
      <c r="B24" s="13">
        <v>14.904</v>
      </c>
      <c r="C24" s="13">
        <v>14.865</v>
      </c>
      <c r="D24" s="13">
        <v>14.904</v>
      </c>
      <c r="E24" s="13">
        <v>14.865</v>
      </c>
      <c r="F24" s="15">
        <v>0.0002</v>
      </c>
    </row>
    <row r="25" spans="1:6">
      <c r="A25" s="14">
        <v>45300</v>
      </c>
      <c r="B25" s="13">
        <v>14.901</v>
      </c>
      <c r="C25" s="13">
        <v>14.861</v>
      </c>
      <c r="D25" s="13">
        <v>14.901</v>
      </c>
      <c r="E25" s="13">
        <v>14.861</v>
      </c>
      <c r="F25" s="15">
        <v>0.0002</v>
      </c>
    </row>
    <row r="26" spans="1:6">
      <c r="A26" s="14">
        <v>45299</v>
      </c>
      <c r="B26" s="13">
        <v>14.898</v>
      </c>
      <c r="C26" s="13">
        <v>14.858</v>
      </c>
      <c r="D26" s="13">
        <v>14.898</v>
      </c>
      <c r="E26" s="13">
        <v>14.858</v>
      </c>
      <c r="F26" s="15">
        <v>-0.0046</v>
      </c>
    </row>
    <row r="27" spans="1:6">
      <c r="A27" s="14">
        <v>45296</v>
      </c>
      <c r="B27" s="13">
        <v>14.967</v>
      </c>
      <c r="C27" s="13">
        <v>14.85</v>
      </c>
      <c r="D27" s="13">
        <v>14.967</v>
      </c>
      <c r="E27" s="13">
        <v>14.85</v>
      </c>
      <c r="F27" s="15">
        <v>0.0055</v>
      </c>
    </row>
    <row r="28" spans="1:6">
      <c r="A28" s="14">
        <v>45295</v>
      </c>
      <c r="B28" s="13">
        <v>14.885</v>
      </c>
      <c r="C28" s="13">
        <v>15.277</v>
      </c>
      <c r="D28" s="13">
        <v>15.277</v>
      </c>
      <c r="E28" s="13">
        <v>14.847</v>
      </c>
      <c r="F28" s="15">
        <v>0.0002</v>
      </c>
    </row>
    <row r="29" spans="1:6">
      <c r="A29" s="14">
        <v>45294</v>
      </c>
      <c r="B29" s="13">
        <v>14.882</v>
      </c>
      <c r="C29" s="13">
        <v>15.161</v>
      </c>
      <c r="D29" s="13">
        <v>15.161</v>
      </c>
      <c r="E29" s="13">
        <v>14.844</v>
      </c>
      <c r="F29" s="15">
        <v>0.0217</v>
      </c>
    </row>
    <row r="30" spans="1:6">
      <c r="A30" s="14">
        <v>45293</v>
      </c>
      <c r="B30" s="13">
        <v>14.566</v>
      </c>
      <c r="C30" s="13">
        <v>14.529</v>
      </c>
      <c r="D30" s="13">
        <v>14.566</v>
      </c>
      <c r="E30" s="13">
        <v>14.529</v>
      </c>
      <c r="F30" s="15">
        <v>0.0025</v>
      </c>
    </row>
    <row r="31" spans="1:6">
      <c r="A31" s="14">
        <v>45292</v>
      </c>
      <c r="B31" s="13">
        <v>14.529</v>
      </c>
      <c r="C31" s="13">
        <v>14.529</v>
      </c>
      <c r="D31" s="13">
        <v>14.529</v>
      </c>
      <c r="E31" s="13">
        <v>14.529</v>
      </c>
      <c r="F31" s="15">
        <v>-0.0069</v>
      </c>
    </row>
    <row r="32" spans="1:6">
      <c r="A32" s="14">
        <v>45289</v>
      </c>
      <c r="B32" s="13">
        <v>14.63</v>
      </c>
      <c r="C32" s="13">
        <v>15.094</v>
      </c>
      <c r="D32" s="13">
        <v>15.094</v>
      </c>
      <c r="E32" s="13">
        <v>14.521</v>
      </c>
      <c r="F32" s="15">
        <v>0.0053</v>
      </c>
    </row>
    <row r="33" spans="1:6">
      <c r="A33" s="14">
        <v>45288</v>
      </c>
      <c r="B33" s="13">
        <v>14.554</v>
      </c>
      <c r="C33" s="13">
        <v>14.517</v>
      </c>
      <c r="D33" s="13">
        <v>15.076</v>
      </c>
      <c r="E33" s="13">
        <v>14.517</v>
      </c>
      <c r="F33" s="15">
        <v>0.0002</v>
      </c>
    </row>
    <row r="34" spans="1:6">
      <c r="A34" s="14">
        <v>45287</v>
      </c>
      <c r="B34" s="13">
        <v>14.551</v>
      </c>
      <c r="C34" s="13">
        <v>15.154</v>
      </c>
      <c r="D34" s="13">
        <v>15.154</v>
      </c>
      <c r="E34" s="13">
        <v>14.551</v>
      </c>
      <c r="F34" s="15">
        <v>0.0002</v>
      </c>
    </row>
    <row r="35" spans="1:6">
      <c r="A35" s="14">
        <v>45286</v>
      </c>
      <c r="B35" s="13">
        <v>14.548</v>
      </c>
      <c r="C35" s="13">
        <v>15.153</v>
      </c>
      <c r="D35" s="13">
        <v>15.153</v>
      </c>
      <c r="E35" s="13">
        <v>14.512</v>
      </c>
      <c r="F35" s="15">
        <v>0.0002</v>
      </c>
    </row>
    <row r="36" spans="1:6">
      <c r="A36" s="14">
        <v>45285</v>
      </c>
      <c r="B36" s="13">
        <v>14.545</v>
      </c>
      <c r="C36" s="13">
        <v>15.184</v>
      </c>
      <c r="D36" s="13">
        <v>15.184</v>
      </c>
      <c r="E36" s="13">
        <v>14.509</v>
      </c>
      <c r="F36" s="15">
        <v>-0.0043</v>
      </c>
    </row>
    <row r="37" spans="1:6">
      <c r="A37" s="14">
        <v>45282</v>
      </c>
      <c r="B37" s="13">
        <v>14.608</v>
      </c>
      <c r="C37" s="13">
        <v>15.107</v>
      </c>
      <c r="D37" s="13">
        <v>15.107</v>
      </c>
      <c r="E37" s="13">
        <v>14.501</v>
      </c>
      <c r="F37" s="15">
        <v>0.0051</v>
      </c>
    </row>
    <row r="38" spans="1:6">
      <c r="A38" s="14">
        <v>45281</v>
      </c>
      <c r="B38" s="13">
        <v>14.533</v>
      </c>
      <c r="C38" s="13">
        <v>15.106</v>
      </c>
      <c r="D38" s="13">
        <v>15.106</v>
      </c>
      <c r="E38" s="13">
        <v>14.533</v>
      </c>
      <c r="F38" s="15">
        <v>0.0002</v>
      </c>
    </row>
    <row r="39" spans="1:6">
      <c r="A39" s="14">
        <v>45280</v>
      </c>
      <c r="B39" s="13">
        <v>14.531</v>
      </c>
      <c r="C39" s="13">
        <v>15.13</v>
      </c>
      <c r="D39" s="13">
        <v>15.13</v>
      </c>
      <c r="E39" s="13">
        <v>14.531</v>
      </c>
      <c r="F39" s="15">
        <v>0.0024</v>
      </c>
    </row>
    <row r="40" spans="1:6">
      <c r="A40" s="14">
        <v>45279</v>
      </c>
      <c r="B40" s="13">
        <v>14.495</v>
      </c>
      <c r="C40" s="13">
        <v>15.073</v>
      </c>
      <c r="D40" s="13">
        <v>15.073</v>
      </c>
      <c r="E40" s="13">
        <v>14.34</v>
      </c>
      <c r="F40" s="15">
        <v>0.0108</v>
      </c>
    </row>
    <row r="41" spans="1:6">
      <c r="A41" s="14">
        <v>45278</v>
      </c>
      <c r="B41" s="13">
        <v>14.34</v>
      </c>
      <c r="C41" s="13">
        <v>14.272</v>
      </c>
      <c r="D41" s="13">
        <v>14.34</v>
      </c>
      <c r="E41" s="13">
        <v>14.272</v>
      </c>
      <c r="F41" s="15">
        <v>-0.0109</v>
      </c>
    </row>
    <row r="42" spans="1:6">
      <c r="A42" s="14">
        <v>45275</v>
      </c>
      <c r="B42" s="13">
        <v>14.498</v>
      </c>
      <c r="C42" s="13">
        <v>15.001</v>
      </c>
      <c r="D42" s="13">
        <v>15.001</v>
      </c>
      <c r="E42" s="13">
        <v>14.326</v>
      </c>
      <c r="F42" s="15">
        <v>0.0098</v>
      </c>
    </row>
    <row r="43" spans="1:6">
      <c r="A43" s="14">
        <v>45274</v>
      </c>
      <c r="B43" s="13">
        <v>14.357</v>
      </c>
      <c r="C43" s="13">
        <v>15</v>
      </c>
      <c r="D43" s="13">
        <v>15</v>
      </c>
      <c r="E43" s="13">
        <v>14.323</v>
      </c>
      <c r="F43" s="15">
        <v>0.0002</v>
      </c>
    </row>
    <row r="44" spans="1:6">
      <c r="A44" s="14">
        <v>45273</v>
      </c>
      <c r="B44" s="13">
        <v>14.354</v>
      </c>
      <c r="C44" s="13">
        <v>15.059</v>
      </c>
      <c r="D44" s="13">
        <v>15.059</v>
      </c>
      <c r="E44" s="13">
        <v>14.321</v>
      </c>
      <c r="F44" s="15">
        <v>0.0002</v>
      </c>
    </row>
    <row r="45" spans="1:6">
      <c r="A45" s="14">
        <v>45272</v>
      </c>
      <c r="B45" s="13">
        <v>14.351</v>
      </c>
      <c r="C45" s="13">
        <v>15.057</v>
      </c>
      <c r="D45" s="13">
        <v>15.057</v>
      </c>
      <c r="E45" s="13">
        <v>14.318</v>
      </c>
      <c r="F45" s="15">
        <v>0.0002</v>
      </c>
    </row>
    <row r="46" spans="1:6">
      <c r="A46" s="14">
        <v>45271</v>
      </c>
      <c r="B46" s="13">
        <v>14.349</v>
      </c>
      <c r="C46" s="13">
        <v>15.085</v>
      </c>
      <c r="D46" s="13">
        <v>15.085</v>
      </c>
      <c r="E46" s="13">
        <v>14.349</v>
      </c>
      <c r="F46" s="15">
        <v>-0.004</v>
      </c>
    </row>
    <row r="47" spans="1:6">
      <c r="A47" s="14">
        <v>45268</v>
      </c>
      <c r="B47" s="13">
        <v>14.406</v>
      </c>
      <c r="C47" s="13">
        <v>15.013</v>
      </c>
      <c r="D47" s="13">
        <v>15.013</v>
      </c>
      <c r="E47" s="13">
        <v>14.307</v>
      </c>
      <c r="F47" s="15">
        <v>0.0048</v>
      </c>
    </row>
    <row r="48" spans="1:6">
      <c r="A48" s="14">
        <v>45267</v>
      </c>
      <c r="B48" s="13">
        <v>14.337</v>
      </c>
      <c r="C48" s="13">
        <v>15.012</v>
      </c>
      <c r="D48" s="13">
        <v>15.012</v>
      </c>
      <c r="E48" s="13">
        <v>14.304</v>
      </c>
      <c r="F48" s="15">
        <v>0.0002</v>
      </c>
    </row>
    <row r="49" spans="1:6">
      <c r="A49" s="14">
        <v>45266</v>
      </c>
      <c r="B49" s="13">
        <v>14.334</v>
      </c>
      <c r="C49" s="13">
        <v>14.302</v>
      </c>
      <c r="D49" s="13">
        <v>15.035</v>
      </c>
      <c r="E49" s="13">
        <v>14.302</v>
      </c>
      <c r="F49" s="15">
        <v>0.0002</v>
      </c>
    </row>
    <row r="50" spans="1:6">
      <c r="A50" s="14">
        <v>45265</v>
      </c>
      <c r="B50" s="13">
        <v>14.332</v>
      </c>
      <c r="C50" s="13">
        <v>15.048</v>
      </c>
      <c r="D50" s="13">
        <v>15.048</v>
      </c>
      <c r="E50" s="13">
        <v>14.299</v>
      </c>
      <c r="F50" s="15">
        <v>0.0002</v>
      </c>
    </row>
    <row r="51" spans="1:6">
      <c r="A51" s="14">
        <v>45264</v>
      </c>
      <c r="B51" s="13">
        <v>14.328</v>
      </c>
      <c r="C51" s="13">
        <v>15.076</v>
      </c>
      <c r="D51" s="13">
        <v>15.076</v>
      </c>
      <c r="E51" s="13">
        <v>14.328</v>
      </c>
      <c r="F51" s="15">
        <v>-0.0039</v>
      </c>
    </row>
    <row r="52" spans="1:6">
      <c r="A52" s="14">
        <v>45261</v>
      </c>
      <c r="B52" s="13">
        <v>14.384</v>
      </c>
      <c r="C52" s="13">
        <v>14.801</v>
      </c>
      <c r="D52" s="13">
        <v>14.801</v>
      </c>
      <c r="E52" s="13">
        <v>14.288</v>
      </c>
      <c r="F52" s="15">
        <v>-0.0302</v>
      </c>
    </row>
    <row r="53" spans="1:6">
      <c r="A53" s="14">
        <v>45260</v>
      </c>
      <c r="B53" s="13">
        <v>14.832</v>
      </c>
      <c r="C53" s="13">
        <v>15.262</v>
      </c>
      <c r="D53" s="13">
        <v>15.262</v>
      </c>
      <c r="E53" s="13">
        <v>14.832</v>
      </c>
      <c r="F53" s="15">
        <v>0.0002</v>
      </c>
    </row>
    <row r="54" spans="1:6">
      <c r="A54" s="14">
        <v>45259</v>
      </c>
      <c r="B54" s="13">
        <v>14.828</v>
      </c>
      <c r="C54" s="13">
        <v>14.796</v>
      </c>
      <c r="D54" s="13">
        <v>15.283</v>
      </c>
      <c r="E54" s="13">
        <v>14.796</v>
      </c>
      <c r="F54" s="15">
        <v>0.0002</v>
      </c>
    </row>
    <row r="55" spans="1:6">
      <c r="A55" s="14">
        <v>45258</v>
      </c>
      <c r="B55" s="13">
        <v>14.825</v>
      </c>
      <c r="C55" s="13">
        <v>15.297</v>
      </c>
      <c r="D55" s="13">
        <v>15.297</v>
      </c>
      <c r="E55" s="13">
        <v>14.825</v>
      </c>
      <c r="F55" s="15">
        <v>0.0002</v>
      </c>
    </row>
    <row r="56" spans="1:6">
      <c r="A56" s="14">
        <v>45257</v>
      </c>
      <c r="B56" s="13">
        <v>14.823</v>
      </c>
      <c r="C56" s="13">
        <v>15.62</v>
      </c>
      <c r="D56" s="13">
        <v>15.62</v>
      </c>
      <c r="E56" s="13">
        <v>14.79</v>
      </c>
      <c r="F56" s="15">
        <v>-0.0419</v>
      </c>
    </row>
    <row r="57" spans="1:6">
      <c r="A57" s="14">
        <v>45254</v>
      </c>
      <c r="B57" s="13">
        <v>15.47</v>
      </c>
      <c r="C57" s="13">
        <v>15.547</v>
      </c>
      <c r="D57" s="13">
        <v>15.547</v>
      </c>
      <c r="E57" s="13">
        <v>15.365</v>
      </c>
      <c r="F57" s="15">
        <v>0.0048</v>
      </c>
    </row>
    <row r="58" spans="1:6">
      <c r="A58" s="14">
        <v>45253</v>
      </c>
      <c r="B58" s="13">
        <v>15.397</v>
      </c>
      <c r="C58" s="13">
        <v>15.362</v>
      </c>
      <c r="D58" s="13">
        <v>15.397</v>
      </c>
      <c r="E58" s="13">
        <v>15.362</v>
      </c>
      <c r="F58" s="15">
        <v>0.0003</v>
      </c>
    </row>
    <row r="59" spans="1:6">
      <c r="A59" s="14">
        <v>45252</v>
      </c>
      <c r="B59" s="13">
        <v>15.393</v>
      </c>
      <c r="C59" s="13">
        <v>15.358</v>
      </c>
      <c r="D59" s="13">
        <v>15.393</v>
      </c>
      <c r="E59" s="13">
        <v>15.358</v>
      </c>
      <c r="F59" s="15">
        <v>0.0002</v>
      </c>
    </row>
    <row r="60" spans="1:6">
      <c r="A60" s="14">
        <v>45251</v>
      </c>
      <c r="B60" s="13">
        <v>15.39</v>
      </c>
      <c r="C60" s="13">
        <v>15.22</v>
      </c>
      <c r="D60" s="13">
        <v>15.39</v>
      </c>
      <c r="E60" s="13">
        <v>14.998</v>
      </c>
      <c r="F60" s="15">
        <v>0.0241</v>
      </c>
    </row>
    <row r="61" spans="1:6">
      <c r="A61" s="14">
        <v>45250</v>
      </c>
      <c r="B61" s="13">
        <v>15.028</v>
      </c>
      <c r="C61" s="13">
        <v>15.269</v>
      </c>
      <c r="D61" s="13">
        <v>15.269</v>
      </c>
      <c r="E61" s="13">
        <v>14.995</v>
      </c>
      <c r="F61" s="15">
        <v>-0.0065</v>
      </c>
    </row>
    <row r="62" spans="1:6">
      <c r="A62" s="14">
        <v>45247</v>
      </c>
      <c r="B62" s="13">
        <v>15.126</v>
      </c>
      <c r="C62" s="13">
        <v>15.027</v>
      </c>
      <c r="D62" s="13">
        <v>15.186</v>
      </c>
      <c r="E62" s="13">
        <v>15.027</v>
      </c>
      <c r="F62" s="15">
        <v>0.0046</v>
      </c>
    </row>
    <row r="63" spans="1:6">
      <c r="A63" s="14">
        <v>45246</v>
      </c>
      <c r="B63" s="13">
        <v>15.057</v>
      </c>
      <c r="C63" s="13">
        <v>15.024</v>
      </c>
      <c r="D63" s="13">
        <v>15.184</v>
      </c>
      <c r="E63" s="13">
        <v>15.024</v>
      </c>
      <c r="F63" s="15">
        <v>0.0002</v>
      </c>
    </row>
    <row r="64" spans="1:6">
      <c r="A64" s="14">
        <v>45245</v>
      </c>
      <c r="B64" s="13">
        <v>15.054</v>
      </c>
      <c r="C64" s="13">
        <v>15.021</v>
      </c>
      <c r="D64" s="13">
        <v>15.219</v>
      </c>
      <c r="E64" s="13">
        <v>15.021</v>
      </c>
      <c r="F64" s="15">
        <v>0.0002</v>
      </c>
    </row>
    <row r="65" spans="1:6">
      <c r="A65" s="14">
        <v>45244</v>
      </c>
      <c r="B65" s="13">
        <v>15.05</v>
      </c>
      <c r="C65" s="13">
        <v>15.232</v>
      </c>
      <c r="D65" s="13">
        <v>15.232</v>
      </c>
      <c r="E65" s="13">
        <v>15.05</v>
      </c>
      <c r="F65" s="15">
        <v>0.0002</v>
      </c>
    </row>
    <row r="66" spans="1:6">
      <c r="A66" s="14">
        <v>45243</v>
      </c>
      <c r="B66" s="13">
        <v>15.047</v>
      </c>
      <c r="C66" s="13">
        <v>14.978</v>
      </c>
      <c r="D66" s="13">
        <v>15.198</v>
      </c>
      <c r="E66" s="13">
        <v>14.978</v>
      </c>
      <c r="F66" s="15">
        <v>-0.0012</v>
      </c>
    </row>
    <row r="67" spans="1:6">
      <c r="A67" s="14">
        <v>45240</v>
      </c>
      <c r="B67" s="13">
        <v>15.066</v>
      </c>
      <c r="C67" s="13">
        <v>14.969</v>
      </c>
      <c r="D67" s="13">
        <v>15.16</v>
      </c>
      <c r="E67" s="13">
        <v>14.969</v>
      </c>
      <c r="F67" s="15">
        <v>0.0045</v>
      </c>
    </row>
    <row r="68" spans="1:6">
      <c r="A68" s="14">
        <v>45239</v>
      </c>
      <c r="B68" s="13">
        <v>14.998</v>
      </c>
      <c r="C68" s="13">
        <v>15.172</v>
      </c>
      <c r="D68" s="13">
        <v>15.172</v>
      </c>
      <c r="E68" s="13">
        <v>14.998</v>
      </c>
      <c r="F68" s="15">
        <v>0.0002</v>
      </c>
    </row>
    <row r="69" spans="1:6">
      <c r="A69" s="14">
        <v>45238</v>
      </c>
      <c r="B69" s="13">
        <v>14.995</v>
      </c>
      <c r="C69" s="13">
        <v>15.205</v>
      </c>
      <c r="D69" s="13">
        <v>15.205</v>
      </c>
      <c r="E69" s="13">
        <v>14.995</v>
      </c>
      <c r="F69" s="15">
        <v>0.0002</v>
      </c>
    </row>
    <row r="70" spans="1:6">
      <c r="A70" s="14">
        <v>45237</v>
      </c>
      <c r="B70" s="13">
        <v>14.992</v>
      </c>
      <c r="C70" s="13">
        <v>15.204</v>
      </c>
      <c r="D70" s="13">
        <v>15.204</v>
      </c>
      <c r="E70" s="13">
        <v>14.96</v>
      </c>
      <c r="F70" s="15">
        <v>0.0002</v>
      </c>
    </row>
    <row r="71" spans="1:6">
      <c r="A71" s="14">
        <v>45236</v>
      </c>
      <c r="B71" s="13">
        <v>14.988</v>
      </c>
      <c r="C71" s="13">
        <v>14.764</v>
      </c>
      <c r="D71" s="13">
        <v>15.093</v>
      </c>
      <c r="E71" s="13">
        <v>14.764</v>
      </c>
      <c r="F71" s="15">
        <v>0.0095</v>
      </c>
    </row>
    <row r="72" spans="1:6">
      <c r="A72" s="14">
        <v>45233</v>
      </c>
      <c r="B72" s="13">
        <v>14.847</v>
      </c>
      <c r="C72" s="13">
        <v>15.068</v>
      </c>
      <c r="D72" s="13">
        <v>15.068</v>
      </c>
      <c r="E72" s="13">
        <v>14.755</v>
      </c>
      <c r="F72" s="15">
        <v>0.0044</v>
      </c>
    </row>
    <row r="73" spans="1:6">
      <c r="A73" s="14">
        <v>45232</v>
      </c>
      <c r="B73" s="13">
        <v>14.783</v>
      </c>
      <c r="C73" s="13">
        <v>14.752</v>
      </c>
      <c r="D73" s="13">
        <v>15.054</v>
      </c>
      <c r="E73" s="13">
        <v>14.752</v>
      </c>
      <c r="F73" s="15">
        <v>0.0002</v>
      </c>
    </row>
    <row r="74" spans="1:6">
      <c r="A74" s="14">
        <v>45231</v>
      </c>
      <c r="B74" s="13">
        <v>14.78</v>
      </c>
      <c r="C74" s="13">
        <v>14.75</v>
      </c>
      <c r="D74" s="13">
        <v>15.087</v>
      </c>
      <c r="E74" s="13">
        <v>14.75</v>
      </c>
      <c r="F74" s="15">
        <v>-0.0011</v>
      </c>
    </row>
    <row r="75" spans="1:6">
      <c r="A75" s="14">
        <v>45230</v>
      </c>
      <c r="B75" s="13">
        <v>14.796</v>
      </c>
      <c r="C75" s="13">
        <v>15.066</v>
      </c>
      <c r="D75" s="13">
        <v>15.066</v>
      </c>
      <c r="E75" s="13">
        <v>14.747</v>
      </c>
      <c r="F75" s="15">
        <v>0.0047</v>
      </c>
    </row>
    <row r="76" spans="1:6">
      <c r="A76" s="14">
        <v>45229</v>
      </c>
      <c r="B76" s="13">
        <v>14.727</v>
      </c>
      <c r="C76" s="13">
        <v>14.747</v>
      </c>
      <c r="D76" s="13">
        <v>15.102</v>
      </c>
      <c r="E76" s="13">
        <v>14.727</v>
      </c>
      <c r="F76" s="15">
        <v>-0.0068</v>
      </c>
    </row>
    <row r="77" spans="1:6">
      <c r="A77" s="14">
        <v>45226</v>
      </c>
      <c r="B77" s="13">
        <v>14.828</v>
      </c>
      <c r="C77" s="13">
        <v>14.738</v>
      </c>
      <c r="D77" s="13">
        <v>15.065</v>
      </c>
      <c r="E77" s="13">
        <v>14.738</v>
      </c>
      <c r="F77" s="15">
        <v>0.0043</v>
      </c>
    </row>
    <row r="78" spans="1:6">
      <c r="A78" s="14">
        <v>45225</v>
      </c>
      <c r="B78" s="13">
        <v>14.765</v>
      </c>
      <c r="C78" s="13">
        <v>14.736</v>
      </c>
      <c r="D78" s="13">
        <v>15.047</v>
      </c>
      <c r="E78" s="13">
        <v>14.736</v>
      </c>
      <c r="F78" s="15">
        <v>0.002</v>
      </c>
    </row>
    <row r="79" spans="1:6">
      <c r="A79" s="14">
        <v>45224</v>
      </c>
      <c r="B79" s="13">
        <v>14.736</v>
      </c>
      <c r="C79" s="13">
        <v>14.736</v>
      </c>
      <c r="D79" s="13">
        <v>14.736</v>
      </c>
      <c r="E79" s="13">
        <v>14.736</v>
      </c>
      <c r="F79" s="15">
        <v>-0.0036</v>
      </c>
    </row>
    <row r="80" spans="1:6">
      <c r="A80" s="14">
        <v>45223</v>
      </c>
      <c r="B80" s="13">
        <v>14.788</v>
      </c>
      <c r="C80" s="13">
        <v>14.729</v>
      </c>
      <c r="D80" s="13">
        <v>15.061</v>
      </c>
      <c r="E80" s="13">
        <v>14.729</v>
      </c>
      <c r="F80" s="15">
        <v>0.0022</v>
      </c>
    </row>
    <row r="81" spans="1:6">
      <c r="A81" s="14">
        <v>45222</v>
      </c>
      <c r="B81" s="13">
        <v>14.756</v>
      </c>
      <c r="C81" s="13">
        <v>14.726</v>
      </c>
      <c r="D81" s="13">
        <v>15.06</v>
      </c>
      <c r="E81" s="13">
        <v>14.726</v>
      </c>
      <c r="F81" s="15">
        <v>-0.0033</v>
      </c>
    </row>
    <row r="82" spans="1:6">
      <c r="A82" s="14">
        <v>45219</v>
      </c>
      <c r="B82" s="13">
        <v>14.806</v>
      </c>
      <c r="C82" s="13">
        <v>15.23</v>
      </c>
      <c r="D82" s="13">
        <v>15.296</v>
      </c>
      <c r="E82" s="13">
        <v>14.717</v>
      </c>
      <c r="F82" s="15">
        <v>-0.0296</v>
      </c>
    </row>
    <row r="83" spans="1:6">
      <c r="A83" s="14">
        <v>45218</v>
      </c>
      <c r="B83" s="13">
        <v>15.257</v>
      </c>
      <c r="C83" s="13">
        <v>15.227</v>
      </c>
      <c r="D83" s="13">
        <v>15.295</v>
      </c>
      <c r="E83" s="13">
        <v>15.227</v>
      </c>
      <c r="F83" s="15">
        <v>0.0002</v>
      </c>
    </row>
    <row r="84" spans="1:6">
      <c r="A84" s="14">
        <v>45217</v>
      </c>
      <c r="B84" s="13">
        <v>15.254</v>
      </c>
      <c r="C84" s="13">
        <v>15.224</v>
      </c>
      <c r="D84" s="13">
        <v>15.326</v>
      </c>
      <c r="E84" s="13">
        <v>15.224</v>
      </c>
      <c r="F84" s="15">
        <v>-0.0046</v>
      </c>
    </row>
    <row r="85" spans="1:6">
      <c r="A85" s="14">
        <v>45216</v>
      </c>
      <c r="B85" s="13">
        <v>15.325</v>
      </c>
      <c r="C85" s="13">
        <v>15.22</v>
      </c>
      <c r="D85" s="13">
        <v>15.325</v>
      </c>
      <c r="E85" s="13">
        <v>15.22</v>
      </c>
      <c r="F85" s="15">
        <v>0.0051</v>
      </c>
    </row>
    <row r="86" spans="1:6">
      <c r="A86" s="14">
        <v>45215</v>
      </c>
      <c r="B86" s="13">
        <v>15.248</v>
      </c>
      <c r="C86" s="13">
        <v>15.218</v>
      </c>
      <c r="D86" s="13">
        <v>15.324</v>
      </c>
      <c r="E86" s="13">
        <v>15.218</v>
      </c>
      <c r="F86" s="15">
        <v>-0.0033</v>
      </c>
    </row>
    <row r="87" spans="1:6">
      <c r="A87" s="14">
        <v>45212</v>
      </c>
      <c r="B87" s="13">
        <v>15.298</v>
      </c>
      <c r="C87" s="13">
        <v>14.705</v>
      </c>
      <c r="D87" s="13">
        <v>15.298</v>
      </c>
      <c r="E87" s="13">
        <v>14.705</v>
      </c>
      <c r="F87" s="15">
        <v>0.0386</v>
      </c>
    </row>
    <row r="88" spans="1:6">
      <c r="A88" s="14">
        <v>45211</v>
      </c>
      <c r="B88" s="13">
        <v>14.73</v>
      </c>
      <c r="C88" s="13">
        <v>14.701</v>
      </c>
      <c r="D88" s="13">
        <v>14.73</v>
      </c>
      <c r="E88" s="13">
        <v>14.701</v>
      </c>
      <c r="F88" s="15">
        <v>0.0002</v>
      </c>
    </row>
    <row r="89" spans="1:6">
      <c r="A89" s="14">
        <v>45210</v>
      </c>
      <c r="B89" s="13">
        <v>14.726</v>
      </c>
      <c r="C89" s="13">
        <v>14.125</v>
      </c>
      <c r="D89" s="13">
        <v>14.726</v>
      </c>
      <c r="E89" s="13">
        <v>14.125</v>
      </c>
      <c r="F89" s="15">
        <v>0.0138</v>
      </c>
    </row>
    <row r="90" spans="1:6">
      <c r="A90" s="14">
        <v>45209</v>
      </c>
      <c r="B90" s="13">
        <v>14.526</v>
      </c>
      <c r="C90" s="13">
        <v>14.122</v>
      </c>
      <c r="D90" s="13">
        <v>14.526</v>
      </c>
      <c r="E90" s="13">
        <v>14.122</v>
      </c>
      <c r="F90" s="15">
        <v>0.0269</v>
      </c>
    </row>
    <row r="91" spans="1:6">
      <c r="A91" s="14">
        <v>45208</v>
      </c>
      <c r="B91" s="13">
        <v>14.145</v>
      </c>
      <c r="C91" s="13">
        <v>14.119</v>
      </c>
      <c r="D91" s="13">
        <v>14.524</v>
      </c>
      <c r="E91" s="13">
        <v>14.119</v>
      </c>
      <c r="F91" s="15">
        <v>-0.0031</v>
      </c>
    </row>
    <row r="92" spans="1:6">
      <c r="A92" s="14">
        <v>45205</v>
      </c>
      <c r="B92" s="13">
        <v>14.189</v>
      </c>
      <c r="C92" s="13">
        <v>14.111</v>
      </c>
      <c r="D92" s="13">
        <v>14.49</v>
      </c>
      <c r="E92" s="13">
        <v>14.111</v>
      </c>
      <c r="F92" s="15">
        <v>0.0039</v>
      </c>
    </row>
    <row r="93" spans="1:6">
      <c r="A93" s="14">
        <v>45204</v>
      </c>
      <c r="B93" s="13">
        <v>14.134</v>
      </c>
      <c r="C93" s="13">
        <v>14.108</v>
      </c>
      <c r="D93" s="13">
        <v>14.489</v>
      </c>
      <c r="E93" s="13">
        <v>14.108</v>
      </c>
      <c r="F93" s="15">
        <v>0.0002</v>
      </c>
    </row>
    <row r="94" spans="1:6">
      <c r="A94" s="14">
        <v>45203</v>
      </c>
      <c r="B94" s="13">
        <v>14.131</v>
      </c>
      <c r="C94" s="13">
        <v>14.106</v>
      </c>
      <c r="D94" s="13">
        <v>14.519</v>
      </c>
      <c r="E94" s="13">
        <v>14.106</v>
      </c>
      <c r="F94" s="15">
        <v>0.0002</v>
      </c>
    </row>
    <row r="95" spans="1:6">
      <c r="A95" s="14">
        <v>45202</v>
      </c>
      <c r="B95" s="13">
        <v>14.128</v>
      </c>
      <c r="C95" s="13">
        <v>14.103</v>
      </c>
      <c r="D95" s="13">
        <v>14.519</v>
      </c>
      <c r="E95" s="13">
        <v>14.103</v>
      </c>
      <c r="F95" s="15">
        <v>0.0002</v>
      </c>
    </row>
    <row r="96" spans="1:6">
      <c r="A96" s="14">
        <v>45201</v>
      </c>
      <c r="B96" s="13">
        <v>14.126</v>
      </c>
      <c r="C96" s="13">
        <v>14.1</v>
      </c>
      <c r="D96" s="13">
        <v>14.517</v>
      </c>
      <c r="E96" s="13">
        <v>14.1</v>
      </c>
      <c r="F96" s="15">
        <v>-0.003</v>
      </c>
    </row>
    <row r="97" spans="1:6">
      <c r="A97" s="14">
        <v>45198</v>
      </c>
      <c r="B97" s="13">
        <v>14.168</v>
      </c>
      <c r="C97" s="13">
        <v>14.092</v>
      </c>
      <c r="D97" s="13">
        <v>14.483</v>
      </c>
      <c r="E97" s="13">
        <v>14.092</v>
      </c>
      <c r="F97" s="15">
        <v>0.0038</v>
      </c>
    </row>
    <row r="98" spans="1:6">
      <c r="A98" s="14">
        <v>45197</v>
      </c>
      <c r="B98" s="13">
        <v>14.115</v>
      </c>
      <c r="C98" s="13">
        <v>14.492</v>
      </c>
      <c r="D98" s="13">
        <v>14.492</v>
      </c>
      <c r="E98" s="13">
        <v>14.09</v>
      </c>
      <c r="F98" s="15">
        <v>0.0002</v>
      </c>
    </row>
    <row r="99" spans="1:6">
      <c r="A99" s="14">
        <v>45196</v>
      </c>
      <c r="B99" s="13">
        <v>14.112</v>
      </c>
      <c r="C99" s="13">
        <v>14.087</v>
      </c>
      <c r="D99" s="13">
        <v>14.512</v>
      </c>
      <c r="E99" s="13">
        <v>14.087</v>
      </c>
      <c r="F99" s="15">
        <v>0.0002</v>
      </c>
    </row>
    <row r="100" spans="1:6">
      <c r="A100" s="14">
        <v>45195</v>
      </c>
      <c r="B100" s="13">
        <v>14.109</v>
      </c>
      <c r="C100" s="13">
        <v>14.085</v>
      </c>
      <c r="D100" s="13">
        <v>14.511</v>
      </c>
      <c r="E100" s="13">
        <v>14.085</v>
      </c>
      <c r="F100" s="15">
        <v>0.0002</v>
      </c>
    </row>
    <row r="101" spans="1:6">
      <c r="A101" s="14">
        <v>45194</v>
      </c>
      <c r="B101" s="13">
        <v>14.106</v>
      </c>
      <c r="C101" s="13">
        <v>14.082</v>
      </c>
      <c r="D101" s="13">
        <v>14.509</v>
      </c>
      <c r="E101" s="13">
        <v>14.082</v>
      </c>
      <c r="F101" s="15">
        <v>-0.0029</v>
      </c>
    </row>
    <row r="102" spans="1:6">
      <c r="A102" s="14">
        <v>45191</v>
      </c>
      <c r="B102" s="13">
        <v>14.148</v>
      </c>
      <c r="C102" s="13">
        <v>14.074</v>
      </c>
      <c r="D102" s="13">
        <v>14.99</v>
      </c>
      <c r="E102" s="13">
        <v>14.074</v>
      </c>
      <c r="F102" s="15">
        <v>0.0037</v>
      </c>
    </row>
    <row r="103" spans="1:6">
      <c r="A103" s="14">
        <v>45190</v>
      </c>
      <c r="B103" s="13">
        <v>14.096</v>
      </c>
      <c r="C103" s="13">
        <v>14.071</v>
      </c>
      <c r="D103" s="13">
        <v>14.476</v>
      </c>
      <c r="E103" s="13">
        <v>14.071</v>
      </c>
      <c r="F103" s="15">
        <v>-0.0001</v>
      </c>
    </row>
    <row r="104" spans="1:6">
      <c r="A104" s="14">
        <v>45189</v>
      </c>
      <c r="B104" s="13">
        <v>14.098</v>
      </c>
      <c r="C104" s="13">
        <v>14.071</v>
      </c>
      <c r="D104" s="13">
        <v>14.505</v>
      </c>
      <c r="E104" s="13">
        <v>14.071</v>
      </c>
      <c r="F104" s="15">
        <v>0</v>
      </c>
    </row>
    <row r="105" spans="1:6">
      <c r="A105" s="14">
        <v>45188</v>
      </c>
      <c r="B105" s="13">
        <v>14.098</v>
      </c>
      <c r="C105" s="13">
        <v>14.071</v>
      </c>
      <c r="D105" s="13">
        <v>14.503</v>
      </c>
      <c r="E105" s="13">
        <v>14.071</v>
      </c>
      <c r="F105" s="15">
        <v>0</v>
      </c>
    </row>
    <row r="106" spans="1:6">
      <c r="A106" s="14">
        <v>45187</v>
      </c>
      <c r="B106" s="13">
        <v>14.098</v>
      </c>
      <c r="C106" s="13">
        <v>14.071</v>
      </c>
      <c r="D106" s="13">
        <v>14.503</v>
      </c>
      <c r="E106" s="13">
        <v>14.071</v>
      </c>
      <c r="F106" s="15">
        <v>-0.0037</v>
      </c>
    </row>
    <row r="107" spans="1:6">
      <c r="A107" s="14">
        <v>45184</v>
      </c>
      <c r="B107" s="13">
        <v>14.151</v>
      </c>
      <c r="C107" s="13">
        <v>14.071</v>
      </c>
      <c r="D107" s="13">
        <v>14.965</v>
      </c>
      <c r="E107" s="13">
        <v>14.071</v>
      </c>
      <c r="F107" s="15">
        <v>0.0038</v>
      </c>
    </row>
    <row r="108" spans="1:6">
      <c r="A108" s="14">
        <v>45183</v>
      </c>
      <c r="B108" s="13">
        <v>14.097</v>
      </c>
      <c r="C108" s="13">
        <v>14.483</v>
      </c>
      <c r="D108" s="13">
        <v>14.483</v>
      </c>
      <c r="E108" s="13">
        <v>14.071</v>
      </c>
      <c r="F108" s="15">
        <v>0</v>
      </c>
    </row>
    <row r="109" spans="1:6">
      <c r="A109" s="14">
        <v>45182</v>
      </c>
      <c r="B109" s="13">
        <v>14.097</v>
      </c>
      <c r="C109" s="13">
        <v>14.515</v>
      </c>
      <c r="D109" s="13">
        <v>14.515</v>
      </c>
      <c r="E109" s="13">
        <v>14.097</v>
      </c>
      <c r="F109" s="15">
        <v>0</v>
      </c>
    </row>
    <row r="110" spans="1:6">
      <c r="A110" s="14">
        <v>45181</v>
      </c>
      <c r="B110" s="13">
        <v>14.097</v>
      </c>
      <c r="C110" s="13">
        <v>14.071</v>
      </c>
      <c r="D110" s="13">
        <v>14.503</v>
      </c>
      <c r="E110" s="13">
        <v>14.071</v>
      </c>
      <c r="F110" s="15">
        <v>0</v>
      </c>
    </row>
    <row r="111" spans="1:6">
      <c r="A111" s="14">
        <v>45180</v>
      </c>
      <c r="B111" s="13">
        <v>14.097</v>
      </c>
      <c r="C111" s="13">
        <v>14.071</v>
      </c>
      <c r="D111" s="13">
        <v>14.504</v>
      </c>
      <c r="E111" s="13">
        <v>14.071</v>
      </c>
      <c r="F111" s="15">
        <v>-0.0037</v>
      </c>
    </row>
    <row r="112" spans="1:6">
      <c r="A112" s="14">
        <v>45177</v>
      </c>
      <c r="B112" s="13">
        <v>14.149</v>
      </c>
      <c r="C112" s="13">
        <v>14.071</v>
      </c>
      <c r="D112" s="13">
        <v>16.092</v>
      </c>
      <c r="E112" s="13">
        <v>14.071</v>
      </c>
      <c r="F112" s="15">
        <v>0.0037</v>
      </c>
    </row>
    <row r="113" spans="1:6">
      <c r="A113" s="14">
        <v>45176</v>
      </c>
      <c r="B113" s="13">
        <v>14.097</v>
      </c>
      <c r="C113" s="13">
        <v>14.071</v>
      </c>
      <c r="D113" s="13">
        <v>14.967</v>
      </c>
      <c r="E113" s="13">
        <v>14.071</v>
      </c>
      <c r="F113" s="15">
        <v>0</v>
      </c>
    </row>
    <row r="114" spans="1:6">
      <c r="A114" s="14">
        <v>45175</v>
      </c>
      <c r="B114" s="13">
        <v>14.097</v>
      </c>
      <c r="C114" s="13">
        <v>14.757</v>
      </c>
      <c r="D114" s="13">
        <v>15.344</v>
      </c>
      <c r="E114" s="13">
        <v>14.071</v>
      </c>
      <c r="F114" s="15">
        <v>-0.082</v>
      </c>
    </row>
    <row r="115" spans="1:6">
      <c r="A115" s="14">
        <v>45174</v>
      </c>
      <c r="B115" s="13">
        <v>15.356</v>
      </c>
      <c r="C115" s="13">
        <v>15.356</v>
      </c>
      <c r="D115" s="13">
        <v>15.356</v>
      </c>
      <c r="E115" s="13">
        <v>15.356</v>
      </c>
      <c r="F115" s="15">
        <v>-0.0306</v>
      </c>
    </row>
    <row r="116" spans="1:6">
      <c r="A116" s="14">
        <v>45173</v>
      </c>
      <c r="B116" s="13">
        <v>15.842</v>
      </c>
      <c r="C116" s="13">
        <v>14.757</v>
      </c>
      <c r="D116" s="13">
        <v>15.842</v>
      </c>
      <c r="E116" s="13">
        <v>14.757</v>
      </c>
      <c r="F116" s="15">
        <v>0.0676</v>
      </c>
    </row>
    <row r="117" spans="1:6">
      <c r="A117" s="14">
        <v>45170</v>
      </c>
      <c r="B117" s="13">
        <v>14.839</v>
      </c>
      <c r="C117" s="13">
        <v>14.757</v>
      </c>
      <c r="D117" s="13">
        <v>15.806</v>
      </c>
      <c r="E117" s="13">
        <v>14.757</v>
      </c>
      <c r="F117" s="15">
        <v>0.0026</v>
      </c>
    </row>
    <row r="118" spans="1:6">
      <c r="A118" s="14">
        <v>45169</v>
      </c>
      <c r="B118" s="13">
        <v>14.8</v>
      </c>
      <c r="C118" s="13">
        <v>14.757</v>
      </c>
      <c r="D118" s="13">
        <v>15.303</v>
      </c>
      <c r="E118" s="13">
        <v>14.757</v>
      </c>
      <c r="F118" s="15">
        <v>0.0029</v>
      </c>
    </row>
    <row r="119" spans="1:6">
      <c r="A119" s="14">
        <v>45168</v>
      </c>
      <c r="B119" s="13">
        <v>14.757</v>
      </c>
      <c r="C119" s="13">
        <v>14.757</v>
      </c>
      <c r="D119" s="13">
        <v>14.757</v>
      </c>
      <c r="E119" s="13">
        <v>14.757</v>
      </c>
      <c r="F119" s="15">
        <v>-0.0007</v>
      </c>
    </row>
    <row r="120" spans="1:6">
      <c r="A120" s="14">
        <v>45167</v>
      </c>
      <c r="B120" s="13">
        <v>14.767</v>
      </c>
      <c r="C120" s="13">
        <v>14.757</v>
      </c>
      <c r="D120" s="13">
        <v>15.842</v>
      </c>
      <c r="E120" s="13">
        <v>14.757</v>
      </c>
      <c r="F120" s="15">
        <v>-0.0011</v>
      </c>
    </row>
    <row r="121" spans="1:6">
      <c r="A121" s="14">
        <v>45166</v>
      </c>
      <c r="B121" s="13">
        <v>14.784</v>
      </c>
      <c r="C121" s="13">
        <v>14.757</v>
      </c>
      <c r="D121" s="13">
        <v>14.848</v>
      </c>
      <c r="E121" s="13">
        <v>14.757</v>
      </c>
      <c r="F121" s="15">
        <v>-0.0036</v>
      </c>
    </row>
    <row r="122" spans="1:6">
      <c r="A122" s="14">
        <v>45163</v>
      </c>
      <c r="B122" s="13">
        <v>14.837</v>
      </c>
      <c r="C122" s="13">
        <v>14.757</v>
      </c>
      <c r="D122" s="13">
        <v>14.837</v>
      </c>
      <c r="E122" s="13">
        <v>14.757</v>
      </c>
      <c r="F122" s="15">
        <v>0.0037</v>
      </c>
    </row>
    <row r="123" spans="1:6">
      <c r="A123" s="14">
        <v>45162</v>
      </c>
      <c r="B123" s="13">
        <v>14.783</v>
      </c>
      <c r="C123" s="13">
        <v>14.757</v>
      </c>
      <c r="D123" s="13">
        <v>15.313</v>
      </c>
      <c r="E123" s="13">
        <v>14.757</v>
      </c>
      <c r="F123" s="15">
        <v>0</v>
      </c>
    </row>
    <row r="124" spans="1:6">
      <c r="A124" s="14">
        <v>45161</v>
      </c>
      <c r="B124" s="13">
        <v>14.783</v>
      </c>
      <c r="C124" s="13">
        <v>14.86</v>
      </c>
      <c r="D124" s="13">
        <v>14.86</v>
      </c>
      <c r="E124" s="13">
        <v>14.757</v>
      </c>
      <c r="F124" s="15">
        <v>0</v>
      </c>
    </row>
    <row r="125" spans="1:6">
      <c r="A125" s="14">
        <v>45160</v>
      </c>
      <c r="B125" s="13">
        <v>14.783</v>
      </c>
      <c r="C125" s="13">
        <v>14.757</v>
      </c>
      <c r="D125" s="13">
        <v>14.849</v>
      </c>
      <c r="E125" s="13">
        <v>14.757</v>
      </c>
      <c r="F125" s="15">
        <v>0</v>
      </c>
    </row>
    <row r="126" spans="1:6">
      <c r="A126" s="14">
        <v>45159</v>
      </c>
      <c r="B126" s="13">
        <v>14.783</v>
      </c>
      <c r="C126" s="13">
        <v>14.757</v>
      </c>
      <c r="D126" s="13">
        <v>14.849</v>
      </c>
      <c r="E126" s="13">
        <v>14.757</v>
      </c>
      <c r="F126" s="15">
        <v>-0.0035</v>
      </c>
    </row>
    <row r="127" spans="1:6">
      <c r="A127" s="14">
        <v>45156</v>
      </c>
      <c r="B127" s="13">
        <v>14.836</v>
      </c>
      <c r="C127" s="13">
        <v>14.757</v>
      </c>
      <c r="D127" s="13">
        <v>14.836</v>
      </c>
      <c r="E127" s="13">
        <v>14.757</v>
      </c>
      <c r="F127" s="15">
        <v>0.0036</v>
      </c>
    </row>
    <row r="128" spans="1:6">
      <c r="A128" s="14">
        <v>45155</v>
      </c>
      <c r="B128" s="13">
        <v>14.783</v>
      </c>
      <c r="C128" s="13">
        <v>14.757</v>
      </c>
      <c r="D128" s="13">
        <v>14.819</v>
      </c>
      <c r="E128" s="13">
        <v>14.757</v>
      </c>
      <c r="F128" s="15">
        <v>0</v>
      </c>
    </row>
    <row r="129" spans="1:6">
      <c r="A129" s="14">
        <v>45154</v>
      </c>
      <c r="B129" s="13">
        <v>14.783</v>
      </c>
      <c r="C129" s="13">
        <v>14.757</v>
      </c>
      <c r="D129" s="13">
        <v>14.849</v>
      </c>
      <c r="E129" s="13">
        <v>14.757</v>
      </c>
      <c r="F129" s="15">
        <v>0</v>
      </c>
    </row>
    <row r="130" spans="1:6">
      <c r="A130" s="14">
        <v>45153</v>
      </c>
      <c r="B130" s="13">
        <v>14.783</v>
      </c>
      <c r="C130" s="13">
        <v>14.757</v>
      </c>
      <c r="D130" s="13">
        <v>14.849</v>
      </c>
      <c r="E130" s="13">
        <v>14.757</v>
      </c>
      <c r="F130" s="15">
        <v>0</v>
      </c>
    </row>
    <row r="131" spans="1:6">
      <c r="A131" s="14">
        <v>45152</v>
      </c>
      <c r="B131" s="13">
        <v>14.783</v>
      </c>
      <c r="C131" s="13">
        <v>14.757</v>
      </c>
      <c r="D131" s="13">
        <v>14.849</v>
      </c>
      <c r="E131" s="13">
        <v>14.757</v>
      </c>
      <c r="F131" s="15">
        <v>-0.0035</v>
      </c>
    </row>
    <row r="132" spans="1:6">
      <c r="A132" s="14">
        <v>45149</v>
      </c>
      <c r="B132" s="13">
        <v>14.834</v>
      </c>
      <c r="C132" s="13">
        <v>14.757</v>
      </c>
      <c r="D132" s="13">
        <v>14.834</v>
      </c>
      <c r="E132" s="13">
        <v>14.757</v>
      </c>
      <c r="F132" s="15">
        <v>0.0035</v>
      </c>
    </row>
    <row r="133" spans="1:6">
      <c r="A133" s="14">
        <v>45148</v>
      </c>
      <c r="B133" s="13">
        <v>14.783</v>
      </c>
      <c r="C133" s="13">
        <v>14.757</v>
      </c>
      <c r="D133" s="13">
        <v>14.821</v>
      </c>
      <c r="E133" s="13">
        <v>14.757</v>
      </c>
      <c r="F133" s="15">
        <v>0</v>
      </c>
    </row>
    <row r="134" spans="1:6">
      <c r="A134" s="14">
        <v>45147</v>
      </c>
      <c r="B134" s="13">
        <v>14.783</v>
      </c>
      <c r="C134" s="13">
        <v>14.757</v>
      </c>
      <c r="D134" s="13">
        <v>14.849</v>
      </c>
      <c r="E134" s="13">
        <v>14.757</v>
      </c>
      <c r="F134" s="15">
        <v>0</v>
      </c>
    </row>
    <row r="135" spans="1:6">
      <c r="A135" s="14">
        <v>45146</v>
      </c>
      <c r="B135" s="13">
        <v>14.783</v>
      </c>
      <c r="C135" s="13">
        <v>14.861</v>
      </c>
      <c r="D135" s="13">
        <v>14.861</v>
      </c>
      <c r="E135" s="13">
        <v>14.757</v>
      </c>
      <c r="F135" s="15">
        <v>0</v>
      </c>
    </row>
    <row r="136" spans="1:6">
      <c r="A136" s="14">
        <v>45145</v>
      </c>
      <c r="B136" s="13">
        <v>14.783</v>
      </c>
      <c r="C136" s="13">
        <v>14.757</v>
      </c>
      <c r="D136" s="13">
        <v>14.85</v>
      </c>
      <c r="E136" s="13">
        <v>14.757</v>
      </c>
      <c r="F136" s="15">
        <v>-0.0034</v>
      </c>
    </row>
    <row r="137" spans="1:6">
      <c r="A137" s="14">
        <v>45142</v>
      </c>
      <c r="B137" s="13">
        <v>14.833</v>
      </c>
      <c r="C137" s="13">
        <v>14.757</v>
      </c>
      <c r="D137" s="13">
        <v>14.833</v>
      </c>
      <c r="E137" s="13">
        <v>14.757</v>
      </c>
      <c r="F137" s="15">
        <v>0.0035</v>
      </c>
    </row>
    <row r="138" spans="1:6">
      <c r="A138" s="14">
        <v>45141</v>
      </c>
      <c r="B138" s="13">
        <v>14.782</v>
      </c>
      <c r="C138" s="13">
        <v>14.757</v>
      </c>
      <c r="D138" s="13">
        <v>15.316</v>
      </c>
      <c r="E138" s="13">
        <v>14.757</v>
      </c>
      <c r="F138" s="15">
        <v>0</v>
      </c>
    </row>
    <row r="139" spans="1:6">
      <c r="A139" s="14">
        <v>45140</v>
      </c>
      <c r="B139" s="13">
        <v>14.782</v>
      </c>
      <c r="C139" s="13">
        <v>14.757</v>
      </c>
      <c r="D139" s="13">
        <v>14.85</v>
      </c>
      <c r="E139" s="13">
        <v>14.757</v>
      </c>
      <c r="F139" s="15">
        <v>0</v>
      </c>
    </row>
    <row r="140" spans="1:6">
      <c r="A140" s="14">
        <v>45139</v>
      </c>
      <c r="B140" s="13">
        <v>14.782</v>
      </c>
      <c r="C140" s="13">
        <v>14.757</v>
      </c>
      <c r="D140" s="13">
        <v>14.851</v>
      </c>
      <c r="E140" s="13">
        <v>14.757</v>
      </c>
      <c r="F140" s="15">
        <v>-0.001</v>
      </c>
    </row>
    <row r="141" spans="1:6">
      <c r="A141" s="14">
        <v>45138</v>
      </c>
      <c r="B141" s="13">
        <v>14.797</v>
      </c>
      <c r="C141" s="13">
        <v>14.757</v>
      </c>
      <c r="D141" s="13">
        <v>14.842</v>
      </c>
      <c r="E141" s="13">
        <v>14.757</v>
      </c>
      <c r="F141" s="15">
        <v>0.0004</v>
      </c>
    </row>
    <row r="142" spans="1:6">
      <c r="A142" s="14">
        <v>45135</v>
      </c>
      <c r="B142" s="13">
        <v>14.791</v>
      </c>
      <c r="C142" s="13">
        <v>14.757</v>
      </c>
      <c r="D142" s="13">
        <v>14.837</v>
      </c>
      <c r="E142" s="13">
        <v>14.757</v>
      </c>
      <c r="F142" s="15">
        <v>0.0006</v>
      </c>
    </row>
    <row r="143" spans="1:6">
      <c r="A143" s="14">
        <v>45134</v>
      </c>
      <c r="B143" s="13">
        <v>14.781</v>
      </c>
      <c r="C143" s="13">
        <v>14.837</v>
      </c>
      <c r="D143" s="13">
        <v>14.837</v>
      </c>
      <c r="E143" s="13">
        <v>14.757</v>
      </c>
      <c r="F143" s="15">
        <v>0</v>
      </c>
    </row>
    <row r="144" spans="1:6">
      <c r="A144" s="14">
        <v>45133</v>
      </c>
      <c r="B144" s="13">
        <v>14.781</v>
      </c>
      <c r="C144" s="13">
        <v>14.757</v>
      </c>
      <c r="D144" s="13">
        <v>14.851</v>
      </c>
      <c r="E144" s="13">
        <v>14.757</v>
      </c>
      <c r="F144" s="15">
        <v>0</v>
      </c>
    </row>
    <row r="145" spans="1:6">
      <c r="A145" s="14">
        <v>45132</v>
      </c>
      <c r="B145" s="13">
        <v>14.781</v>
      </c>
      <c r="C145" s="13">
        <v>14.757</v>
      </c>
      <c r="D145" s="13">
        <v>14.851</v>
      </c>
      <c r="E145" s="13">
        <v>14.757</v>
      </c>
      <c r="F145" s="15">
        <v>0</v>
      </c>
    </row>
    <row r="146" spans="1:6">
      <c r="A146" s="14">
        <v>45131</v>
      </c>
      <c r="B146" s="13">
        <v>14.781</v>
      </c>
      <c r="C146" s="13">
        <v>14.884</v>
      </c>
      <c r="D146" s="13">
        <v>14.884</v>
      </c>
      <c r="E146" s="13">
        <v>14.757</v>
      </c>
      <c r="F146" s="15">
        <v>-0.0033</v>
      </c>
    </row>
    <row r="147" spans="1:6">
      <c r="A147" s="14">
        <v>45128</v>
      </c>
      <c r="B147" s="13">
        <v>14.83</v>
      </c>
      <c r="C147" s="13">
        <v>14.757</v>
      </c>
      <c r="D147" s="13">
        <v>14.83</v>
      </c>
      <c r="E147" s="13">
        <v>14.757</v>
      </c>
      <c r="F147" s="15">
        <v>0.0033</v>
      </c>
    </row>
    <row r="148" spans="1:6">
      <c r="A148" s="14">
        <v>45127</v>
      </c>
      <c r="B148" s="13">
        <v>14.781</v>
      </c>
      <c r="C148" s="13">
        <v>14.835</v>
      </c>
      <c r="D148" s="13">
        <v>14.835</v>
      </c>
      <c r="E148" s="13">
        <v>14.757</v>
      </c>
      <c r="F148" s="15">
        <v>0</v>
      </c>
    </row>
    <row r="149" spans="1:6">
      <c r="A149" s="14">
        <v>45126</v>
      </c>
      <c r="B149" s="13">
        <v>14.781</v>
      </c>
      <c r="C149" s="13">
        <v>14.757</v>
      </c>
      <c r="D149" s="13">
        <v>14.851</v>
      </c>
      <c r="E149" s="13">
        <v>14.757</v>
      </c>
      <c r="F149" s="15">
        <v>0</v>
      </c>
    </row>
    <row r="150" spans="1:6">
      <c r="A150" s="14">
        <v>45125</v>
      </c>
      <c r="B150" s="13">
        <v>14.781</v>
      </c>
      <c r="C150" s="13">
        <v>14.757</v>
      </c>
      <c r="D150" s="13">
        <v>15.349</v>
      </c>
      <c r="E150" s="13">
        <v>14.757</v>
      </c>
      <c r="F150" s="15">
        <v>0</v>
      </c>
    </row>
    <row r="151" spans="1:6">
      <c r="A151" s="14">
        <v>45124</v>
      </c>
      <c r="B151" s="13">
        <v>14.781</v>
      </c>
      <c r="C151" s="13">
        <v>15.381</v>
      </c>
      <c r="D151" s="13">
        <v>15.381</v>
      </c>
      <c r="E151" s="13">
        <v>14.757</v>
      </c>
      <c r="F151" s="15">
        <v>-0.0032</v>
      </c>
    </row>
    <row r="152" spans="1:6">
      <c r="A152" s="14">
        <v>45121</v>
      </c>
      <c r="B152" s="13">
        <v>14.828</v>
      </c>
      <c r="C152" s="13">
        <v>14.763</v>
      </c>
      <c r="D152" s="13">
        <v>14.828</v>
      </c>
      <c r="E152" s="13">
        <v>14.757</v>
      </c>
      <c r="F152" s="15">
        <v>0.0028</v>
      </c>
    </row>
    <row r="153" spans="1:6">
      <c r="A153" s="14">
        <v>45120</v>
      </c>
      <c r="B153" s="13">
        <v>14.786</v>
      </c>
      <c r="C153" s="13">
        <v>14.763</v>
      </c>
      <c r="D153" s="13">
        <v>14.786</v>
      </c>
      <c r="E153" s="13">
        <v>14.763</v>
      </c>
      <c r="F153" s="15">
        <v>0</v>
      </c>
    </row>
    <row r="154" spans="1:6">
      <c r="A154" s="14">
        <v>45119</v>
      </c>
      <c r="B154" s="13">
        <v>14.786</v>
      </c>
      <c r="C154" s="13">
        <v>14.763</v>
      </c>
      <c r="D154" s="13">
        <v>14.786</v>
      </c>
      <c r="E154" s="13">
        <v>14.763</v>
      </c>
      <c r="F154" s="15">
        <v>0</v>
      </c>
    </row>
    <row r="155" spans="1:6">
      <c r="A155" s="14">
        <v>45118</v>
      </c>
      <c r="B155" s="13">
        <v>14.786</v>
      </c>
      <c r="C155" s="13">
        <v>14.763</v>
      </c>
      <c r="D155" s="13">
        <v>15.352</v>
      </c>
      <c r="E155" s="13">
        <v>14.763</v>
      </c>
      <c r="F155" s="15">
        <v>0</v>
      </c>
    </row>
    <row r="156" spans="1:6">
      <c r="A156" s="14">
        <v>45117</v>
      </c>
      <c r="B156" s="13">
        <v>14.786</v>
      </c>
      <c r="C156" s="13">
        <v>14.763</v>
      </c>
      <c r="D156" s="13">
        <v>14.855</v>
      </c>
      <c r="E156" s="13">
        <v>14.763</v>
      </c>
      <c r="F156" s="15">
        <v>0.0016</v>
      </c>
    </row>
    <row r="157" spans="1:6">
      <c r="A157" s="14">
        <v>45114</v>
      </c>
      <c r="B157" s="13">
        <v>14.763</v>
      </c>
      <c r="C157" s="13">
        <v>14.763</v>
      </c>
      <c r="D157" s="13">
        <v>14.763</v>
      </c>
      <c r="E157" s="13">
        <v>14.763</v>
      </c>
      <c r="F157" s="15">
        <v>0</v>
      </c>
    </row>
    <row r="158" spans="1:6">
      <c r="A158" s="14">
        <v>45113</v>
      </c>
      <c r="B158" s="13">
        <v>14.763</v>
      </c>
      <c r="C158" s="13">
        <v>14.763</v>
      </c>
      <c r="D158" s="13">
        <v>14.763</v>
      </c>
      <c r="E158" s="13">
        <v>14.763</v>
      </c>
      <c r="F158" s="15">
        <v>-0.0079</v>
      </c>
    </row>
    <row r="159" spans="1:6">
      <c r="A159" s="14">
        <v>45112</v>
      </c>
      <c r="B159" s="13">
        <v>14.88</v>
      </c>
      <c r="C159" s="13">
        <v>14.719</v>
      </c>
      <c r="D159" s="13">
        <v>15.273</v>
      </c>
      <c r="E159" s="13">
        <v>14.719</v>
      </c>
      <c r="F159" s="15">
        <v>0.0094</v>
      </c>
    </row>
    <row r="160" spans="1:6">
      <c r="A160" s="14">
        <v>45111</v>
      </c>
      <c r="B160" s="13">
        <v>14.743</v>
      </c>
      <c r="C160" s="13">
        <v>14.719</v>
      </c>
      <c r="D160" s="13">
        <v>15.519</v>
      </c>
      <c r="E160" s="13">
        <v>14.719</v>
      </c>
      <c r="F160" s="15">
        <v>0</v>
      </c>
    </row>
    <row r="161" spans="1:6">
      <c r="A161" s="14">
        <v>45110</v>
      </c>
      <c r="B161" s="13">
        <v>14.743</v>
      </c>
      <c r="C161" s="13">
        <v>14.75</v>
      </c>
      <c r="D161" s="13">
        <v>15.349</v>
      </c>
      <c r="E161" s="13">
        <v>14.719</v>
      </c>
      <c r="F161" s="15">
        <v>-0.042</v>
      </c>
    </row>
    <row r="162" spans="1:6">
      <c r="A162" s="14">
        <v>45108</v>
      </c>
      <c r="B162" s="13">
        <v>15.389</v>
      </c>
      <c r="C162" s="13">
        <v>15.389</v>
      </c>
      <c r="D162" s="13">
        <v>15.389</v>
      </c>
      <c r="E162" s="13">
        <v>15.389</v>
      </c>
      <c r="F162" s="15">
        <v>0.0389</v>
      </c>
    </row>
    <row r="163" spans="1:6">
      <c r="A163" s="14">
        <v>45107</v>
      </c>
      <c r="B163" s="13">
        <v>14.812</v>
      </c>
      <c r="C163" s="13">
        <v>14.75</v>
      </c>
      <c r="D163" s="13">
        <v>14.812</v>
      </c>
      <c r="E163" s="13">
        <v>14.75</v>
      </c>
      <c r="F163" s="15">
        <v>0.0028</v>
      </c>
    </row>
    <row r="164" spans="1:6">
      <c r="A164" s="14">
        <v>45106</v>
      </c>
      <c r="B164" s="13">
        <v>14.771</v>
      </c>
      <c r="C164" s="13">
        <v>14.75</v>
      </c>
      <c r="D164" s="13">
        <v>15.349</v>
      </c>
      <c r="E164" s="13">
        <v>14.75</v>
      </c>
      <c r="F164" s="15">
        <v>0.0014</v>
      </c>
    </row>
    <row r="165" spans="1:6">
      <c r="A165" s="14">
        <v>45105</v>
      </c>
      <c r="B165" s="13">
        <v>14.75</v>
      </c>
      <c r="C165" s="13">
        <v>14.75</v>
      </c>
      <c r="D165" s="13">
        <v>14.75</v>
      </c>
      <c r="E165" s="13">
        <v>14.75</v>
      </c>
      <c r="F165" s="15">
        <v>-0.0027</v>
      </c>
    </row>
    <row r="166" spans="1:6">
      <c r="A166" s="14">
        <v>45104</v>
      </c>
      <c r="B166" s="13">
        <v>14.79</v>
      </c>
      <c r="C166" s="13">
        <v>14.75</v>
      </c>
      <c r="D166" s="13">
        <v>14.79</v>
      </c>
      <c r="E166" s="13">
        <v>14.75</v>
      </c>
      <c r="F166" s="15">
        <v>0.0014</v>
      </c>
    </row>
    <row r="167" spans="1:6">
      <c r="A167" s="14">
        <v>45103</v>
      </c>
      <c r="B167" s="13">
        <v>14.77</v>
      </c>
      <c r="C167" s="13">
        <v>14.75</v>
      </c>
      <c r="D167" s="13">
        <v>14.84</v>
      </c>
      <c r="E167" s="13">
        <v>14.75</v>
      </c>
      <c r="F167" s="15">
        <v>-0.0027</v>
      </c>
    </row>
    <row r="168" spans="1:6">
      <c r="A168" s="14">
        <v>45100</v>
      </c>
      <c r="B168" s="13">
        <v>14.81</v>
      </c>
      <c r="C168" s="13">
        <v>14.75</v>
      </c>
      <c r="D168" s="13">
        <v>14.81</v>
      </c>
      <c r="E168" s="13">
        <v>14.75</v>
      </c>
      <c r="F168" s="15">
        <v>0.0027</v>
      </c>
    </row>
    <row r="169" spans="1:6">
      <c r="A169" s="14">
        <v>45099</v>
      </c>
      <c r="B169" s="13">
        <v>14.77</v>
      </c>
      <c r="C169" s="13">
        <v>14.75</v>
      </c>
      <c r="D169" s="13">
        <v>14.77</v>
      </c>
      <c r="E169" s="13">
        <v>14.75</v>
      </c>
      <c r="F169" s="15">
        <v>0</v>
      </c>
    </row>
    <row r="170" spans="1:6">
      <c r="A170" s="14">
        <v>45098</v>
      </c>
      <c r="B170" s="13">
        <v>14.77</v>
      </c>
      <c r="C170" s="13">
        <v>14.75</v>
      </c>
      <c r="D170" s="13">
        <v>14.77</v>
      </c>
      <c r="E170" s="13">
        <v>14.75</v>
      </c>
      <c r="F170" s="15">
        <v>0</v>
      </c>
    </row>
    <row r="171" spans="1:6">
      <c r="A171" s="14">
        <v>45097</v>
      </c>
      <c r="B171" s="13">
        <v>14.769</v>
      </c>
      <c r="C171" s="13">
        <v>14.75</v>
      </c>
      <c r="D171" s="13">
        <v>14.769</v>
      </c>
      <c r="E171" s="13">
        <v>14.75</v>
      </c>
      <c r="F171" s="15">
        <v>0</v>
      </c>
    </row>
    <row r="172" spans="1:6">
      <c r="A172" s="14">
        <v>45096</v>
      </c>
      <c r="B172" s="13">
        <v>14.769</v>
      </c>
      <c r="C172" s="13">
        <v>14.75</v>
      </c>
      <c r="D172" s="13">
        <v>14.769</v>
      </c>
      <c r="E172" s="13">
        <v>14.75</v>
      </c>
      <c r="F172" s="15">
        <v>-0.0027</v>
      </c>
    </row>
    <row r="173" spans="1:6">
      <c r="A173" s="14">
        <v>45093</v>
      </c>
      <c r="B173" s="13">
        <v>14.809</v>
      </c>
      <c r="C173" s="13">
        <v>14.75</v>
      </c>
      <c r="D173" s="13">
        <v>14.809</v>
      </c>
      <c r="E173" s="13">
        <v>14.75</v>
      </c>
      <c r="F173" s="15">
        <v>0.0027</v>
      </c>
    </row>
    <row r="174" spans="1:6">
      <c r="A174" s="14">
        <v>45092</v>
      </c>
      <c r="B174" s="13">
        <v>14.769</v>
      </c>
      <c r="C174" s="13">
        <v>14.75</v>
      </c>
      <c r="D174" s="13">
        <v>14.769</v>
      </c>
      <c r="E174" s="13">
        <v>14.75</v>
      </c>
      <c r="F174" s="15">
        <v>0</v>
      </c>
    </row>
    <row r="175" spans="1:6">
      <c r="A175" s="14">
        <v>45091</v>
      </c>
      <c r="B175" s="13">
        <v>14.769</v>
      </c>
      <c r="C175" s="13">
        <v>14.75</v>
      </c>
      <c r="D175" s="13">
        <v>14.769</v>
      </c>
      <c r="E175" s="13">
        <v>14.75</v>
      </c>
      <c r="F175" s="15">
        <v>0</v>
      </c>
    </row>
    <row r="176" spans="1:6">
      <c r="A176" s="14">
        <v>45090</v>
      </c>
      <c r="B176" s="13">
        <v>14.769</v>
      </c>
      <c r="C176" s="13">
        <v>14.8</v>
      </c>
      <c r="D176" s="13">
        <v>14.8</v>
      </c>
      <c r="E176" s="13">
        <v>14.75</v>
      </c>
      <c r="F176" s="15">
        <v>-0.0034</v>
      </c>
    </row>
    <row r="177" spans="1:6">
      <c r="A177" s="14">
        <v>45089</v>
      </c>
      <c r="B177" s="13">
        <v>14.819</v>
      </c>
      <c r="C177" s="13">
        <v>14.8</v>
      </c>
      <c r="D177" s="13">
        <v>14.819</v>
      </c>
      <c r="E177" s="13">
        <v>14.8</v>
      </c>
      <c r="F177" s="15">
        <v>-0.0026</v>
      </c>
    </row>
    <row r="178" spans="1:6">
      <c r="A178" s="14">
        <v>45086</v>
      </c>
      <c r="B178" s="13">
        <v>14.858</v>
      </c>
      <c r="C178" s="13">
        <v>14.8</v>
      </c>
      <c r="D178" s="13">
        <v>14.858</v>
      </c>
      <c r="E178" s="13">
        <v>14.8</v>
      </c>
      <c r="F178" s="15">
        <v>0.0026</v>
      </c>
    </row>
    <row r="179" spans="1:6">
      <c r="A179" s="14">
        <v>45085</v>
      </c>
      <c r="B179" s="13">
        <v>14.819</v>
      </c>
      <c r="C179" s="13">
        <v>14.8</v>
      </c>
      <c r="D179" s="13">
        <v>15.351</v>
      </c>
      <c r="E179" s="13">
        <v>14.8</v>
      </c>
      <c r="F179" s="15">
        <v>0</v>
      </c>
    </row>
    <row r="180" spans="1:6">
      <c r="A180" s="14">
        <v>45084</v>
      </c>
      <c r="B180" s="13">
        <v>14.819</v>
      </c>
      <c r="C180" s="13">
        <v>14.8</v>
      </c>
      <c r="D180" s="13">
        <v>14.878</v>
      </c>
      <c r="E180" s="13">
        <v>14.8</v>
      </c>
      <c r="F180" s="15">
        <v>0</v>
      </c>
    </row>
    <row r="181" spans="1:6">
      <c r="A181" s="14">
        <v>45083</v>
      </c>
      <c r="B181" s="13">
        <v>14.819</v>
      </c>
      <c r="C181" s="13">
        <v>14.8</v>
      </c>
      <c r="D181" s="13">
        <v>14.878</v>
      </c>
      <c r="E181" s="13">
        <v>14.8</v>
      </c>
      <c r="F181" s="15">
        <v>0</v>
      </c>
    </row>
    <row r="182" spans="1:6">
      <c r="A182" s="14">
        <v>45082</v>
      </c>
      <c r="B182" s="13">
        <v>14.819</v>
      </c>
      <c r="C182" s="13">
        <v>14.8</v>
      </c>
      <c r="D182" s="13">
        <v>14.878</v>
      </c>
      <c r="E182" s="13">
        <v>14.8</v>
      </c>
      <c r="F182" s="15">
        <v>-0.0025</v>
      </c>
    </row>
    <row r="183" spans="1:6">
      <c r="A183" s="14">
        <v>45079</v>
      </c>
      <c r="B183" s="13">
        <v>14.856</v>
      </c>
      <c r="C183" s="13">
        <v>14.8</v>
      </c>
      <c r="D183" s="13">
        <v>14.856</v>
      </c>
      <c r="E183" s="13">
        <v>14.8</v>
      </c>
      <c r="F183" s="15">
        <v>0.0026</v>
      </c>
    </row>
    <row r="184" spans="1:6">
      <c r="A184" s="14">
        <v>45078</v>
      </c>
      <c r="B184" s="13">
        <v>14.818</v>
      </c>
      <c r="C184" s="13">
        <v>14.8</v>
      </c>
      <c r="D184" s="13">
        <v>14.856</v>
      </c>
      <c r="E184" s="13">
        <v>14.8</v>
      </c>
      <c r="F184" s="15">
        <v>-0.0014</v>
      </c>
    </row>
    <row r="185" spans="1:6">
      <c r="A185" s="14">
        <v>45077</v>
      </c>
      <c r="B185" s="13">
        <v>14.84</v>
      </c>
      <c r="C185" s="13">
        <v>14.8</v>
      </c>
      <c r="D185" s="13">
        <v>15.365</v>
      </c>
      <c r="E185" s="13">
        <v>14.8</v>
      </c>
      <c r="F185" s="15">
        <v>0.0041</v>
      </c>
    </row>
    <row r="186" spans="1:6">
      <c r="A186" s="14">
        <v>45076</v>
      </c>
      <c r="B186" s="13">
        <v>14.78</v>
      </c>
      <c r="C186" s="13">
        <v>14.8</v>
      </c>
      <c r="D186" s="13">
        <v>14.889</v>
      </c>
      <c r="E186" s="13">
        <v>14.78</v>
      </c>
      <c r="F186" s="15">
        <v>-0.0026</v>
      </c>
    </row>
    <row r="187" spans="1:6">
      <c r="A187" s="14">
        <v>45075</v>
      </c>
      <c r="B187" s="13">
        <v>14.818</v>
      </c>
      <c r="C187" s="13">
        <v>14.8</v>
      </c>
      <c r="D187" s="13">
        <v>14.818</v>
      </c>
      <c r="E187" s="13">
        <v>14.8</v>
      </c>
      <c r="F187" s="15">
        <v>-0.0025</v>
      </c>
    </row>
    <row r="188" spans="1:6">
      <c r="A188" s="14">
        <v>45072</v>
      </c>
      <c r="B188" s="13">
        <v>14.856</v>
      </c>
      <c r="C188" s="13">
        <v>15.36</v>
      </c>
      <c r="D188" s="13">
        <v>15.36</v>
      </c>
      <c r="E188" s="13">
        <v>14.8</v>
      </c>
      <c r="F188" s="15">
        <v>0.0025</v>
      </c>
    </row>
    <row r="189" spans="1:6">
      <c r="A189" s="14">
        <v>45071</v>
      </c>
      <c r="B189" s="13">
        <v>14.818</v>
      </c>
      <c r="C189" s="13">
        <v>14.8</v>
      </c>
      <c r="D189" s="13">
        <v>14.858</v>
      </c>
      <c r="E189" s="13">
        <v>14.8</v>
      </c>
      <c r="F189" s="15">
        <v>0</v>
      </c>
    </row>
    <row r="190" spans="1:6">
      <c r="A190" s="14">
        <v>45070</v>
      </c>
      <c r="B190" s="13">
        <v>14.818</v>
      </c>
      <c r="C190" s="13">
        <v>14.8</v>
      </c>
      <c r="D190" s="13">
        <v>14.878</v>
      </c>
      <c r="E190" s="13">
        <v>14.8</v>
      </c>
      <c r="F190" s="15">
        <v>0</v>
      </c>
    </row>
    <row r="191" spans="1:6">
      <c r="A191" s="14">
        <v>45069</v>
      </c>
      <c r="B191" s="13">
        <v>14.818</v>
      </c>
      <c r="C191" s="13">
        <v>14.8</v>
      </c>
      <c r="D191" s="13">
        <v>14.879</v>
      </c>
      <c r="E191" s="13">
        <v>14.8</v>
      </c>
      <c r="F191" s="15">
        <v>0</v>
      </c>
    </row>
    <row r="192" spans="1:6">
      <c r="A192" s="14">
        <v>45068</v>
      </c>
      <c r="B192" s="13">
        <v>14.818</v>
      </c>
      <c r="C192" s="13">
        <v>14.8</v>
      </c>
      <c r="D192" s="13">
        <v>14.879</v>
      </c>
      <c r="E192" s="13">
        <v>14.8</v>
      </c>
      <c r="F192" s="15">
        <v>-0.0024</v>
      </c>
    </row>
    <row r="193" spans="1:6">
      <c r="A193" s="14">
        <v>45065</v>
      </c>
      <c r="B193" s="13">
        <v>14.854</v>
      </c>
      <c r="C193" s="13">
        <v>14.8</v>
      </c>
      <c r="D193" s="13">
        <v>14.858</v>
      </c>
      <c r="E193" s="13">
        <v>14.8</v>
      </c>
      <c r="F193" s="15">
        <v>0.0024</v>
      </c>
    </row>
    <row r="194" spans="1:6">
      <c r="A194" s="14">
        <v>45064</v>
      </c>
      <c r="B194" s="13">
        <v>14.818</v>
      </c>
      <c r="C194" s="13">
        <v>14.8</v>
      </c>
      <c r="D194" s="13">
        <v>15.353</v>
      </c>
      <c r="E194" s="13">
        <v>14.8</v>
      </c>
      <c r="F194" s="15">
        <v>0</v>
      </c>
    </row>
    <row r="195" spans="1:6">
      <c r="A195" s="14">
        <v>45063</v>
      </c>
      <c r="B195" s="13">
        <v>14.818</v>
      </c>
      <c r="C195" s="13">
        <v>14.8</v>
      </c>
      <c r="D195" s="13">
        <v>14.879</v>
      </c>
      <c r="E195" s="13">
        <v>14.8</v>
      </c>
      <c r="F195" s="15">
        <v>0</v>
      </c>
    </row>
    <row r="196" spans="1:6">
      <c r="A196" s="14">
        <v>45062</v>
      </c>
      <c r="B196" s="13">
        <v>14.818</v>
      </c>
      <c r="C196" s="13">
        <v>14.8</v>
      </c>
      <c r="D196" s="13">
        <v>14.879</v>
      </c>
      <c r="E196" s="13">
        <v>14.8</v>
      </c>
      <c r="F196" s="15">
        <v>0</v>
      </c>
    </row>
    <row r="197" spans="1:6">
      <c r="A197" s="14">
        <v>45061</v>
      </c>
      <c r="B197" s="13">
        <v>14.818</v>
      </c>
      <c r="C197" s="13">
        <v>14.9</v>
      </c>
      <c r="D197" s="13">
        <v>14.929</v>
      </c>
      <c r="E197" s="13">
        <v>14.8</v>
      </c>
      <c r="F197" s="15">
        <v>-0.0091</v>
      </c>
    </row>
    <row r="198" spans="1:6">
      <c r="A198" s="14">
        <v>45058</v>
      </c>
      <c r="B198" s="13">
        <v>14.955</v>
      </c>
      <c r="C198" s="13">
        <v>14.9</v>
      </c>
      <c r="D198" s="13">
        <v>14.955</v>
      </c>
      <c r="E198" s="13">
        <v>14.9</v>
      </c>
      <c r="F198" s="15">
        <v>0.0024</v>
      </c>
    </row>
    <row r="199" spans="1:6">
      <c r="A199" s="14">
        <v>45057</v>
      </c>
      <c r="B199" s="13">
        <v>14.918</v>
      </c>
      <c r="C199" s="13">
        <v>14.9</v>
      </c>
      <c r="D199" s="13">
        <v>14.918</v>
      </c>
      <c r="E199" s="13">
        <v>14.9</v>
      </c>
      <c r="F199" s="15">
        <v>0</v>
      </c>
    </row>
    <row r="200" spans="1:6">
      <c r="A200" s="14">
        <v>45056</v>
      </c>
      <c r="B200" s="13">
        <v>14.917</v>
      </c>
      <c r="C200" s="13">
        <v>14.9</v>
      </c>
      <c r="D200" s="13">
        <v>14.929</v>
      </c>
      <c r="E200" s="13">
        <v>14.9</v>
      </c>
      <c r="F200" s="15">
        <v>0.0012</v>
      </c>
    </row>
    <row r="201" spans="1:6">
      <c r="A201" s="14">
        <v>45055</v>
      </c>
      <c r="B201" s="13">
        <v>14.9</v>
      </c>
      <c r="C201" s="13">
        <v>14.9</v>
      </c>
      <c r="D201" s="13">
        <v>14.9</v>
      </c>
      <c r="E201" s="13">
        <v>14.9</v>
      </c>
      <c r="F201" s="15">
        <v>0</v>
      </c>
    </row>
    <row r="202" spans="1:6">
      <c r="A202" s="14">
        <v>45054</v>
      </c>
      <c r="B202" s="13">
        <v>14.9</v>
      </c>
      <c r="C202" s="13">
        <v>14.9</v>
      </c>
      <c r="D202" s="13">
        <v>14.9</v>
      </c>
      <c r="E202" s="13">
        <v>14.9</v>
      </c>
      <c r="F202" s="15">
        <v>-0.006</v>
      </c>
    </row>
    <row r="203" spans="1:6">
      <c r="A203" s="14">
        <v>45051</v>
      </c>
      <c r="B203" s="13">
        <v>14.99</v>
      </c>
      <c r="C203" s="13">
        <v>14.897</v>
      </c>
      <c r="D203" s="13">
        <v>14.99</v>
      </c>
      <c r="E203" s="13">
        <v>14.897</v>
      </c>
      <c r="F203" s="15">
        <v>0.0048</v>
      </c>
    </row>
    <row r="204" spans="1:6">
      <c r="A204" s="14">
        <v>45050</v>
      </c>
      <c r="B204" s="13">
        <v>14.917</v>
      </c>
      <c r="C204" s="13">
        <v>14.898</v>
      </c>
      <c r="D204" s="13">
        <v>14.917</v>
      </c>
      <c r="E204" s="13">
        <v>14.898</v>
      </c>
      <c r="F204" s="15">
        <v>0</v>
      </c>
    </row>
    <row r="205" spans="1:6">
      <c r="A205" s="14">
        <v>45049</v>
      </c>
      <c r="B205" s="13">
        <v>14.917</v>
      </c>
      <c r="C205" s="13">
        <v>14.938</v>
      </c>
      <c r="D205" s="13">
        <v>14.938</v>
      </c>
      <c r="E205" s="13">
        <v>14.9</v>
      </c>
      <c r="F205" s="15">
        <v>0</v>
      </c>
    </row>
    <row r="206" spans="1:6">
      <c r="A206" s="14">
        <v>45048</v>
      </c>
      <c r="B206" s="13">
        <v>14.917</v>
      </c>
      <c r="C206" s="13">
        <v>14.9</v>
      </c>
      <c r="D206" s="13">
        <v>14.93</v>
      </c>
      <c r="E206" s="13">
        <v>14.9</v>
      </c>
      <c r="F206" s="15">
        <v>0.0012</v>
      </c>
    </row>
    <row r="207" spans="1:6">
      <c r="A207" s="14">
        <v>45047</v>
      </c>
      <c r="B207" s="13">
        <v>14.9</v>
      </c>
      <c r="C207" s="13">
        <v>14.9</v>
      </c>
      <c r="D207" s="13">
        <v>14.9</v>
      </c>
      <c r="E207" s="13">
        <v>14.9</v>
      </c>
      <c r="F207" s="15">
        <v>-0.0047</v>
      </c>
    </row>
    <row r="208" spans="1:6">
      <c r="A208" s="14">
        <v>45044</v>
      </c>
      <c r="B208" s="13">
        <v>14.97</v>
      </c>
      <c r="C208" s="13">
        <v>14.9</v>
      </c>
      <c r="D208" s="13">
        <v>14.97</v>
      </c>
      <c r="E208" s="13">
        <v>14.9</v>
      </c>
      <c r="F208" s="15">
        <v>0.0035</v>
      </c>
    </row>
    <row r="209" spans="1:6">
      <c r="A209" s="14">
        <v>45043</v>
      </c>
      <c r="B209" s="13">
        <v>14.917</v>
      </c>
      <c r="C209" s="13">
        <v>14.9</v>
      </c>
      <c r="D209" s="13">
        <v>14.917</v>
      </c>
      <c r="E209" s="13">
        <v>14.9</v>
      </c>
      <c r="F209" s="15">
        <v>0</v>
      </c>
    </row>
    <row r="210" spans="1:6">
      <c r="A210" s="14">
        <v>45042</v>
      </c>
      <c r="B210" s="13">
        <v>14.917</v>
      </c>
      <c r="C210" s="13">
        <v>15.2</v>
      </c>
      <c r="D210" s="13">
        <v>15.2</v>
      </c>
      <c r="E210" s="13">
        <v>14.9</v>
      </c>
      <c r="F210" s="15">
        <v>-0.0197</v>
      </c>
    </row>
    <row r="211" spans="1:6">
      <c r="A211" s="14">
        <v>45041</v>
      </c>
      <c r="B211" s="13">
        <v>15.218</v>
      </c>
      <c r="C211" s="13">
        <v>15.59</v>
      </c>
      <c r="D211" s="13">
        <v>15.59</v>
      </c>
      <c r="E211" s="13">
        <v>15.2</v>
      </c>
      <c r="F211" s="15">
        <v>-0.0261</v>
      </c>
    </row>
    <row r="212" spans="1:6">
      <c r="A212" s="14">
        <v>45040</v>
      </c>
      <c r="B212" s="13">
        <v>15.625</v>
      </c>
      <c r="C212" s="13">
        <v>15.587</v>
      </c>
      <c r="D212" s="13">
        <v>15.625</v>
      </c>
      <c r="E212" s="13">
        <v>15.587</v>
      </c>
      <c r="F212" s="15">
        <v>-0.0043</v>
      </c>
    </row>
    <row r="213" spans="1:6">
      <c r="A213" s="14">
        <v>45037</v>
      </c>
      <c r="B213" s="13">
        <v>15.693</v>
      </c>
      <c r="C213" s="13">
        <v>15.577</v>
      </c>
      <c r="D213" s="13">
        <v>15.693</v>
      </c>
      <c r="E213" s="13">
        <v>15.577</v>
      </c>
      <c r="F213" s="15">
        <v>0.0052</v>
      </c>
    </row>
    <row r="214" spans="1:6">
      <c r="A214" s="14">
        <v>45036</v>
      </c>
      <c r="B214" s="13">
        <v>15.611</v>
      </c>
      <c r="C214" s="13">
        <v>15.573</v>
      </c>
      <c r="D214" s="13">
        <v>15.611</v>
      </c>
      <c r="E214" s="13">
        <v>15.573</v>
      </c>
      <c r="F214" s="15">
        <v>0.0002</v>
      </c>
    </row>
    <row r="215" spans="1:6">
      <c r="A215" s="14">
        <v>45035</v>
      </c>
      <c r="B215" s="13">
        <v>15.608</v>
      </c>
      <c r="C215" s="13">
        <v>15.571</v>
      </c>
      <c r="D215" s="13">
        <v>15.608</v>
      </c>
      <c r="E215" s="13">
        <v>15.571</v>
      </c>
      <c r="F215" s="15">
        <v>0.0002</v>
      </c>
    </row>
    <row r="216" spans="1:6">
      <c r="A216" s="14">
        <v>45034</v>
      </c>
      <c r="B216" s="13">
        <v>15.605</v>
      </c>
      <c r="C216" s="13">
        <v>15.567</v>
      </c>
      <c r="D216" s="13">
        <v>15.605</v>
      </c>
      <c r="E216" s="13">
        <v>15.567</v>
      </c>
      <c r="F216" s="15">
        <v>0.0002</v>
      </c>
    </row>
    <row r="217" spans="1:6">
      <c r="A217" s="14">
        <v>45033</v>
      </c>
      <c r="B217" s="13">
        <v>15.601</v>
      </c>
      <c r="C217" s="13">
        <v>15.564</v>
      </c>
      <c r="D217" s="13">
        <v>15.601</v>
      </c>
      <c r="E217" s="13">
        <v>15.564</v>
      </c>
      <c r="F217" s="15">
        <v>-0.0041</v>
      </c>
    </row>
    <row r="218" spans="1:6">
      <c r="A218" s="14">
        <v>45030</v>
      </c>
      <c r="B218" s="13">
        <v>15.666</v>
      </c>
      <c r="C218" s="13">
        <v>15.554</v>
      </c>
      <c r="D218" s="13">
        <v>15.666</v>
      </c>
      <c r="E218" s="13">
        <v>15.554</v>
      </c>
      <c r="F218" s="15">
        <v>0.005</v>
      </c>
    </row>
    <row r="219" spans="1:6">
      <c r="A219" s="14">
        <v>45029</v>
      </c>
      <c r="B219" s="13">
        <v>15.588</v>
      </c>
      <c r="C219" s="13">
        <v>15.551</v>
      </c>
      <c r="D219" s="13">
        <v>15.588</v>
      </c>
      <c r="E219" s="13">
        <v>15.551</v>
      </c>
      <c r="F219" s="15">
        <v>0.0002</v>
      </c>
    </row>
    <row r="220" spans="1:6">
      <c r="A220" s="14">
        <v>45028</v>
      </c>
      <c r="B220" s="13">
        <v>15.585</v>
      </c>
      <c r="C220" s="13">
        <v>15.547</v>
      </c>
      <c r="D220" s="13">
        <v>15.585</v>
      </c>
      <c r="E220" s="13">
        <v>15.547</v>
      </c>
      <c r="F220" s="15">
        <v>0.0002</v>
      </c>
    </row>
    <row r="221" spans="1:6">
      <c r="A221" s="14">
        <v>45027</v>
      </c>
      <c r="B221" s="13">
        <v>15.581</v>
      </c>
      <c r="C221" s="13">
        <v>15.581</v>
      </c>
      <c r="D221" s="13">
        <v>15.581</v>
      </c>
      <c r="E221" s="13">
        <v>15.581</v>
      </c>
      <c r="F221" s="15">
        <v>0.0002</v>
      </c>
    </row>
    <row r="222" spans="1:6">
      <c r="A222" s="14">
        <v>45026</v>
      </c>
      <c r="B222" s="13">
        <v>15.578</v>
      </c>
      <c r="C222" s="13">
        <v>15.542</v>
      </c>
      <c r="D222" s="13">
        <v>15.578</v>
      </c>
      <c r="E222" s="13">
        <v>15.542</v>
      </c>
      <c r="F222" s="15">
        <v>-0.004</v>
      </c>
    </row>
    <row r="223" spans="1:6">
      <c r="A223" s="14">
        <v>45023</v>
      </c>
      <c r="B223" s="13">
        <v>15.641</v>
      </c>
      <c r="C223" s="13">
        <v>15.564</v>
      </c>
      <c r="D223" s="13">
        <v>15.641</v>
      </c>
      <c r="E223" s="13">
        <v>15.564</v>
      </c>
      <c r="F223" s="15">
        <v>0.0049</v>
      </c>
    </row>
    <row r="224" spans="1:6">
      <c r="A224" s="14">
        <v>45022</v>
      </c>
      <c r="B224" s="13">
        <v>15.564</v>
      </c>
      <c r="C224" s="13">
        <v>15.528</v>
      </c>
      <c r="D224" s="13">
        <v>15.564</v>
      </c>
      <c r="E224" s="13">
        <v>15.528</v>
      </c>
      <c r="F224" s="15">
        <v>0.0002</v>
      </c>
    </row>
    <row r="225" spans="1:6">
      <c r="A225" s="14">
        <v>45021</v>
      </c>
      <c r="B225" s="13">
        <v>15.561</v>
      </c>
      <c r="C225" s="13">
        <v>15.525</v>
      </c>
      <c r="D225" s="13">
        <v>15.561</v>
      </c>
      <c r="E225" s="13">
        <v>15.525</v>
      </c>
      <c r="F225" s="15">
        <v>0.0025</v>
      </c>
    </row>
    <row r="226" spans="1:6">
      <c r="A226" s="14">
        <v>45020</v>
      </c>
      <c r="B226" s="13">
        <v>15.522</v>
      </c>
      <c r="C226" s="13">
        <v>15.522</v>
      </c>
      <c r="D226" s="13">
        <v>15.522</v>
      </c>
      <c r="E226" s="13">
        <v>15.522</v>
      </c>
      <c r="F226" s="15">
        <v>-0.0021</v>
      </c>
    </row>
    <row r="227" spans="1:6">
      <c r="A227" s="14">
        <v>45019</v>
      </c>
      <c r="B227" s="13">
        <v>15.554</v>
      </c>
      <c r="C227" s="13">
        <v>15.42</v>
      </c>
      <c r="D227" s="13">
        <v>15.554</v>
      </c>
      <c r="E227" s="13">
        <v>15.42</v>
      </c>
      <c r="F227" s="15">
        <v>0.0011</v>
      </c>
    </row>
    <row r="228" spans="1:6">
      <c r="A228" s="14">
        <v>45016</v>
      </c>
      <c r="B228" s="13">
        <v>15.536</v>
      </c>
      <c r="C228" s="13">
        <v>15.41</v>
      </c>
      <c r="D228" s="13">
        <v>15.536</v>
      </c>
      <c r="E228" s="13">
        <v>15.41</v>
      </c>
      <c r="F228" s="15">
        <v>0.0097</v>
      </c>
    </row>
    <row r="229" spans="1:6">
      <c r="A229" s="14">
        <v>45015</v>
      </c>
      <c r="B229" s="13">
        <v>15.388</v>
      </c>
      <c r="C229" s="13">
        <v>15.41</v>
      </c>
      <c r="D229" s="13">
        <v>15.41</v>
      </c>
      <c r="E229" s="13">
        <v>15.388</v>
      </c>
      <c r="F229" s="15">
        <v>-0.0034</v>
      </c>
    </row>
    <row r="230" spans="1:6">
      <c r="A230" s="14">
        <v>45014</v>
      </c>
      <c r="B230" s="13">
        <v>15.441</v>
      </c>
      <c r="C230" s="13">
        <v>15.406</v>
      </c>
      <c r="D230" s="13">
        <v>15.441</v>
      </c>
      <c r="E230" s="13">
        <v>15.406</v>
      </c>
      <c r="F230" s="15">
        <v>0.0002</v>
      </c>
    </row>
    <row r="231" spans="1:6">
      <c r="A231" s="14">
        <v>45013</v>
      </c>
      <c r="B231" s="13">
        <v>15.438</v>
      </c>
      <c r="C231" s="13">
        <v>15.403</v>
      </c>
      <c r="D231" s="13">
        <v>15.438</v>
      </c>
      <c r="E231" s="13">
        <v>15.403</v>
      </c>
      <c r="F231" s="15">
        <v>0.0025</v>
      </c>
    </row>
    <row r="232" spans="1:6">
      <c r="A232" s="14">
        <v>45012</v>
      </c>
      <c r="B232" s="13">
        <v>15.4</v>
      </c>
      <c r="C232" s="13">
        <v>15.4</v>
      </c>
      <c r="D232" s="13">
        <v>15.4</v>
      </c>
      <c r="E232" s="13">
        <v>15.4</v>
      </c>
      <c r="F232" s="15">
        <v>-0.006</v>
      </c>
    </row>
    <row r="233" spans="1:6">
      <c r="A233" s="14">
        <v>45009</v>
      </c>
      <c r="B233" s="13">
        <v>15.493</v>
      </c>
      <c r="C233" s="13">
        <v>15.391</v>
      </c>
      <c r="D233" s="13">
        <v>15.493</v>
      </c>
      <c r="E233" s="13">
        <v>15.391</v>
      </c>
      <c r="F233" s="15">
        <v>0.0046</v>
      </c>
    </row>
    <row r="234" spans="1:6">
      <c r="A234" s="14">
        <v>45008</v>
      </c>
      <c r="B234" s="13">
        <v>15.421</v>
      </c>
      <c r="C234" s="13">
        <v>15.421</v>
      </c>
      <c r="D234" s="13">
        <v>15.421</v>
      </c>
      <c r="E234" s="13">
        <v>15.421</v>
      </c>
      <c r="F234" s="15">
        <v>0</v>
      </c>
    </row>
    <row r="235" spans="1:6">
      <c r="A235" s="14">
        <v>45007</v>
      </c>
      <c r="B235" s="13">
        <v>15.421</v>
      </c>
      <c r="C235" s="13">
        <v>15.421</v>
      </c>
      <c r="D235" s="13">
        <v>15.421</v>
      </c>
      <c r="E235" s="13">
        <v>15.421</v>
      </c>
      <c r="F235" s="15">
        <v>-0.0039</v>
      </c>
    </row>
    <row r="236" spans="1:6">
      <c r="A236" s="14">
        <v>45006</v>
      </c>
      <c r="B236" s="13">
        <v>15.482</v>
      </c>
      <c r="C236" s="13">
        <v>15.482</v>
      </c>
      <c r="D236" s="13">
        <v>15.482</v>
      </c>
      <c r="E236" s="13">
        <v>15.482</v>
      </c>
      <c r="F236" s="15">
        <v>-0.002</v>
      </c>
    </row>
    <row r="237" spans="1:6">
      <c r="A237" s="14">
        <v>45005</v>
      </c>
      <c r="B237" s="13">
        <v>15.512</v>
      </c>
      <c r="C237" s="13">
        <v>16.761</v>
      </c>
      <c r="D237" s="13">
        <v>16.761</v>
      </c>
      <c r="E237" s="13">
        <v>15.378</v>
      </c>
      <c r="F237" s="15">
        <v>-0.0801</v>
      </c>
    </row>
    <row r="238" spans="1:6">
      <c r="A238" s="14">
        <v>45002</v>
      </c>
      <c r="B238" s="13">
        <v>16.863</v>
      </c>
      <c r="C238" s="13">
        <v>16.75</v>
      </c>
      <c r="D238" s="13">
        <v>16.863</v>
      </c>
      <c r="E238" s="13">
        <v>16.75</v>
      </c>
      <c r="F238" s="15">
        <v>0.0048</v>
      </c>
    </row>
    <row r="239" spans="1:6">
      <c r="A239" s="14">
        <v>45001</v>
      </c>
      <c r="B239" s="13">
        <v>16.783</v>
      </c>
      <c r="C239" s="13">
        <v>16.746</v>
      </c>
      <c r="D239" s="13">
        <v>16.783</v>
      </c>
      <c r="E239" s="13">
        <v>16.746</v>
      </c>
      <c r="F239" s="15">
        <v>0.0002</v>
      </c>
    </row>
    <row r="240" spans="1:6">
      <c r="A240" s="14">
        <v>45000</v>
      </c>
      <c r="B240" s="13">
        <v>16.779</v>
      </c>
      <c r="C240" s="13">
        <v>16.691</v>
      </c>
      <c r="D240" s="13">
        <v>16.779</v>
      </c>
      <c r="E240" s="13">
        <v>16.691</v>
      </c>
      <c r="F240" s="15">
        <v>0.0033</v>
      </c>
    </row>
    <row r="241" spans="1:6">
      <c r="A241" s="14">
        <v>44999</v>
      </c>
      <c r="B241" s="13">
        <v>16.725</v>
      </c>
      <c r="C241" s="13">
        <v>16.687</v>
      </c>
      <c r="D241" s="13">
        <v>16.725</v>
      </c>
      <c r="E241" s="13">
        <v>16.687</v>
      </c>
      <c r="F241" s="15">
        <v>0.0002</v>
      </c>
    </row>
    <row r="242" spans="1:6">
      <c r="A242" s="14">
        <v>44998</v>
      </c>
      <c r="B242" s="13">
        <v>16.721</v>
      </c>
      <c r="C242" s="13">
        <v>16.684</v>
      </c>
      <c r="D242" s="13">
        <v>16.721</v>
      </c>
      <c r="E242" s="13">
        <v>16.684</v>
      </c>
      <c r="F242" s="15">
        <v>0.0029</v>
      </c>
    </row>
    <row r="243" spans="1:6">
      <c r="A243" s="14">
        <v>44995</v>
      </c>
      <c r="B243" s="13">
        <v>16.673</v>
      </c>
      <c r="C243" s="13">
        <v>16.673</v>
      </c>
      <c r="D243" s="13">
        <v>16.673</v>
      </c>
      <c r="E243" s="13">
        <v>16.673</v>
      </c>
      <c r="F243" s="15">
        <v>0.0002</v>
      </c>
    </row>
    <row r="244" spans="1:6">
      <c r="A244" s="14">
        <v>44994</v>
      </c>
      <c r="B244" s="13">
        <v>16.669</v>
      </c>
      <c r="C244" s="13">
        <v>16.669</v>
      </c>
      <c r="D244" s="13">
        <v>16.669</v>
      </c>
      <c r="E244" s="13">
        <v>16.669</v>
      </c>
      <c r="F244" s="15">
        <v>0.0005</v>
      </c>
    </row>
    <row r="245" spans="1:6">
      <c r="A245" s="14">
        <v>44993</v>
      </c>
      <c r="B245" s="13">
        <v>16.662</v>
      </c>
      <c r="C245" s="13">
        <v>16.662</v>
      </c>
      <c r="D245" s="13">
        <v>16.662</v>
      </c>
      <c r="E245" s="13">
        <v>16.662</v>
      </c>
      <c r="F245" s="15">
        <v>0</v>
      </c>
    </row>
    <row r="246" spans="1:6">
      <c r="A246" s="14">
        <v>44992</v>
      </c>
      <c r="B246" s="13">
        <v>16.662</v>
      </c>
      <c r="C246" s="13">
        <v>16.212</v>
      </c>
      <c r="D246" s="13">
        <v>16.662</v>
      </c>
      <c r="E246" s="13">
        <v>16.212</v>
      </c>
      <c r="F246" s="15">
        <v>-0.0019</v>
      </c>
    </row>
    <row r="247" spans="1:6">
      <c r="A247" s="14">
        <v>44991</v>
      </c>
      <c r="B247" s="13">
        <v>16.694</v>
      </c>
      <c r="C247" s="13">
        <v>16.753</v>
      </c>
      <c r="D247" s="13">
        <v>16.753</v>
      </c>
      <c r="E247" s="13">
        <v>16.694</v>
      </c>
      <c r="F247" s="15">
        <v>-0.0036</v>
      </c>
    </row>
    <row r="248" spans="1:6">
      <c r="A248" s="14">
        <v>44988</v>
      </c>
      <c r="B248" s="13">
        <v>16.753</v>
      </c>
      <c r="C248" s="13">
        <v>16.646</v>
      </c>
      <c r="D248" s="13">
        <v>16.753</v>
      </c>
      <c r="E248" s="13">
        <v>16.646</v>
      </c>
      <c r="F248" s="15">
        <v>0.0045</v>
      </c>
    </row>
    <row r="249" spans="1:6">
      <c r="A249" s="14">
        <v>44987</v>
      </c>
      <c r="B249" s="13">
        <v>16.678</v>
      </c>
      <c r="C249" s="13">
        <v>16.643</v>
      </c>
      <c r="D249" s="13">
        <v>16.678</v>
      </c>
      <c r="E249" s="13">
        <v>16.643</v>
      </c>
      <c r="F249" s="15">
        <v>0.0002</v>
      </c>
    </row>
    <row r="250" spans="1:6">
      <c r="A250" s="14">
        <v>44986</v>
      </c>
      <c r="B250" s="13">
        <v>16.674</v>
      </c>
      <c r="C250" s="13">
        <v>16.639</v>
      </c>
      <c r="D250" s="13">
        <v>16.674</v>
      </c>
      <c r="E250" s="13">
        <v>16.198</v>
      </c>
      <c r="F250" s="15">
        <v>0.0027</v>
      </c>
    </row>
    <row r="251" spans="1:6">
      <c r="A251" s="14">
        <v>44985</v>
      </c>
      <c r="B251" s="13">
        <v>16.63</v>
      </c>
      <c r="C251" s="13">
        <v>16.635</v>
      </c>
      <c r="D251" s="13">
        <v>16.635</v>
      </c>
      <c r="E251" s="13">
        <v>16.63</v>
      </c>
      <c r="F251" s="15">
        <v>-0.0083</v>
      </c>
    </row>
    <row r="252" spans="1:6">
      <c r="A252" s="14">
        <v>44984</v>
      </c>
      <c r="B252" s="13">
        <v>16.77</v>
      </c>
      <c r="C252" s="13">
        <v>16.237</v>
      </c>
      <c r="D252" s="13">
        <v>16.77</v>
      </c>
      <c r="E252" s="13">
        <v>16.237</v>
      </c>
      <c r="F252" s="15">
        <v>0.0031</v>
      </c>
    </row>
    <row r="253" spans="1:6">
      <c r="A253" s="14">
        <v>44981</v>
      </c>
      <c r="B253" s="13">
        <v>16.718</v>
      </c>
      <c r="C253" s="13">
        <v>16.614</v>
      </c>
      <c r="D253" s="13">
        <v>16.718</v>
      </c>
      <c r="E253" s="13">
        <v>16.614</v>
      </c>
      <c r="F253" s="15">
        <v>0.0044</v>
      </c>
    </row>
    <row r="254" spans="1:6">
      <c r="A254" s="14">
        <v>44980</v>
      </c>
      <c r="B254" s="13">
        <v>16.644</v>
      </c>
      <c r="C254" s="13">
        <v>16.61</v>
      </c>
      <c r="D254" s="13">
        <v>16.644</v>
      </c>
      <c r="E254" s="13">
        <v>16.61</v>
      </c>
      <c r="F254" s="15">
        <v>0.0002</v>
      </c>
    </row>
    <row r="255" spans="1:6">
      <c r="A255" s="14">
        <v>44979</v>
      </c>
      <c r="B255" s="13">
        <v>16.64</v>
      </c>
      <c r="C255" s="13">
        <v>16.607</v>
      </c>
      <c r="D255" s="13">
        <v>16.64</v>
      </c>
      <c r="E255" s="13">
        <v>16.205</v>
      </c>
      <c r="F255" s="15">
        <v>0.0002</v>
      </c>
    </row>
    <row r="256" spans="1:6">
      <c r="A256" s="14">
        <v>44978</v>
      </c>
      <c r="B256" s="13">
        <v>16.636</v>
      </c>
      <c r="C256" s="13">
        <v>16.603</v>
      </c>
      <c r="D256" s="13">
        <v>16.636</v>
      </c>
      <c r="E256" s="13">
        <v>16.603</v>
      </c>
      <c r="F256" s="15">
        <v>0.0002</v>
      </c>
    </row>
    <row r="257" spans="1:6">
      <c r="A257" s="14">
        <v>44977</v>
      </c>
      <c r="B257" s="13">
        <v>16.633</v>
      </c>
      <c r="C257" s="13">
        <v>16.599</v>
      </c>
      <c r="D257" s="13">
        <v>16.633</v>
      </c>
      <c r="E257" s="13">
        <v>16.599</v>
      </c>
      <c r="F257" s="15">
        <v>-0.0034</v>
      </c>
    </row>
    <row r="258" spans="1:6">
      <c r="A258" s="14">
        <v>44974</v>
      </c>
      <c r="B258" s="13">
        <v>16.689</v>
      </c>
      <c r="C258" s="13">
        <v>15.887</v>
      </c>
      <c r="D258" s="13">
        <v>16.689</v>
      </c>
      <c r="E258" s="13">
        <v>15.887</v>
      </c>
      <c r="F258" s="15">
        <v>0.0043</v>
      </c>
    </row>
    <row r="259" spans="1:6">
      <c r="A259" s="14">
        <v>44973</v>
      </c>
      <c r="B259" s="13">
        <v>16.618</v>
      </c>
      <c r="C259" s="13">
        <v>15.862</v>
      </c>
      <c r="D259" s="13">
        <v>16.618</v>
      </c>
      <c r="E259" s="13">
        <v>15.862</v>
      </c>
      <c r="F259" s="15">
        <v>0.0002</v>
      </c>
    </row>
    <row r="260" spans="1:6">
      <c r="A260" s="14">
        <v>44972</v>
      </c>
      <c r="B260" s="13">
        <v>16.614</v>
      </c>
      <c r="C260" s="13">
        <v>15.967</v>
      </c>
      <c r="D260" s="13">
        <v>16.614</v>
      </c>
      <c r="E260" s="13">
        <v>15.967</v>
      </c>
      <c r="F260" s="15">
        <v>0.0002</v>
      </c>
    </row>
    <row r="261" spans="1:6">
      <c r="A261" s="14">
        <v>44971</v>
      </c>
      <c r="B261" s="13">
        <v>16.61</v>
      </c>
      <c r="C261" s="13">
        <v>16.015</v>
      </c>
      <c r="D261" s="13">
        <v>16.61</v>
      </c>
      <c r="E261" s="13">
        <v>16.001</v>
      </c>
      <c r="F261" s="15">
        <v>0.0002</v>
      </c>
    </row>
    <row r="262" spans="1:6">
      <c r="A262" s="14">
        <v>44970</v>
      </c>
      <c r="B262" s="13">
        <v>16.607</v>
      </c>
      <c r="C262" s="13">
        <v>16.662</v>
      </c>
      <c r="D262" s="13">
        <v>16.662</v>
      </c>
      <c r="E262" s="13">
        <v>16.607</v>
      </c>
      <c r="F262" s="15">
        <v>-0.0033</v>
      </c>
    </row>
    <row r="263" spans="1:6">
      <c r="A263" s="14">
        <v>44967</v>
      </c>
      <c r="B263" s="13">
        <v>16.662</v>
      </c>
      <c r="C263" s="13">
        <v>16.563</v>
      </c>
      <c r="D263" s="13">
        <v>16.662</v>
      </c>
      <c r="E263" s="13">
        <v>16.563</v>
      </c>
      <c r="F263" s="15">
        <v>0.0042</v>
      </c>
    </row>
    <row r="264" spans="1:6">
      <c r="A264" s="14">
        <v>44966</v>
      </c>
      <c r="B264" s="13">
        <v>16.591</v>
      </c>
      <c r="C264" s="13">
        <v>16.559</v>
      </c>
      <c r="D264" s="13">
        <v>16.591</v>
      </c>
      <c r="E264" s="13">
        <v>16.559</v>
      </c>
      <c r="F264" s="15">
        <v>0.0002</v>
      </c>
    </row>
    <row r="265" spans="1:6">
      <c r="A265" s="14">
        <v>44965</v>
      </c>
      <c r="B265" s="13">
        <v>16.587</v>
      </c>
      <c r="C265" s="13">
        <v>16.556</v>
      </c>
      <c r="D265" s="13">
        <v>16.587</v>
      </c>
      <c r="E265" s="13">
        <v>16.556</v>
      </c>
      <c r="F265" s="15">
        <v>0.0002</v>
      </c>
    </row>
    <row r="266" spans="1:6">
      <c r="A266" s="14">
        <v>44964</v>
      </c>
      <c r="B266" s="13">
        <v>16.584</v>
      </c>
      <c r="C266" s="13">
        <v>16.552</v>
      </c>
      <c r="D266" s="13">
        <v>16.584</v>
      </c>
      <c r="E266" s="13">
        <v>16.552</v>
      </c>
      <c r="F266" s="15">
        <v>0.0002</v>
      </c>
    </row>
    <row r="267" spans="1:6">
      <c r="A267" s="14">
        <v>44963</v>
      </c>
      <c r="B267" s="13">
        <v>16.58</v>
      </c>
      <c r="C267" s="13">
        <v>16.537</v>
      </c>
      <c r="D267" s="13">
        <v>16.58</v>
      </c>
      <c r="E267" s="13">
        <v>16.537</v>
      </c>
      <c r="F267" s="15">
        <v>0.0026</v>
      </c>
    </row>
    <row r="268" spans="1:6">
      <c r="A268" s="14">
        <v>44960</v>
      </c>
      <c r="B268" s="13">
        <v>16.537</v>
      </c>
      <c r="C268" s="13">
        <v>16.537</v>
      </c>
      <c r="D268" s="13">
        <v>16.537</v>
      </c>
      <c r="E268" s="13">
        <v>16.537</v>
      </c>
      <c r="F268" s="15">
        <v>-0.0017</v>
      </c>
    </row>
    <row r="269" spans="1:6">
      <c r="A269" s="14">
        <v>44959</v>
      </c>
      <c r="B269" s="13">
        <v>16.565</v>
      </c>
      <c r="C269" s="13">
        <v>16.533</v>
      </c>
      <c r="D269" s="13">
        <v>16.565</v>
      </c>
      <c r="E269" s="13">
        <v>16.533</v>
      </c>
      <c r="F269" s="15">
        <v>0.0002</v>
      </c>
    </row>
    <row r="270" spans="1:6">
      <c r="A270" s="14">
        <v>44958</v>
      </c>
      <c r="B270" s="13">
        <v>16.562</v>
      </c>
      <c r="C270" s="13">
        <v>16.529</v>
      </c>
      <c r="D270" s="13">
        <v>16.562</v>
      </c>
      <c r="E270" s="13">
        <v>16.529</v>
      </c>
      <c r="F270" s="15">
        <v>-0.0009</v>
      </c>
    </row>
    <row r="271" spans="1:6">
      <c r="A271" s="14">
        <v>44957</v>
      </c>
      <c r="B271" s="13">
        <v>16.576</v>
      </c>
      <c r="C271" s="13">
        <v>16.526</v>
      </c>
      <c r="D271" s="13">
        <v>16.576</v>
      </c>
      <c r="E271" s="13">
        <v>16.526</v>
      </c>
      <c r="F271" s="15">
        <v>0.0042</v>
      </c>
    </row>
    <row r="272" spans="1:6">
      <c r="A272" s="14">
        <v>44956</v>
      </c>
      <c r="B272" s="13">
        <v>16.507</v>
      </c>
      <c r="C272" s="13">
        <v>16.526</v>
      </c>
      <c r="D272" s="13">
        <v>16.526</v>
      </c>
      <c r="E272" s="13">
        <v>16.507</v>
      </c>
      <c r="F272" s="15">
        <v>-0.0061</v>
      </c>
    </row>
    <row r="273" spans="1:6">
      <c r="A273" s="14">
        <v>44953</v>
      </c>
      <c r="B273" s="13">
        <v>16.61</v>
      </c>
      <c r="C273" s="13">
        <v>16.515</v>
      </c>
      <c r="D273" s="13">
        <v>16.61</v>
      </c>
      <c r="E273" s="13">
        <v>16.515</v>
      </c>
      <c r="F273" s="15">
        <v>0.004</v>
      </c>
    </row>
    <row r="274" spans="1:6">
      <c r="A274" s="14">
        <v>44952</v>
      </c>
      <c r="B274" s="13">
        <v>16.543</v>
      </c>
      <c r="C274" s="13">
        <v>16.511</v>
      </c>
      <c r="D274" s="13">
        <v>16.543</v>
      </c>
      <c r="E274" s="13">
        <v>16.511</v>
      </c>
      <c r="F274" s="15">
        <v>0.0002</v>
      </c>
    </row>
    <row r="275" spans="1:6">
      <c r="A275" s="14">
        <v>44951</v>
      </c>
      <c r="B275" s="13">
        <v>16.539</v>
      </c>
      <c r="C275" s="13">
        <v>16.508</v>
      </c>
      <c r="D275" s="13">
        <v>16.539</v>
      </c>
      <c r="E275" s="13">
        <v>16.508</v>
      </c>
      <c r="F275" s="15">
        <v>-0.0002</v>
      </c>
    </row>
    <row r="276" spans="1:6">
      <c r="A276" s="14">
        <v>44950</v>
      </c>
      <c r="B276" s="13">
        <v>16.542</v>
      </c>
      <c r="C276" s="13">
        <v>16.508</v>
      </c>
      <c r="D276" s="13">
        <v>16.542</v>
      </c>
      <c r="E276" s="13">
        <v>16.508</v>
      </c>
      <c r="F276" s="15">
        <v>0</v>
      </c>
    </row>
    <row r="277" spans="1:6">
      <c r="A277" s="14">
        <v>44949</v>
      </c>
      <c r="B277" s="13">
        <v>16.542</v>
      </c>
      <c r="C277" s="13">
        <v>16.542</v>
      </c>
      <c r="D277" s="13">
        <v>16.542</v>
      </c>
      <c r="E277" s="13">
        <v>16.542</v>
      </c>
      <c r="F277" s="15">
        <v>-0.004</v>
      </c>
    </row>
    <row r="278" spans="1:6">
      <c r="A278" s="14">
        <v>44946</v>
      </c>
      <c r="B278" s="13">
        <v>16.609</v>
      </c>
      <c r="C278" s="13">
        <v>16.508</v>
      </c>
      <c r="D278" s="13">
        <v>16.609</v>
      </c>
      <c r="E278" s="13">
        <v>16.508</v>
      </c>
      <c r="F278" s="15">
        <v>0.0041</v>
      </c>
    </row>
    <row r="279" spans="1:6">
      <c r="A279" s="14">
        <v>44945</v>
      </c>
      <c r="B279" s="13">
        <v>16.541</v>
      </c>
      <c r="C279" s="13">
        <v>16.508</v>
      </c>
      <c r="D279" s="13">
        <v>16.541</v>
      </c>
      <c r="E279" s="13">
        <v>16.508</v>
      </c>
      <c r="F279" s="15">
        <v>0</v>
      </c>
    </row>
    <row r="280" spans="1:6">
      <c r="A280" s="14">
        <v>44944</v>
      </c>
      <c r="B280" s="13">
        <v>16.541</v>
      </c>
      <c r="C280" s="13">
        <v>16.508</v>
      </c>
      <c r="D280" s="13">
        <v>16.541</v>
      </c>
      <c r="E280" s="13">
        <v>16.508</v>
      </c>
      <c r="F280" s="15">
        <v>0</v>
      </c>
    </row>
    <row r="281" spans="1:6">
      <c r="A281" s="14">
        <v>44943</v>
      </c>
      <c r="B281" s="13">
        <v>16.541</v>
      </c>
      <c r="C281" s="13">
        <v>16.508</v>
      </c>
      <c r="D281" s="13">
        <v>16.541</v>
      </c>
      <c r="E281" s="13">
        <v>16.508</v>
      </c>
      <c r="F281" s="15">
        <v>0</v>
      </c>
    </row>
    <row r="282" spans="1:6">
      <c r="A282" s="14">
        <v>44942</v>
      </c>
      <c r="B282" s="13">
        <v>16.541</v>
      </c>
      <c r="C282" s="13">
        <v>16.508</v>
      </c>
      <c r="D282" s="13">
        <v>16.541</v>
      </c>
      <c r="E282" s="13">
        <v>16.508</v>
      </c>
      <c r="F282" s="15">
        <v>-0.004</v>
      </c>
    </row>
    <row r="283" spans="1:6">
      <c r="A283" s="14">
        <v>44939</v>
      </c>
      <c r="B283" s="13">
        <v>16.607</v>
      </c>
      <c r="C283" s="13">
        <v>16.508</v>
      </c>
      <c r="D283" s="13">
        <v>16.607</v>
      </c>
      <c r="E283" s="13">
        <v>16.508</v>
      </c>
      <c r="F283" s="15">
        <v>0.004</v>
      </c>
    </row>
    <row r="284" spans="1:6">
      <c r="A284" s="14">
        <v>44938</v>
      </c>
      <c r="B284" s="13">
        <v>16.541</v>
      </c>
      <c r="C284" s="13">
        <v>16.508</v>
      </c>
      <c r="D284" s="13">
        <v>16.541</v>
      </c>
      <c r="E284" s="13">
        <v>16.508</v>
      </c>
      <c r="F284" s="15">
        <v>0</v>
      </c>
    </row>
    <row r="285" spans="1:6">
      <c r="A285" s="14">
        <v>44937</v>
      </c>
      <c r="B285" s="13">
        <v>16.541</v>
      </c>
      <c r="C285" s="13">
        <v>16.508</v>
      </c>
      <c r="D285" s="13">
        <v>16.541</v>
      </c>
      <c r="E285" s="13">
        <v>16.508</v>
      </c>
      <c r="F285" s="15">
        <v>0</v>
      </c>
    </row>
    <row r="286" spans="1:6">
      <c r="A286" s="14">
        <v>44936</v>
      </c>
      <c r="B286" s="13">
        <v>16.541</v>
      </c>
      <c r="C286" s="13">
        <v>16.508</v>
      </c>
      <c r="D286" s="13">
        <v>16.541</v>
      </c>
      <c r="E286" s="13">
        <v>16.508</v>
      </c>
      <c r="F286" s="15">
        <v>0</v>
      </c>
    </row>
    <row r="287" spans="1:6">
      <c r="A287" s="14">
        <v>44935</v>
      </c>
      <c r="B287" s="13">
        <v>16.541</v>
      </c>
      <c r="C287" s="13">
        <v>16.508</v>
      </c>
      <c r="D287" s="13">
        <v>16.541</v>
      </c>
      <c r="E287" s="13">
        <v>16.508</v>
      </c>
      <c r="F287" s="15">
        <v>-0.0039</v>
      </c>
    </row>
    <row r="288" spans="1:6">
      <c r="A288" s="14">
        <v>44932</v>
      </c>
      <c r="B288" s="13">
        <v>16.605</v>
      </c>
      <c r="C288" s="13">
        <v>16.508</v>
      </c>
      <c r="D288" s="13">
        <v>16.605</v>
      </c>
      <c r="E288" s="13">
        <v>16.508</v>
      </c>
      <c r="F288" s="15">
        <v>0.0039</v>
      </c>
    </row>
    <row r="289" spans="1:6">
      <c r="A289" s="14">
        <v>44931</v>
      </c>
      <c r="B289" s="13">
        <v>16.54</v>
      </c>
      <c r="C289" s="13">
        <v>16.508</v>
      </c>
      <c r="D289" s="13">
        <v>16.54</v>
      </c>
      <c r="E289" s="13">
        <v>16.508</v>
      </c>
      <c r="F289" s="15">
        <v>0</v>
      </c>
    </row>
    <row r="290" spans="1:6">
      <c r="A290" s="14">
        <v>44930</v>
      </c>
      <c r="B290" s="13">
        <v>16.54</v>
      </c>
      <c r="C290" s="13">
        <v>16.508</v>
      </c>
      <c r="D290" s="13">
        <v>16.54</v>
      </c>
      <c r="E290" s="13">
        <v>16.508</v>
      </c>
      <c r="F290" s="15">
        <v>0</v>
      </c>
    </row>
    <row r="291" spans="1:6">
      <c r="A291" s="14">
        <v>44929</v>
      </c>
      <c r="B291" s="13">
        <v>16.54</v>
      </c>
      <c r="C291" s="13">
        <v>16.54</v>
      </c>
      <c r="D291" s="13">
        <v>16.54</v>
      </c>
      <c r="E291" s="13">
        <v>16.54</v>
      </c>
      <c r="F291" s="15">
        <v>-0.0019</v>
      </c>
    </row>
    <row r="292" spans="1:6">
      <c r="A292" s="14">
        <v>44928</v>
      </c>
      <c r="B292" s="13">
        <v>16.572</v>
      </c>
      <c r="C292" s="13">
        <v>16.572</v>
      </c>
      <c r="D292" s="13">
        <v>16.572</v>
      </c>
      <c r="E292" s="13">
        <v>16.572</v>
      </c>
      <c r="F292" s="15">
        <v>-0.0038</v>
      </c>
    </row>
    <row r="293" spans="1:6">
      <c r="A293" s="14">
        <v>44925</v>
      </c>
      <c r="B293" s="13">
        <v>16.635</v>
      </c>
      <c r="C293" s="13">
        <v>16.508</v>
      </c>
      <c r="D293" s="13">
        <v>16.635</v>
      </c>
      <c r="E293" s="13">
        <v>16.508</v>
      </c>
      <c r="F293" s="15">
        <v>0.0057</v>
      </c>
    </row>
    <row r="294" spans="1:6">
      <c r="A294" s="14">
        <v>44924</v>
      </c>
      <c r="B294" s="13">
        <v>16.539</v>
      </c>
      <c r="C294" s="13">
        <v>16.508</v>
      </c>
      <c r="D294" s="13">
        <v>16.539</v>
      </c>
      <c r="E294" s="13">
        <v>16.508</v>
      </c>
      <c r="F294" s="15">
        <v>0</v>
      </c>
    </row>
    <row r="295" spans="1:6">
      <c r="A295" s="14">
        <v>44923</v>
      </c>
      <c r="B295" s="13">
        <v>16.539</v>
      </c>
      <c r="C295" s="13">
        <v>16.508</v>
      </c>
      <c r="D295" s="13">
        <v>16.539</v>
      </c>
      <c r="E295" s="13">
        <v>16.508</v>
      </c>
      <c r="F295" s="15">
        <v>0</v>
      </c>
    </row>
    <row r="296" spans="1:6">
      <c r="A296" s="14">
        <v>44922</v>
      </c>
      <c r="B296" s="13">
        <v>16.539</v>
      </c>
      <c r="C296" s="13">
        <v>16.508</v>
      </c>
      <c r="D296" s="13">
        <v>16.539</v>
      </c>
      <c r="E296" s="13">
        <v>16.508</v>
      </c>
      <c r="F296" s="15">
        <v>0</v>
      </c>
    </row>
    <row r="297" spans="1:6">
      <c r="A297" s="14">
        <v>44921</v>
      </c>
      <c r="B297" s="13">
        <v>16.539</v>
      </c>
      <c r="C297" s="13">
        <v>16.508</v>
      </c>
      <c r="D297" s="13">
        <v>16.539</v>
      </c>
      <c r="E297" s="13">
        <v>16.508</v>
      </c>
      <c r="F297" s="15">
        <v>-0.0037</v>
      </c>
    </row>
    <row r="298" spans="1:6">
      <c r="A298" s="14">
        <v>44918</v>
      </c>
      <c r="B298" s="13">
        <v>16.601</v>
      </c>
      <c r="C298" s="13">
        <v>16.508</v>
      </c>
      <c r="D298" s="13">
        <v>16.601</v>
      </c>
      <c r="E298" s="13">
        <v>16.508</v>
      </c>
      <c r="F298" s="15">
        <v>0.0037</v>
      </c>
    </row>
    <row r="299" spans="1:6">
      <c r="A299" s="14">
        <v>44917</v>
      </c>
      <c r="B299" s="13">
        <v>16.539</v>
      </c>
      <c r="C299" s="13">
        <v>16.508</v>
      </c>
      <c r="D299" s="13">
        <v>16.539</v>
      </c>
      <c r="E299" s="13">
        <v>16.508</v>
      </c>
      <c r="F299" s="15">
        <v>0</v>
      </c>
    </row>
    <row r="300" spans="1:6">
      <c r="A300" s="14">
        <v>44916</v>
      </c>
      <c r="B300" s="13">
        <v>16.539</v>
      </c>
      <c r="C300" s="13">
        <v>16.403</v>
      </c>
      <c r="D300" s="13">
        <v>16.539</v>
      </c>
      <c r="E300" s="13">
        <v>16.403</v>
      </c>
      <c r="F300" s="15">
        <v>0.0064</v>
      </c>
    </row>
    <row r="301" spans="1:6">
      <c r="A301" s="14">
        <v>44915</v>
      </c>
      <c r="B301" s="13">
        <v>16.434</v>
      </c>
      <c r="C301" s="13">
        <v>16.403</v>
      </c>
      <c r="D301" s="13">
        <v>16.434</v>
      </c>
      <c r="E301" s="13">
        <v>16.403</v>
      </c>
      <c r="F301" s="15">
        <v>0</v>
      </c>
    </row>
    <row r="302" spans="1:6">
      <c r="A302" s="14">
        <v>44914</v>
      </c>
      <c r="B302" s="13">
        <v>16.434</v>
      </c>
      <c r="C302" s="13">
        <v>16.403</v>
      </c>
      <c r="D302" s="13">
        <v>16.434</v>
      </c>
      <c r="E302" s="13">
        <v>16.403</v>
      </c>
      <c r="F302" s="15">
        <v>0.0019</v>
      </c>
    </row>
    <row r="303" spans="1:6">
      <c r="A303" s="14">
        <v>44911</v>
      </c>
      <c r="B303" s="13">
        <v>16.403</v>
      </c>
      <c r="C303" s="13">
        <v>16.403</v>
      </c>
      <c r="D303" s="13">
        <v>16.403</v>
      </c>
      <c r="E303" s="13">
        <v>16.403</v>
      </c>
      <c r="F303" s="15">
        <v>-0.0073</v>
      </c>
    </row>
    <row r="304" spans="1:6">
      <c r="A304" s="14">
        <v>44910</v>
      </c>
      <c r="B304" s="13">
        <v>16.524</v>
      </c>
      <c r="C304" s="13">
        <v>16.403</v>
      </c>
      <c r="D304" s="13">
        <v>16.524</v>
      </c>
      <c r="E304" s="13">
        <v>16.403</v>
      </c>
      <c r="F304" s="15">
        <v>-0.0523</v>
      </c>
    </row>
    <row r="305" spans="1:6">
      <c r="A305" s="14">
        <v>44909</v>
      </c>
      <c r="B305" s="13">
        <v>17.436</v>
      </c>
      <c r="C305" s="13">
        <v>17.108</v>
      </c>
      <c r="D305" s="13">
        <v>17.436</v>
      </c>
      <c r="E305" s="13">
        <v>16.403</v>
      </c>
      <c r="F305" s="15">
        <v>0.0172</v>
      </c>
    </row>
    <row r="306" spans="1:6">
      <c r="A306" s="14">
        <v>44908</v>
      </c>
      <c r="B306" s="13">
        <v>17.141</v>
      </c>
      <c r="C306" s="13">
        <v>17.104</v>
      </c>
      <c r="D306" s="13">
        <v>17.141</v>
      </c>
      <c r="E306" s="13">
        <v>17.104</v>
      </c>
      <c r="F306" s="15">
        <v>0.0002</v>
      </c>
    </row>
    <row r="307" spans="1:6">
      <c r="A307" s="14">
        <v>44907</v>
      </c>
      <c r="B307" s="13">
        <v>17.138</v>
      </c>
      <c r="C307" s="13">
        <v>17.1</v>
      </c>
      <c r="D307" s="13">
        <v>17.138</v>
      </c>
      <c r="E307" s="13">
        <v>17.1</v>
      </c>
      <c r="F307" s="15">
        <v>-0.0036</v>
      </c>
    </row>
    <row r="308" spans="1:6">
      <c r="A308" s="14">
        <v>44904</v>
      </c>
      <c r="B308" s="13">
        <v>17.199</v>
      </c>
      <c r="C308" s="13">
        <v>17.088</v>
      </c>
      <c r="D308" s="13">
        <v>17.199</v>
      </c>
      <c r="E308" s="13">
        <v>17.088</v>
      </c>
      <c r="F308" s="15">
        <v>0.0046</v>
      </c>
    </row>
    <row r="309" spans="1:6">
      <c r="A309" s="14">
        <v>44903</v>
      </c>
      <c r="B309" s="13">
        <v>17.121</v>
      </c>
      <c r="C309" s="13">
        <v>17.084</v>
      </c>
      <c r="D309" s="13">
        <v>17.121</v>
      </c>
      <c r="E309" s="13">
        <v>17.084</v>
      </c>
      <c r="F309" s="15">
        <v>0.0003</v>
      </c>
    </row>
    <row r="310" spans="1:6">
      <c r="A310" s="14">
        <v>44902</v>
      </c>
      <c r="B310" s="13">
        <v>17.116</v>
      </c>
      <c r="C310" s="13">
        <v>17.08</v>
      </c>
      <c r="D310" s="13">
        <v>17.116</v>
      </c>
      <c r="E310" s="13">
        <v>17.08</v>
      </c>
      <c r="F310" s="15">
        <v>0.0002</v>
      </c>
    </row>
    <row r="311" spans="1:6">
      <c r="A311" s="14">
        <v>44901</v>
      </c>
      <c r="B311" s="13">
        <v>17.112</v>
      </c>
      <c r="C311" s="13">
        <v>16.009</v>
      </c>
      <c r="D311" s="13">
        <v>17.112</v>
      </c>
      <c r="E311" s="13">
        <v>16.009</v>
      </c>
      <c r="F311" s="15">
        <v>0.0671</v>
      </c>
    </row>
    <row r="312" spans="1:6">
      <c r="A312" s="14">
        <v>44900</v>
      </c>
      <c r="B312" s="13">
        <v>16.036</v>
      </c>
      <c r="C312" s="13">
        <v>16.006</v>
      </c>
      <c r="D312" s="13">
        <v>16.036</v>
      </c>
      <c r="E312" s="13">
        <v>16.006</v>
      </c>
      <c r="F312" s="15">
        <v>-0.0031</v>
      </c>
    </row>
    <row r="313" spans="1:6">
      <c r="A313" s="14">
        <v>44897</v>
      </c>
      <c r="B313" s="13">
        <v>16.087</v>
      </c>
      <c r="C313" s="13">
        <v>15.995</v>
      </c>
      <c r="D313" s="13">
        <v>16.087</v>
      </c>
      <c r="E313" s="13">
        <v>15.995</v>
      </c>
      <c r="F313" s="15">
        <v>0.004</v>
      </c>
    </row>
    <row r="314" spans="1:6">
      <c r="A314" s="14">
        <v>44896</v>
      </c>
      <c r="B314" s="13">
        <v>16.022</v>
      </c>
      <c r="C314" s="13">
        <v>15.991</v>
      </c>
      <c r="D314" s="13">
        <v>16.022</v>
      </c>
      <c r="E314" s="13">
        <v>15.991</v>
      </c>
      <c r="F314" s="15">
        <v>0.0003</v>
      </c>
    </row>
    <row r="315" spans="1:6">
      <c r="A315" s="14">
        <v>44895</v>
      </c>
      <c r="B315" s="13">
        <v>16.017</v>
      </c>
      <c r="C315" s="13">
        <v>15.988</v>
      </c>
      <c r="D315" s="13">
        <v>16.017</v>
      </c>
      <c r="E315" s="13">
        <v>15.988</v>
      </c>
      <c r="F315" s="15">
        <v>0.0002</v>
      </c>
    </row>
    <row r="316" spans="1:6">
      <c r="A316" s="14">
        <v>44894</v>
      </c>
      <c r="B316" s="13">
        <v>16.014</v>
      </c>
      <c r="C316" s="13">
        <v>15.984</v>
      </c>
      <c r="D316" s="13">
        <v>16.014</v>
      </c>
      <c r="E316" s="13">
        <v>15.984</v>
      </c>
      <c r="F316" s="15">
        <v>0.0002</v>
      </c>
    </row>
    <row r="317" spans="1:6">
      <c r="A317" s="14">
        <v>44893</v>
      </c>
      <c r="B317" s="13">
        <v>16.01</v>
      </c>
      <c r="C317" s="13">
        <v>15.981</v>
      </c>
      <c r="D317" s="13">
        <v>16.01</v>
      </c>
      <c r="E317" s="13">
        <v>15.981</v>
      </c>
      <c r="F317" s="15">
        <v>-0.003</v>
      </c>
    </row>
    <row r="318" spans="1:6">
      <c r="A318" s="14">
        <v>44890</v>
      </c>
      <c r="B318" s="13">
        <v>16.058</v>
      </c>
      <c r="C318" s="13">
        <v>15.97</v>
      </c>
      <c r="D318" s="13">
        <v>16.058</v>
      </c>
      <c r="E318" s="13">
        <v>15.97</v>
      </c>
      <c r="F318" s="15">
        <v>0.0038</v>
      </c>
    </row>
    <row r="319" spans="1:6">
      <c r="A319" s="14">
        <v>44889</v>
      </c>
      <c r="B319" s="13">
        <v>15.997</v>
      </c>
      <c r="C319" s="13">
        <v>15.967</v>
      </c>
      <c r="D319" s="13">
        <v>15.997</v>
      </c>
      <c r="E319" s="13">
        <v>15.967</v>
      </c>
      <c r="F319" s="15">
        <v>0.0003</v>
      </c>
    </row>
    <row r="320" spans="1:6">
      <c r="A320" s="14">
        <v>44888</v>
      </c>
      <c r="B320" s="13">
        <v>15.993</v>
      </c>
      <c r="C320" s="13">
        <v>15.964</v>
      </c>
      <c r="D320" s="13">
        <v>15.993</v>
      </c>
      <c r="E320" s="13">
        <v>15.964</v>
      </c>
      <c r="F320" s="15">
        <v>0.0003</v>
      </c>
    </row>
    <row r="321" spans="1:6">
      <c r="A321" s="14">
        <v>44887</v>
      </c>
      <c r="B321" s="13">
        <v>15.988</v>
      </c>
      <c r="C321" s="13">
        <v>15.96</v>
      </c>
      <c r="D321" s="13">
        <v>15.988</v>
      </c>
      <c r="E321" s="13">
        <v>15.96</v>
      </c>
      <c r="F321" s="15">
        <v>0.0002</v>
      </c>
    </row>
    <row r="322" spans="1:6">
      <c r="A322" s="14">
        <v>44886</v>
      </c>
      <c r="B322" s="13">
        <v>15.985</v>
      </c>
      <c r="C322" s="13">
        <v>15.957</v>
      </c>
      <c r="D322" s="13">
        <v>15.985</v>
      </c>
      <c r="E322" s="13">
        <v>15.957</v>
      </c>
      <c r="F322" s="15">
        <v>-0.0029</v>
      </c>
    </row>
    <row r="323" spans="1:6">
      <c r="A323" s="14">
        <v>44883</v>
      </c>
      <c r="B323" s="13">
        <v>16.031</v>
      </c>
      <c r="C323" s="13">
        <v>15.947</v>
      </c>
      <c r="D323" s="13">
        <v>16.031</v>
      </c>
      <c r="E323" s="13">
        <v>15.947</v>
      </c>
      <c r="F323" s="15">
        <v>0.0038</v>
      </c>
    </row>
    <row r="324" spans="1:6">
      <c r="A324" s="14">
        <v>44882</v>
      </c>
      <c r="B324" s="13">
        <v>15.971</v>
      </c>
      <c r="C324" s="13">
        <v>15.943</v>
      </c>
      <c r="D324" s="13">
        <v>15.971</v>
      </c>
      <c r="E324" s="13">
        <v>15.943</v>
      </c>
      <c r="F324" s="15">
        <v>0.0003</v>
      </c>
    </row>
    <row r="325" spans="1:6">
      <c r="A325" s="14">
        <v>44881</v>
      </c>
      <c r="B325" s="13">
        <v>15.967</v>
      </c>
      <c r="C325" s="13">
        <v>15.94</v>
      </c>
      <c r="D325" s="13">
        <v>15.967</v>
      </c>
      <c r="E325" s="13">
        <v>15.94</v>
      </c>
      <c r="F325" s="15">
        <v>0.0002</v>
      </c>
    </row>
    <row r="326" spans="1:6">
      <c r="A326" s="14">
        <v>44880</v>
      </c>
      <c r="B326" s="13">
        <v>15.964</v>
      </c>
      <c r="C326" s="13">
        <v>14.489</v>
      </c>
      <c r="D326" s="13">
        <v>15.964</v>
      </c>
      <c r="E326" s="13">
        <v>14.489</v>
      </c>
      <c r="F326" s="15">
        <v>0.1004</v>
      </c>
    </row>
    <row r="327" spans="1:6">
      <c r="A327" s="14">
        <v>44879</v>
      </c>
      <c r="B327" s="13">
        <v>14.507</v>
      </c>
      <c r="C327" s="13">
        <v>14.486</v>
      </c>
      <c r="D327" s="13">
        <v>14.507</v>
      </c>
      <c r="E327" s="13">
        <v>14.486</v>
      </c>
      <c r="F327" s="15">
        <v>-0.0022</v>
      </c>
    </row>
    <row r="328" spans="1:6">
      <c r="A328" s="14">
        <v>44876</v>
      </c>
      <c r="B328" s="13">
        <v>14.54</v>
      </c>
      <c r="C328" s="13">
        <v>14.478</v>
      </c>
      <c r="D328" s="13">
        <v>14.54</v>
      </c>
      <c r="E328" s="13">
        <v>14.478</v>
      </c>
      <c r="F328" s="15">
        <v>0.003</v>
      </c>
    </row>
    <row r="329" spans="1:6">
      <c r="A329" s="14">
        <v>44875</v>
      </c>
      <c r="B329" s="13">
        <v>14.496</v>
      </c>
      <c r="C329" s="13">
        <v>14.476</v>
      </c>
      <c r="D329" s="13">
        <v>14.496</v>
      </c>
      <c r="E329" s="13">
        <v>14.476</v>
      </c>
      <c r="F329" s="15">
        <v>0.0002</v>
      </c>
    </row>
    <row r="330" spans="1:6">
      <c r="A330" s="14">
        <v>44874</v>
      </c>
      <c r="B330" s="13">
        <v>14.493</v>
      </c>
      <c r="C330" s="13">
        <v>14.472</v>
      </c>
      <c r="D330" s="13">
        <v>14.493</v>
      </c>
      <c r="E330" s="13">
        <v>14.472</v>
      </c>
      <c r="F330" s="15">
        <v>0.0002</v>
      </c>
    </row>
    <row r="331" spans="1:6">
      <c r="A331" s="14">
        <v>44873</v>
      </c>
      <c r="B331" s="13">
        <v>14.49</v>
      </c>
      <c r="C331" s="13">
        <v>14.469</v>
      </c>
      <c r="D331" s="13">
        <v>14.49</v>
      </c>
      <c r="E331" s="13">
        <v>14.469</v>
      </c>
      <c r="F331" s="15">
        <v>0.0002</v>
      </c>
    </row>
    <row r="332" spans="1:6">
      <c r="A332" s="14">
        <v>44872</v>
      </c>
      <c r="B332" s="13">
        <v>14.487</v>
      </c>
      <c r="C332" s="13">
        <v>14.467</v>
      </c>
      <c r="D332" s="13">
        <v>14.487</v>
      </c>
      <c r="E332" s="13">
        <v>14.467</v>
      </c>
      <c r="F332" s="15">
        <v>-0.0022</v>
      </c>
    </row>
    <row r="333" spans="1:6">
      <c r="A333" s="14">
        <v>44869</v>
      </c>
      <c r="B333" s="13">
        <v>14.519</v>
      </c>
      <c r="C333" s="13">
        <v>14.458</v>
      </c>
      <c r="D333" s="13">
        <v>14.519</v>
      </c>
      <c r="E333" s="13">
        <v>14.458</v>
      </c>
      <c r="F333" s="15">
        <v>0.003</v>
      </c>
    </row>
    <row r="334" spans="1:6">
      <c r="A334" s="14">
        <v>44868</v>
      </c>
      <c r="B334" s="13">
        <v>14.475</v>
      </c>
      <c r="C334" s="13">
        <v>14.455</v>
      </c>
      <c r="D334" s="13">
        <v>14.475</v>
      </c>
      <c r="E334" s="13">
        <v>14.455</v>
      </c>
      <c r="F334" s="15">
        <v>0.0002</v>
      </c>
    </row>
    <row r="335" spans="1:6">
      <c r="A335" s="14">
        <v>44867</v>
      </c>
      <c r="B335" s="13">
        <v>14.472</v>
      </c>
      <c r="C335" s="13">
        <v>14.453</v>
      </c>
      <c r="D335" s="13">
        <v>14.472</v>
      </c>
      <c r="E335" s="13">
        <v>14.453</v>
      </c>
      <c r="F335" s="15">
        <v>0.0002</v>
      </c>
    </row>
    <row r="336" spans="1:6">
      <c r="A336" s="14">
        <v>44866</v>
      </c>
      <c r="B336" s="13">
        <v>14.469</v>
      </c>
      <c r="C336" s="13">
        <v>14.45</v>
      </c>
      <c r="D336" s="13">
        <v>14.469</v>
      </c>
      <c r="E336" s="13">
        <v>14.45</v>
      </c>
      <c r="F336" s="15">
        <v>-0.0029</v>
      </c>
    </row>
    <row r="337" spans="1:6">
      <c r="A337" s="14">
        <v>44865</v>
      </c>
      <c r="B337" s="13">
        <v>14.511</v>
      </c>
      <c r="C337" s="13">
        <v>14.447</v>
      </c>
      <c r="D337" s="13">
        <v>14.511</v>
      </c>
      <c r="E337" s="13">
        <v>14.447</v>
      </c>
      <c r="F337" s="15">
        <v>0.0053</v>
      </c>
    </row>
    <row r="338" spans="1:6">
      <c r="A338" s="14">
        <v>44862</v>
      </c>
      <c r="B338" s="13">
        <v>14.435</v>
      </c>
      <c r="C338" s="13">
        <v>14.441</v>
      </c>
      <c r="D338" s="13">
        <v>14.441</v>
      </c>
      <c r="E338" s="13">
        <v>14.435</v>
      </c>
      <c r="F338" s="15">
        <v>-0.0016</v>
      </c>
    </row>
    <row r="339" spans="1:6">
      <c r="A339" s="14">
        <v>44861</v>
      </c>
      <c r="B339" s="13">
        <v>14.458</v>
      </c>
      <c r="C339" s="13">
        <v>14.439</v>
      </c>
      <c r="D339" s="13">
        <v>14.458</v>
      </c>
      <c r="E339" s="13">
        <v>14.439</v>
      </c>
      <c r="F339" s="15">
        <v>0.0002</v>
      </c>
    </row>
    <row r="340" spans="1:6">
      <c r="A340" s="14">
        <v>44860</v>
      </c>
      <c r="B340" s="13">
        <v>14.455</v>
      </c>
      <c r="C340" s="13">
        <v>14.411</v>
      </c>
      <c r="D340" s="13">
        <v>14.455</v>
      </c>
      <c r="E340" s="13">
        <v>14.411</v>
      </c>
      <c r="F340" s="15">
        <v>0.0019</v>
      </c>
    </row>
    <row r="341" spans="1:6">
      <c r="A341" s="14">
        <v>44859</v>
      </c>
      <c r="B341" s="13">
        <v>14.427</v>
      </c>
      <c r="C341" s="13">
        <v>14.304</v>
      </c>
      <c r="D341" s="13">
        <v>14.427</v>
      </c>
      <c r="E341" s="13">
        <v>14.304</v>
      </c>
      <c r="F341" s="15">
        <v>0.0075</v>
      </c>
    </row>
    <row r="342" spans="1:6">
      <c r="A342" s="14">
        <v>44858</v>
      </c>
      <c r="B342" s="13">
        <v>14.319</v>
      </c>
      <c r="C342" s="13">
        <v>14.302</v>
      </c>
      <c r="D342" s="13">
        <v>14.319</v>
      </c>
      <c r="E342" s="13">
        <v>14.302</v>
      </c>
      <c r="F342" s="15">
        <v>-0.002</v>
      </c>
    </row>
    <row r="343" spans="1:6">
      <c r="A343" s="14">
        <v>44855</v>
      </c>
      <c r="B343" s="13">
        <v>14.347</v>
      </c>
      <c r="C343" s="13">
        <v>14.293</v>
      </c>
      <c r="D343" s="13">
        <v>14.347</v>
      </c>
      <c r="E343" s="13">
        <v>14.293</v>
      </c>
      <c r="F343" s="15">
        <v>0.0027</v>
      </c>
    </row>
    <row r="344" spans="1:6">
      <c r="A344" s="14">
        <v>44854</v>
      </c>
      <c r="B344" s="13">
        <v>14.309</v>
      </c>
      <c r="C344" s="13">
        <v>14.29</v>
      </c>
      <c r="D344" s="13">
        <v>14.309</v>
      </c>
      <c r="E344" s="13">
        <v>14.29</v>
      </c>
      <c r="F344" s="15">
        <v>0.0002</v>
      </c>
    </row>
    <row r="345" spans="1:6">
      <c r="A345" s="14">
        <v>44853</v>
      </c>
      <c r="B345" s="13">
        <v>14.306</v>
      </c>
      <c r="C345" s="13">
        <v>14.288</v>
      </c>
      <c r="D345" s="13">
        <v>14.306</v>
      </c>
      <c r="E345" s="13">
        <v>14.288</v>
      </c>
      <c r="F345" s="15">
        <v>0.0002</v>
      </c>
    </row>
    <row r="346" spans="1:6">
      <c r="A346" s="14">
        <v>44852</v>
      </c>
      <c r="B346" s="13">
        <v>14.303</v>
      </c>
      <c r="C346" s="13">
        <v>14.285</v>
      </c>
      <c r="D346" s="13">
        <v>14.303</v>
      </c>
      <c r="E346" s="13">
        <v>14.285</v>
      </c>
      <c r="F346" s="15">
        <v>0.0002</v>
      </c>
    </row>
    <row r="347" spans="1:6">
      <c r="A347" s="14">
        <v>44851</v>
      </c>
      <c r="B347" s="13">
        <v>14.3</v>
      </c>
      <c r="C347" s="13">
        <v>14.283</v>
      </c>
      <c r="D347" s="13">
        <v>14.3</v>
      </c>
      <c r="E347" s="13">
        <v>14.283</v>
      </c>
      <c r="F347" s="15">
        <v>-0.0019</v>
      </c>
    </row>
    <row r="348" spans="1:6">
      <c r="A348" s="14">
        <v>44848</v>
      </c>
      <c r="B348" s="13">
        <v>14.326</v>
      </c>
      <c r="C348" s="13">
        <v>14.274</v>
      </c>
      <c r="D348" s="13">
        <v>14.326</v>
      </c>
      <c r="E348" s="13">
        <v>14.274</v>
      </c>
      <c r="F348" s="15">
        <v>0.0027</v>
      </c>
    </row>
    <row r="349" spans="1:6">
      <c r="A349" s="14">
        <v>44847</v>
      </c>
      <c r="B349" s="13">
        <v>14.288</v>
      </c>
      <c r="C349" s="13">
        <v>14.271</v>
      </c>
      <c r="D349" s="13">
        <v>14.288</v>
      </c>
      <c r="E349" s="13">
        <v>14.271</v>
      </c>
      <c r="F349" s="15">
        <v>0.0002</v>
      </c>
    </row>
    <row r="350" spans="1:6">
      <c r="A350" s="14">
        <v>44846</v>
      </c>
      <c r="B350" s="13">
        <v>14.286</v>
      </c>
      <c r="C350" s="13">
        <v>14.269</v>
      </c>
      <c r="D350" s="13">
        <v>14.286</v>
      </c>
      <c r="E350" s="13">
        <v>14.269</v>
      </c>
      <c r="F350" s="15">
        <v>0.0002</v>
      </c>
    </row>
    <row r="351" spans="1:6">
      <c r="A351" s="14">
        <v>44845</v>
      </c>
      <c r="B351" s="13">
        <v>14.283</v>
      </c>
      <c r="C351" s="13">
        <v>14.266</v>
      </c>
      <c r="D351" s="13">
        <v>14.283</v>
      </c>
      <c r="E351" s="13">
        <v>14.266</v>
      </c>
      <c r="F351" s="15">
        <v>0.0002</v>
      </c>
    </row>
    <row r="352" spans="1:6">
      <c r="A352" s="14">
        <v>44844</v>
      </c>
      <c r="B352" s="13">
        <v>14.28</v>
      </c>
      <c r="C352" s="13">
        <v>14.264</v>
      </c>
      <c r="D352" s="13">
        <v>14.28</v>
      </c>
      <c r="E352" s="13">
        <v>14.264</v>
      </c>
      <c r="F352" s="15">
        <v>-0.0017</v>
      </c>
    </row>
    <row r="353" spans="1:6">
      <c r="A353" s="14">
        <v>44841</v>
      </c>
      <c r="B353" s="13">
        <v>14.305</v>
      </c>
      <c r="C353" s="13">
        <v>14.255</v>
      </c>
      <c r="D353" s="13">
        <v>14.305</v>
      </c>
      <c r="E353" s="13">
        <v>14.255</v>
      </c>
      <c r="F353" s="15">
        <v>0.0025</v>
      </c>
    </row>
    <row r="354" spans="1:6">
      <c r="A354" s="14">
        <v>44840</v>
      </c>
      <c r="B354" s="13">
        <v>14.269</v>
      </c>
      <c r="C354" s="13">
        <v>14.252</v>
      </c>
      <c r="D354" s="13">
        <v>14.269</v>
      </c>
      <c r="E354" s="13">
        <v>14.252</v>
      </c>
      <c r="F354" s="15">
        <v>0.0002</v>
      </c>
    </row>
    <row r="355" spans="1:6">
      <c r="A355" s="14">
        <v>44839</v>
      </c>
      <c r="B355" s="13">
        <v>14.266</v>
      </c>
      <c r="C355" s="13">
        <v>14.25</v>
      </c>
      <c r="D355" s="13">
        <v>14.266</v>
      </c>
      <c r="E355" s="13">
        <v>14.25</v>
      </c>
      <c r="F355" s="15">
        <v>0.0002</v>
      </c>
    </row>
    <row r="356" spans="1:6">
      <c r="A356" s="14">
        <v>44838</v>
      </c>
      <c r="B356" s="13">
        <v>14.264</v>
      </c>
      <c r="C356" s="13">
        <v>14.247</v>
      </c>
      <c r="D356" s="13">
        <v>14.264</v>
      </c>
      <c r="E356" s="13">
        <v>14.247</v>
      </c>
      <c r="F356" s="15">
        <v>0.0002</v>
      </c>
    </row>
    <row r="357" spans="1:6">
      <c r="A357" s="14">
        <v>44837</v>
      </c>
      <c r="B357" s="13">
        <v>14.26</v>
      </c>
      <c r="C357" s="13">
        <v>14.236</v>
      </c>
      <c r="D357" s="13">
        <v>14.26</v>
      </c>
      <c r="E357" s="13">
        <v>14.236</v>
      </c>
      <c r="F357" s="15">
        <v>-0.0011</v>
      </c>
    </row>
    <row r="358" spans="1:6">
      <c r="A358" s="14">
        <v>44834</v>
      </c>
      <c r="B358" s="13">
        <v>14.276</v>
      </c>
      <c r="C358" s="13">
        <v>14.228</v>
      </c>
      <c r="D358" s="13">
        <v>14.276</v>
      </c>
      <c r="E358" s="13">
        <v>14.228</v>
      </c>
      <c r="F358" s="15">
        <v>0.0025</v>
      </c>
    </row>
    <row r="359" spans="1:6">
      <c r="A359" s="14">
        <v>44833</v>
      </c>
      <c r="B359" s="13">
        <v>14.241</v>
      </c>
      <c r="C359" s="13">
        <v>14.226</v>
      </c>
      <c r="D359" s="13">
        <v>14.241</v>
      </c>
      <c r="E359" s="13">
        <v>14.226</v>
      </c>
      <c r="F359" s="15">
        <v>0.0002</v>
      </c>
    </row>
    <row r="360" spans="1:6">
      <c r="A360" s="14">
        <v>44832</v>
      </c>
      <c r="B360" s="13">
        <v>14.238</v>
      </c>
      <c r="C360" s="13">
        <v>14.223</v>
      </c>
      <c r="D360" s="13">
        <v>14.238</v>
      </c>
      <c r="E360" s="13">
        <v>14.223</v>
      </c>
      <c r="F360" s="15">
        <v>0.0002</v>
      </c>
    </row>
    <row r="361" spans="1:6">
      <c r="A361" s="14">
        <v>44831</v>
      </c>
      <c r="B361" s="13">
        <v>14.236</v>
      </c>
      <c r="C361" s="13">
        <v>14.22</v>
      </c>
      <c r="D361" s="13">
        <v>14.236</v>
      </c>
      <c r="E361" s="13">
        <v>14.22</v>
      </c>
      <c r="F361" s="15">
        <v>0.0002</v>
      </c>
    </row>
    <row r="362" spans="1:6">
      <c r="A362" s="14">
        <v>44830</v>
      </c>
      <c r="B362" s="13">
        <v>14.233</v>
      </c>
      <c r="C362" s="13">
        <v>14.217</v>
      </c>
      <c r="D362" s="13">
        <v>14.233</v>
      </c>
      <c r="E362" s="13">
        <v>14.217</v>
      </c>
      <c r="F362" s="15">
        <v>-0.0016</v>
      </c>
    </row>
    <row r="363" spans="1:6">
      <c r="A363" s="14">
        <v>44827</v>
      </c>
      <c r="B363" s="13">
        <v>14.255</v>
      </c>
      <c r="C363" s="13">
        <v>14.21</v>
      </c>
      <c r="D363" s="13">
        <v>14.255</v>
      </c>
      <c r="E363" s="13">
        <v>14.21</v>
      </c>
      <c r="F363" s="15">
        <v>0.0024</v>
      </c>
    </row>
    <row r="364" spans="1:6">
      <c r="A364" s="14">
        <v>44826</v>
      </c>
      <c r="B364" s="13">
        <v>14.222</v>
      </c>
      <c r="C364" s="13">
        <v>14.207</v>
      </c>
      <c r="D364" s="13">
        <v>14.222</v>
      </c>
      <c r="E364" s="13">
        <v>14.207</v>
      </c>
      <c r="F364" s="15">
        <v>0.0002</v>
      </c>
    </row>
    <row r="365" spans="1:6">
      <c r="A365" s="14">
        <v>44825</v>
      </c>
      <c r="B365" s="13">
        <v>14.219</v>
      </c>
      <c r="C365" s="13">
        <v>14.204</v>
      </c>
      <c r="D365" s="13">
        <v>14.219</v>
      </c>
      <c r="E365" s="13">
        <v>14.204</v>
      </c>
      <c r="F365" s="15">
        <v>0.0002</v>
      </c>
    </row>
    <row r="366" spans="1:6">
      <c r="A366" s="14">
        <v>44824</v>
      </c>
      <c r="B366" s="13">
        <v>14.216</v>
      </c>
      <c r="C366" s="13">
        <v>14.201</v>
      </c>
      <c r="D366" s="13">
        <v>14.216</v>
      </c>
      <c r="E366" s="13">
        <v>14.201</v>
      </c>
      <c r="F366" s="15">
        <v>0.0002</v>
      </c>
    </row>
    <row r="367" spans="1:6">
      <c r="A367" s="14">
        <v>44823</v>
      </c>
      <c r="B367" s="13">
        <v>14.213</v>
      </c>
      <c r="C367" s="13">
        <v>14.198</v>
      </c>
      <c r="D367" s="13">
        <v>14.213</v>
      </c>
      <c r="E367" s="13">
        <v>14.198</v>
      </c>
      <c r="F367" s="15">
        <v>-0.0015</v>
      </c>
    </row>
    <row r="368" spans="1:6">
      <c r="A368" s="14">
        <v>44820</v>
      </c>
      <c r="B368" s="13">
        <v>14.235</v>
      </c>
      <c r="C368" s="13">
        <v>14.19</v>
      </c>
      <c r="D368" s="13">
        <v>14.235</v>
      </c>
      <c r="E368" s="13">
        <v>14.19</v>
      </c>
      <c r="F368" s="15">
        <v>0.0023</v>
      </c>
    </row>
    <row r="369" spans="1:6">
      <c r="A369" s="14">
        <v>44819</v>
      </c>
      <c r="B369" s="13">
        <v>14.202</v>
      </c>
      <c r="C369" s="13">
        <v>14.188</v>
      </c>
      <c r="D369" s="13">
        <v>14.202</v>
      </c>
      <c r="E369" s="13">
        <v>14.188</v>
      </c>
      <c r="F369" s="15">
        <v>0.0002</v>
      </c>
    </row>
    <row r="370" spans="1:6">
      <c r="A370" s="14">
        <v>44818</v>
      </c>
      <c r="B370" s="13">
        <v>14.2</v>
      </c>
      <c r="C370" s="13">
        <v>14.185</v>
      </c>
      <c r="D370" s="13">
        <v>14.2</v>
      </c>
      <c r="E370" s="13">
        <v>14.185</v>
      </c>
      <c r="F370" s="15">
        <v>0.0002</v>
      </c>
    </row>
    <row r="371" spans="1:6">
      <c r="A371" s="14">
        <v>44817</v>
      </c>
      <c r="B371" s="13">
        <v>14.196</v>
      </c>
      <c r="C371" s="13">
        <v>14.182</v>
      </c>
      <c r="D371" s="13">
        <v>14.196</v>
      </c>
      <c r="E371" s="13">
        <v>14.182</v>
      </c>
      <c r="F371" s="15">
        <v>0.0002</v>
      </c>
    </row>
    <row r="372" spans="1:6">
      <c r="A372" s="14">
        <v>44816</v>
      </c>
      <c r="B372" s="13">
        <v>14.194</v>
      </c>
      <c r="C372" s="13">
        <v>14.179</v>
      </c>
      <c r="D372" s="13">
        <v>14.194</v>
      </c>
      <c r="E372" s="13">
        <v>14.179</v>
      </c>
      <c r="F372" s="15">
        <v>-0.0015</v>
      </c>
    </row>
    <row r="373" spans="1:6">
      <c r="A373" s="14">
        <v>44813</v>
      </c>
      <c r="B373" s="13">
        <v>14.215</v>
      </c>
      <c r="C373" s="13">
        <v>14.172</v>
      </c>
      <c r="D373" s="13">
        <v>14.215</v>
      </c>
      <c r="E373" s="13">
        <v>14.172</v>
      </c>
      <c r="F373" s="15">
        <v>0.0023</v>
      </c>
    </row>
    <row r="374" spans="1:6">
      <c r="A374" s="14">
        <v>44812</v>
      </c>
      <c r="B374" s="13">
        <v>14.182</v>
      </c>
      <c r="C374" s="13">
        <v>14.168</v>
      </c>
      <c r="D374" s="13">
        <v>14.182</v>
      </c>
      <c r="E374" s="13">
        <v>14.168</v>
      </c>
      <c r="F374" s="15">
        <v>0.0002</v>
      </c>
    </row>
    <row r="375" spans="1:6">
      <c r="A375" s="14">
        <v>44811</v>
      </c>
      <c r="B375" s="13">
        <v>14.18</v>
      </c>
      <c r="C375" s="13">
        <v>14.166</v>
      </c>
      <c r="D375" s="13">
        <v>14.18</v>
      </c>
      <c r="E375" s="13">
        <v>14.166</v>
      </c>
      <c r="F375" s="15">
        <v>0.0002</v>
      </c>
    </row>
    <row r="376" spans="1:6">
      <c r="A376" s="14">
        <v>44810</v>
      </c>
      <c r="B376" s="13">
        <v>14.177</v>
      </c>
      <c r="C376" s="13">
        <v>14.163</v>
      </c>
      <c r="D376" s="13">
        <v>14.177</v>
      </c>
      <c r="E376" s="13">
        <v>14.163</v>
      </c>
      <c r="F376" s="15">
        <v>0.0002</v>
      </c>
    </row>
    <row r="377" spans="1:6">
      <c r="A377" s="14">
        <v>44809</v>
      </c>
      <c r="B377" s="13">
        <v>14.175</v>
      </c>
      <c r="C377" s="13">
        <v>13.526</v>
      </c>
      <c r="D377" s="13">
        <v>14.175</v>
      </c>
      <c r="E377" s="13">
        <v>13.526</v>
      </c>
      <c r="F377" s="15">
        <v>0.0457</v>
      </c>
    </row>
    <row r="378" spans="1:6">
      <c r="A378" s="14">
        <v>44806</v>
      </c>
      <c r="B378" s="13">
        <v>13.555</v>
      </c>
      <c r="C378" s="13">
        <v>13.519</v>
      </c>
      <c r="D378" s="13">
        <v>13.555</v>
      </c>
      <c r="E378" s="13">
        <v>13.519</v>
      </c>
      <c r="F378" s="15">
        <v>0.002</v>
      </c>
    </row>
    <row r="379" spans="1:6">
      <c r="A379" s="14">
        <v>44805</v>
      </c>
      <c r="B379" s="13">
        <v>13.528</v>
      </c>
      <c r="C379" s="13">
        <v>13.517</v>
      </c>
      <c r="D379" s="13">
        <v>13.528</v>
      </c>
      <c r="E379" s="13">
        <v>13.517</v>
      </c>
      <c r="F379" s="15">
        <v>-0.0025</v>
      </c>
    </row>
    <row r="380" spans="1:6">
      <c r="A380" s="14">
        <v>44804</v>
      </c>
      <c r="B380" s="13">
        <v>13.562</v>
      </c>
      <c r="C380" s="13">
        <v>13.052</v>
      </c>
      <c r="D380" s="13">
        <v>13.562</v>
      </c>
      <c r="E380" s="13">
        <v>13.052</v>
      </c>
      <c r="F380" s="15">
        <v>0.039</v>
      </c>
    </row>
    <row r="381" spans="1:6">
      <c r="A381" s="14">
        <v>44803</v>
      </c>
      <c r="B381" s="13">
        <v>13.052</v>
      </c>
      <c r="C381" s="13">
        <v>13.052</v>
      </c>
      <c r="D381" s="13">
        <v>13.052</v>
      </c>
      <c r="E381" s="13">
        <v>13.052</v>
      </c>
      <c r="F381" s="15">
        <v>0.0021</v>
      </c>
    </row>
    <row r="382" spans="1:6">
      <c r="A382" s="14">
        <v>44802</v>
      </c>
      <c r="B382" s="13">
        <v>13.025</v>
      </c>
      <c r="C382" s="13">
        <v>13.05</v>
      </c>
      <c r="D382" s="13">
        <v>13.05</v>
      </c>
      <c r="E382" s="13">
        <v>13.025</v>
      </c>
      <c r="F382" s="15">
        <v>-0.0037</v>
      </c>
    </row>
    <row r="383" spans="1:6">
      <c r="A383" s="14">
        <v>44799</v>
      </c>
      <c r="B383" s="13">
        <v>13.073</v>
      </c>
      <c r="C383" s="13">
        <v>13.043</v>
      </c>
      <c r="D383" s="13">
        <v>13.073</v>
      </c>
      <c r="E383" s="13">
        <v>13.043</v>
      </c>
      <c r="F383" s="15">
        <v>0.0017</v>
      </c>
    </row>
    <row r="384" spans="1:6">
      <c r="A384" s="14">
        <v>44798</v>
      </c>
      <c r="B384" s="13">
        <v>13.051</v>
      </c>
      <c r="C384" s="13">
        <v>13.041</v>
      </c>
      <c r="D384" s="13">
        <v>13.051</v>
      </c>
      <c r="E384" s="13">
        <v>13.041</v>
      </c>
      <c r="F384" s="15">
        <v>0.0002</v>
      </c>
    </row>
    <row r="385" spans="1:6">
      <c r="A385" s="14">
        <v>44797</v>
      </c>
      <c r="B385" s="13">
        <v>13.049</v>
      </c>
      <c r="C385" s="13">
        <v>13.038</v>
      </c>
      <c r="D385" s="13">
        <v>13.049</v>
      </c>
      <c r="E385" s="13">
        <v>13.038</v>
      </c>
      <c r="F385" s="15">
        <v>0.0002</v>
      </c>
    </row>
    <row r="386" spans="1:6">
      <c r="A386" s="14">
        <v>44796</v>
      </c>
      <c r="B386" s="13">
        <v>13.046</v>
      </c>
      <c r="C386" s="13">
        <v>13.036</v>
      </c>
      <c r="D386" s="13">
        <v>13.046</v>
      </c>
      <c r="E386" s="13">
        <v>13.036</v>
      </c>
      <c r="F386" s="15">
        <v>0.0002</v>
      </c>
    </row>
    <row r="387" spans="1:6">
      <c r="A387" s="14">
        <v>44795</v>
      </c>
      <c r="B387" s="13">
        <v>13.044</v>
      </c>
      <c r="C387" s="13">
        <v>13.034</v>
      </c>
      <c r="D387" s="13">
        <v>13.044</v>
      </c>
      <c r="E387" s="13">
        <v>13.034</v>
      </c>
      <c r="F387" s="15">
        <v>-0.001</v>
      </c>
    </row>
    <row r="388" spans="1:6">
      <c r="A388" s="14">
        <v>44792</v>
      </c>
      <c r="B388" s="13">
        <v>13.057</v>
      </c>
      <c r="C388" s="13">
        <v>13.027</v>
      </c>
      <c r="D388" s="13">
        <v>13.057</v>
      </c>
      <c r="E388" s="13">
        <v>13.027</v>
      </c>
      <c r="F388" s="15">
        <v>0.0017</v>
      </c>
    </row>
    <row r="389" spans="1:6">
      <c r="A389" s="14">
        <v>44791</v>
      </c>
      <c r="B389" s="13">
        <v>13.035</v>
      </c>
      <c r="C389" s="13">
        <v>13.024</v>
      </c>
      <c r="D389" s="13">
        <v>13.035</v>
      </c>
      <c r="E389" s="13">
        <v>13.024</v>
      </c>
      <c r="F389" s="15">
        <v>0.0002</v>
      </c>
    </row>
    <row r="390" spans="1:6">
      <c r="A390" s="14">
        <v>44790</v>
      </c>
      <c r="B390" s="13">
        <v>13.032</v>
      </c>
      <c r="C390" s="13">
        <v>13.023</v>
      </c>
      <c r="D390" s="13">
        <v>13.032</v>
      </c>
      <c r="E390" s="13">
        <v>13.023</v>
      </c>
      <c r="F390" s="15">
        <v>0.0002</v>
      </c>
    </row>
    <row r="391" spans="1:6">
      <c r="A391" s="14">
        <v>44789</v>
      </c>
      <c r="B391" s="13">
        <v>13.03</v>
      </c>
      <c r="C391" s="13">
        <v>13.02</v>
      </c>
      <c r="D391" s="13">
        <v>13.03</v>
      </c>
      <c r="E391" s="13">
        <v>13.02</v>
      </c>
      <c r="F391" s="15">
        <v>0.0002</v>
      </c>
    </row>
    <row r="392" spans="1:6">
      <c r="A392" s="14">
        <v>44788</v>
      </c>
      <c r="B392" s="13">
        <v>13.028</v>
      </c>
      <c r="C392" s="13">
        <v>13.018</v>
      </c>
      <c r="D392" s="13">
        <v>13.028</v>
      </c>
      <c r="E392" s="13">
        <v>13.018</v>
      </c>
      <c r="F392" s="15">
        <v>-0.0009</v>
      </c>
    </row>
    <row r="393" spans="1:6">
      <c r="A393" s="14">
        <v>44785</v>
      </c>
      <c r="B393" s="13">
        <v>13.04</v>
      </c>
      <c r="C393" s="13">
        <v>13.011</v>
      </c>
      <c r="D393" s="13">
        <v>13.04</v>
      </c>
      <c r="E393" s="13">
        <v>13.011</v>
      </c>
      <c r="F393" s="15">
        <v>0.0017</v>
      </c>
    </row>
    <row r="394" spans="1:6">
      <c r="A394" s="14">
        <v>44784</v>
      </c>
      <c r="B394" s="13">
        <v>13.018</v>
      </c>
      <c r="C394" s="13">
        <v>13.009</v>
      </c>
      <c r="D394" s="13">
        <v>13.018</v>
      </c>
      <c r="E394" s="13">
        <v>13.009</v>
      </c>
      <c r="F394" s="15">
        <v>0.0002</v>
      </c>
    </row>
    <row r="395" spans="1:6">
      <c r="A395" s="14">
        <v>44783</v>
      </c>
      <c r="B395" s="13">
        <v>13.016</v>
      </c>
      <c r="C395" s="13">
        <v>13.007</v>
      </c>
      <c r="D395" s="13">
        <v>13.016</v>
      </c>
      <c r="E395" s="13">
        <v>13.007</v>
      </c>
      <c r="F395" s="15">
        <v>0.0002</v>
      </c>
    </row>
    <row r="396" spans="1:6">
      <c r="A396" s="14">
        <v>44782</v>
      </c>
      <c r="B396" s="13">
        <v>13.014</v>
      </c>
      <c r="C396" s="13">
        <v>13.005</v>
      </c>
      <c r="D396" s="13">
        <v>13.014</v>
      </c>
      <c r="E396" s="13">
        <v>13.005</v>
      </c>
      <c r="F396" s="15">
        <v>0.0002</v>
      </c>
    </row>
    <row r="397" spans="1:6">
      <c r="A397" s="14">
        <v>44781</v>
      </c>
      <c r="B397" s="13">
        <v>13.011</v>
      </c>
      <c r="C397" s="13">
        <v>13.002</v>
      </c>
      <c r="D397" s="13">
        <v>13.011</v>
      </c>
      <c r="E397" s="13">
        <v>13.002</v>
      </c>
      <c r="F397" s="15">
        <v>-0.0009</v>
      </c>
    </row>
    <row r="398" spans="1:6">
      <c r="A398" s="14">
        <v>44778</v>
      </c>
      <c r="B398" s="13">
        <v>13.023</v>
      </c>
      <c r="C398" s="13">
        <v>12.995</v>
      </c>
      <c r="D398" s="13">
        <v>13.023</v>
      </c>
      <c r="E398" s="13">
        <v>12.995</v>
      </c>
      <c r="F398" s="15">
        <v>0.0016</v>
      </c>
    </row>
    <row r="399" spans="1:6">
      <c r="A399" s="14">
        <v>44777</v>
      </c>
      <c r="B399" s="13">
        <v>13.002</v>
      </c>
      <c r="C399" s="13">
        <v>12.993</v>
      </c>
      <c r="D399" s="13">
        <v>13.002</v>
      </c>
      <c r="E399" s="13">
        <v>12.993</v>
      </c>
      <c r="F399" s="15">
        <v>0.0001</v>
      </c>
    </row>
    <row r="400" spans="1:6">
      <c r="A400" s="14">
        <v>44776</v>
      </c>
      <c r="B400" s="13">
        <v>13</v>
      </c>
      <c r="C400" s="13">
        <v>12.991</v>
      </c>
      <c r="D400" s="13">
        <v>13</v>
      </c>
      <c r="E400" s="13">
        <v>12.991</v>
      </c>
      <c r="F400" s="15">
        <v>0.0002</v>
      </c>
    </row>
    <row r="401" spans="1:6">
      <c r="A401" s="14">
        <v>44775</v>
      </c>
      <c r="B401" s="13">
        <v>12.998</v>
      </c>
      <c r="C401" s="13">
        <v>12.988</v>
      </c>
      <c r="D401" s="13">
        <v>12.998</v>
      </c>
      <c r="E401" s="13">
        <v>12.988</v>
      </c>
      <c r="F401" s="15">
        <v>0.0002</v>
      </c>
    </row>
    <row r="402" spans="1:6">
      <c r="A402" s="14">
        <v>44774</v>
      </c>
      <c r="B402" s="13">
        <v>12.995</v>
      </c>
      <c r="C402" s="13">
        <v>12.986</v>
      </c>
      <c r="D402" s="13">
        <v>12.995</v>
      </c>
      <c r="E402" s="13">
        <v>12.986</v>
      </c>
      <c r="F402" s="15">
        <v>-0.0003</v>
      </c>
    </row>
    <row r="403" spans="1:6">
      <c r="A403" s="14">
        <v>44771</v>
      </c>
      <c r="B403" s="13">
        <v>13</v>
      </c>
      <c r="C403" s="13">
        <v>12.982</v>
      </c>
      <c r="D403" s="13">
        <v>13</v>
      </c>
      <c r="E403" s="13">
        <v>12.982</v>
      </c>
      <c r="F403" s="15">
        <v>0.0009</v>
      </c>
    </row>
    <row r="404" spans="1:6">
      <c r="A404" s="14">
        <v>44770</v>
      </c>
      <c r="B404" s="13">
        <v>12.988</v>
      </c>
      <c r="C404" s="13">
        <v>12.979</v>
      </c>
      <c r="D404" s="13">
        <v>12.988</v>
      </c>
      <c r="E404" s="13">
        <v>12.979</v>
      </c>
      <c r="F404" s="15">
        <v>0.0002</v>
      </c>
    </row>
    <row r="405" spans="1:6">
      <c r="A405" s="14">
        <v>44769</v>
      </c>
      <c r="B405" s="13">
        <v>12.986</v>
      </c>
      <c r="C405" s="13">
        <v>12.977</v>
      </c>
      <c r="D405" s="13">
        <v>12.986</v>
      </c>
      <c r="E405" s="13">
        <v>12.977</v>
      </c>
      <c r="F405" s="15">
        <v>0.0002</v>
      </c>
    </row>
    <row r="406" spans="1:6">
      <c r="A406" s="14">
        <v>44768</v>
      </c>
      <c r="B406" s="13">
        <v>12.983</v>
      </c>
      <c r="C406" s="13">
        <v>12.975</v>
      </c>
      <c r="D406" s="13">
        <v>12.983</v>
      </c>
      <c r="E406" s="13">
        <v>12.975</v>
      </c>
      <c r="F406" s="15">
        <v>0.0002</v>
      </c>
    </row>
    <row r="407" spans="1:6">
      <c r="A407" s="14">
        <v>44767</v>
      </c>
      <c r="B407" s="13">
        <v>12.981</v>
      </c>
      <c r="C407" s="13">
        <v>12.972</v>
      </c>
      <c r="D407" s="13">
        <v>12.981</v>
      </c>
      <c r="E407" s="13">
        <v>12.972</v>
      </c>
      <c r="F407" s="15">
        <v>-0.0008</v>
      </c>
    </row>
    <row r="408" spans="1:6">
      <c r="A408" s="14">
        <v>44764</v>
      </c>
      <c r="B408" s="13">
        <v>12.991</v>
      </c>
      <c r="C408" s="13">
        <v>12.966</v>
      </c>
      <c r="D408" s="13">
        <v>12.991</v>
      </c>
      <c r="E408" s="13">
        <v>12.966</v>
      </c>
      <c r="F408" s="15">
        <v>0.0015</v>
      </c>
    </row>
    <row r="409" spans="1:6">
      <c r="A409" s="14">
        <v>44763</v>
      </c>
      <c r="B409" s="13">
        <v>12.972</v>
      </c>
      <c r="C409" s="13">
        <v>12.964</v>
      </c>
      <c r="D409" s="13">
        <v>12.972</v>
      </c>
      <c r="E409" s="13">
        <v>12.964</v>
      </c>
      <c r="F409" s="15">
        <v>0.0002</v>
      </c>
    </row>
    <row r="410" spans="1:6">
      <c r="A410" s="14">
        <v>44762</v>
      </c>
      <c r="B410" s="13">
        <v>12.969</v>
      </c>
      <c r="C410" s="13">
        <v>12.961</v>
      </c>
      <c r="D410" s="13">
        <v>12.969</v>
      </c>
      <c r="E410" s="13">
        <v>12.961</v>
      </c>
      <c r="F410" s="15">
        <v>0.0002</v>
      </c>
    </row>
    <row r="411" spans="1:6">
      <c r="A411" s="14">
        <v>44761</v>
      </c>
      <c r="B411" s="13">
        <v>12.967</v>
      </c>
      <c r="C411" s="13">
        <v>12.96</v>
      </c>
      <c r="D411" s="13">
        <v>12.967</v>
      </c>
      <c r="E411" s="13">
        <v>12.96</v>
      </c>
      <c r="F411" s="15">
        <v>0.0002</v>
      </c>
    </row>
    <row r="412" spans="1:6">
      <c r="A412" s="14">
        <v>44760</v>
      </c>
      <c r="B412" s="13">
        <v>12.965</v>
      </c>
      <c r="C412" s="13">
        <v>12.957</v>
      </c>
      <c r="D412" s="13">
        <v>12.965</v>
      </c>
      <c r="E412" s="13">
        <v>12.957</v>
      </c>
      <c r="F412" s="15">
        <v>-0.0007</v>
      </c>
    </row>
    <row r="413" spans="1:6">
      <c r="A413" s="14">
        <v>44757</v>
      </c>
      <c r="B413" s="13">
        <v>12.974</v>
      </c>
      <c r="C413" s="13">
        <v>12.95</v>
      </c>
      <c r="D413" s="13">
        <v>12.974</v>
      </c>
      <c r="E413" s="13">
        <v>12.95</v>
      </c>
      <c r="F413" s="15">
        <v>0.0014</v>
      </c>
    </row>
    <row r="414" spans="1:6">
      <c r="A414" s="14">
        <v>44756</v>
      </c>
      <c r="B414" s="13">
        <v>12.956</v>
      </c>
      <c r="C414" s="13">
        <v>12.948</v>
      </c>
      <c r="D414" s="13">
        <v>12.956</v>
      </c>
      <c r="E414" s="13">
        <v>12.948</v>
      </c>
      <c r="F414" s="15">
        <v>0.0002</v>
      </c>
    </row>
    <row r="415" spans="1:6">
      <c r="A415" s="14">
        <v>44755</v>
      </c>
      <c r="B415" s="13">
        <v>12.954</v>
      </c>
      <c r="C415" s="13">
        <v>12.946</v>
      </c>
      <c r="D415" s="13">
        <v>12.954</v>
      </c>
      <c r="E415" s="13">
        <v>12.946</v>
      </c>
      <c r="F415" s="15">
        <v>0.0002</v>
      </c>
    </row>
    <row r="416" spans="1:6">
      <c r="A416" s="14">
        <v>44754</v>
      </c>
      <c r="B416" s="13">
        <v>12.951</v>
      </c>
      <c r="C416" s="13">
        <v>12.943</v>
      </c>
      <c r="D416" s="13">
        <v>12.951</v>
      </c>
      <c r="E416" s="13">
        <v>12.943</v>
      </c>
      <c r="F416" s="15">
        <v>0.0002</v>
      </c>
    </row>
    <row r="417" spans="1:6">
      <c r="A417" s="14">
        <v>44753</v>
      </c>
      <c r="B417" s="13">
        <v>12.95</v>
      </c>
      <c r="C417" s="13">
        <v>12.941</v>
      </c>
      <c r="D417" s="13">
        <v>12.95</v>
      </c>
      <c r="E417" s="13">
        <v>12.941</v>
      </c>
      <c r="F417" s="15">
        <v>-0.0007</v>
      </c>
    </row>
    <row r="418" spans="1:6">
      <c r="A418" s="14">
        <v>44750</v>
      </c>
      <c r="B418" s="13">
        <v>12.958</v>
      </c>
      <c r="C418" s="13">
        <v>12.934</v>
      </c>
      <c r="D418" s="13">
        <v>12.958</v>
      </c>
      <c r="E418" s="13">
        <v>12.934</v>
      </c>
      <c r="F418" s="15">
        <v>0.0014</v>
      </c>
    </row>
    <row r="419" spans="1:6">
      <c r="A419" s="14">
        <v>44749</v>
      </c>
      <c r="B419" s="13">
        <v>12.94</v>
      </c>
      <c r="C419" s="13">
        <v>12.932</v>
      </c>
      <c r="D419" s="13">
        <v>12.94</v>
      </c>
      <c r="E419" s="13">
        <v>12.932</v>
      </c>
      <c r="F419" s="15">
        <v>0.0002</v>
      </c>
    </row>
    <row r="420" spans="1:6">
      <c r="A420" s="14">
        <v>44748</v>
      </c>
      <c r="B420" s="13">
        <v>12.938</v>
      </c>
      <c r="C420" s="13">
        <v>12.93</v>
      </c>
      <c r="D420" s="13">
        <v>12.938</v>
      </c>
      <c r="E420" s="13">
        <v>12.93</v>
      </c>
      <c r="F420" s="15">
        <v>0.0002</v>
      </c>
    </row>
    <row r="421" spans="1:6">
      <c r="A421" s="14">
        <v>44747</v>
      </c>
      <c r="B421" s="13">
        <v>12.936</v>
      </c>
      <c r="C421" s="13">
        <v>12.927</v>
      </c>
      <c r="D421" s="13">
        <v>12.936</v>
      </c>
      <c r="E421" s="13">
        <v>12.927</v>
      </c>
      <c r="F421" s="15">
        <v>0.0002</v>
      </c>
    </row>
    <row r="422" spans="1:6">
      <c r="A422" s="14">
        <v>44746</v>
      </c>
      <c r="B422" s="13">
        <v>12.933</v>
      </c>
      <c r="C422" s="13">
        <v>12.925</v>
      </c>
      <c r="D422" s="13">
        <v>12.933</v>
      </c>
      <c r="E422" s="13">
        <v>12.925</v>
      </c>
      <c r="F422" s="15">
        <v>-0.0019</v>
      </c>
    </row>
    <row r="423" spans="1:6">
      <c r="A423" s="14">
        <v>44743</v>
      </c>
      <c r="B423" s="13">
        <v>12.958</v>
      </c>
      <c r="C423" s="13">
        <v>11.673</v>
      </c>
      <c r="D423" s="13">
        <v>12.958</v>
      </c>
      <c r="E423" s="13">
        <v>11.673</v>
      </c>
      <c r="F423" s="15">
        <v>0.1093</v>
      </c>
    </row>
    <row r="424" spans="1:6">
      <c r="A424" s="14">
        <v>44742</v>
      </c>
      <c r="B424" s="13">
        <v>11.681</v>
      </c>
      <c r="C424" s="13">
        <v>11.673</v>
      </c>
      <c r="D424" s="13">
        <v>11.681</v>
      </c>
      <c r="E424" s="13">
        <v>11.673</v>
      </c>
      <c r="F424" s="15">
        <v>0</v>
      </c>
    </row>
    <row r="425" spans="1:6">
      <c r="A425" s="14">
        <v>44741</v>
      </c>
      <c r="B425" s="13">
        <v>11.681</v>
      </c>
      <c r="C425" s="13">
        <v>11.673</v>
      </c>
      <c r="D425" s="13">
        <v>11.681</v>
      </c>
      <c r="E425" s="13">
        <v>11.673</v>
      </c>
      <c r="F425" s="15">
        <v>0</v>
      </c>
    </row>
    <row r="426" spans="1:6">
      <c r="A426" s="14">
        <v>44740</v>
      </c>
      <c r="B426" s="13">
        <v>11.681</v>
      </c>
      <c r="C426" s="13">
        <v>11.673</v>
      </c>
      <c r="D426" s="13">
        <v>11.681</v>
      </c>
      <c r="E426" s="13">
        <v>11.673</v>
      </c>
      <c r="F426" s="15">
        <v>0</v>
      </c>
    </row>
    <row r="427" spans="1:6">
      <c r="A427" s="14">
        <v>44739</v>
      </c>
      <c r="B427" s="13">
        <v>11.681</v>
      </c>
      <c r="C427" s="13">
        <v>11.673</v>
      </c>
      <c r="D427" s="13">
        <v>11.681</v>
      </c>
      <c r="E427" s="13">
        <v>11.673</v>
      </c>
      <c r="F427" s="15">
        <v>-0.0013</v>
      </c>
    </row>
    <row r="428" spans="1:6">
      <c r="A428" s="14">
        <v>44736</v>
      </c>
      <c r="B428" s="13">
        <v>11.696</v>
      </c>
      <c r="C428" s="13">
        <v>11.7</v>
      </c>
      <c r="D428" s="13">
        <v>11.7</v>
      </c>
      <c r="E428" s="13">
        <v>11.673</v>
      </c>
      <c r="F428" s="15">
        <v>-0.001</v>
      </c>
    </row>
    <row r="429" spans="1:6">
      <c r="A429" s="14">
        <v>44735</v>
      </c>
      <c r="B429" s="13">
        <v>11.708</v>
      </c>
      <c r="C429" s="13">
        <v>11.7</v>
      </c>
      <c r="D429" s="13">
        <v>11.708</v>
      </c>
      <c r="E429" s="13">
        <v>11.7</v>
      </c>
      <c r="F429" s="15">
        <v>0</v>
      </c>
    </row>
    <row r="430" spans="1:6">
      <c r="A430" s="14">
        <v>44734</v>
      </c>
      <c r="B430" s="13">
        <v>11.708</v>
      </c>
      <c r="C430" s="13">
        <v>11.7</v>
      </c>
      <c r="D430" s="13">
        <v>11.708</v>
      </c>
      <c r="E430" s="13">
        <v>11.7</v>
      </c>
      <c r="F430" s="15">
        <v>0</v>
      </c>
    </row>
    <row r="431" spans="1:6">
      <c r="A431" s="14">
        <v>44733</v>
      </c>
      <c r="B431" s="13">
        <v>11.708</v>
      </c>
      <c r="C431" s="13">
        <v>11.7</v>
      </c>
      <c r="D431" s="13">
        <v>11.708</v>
      </c>
      <c r="E431" s="13">
        <v>11.7</v>
      </c>
      <c r="F431" s="15">
        <v>0</v>
      </c>
    </row>
    <row r="432" spans="1:6">
      <c r="A432" s="14">
        <v>44732</v>
      </c>
      <c r="B432" s="13">
        <v>11.708</v>
      </c>
      <c r="C432" s="13">
        <v>11.7</v>
      </c>
      <c r="D432" s="13">
        <v>11.708</v>
      </c>
      <c r="E432" s="13">
        <v>11.7</v>
      </c>
      <c r="F432" s="15">
        <v>-0.0013</v>
      </c>
    </row>
    <row r="433" spans="1:6">
      <c r="A433" s="14">
        <v>44729</v>
      </c>
      <c r="B433" s="13">
        <v>11.722</v>
      </c>
      <c r="C433" s="13">
        <v>11.7</v>
      </c>
      <c r="D433" s="13">
        <v>11.722</v>
      </c>
      <c r="E433" s="13">
        <v>11.7</v>
      </c>
      <c r="F433" s="15">
        <v>0.0013</v>
      </c>
    </row>
    <row r="434" spans="1:6">
      <c r="A434" s="14">
        <v>44728</v>
      </c>
      <c r="B434" s="13">
        <v>11.708</v>
      </c>
      <c r="C434" s="13">
        <v>11.7</v>
      </c>
      <c r="D434" s="13">
        <v>11.708</v>
      </c>
      <c r="E434" s="13">
        <v>11.7</v>
      </c>
      <c r="F434" s="15">
        <v>0</v>
      </c>
    </row>
    <row r="435" spans="1:6">
      <c r="A435" s="14">
        <v>44727</v>
      </c>
      <c r="B435" s="13">
        <v>11.707</v>
      </c>
      <c r="C435" s="13">
        <v>11.7</v>
      </c>
      <c r="D435" s="13">
        <v>11.707</v>
      </c>
      <c r="E435" s="13">
        <v>11.7</v>
      </c>
      <c r="F435" s="15">
        <v>0</v>
      </c>
    </row>
    <row r="436" spans="1:6">
      <c r="A436" s="14">
        <v>44726</v>
      </c>
      <c r="B436" s="13">
        <v>11.707</v>
      </c>
      <c r="C436" s="13">
        <v>11.7</v>
      </c>
      <c r="D436" s="13">
        <v>11.707</v>
      </c>
      <c r="E436" s="13">
        <v>11.7</v>
      </c>
      <c r="F436" s="15">
        <v>0</v>
      </c>
    </row>
    <row r="437" spans="1:6">
      <c r="A437" s="14">
        <v>44725</v>
      </c>
      <c r="B437" s="13">
        <v>11.707</v>
      </c>
      <c r="C437" s="13">
        <v>11.7</v>
      </c>
      <c r="D437" s="13">
        <v>11.707</v>
      </c>
      <c r="E437" s="13">
        <v>11.7</v>
      </c>
      <c r="F437" s="15">
        <v>-0.0013</v>
      </c>
    </row>
    <row r="438" spans="1:6">
      <c r="A438" s="14">
        <v>44722</v>
      </c>
      <c r="B438" s="13">
        <v>11.722</v>
      </c>
      <c r="C438" s="13">
        <v>11.7</v>
      </c>
      <c r="D438" s="13">
        <v>11.722</v>
      </c>
      <c r="E438" s="13">
        <v>11.7</v>
      </c>
      <c r="F438" s="15">
        <v>0.0013</v>
      </c>
    </row>
    <row r="439" spans="1:6">
      <c r="A439" s="14">
        <v>44721</v>
      </c>
      <c r="B439" s="13">
        <v>11.707</v>
      </c>
      <c r="C439" s="13">
        <v>11.7</v>
      </c>
      <c r="D439" s="13">
        <v>11.707</v>
      </c>
      <c r="E439" s="13">
        <v>11.7</v>
      </c>
      <c r="F439" s="15">
        <v>0</v>
      </c>
    </row>
    <row r="440" spans="1:6">
      <c r="A440" s="14">
        <v>44720</v>
      </c>
      <c r="B440" s="13">
        <v>11.707</v>
      </c>
      <c r="C440" s="13">
        <v>11.7</v>
      </c>
      <c r="D440" s="13">
        <v>11.707</v>
      </c>
      <c r="E440" s="13">
        <v>11.7</v>
      </c>
      <c r="F440" s="15">
        <v>0</v>
      </c>
    </row>
    <row r="441" spans="1:6">
      <c r="A441" s="14">
        <v>44719</v>
      </c>
      <c r="B441" s="13">
        <v>11.707</v>
      </c>
      <c r="C441" s="13">
        <v>11.7</v>
      </c>
      <c r="D441" s="13">
        <v>11.707</v>
      </c>
      <c r="E441" s="13">
        <v>11.7</v>
      </c>
      <c r="F441" s="15">
        <v>0</v>
      </c>
    </row>
    <row r="442" spans="1:6">
      <c r="A442" s="14">
        <v>44718</v>
      </c>
      <c r="B442" s="13">
        <v>11.707</v>
      </c>
      <c r="C442" s="13">
        <v>11.7</v>
      </c>
      <c r="D442" s="13">
        <v>11.707</v>
      </c>
      <c r="E442" s="13">
        <v>11.7</v>
      </c>
      <c r="F442" s="15">
        <v>-0.0012</v>
      </c>
    </row>
    <row r="443" spans="1:6">
      <c r="A443" s="14">
        <v>44715</v>
      </c>
      <c r="B443" s="13">
        <v>11.722</v>
      </c>
      <c r="C443" s="13">
        <v>11.7</v>
      </c>
      <c r="D443" s="13">
        <v>11.722</v>
      </c>
      <c r="E443" s="13">
        <v>11.7</v>
      </c>
      <c r="F443" s="15">
        <v>0.0012</v>
      </c>
    </row>
    <row r="444" spans="1:6">
      <c r="A444" s="14">
        <v>44714</v>
      </c>
      <c r="B444" s="13">
        <v>11.707</v>
      </c>
      <c r="C444" s="13">
        <v>11.7</v>
      </c>
      <c r="D444" s="13">
        <v>11.707</v>
      </c>
      <c r="E444" s="13">
        <v>11.7</v>
      </c>
      <c r="F444" s="15">
        <v>0</v>
      </c>
    </row>
    <row r="445" spans="1:6">
      <c r="A445" s="14">
        <v>44713</v>
      </c>
      <c r="B445" s="13">
        <v>11.707</v>
      </c>
      <c r="C445" s="13">
        <v>11.7</v>
      </c>
      <c r="D445" s="13">
        <v>11.707</v>
      </c>
      <c r="E445" s="13">
        <v>11.7</v>
      </c>
      <c r="F445" s="15">
        <v>-0.0023</v>
      </c>
    </row>
    <row r="446" spans="1:6">
      <c r="A446" s="14">
        <v>44712</v>
      </c>
      <c r="B446" s="13">
        <v>11.734</v>
      </c>
      <c r="C446" s="13">
        <v>11.7</v>
      </c>
      <c r="D446" s="13">
        <v>11.734</v>
      </c>
      <c r="E446" s="13">
        <v>11.7</v>
      </c>
      <c r="F446" s="15">
        <v>0.0052</v>
      </c>
    </row>
    <row r="447" spans="1:6">
      <c r="A447" s="14">
        <v>44711</v>
      </c>
      <c r="B447" s="13">
        <v>11.673</v>
      </c>
      <c r="C447" s="13">
        <v>11.75</v>
      </c>
      <c r="D447" s="13">
        <v>11.75</v>
      </c>
      <c r="E447" s="13">
        <v>11.673</v>
      </c>
      <c r="F447" s="15">
        <v>-0.0083</v>
      </c>
    </row>
    <row r="448" spans="1:6">
      <c r="A448" s="14">
        <v>44708</v>
      </c>
      <c r="B448" s="13">
        <v>11.771</v>
      </c>
      <c r="C448" s="13">
        <v>11.75</v>
      </c>
      <c r="D448" s="13">
        <v>11.771</v>
      </c>
      <c r="E448" s="13">
        <v>11.75</v>
      </c>
      <c r="F448" s="15">
        <v>0.0012</v>
      </c>
    </row>
    <row r="449" spans="1:6">
      <c r="A449" s="14">
        <v>44707</v>
      </c>
      <c r="B449" s="13">
        <v>11.757</v>
      </c>
      <c r="C449" s="13">
        <v>11.75</v>
      </c>
      <c r="D449" s="13">
        <v>11.757</v>
      </c>
      <c r="E449" s="13">
        <v>11.75</v>
      </c>
      <c r="F449" s="15">
        <v>0</v>
      </c>
    </row>
    <row r="450" spans="1:6">
      <c r="A450" s="14">
        <v>44706</v>
      </c>
      <c r="B450" s="13">
        <v>11.757</v>
      </c>
      <c r="C450" s="13">
        <v>11.75</v>
      </c>
      <c r="D450" s="13">
        <v>11.757</v>
      </c>
      <c r="E450" s="13">
        <v>11.75</v>
      </c>
      <c r="F450" s="15">
        <v>0</v>
      </c>
    </row>
    <row r="451" spans="1:6">
      <c r="A451" s="14">
        <v>44705</v>
      </c>
      <c r="B451" s="13">
        <v>11.757</v>
      </c>
      <c r="C451" s="13">
        <v>11.7</v>
      </c>
      <c r="D451" s="13">
        <v>11.757</v>
      </c>
      <c r="E451" s="13">
        <v>11.7</v>
      </c>
      <c r="F451" s="15">
        <v>0.0043</v>
      </c>
    </row>
    <row r="452" spans="1:6">
      <c r="A452" s="14">
        <v>44704</v>
      </c>
      <c r="B452" s="13">
        <v>11.707</v>
      </c>
      <c r="C452" s="13">
        <v>11.7</v>
      </c>
      <c r="D452" s="13">
        <v>11.707</v>
      </c>
      <c r="E452" s="13">
        <v>11.7</v>
      </c>
      <c r="F452" s="15">
        <v>-0.0011</v>
      </c>
    </row>
    <row r="453" spans="1:6">
      <c r="A453" s="14">
        <v>44701</v>
      </c>
      <c r="B453" s="13">
        <v>11.72</v>
      </c>
      <c r="C453" s="13">
        <v>11.7</v>
      </c>
      <c r="D453" s="13">
        <v>11.72</v>
      </c>
      <c r="E453" s="13">
        <v>11.7</v>
      </c>
      <c r="F453" s="15">
        <v>0.0012</v>
      </c>
    </row>
    <row r="454" spans="1:6">
      <c r="A454" s="14">
        <v>44700</v>
      </c>
      <c r="B454" s="13">
        <v>11.707</v>
      </c>
      <c r="C454" s="13">
        <v>11.7</v>
      </c>
      <c r="D454" s="13">
        <v>11.707</v>
      </c>
      <c r="E454" s="13">
        <v>11.7</v>
      </c>
      <c r="F454" s="15">
        <v>0</v>
      </c>
    </row>
    <row r="455" spans="1:6">
      <c r="A455" s="14">
        <v>44699</v>
      </c>
      <c r="B455" s="13">
        <v>11.707</v>
      </c>
      <c r="C455" s="13">
        <v>11.7</v>
      </c>
      <c r="D455" s="13">
        <v>11.707</v>
      </c>
      <c r="E455" s="13">
        <v>11.7</v>
      </c>
      <c r="F455" s="15">
        <v>0</v>
      </c>
    </row>
    <row r="456" spans="1:6">
      <c r="A456" s="14">
        <v>44698</v>
      </c>
      <c r="B456" s="13">
        <v>11.707</v>
      </c>
      <c r="C456" s="13">
        <v>11.7</v>
      </c>
      <c r="D456" s="13">
        <v>11.707</v>
      </c>
      <c r="E456" s="13">
        <v>11.7</v>
      </c>
      <c r="F456" s="15">
        <v>0</v>
      </c>
    </row>
    <row r="457" spans="1:6">
      <c r="A457" s="14">
        <v>44697</v>
      </c>
      <c r="B457" s="13">
        <v>11.707</v>
      </c>
      <c r="C457" s="13">
        <v>11.7</v>
      </c>
      <c r="D457" s="13">
        <v>11.707</v>
      </c>
      <c r="E457" s="13">
        <v>11.7</v>
      </c>
      <c r="F457" s="15">
        <v>-0.0011</v>
      </c>
    </row>
    <row r="458" spans="1:6">
      <c r="A458" s="14">
        <v>44694</v>
      </c>
      <c r="B458" s="13">
        <v>11.719</v>
      </c>
      <c r="C458" s="13">
        <v>11.7</v>
      </c>
      <c r="D458" s="13">
        <v>11.719</v>
      </c>
      <c r="E458" s="13">
        <v>11.7</v>
      </c>
      <c r="F458" s="15">
        <v>0.0011</v>
      </c>
    </row>
    <row r="459" spans="1:6">
      <c r="A459" s="14">
        <v>44693</v>
      </c>
      <c r="B459" s="13">
        <v>11.707</v>
      </c>
      <c r="C459" s="13">
        <v>11.237</v>
      </c>
      <c r="D459" s="13">
        <v>11.707</v>
      </c>
      <c r="E459" s="13">
        <v>11.237</v>
      </c>
      <c r="F459" s="15">
        <v>0.0404</v>
      </c>
    </row>
    <row r="460" spans="1:6">
      <c r="A460" s="14">
        <v>44692</v>
      </c>
      <c r="B460" s="13">
        <v>11.252</v>
      </c>
      <c r="C460" s="13">
        <v>11.235</v>
      </c>
      <c r="D460" s="13">
        <v>11.252</v>
      </c>
      <c r="E460" s="13">
        <v>11.235</v>
      </c>
      <c r="F460" s="15">
        <v>0.0001</v>
      </c>
    </row>
    <row r="461" spans="1:6">
      <c r="A461" s="14">
        <v>44691</v>
      </c>
      <c r="B461" s="13">
        <v>11.25</v>
      </c>
      <c r="C461" s="13">
        <v>11.233</v>
      </c>
      <c r="D461" s="13">
        <v>11.25</v>
      </c>
      <c r="E461" s="13">
        <v>11.233</v>
      </c>
      <c r="F461" s="15">
        <v>0.0015</v>
      </c>
    </row>
    <row r="462" spans="1:6">
      <c r="A462" s="14">
        <v>44690</v>
      </c>
      <c r="B462" s="13">
        <v>11.233</v>
      </c>
      <c r="C462" s="13">
        <v>11.233</v>
      </c>
      <c r="D462" s="13">
        <v>11.233</v>
      </c>
      <c r="E462" s="13">
        <v>11.233</v>
      </c>
      <c r="F462" s="15">
        <v>-0.0052</v>
      </c>
    </row>
    <row r="463" spans="1:6">
      <c r="A463" s="14">
        <v>44687</v>
      </c>
      <c r="B463" s="13">
        <v>11.292</v>
      </c>
      <c r="C463" s="13">
        <v>11.227</v>
      </c>
      <c r="D463" s="13">
        <v>11.292</v>
      </c>
      <c r="E463" s="13">
        <v>11.227</v>
      </c>
      <c r="F463" s="15">
        <v>0.0045</v>
      </c>
    </row>
    <row r="464" spans="1:6">
      <c r="A464" s="14">
        <v>44686</v>
      </c>
      <c r="B464" s="13">
        <v>11.241</v>
      </c>
      <c r="C464" s="13">
        <v>11.224</v>
      </c>
      <c r="D464" s="13">
        <v>11.241</v>
      </c>
      <c r="E464" s="13">
        <v>11.224</v>
      </c>
      <c r="F464" s="15">
        <v>0.0002</v>
      </c>
    </row>
    <row r="465" spans="1:6">
      <c r="A465" s="14">
        <v>44685</v>
      </c>
      <c r="B465" s="13">
        <v>11.239</v>
      </c>
      <c r="C465" s="13">
        <v>11.223</v>
      </c>
      <c r="D465" s="13">
        <v>11.239</v>
      </c>
      <c r="E465" s="13">
        <v>11.223</v>
      </c>
      <c r="F465" s="15">
        <v>0.0002</v>
      </c>
    </row>
    <row r="466" spans="1:6">
      <c r="A466" s="14">
        <v>44684</v>
      </c>
      <c r="B466" s="13">
        <v>11.237</v>
      </c>
      <c r="C466" s="13">
        <v>11.221</v>
      </c>
      <c r="D466" s="13">
        <v>11.237</v>
      </c>
      <c r="E466" s="13">
        <v>11.221</v>
      </c>
      <c r="F466" s="15">
        <v>0.0001</v>
      </c>
    </row>
    <row r="467" spans="1:6">
      <c r="A467" s="14">
        <v>44683</v>
      </c>
      <c r="B467" s="13">
        <v>11.236</v>
      </c>
      <c r="C467" s="13">
        <v>11.219</v>
      </c>
      <c r="D467" s="13">
        <v>11.236</v>
      </c>
      <c r="E467" s="13">
        <v>11.219</v>
      </c>
      <c r="F467" s="15">
        <v>-0.0024</v>
      </c>
    </row>
    <row r="468" spans="1:6">
      <c r="A468" s="14">
        <v>44680</v>
      </c>
      <c r="B468" s="13">
        <v>11.262</v>
      </c>
      <c r="C468" s="13">
        <v>11.215</v>
      </c>
      <c r="D468" s="13">
        <v>11.262</v>
      </c>
      <c r="E468" s="13">
        <v>11.215</v>
      </c>
      <c r="F468" s="15">
        <v>0.003</v>
      </c>
    </row>
    <row r="469" spans="1:6">
      <c r="A469" s="14">
        <v>44679</v>
      </c>
      <c r="B469" s="13">
        <v>11.228</v>
      </c>
      <c r="C469" s="13">
        <v>11.212</v>
      </c>
      <c r="D469" s="13">
        <v>11.228</v>
      </c>
      <c r="E469" s="13">
        <v>11.212</v>
      </c>
      <c r="F469" s="15">
        <v>0.0001</v>
      </c>
    </row>
    <row r="470" spans="1:6">
      <c r="A470" s="14">
        <v>44678</v>
      </c>
      <c r="B470" s="13">
        <v>11.226</v>
      </c>
      <c r="C470" s="13">
        <v>11.21</v>
      </c>
      <c r="D470" s="13">
        <v>11.226</v>
      </c>
      <c r="E470" s="13">
        <v>11.21</v>
      </c>
      <c r="F470" s="15">
        <v>0.0002</v>
      </c>
    </row>
    <row r="471" spans="1:6">
      <c r="A471" s="14">
        <v>44677</v>
      </c>
      <c r="B471" s="13">
        <v>11.224</v>
      </c>
      <c r="C471" s="13">
        <v>11.209</v>
      </c>
      <c r="D471" s="13">
        <v>11.224</v>
      </c>
      <c r="E471" s="13">
        <v>11.209</v>
      </c>
      <c r="F471" s="15">
        <v>-0.0001</v>
      </c>
    </row>
    <row r="472" spans="1:6">
      <c r="A472" s="14">
        <v>44676</v>
      </c>
      <c r="B472" s="13">
        <v>11.226</v>
      </c>
      <c r="C472" s="13">
        <v>11.209</v>
      </c>
      <c r="D472" s="13">
        <v>11.226</v>
      </c>
      <c r="E472" s="13">
        <v>11.209</v>
      </c>
      <c r="F472" s="15">
        <v>-0.0031</v>
      </c>
    </row>
    <row r="473" spans="1:6">
      <c r="A473" s="14">
        <v>44673</v>
      </c>
      <c r="B473" s="13">
        <v>11.261</v>
      </c>
      <c r="C473" s="13">
        <v>11.241</v>
      </c>
      <c r="D473" s="13">
        <v>11.261</v>
      </c>
      <c r="E473" s="13">
        <v>11.209</v>
      </c>
      <c r="F473" s="15">
        <v>0.0002</v>
      </c>
    </row>
    <row r="474" spans="1:6">
      <c r="A474" s="14">
        <v>44672</v>
      </c>
      <c r="B474" s="13">
        <v>11.259</v>
      </c>
      <c r="C474" s="13">
        <v>11.241</v>
      </c>
      <c r="D474" s="13">
        <v>11.259</v>
      </c>
      <c r="E474" s="13">
        <v>11.241</v>
      </c>
      <c r="F474" s="15">
        <v>0</v>
      </c>
    </row>
    <row r="475" spans="1:6">
      <c r="A475" s="14">
        <v>44671</v>
      </c>
      <c r="B475" s="13">
        <v>11.258</v>
      </c>
      <c r="C475" s="13">
        <v>11.241</v>
      </c>
      <c r="D475" s="13">
        <v>11.258</v>
      </c>
      <c r="E475" s="13">
        <v>11.241</v>
      </c>
      <c r="F475" s="15">
        <v>0</v>
      </c>
    </row>
    <row r="476" spans="1:6">
      <c r="A476" s="14">
        <v>44670</v>
      </c>
      <c r="B476" s="13">
        <v>11.258</v>
      </c>
      <c r="C476" s="13">
        <v>12.191</v>
      </c>
      <c r="D476" s="13">
        <v>12.191</v>
      </c>
      <c r="E476" s="13">
        <v>11.241</v>
      </c>
      <c r="F476" s="15">
        <v>0</v>
      </c>
    </row>
    <row r="477" spans="1:6">
      <c r="A477" s="14">
        <v>44669</v>
      </c>
      <c r="B477" s="13">
        <v>11.258</v>
      </c>
      <c r="C477" s="13">
        <v>12.214</v>
      </c>
      <c r="D477" s="13">
        <v>12.214</v>
      </c>
      <c r="E477" s="13">
        <v>11.241</v>
      </c>
      <c r="F477" s="15">
        <v>-0.003</v>
      </c>
    </row>
    <row r="478" spans="1:6">
      <c r="A478" s="14">
        <v>44666</v>
      </c>
      <c r="B478" s="13">
        <v>11.292</v>
      </c>
      <c r="C478" s="13">
        <v>12.175</v>
      </c>
      <c r="D478" s="13">
        <v>12.175</v>
      </c>
      <c r="E478" s="13">
        <v>11.241</v>
      </c>
      <c r="F478" s="15">
        <v>0.003</v>
      </c>
    </row>
    <row r="479" spans="1:6">
      <c r="A479" s="14">
        <v>44665</v>
      </c>
      <c r="B479" s="13">
        <v>11.258</v>
      </c>
      <c r="C479" s="13">
        <v>12.175</v>
      </c>
      <c r="D479" s="13">
        <v>12.175</v>
      </c>
      <c r="E479" s="13">
        <v>11.241</v>
      </c>
      <c r="F479" s="15">
        <v>0</v>
      </c>
    </row>
    <row r="480" spans="1:6">
      <c r="A480" s="14">
        <v>44664</v>
      </c>
      <c r="B480" s="13">
        <v>11.258</v>
      </c>
      <c r="C480" s="13">
        <v>12.191</v>
      </c>
      <c r="D480" s="13">
        <v>12.191</v>
      </c>
      <c r="E480" s="13">
        <v>11.241</v>
      </c>
      <c r="F480" s="15">
        <v>0</v>
      </c>
    </row>
    <row r="481" spans="1:6">
      <c r="A481" s="14">
        <v>44663</v>
      </c>
      <c r="B481" s="13">
        <v>11.258</v>
      </c>
      <c r="C481" s="13">
        <v>12.191</v>
      </c>
      <c r="D481" s="13">
        <v>12.191</v>
      </c>
      <c r="E481" s="13">
        <v>11.241</v>
      </c>
      <c r="F481" s="15">
        <v>0</v>
      </c>
    </row>
    <row r="482" spans="1:6">
      <c r="A482" s="14">
        <v>44662</v>
      </c>
      <c r="B482" s="13">
        <v>11.258</v>
      </c>
      <c r="C482" s="13">
        <v>12.214</v>
      </c>
      <c r="D482" s="13">
        <v>12.214</v>
      </c>
      <c r="E482" s="13">
        <v>11.141</v>
      </c>
      <c r="F482" s="15">
        <v>0.0061</v>
      </c>
    </row>
    <row r="483" spans="1:6">
      <c r="A483" s="14">
        <v>44659</v>
      </c>
      <c r="B483" s="13">
        <v>11.19</v>
      </c>
      <c r="C483" s="13">
        <v>12.175</v>
      </c>
      <c r="D483" s="13">
        <v>12.175</v>
      </c>
      <c r="E483" s="13">
        <v>11.141</v>
      </c>
      <c r="F483" s="15">
        <v>0.003</v>
      </c>
    </row>
    <row r="484" spans="1:6">
      <c r="A484" s="14">
        <v>44658</v>
      </c>
      <c r="B484" s="13">
        <v>11.157</v>
      </c>
      <c r="C484" s="13">
        <v>12.175</v>
      </c>
      <c r="D484" s="13">
        <v>12.175</v>
      </c>
      <c r="E484" s="13">
        <v>11.141</v>
      </c>
      <c r="F484" s="15">
        <v>0</v>
      </c>
    </row>
    <row r="485" spans="1:6">
      <c r="A485" s="14">
        <v>44657</v>
      </c>
      <c r="B485" s="13">
        <v>11.157</v>
      </c>
      <c r="C485" s="13">
        <v>12.191</v>
      </c>
      <c r="D485" s="13">
        <v>12.191</v>
      </c>
      <c r="E485" s="13">
        <v>11.141</v>
      </c>
      <c r="F485" s="15">
        <v>0</v>
      </c>
    </row>
    <row r="486" spans="1:6">
      <c r="A486" s="14">
        <v>44656</v>
      </c>
      <c r="B486" s="13">
        <v>11.157</v>
      </c>
      <c r="C486" s="13">
        <v>12.191</v>
      </c>
      <c r="D486" s="13">
        <v>12.191</v>
      </c>
      <c r="E486" s="13">
        <v>11.141</v>
      </c>
      <c r="F486" s="15">
        <v>0</v>
      </c>
    </row>
    <row r="487" spans="1:6">
      <c r="A487" s="14">
        <v>44655</v>
      </c>
      <c r="B487" s="13">
        <v>11.157</v>
      </c>
      <c r="C487" s="13">
        <v>12.213</v>
      </c>
      <c r="D487" s="13">
        <v>12.213</v>
      </c>
      <c r="E487" s="13">
        <v>11.141</v>
      </c>
      <c r="F487" s="15">
        <v>-0.0029</v>
      </c>
    </row>
    <row r="488" spans="1:6">
      <c r="A488" s="14">
        <v>44652</v>
      </c>
      <c r="B488" s="13">
        <v>11.189</v>
      </c>
      <c r="C488" s="13">
        <v>12.184</v>
      </c>
      <c r="D488" s="13">
        <v>12.184</v>
      </c>
      <c r="E488" s="13">
        <v>11.141</v>
      </c>
      <c r="F488" s="15">
        <v>0.0014</v>
      </c>
    </row>
    <row r="489" spans="1:6">
      <c r="A489" s="14">
        <v>44651</v>
      </c>
      <c r="B489" s="13">
        <v>11.173</v>
      </c>
      <c r="C489" s="13">
        <v>12.149</v>
      </c>
      <c r="D489" s="13">
        <v>12.149</v>
      </c>
      <c r="E489" s="13">
        <v>11.141</v>
      </c>
      <c r="F489" s="15">
        <v>0.0044</v>
      </c>
    </row>
    <row r="490" spans="1:6">
      <c r="A490" s="14">
        <v>44650</v>
      </c>
      <c r="B490" s="13">
        <v>11.125</v>
      </c>
      <c r="C490" s="13">
        <v>12.199</v>
      </c>
      <c r="D490" s="13">
        <v>12.199</v>
      </c>
      <c r="E490" s="13">
        <v>11.125</v>
      </c>
      <c r="F490" s="15">
        <v>-0.0029</v>
      </c>
    </row>
    <row r="491" spans="1:6">
      <c r="A491" s="14">
        <v>44649</v>
      </c>
      <c r="B491" s="13">
        <v>11.157</v>
      </c>
      <c r="C491" s="13">
        <v>12.199</v>
      </c>
      <c r="D491" s="13">
        <v>12.199</v>
      </c>
      <c r="E491" s="13">
        <v>11.141</v>
      </c>
      <c r="F491" s="15">
        <v>0</v>
      </c>
    </row>
    <row r="492" spans="1:6">
      <c r="A492" s="14">
        <v>44648</v>
      </c>
      <c r="B492" s="13">
        <v>11.157</v>
      </c>
      <c r="C492" s="13">
        <v>11.141</v>
      </c>
      <c r="D492" s="13">
        <v>11.157</v>
      </c>
      <c r="E492" s="13">
        <v>11.141</v>
      </c>
      <c r="F492" s="15">
        <v>-0.0028</v>
      </c>
    </row>
    <row r="493" spans="1:6">
      <c r="A493" s="14">
        <v>44645</v>
      </c>
      <c r="B493" s="13">
        <v>11.189</v>
      </c>
      <c r="C493" s="13">
        <v>11.141</v>
      </c>
      <c r="D493" s="13">
        <v>11.189</v>
      </c>
      <c r="E493" s="13">
        <v>11.141</v>
      </c>
      <c r="F493" s="15">
        <v>0.0028</v>
      </c>
    </row>
    <row r="494" spans="1:6">
      <c r="A494" s="14">
        <v>44644</v>
      </c>
      <c r="B494" s="13">
        <v>11.157</v>
      </c>
      <c r="C494" s="13">
        <v>11.141</v>
      </c>
      <c r="D494" s="13">
        <v>11.157</v>
      </c>
      <c r="E494" s="13">
        <v>11.141</v>
      </c>
      <c r="F494" s="15">
        <v>0</v>
      </c>
    </row>
    <row r="495" spans="1:6">
      <c r="A495" s="14">
        <v>44643</v>
      </c>
      <c r="B495" s="13">
        <v>11.157</v>
      </c>
      <c r="C495" s="13">
        <v>11.141</v>
      </c>
      <c r="D495" s="13">
        <v>11.157</v>
      </c>
      <c r="E495" s="13">
        <v>11.141</v>
      </c>
      <c r="F495" s="15">
        <v>0.0014</v>
      </c>
    </row>
    <row r="496" spans="1:6">
      <c r="A496" s="14">
        <v>44642</v>
      </c>
      <c r="B496" s="13">
        <v>11.141</v>
      </c>
      <c r="C496" s="13">
        <v>11.141</v>
      </c>
      <c r="D496" s="13">
        <v>11.141</v>
      </c>
      <c r="E496" s="13">
        <v>11.141</v>
      </c>
      <c r="F496" s="15">
        <v>-0.0028</v>
      </c>
    </row>
    <row r="497" spans="1:6">
      <c r="A497" s="14">
        <v>44641</v>
      </c>
      <c r="B497" s="13">
        <v>11.172</v>
      </c>
      <c r="C497" s="13">
        <v>11.141</v>
      </c>
      <c r="D497" s="13">
        <v>11.172</v>
      </c>
      <c r="E497" s="13">
        <v>11.141</v>
      </c>
      <c r="F497" s="15">
        <v>-0.0013</v>
      </c>
    </row>
    <row r="498" spans="1:6">
      <c r="A498" s="14">
        <v>44638</v>
      </c>
      <c r="B498" s="13">
        <v>11.187</v>
      </c>
      <c r="C498" s="13">
        <v>11.141</v>
      </c>
      <c r="D498" s="13">
        <v>11.187</v>
      </c>
      <c r="E498" s="13">
        <v>11.141</v>
      </c>
      <c r="F498" s="15">
        <v>0.0028</v>
      </c>
    </row>
    <row r="499" spans="1:6">
      <c r="A499" s="14">
        <v>44637</v>
      </c>
      <c r="B499" s="13">
        <v>11.156</v>
      </c>
      <c r="C499" s="13">
        <v>11.059</v>
      </c>
      <c r="D499" s="13">
        <v>11.156</v>
      </c>
      <c r="E499" s="13">
        <v>11.059</v>
      </c>
      <c r="F499" s="15">
        <v>0.0074</v>
      </c>
    </row>
    <row r="500" spans="1:6">
      <c r="A500" s="14">
        <v>44636</v>
      </c>
      <c r="B500" s="13">
        <v>11.074</v>
      </c>
      <c r="C500" s="13">
        <v>11.059</v>
      </c>
      <c r="D500" s="13">
        <v>11.074</v>
      </c>
      <c r="E500" s="13">
        <v>11.059</v>
      </c>
      <c r="F500" s="15">
        <v>0</v>
      </c>
    </row>
    <row r="501" spans="1:6">
      <c r="A501" s="14">
        <v>44635</v>
      </c>
      <c r="B501" s="13">
        <v>11.074</v>
      </c>
      <c r="C501" s="13">
        <v>11.059</v>
      </c>
      <c r="D501" s="13">
        <v>11.074</v>
      </c>
      <c r="E501" s="13">
        <v>11.059</v>
      </c>
      <c r="F501" s="15">
        <v>0</v>
      </c>
    </row>
    <row r="502" spans="1:6">
      <c r="A502" s="14">
        <v>44634</v>
      </c>
      <c r="B502" s="13">
        <v>11.074</v>
      </c>
      <c r="C502" s="13">
        <v>11.059</v>
      </c>
      <c r="D502" s="13">
        <v>11.074</v>
      </c>
      <c r="E502" s="13">
        <v>11.059</v>
      </c>
      <c r="F502" s="15">
        <v>-0.0027</v>
      </c>
    </row>
    <row r="503" spans="1:6">
      <c r="A503" s="14">
        <v>44631</v>
      </c>
      <c r="B503" s="13">
        <v>11.104</v>
      </c>
      <c r="C503" s="13">
        <v>11.059</v>
      </c>
      <c r="D503" s="13">
        <v>11.104</v>
      </c>
      <c r="E503" s="13">
        <v>11.059</v>
      </c>
      <c r="F503" s="15">
        <v>0.0028</v>
      </c>
    </row>
    <row r="504" spans="1:6">
      <c r="A504" s="14">
        <v>44630</v>
      </c>
      <c r="B504" s="13">
        <v>11.073</v>
      </c>
      <c r="C504" s="13">
        <v>11.059</v>
      </c>
      <c r="D504" s="13">
        <v>11.073</v>
      </c>
      <c r="E504" s="13">
        <v>11.059</v>
      </c>
      <c r="F504" s="15">
        <v>0</v>
      </c>
    </row>
    <row r="505" spans="1:6">
      <c r="A505" s="14">
        <v>44629</v>
      </c>
      <c r="B505" s="13">
        <v>11.073</v>
      </c>
      <c r="C505" s="13">
        <v>11.059</v>
      </c>
      <c r="D505" s="13">
        <v>11.073</v>
      </c>
      <c r="E505" s="13">
        <v>11.059</v>
      </c>
      <c r="F505" s="15">
        <v>0.0013</v>
      </c>
    </row>
    <row r="506" spans="1:6">
      <c r="A506" s="14">
        <v>44628</v>
      </c>
      <c r="B506" s="13">
        <v>11.059</v>
      </c>
      <c r="C506" s="13">
        <v>11.059</v>
      </c>
      <c r="D506" s="13">
        <v>11.059</v>
      </c>
      <c r="E506" s="13">
        <v>11.059</v>
      </c>
      <c r="F506" s="15">
        <v>-0.0027</v>
      </c>
    </row>
    <row r="507" spans="1:6">
      <c r="A507" s="14">
        <v>44627</v>
      </c>
      <c r="B507" s="13">
        <v>11.089</v>
      </c>
      <c r="C507" s="13">
        <v>11.209</v>
      </c>
      <c r="D507" s="13">
        <v>11.209</v>
      </c>
      <c r="E507" s="13">
        <v>11.059</v>
      </c>
      <c r="F507" s="15">
        <v>-0.0147</v>
      </c>
    </row>
    <row r="508" spans="1:6">
      <c r="A508" s="14">
        <v>44624</v>
      </c>
      <c r="B508" s="13">
        <v>11.254</v>
      </c>
      <c r="C508" s="13">
        <v>11.047</v>
      </c>
      <c r="D508" s="13">
        <v>11.254</v>
      </c>
      <c r="E508" s="13">
        <v>10.959</v>
      </c>
      <c r="F508" s="15">
        <v>0.0256</v>
      </c>
    </row>
    <row r="509" spans="1:6">
      <c r="A509" s="14">
        <v>44623</v>
      </c>
      <c r="B509" s="13">
        <v>10.974</v>
      </c>
      <c r="C509" s="13">
        <v>10.959</v>
      </c>
      <c r="D509" s="13">
        <v>10.974</v>
      </c>
      <c r="E509" s="13">
        <v>10.959</v>
      </c>
      <c r="F509" s="15">
        <v>0</v>
      </c>
    </row>
    <row r="510" spans="1:6">
      <c r="A510" s="14">
        <v>44622</v>
      </c>
      <c r="B510" s="13">
        <v>10.974</v>
      </c>
      <c r="C510" s="13">
        <v>10.659</v>
      </c>
      <c r="D510" s="13">
        <v>10.974</v>
      </c>
      <c r="E510" s="13">
        <v>10.659</v>
      </c>
      <c r="F510" s="15">
        <v>0.0282</v>
      </c>
    </row>
    <row r="511" spans="1:6">
      <c r="A511" s="14">
        <v>44621</v>
      </c>
      <c r="B511" s="13">
        <v>10.672</v>
      </c>
      <c r="C511" s="13">
        <v>10.159</v>
      </c>
      <c r="D511" s="13">
        <v>10.672</v>
      </c>
      <c r="E511" s="13">
        <v>10.159</v>
      </c>
      <c r="F511" s="15">
        <v>0.0524</v>
      </c>
    </row>
    <row r="512" spans="1:6">
      <c r="A512" s="14">
        <v>44620</v>
      </c>
      <c r="B512" s="13">
        <v>10.142</v>
      </c>
      <c r="C512" s="13">
        <v>10.159</v>
      </c>
      <c r="D512" s="13">
        <v>10.159</v>
      </c>
      <c r="E512" s="13">
        <v>10.142</v>
      </c>
      <c r="F512" s="15">
        <v>-0.0105</v>
      </c>
    </row>
    <row r="513" spans="1:6">
      <c r="A513" s="14">
        <v>44617</v>
      </c>
      <c r="B513" s="13">
        <v>10.249</v>
      </c>
      <c r="C513" s="13">
        <v>10.159</v>
      </c>
      <c r="D513" s="13">
        <v>10.249</v>
      </c>
      <c r="E513" s="13">
        <v>10.159</v>
      </c>
      <c r="F513" s="15">
        <v>0.0077</v>
      </c>
    </row>
    <row r="514" spans="1:6">
      <c r="A514" s="14">
        <v>44616</v>
      </c>
      <c r="B514" s="13">
        <v>10.171</v>
      </c>
      <c r="C514" s="13">
        <v>10.159</v>
      </c>
      <c r="D514" s="13">
        <v>10.171</v>
      </c>
      <c r="E514" s="13">
        <v>10.159</v>
      </c>
      <c r="F514" s="15">
        <v>0</v>
      </c>
    </row>
    <row r="515" spans="1:6">
      <c r="A515" s="14">
        <v>44615</v>
      </c>
      <c r="B515" s="13">
        <v>10.171</v>
      </c>
      <c r="C515" s="13">
        <v>10.159</v>
      </c>
      <c r="D515" s="13">
        <v>10.171</v>
      </c>
      <c r="E515" s="13">
        <v>10.159</v>
      </c>
      <c r="F515" s="15">
        <v>0</v>
      </c>
    </row>
    <row r="516" spans="1:6">
      <c r="A516" s="14">
        <v>44614</v>
      </c>
      <c r="B516" s="13">
        <v>10.171</v>
      </c>
      <c r="C516" s="13">
        <v>10.159</v>
      </c>
      <c r="D516" s="13">
        <v>10.171</v>
      </c>
      <c r="E516" s="13">
        <v>10.159</v>
      </c>
      <c r="F516" s="15">
        <v>0</v>
      </c>
    </row>
    <row r="517" spans="1:6">
      <c r="A517" s="14">
        <v>44613</v>
      </c>
      <c r="B517" s="13">
        <v>10.171</v>
      </c>
      <c r="C517" s="13">
        <v>10.159</v>
      </c>
      <c r="D517" s="13">
        <v>10.171</v>
      </c>
      <c r="E517" s="13">
        <v>10.159</v>
      </c>
      <c r="F517" s="15">
        <v>-0.0023</v>
      </c>
    </row>
    <row r="518" spans="1:6">
      <c r="A518" s="14">
        <v>44610</v>
      </c>
      <c r="B518" s="13">
        <v>10.194</v>
      </c>
      <c r="C518" s="13">
        <v>10.159</v>
      </c>
      <c r="D518" s="13">
        <v>10.194</v>
      </c>
      <c r="E518" s="13">
        <v>10.159</v>
      </c>
      <c r="F518" s="15">
        <v>0.0023</v>
      </c>
    </row>
    <row r="519" spans="1:6">
      <c r="A519" s="14">
        <v>44609</v>
      </c>
      <c r="B519" s="13">
        <v>10.171</v>
      </c>
      <c r="C519" s="13">
        <v>10.159</v>
      </c>
      <c r="D519" s="13">
        <v>10.171</v>
      </c>
      <c r="E519" s="13">
        <v>10.159</v>
      </c>
      <c r="F519" s="15">
        <v>0</v>
      </c>
    </row>
    <row r="520" spans="1:6">
      <c r="A520" s="14">
        <v>44608</v>
      </c>
      <c r="B520" s="13">
        <v>10.171</v>
      </c>
      <c r="C520" s="13">
        <v>10.159</v>
      </c>
      <c r="D520" s="13">
        <v>10.171</v>
      </c>
      <c r="E520" s="13">
        <v>10.159</v>
      </c>
      <c r="F520" s="15">
        <v>0</v>
      </c>
    </row>
    <row r="521" spans="1:6">
      <c r="A521" s="14">
        <v>44607</v>
      </c>
      <c r="B521" s="13">
        <v>10.171</v>
      </c>
      <c r="C521" s="13">
        <v>10.159</v>
      </c>
      <c r="D521" s="13">
        <v>10.171</v>
      </c>
      <c r="E521" s="13">
        <v>10.159</v>
      </c>
      <c r="F521" s="15">
        <v>0</v>
      </c>
    </row>
    <row r="522" spans="1:6">
      <c r="A522" s="14">
        <v>44606</v>
      </c>
      <c r="B522" s="13">
        <v>10.171</v>
      </c>
      <c r="C522" s="13">
        <v>10.159</v>
      </c>
      <c r="D522" s="13">
        <v>10.171</v>
      </c>
      <c r="E522" s="13">
        <v>10.159</v>
      </c>
      <c r="F522" s="15">
        <v>-0.0022</v>
      </c>
    </row>
    <row r="523" spans="1:6">
      <c r="A523" s="14">
        <v>44603</v>
      </c>
      <c r="B523" s="13">
        <v>10.193</v>
      </c>
      <c r="C523" s="13">
        <v>10.159</v>
      </c>
      <c r="D523" s="13">
        <v>10.193</v>
      </c>
      <c r="E523" s="13">
        <v>10.159</v>
      </c>
      <c r="F523" s="15">
        <v>0.0023</v>
      </c>
    </row>
    <row r="524" spans="1:6">
      <c r="A524" s="14">
        <v>44602</v>
      </c>
      <c r="B524" s="13">
        <v>10.17</v>
      </c>
      <c r="C524" s="13">
        <v>10.159</v>
      </c>
      <c r="D524" s="13">
        <v>10.17</v>
      </c>
      <c r="E524" s="13">
        <v>10.159</v>
      </c>
      <c r="F524" s="15">
        <v>0</v>
      </c>
    </row>
    <row r="525" spans="1:6">
      <c r="A525" s="14">
        <v>44601</v>
      </c>
      <c r="B525" s="13">
        <v>10.17</v>
      </c>
      <c r="C525" s="13">
        <v>10.159</v>
      </c>
      <c r="D525" s="13">
        <v>10.17</v>
      </c>
      <c r="E525" s="13">
        <v>10.159</v>
      </c>
      <c r="F525" s="15">
        <v>0</v>
      </c>
    </row>
    <row r="526" spans="1:6">
      <c r="A526" s="14">
        <v>44600</v>
      </c>
      <c r="B526" s="13">
        <v>10.17</v>
      </c>
      <c r="C526" s="13">
        <v>10.159</v>
      </c>
      <c r="D526" s="13">
        <v>10.17</v>
      </c>
      <c r="E526" s="13">
        <v>10.159</v>
      </c>
      <c r="F526" s="15">
        <v>0</v>
      </c>
    </row>
    <row r="527" spans="1:6">
      <c r="A527" s="14">
        <v>44599</v>
      </c>
      <c r="B527" s="13">
        <v>10.17</v>
      </c>
      <c r="C527" s="13">
        <v>10.159</v>
      </c>
      <c r="D527" s="13">
        <v>10.17</v>
      </c>
      <c r="E527" s="13">
        <v>10.159</v>
      </c>
      <c r="F527" s="15">
        <v>-0.0022</v>
      </c>
    </row>
    <row r="528" spans="1:6">
      <c r="A528" s="14">
        <v>44596</v>
      </c>
      <c r="B528" s="13">
        <v>10.193</v>
      </c>
      <c r="C528" s="13">
        <v>10.159</v>
      </c>
      <c r="D528" s="13">
        <v>10.193</v>
      </c>
      <c r="E528" s="13">
        <v>10.159</v>
      </c>
      <c r="F528" s="15">
        <v>0.0022</v>
      </c>
    </row>
    <row r="529" spans="1:6">
      <c r="A529" s="14">
        <v>44595</v>
      </c>
      <c r="B529" s="13">
        <v>10.17</v>
      </c>
      <c r="C529" s="13">
        <v>10.159</v>
      </c>
      <c r="D529" s="13">
        <v>10.17</v>
      </c>
      <c r="E529" s="13">
        <v>10.159</v>
      </c>
      <c r="F529" s="15">
        <v>0</v>
      </c>
    </row>
    <row r="530" spans="1:6">
      <c r="A530" s="14">
        <v>44594</v>
      </c>
      <c r="B530" s="13">
        <v>10.17</v>
      </c>
      <c r="C530" s="13">
        <v>10.159</v>
      </c>
      <c r="D530" s="13">
        <v>10.17</v>
      </c>
      <c r="E530" s="13">
        <v>10.159</v>
      </c>
      <c r="F530" s="15">
        <v>0</v>
      </c>
    </row>
    <row r="531" spans="1:6">
      <c r="A531" s="14">
        <v>44593</v>
      </c>
      <c r="B531" s="13">
        <v>10.17</v>
      </c>
      <c r="C531" s="13">
        <v>10.159</v>
      </c>
      <c r="D531" s="13">
        <v>10.17</v>
      </c>
      <c r="E531" s="13">
        <v>10.159</v>
      </c>
      <c r="F531" s="15">
        <v>-0.0014</v>
      </c>
    </row>
    <row r="532" spans="1:6">
      <c r="A532" s="14">
        <v>44592</v>
      </c>
      <c r="B532" s="13">
        <v>10.184</v>
      </c>
      <c r="C532" s="13">
        <v>10.159</v>
      </c>
      <c r="D532" s="13">
        <v>10.184</v>
      </c>
      <c r="E532" s="13">
        <v>10.159</v>
      </c>
      <c r="F532" s="15">
        <v>0.0016</v>
      </c>
    </row>
    <row r="533" spans="1:6">
      <c r="A533" s="14">
        <v>44589</v>
      </c>
      <c r="B533" s="13">
        <v>10.167</v>
      </c>
      <c r="C533" s="13">
        <v>10.159</v>
      </c>
      <c r="D533" s="13">
        <v>10.167</v>
      </c>
      <c r="E533" s="13">
        <v>10.159</v>
      </c>
      <c r="F533" s="15">
        <v>0.0154</v>
      </c>
    </row>
    <row r="534" spans="1:6">
      <c r="A534" s="14">
        <v>44574</v>
      </c>
      <c r="B534" s="13">
        <v>10.014</v>
      </c>
      <c r="C534" s="13">
        <v>10.014</v>
      </c>
      <c r="D534" s="13">
        <v>10.014</v>
      </c>
      <c r="E534" s="13">
        <v>10.014</v>
      </c>
      <c r="F534" s="15">
        <v>-0.0011</v>
      </c>
    </row>
    <row r="535" spans="1:6">
      <c r="A535" s="14">
        <v>44573</v>
      </c>
      <c r="B535" s="13">
        <v>10.025</v>
      </c>
      <c r="C535" s="13">
        <v>10.012</v>
      </c>
      <c r="D535" s="13">
        <v>10.025</v>
      </c>
      <c r="E535" s="13">
        <v>10.012</v>
      </c>
      <c r="F535" s="15">
        <v>0.0001</v>
      </c>
    </row>
    <row r="536" spans="1:6">
      <c r="A536" s="14">
        <v>44572</v>
      </c>
      <c r="B536" s="13">
        <v>10.024</v>
      </c>
      <c r="C536" s="13">
        <v>10.011</v>
      </c>
      <c r="D536" s="13">
        <v>10.024</v>
      </c>
      <c r="E536" s="13">
        <v>10.011</v>
      </c>
      <c r="F536" s="15">
        <v>0.0001</v>
      </c>
    </row>
    <row r="537" spans="1:6">
      <c r="A537" s="14">
        <v>44571</v>
      </c>
      <c r="B537" s="13">
        <v>10.022</v>
      </c>
      <c r="C537" s="13">
        <v>10.009</v>
      </c>
      <c r="D537" s="13">
        <v>10.022</v>
      </c>
      <c r="E537" s="13">
        <v>10.009</v>
      </c>
      <c r="F537" s="15">
        <v>0.0012</v>
      </c>
    </row>
    <row r="538" spans="1:6">
      <c r="A538" s="14">
        <v>44568</v>
      </c>
      <c r="B538" s="13">
        <v>10.009</v>
      </c>
      <c r="C538" s="13">
        <v>9.806</v>
      </c>
      <c r="D538" s="13">
        <v>10.009</v>
      </c>
      <c r="E538" s="13">
        <v>9.806</v>
      </c>
      <c r="F538" s="15">
        <v>0.0166</v>
      </c>
    </row>
    <row r="539" spans="1:6">
      <c r="A539" s="14">
        <v>44567</v>
      </c>
      <c r="B539" s="13">
        <v>9.846</v>
      </c>
      <c r="C539" s="13">
        <v>9.8</v>
      </c>
      <c r="D539" s="13">
        <v>9.846</v>
      </c>
      <c r="E539" s="13">
        <v>9.8</v>
      </c>
      <c r="F539" s="15">
        <v>0.0036</v>
      </c>
    </row>
    <row r="540" spans="1:6">
      <c r="A540" s="14">
        <v>44566</v>
      </c>
      <c r="B540" s="13">
        <v>9.811</v>
      </c>
      <c r="C540" s="13">
        <v>9.799</v>
      </c>
      <c r="D540" s="13">
        <v>9.811</v>
      </c>
      <c r="E540" s="13">
        <v>9.799</v>
      </c>
      <c r="F540" s="15">
        <v>0.0002</v>
      </c>
    </row>
    <row r="541" spans="1:6">
      <c r="A541" s="14">
        <v>44565</v>
      </c>
      <c r="B541" s="13">
        <v>9.809</v>
      </c>
      <c r="C541" s="13">
        <v>9.798</v>
      </c>
      <c r="D541" s="13">
        <v>9.809</v>
      </c>
      <c r="E541" s="13">
        <v>9.798</v>
      </c>
      <c r="F541" s="15">
        <v>0.0002</v>
      </c>
    </row>
    <row r="542" spans="1:6">
      <c r="A542" s="14">
        <v>44564</v>
      </c>
      <c r="B542" s="13">
        <v>9.807</v>
      </c>
      <c r="C542" s="13">
        <v>9.796</v>
      </c>
      <c r="D542" s="13">
        <v>9.807</v>
      </c>
      <c r="E542" s="13">
        <v>9.796</v>
      </c>
      <c r="F542" s="15">
        <v>-0.0044</v>
      </c>
    </row>
    <row r="543" spans="1:6">
      <c r="A543" s="14">
        <v>44561</v>
      </c>
      <c r="B543" s="13">
        <v>9.851</v>
      </c>
      <c r="C543" s="13">
        <v>9.792</v>
      </c>
      <c r="D543" s="13">
        <v>9.851</v>
      </c>
      <c r="E543" s="13">
        <v>9.792</v>
      </c>
      <c r="F543" s="15">
        <v>0.0085</v>
      </c>
    </row>
    <row r="544" spans="1:6">
      <c r="A544" s="14">
        <v>44560</v>
      </c>
      <c r="B544" s="13">
        <v>9.768</v>
      </c>
      <c r="C544" s="13">
        <v>9.792</v>
      </c>
      <c r="D544" s="13">
        <v>9.792</v>
      </c>
      <c r="E544" s="13">
        <v>9.768</v>
      </c>
      <c r="F544" s="15">
        <v>-0.0035</v>
      </c>
    </row>
    <row r="545" spans="1:6">
      <c r="A545" s="14">
        <v>44559</v>
      </c>
      <c r="B545" s="13">
        <v>9.802</v>
      </c>
      <c r="C545" s="13">
        <v>9.791</v>
      </c>
      <c r="D545" s="13">
        <v>9.802</v>
      </c>
      <c r="E545" s="13">
        <v>9.791</v>
      </c>
      <c r="F545" s="15">
        <v>0.0002</v>
      </c>
    </row>
    <row r="546" spans="1:6">
      <c r="A546" s="14">
        <v>44558</v>
      </c>
      <c r="B546" s="13">
        <v>9.801</v>
      </c>
      <c r="C546" s="13">
        <v>9.79</v>
      </c>
      <c r="D546" s="13">
        <v>9.801</v>
      </c>
      <c r="E546" s="13">
        <v>9.79</v>
      </c>
      <c r="F546" s="15">
        <v>0.0002</v>
      </c>
    </row>
    <row r="547" spans="1:6">
      <c r="A547" s="14">
        <v>44557</v>
      </c>
      <c r="B547" s="13">
        <v>9.8</v>
      </c>
      <c r="C547" s="13">
        <v>9.788</v>
      </c>
      <c r="D547" s="13">
        <v>9.8</v>
      </c>
      <c r="E547" s="13">
        <v>9.788</v>
      </c>
      <c r="F547" s="15">
        <v>-0.0018</v>
      </c>
    </row>
    <row r="548" spans="1:6">
      <c r="A548" s="14">
        <v>44554</v>
      </c>
      <c r="B548" s="13">
        <v>9.818</v>
      </c>
      <c r="C548" s="13">
        <v>9.785</v>
      </c>
      <c r="D548" s="13">
        <v>9.818</v>
      </c>
      <c r="E548" s="13">
        <v>9.785</v>
      </c>
      <c r="F548" s="15">
        <v>0.0024</v>
      </c>
    </row>
    <row r="549" spans="1:6">
      <c r="A549" s="14">
        <v>44553</v>
      </c>
      <c r="B549" s="13">
        <v>9.794</v>
      </c>
      <c r="C549" s="13">
        <v>9.783</v>
      </c>
      <c r="D549" s="13">
        <v>9.794</v>
      </c>
      <c r="E549" s="13">
        <v>9.783</v>
      </c>
      <c r="F549" s="15">
        <v>0.0001</v>
      </c>
    </row>
    <row r="550" spans="1:6">
      <c r="A550" s="14">
        <v>44552</v>
      </c>
      <c r="B550" s="13">
        <v>9.793</v>
      </c>
      <c r="C550" s="13">
        <v>9.782</v>
      </c>
      <c r="D550" s="13">
        <v>9.793</v>
      </c>
      <c r="E550" s="13">
        <v>9.782</v>
      </c>
      <c r="F550" s="15">
        <v>0.0002</v>
      </c>
    </row>
    <row r="551" spans="1:6">
      <c r="A551" s="14">
        <v>44551</v>
      </c>
      <c r="B551" s="13">
        <v>9.791</v>
      </c>
      <c r="C551" s="13">
        <v>9.781</v>
      </c>
      <c r="D551" s="13">
        <v>9.791</v>
      </c>
      <c r="E551" s="13">
        <v>9.781</v>
      </c>
      <c r="F551" s="15">
        <v>0.0001</v>
      </c>
    </row>
    <row r="552" spans="1:6">
      <c r="A552" s="14">
        <v>44550</v>
      </c>
      <c r="B552" s="13">
        <v>9.79</v>
      </c>
      <c r="C552" s="13">
        <v>9.78</v>
      </c>
      <c r="D552" s="13">
        <v>9.79</v>
      </c>
      <c r="E552" s="13">
        <v>9.78</v>
      </c>
      <c r="F552" s="15">
        <v>-0.0017</v>
      </c>
    </row>
    <row r="553" spans="1:6">
      <c r="A553" s="14">
        <v>44547</v>
      </c>
      <c r="B553" s="13">
        <v>9.807</v>
      </c>
      <c r="C553" s="13">
        <v>9.776</v>
      </c>
      <c r="D553" s="13">
        <v>9.807</v>
      </c>
      <c r="E553" s="13">
        <v>9.776</v>
      </c>
      <c r="F553" s="15">
        <v>0.0032</v>
      </c>
    </row>
    <row r="554" spans="1:6">
      <c r="A554" s="14">
        <v>44546</v>
      </c>
      <c r="B554" s="13">
        <v>9.776</v>
      </c>
      <c r="C554" s="13">
        <v>9.776</v>
      </c>
      <c r="D554" s="13">
        <v>9.776</v>
      </c>
      <c r="E554" s="13">
        <v>9.776</v>
      </c>
      <c r="F554" s="15">
        <v>-0.0019</v>
      </c>
    </row>
    <row r="555" spans="1:6">
      <c r="A555" s="14">
        <v>44545</v>
      </c>
      <c r="B555" s="13">
        <v>9.794</v>
      </c>
      <c r="C555" s="13">
        <v>9.773</v>
      </c>
      <c r="D555" s="13">
        <v>9.794</v>
      </c>
      <c r="E555" s="13">
        <v>9.773</v>
      </c>
      <c r="F555" s="15">
        <v>0.0012</v>
      </c>
    </row>
    <row r="556" spans="1:6">
      <c r="A556" s="14">
        <v>44544</v>
      </c>
      <c r="B556" s="13">
        <v>9.782</v>
      </c>
      <c r="C556" s="13">
        <v>9.782</v>
      </c>
      <c r="D556" s="13">
        <v>9.782</v>
      </c>
      <c r="E556" s="13">
        <v>9.782</v>
      </c>
      <c r="F556" s="15">
        <v>0.0006</v>
      </c>
    </row>
    <row r="557" spans="1:6">
      <c r="A557" s="14">
        <v>44456</v>
      </c>
      <c r="B557" s="13">
        <v>9.776</v>
      </c>
      <c r="C557" s="13">
        <v>9.776</v>
      </c>
      <c r="D557" s="13">
        <v>9.776</v>
      </c>
      <c r="E557" s="13">
        <v>9.776</v>
      </c>
      <c r="F557" s="15">
        <v>-0.0231</v>
      </c>
    </row>
    <row r="558" spans="1:6">
      <c r="A558" s="14">
        <v>44455</v>
      </c>
      <c r="B558" s="13">
        <v>10.007</v>
      </c>
      <c r="C558" s="13">
        <v>10.007</v>
      </c>
      <c r="D558" s="13">
        <v>10.007</v>
      </c>
      <c r="E558" s="13">
        <v>10.007</v>
      </c>
      <c r="F558" s="15">
        <v>0.0051</v>
      </c>
    </row>
    <row r="559" spans="1:6">
      <c r="A559" s="14">
        <v>44454</v>
      </c>
      <c r="B559" s="13">
        <v>9.956</v>
      </c>
      <c r="C559" s="13">
        <v>9.956</v>
      </c>
      <c r="D559" s="13">
        <v>9.956</v>
      </c>
      <c r="E559" s="13">
        <v>9.956</v>
      </c>
      <c r="F559" s="15">
        <v>0.0126</v>
      </c>
    </row>
    <row r="560" spans="1:6">
      <c r="A560" s="14">
        <v>44453</v>
      </c>
      <c r="B560" s="13">
        <v>9.832</v>
      </c>
      <c r="C560" s="13">
        <v>9.832</v>
      </c>
      <c r="D560" s="13">
        <v>9.832</v>
      </c>
      <c r="E560" s="13">
        <v>9.832</v>
      </c>
      <c r="F560" s="15">
        <v>0.001</v>
      </c>
    </row>
    <row r="561" spans="1:6">
      <c r="A561" s="14">
        <v>44452</v>
      </c>
      <c r="B561" s="13">
        <v>9.822</v>
      </c>
      <c r="C561" s="13">
        <v>9.822</v>
      </c>
      <c r="D561" s="13">
        <v>9.822</v>
      </c>
      <c r="E561" s="13">
        <v>9.822</v>
      </c>
      <c r="F561" s="15">
        <v>0.0017</v>
      </c>
    </row>
    <row r="562" spans="1:6">
      <c r="A562" s="14">
        <v>44449</v>
      </c>
      <c r="B562" s="13">
        <v>9.805</v>
      </c>
      <c r="C562" s="13">
        <v>9.805</v>
      </c>
      <c r="D562" s="13">
        <v>9.805</v>
      </c>
      <c r="E562" s="13">
        <v>9.805</v>
      </c>
      <c r="F562" s="15">
        <v>-0.0001</v>
      </c>
    </row>
    <row r="563" spans="1:6">
      <c r="A563" s="14">
        <v>44448</v>
      </c>
      <c r="B563" s="13">
        <v>9.806</v>
      </c>
      <c r="C563" s="13">
        <v>9.806</v>
      </c>
      <c r="D563" s="13">
        <v>9.806</v>
      </c>
      <c r="E563" s="13">
        <v>9.806</v>
      </c>
      <c r="F563" s="15">
        <v>0.1011</v>
      </c>
    </row>
    <row r="564" spans="1:6">
      <c r="A564" s="14">
        <v>44447</v>
      </c>
      <c r="B564" s="13">
        <v>8.906</v>
      </c>
      <c r="C564" s="13">
        <v>8.906</v>
      </c>
      <c r="D564" s="13">
        <v>8.906</v>
      </c>
      <c r="E564" s="13">
        <v>8.906</v>
      </c>
      <c r="F564" s="15">
        <v>-0.0038</v>
      </c>
    </row>
    <row r="565" spans="1:6">
      <c r="A565" s="14">
        <v>44446</v>
      </c>
      <c r="B565" s="13">
        <v>8.94</v>
      </c>
      <c r="C565" s="13">
        <v>8.94</v>
      </c>
      <c r="D565" s="13">
        <v>8.94</v>
      </c>
      <c r="E565" s="13">
        <v>8.94</v>
      </c>
      <c r="F565" s="15">
        <v>0.0039</v>
      </c>
    </row>
    <row r="566" spans="1:6">
      <c r="A566" s="14">
        <v>44445</v>
      </c>
      <c r="B566" s="13">
        <v>8.905</v>
      </c>
      <c r="C566" s="13">
        <v>8.905</v>
      </c>
      <c r="D566" s="13">
        <v>8.905</v>
      </c>
      <c r="E566" s="13">
        <v>8.905</v>
      </c>
      <c r="F566" s="15">
        <v>0</v>
      </c>
    </row>
    <row r="567" spans="1:6">
      <c r="A567" s="14">
        <v>44442</v>
      </c>
      <c r="B567" s="13">
        <v>8.905</v>
      </c>
      <c r="C567" s="13">
        <v>8.905</v>
      </c>
      <c r="D567" s="13">
        <v>8.905</v>
      </c>
      <c r="E567" s="13">
        <v>8.905</v>
      </c>
      <c r="F567" s="15">
        <v>0</v>
      </c>
    </row>
    <row r="568" spans="1:6">
      <c r="A568" s="14">
        <v>44441</v>
      </c>
      <c r="B568" s="13">
        <v>8.905</v>
      </c>
      <c r="C568" s="13">
        <v>8.905</v>
      </c>
      <c r="D568" s="13">
        <v>8.905</v>
      </c>
      <c r="E568" s="13">
        <v>8.905</v>
      </c>
      <c r="F568" s="15">
        <v>0.0074</v>
      </c>
    </row>
    <row r="569" spans="1:6">
      <c r="A569" s="14">
        <v>44440</v>
      </c>
      <c r="B569" s="13">
        <v>8.84</v>
      </c>
      <c r="C569" s="13">
        <v>8.84</v>
      </c>
      <c r="D569" s="13">
        <v>8.84</v>
      </c>
      <c r="E569" s="13">
        <v>8.84</v>
      </c>
      <c r="F569" s="15">
        <v>0.0053</v>
      </c>
    </row>
    <row r="570" spans="1:6">
      <c r="A570" s="14">
        <v>44439</v>
      </c>
      <c r="B570" s="13">
        <v>8.793</v>
      </c>
      <c r="C570" s="13">
        <v>8.793</v>
      </c>
      <c r="D570" s="13">
        <v>8.793</v>
      </c>
      <c r="E570" s="13">
        <v>8.793</v>
      </c>
      <c r="F570" s="15">
        <v>-0.0162</v>
      </c>
    </row>
    <row r="571" spans="1:6">
      <c r="A571" s="14">
        <v>44435</v>
      </c>
      <c r="B571" s="13">
        <v>8.938</v>
      </c>
      <c r="C571" s="13">
        <v>8.938</v>
      </c>
      <c r="D571" s="13">
        <v>8.938</v>
      </c>
      <c r="E571" s="13">
        <v>8.938</v>
      </c>
      <c r="F571" s="15">
        <v>-0.0035</v>
      </c>
    </row>
    <row r="572" spans="1:6">
      <c r="A572" s="14">
        <v>44434</v>
      </c>
      <c r="B572" s="13">
        <v>8.969</v>
      </c>
      <c r="C572" s="13">
        <v>8.969</v>
      </c>
      <c r="D572" s="13">
        <v>8.969</v>
      </c>
      <c r="E572" s="13">
        <v>8.969</v>
      </c>
      <c r="F572" s="15">
        <v>-0.1004</v>
      </c>
    </row>
    <row r="573" spans="1:6">
      <c r="A573" s="14">
        <v>44433</v>
      </c>
      <c r="B573" s="13">
        <v>9.969</v>
      </c>
      <c r="C573" s="13">
        <v>8.938</v>
      </c>
      <c r="D573" s="13">
        <v>9.969</v>
      </c>
      <c r="E573" s="13">
        <v>8.938</v>
      </c>
      <c r="F573" s="15">
        <v>-0.0039</v>
      </c>
    </row>
    <row r="574" spans="1:6">
      <c r="A574" s="14">
        <v>44432</v>
      </c>
      <c r="B574" s="13">
        <v>10.009</v>
      </c>
      <c r="C574" s="13">
        <v>8.845</v>
      </c>
      <c r="D574" s="13">
        <v>10.009</v>
      </c>
      <c r="E574" s="13">
        <v>8.845</v>
      </c>
      <c r="F574" s="15">
        <v>0.0001</v>
      </c>
    </row>
    <row r="575" spans="1:6">
      <c r="A575" s="14">
        <v>44431</v>
      </c>
      <c r="B575" s="13">
        <v>10.007</v>
      </c>
      <c r="C575" s="13">
        <v>8.938</v>
      </c>
      <c r="D575" s="13">
        <v>10.007</v>
      </c>
      <c r="E575" s="13">
        <v>8.938</v>
      </c>
      <c r="F575" s="15">
        <v>-0.0075</v>
      </c>
    </row>
    <row r="576" spans="1:6">
      <c r="A576" s="14">
        <v>44428</v>
      </c>
      <c r="B576" s="13">
        <v>10.083</v>
      </c>
      <c r="C576" s="13">
        <v>8.999</v>
      </c>
      <c r="D576" s="13">
        <v>10.083</v>
      </c>
      <c r="E576" s="13">
        <v>8.999</v>
      </c>
      <c r="F576" s="15">
        <v>0.1131</v>
      </c>
    </row>
    <row r="577" spans="1:6">
      <c r="A577" s="14">
        <v>44427</v>
      </c>
      <c r="B577" s="13">
        <v>9.058</v>
      </c>
      <c r="C577" s="13">
        <v>9.058</v>
      </c>
      <c r="D577" s="13">
        <v>9.058</v>
      </c>
      <c r="E577" s="13">
        <v>9.058</v>
      </c>
      <c r="F577" s="15">
        <v>-0.0065</v>
      </c>
    </row>
    <row r="578" spans="1:6">
      <c r="A578" s="14">
        <v>44426</v>
      </c>
      <c r="B578" s="13">
        <v>9.117</v>
      </c>
      <c r="C578" s="13">
        <v>9.117</v>
      </c>
      <c r="D578" s="13">
        <v>9.117</v>
      </c>
      <c r="E578" s="13">
        <v>9.117</v>
      </c>
      <c r="F578" s="15">
        <v>0.0001</v>
      </c>
    </row>
    <row r="579" spans="1:6">
      <c r="A579" s="14">
        <v>44425</v>
      </c>
      <c r="B579" s="13">
        <v>9.116</v>
      </c>
      <c r="C579" s="13">
        <v>9.116</v>
      </c>
      <c r="D579" s="13">
        <v>9.116</v>
      </c>
      <c r="E579" s="13">
        <v>9.116</v>
      </c>
      <c r="F579" s="15">
        <v>0.0297</v>
      </c>
    </row>
    <row r="580" spans="1:6">
      <c r="A580" s="14">
        <v>44424</v>
      </c>
      <c r="B580" s="13">
        <v>8.853</v>
      </c>
      <c r="C580" s="13">
        <v>8.853</v>
      </c>
      <c r="D580" s="13">
        <v>8.853</v>
      </c>
      <c r="E580" s="13">
        <v>8.853</v>
      </c>
      <c r="F580" s="15">
        <v>-0.0035</v>
      </c>
    </row>
    <row r="581" spans="1:6">
      <c r="A581" s="14">
        <v>44421</v>
      </c>
      <c r="B581" s="13">
        <v>8.884</v>
      </c>
      <c r="C581" s="13">
        <v>8.884</v>
      </c>
      <c r="D581" s="13">
        <v>8.884</v>
      </c>
      <c r="E581" s="13">
        <v>8.884</v>
      </c>
      <c r="F581" s="15">
        <v>-0.0033</v>
      </c>
    </row>
    <row r="582" spans="1:6">
      <c r="A582" s="14">
        <v>44420</v>
      </c>
      <c r="B582" s="13">
        <v>8.913</v>
      </c>
      <c r="C582" s="13">
        <v>8.913</v>
      </c>
      <c r="D582" s="13">
        <v>8.913</v>
      </c>
      <c r="E582" s="13">
        <v>8.913</v>
      </c>
      <c r="F582" s="15">
        <v>-0.0001</v>
      </c>
    </row>
    <row r="583" spans="1:6">
      <c r="A583" s="14">
        <v>44419</v>
      </c>
      <c r="B583" s="13">
        <v>8.914</v>
      </c>
      <c r="C583" s="13">
        <v>8.914</v>
      </c>
      <c r="D583" s="13">
        <v>8.914</v>
      </c>
      <c r="E583" s="13">
        <v>8.914</v>
      </c>
      <c r="F583" s="15">
        <v>-0.0001</v>
      </c>
    </row>
    <row r="584" spans="1:6">
      <c r="A584" s="14">
        <v>44418</v>
      </c>
      <c r="B584" s="13">
        <v>8.915</v>
      </c>
      <c r="C584" s="13">
        <v>8.915</v>
      </c>
      <c r="D584" s="13">
        <v>8.915</v>
      </c>
      <c r="E584" s="13">
        <v>8.915</v>
      </c>
      <c r="F584" s="15">
        <v>0.0027</v>
      </c>
    </row>
    <row r="585" spans="1:6">
      <c r="A585" s="14">
        <v>44414</v>
      </c>
      <c r="B585" s="13">
        <v>8.891</v>
      </c>
      <c r="C585" s="13">
        <v>8.891</v>
      </c>
      <c r="D585" s="13">
        <v>8.891</v>
      </c>
      <c r="E585" s="13">
        <v>8.891</v>
      </c>
      <c r="F585" s="15">
        <v>-0.0031</v>
      </c>
    </row>
    <row r="586" spans="1:6">
      <c r="A586" s="14">
        <v>44413</v>
      </c>
      <c r="B586" s="13">
        <v>8.919</v>
      </c>
      <c r="C586" s="13">
        <v>8.919</v>
      </c>
      <c r="D586" s="13">
        <v>8.919</v>
      </c>
      <c r="E586" s="13">
        <v>8.919</v>
      </c>
      <c r="F586" s="15">
        <v>0.006</v>
      </c>
    </row>
    <row r="587" spans="1:6">
      <c r="A587" s="14">
        <v>44412</v>
      </c>
      <c r="B587" s="13">
        <v>8.866</v>
      </c>
      <c r="C587" s="13">
        <v>8.866</v>
      </c>
      <c r="D587" s="13">
        <v>8.866</v>
      </c>
      <c r="E587" s="13">
        <v>8.866</v>
      </c>
      <c r="F587" s="15">
        <v>-0.0031</v>
      </c>
    </row>
    <row r="588" spans="1:6">
      <c r="A588" s="14">
        <v>44411</v>
      </c>
      <c r="B588" s="13">
        <v>8.894</v>
      </c>
      <c r="C588" s="13">
        <v>8.894</v>
      </c>
      <c r="D588" s="13">
        <v>8.894</v>
      </c>
      <c r="E588" s="13">
        <v>8.894</v>
      </c>
      <c r="F588" s="15">
        <v>0.0059</v>
      </c>
    </row>
    <row r="589" spans="1:6">
      <c r="A589" s="14">
        <v>44410</v>
      </c>
      <c r="B589" s="13">
        <v>8.842</v>
      </c>
      <c r="C589" s="13">
        <v>8.842</v>
      </c>
      <c r="D589" s="13">
        <v>8.842</v>
      </c>
      <c r="E589" s="13">
        <v>8.842</v>
      </c>
      <c r="F589" s="15">
        <v>-0.0148</v>
      </c>
    </row>
    <row r="590" spans="1:6">
      <c r="A590" s="14">
        <v>44407</v>
      </c>
      <c r="B590" s="13">
        <v>8.975</v>
      </c>
      <c r="C590" s="13">
        <v>8.975</v>
      </c>
      <c r="D590" s="13">
        <v>8.975</v>
      </c>
      <c r="E590" s="13">
        <v>8.975</v>
      </c>
      <c r="F590" s="15">
        <v>0.0057</v>
      </c>
    </row>
    <row r="591" spans="1:6">
      <c r="A591" s="14">
        <v>44406</v>
      </c>
      <c r="B591" s="13">
        <v>8.924</v>
      </c>
      <c r="C591" s="13">
        <v>8.924</v>
      </c>
      <c r="D591" s="13">
        <v>8.924</v>
      </c>
      <c r="E591" s="13">
        <v>8.924</v>
      </c>
      <c r="F591" s="15">
        <v>0.0028</v>
      </c>
    </row>
    <row r="592" spans="1:6">
      <c r="A592" s="14">
        <v>44405</v>
      </c>
      <c r="B592" s="13">
        <v>8.899</v>
      </c>
      <c r="C592" s="13">
        <v>8.899</v>
      </c>
      <c r="D592" s="13">
        <v>8.899</v>
      </c>
      <c r="E592" s="13">
        <v>8.899</v>
      </c>
      <c r="F592" s="15">
        <v>-0.0087</v>
      </c>
    </row>
    <row r="593" spans="1:6">
      <c r="A593" s="14">
        <v>44404</v>
      </c>
      <c r="B593" s="13">
        <v>8.977</v>
      </c>
      <c r="C593" s="13">
        <v>8.977</v>
      </c>
      <c r="D593" s="13">
        <v>8.977</v>
      </c>
      <c r="E593" s="13">
        <v>8.977</v>
      </c>
      <c r="F593" s="15">
        <v>0.0028</v>
      </c>
    </row>
    <row r="594" spans="1:6">
      <c r="A594" s="14">
        <v>44403</v>
      </c>
      <c r="B594" s="13">
        <v>8.952</v>
      </c>
      <c r="C594" s="13">
        <v>8.952</v>
      </c>
      <c r="D594" s="13">
        <v>8.952</v>
      </c>
      <c r="E594" s="13">
        <v>8.952</v>
      </c>
      <c r="F594" s="15">
        <v>-0.0167</v>
      </c>
    </row>
    <row r="595" spans="1:6">
      <c r="A595" s="14">
        <v>44400</v>
      </c>
      <c r="B595" s="13">
        <v>9.104</v>
      </c>
      <c r="C595" s="13">
        <v>9.104</v>
      </c>
      <c r="D595" s="13">
        <v>9.104</v>
      </c>
      <c r="E595" s="13">
        <v>9.104</v>
      </c>
      <c r="F595" s="15">
        <v>0.0028</v>
      </c>
    </row>
    <row r="596" spans="1:6">
      <c r="A596" s="14">
        <v>44399</v>
      </c>
      <c r="B596" s="13">
        <v>9.079</v>
      </c>
      <c r="C596" s="13">
        <v>9.079</v>
      </c>
      <c r="D596" s="13">
        <v>9.079</v>
      </c>
      <c r="E596" s="13">
        <v>9.079</v>
      </c>
      <c r="F596" s="15">
        <v>0</v>
      </c>
    </row>
    <row r="597" spans="1:6">
      <c r="A597" s="14">
        <v>44398</v>
      </c>
      <c r="B597" s="13">
        <v>9.079</v>
      </c>
      <c r="C597" s="13">
        <v>9.079</v>
      </c>
      <c r="D597" s="13">
        <v>9.079</v>
      </c>
      <c r="E597" s="13">
        <v>9.079</v>
      </c>
      <c r="F597" s="15">
        <v>0.0027</v>
      </c>
    </row>
    <row r="598" spans="1:6">
      <c r="A598" s="14">
        <v>44396</v>
      </c>
      <c r="B598" s="13">
        <v>9.055</v>
      </c>
      <c r="C598" s="13">
        <v>9.055</v>
      </c>
      <c r="D598" s="13">
        <v>9.055</v>
      </c>
      <c r="E598" s="13">
        <v>9.055</v>
      </c>
      <c r="F598" s="15">
        <v>-0.0158</v>
      </c>
    </row>
    <row r="599" spans="1:6">
      <c r="A599" s="14">
        <v>44393</v>
      </c>
      <c r="B599" s="13">
        <v>9.2</v>
      </c>
      <c r="C599" s="13">
        <v>9.2</v>
      </c>
      <c r="D599" s="13">
        <v>9.2</v>
      </c>
      <c r="E599" s="13">
        <v>9.2</v>
      </c>
      <c r="F599" s="15">
        <v>0.0001</v>
      </c>
    </row>
    <row r="600" spans="1:6">
      <c r="A600" s="14">
        <v>44392</v>
      </c>
      <c r="B600" s="13">
        <v>9.199</v>
      </c>
      <c r="C600" s="13">
        <v>9.199</v>
      </c>
      <c r="D600" s="13">
        <v>9.199</v>
      </c>
      <c r="E600" s="13">
        <v>9.199</v>
      </c>
      <c r="F600" s="15">
        <v>0.0262</v>
      </c>
    </row>
    <row r="601" spans="1:6">
      <c r="A601" s="14">
        <v>44391</v>
      </c>
      <c r="B601" s="13">
        <v>8.964</v>
      </c>
      <c r="C601" s="13">
        <v>8.964</v>
      </c>
      <c r="D601" s="13">
        <v>8.964</v>
      </c>
      <c r="E601" s="13">
        <v>8.964</v>
      </c>
      <c r="F601" s="15">
        <v>0.0212</v>
      </c>
    </row>
    <row r="602" spans="1:6">
      <c r="A602" s="14">
        <v>44390</v>
      </c>
      <c r="B602" s="13">
        <v>8.778</v>
      </c>
      <c r="C602" s="13">
        <v>8.778</v>
      </c>
      <c r="D602" s="13">
        <v>8.778</v>
      </c>
      <c r="E602" s="13">
        <v>8.778</v>
      </c>
      <c r="F602" s="15">
        <v>-0.008</v>
      </c>
    </row>
    <row r="603" spans="1:6">
      <c r="A603" s="14">
        <v>44389</v>
      </c>
      <c r="B603" s="13">
        <v>8.849</v>
      </c>
      <c r="C603" s="13">
        <v>8.849</v>
      </c>
      <c r="D603" s="13">
        <v>8.849</v>
      </c>
      <c r="E603" s="13">
        <v>8.849</v>
      </c>
      <c r="F603" s="15">
        <v>-0.0007</v>
      </c>
    </row>
    <row r="604" spans="1:6">
      <c r="A604" s="14">
        <v>44386</v>
      </c>
      <c r="B604" s="13">
        <v>8.855</v>
      </c>
      <c r="C604" s="13">
        <v>8.855</v>
      </c>
      <c r="D604" s="13">
        <v>8.855</v>
      </c>
      <c r="E604" s="13">
        <v>8.855</v>
      </c>
      <c r="F604" s="15">
        <v>-0.0001</v>
      </c>
    </row>
    <row r="605" spans="1:6">
      <c r="A605" s="14">
        <v>44385</v>
      </c>
      <c r="B605" s="13">
        <v>8.856</v>
      </c>
      <c r="C605" s="13">
        <v>8.856</v>
      </c>
      <c r="D605" s="13">
        <v>8.856</v>
      </c>
      <c r="E605" s="13">
        <v>8.856</v>
      </c>
      <c r="F605" s="15">
        <v>0.0023</v>
      </c>
    </row>
    <row r="606" spans="1:6">
      <c r="A606" s="14">
        <v>44384</v>
      </c>
      <c r="B606" s="13">
        <v>8.836</v>
      </c>
      <c r="C606" s="13">
        <v>8.836</v>
      </c>
      <c r="D606" s="13">
        <v>8.836</v>
      </c>
      <c r="E606" s="13">
        <v>8.836</v>
      </c>
      <c r="F606" s="15">
        <v>-0.0125</v>
      </c>
    </row>
    <row r="607" spans="1:6">
      <c r="A607" s="14">
        <v>44380</v>
      </c>
      <c r="B607" s="13">
        <v>8.948</v>
      </c>
      <c r="C607" s="13">
        <v>8.948</v>
      </c>
      <c r="D607" s="13">
        <v>8.948</v>
      </c>
      <c r="E607" s="13">
        <v>8.948</v>
      </c>
      <c r="F607" s="15">
        <v>0.0167</v>
      </c>
    </row>
    <row r="608" spans="1:6">
      <c r="A608" s="14">
        <v>44379</v>
      </c>
      <c r="B608" s="13">
        <v>8.801</v>
      </c>
      <c r="C608" s="13">
        <v>8.801</v>
      </c>
      <c r="D608" s="13">
        <v>8.801</v>
      </c>
      <c r="E608" s="13">
        <v>8.801</v>
      </c>
      <c r="F608" s="15">
        <v>-0.0002</v>
      </c>
    </row>
    <row r="609" spans="1:6">
      <c r="A609" s="14">
        <v>44378</v>
      </c>
      <c r="B609" s="13">
        <v>8.803</v>
      </c>
      <c r="C609" s="13">
        <v>8.803</v>
      </c>
      <c r="D609" s="13">
        <v>8.803</v>
      </c>
      <c r="E609" s="13">
        <v>8.803</v>
      </c>
      <c r="F609" s="15">
        <v>0.0096</v>
      </c>
    </row>
    <row r="610" spans="1:6">
      <c r="A610" s="14">
        <v>44377</v>
      </c>
      <c r="B610" s="13">
        <v>8.719</v>
      </c>
      <c r="C610" s="13">
        <v>8.719</v>
      </c>
      <c r="D610" s="13">
        <v>8.719</v>
      </c>
      <c r="E610" s="13">
        <v>8.719</v>
      </c>
      <c r="F610" s="15">
        <v>-0.0002</v>
      </c>
    </row>
    <row r="611" spans="1:6">
      <c r="A611" s="14">
        <v>44376</v>
      </c>
      <c r="B611" s="13">
        <v>8.721</v>
      </c>
      <c r="C611" s="13">
        <v>8.721</v>
      </c>
      <c r="D611" s="13">
        <v>8.721</v>
      </c>
      <c r="E611" s="13">
        <v>8.721</v>
      </c>
      <c r="F611" s="15">
        <v>-0.0003</v>
      </c>
    </row>
    <row r="612" spans="1:6">
      <c r="A612" s="14">
        <v>44375</v>
      </c>
      <c r="B612" s="13">
        <v>8.724</v>
      </c>
      <c r="C612" s="13">
        <v>8.724</v>
      </c>
      <c r="D612" s="13">
        <v>8.724</v>
      </c>
      <c r="E612" s="13">
        <v>8.724</v>
      </c>
      <c r="F612" s="15">
        <v>-0.0009</v>
      </c>
    </row>
    <row r="613" spans="1:6">
      <c r="A613" s="14">
        <v>44372</v>
      </c>
      <c r="B613" s="13">
        <v>8.732</v>
      </c>
      <c r="C613" s="13">
        <v>8.732</v>
      </c>
      <c r="D613" s="13">
        <v>8.732</v>
      </c>
      <c r="E613" s="13">
        <v>8.732</v>
      </c>
      <c r="F613" s="15">
        <v>-0.005</v>
      </c>
    </row>
    <row r="614" spans="1:6">
      <c r="A614" s="14">
        <v>44371</v>
      </c>
      <c r="B614" s="13">
        <v>8.776</v>
      </c>
      <c r="C614" s="13">
        <v>8.776</v>
      </c>
      <c r="D614" s="13">
        <v>8.776</v>
      </c>
      <c r="E614" s="13">
        <v>8.776</v>
      </c>
      <c r="F614" s="15">
        <v>-0.0003</v>
      </c>
    </row>
    <row r="615" spans="1:6">
      <c r="A615" s="14">
        <v>44370</v>
      </c>
      <c r="B615" s="13">
        <v>8.779</v>
      </c>
      <c r="C615" s="13">
        <v>8.779</v>
      </c>
      <c r="D615" s="13">
        <v>8.779</v>
      </c>
      <c r="E615" s="13">
        <v>8.779</v>
      </c>
      <c r="F615" s="15">
        <v>-0.005</v>
      </c>
    </row>
    <row r="616" spans="1:6">
      <c r="A616" s="14">
        <v>44369</v>
      </c>
      <c r="B616" s="13">
        <v>8.823</v>
      </c>
      <c r="C616" s="13">
        <v>8.823</v>
      </c>
      <c r="D616" s="13">
        <v>8.823</v>
      </c>
      <c r="E616" s="13">
        <v>8.823</v>
      </c>
      <c r="F616" s="15">
        <v>-0.0141</v>
      </c>
    </row>
    <row r="617" spans="1:6">
      <c r="A617" s="14">
        <v>44368</v>
      </c>
      <c r="B617" s="13">
        <v>8.949</v>
      </c>
      <c r="C617" s="13">
        <v>8.949</v>
      </c>
      <c r="D617" s="13">
        <v>8.949</v>
      </c>
      <c r="E617" s="13">
        <v>8.949</v>
      </c>
      <c r="F617" s="15">
        <v>0.018</v>
      </c>
    </row>
    <row r="618" spans="1:6">
      <c r="A618" s="14">
        <v>44365</v>
      </c>
      <c r="B618" s="13">
        <v>8.791</v>
      </c>
      <c r="C618" s="13">
        <v>8.791</v>
      </c>
      <c r="D618" s="13">
        <v>8.791</v>
      </c>
      <c r="E618" s="13">
        <v>8.791</v>
      </c>
      <c r="F618" s="15">
        <v>-0.0049</v>
      </c>
    </row>
    <row r="619" spans="1:6">
      <c r="A619" s="14">
        <v>44364</v>
      </c>
      <c r="B619" s="13">
        <v>8.834</v>
      </c>
      <c r="C619" s="13">
        <v>8.834</v>
      </c>
      <c r="D619" s="13">
        <v>8.834</v>
      </c>
      <c r="E619" s="13">
        <v>8.834</v>
      </c>
      <c r="F619" s="15">
        <v>-0.0334</v>
      </c>
    </row>
    <row r="620" spans="1:6">
      <c r="A620" s="14">
        <v>44363</v>
      </c>
      <c r="B620" s="13">
        <v>9.139</v>
      </c>
      <c r="C620" s="13">
        <v>9.139</v>
      </c>
      <c r="D620" s="13">
        <v>9.139</v>
      </c>
      <c r="E620" s="13">
        <v>9.139</v>
      </c>
      <c r="F620" s="15">
        <v>-0.0023</v>
      </c>
    </row>
    <row r="621" spans="1:6">
      <c r="A621" s="14">
        <v>44362</v>
      </c>
      <c r="B621" s="13">
        <v>9.16</v>
      </c>
      <c r="C621" s="13">
        <v>9.16</v>
      </c>
      <c r="D621" s="13">
        <v>9.16</v>
      </c>
      <c r="E621" s="13">
        <v>9.16</v>
      </c>
      <c r="F621" s="15">
        <v>0.0021</v>
      </c>
    </row>
    <row r="622" spans="1:6">
      <c r="A622" s="14">
        <v>44361</v>
      </c>
      <c r="B622" s="13">
        <v>9.141</v>
      </c>
      <c r="C622" s="13">
        <v>9.141</v>
      </c>
      <c r="D622" s="13">
        <v>9.141</v>
      </c>
      <c r="E622" s="13">
        <v>9.141</v>
      </c>
      <c r="F622" s="15">
        <v>0.0379</v>
      </c>
    </row>
    <row r="623" spans="1:6">
      <c r="A623" s="14">
        <v>44358</v>
      </c>
      <c r="B623" s="13">
        <v>8.807</v>
      </c>
      <c r="C623" s="13">
        <v>8.807</v>
      </c>
      <c r="D623" s="13">
        <v>8.807</v>
      </c>
      <c r="E623" s="13">
        <v>8.807</v>
      </c>
      <c r="F623" s="15">
        <v>0.0042</v>
      </c>
    </row>
    <row r="624" spans="1:6">
      <c r="A624" s="14">
        <v>44357</v>
      </c>
      <c r="B624" s="13">
        <v>8.77</v>
      </c>
      <c r="C624" s="13">
        <v>8.77</v>
      </c>
      <c r="D624" s="13">
        <v>8.77</v>
      </c>
      <c r="E624" s="13">
        <v>8.77</v>
      </c>
      <c r="F624" s="15">
        <v>-0.007</v>
      </c>
    </row>
    <row r="625" spans="1:6">
      <c r="A625" s="14">
        <v>44356</v>
      </c>
      <c r="B625" s="13">
        <v>8.832</v>
      </c>
      <c r="C625" s="13">
        <v>8.832</v>
      </c>
      <c r="D625" s="13">
        <v>8.832</v>
      </c>
      <c r="E625" s="13">
        <v>8.832</v>
      </c>
      <c r="F625" s="15">
        <v>-0.0002</v>
      </c>
    </row>
    <row r="626" spans="1:6">
      <c r="A626" s="14">
        <v>44355</v>
      </c>
      <c r="B626" s="13">
        <v>8.834</v>
      </c>
      <c r="C626" s="13">
        <v>8.834</v>
      </c>
      <c r="D626" s="13">
        <v>8.834</v>
      </c>
      <c r="E626" s="13">
        <v>8.834</v>
      </c>
      <c r="F626" s="15">
        <v>-0.0258</v>
      </c>
    </row>
    <row r="627" spans="1:6">
      <c r="A627" s="14">
        <v>44354</v>
      </c>
      <c r="B627" s="13">
        <v>9.068</v>
      </c>
      <c r="C627" s="13">
        <v>9.068</v>
      </c>
      <c r="D627" s="13">
        <v>9.068</v>
      </c>
      <c r="E627" s="13">
        <v>9.068</v>
      </c>
      <c r="F627" s="15">
        <v>-0.0004</v>
      </c>
    </row>
    <row r="628" spans="1:6">
      <c r="A628" s="14">
        <v>44351</v>
      </c>
      <c r="B628" s="13">
        <v>9.072</v>
      </c>
      <c r="C628" s="13">
        <v>9.072</v>
      </c>
      <c r="D628" s="13">
        <v>9.072</v>
      </c>
      <c r="E628" s="13">
        <v>9.072</v>
      </c>
      <c r="F628" s="15">
        <v>-0.0463</v>
      </c>
    </row>
    <row r="629" spans="1:6">
      <c r="A629" s="14">
        <v>44350</v>
      </c>
      <c r="B629" s="13">
        <v>9.512</v>
      </c>
      <c r="C629" s="13">
        <v>9.512</v>
      </c>
      <c r="D629" s="13">
        <v>9.512</v>
      </c>
      <c r="E629" s="13">
        <v>9.512</v>
      </c>
      <c r="F629" s="15">
        <v>0.0205</v>
      </c>
    </row>
    <row r="630" spans="1:6">
      <c r="A630" s="14">
        <v>44349</v>
      </c>
      <c r="B630" s="13">
        <v>9.321</v>
      </c>
      <c r="C630" s="13">
        <v>9.321</v>
      </c>
      <c r="D630" s="13">
        <v>9.321</v>
      </c>
      <c r="E630" s="13">
        <v>9.321</v>
      </c>
      <c r="F630" s="15">
        <v>0.0174</v>
      </c>
    </row>
    <row r="631" spans="1:6">
      <c r="A631" s="14">
        <v>44347</v>
      </c>
      <c r="B631" s="13">
        <v>9.162</v>
      </c>
      <c r="C631" s="13">
        <v>9.162</v>
      </c>
      <c r="D631" s="13">
        <v>9.162</v>
      </c>
      <c r="E631" s="13">
        <v>9.162</v>
      </c>
      <c r="F631" s="15">
        <v>-0.0551</v>
      </c>
    </row>
    <row r="632" spans="1:6">
      <c r="A632" s="14">
        <v>44344</v>
      </c>
      <c r="B632" s="13">
        <v>9.696</v>
      </c>
      <c r="C632" s="13">
        <v>9.696</v>
      </c>
      <c r="D632" s="13">
        <v>9.696</v>
      </c>
      <c r="E632" s="13">
        <v>9.696</v>
      </c>
      <c r="F632" s="15">
        <v>0.0788</v>
      </c>
    </row>
    <row r="633" spans="1:6">
      <c r="A633" s="14">
        <v>44343</v>
      </c>
      <c r="B633" s="13">
        <v>8.988</v>
      </c>
      <c r="C633" s="13">
        <v>8.988</v>
      </c>
      <c r="D633" s="13">
        <v>8.988</v>
      </c>
      <c r="E633" s="13">
        <v>8.988</v>
      </c>
      <c r="F633" s="15">
        <v>-0.0043</v>
      </c>
    </row>
    <row r="634" spans="1:6">
      <c r="A634" s="14">
        <v>44342</v>
      </c>
      <c r="B634" s="13">
        <v>9.027</v>
      </c>
      <c r="C634" s="13">
        <v>9.027</v>
      </c>
      <c r="D634" s="13">
        <v>9.027</v>
      </c>
      <c r="E634" s="13">
        <v>9.027</v>
      </c>
      <c r="F634" s="15">
        <v>-0.0102</v>
      </c>
    </row>
    <row r="635" spans="1:6">
      <c r="A635" s="14">
        <v>44341</v>
      </c>
      <c r="B635" s="13">
        <v>9.12</v>
      </c>
      <c r="C635" s="13">
        <v>8.918</v>
      </c>
      <c r="D635" s="13">
        <v>9.12</v>
      </c>
      <c r="E635" s="13">
        <v>8.918</v>
      </c>
      <c r="F635" s="15">
        <v>0.0245</v>
      </c>
    </row>
    <row r="636" spans="1:6">
      <c r="A636" s="14">
        <v>44340</v>
      </c>
      <c r="B636" s="13">
        <v>8.902</v>
      </c>
      <c r="C636" s="13">
        <v>8.902</v>
      </c>
      <c r="D636" s="13">
        <v>8.902</v>
      </c>
      <c r="E636" s="13">
        <v>8.902</v>
      </c>
      <c r="F636" s="15">
        <v>-0.0895</v>
      </c>
    </row>
    <row r="637" spans="1:6">
      <c r="A637" s="14">
        <v>44337</v>
      </c>
      <c r="B637" s="13">
        <v>9.777</v>
      </c>
      <c r="C637" s="13">
        <v>9.777</v>
      </c>
      <c r="D637" s="13">
        <v>9.777</v>
      </c>
      <c r="E637" s="13">
        <v>9.777</v>
      </c>
      <c r="F637" s="15">
        <v>-0.0054</v>
      </c>
    </row>
    <row r="638" spans="1:6">
      <c r="A638" s="14">
        <v>44336</v>
      </c>
      <c r="B638" s="13">
        <v>9.83</v>
      </c>
      <c r="C638" s="13">
        <v>9.83</v>
      </c>
      <c r="D638" s="13">
        <v>9.83</v>
      </c>
      <c r="E638" s="13">
        <v>9.83</v>
      </c>
      <c r="F638" s="15">
        <v>0.1186</v>
      </c>
    </row>
    <row r="639" spans="1:6">
      <c r="A639" s="14">
        <v>44335</v>
      </c>
      <c r="B639" s="13">
        <v>8.788</v>
      </c>
      <c r="C639" s="13">
        <v>8.788</v>
      </c>
      <c r="D639" s="13">
        <v>8.788</v>
      </c>
      <c r="E639" s="13">
        <v>8.788</v>
      </c>
      <c r="F639" s="15">
        <v>-0.0023</v>
      </c>
    </row>
    <row r="640" spans="1:6">
      <c r="A640" s="14">
        <v>44334</v>
      </c>
      <c r="B640" s="13">
        <v>8.808</v>
      </c>
      <c r="C640" s="13">
        <v>8.808</v>
      </c>
      <c r="D640" s="13">
        <v>8.808</v>
      </c>
      <c r="E640" s="13">
        <v>8.808</v>
      </c>
      <c r="F640" s="15">
        <v>-0.1035</v>
      </c>
    </row>
    <row r="641" spans="1:6">
      <c r="A641" s="14">
        <v>44333</v>
      </c>
      <c r="B641" s="13">
        <v>9.825</v>
      </c>
      <c r="C641" s="13">
        <v>9.825</v>
      </c>
      <c r="D641" s="13">
        <v>9.825</v>
      </c>
      <c r="E641" s="13">
        <v>9.825</v>
      </c>
      <c r="F641" s="15">
        <v>0.1186</v>
      </c>
    </row>
    <row r="642" spans="1:6">
      <c r="A642" s="14">
        <v>44330</v>
      </c>
      <c r="B642" s="13">
        <v>8.783</v>
      </c>
      <c r="C642" s="13">
        <v>8.783</v>
      </c>
      <c r="D642" s="13">
        <v>8.783</v>
      </c>
      <c r="E642" s="13">
        <v>8.783</v>
      </c>
      <c r="F642" s="15">
        <v>-0.0003</v>
      </c>
    </row>
    <row r="643" spans="1:6">
      <c r="A643" s="14">
        <v>44329</v>
      </c>
      <c r="B643" s="13">
        <v>8.786</v>
      </c>
      <c r="C643" s="13">
        <v>8.786</v>
      </c>
      <c r="D643" s="13">
        <v>8.786</v>
      </c>
      <c r="E643" s="13">
        <v>8.786</v>
      </c>
      <c r="F643" s="15">
        <v>-0.0003</v>
      </c>
    </row>
    <row r="644" spans="1:6">
      <c r="A644" s="14">
        <v>44328</v>
      </c>
      <c r="B644" s="13">
        <v>8.789</v>
      </c>
      <c r="C644" s="13">
        <v>8.789</v>
      </c>
      <c r="D644" s="13">
        <v>8.789</v>
      </c>
      <c r="E644" s="13">
        <v>8.789</v>
      </c>
      <c r="F644" s="15">
        <v>-0.0003</v>
      </c>
    </row>
    <row r="645" spans="1:6">
      <c r="A645" s="14">
        <v>44327</v>
      </c>
      <c r="B645" s="13">
        <v>8.792</v>
      </c>
      <c r="C645" s="13">
        <v>8.792</v>
      </c>
      <c r="D645" s="13">
        <v>8.792</v>
      </c>
      <c r="E645" s="13">
        <v>8.792</v>
      </c>
      <c r="F645" s="15">
        <v>-0.0015</v>
      </c>
    </row>
    <row r="646" spans="1:6">
      <c r="A646" s="14">
        <v>44322</v>
      </c>
      <c r="B646" s="13">
        <v>8.805</v>
      </c>
      <c r="C646" s="13">
        <v>8.805</v>
      </c>
      <c r="D646" s="13">
        <v>8.805</v>
      </c>
      <c r="E646" s="13">
        <v>8.805</v>
      </c>
      <c r="F646" s="15">
        <v>-0.0023</v>
      </c>
    </row>
    <row r="647" spans="1:6">
      <c r="A647" s="14">
        <v>44321</v>
      </c>
      <c r="B647" s="13">
        <v>8.825</v>
      </c>
      <c r="C647" s="13">
        <v>8.825</v>
      </c>
      <c r="D647" s="13">
        <v>8.825</v>
      </c>
      <c r="E647" s="13">
        <v>8.825</v>
      </c>
      <c r="F647" s="15">
        <v>-0.0002</v>
      </c>
    </row>
    <row r="648" spans="1:6">
      <c r="A648" s="14">
        <v>44320</v>
      </c>
      <c r="B648" s="13">
        <v>8.827</v>
      </c>
      <c r="C648" s="13">
        <v>8.827</v>
      </c>
      <c r="D648" s="13">
        <v>8.827</v>
      </c>
      <c r="E648" s="13">
        <v>8.827</v>
      </c>
      <c r="F648" s="15">
        <v>-0.0011</v>
      </c>
    </row>
    <row r="649" spans="1:6">
      <c r="A649" s="14">
        <v>44316</v>
      </c>
      <c r="B649" s="13">
        <v>8.837</v>
      </c>
      <c r="C649" s="13">
        <v>8.837</v>
      </c>
      <c r="D649" s="13">
        <v>8.837</v>
      </c>
      <c r="E649" s="13">
        <v>8.837</v>
      </c>
      <c r="F649" s="15">
        <v>-0.0023</v>
      </c>
    </row>
    <row r="650" spans="1:6">
      <c r="A650" s="14">
        <v>44315</v>
      </c>
      <c r="B650" s="13">
        <v>8.857</v>
      </c>
      <c r="C650" s="13">
        <v>8.857</v>
      </c>
      <c r="D650" s="13">
        <v>8.857</v>
      </c>
      <c r="E650" s="13">
        <v>8.857</v>
      </c>
      <c r="F650" s="15">
        <v>-0.002</v>
      </c>
    </row>
    <row r="651" spans="1:6">
      <c r="A651" s="14">
        <v>44314</v>
      </c>
      <c r="B651" s="13">
        <v>8.875</v>
      </c>
      <c r="C651" s="13">
        <v>8.875</v>
      </c>
      <c r="D651" s="13">
        <v>8.875</v>
      </c>
      <c r="E651" s="13">
        <v>8.875</v>
      </c>
      <c r="F651" s="15">
        <v>-0.0003</v>
      </c>
    </row>
    <row r="652" spans="1:6">
      <c r="A652" s="14">
        <v>44313</v>
      </c>
      <c r="B652" s="13">
        <v>8.878</v>
      </c>
      <c r="C652" s="13">
        <v>8.878</v>
      </c>
      <c r="D652" s="13">
        <v>8.878</v>
      </c>
      <c r="E652" s="13">
        <v>8.878</v>
      </c>
      <c r="F652" s="15">
        <v>0.0052</v>
      </c>
    </row>
    <row r="653" spans="1:6">
      <c r="A653" s="14">
        <v>44312</v>
      </c>
      <c r="B653" s="13">
        <v>8.832</v>
      </c>
      <c r="C653" s="13">
        <v>8.832</v>
      </c>
      <c r="D653" s="13">
        <v>8.832</v>
      </c>
      <c r="E653" s="13">
        <v>8.832</v>
      </c>
      <c r="F653" s="15">
        <v>-0.0081</v>
      </c>
    </row>
    <row r="654" spans="1:6">
      <c r="A654" s="14">
        <v>44309</v>
      </c>
      <c r="B654" s="13">
        <v>8.904</v>
      </c>
      <c r="C654" s="13">
        <v>8.904</v>
      </c>
      <c r="D654" s="13">
        <v>8.904</v>
      </c>
      <c r="E654" s="13">
        <v>8.904</v>
      </c>
      <c r="F654" s="15">
        <v>-0.0002</v>
      </c>
    </row>
    <row r="655" spans="1:6">
      <c r="A655" s="14">
        <v>44308</v>
      </c>
      <c r="B655" s="13">
        <v>8.906</v>
      </c>
      <c r="C655" s="13">
        <v>8.906</v>
      </c>
      <c r="D655" s="13">
        <v>8.906</v>
      </c>
      <c r="E655" s="13">
        <v>8.906</v>
      </c>
      <c r="F655" s="15">
        <v>-0.0092</v>
      </c>
    </row>
    <row r="656" spans="1:6">
      <c r="A656" s="14">
        <v>44307</v>
      </c>
      <c r="B656" s="13">
        <v>8.989</v>
      </c>
      <c r="C656" s="13">
        <v>8.989</v>
      </c>
      <c r="D656" s="13">
        <v>8.989</v>
      </c>
      <c r="E656" s="13">
        <v>8.989</v>
      </c>
      <c r="F656" s="15">
        <v>-0.0108</v>
      </c>
    </row>
    <row r="657" spans="1:6">
      <c r="A657" s="14">
        <v>44306</v>
      </c>
      <c r="B657" s="13">
        <v>9.087</v>
      </c>
      <c r="C657" s="13">
        <v>9.087</v>
      </c>
      <c r="D657" s="13">
        <v>9.087</v>
      </c>
      <c r="E657" s="13">
        <v>9.087</v>
      </c>
      <c r="F657" s="15">
        <v>-0.0036</v>
      </c>
    </row>
    <row r="658" spans="1:6">
      <c r="A658" s="14">
        <v>44305</v>
      </c>
      <c r="B658" s="13">
        <v>9.12</v>
      </c>
      <c r="C658" s="13">
        <v>9.12</v>
      </c>
      <c r="D658" s="13">
        <v>9.12</v>
      </c>
      <c r="E658" s="13">
        <v>9.12</v>
      </c>
      <c r="F658" s="15">
        <v>-0.0005</v>
      </c>
    </row>
    <row r="659" spans="1:6">
      <c r="A659" s="14">
        <v>44302</v>
      </c>
      <c r="B659" s="13">
        <v>9.125</v>
      </c>
      <c r="C659" s="13">
        <v>9.125</v>
      </c>
      <c r="D659" s="13">
        <v>9.125</v>
      </c>
      <c r="E659" s="13">
        <v>9.125</v>
      </c>
      <c r="F659" s="15">
        <v>0.005</v>
      </c>
    </row>
    <row r="660" spans="1:6">
      <c r="A660" s="14">
        <v>44301</v>
      </c>
      <c r="B660" s="13">
        <v>9.08</v>
      </c>
      <c r="C660" s="13">
        <v>9.08</v>
      </c>
      <c r="D660" s="13">
        <v>9.08</v>
      </c>
      <c r="E660" s="13">
        <v>9.08</v>
      </c>
      <c r="F660" s="15">
        <v>0.0277</v>
      </c>
    </row>
    <row r="661" spans="1:6">
      <c r="A661" s="14">
        <v>44299</v>
      </c>
      <c r="B661" s="13">
        <v>8.835</v>
      </c>
      <c r="C661" s="13">
        <v>8.835</v>
      </c>
      <c r="D661" s="13">
        <v>8.835</v>
      </c>
      <c r="E661" s="13">
        <v>8.835</v>
      </c>
      <c r="F661" s="15">
        <v>-0.0003</v>
      </c>
    </row>
    <row r="662" spans="1:6">
      <c r="A662" s="14">
        <v>44298</v>
      </c>
      <c r="B662" s="13">
        <v>8.838</v>
      </c>
      <c r="C662" s="13">
        <v>8.838</v>
      </c>
      <c r="D662" s="13">
        <v>8.838</v>
      </c>
      <c r="E662" s="13">
        <v>8.838</v>
      </c>
      <c r="F662" s="15">
        <v>-0.0094</v>
      </c>
    </row>
    <row r="663" spans="1:6">
      <c r="A663" s="14">
        <v>44295</v>
      </c>
      <c r="B663" s="13">
        <v>8.922</v>
      </c>
      <c r="C663" s="13">
        <v>8.922</v>
      </c>
      <c r="D663" s="13">
        <v>8.922</v>
      </c>
      <c r="E663" s="13">
        <v>8.922</v>
      </c>
      <c r="F663" s="15">
        <v>-0.0003</v>
      </c>
    </row>
    <row r="664" spans="1:6">
      <c r="A664" s="14">
        <v>44294</v>
      </c>
      <c r="B664" s="13">
        <v>8.925</v>
      </c>
      <c r="C664" s="13">
        <v>8.925</v>
      </c>
      <c r="D664" s="13">
        <v>8.925</v>
      </c>
      <c r="E664" s="13">
        <v>8.925</v>
      </c>
      <c r="F664" s="15">
        <v>-0.0002</v>
      </c>
    </row>
    <row r="665" spans="1:6">
      <c r="A665" s="14">
        <v>44293</v>
      </c>
      <c r="B665" s="13">
        <v>8.927</v>
      </c>
      <c r="C665" s="13">
        <v>8.927</v>
      </c>
      <c r="D665" s="13">
        <v>8.927</v>
      </c>
      <c r="E665" s="13">
        <v>8.927</v>
      </c>
      <c r="F665" s="15">
        <v>-0.0053</v>
      </c>
    </row>
    <row r="666" spans="1:6">
      <c r="A666" s="14">
        <v>44292</v>
      </c>
      <c r="B666" s="13">
        <v>8.975</v>
      </c>
      <c r="C666" s="13">
        <v>8.975</v>
      </c>
      <c r="D666" s="13">
        <v>8.975</v>
      </c>
      <c r="E666" s="13">
        <v>8.975</v>
      </c>
      <c r="F666" s="15">
        <v>-0.002</v>
      </c>
    </row>
    <row r="667" spans="1:6">
      <c r="A667" s="14">
        <v>44291</v>
      </c>
      <c r="B667" s="13">
        <v>8.993</v>
      </c>
      <c r="C667" s="13">
        <v>8.993</v>
      </c>
      <c r="D667" s="13">
        <v>8.993</v>
      </c>
      <c r="E667" s="13">
        <v>8.993</v>
      </c>
      <c r="F667" s="15">
        <v>-0.0122</v>
      </c>
    </row>
    <row r="668" spans="1:6">
      <c r="A668" s="14">
        <v>44288</v>
      </c>
      <c r="B668" s="13">
        <v>9.104</v>
      </c>
      <c r="C668" s="13">
        <v>9.104</v>
      </c>
      <c r="D668" s="13">
        <v>9.104</v>
      </c>
      <c r="E668" s="13">
        <v>9.104</v>
      </c>
      <c r="F668" s="15">
        <v>0.0267</v>
      </c>
    </row>
    <row r="669" spans="1:6">
      <c r="A669" s="14">
        <v>44287</v>
      </c>
      <c r="B669" s="13">
        <v>8.867</v>
      </c>
      <c r="C669" s="13">
        <v>8.867</v>
      </c>
      <c r="D669" s="13">
        <v>8.867</v>
      </c>
      <c r="E669" s="13">
        <v>8.867</v>
      </c>
      <c r="F669" s="15">
        <v>0.0021</v>
      </c>
    </row>
    <row r="670" spans="1:6">
      <c r="A670" s="14">
        <v>44286</v>
      </c>
      <c r="B670" s="13">
        <v>8.848</v>
      </c>
      <c r="C670" s="13">
        <v>8.848</v>
      </c>
      <c r="D670" s="13">
        <v>8.848</v>
      </c>
      <c r="E670" s="13">
        <v>8.848</v>
      </c>
      <c r="F670" s="15">
        <v>-0.0058</v>
      </c>
    </row>
    <row r="671" spans="1:6">
      <c r="A671" s="14">
        <v>44285</v>
      </c>
      <c r="B671" s="13">
        <v>8.9</v>
      </c>
      <c r="C671" s="13">
        <v>8.9</v>
      </c>
      <c r="D671" s="13">
        <v>8.9</v>
      </c>
      <c r="E671" s="13">
        <v>8.9</v>
      </c>
      <c r="F671" s="15">
        <v>-0.0134</v>
      </c>
    </row>
    <row r="672" spans="1:6">
      <c r="A672" s="14">
        <v>44284</v>
      </c>
      <c r="B672" s="13">
        <v>9.021</v>
      </c>
      <c r="C672" s="13">
        <v>9.021</v>
      </c>
      <c r="D672" s="13">
        <v>9.021</v>
      </c>
      <c r="E672" s="13">
        <v>9.021</v>
      </c>
      <c r="F672" s="15">
        <v>-0.0055</v>
      </c>
    </row>
    <row r="673" spans="1:6">
      <c r="A673" s="14">
        <v>44281</v>
      </c>
      <c r="B673" s="13">
        <v>9.071</v>
      </c>
      <c r="C673" s="13">
        <v>9.071</v>
      </c>
      <c r="D673" s="13">
        <v>9.071</v>
      </c>
      <c r="E673" s="13">
        <v>9.071</v>
      </c>
      <c r="F673" s="15">
        <v>-0.0003</v>
      </c>
    </row>
    <row r="674" spans="1:6">
      <c r="A674" s="14">
        <v>44280</v>
      </c>
      <c r="B674" s="13">
        <v>9.074</v>
      </c>
      <c r="C674" s="13">
        <v>9.074</v>
      </c>
      <c r="D674" s="13">
        <v>9.074</v>
      </c>
      <c r="E674" s="13">
        <v>9.074</v>
      </c>
      <c r="F674" s="15">
        <v>0.0019</v>
      </c>
    </row>
    <row r="675" spans="1:6">
      <c r="A675" s="14">
        <v>44274</v>
      </c>
      <c r="B675" s="13">
        <v>9.057</v>
      </c>
      <c r="C675" s="13">
        <v>9.057</v>
      </c>
      <c r="D675" s="13">
        <v>9.057</v>
      </c>
      <c r="E675" s="13">
        <v>9.057</v>
      </c>
      <c r="F675" s="15">
        <v>-0.0002</v>
      </c>
    </row>
    <row r="676" spans="1:6">
      <c r="A676" s="14">
        <v>44273</v>
      </c>
      <c r="B676" s="13">
        <v>9.059</v>
      </c>
      <c r="C676" s="13">
        <v>9.059</v>
      </c>
      <c r="D676" s="13">
        <v>9.059</v>
      </c>
      <c r="E676" s="13">
        <v>9.059</v>
      </c>
      <c r="F676" s="15">
        <v>-0.0096</v>
      </c>
    </row>
    <row r="677" spans="1:6">
      <c r="A677" s="14">
        <v>44272</v>
      </c>
      <c r="B677" s="13">
        <v>9.147</v>
      </c>
      <c r="C677" s="13">
        <v>9.147</v>
      </c>
      <c r="D677" s="13">
        <v>9.147</v>
      </c>
      <c r="E677" s="13">
        <v>9.147</v>
      </c>
      <c r="F677" s="15">
        <v>-0.0002</v>
      </c>
    </row>
    <row r="678" spans="1:6">
      <c r="A678" s="14">
        <v>44271</v>
      </c>
      <c r="B678" s="13">
        <v>9.149</v>
      </c>
      <c r="C678" s="13">
        <v>9.149</v>
      </c>
      <c r="D678" s="13">
        <v>9.149</v>
      </c>
      <c r="E678" s="13">
        <v>9.149</v>
      </c>
      <c r="F678" s="15">
        <v>-0.0002</v>
      </c>
    </row>
    <row r="679" spans="1:6">
      <c r="A679" s="14">
        <v>44270</v>
      </c>
      <c r="B679" s="13">
        <v>9.151</v>
      </c>
      <c r="C679" s="13">
        <v>9.151</v>
      </c>
      <c r="D679" s="13">
        <v>9.151</v>
      </c>
      <c r="E679" s="13">
        <v>9.151</v>
      </c>
      <c r="F679" s="15">
        <v>-0.0037</v>
      </c>
    </row>
    <row r="680" spans="1:6">
      <c r="A680" s="14">
        <v>44267</v>
      </c>
      <c r="B680" s="13">
        <v>9.185</v>
      </c>
      <c r="C680" s="13">
        <v>9.185</v>
      </c>
      <c r="D680" s="13">
        <v>9.185</v>
      </c>
      <c r="E680" s="13">
        <v>9.185</v>
      </c>
      <c r="F680" s="15">
        <v>0.0106</v>
      </c>
    </row>
    <row r="681" spans="1:6">
      <c r="A681" s="14">
        <v>44266</v>
      </c>
      <c r="B681" s="13">
        <v>9.089</v>
      </c>
      <c r="C681" s="13">
        <v>9.089</v>
      </c>
      <c r="D681" s="13">
        <v>9.089</v>
      </c>
      <c r="E681" s="13">
        <v>9.089</v>
      </c>
      <c r="F681" s="15">
        <v>0.0107</v>
      </c>
    </row>
    <row r="682" spans="1:6">
      <c r="A682" s="14">
        <v>44265</v>
      </c>
      <c r="B682" s="13">
        <v>8.993</v>
      </c>
      <c r="C682" s="13">
        <v>8.993</v>
      </c>
      <c r="D682" s="13">
        <v>8.993</v>
      </c>
      <c r="E682" s="13">
        <v>8.993</v>
      </c>
      <c r="F682" s="15">
        <v>0.0106</v>
      </c>
    </row>
    <row r="683" spans="1:6">
      <c r="A683" s="14">
        <v>44264</v>
      </c>
      <c r="B683" s="13">
        <v>8.899</v>
      </c>
      <c r="C683" s="13">
        <v>8.899</v>
      </c>
      <c r="D683" s="13">
        <v>8.899</v>
      </c>
      <c r="E683" s="13">
        <v>8.899</v>
      </c>
      <c r="F683" s="15">
        <v>-0.0164</v>
      </c>
    </row>
    <row r="684" spans="1:6">
      <c r="A684" s="14">
        <v>44260</v>
      </c>
      <c r="B684" s="13">
        <v>9.047</v>
      </c>
      <c r="C684" s="13">
        <v>9.047</v>
      </c>
      <c r="D684" s="13">
        <v>9.047</v>
      </c>
      <c r="E684" s="13">
        <v>9.047</v>
      </c>
      <c r="F684" s="15">
        <v>0.0089</v>
      </c>
    </row>
    <row r="685" spans="1:6">
      <c r="A685" s="14">
        <v>44259</v>
      </c>
      <c r="B685" s="13">
        <v>8.967</v>
      </c>
      <c r="C685" s="13">
        <v>8.967</v>
      </c>
      <c r="D685" s="13">
        <v>8.967</v>
      </c>
      <c r="E685" s="13">
        <v>8.967</v>
      </c>
      <c r="F685" s="15">
        <v>-0.0241</v>
      </c>
    </row>
    <row r="686" spans="1:6">
      <c r="A686" s="14">
        <v>44258</v>
      </c>
      <c r="B686" s="13">
        <v>9.188</v>
      </c>
      <c r="C686" s="13">
        <v>9.188</v>
      </c>
      <c r="D686" s="13">
        <v>9.188</v>
      </c>
      <c r="E686" s="13">
        <v>9.188</v>
      </c>
      <c r="F686" s="15">
        <v>-0.0134</v>
      </c>
    </row>
    <row r="687" spans="1:6">
      <c r="A687" s="14">
        <v>44257</v>
      </c>
      <c r="B687" s="13">
        <v>9.313</v>
      </c>
      <c r="C687" s="13">
        <v>9.313</v>
      </c>
      <c r="D687" s="13">
        <v>9.313</v>
      </c>
      <c r="E687" s="13">
        <v>9.313</v>
      </c>
      <c r="F687" s="15">
        <v>-0.0088</v>
      </c>
    </row>
    <row r="688" spans="1:6">
      <c r="A688" s="14">
        <v>44256</v>
      </c>
      <c r="B688" s="13">
        <v>9.396</v>
      </c>
      <c r="C688" s="13">
        <v>9.396</v>
      </c>
      <c r="D688" s="13">
        <v>9.396</v>
      </c>
      <c r="E688" s="13">
        <v>9.396</v>
      </c>
      <c r="F688" s="15">
        <v>0.0021</v>
      </c>
    </row>
    <row r="689" spans="1:6">
      <c r="A689" s="14">
        <v>44253</v>
      </c>
      <c r="B689" s="13">
        <v>9.376</v>
      </c>
      <c r="C689" s="13">
        <v>9.376</v>
      </c>
      <c r="D689" s="13">
        <v>9.376</v>
      </c>
      <c r="E689" s="13">
        <v>9.376</v>
      </c>
      <c r="F689" s="15">
        <v>0.0056</v>
      </c>
    </row>
    <row r="690" spans="1:6">
      <c r="A690" s="14">
        <v>44252</v>
      </c>
      <c r="B690" s="13">
        <v>9.324</v>
      </c>
      <c r="C690" s="13">
        <v>9.324</v>
      </c>
      <c r="D690" s="13">
        <v>9.324</v>
      </c>
      <c r="E690" s="13">
        <v>9.324</v>
      </c>
      <c r="F690" s="15">
        <v>-0.0253</v>
      </c>
    </row>
    <row r="691" spans="1:6">
      <c r="A691" s="14">
        <v>44251</v>
      </c>
      <c r="B691" s="13">
        <v>9.566</v>
      </c>
      <c r="C691" s="13">
        <v>9.566</v>
      </c>
      <c r="D691" s="13">
        <v>9.566</v>
      </c>
      <c r="E691" s="13">
        <v>9.566</v>
      </c>
      <c r="F691" s="15">
        <v>-0.0071</v>
      </c>
    </row>
    <row r="692" spans="1:6">
      <c r="A692" s="14">
        <v>44250</v>
      </c>
      <c r="B692" s="13">
        <v>9.634</v>
      </c>
      <c r="C692" s="13">
        <v>9.634</v>
      </c>
      <c r="D692" s="13">
        <v>9.634</v>
      </c>
      <c r="E692" s="13">
        <v>9.634</v>
      </c>
      <c r="F692" s="15">
        <v>0.0014</v>
      </c>
    </row>
    <row r="693" spans="1:6">
      <c r="A693" s="14">
        <v>44249</v>
      </c>
      <c r="B693" s="13">
        <v>9.621</v>
      </c>
      <c r="C693" s="13">
        <v>9.621</v>
      </c>
      <c r="D693" s="13">
        <v>9.621</v>
      </c>
      <c r="E693" s="13">
        <v>9.621</v>
      </c>
      <c r="F693" s="15">
        <v>0.0039</v>
      </c>
    </row>
    <row r="694" spans="1:6">
      <c r="A694" s="14">
        <v>44246</v>
      </c>
      <c r="B694" s="13">
        <v>9.584</v>
      </c>
      <c r="C694" s="13">
        <v>9.584</v>
      </c>
      <c r="D694" s="13">
        <v>9.584</v>
      </c>
      <c r="E694" s="13">
        <v>9.584</v>
      </c>
      <c r="F694" s="15">
        <v>-0.0001</v>
      </c>
    </row>
    <row r="695" spans="1:6">
      <c r="A695" s="14">
        <v>44245</v>
      </c>
      <c r="B695" s="13">
        <v>9.585</v>
      </c>
      <c r="C695" s="13">
        <v>9.585</v>
      </c>
      <c r="D695" s="13">
        <v>9.585</v>
      </c>
      <c r="E695" s="13">
        <v>9.585</v>
      </c>
      <c r="F695" s="15">
        <v>-0.0015</v>
      </c>
    </row>
    <row r="696" spans="1:6">
      <c r="A696" s="14">
        <v>44244</v>
      </c>
      <c r="B696" s="13">
        <v>9.599</v>
      </c>
      <c r="C696" s="13">
        <v>9.599</v>
      </c>
      <c r="D696" s="13">
        <v>9.599</v>
      </c>
      <c r="E696" s="13">
        <v>9.599</v>
      </c>
      <c r="F696" s="15">
        <v>-0.0001</v>
      </c>
    </row>
    <row r="697" spans="1:6">
      <c r="A697" s="14">
        <v>44243</v>
      </c>
      <c r="B697" s="13">
        <v>9.6</v>
      </c>
      <c r="C697" s="13">
        <v>9.6</v>
      </c>
      <c r="D697" s="13">
        <v>9.6</v>
      </c>
      <c r="E697" s="13">
        <v>9.6</v>
      </c>
      <c r="F697" s="15">
        <v>-0.0001</v>
      </c>
    </row>
    <row r="698" spans="1:6">
      <c r="A698" s="14">
        <v>44242</v>
      </c>
      <c r="B698" s="13">
        <v>9.601</v>
      </c>
      <c r="C698" s="13">
        <v>9.601</v>
      </c>
      <c r="D698" s="13">
        <v>9.601</v>
      </c>
      <c r="E698" s="13">
        <v>9.601</v>
      </c>
      <c r="F698" s="15">
        <v>-0.0003</v>
      </c>
    </row>
    <row r="699" spans="1:6">
      <c r="A699" s="14">
        <v>44239</v>
      </c>
      <c r="B699" s="13">
        <v>9.604</v>
      </c>
      <c r="C699" s="13">
        <v>9.604</v>
      </c>
      <c r="D699" s="13">
        <v>9.604</v>
      </c>
      <c r="E699" s="13">
        <v>9.604</v>
      </c>
      <c r="F699" s="15">
        <v>-0.0001</v>
      </c>
    </row>
    <row r="700" spans="1:6">
      <c r="A700" s="14">
        <v>44238</v>
      </c>
      <c r="B700" s="13">
        <v>9.605</v>
      </c>
      <c r="C700" s="13">
        <v>9.605</v>
      </c>
      <c r="D700" s="13">
        <v>9.605</v>
      </c>
      <c r="E700" s="13">
        <v>9.605</v>
      </c>
      <c r="F700" s="15">
        <v>0.0013</v>
      </c>
    </row>
    <row r="701" spans="1:6">
      <c r="A701" s="14">
        <v>44237</v>
      </c>
      <c r="B701" s="13">
        <v>9.593</v>
      </c>
      <c r="C701" s="13">
        <v>9.593</v>
      </c>
      <c r="D701" s="13">
        <v>9.593</v>
      </c>
      <c r="E701" s="13">
        <v>9.593</v>
      </c>
      <c r="F701" s="15">
        <v>-0.0028</v>
      </c>
    </row>
    <row r="702" spans="1:6">
      <c r="A702" s="14">
        <v>44236</v>
      </c>
      <c r="B702" s="13">
        <v>9.62</v>
      </c>
      <c r="C702" s="13">
        <v>9.62</v>
      </c>
      <c r="D702" s="13">
        <v>9.62</v>
      </c>
      <c r="E702" s="13">
        <v>9.62</v>
      </c>
      <c r="F702" s="15">
        <v>-0.0001</v>
      </c>
    </row>
    <row r="703" spans="1:6">
      <c r="A703" s="14">
        <v>44235</v>
      </c>
      <c r="B703" s="13">
        <v>9.621</v>
      </c>
      <c r="C703" s="13">
        <v>9.621</v>
      </c>
      <c r="D703" s="13">
        <v>9.621</v>
      </c>
      <c r="E703" s="13">
        <v>9.621</v>
      </c>
      <c r="F703" s="15">
        <v>-0.0016</v>
      </c>
    </row>
    <row r="704" spans="1:6">
      <c r="A704" s="14">
        <v>44232</v>
      </c>
      <c r="B704" s="13">
        <v>9.636</v>
      </c>
      <c r="C704" s="13">
        <v>9.636</v>
      </c>
      <c r="D704" s="13">
        <v>9.636</v>
      </c>
      <c r="E704" s="13">
        <v>9.636</v>
      </c>
      <c r="F704" s="15">
        <v>-0.0001</v>
      </c>
    </row>
    <row r="705" spans="1:6">
      <c r="A705" s="14">
        <v>44231</v>
      </c>
      <c r="B705" s="13">
        <v>9.637</v>
      </c>
      <c r="C705" s="13">
        <v>9.637</v>
      </c>
      <c r="D705" s="13">
        <v>9.637</v>
      </c>
      <c r="E705" s="13">
        <v>9.637</v>
      </c>
      <c r="F705" s="15">
        <v>-0.0015</v>
      </c>
    </row>
    <row r="706" spans="1:6">
      <c r="A706" s="14">
        <v>44230</v>
      </c>
      <c r="B706" s="13">
        <v>9.651</v>
      </c>
      <c r="C706" s="13">
        <v>9.651</v>
      </c>
      <c r="D706" s="13">
        <v>9.651</v>
      </c>
      <c r="E706" s="13">
        <v>9.651</v>
      </c>
      <c r="F706" s="15">
        <v>-0.0027</v>
      </c>
    </row>
    <row r="707" spans="1:6">
      <c r="A707" s="14">
        <v>44229</v>
      </c>
      <c r="B707" s="13">
        <v>9.677</v>
      </c>
      <c r="C707" s="13">
        <v>9.677</v>
      </c>
      <c r="D707" s="13">
        <v>9.677</v>
      </c>
      <c r="E707" s="13">
        <v>9.677</v>
      </c>
      <c r="F707" s="15">
        <v>-0.0066</v>
      </c>
    </row>
    <row r="708" spans="1:6">
      <c r="A708" s="14">
        <v>44228</v>
      </c>
      <c r="B708" s="13">
        <v>9.741</v>
      </c>
      <c r="C708" s="13">
        <v>9.741</v>
      </c>
      <c r="D708" s="13">
        <v>9.741</v>
      </c>
      <c r="E708" s="13">
        <v>9.741</v>
      </c>
      <c r="F708" s="15">
        <v>-0.0028</v>
      </c>
    </row>
    <row r="709" spans="1:6">
      <c r="A709" s="14">
        <v>44225</v>
      </c>
      <c r="B709" s="13">
        <v>9.768</v>
      </c>
      <c r="C709" s="13">
        <v>9.768</v>
      </c>
      <c r="D709" s="13">
        <v>9.768</v>
      </c>
      <c r="E709" s="13">
        <v>9.768</v>
      </c>
      <c r="F709" s="15">
        <v>0.0038</v>
      </c>
    </row>
    <row r="710" spans="1:6">
      <c r="A710" s="14">
        <v>44224</v>
      </c>
      <c r="B710" s="13">
        <v>9.731</v>
      </c>
      <c r="C710" s="13">
        <v>9.731</v>
      </c>
      <c r="D710" s="13">
        <v>9.731</v>
      </c>
      <c r="E710" s="13">
        <v>9.731</v>
      </c>
      <c r="F710" s="15">
        <v>-0.0027</v>
      </c>
    </row>
    <row r="711" spans="1:6">
      <c r="A711" s="14">
        <v>44223</v>
      </c>
      <c r="B711" s="13">
        <v>9.757</v>
      </c>
      <c r="C711" s="13">
        <v>9.757</v>
      </c>
      <c r="D711" s="13">
        <v>9.757</v>
      </c>
      <c r="E711" s="13">
        <v>9.757</v>
      </c>
      <c r="F711" s="15">
        <v>-0.0051</v>
      </c>
    </row>
    <row r="712" spans="1:6">
      <c r="A712" s="14">
        <v>44222</v>
      </c>
      <c r="B712" s="13">
        <v>9.807</v>
      </c>
      <c r="C712" s="13">
        <v>9.807</v>
      </c>
      <c r="D712" s="13">
        <v>9.807</v>
      </c>
      <c r="E712" s="13">
        <v>9.807</v>
      </c>
      <c r="F712" s="15">
        <v>-0.0039</v>
      </c>
    </row>
    <row r="713" spans="1:6">
      <c r="A713" s="14">
        <v>44221</v>
      </c>
      <c r="B713" s="13">
        <v>9.845</v>
      </c>
      <c r="C713" s="13">
        <v>9.845</v>
      </c>
      <c r="D713" s="13">
        <v>9.845</v>
      </c>
      <c r="E713" s="13">
        <v>9.845</v>
      </c>
      <c r="F713" s="15">
        <v>-0.0039</v>
      </c>
    </row>
    <row r="714" spans="1:6">
      <c r="A714" s="14">
        <v>44218</v>
      </c>
      <c r="B714" s="13">
        <v>9.884</v>
      </c>
      <c r="C714" s="13">
        <v>9.884</v>
      </c>
      <c r="D714" s="13">
        <v>9.884</v>
      </c>
      <c r="E714" s="13">
        <v>9.884</v>
      </c>
      <c r="F714" s="15">
        <v>0</v>
      </c>
    </row>
    <row r="715" spans="1:6">
      <c r="A715" s="14">
        <v>44217</v>
      </c>
      <c r="B715" s="13">
        <v>9.884</v>
      </c>
      <c r="C715" s="13">
        <v>9.884</v>
      </c>
      <c r="D715" s="13">
        <v>9.884</v>
      </c>
      <c r="E715" s="13">
        <v>9.884</v>
      </c>
      <c r="F715" s="15">
        <v>0.0049</v>
      </c>
    </row>
    <row r="716" spans="1:6">
      <c r="A716" s="14">
        <v>44216</v>
      </c>
      <c r="B716" s="13">
        <v>9.836</v>
      </c>
      <c r="C716" s="13">
        <v>9.836</v>
      </c>
      <c r="D716" s="13">
        <v>9.836</v>
      </c>
      <c r="E716" s="13">
        <v>9.836</v>
      </c>
      <c r="F716" s="15">
        <v>-0.0001</v>
      </c>
    </row>
    <row r="717" spans="1:6">
      <c r="A717" s="14">
        <v>44215</v>
      </c>
      <c r="B717" s="13">
        <v>9.837</v>
      </c>
      <c r="C717" s="13">
        <v>9.837</v>
      </c>
      <c r="D717" s="13">
        <v>9.837</v>
      </c>
      <c r="E717" s="13">
        <v>9.837</v>
      </c>
      <c r="F717" s="15">
        <v>-0.0012</v>
      </c>
    </row>
    <row r="718" spans="1:6">
      <c r="A718" s="14">
        <v>44214</v>
      </c>
      <c r="B718" s="13">
        <v>9.849</v>
      </c>
      <c r="C718" s="13">
        <v>9.849</v>
      </c>
      <c r="D718" s="13">
        <v>9.849</v>
      </c>
      <c r="E718" s="13">
        <v>9.849</v>
      </c>
      <c r="F718" s="15">
        <v>0.001</v>
      </c>
    </row>
    <row r="719" spans="1:6">
      <c r="A719" s="14">
        <v>44211</v>
      </c>
      <c r="B719" s="13">
        <v>9.839</v>
      </c>
      <c r="C719" s="13">
        <v>9.839</v>
      </c>
      <c r="D719" s="13">
        <v>9.839</v>
      </c>
      <c r="E719" s="13">
        <v>9.839</v>
      </c>
      <c r="F719" s="15">
        <v>-0.0025</v>
      </c>
    </row>
    <row r="720" spans="1:6">
      <c r="A720" s="14">
        <v>44210</v>
      </c>
      <c r="B720" s="13">
        <v>9.864</v>
      </c>
      <c r="C720" s="13">
        <v>9.864</v>
      </c>
      <c r="D720" s="13">
        <v>9.864</v>
      </c>
      <c r="E720" s="13">
        <v>9.864</v>
      </c>
      <c r="F720" s="15">
        <v>0.0011</v>
      </c>
    </row>
    <row r="721" spans="1:6">
      <c r="A721" s="14">
        <v>44209</v>
      </c>
      <c r="B721" s="13">
        <v>9.853</v>
      </c>
      <c r="C721" s="13">
        <v>9.853</v>
      </c>
      <c r="D721" s="13">
        <v>9.853</v>
      </c>
      <c r="E721" s="13">
        <v>9.853</v>
      </c>
      <c r="F721" s="15">
        <v>0</v>
      </c>
    </row>
    <row r="722" spans="1:6">
      <c r="A722" s="14">
        <v>44208</v>
      </c>
      <c r="B722" s="13">
        <v>9.853</v>
      </c>
      <c r="C722" s="13">
        <v>9.853</v>
      </c>
      <c r="D722" s="13">
        <v>9.853</v>
      </c>
      <c r="E722" s="13">
        <v>9.853</v>
      </c>
      <c r="F722" s="15">
        <v>-0.0001</v>
      </c>
    </row>
    <row r="723" spans="1:6">
      <c r="A723" s="14">
        <v>44207</v>
      </c>
      <c r="B723" s="13">
        <v>9.854</v>
      </c>
      <c r="C723" s="13">
        <v>9.854</v>
      </c>
      <c r="D723" s="13">
        <v>9.854</v>
      </c>
      <c r="E723" s="13">
        <v>9.854</v>
      </c>
      <c r="F723" s="15">
        <v>-0.0002</v>
      </c>
    </row>
    <row r="724" spans="1:6">
      <c r="A724" s="14">
        <v>44204</v>
      </c>
      <c r="B724" s="13">
        <v>9.856</v>
      </c>
      <c r="C724" s="13">
        <v>9.856</v>
      </c>
      <c r="D724" s="13">
        <v>9.856</v>
      </c>
      <c r="E724" s="13">
        <v>9.856</v>
      </c>
      <c r="F724" s="15">
        <v>-0.0014</v>
      </c>
    </row>
    <row r="725" spans="1:6">
      <c r="A725" s="14">
        <v>44202</v>
      </c>
      <c r="B725" s="13">
        <v>9.87</v>
      </c>
      <c r="C725" s="13">
        <v>9.87</v>
      </c>
      <c r="D725" s="13">
        <v>9.87</v>
      </c>
      <c r="E725" s="13">
        <v>9.87</v>
      </c>
      <c r="F725" s="15">
        <v>0</v>
      </c>
    </row>
    <row r="726" spans="1:6">
      <c r="A726" s="14">
        <v>44201</v>
      </c>
      <c r="B726" s="13">
        <v>9.87</v>
      </c>
      <c r="C726" s="13">
        <v>9.87</v>
      </c>
      <c r="D726" s="13">
        <v>9.87</v>
      </c>
      <c r="E726" s="13">
        <v>9.87</v>
      </c>
      <c r="F726" s="15">
        <v>0.0001</v>
      </c>
    </row>
    <row r="727" spans="1:6">
      <c r="A727" s="14">
        <v>44196</v>
      </c>
      <c r="B727" s="13">
        <v>9.869</v>
      </c>
      <c r="C727" s="13">
        <v>9.869</v>
      </c>
      <c r="D727" s="13">
        <v>9.869</v>
      </c>
      <c r="E727" s="13">
        <v>9.869</v>
      </c>
      <c r="F727" s="15">
        <v>-0.0041</v>
      </c>
    </row>
    <row r="728" spans="1:6">
      <c r="A728" s="14">
        <v>44195</v>
      </c>
      <c r="B728" s="13">
        <v>9.91</v>
      </c>
      <c r="C728" s="13">
        <v>9.91</v>
      </c>
      <c r="D728" s="13">
        <v>9.91</v>
      </c>
      <c r="E728" s="13">
        <v>9.91</v>
      </c>
      <c r="F728" s="15">
        <v>0.0011</v>
      </c>
    </row>
    <row r="729" spans="1:6">
      <c r="A729" s="14">
        <v>44194</v>
      </c>
      <c r="B729" s="13">
        <v>9.899</v>
      </c>
      <c r="C729" s="13">
        <v>9.899</v>
      </c>
      <c r="D729" s="13">
        <v>9.899</v>
      </c>
      <c r="E729" s="13">
        <v>9.899</v>
      </c>
      <c r="F729" s="15">
        <v>-0.0024</v>
      </c>
    </row>
    <row r="730" spans="1:6">
      <c r="A730" s="14">
        <v>44193</v>
      </c>
      <c r="B730" s="13">
        <v>9.923</v>
      </c>
      <c r="C730" s="13">
        <v>9.923</v>
      </c>
      <c r="D730" s="13">
        <v>9.923</v>
      </c>
      <c r="E730" s="13">
        <v>9.923</v>
      </c>
      <c r="F730" s="15">
        <v>0.001</v>
      </c>
    </row>
    <row r="731" spans="1:6">
      <c r="A731" s="14">
        <v>44190</v>
      </c>
      <c r="B731" s="13">
        <v>9.913</v>
      </c>
      <c r="C731" s="13">
        <v>9.913</v>
      </c>
      <c r="D731" s="13">
        <v>9.913</v>
      </c>
      <c r="E731" s="13">
        <v>9.913</v>
      </c>
      <c r="F731" s="15">
        <v>-0.0013</v>
      </c>
    </row>
    <row r="732" spans="1:6">
      <c r="A732" s="14">
        <v>44189</v>
      </c>
      <c r="B732" s="13">
        <v>9.926</v>
      </c>
      <c r="C732" s="13">
        <v>9.926</v>
      </c>
      <c r="D732" s="13">
        <v>9.926</v>
      </c>
      <c r="E732" s="13">
        <v>9.926</v>
      </c>
      <c r="F732" s="15">
        <v>0</v>
      </c>
    </row>
    <row r="733" spans="1:6">
      <c r="A733" s="14">
        <v>44188</v>
      </c>
      <c r="B733" s="13">
        <v>9.926</v>
      </c>
      <c r="C733" s="13">
        <v>9.926</v>
      </c>
      <c r="D733" s="13">
        <v>9.926</v>
      </c>
      <c r="E733" s="13">
        <v>9.926</v>
      </c>
      <c r="F733" s="15">
        <v>-0.0001</v>
      </c>
    </row>
    <row r="734" spans="1:6">
      <c r="A734" s="14">
        <v>44187</v>
      </c>
      <c r="B734" s="13">
        <v>9.927</v>
      </c>
      <c r="C734" s="13">
        <v>9.927</v>
      </c>
      <c r="D734" s="13">
        <v>9.927</v>
      </c>
      <c r="E734" s="13">
        <v>9.927</v>
      </c>
      <c r="F734" s="15">
        <v>-0.0001</v>
      </c>
    </row>
    <row r="735" spans="1:6">
      <c r="A735" s="14">
        <v>44186</v>
      </c>
      <c r="B735" s="13">
        <v>9.928</v>
      </c>
      <c r="C735" s="13">
        <v>9.928</v>
      </c>
      <c r="D735" s="13">
        <v>9.928</v>
      </c>
      <c r="E735" s="13">
        <v>9.928</v>
      </c>
      <c r="F735" s="15">
        <v>-0.0023</v>
      </c>
    </row>
    <row r="736" spans="1:6">
      <c r="A736" s="14">
        <v>44185</v>
      </c>
      <c r="B736" s="13">
        <v>9.951</v>
      </c>
      <c r="C736" s="13">
        <v>9.951</v>
      </c>
      <c r="D736" s="13">
        <v>9.951</v>
      </c>
      <c r="E736" s="13">
        <v>9.951</v>
      </c>
      <c r="F736" s="15">
        <v>0.0013</v>
      </c>
    </row>
    <row r="737" spans="1:6">
      <c r="A737" s="14">
        <v>44180</v>
      </c>
      <c r="B737" s="13">
        <v>9.938</v>
      </c>
      <c r="C737" s="13">
        <v>9.938</v>
      </c>
      <c r="D737" s="13">
        <v>9.938</v>
      </c>
      <c r="E737" s="13">
        <v>9.938</v>
      </c>
      <c r="F737" s="15">
        <v>-0.0021</v>
      </c>
    </row>
    <row r="738" spans="1:6">
      <c r="A738" s="14">
        <v>44179</v>
      </c>
      <c r="B738" s="13">
        <v>9.959</v>
      </c>
      <c r="C738" s="13">
        <v>9.959</v>
      </c>
      <c r="D738" s="13">
        <v>9.959</v>
      </c>
      <c r="E738" s="13">
        <v>9.959</v>
      </c>
      <c r="F738" s="15">
        <v>-0.0094</v>
      </c>
    </row>
    <row r="739" spans="1:6">
      <c r="A739" s="14">
        <v>44176</v>
      </c>
      <c r="B739" s="13">
        <v>10.053</v>
      </c>
      <c r="C739" s="13">
        <v>10.053</v>
      </c>
      <c r="D739" s="13">
        <v>10.053</v>
      </c>
      <c r="E739" s="13">
        <v>10.053</v>
      </c>
      <c r="F739" s="15">
        <v>-0.0042</v>
      </c>
    </row>
    <row r="740" spans="1:6">
      <c r="A740" s="14">
        <v>44175</v>
      </c>
      <c r="B740" s="13">
        <v>10.095</v>
      </c>
      <c r="C740" s="13">
        <v>10.095</v>
      </c>
      <c r="D740" s="13">
        <v>10.095</v>
      </c>
      <c r="E740" s="13">
        <v>10.095</v>
      </c>
      <c r="F740" s="15">
        <v>0.0013</v>
      </c>
    </row>
    <row r="741" spans="1:6">
      <c r="A741" s="14">
        <v>44174</v>
      </c>
      <c r="B741" s="13">
        <v>10.082</v>
      </c>
      <c r="C741" s="13">
        <v>10.082</v>
      </c>
      <c r="D741" s="13">
        <v>10.082</v>
      </c>
      <c r="E741" s="13">
        <v>10.082</v>
      </c>
      <c r="F741" s="15">
        <v>0.0002</v>
      </c>
    </row>
    <row r="742" spans="1:6">
      <c r="A742" s="14">
        <v>44173</v>
      </c>
      <c r="B742" s="13">
        <v>10.08</v>
      </c>
      <c r="C742" s="13">
        <v>10.08</v>
      </c>
      <c r="D742" s="13">
        <v>10.08</v>
      </c>
      <c r="E742" s="13">
        <v>10.08</v>
      </c>
      <c r="F742" s="15">
        <v>0.0003</v>
      </c>
    </row>
    <row r="743" spans="1:6">
      <c r="A743" s="14">
        <v>44172</v>
      </c>
      <c r="B743" s="13">
        <v>10.077</v>
      </c>
      <c r="C743" s="13">
        <v>10.077</v>
      </c>
      <c r="D743" s="13">
        <v>10.077</v>
      </c>
      <c r="E743" s="13">
        <v>10.077</v>
      </c>
      <c r="F743" s="15">
        <v>-0.0058</v>
      </c>
    </row>
    <row r="744" spans="1:6">
      <c r="A744" s="14">
        <v>44169</v>
      </c>
      <c r="B744" s="13">
        <v>10.136</v>
      </c>
      <c r="C744" s="13">
        <v>10.136</v>
      </c>
      <c r="D744" s="13">
        <v>10.136</v>
      </c>
      <c r="E744" s="13">
        <v>10.136</v>
      </c>
      <c r="F744" s="15">
        <v>0.0134</v>
      </c>
    </row>
    <row r="745" spans="1:6">
      <c r="A745" s="14">
        <v>44168</v>
      </c>
      <c r="B745" s="13">
        <v>10.002</v>
      </c>
      <c r="C745" s="13">
        <v>10.002</v>
      </c>
      <c r="D745" s="13">
        <v>10.002</v>
      </c>
      <c r="E745" s="13">
        <v>10.002</v>
      </c>
      <c r="F745" s="15">
        <v>-0.0085</v>
      </c>
    </row>
    <row r="746" spans="1:6">
      <c r="A746" s="14">
        <v>44167</v>
      </c>
      <c r="B746" s="13">
        <v>10.088</v>
      </c>
      <c r="C746" s="13">
        <v>10.088</v>
      </c>
      <c r="D746" s="13">
        <v>10.088</v>
      </c>
      <c r="E746" s="13">
        <v>10.088</v>
      </c>
      <c r="F746" s="15">
        <v>0.0005</v>
      </c>
    </row>
    <row r="747" spans="1:6">
      <c r="A747" s="14">
        <v>44165</v>
      </c>
      <c r="B747" s="13">
        <v>10.083</v>
      </c>
      <c r="C747" s="13">
        <v>10.083</v>
      </c>
      <c r="D747" s="13">
        <v>10.083</v>
      </c>
      <c r="E747" s="13">
        <v>10.083</v>
      </c>
      <c r="F747" s="15">
        <v>0.0082</v>
      </c>
    </row>
    <row r="748" spans="1:6">
      <c r="A748" s="14">
        <v>44162</v>
      </c>
      <c r="B748" s="13">
        <v>10.001</v>
      </c>
      <c r="C748" s="13">
        <v>10.001</v>
      </c>
      <c r="D748" s="13">
        <v>10.001</v>
      </c>
      <c r="E748" s="13">
        <v>10.001</v>
      </c>
      <c r="F748" s="15">
        <v>-0.0063</v>
      </c>
    </row>
    <row r="749" spans="1:6">
      <c r="A749" s="14">
        <v>44161</v>
      </c>
      <c r="B749" s="13">
        <v>10.064</v>
      </c>
      <c r="C749" s="13">
        <v>10.064</v>
      </c>
      <c r="D749" s="13">
        <v>10.064</v>
      </c>
      <c r="E749" s="13">
        <v>10.064</v>
      </c>
      <c r="F749" s="15">
        <v>-0.0125</v>
      </c>
    </row>
    <row r="750" spans="1:6">
      <c r="A750" s="14">
        <v>44160</v>
      </c>
      <c r="B750" s="13">
        <v>10.191</v>
      </c>
      <c r="C750" s="13">
        <v>10.191</v>
      </c>
      <c r="D750" s="13">
        <v>10.191</v>
      </c>
      <c r="E750" s="13">
        <v>10.191</v>
      </c>
      <c r="F750" s="15">
        <v>0.0152</v>
      </c>
    </row>
    <row r="751" spans="1:6">
      <c r="A751" s="14">
        <v>44159</v>
      </c>
      <c r="B751" s="13">
        <v>10.038</v>
      </c>
      <c r="C751" s="13">
        <v>10.038</v>
      </c>
      <c r="D751" s="13">
        <v>10.038</v>
      </c>
      <c r="E751" s="13">
        <v>10.038</v>
      </c>
      <c r="F751" s="15">
        <v>0.0088</v>
      </c>
    </row>
    <row r="752" spans="1:6">
      <c r="A752" s="14">
        <v>44158</v>
      </c>
      <c r="B752" s="13">
        <v>9.95</v>
      </c>
      <c r="C752" s="13">
        <v>9.95</v>
      </c>
      <c r="D752" s="13">
        <v>9.95</v>
      </c>
      <c r="E752" s="13">
        <v>9.95</v>
      </c>
      <c r="F752" s="15">
        <v>-0.0048</v>
      </c>
    </row>
    <row r="753" spans="1:6">
      <c r="A753" s="14">
        <v>44155</v>
      </c>
      <c r="B753" s="13">
        <v>9.998</v>
      </c>
      <c r="C753" s="13">
        <v>9.998</v>
      </c>
      <c r="D753" s="13">
        <v>9.998</v>
      </c>
      <c r="E753" s="13">
        <v>9.998</v>
      </c>
      <c r="F753" s="15">
        <v>-0.0186</v>
      </c>
    </row>
    <row r="754" spans="1:6">
      <c r="A754" s="14">
        <v>44154</v>
      </c>
      <c r="B754" s="13">
        <v>10.187</v>
      </c>
      <c r="C754" s="13">
        <v>10.187</v>
      </c>
      <c r="D754" s="13">
        <v>10.187</v>
      </c>
      <c r="E754" s="13">
        <v>10.187</v>
      </c>
      <c r="F754" s="15">
        <v>0.0024</v>
      </c>
    </row>
    <row r="755" spans="1:6">
      <c r="A755" s="14">
        <v>44153</v>
      </c>
      <c r="B755" s="13">
        <v>10.163</v>
      </c>
      <c r="C755" s="13">
        <v>10.163</v>
      </c>
      <c r="D755" s="13">
        <v>10.163</v>
      </c>
      <c r="E755" s="13">
        <v>10.163</v>
      </c>
      <c r="F755" s="15">
        <v>-0.0009</v>
      </c>
    </row>
    <row r="756" spans="1:6">
      <c r="A756" s="14">
        <v>44152</v>
      </c>
      <c r="B756" s="13">
        <v>10.172</v>
      </c>
      <c r="C756" s="13">
        <v>10.172</v>
      </c>
      <c r="D756" s="13">
        <v>10.172</v>
      </c>
      <c r="E756" s="13">
        <v>10.172</v>
      </c>
      <c r="F756" s="15">
        <v>0.0003</v>
      </c>
    </row>
    <row r="757" spans="1:6">
      <c r="A757" s="14">
        <v>44151</v>
      </c>
      <c r="B757" s="13">
        <v>10.169</v>
      </c>
      <c r="C757" s="13">
        <v>10.169</v>
      </c>
      <c r="D757" s="13">
        <v>10.169</v>
      </c>
      <c r="E757" s="13">
        <v>10.169</v>
      </c>
      <c r="F757" s="15">
        <v>0.0017</v>
      </c>
    </row>
    <row r="758" spans="1:6">
      <c r="A758" s="14">
        <v>44148</v>
      </c>
      <c r="B758" s="13">
        <v>10.152</v>
      </c>
      <c r="C758" s="13">
        <v>10.152</v>
      </c>
      <c r="D758" s="13">
        <v>10.152</v>
      </c>
      <c r="E758" s="13">
        <v>10.152</v>
      </c>
      <c r="F758" s="15">
        <v>-0.0008</v>
      </c>
    </row>
    <row r="759" spans="1:6">
      <c r="A759" s="14">
        <v>44147</v>
      </c>
      <c r="B759" s="13">
        <v>10.16</v>
      </c>
      <c r="C759" s="13">
        <v>10.16</v>
      </c>
      <c r="D759" s="13">
        <v>10.16</v>
      </c>
      <c r="E759" s="13">
        <v>10.16</v>
      </c>
      <c r="F759" s="15">
        <v>-0.0009</v>
      </c>
    </row>
    <row r="760" spans="1:6">
      <c r="A760" s="14">
        <v>44146</v>
      </c>
      <c r="B760" s="13">
        <v>10.169</v>
      </c>
      <c r="C760" s="13">
        <v>10.169</v>
      </c>
      <c r="D760" s="13">
        <v>10.169</v>
      </c>
      <c r="E760" s="13">
        <v>10.169</v>
      </c>
      <c r="F760" s="15">
        <v>0.0003</v>
      </c>
    </row>
    <row r="761" spans="1:6">
      <c r="A761" s="14">
        <v>44145</v>
      </c>
      <c r="B761" s="13">
        <v>10.166</v>
      </c>
      <c r="C761" s="13">
        <v>10.166</v>
      </c>
      <c r="D761" s="13">
        <v>10.166</v>
      </c>
      <c r="E761" s="13">
        <v>10.166</v>
      </c>
      <c r="F761" s="15">
        <v>0.0002</v>
      </c>
    </row>
    <row r="762" spans="1:6">
      <c r="A762" s="14">
        <v>44144</v>
      </c>
      <c r="B762" s="13">
        <v>10.164</v>
      </c>
      <c r="C762" s="13">
        <v>10.164</v>
      </c>
      <c r="D762" s="13">
        <v>10.164</v>
      </c>
      <c r="E762" s="13">
        <v>10.164</v>
      </c>
      <c r="F762" s="15">
        <v>0.0006</v>
      </c>
    </row>
    <row r="763" spans="1:6">
      <c r="A763" s="14">
        <v>44141</v>
      </c>
      <c r="B763" s="13">
        <v>10.158</v>
      </c>
      <c r="C763" s="13">
        <v>10.158</v>
      </c>
      <c r="D763" s="13">
        <v>10.158</v>
      </c>
      <c r="E763" s="13">
        <v>10.158</v>
      </c>
      <c r="F763" s="15">
        <v>-0.0008</v>
      </c>
    </row>
    <row r="764" spans="1:6">
      <c r="A764" s="14">
        <v>44140</v>
      </c>
      <c r="B764" s="13">
        <v>10.166</v>
      </c>
      <c r="C764" s="13">
        <v>10.166</v>
      </c>
      <c r="D764" s="13">
        <v>10.166</v>
      </c>
      <c r="E764" s="13">
        <v>10.166</v>
      </c>
      <c r="F764" s="15">
        <v>0.0002</v>
      </c>
    </row>
    <row r="765" spans="1:6">
      <c r="A765" s="14">
        <v>44139</v>
      </c>
      <c r="B765" s="13">
        <v>10.164</v>
      </c>
      <c r="C765" s="13">
        <v>10.164</v>
      </c>
      <c r="D765" s="13">
        <v>10.164</v>
      </c>
      <c r="E765" s="13">
        <v>10.164</v>
      </c>
      <c r="F765" s="15">
        <v>0.0002</v>
      </c>
    </row>
    <row r="766" spans="1:6">
      <c r="A766" s="14">
        <v>44138</v>
      </c>
      <c r="B766" s="13">
        <v>10.162</v>
      </c>
      <c r="C766" s="13">
        <v>10.162</v>
      </c>
      <c r="D766" s="13">
        <v>10.162</v>
      </c>
      <c r="E766" s="13">
        <v>10.162</v>
      </c>
      <c r="F766" s="15">
        <v>-0.0018</v>
      </c>
    </row>
    <row r="767" spans="1:6">
      <c r="A767" s="14">
        <v>44137</v>
      </c>
      <c r="B767" s="13">
        <v>10.18</v>
      </c>
      <c r="C767" s="13">
        <v>10.18</v>
      </c>
      <c r="D767" s="13">
        <v>10.18</v>
      </c>
      <c r="E767" s="13">
        <v>10.18</v>
      </c>
      <c r="F767" s="15">
        <v>-0.0025</v>
      </c>
    </row>
    <row r="768" spans="1:6">
      <c r="A768" s="14">
        <v>44134</v>
      </c>
      <c r="B768" s="13">
        <v>10.206</v>
      </c>
      <c r="C768" s="13">
        <v>10.206</v>
      </c>
      <c r="D768" s="13">
        <v>10.206</v>
      </c>
      <c r="E768" s="13">
        <v>10.206</v>
      </c>
      <c r="F768" s="15">
        <v>0.0133</v>
      </c>
    </row>
    <row r="769" spans="1:6">
      <c r="A769" s="14">
        <v>44133</v>
      </c>
      <c r="B769" s="13">
        <v>10.072</v>
      </c>
      <c r="C769" s="13">
        <v>10.072</v>
      </c>
      <c r="D769" s="13">
        <v>10.072</v>
      </c>
      <c r="E769" s="13">
        <v>10.072</v>
      </c>
      <c r="F769" s="15">
        <v>-0.0009</v>
      </c>
    </row>
    <row r="770" spans="1:6">
      <c r="A770" s="14">
        <v>44132</v>
      </c>
      <c r="B770" s="13">
        <v>10.081</v>
      </c>
      <c r="C770" s="13">
        <v>10.081</v>
      </c>
      <c r="D770" s="13">
        <v>10.081</v>
      </c>
      <c r="E770" s="13">
        <v>10.081</v>
      </c>
      <c r="F770" s="15">
        <v>0.0113</v>
      </c>
    </row>
    <row r="771" spans="1:6">
      <c r="A771" s="14">
        <v>44131</v>
      </c>
      <c r="B771" s="13">
        <v>9.968</v>
      </c>
      <c r="C771" s="13">
        <v>9.968</v>
      </c>
      <c r="D771" s="13">
        <v>9.968</v>
      </c>
      <c r="E771" s="13">
        <v>9.968</v>
      </c>
      <c r="F771" s="15">
        <v>0.0103</v>
      </c>
    </row>
    <row r="772" spans="1:6">
      <c r="A772" s="14">
        <v>44130</v>
      </c>
      <c r="B772" s="13">
        <v>9.866</v>
      </c>
      <c r="C772" s="13">
        <v>9.866</v>
      </c>
      <c r="D772" s="13">
        <v>9.866</v>
      </c>
      <c r="E772" s="13">
        <v>9.866</v>
      </c>
      <c r="F772" s="15">
        <v>-0.0026</v>
      </c>
    </row>
    <row r="773" spans="1:6">
      <c r="A773" s="14">
        <v>44127</v>
      </c>
      <c r="B773" s="13">
        <v>9.892</v>
      </c>
      <c r="C773" s="13">
        <v>9.892</v>
      </c>
      <c r="D773" s="13">
        <v>9.892</v>
      </c>
      <c r="E773" s="13">
        <v>9.892</v>
      </c>
      <c r="F773" s="15">
        <v>-0.0019</v>
      </c>
    </row>
    <row r="774" spans="1:6">
      <c r="A774" s="14">
        <v>44126</v>
      </c>
      <c r="B774" s="13">
        <v>9.911</v>
      </c>
      <c r="C774" s="13">
        <v>9.911</v>
      </c>
      <c r="D774" s="13">
        <v>9.911</v>
      </c>
      <c r="E774" s="13">
        <v>9.911</v>
      </c>
      <c r="F774" s="15">
        <v>-0.0008</v>
      </c>
    </row>
    <row r="775" spans="1:6">
      <c r="A775" s="14">
        <v>44125</v>
      </c>
      <c r="B775" s="13">
        <v>9.919</v>
      </c>
      <c r="C775" s="13">
        <v>9.919</v>
      </c>
      <c r="D775" s="13">
        <v>9.919</v>
      </c>
      <c r="E775" s="13">
        <v>9.919</v>
      </c>
      <c r="F775" s="15">
        <v>-0.0009</v>
      </c>
    </row>
    <row r="776" spans="1:6">
      <c r="A776" s="14">
        <v>44124</v>
      </c>
      <c r="B776" s="13">
        <v>9.928</v>
      </c>
      <c r="C776" s="13">
        <v>9.928</v>
      </c>
      <c r="D776" s="13">
        <v>9.928</v>
      </c>
      <c r="E776" s="13">
        <v>9.928</v>
      </c>
      <c r="F776" s="15">
        <v>0.0002</v>
      </c>
    </row>
    <row r="777" spans="1:6">
      <c r="A777" s="14">
        <v>44123</v>
      </c>
      <c r="B777" s="13">
        <v>9.926</v>
      </c>
      <c r="C777" s="13">
        <v>9.926</v>
      </c>
      <c r="D777" s="13">
        <v>9.926</v>
      </c>
      <c r="E777" s="13">
        <v>9.926</v>
      </c>
      <c r="F777" s="15">
        <v>0.0004</v>
      </c>
    </row>
    <row r="778" spans="1:6">
      <c r="A778" s="14">
        <v>44120</v>
      </c>
      <c r="B778" s="13">
        <v>9.922</v>
      </c>
      <c r="C778" s="13">
        <v>9.922</v>
      </c>
      <c r="D778" s="13">
        <v>9.922</v>
      </c>
      <c r="E778" s="13">
        <v>9.922</v>
      </c>
      <c r="F778" s="15">
        <v>-0.0009</v>
      </c>
    </row>
    <row r="779" spans="1:6">
      <c r="A779" s="14">
        <v>44119</v>
      </c>
      <c r="B779" s="13">
        <v>9.931</v>
      </c>
      <c r="C779" s="13">
        <v>9.931</v>
      </c>
      <c r="D779" s="13">
        <v>9.931</v>
      </c>
      <c r="E779" s="13">
        <v>9.931</v>
      </c>
      <c r="F779" s="15">
        <v>-0.0057</v>
      </c>
    </row>
    <row r="780" spans="1:6">
      <c r="A780" s="14">
        <v>44118</v>
      </c>
      <c r="B780" s="13">
        <v>9.988</v>
      </c>
      <c r="C780" s="13">
        <v>9.988</v>
      </c>
      <c r="D780" s="13">
        <v>9.988</v>
      </c>
      <c r="E780" s="13">
        <v>9.988</v>
      </c>
      <c r="F780" s="15">
        <v>-0.0057</v>
      </c>
    </row>
    <row r="781" spans="1:6">
      <c r="A781" s="14">
        <v>44117</v>
      </c>
      <c r="B781" s="13">
        <v>10.045</v>
      </c>
      <c r="C781" s="13">
        <v>10.045</v>
      </c>
      <c r="D781" s="13">
        <v>10.045</v>
      </c>
      <c r="E781" s="13">
        <v>10.045</v>
      </c>
      <c r="F781" s="15">
        <v>-0.0037</v>
      </c>
    </row>
    <row r="782" spans="1:6">
      <c r="A782" s="14">
        <v>44116</v>
      </c>
      <c r="B782" s="13">
        <v>10.082</v>
      </c>
      <c r="C782" s="13">
        <v>10.082</v>
      </c>
      <c r="D782" s="13">
        <v>10.082</v>
      </c>
      <c r="E782" s="13">
        <v>10.082</v>
      </c>
      <c r="F782" s="15">
        <v>0.0005</v>
      </c>
    </row>
    <row r="783" spans="1:6">
      <c r="A783" s="14">
        <v>44113</v>
      </c>
      <c r="B783" s="13">
        <v>10.077</v>
      </c>
      <c r="C783" s="13">
        <v>10.077</v>
      </c>
      <c r="D783" s="13">
        <v>10.077</v>
      </c>
      <c r="E783" s="13">
        <v>10.077</v>
      </c>
      <c r="F783" s="15">
        <v>0.0002</v>
      </c>
    </row>
    <row r="784" spans="1:6">
      <c r="A784" s="14">
        <v>44112</v>
      </c>
      <c r="B784" s="13">
        <v>10.075</v>
      </c>
      <c r="C784" s="13">
        <v>10.075</v>
      </c>
      <c r="D784" s="13">
        <v>10.075</v>
      </c>
      <c r="E784" s="13">
        <v>10.075</v>
      </c>
      <c r="F784" s="15">
        <v>0.0001</v>
      </c>
    </row>
    <row r="785" spans="1:6">
      <c r="A785" s="14">
        <v>44111</v>
      </c>
      <c r="B785" s="13">
        <v>10.074</v>
      </c>
      <c r="C785" s="13">
        <v>10.074</v>
      </c>
      <c r="D785" s="13">
        <v>10.074</v>
      </c>
      <c r="E785" s="13">
        <v>10.074</v>
      </c>
      <c r="F785" s="15">
        <v>-0.0037</v>
      </c>
    </row>
    <row r="786" spans="1:6">
      <c r="A786" s="14">
        <v>44110</v>
      </c>
      <c r="B786" s="13">
        <v>10.111</v>
      </c>
      <c r="C786" s="13">
        <v>10.111</v>
      </c>
      <c r="D786" s="13">
        <v>10.111</v>
      </c>
      <c r="E786" s="13">
        <v>10.111</v>
      </c>
      <c r="F786" s="15">
        <v>0.0305</v>
      </c>
    </row>
    <row r="787" spans="1:6">
      <c r="A787" s="14">
        <v>44109</v>
      </c>
      <c r="B787" s="13">
        <v>9.812</v>
      </c>
      <c r="C787" s="13">
        <v>9.812</v>
      </c>
      <c r="D787" s="13">
        <v>9.812</v>
      </c>
      <c r="E787" s="13">
        <v>9.812</v>
      </c>
      <c r="F787" s="15">
        <v>0.0003</v>
      </c>
    </row>
    <row r="788" spans="1:6">
      <c r="A788" s="14">
        <v>44106</v>
      </c>
      <c r="B788" s="13">
        <v>9.809</v>
      </c>
      <c r="C788" s="13">
        <v>9.809</v>
      </c>
      <c r="D788" s="13">
        <v>9.809</v>
      </c>
      <c r="E788" s="13">
        <v>9.809</v>
      </c>
      <c r="F788" s="15">
        <v>-0.0095</v>
      </c>
    </row>
    <row r="789" spans="1:6">
      <c r="A789" s="14">
        <v>44105</v>
      </c>
      <c r="B789" s="13">
        <v>9.903</v>
      </c>
      <c r="C789" s="13">
        <v>9.903</v>
      </c>
      <c r="D789" s="13">
        <v>9.903</v>
      </c>
      <c r="E789" s="13">
        <v>9.903</v>
      </c>
      <c r="F789" s="15">
        <v>-0.0037</v>
      </c>
    </row>
    <row r="790" spans="1:6">
      <c r="A790" s="14">
        <v>44104</v>
      </c>
      <c r="B790" s="13">
        <v>9.94</v>
      </c>
      <c r="C790" s="13">
        <v>9.94</v>
      </c>
      <c r="D790" s="13">
        <v>9.94</v>
      </c>
      <c r="E790" s="13">
        <v>9.94</v>
      </c>
      <c r="F790" s="15">
        <v>-0.0017</v>
      </c>
    </row>
    <row r="791" spans="1:6">
      <c r="A791" s="14">
        <v>44103</v>
      </c>
      <c r="B791" s="13">
        <v>9.957</v>
      </c>
      <c r="C791" s="13">
        <v>9.957</v>
      </c>
      <c r="D791" s="13">
        <v>9.957</v>
      </c>
      <c r="E791" s="13">
        <v>9.957</v>
      </c>
      <c r="F791" s="15">
        <v>0.0001</v>
      </c>
    </row>
    <row r="792" spans="1:6">
      <c r="A792" s="14">
        <v>44102</v>
      </c>
      <c r="B792" s="13">
        <v>9.956</v>
      </c>
      <c r="C792" s="13">
        <v>9.956</v>
      </c>
      <c r="D792" s="13">
        <v>9.956</v>
      </c>
      <c r="E792" s="13">
        <v>9.956</v>
      </c>
      <c r="F792" s="15">
        <v>0.0013</v>
      </c>
    </row>
    <row r="793" spans="1:6">
      <c r="A793" s="14">
        <v>44099</v>
      </c>
      <c r="B793" s="13">
        <v>9.943</v>
      </c>
      <c r="C793" s="13">
        <v>9.943</v>
      </c>
      <c r="D793" s="13">
        <v>9.943</v>
      </c>
      <c r="E793" s="13">
        <v>9.943</v>
      </c>
      <c r="F793" s="15">
        <v>0.0001</v>
      </c>
    </row>
    <row r="794" spans="1:6">
      <c r="A794" s="14">
        <v>44098</v>
      </c>
      <c r="B794" s="13">
        <v>9.942</v>
      </c>
      <c r="C794" s="13">
        <v>9.942</v>
      </c>
      <c r="D794" s="13">
        <v>9.942</v>
      </c>
      <c r="E794" s="13">
        <v>9.942</v>
      </c>
      <c r="F794" s="15">
        <v>0.0001</v>
      </c>
    </row>
    <row r="795" spans="1:6">
      <c r="A795" s="14">
        <v>44097</v>
      </c>
      <c r="B795" s="13">
        <v>9.941</v>
      </c>
      <c r="C795" s="13">
        <v>9.941</v>
      </c>
      <c r="D795" s="13">
        <v>9.941</v>
      </c>
      <c r="E795" s="13">
        <v>9.941</v>
      </c>
      <c r="F795" s="15">
        <v>0.0049</v>
      </c>
    </row>
    <row r="796" spans="1:6">
      <c r="A796" s="14">
        <v>44096</v>
      </c>
      <c r="B796" s="13">
        <v>9.893</v>
      </c>
      <c r="C796" s="13">
        <v>9.893</v>
      </c>
      <c r="D796" s="13">
        <v>9.893</v>
      </c>
      <c r="E796" s="13">
        <v>9.893</v>
      </c>
      <c r="F796" s="15">
        <v>0.002</v>
      </c>
    </row>
    <row r="797" spans="1:6">
      <c r="A797" s="14">
        <v>44095</v>
      </c>
      <c r="B797" s="13">
        <v>9.873</v>
      </c>
      <c r="C797" s="13">
        <v>9.873</v>
      </c>
      <c r="D797" s="13">
        <v>9.873</v>
      </c>
      <c r="E797" s="13">
        <v>9.873</v>
      </c>
      <c r="F797" s="15">
        <v>-0.0016</v>
      </c>
    </row>
    <row r="798" spans="1:6">
      <c r="A798" s="14">
        <v>44092</v>
      </c>
      <c r="B798" s="13">
        <v>9.889</v>
      </c>
      <c r="C798" s="13">
        <v>9.889</v>
      </c>
      <c r="D798" s="13">
        <v>9.889</v>
      </c>
      <c r="E798" s="13">
        <v>9.889</v>
      </c>
      <c r="F798" s="15">
        <v>-0.0045</v>
      </c>
    </row>
    <row r="799" spans="1:6">
      <c r="A799" s="14">
        <v>44091</v>
      </c>
      <c r="B799" s="13">
        <v>9.934</v>
      </c>
      <c r="C799" s="13">
        <v>9.934</v>
      </c>
      <c r="D799" s="13">
        <v>9.934</v>
      </c>
      <c r="E799" s="13">
        <v>9.934</v>
      </c>
      <c r="F799" s="15">
        <v>-0.009</v>
      </c>
    </row>
    <row r="800" spans="1:6">
      <c r="A800" s="14">
        <v>44090</v>
      </c>
      <c r="B800" s="13">
        <v>10.024</v>
      </c>
      <c r="C800" s="13">
        <v>10.024</v>
      </c>
      <c r="D800" s="13">
        <v>10.024</v>
      </c>
      <c r="E800" s="13">
        <v>10.024</v>
      </c>
      <c r="F800" s="15">
        <v>-0.0036</v>
      </c>
    </row>
    <row r="801" spans="1:6">
      <c r="A801" s="14">
        <v>44089</v>
      </c>
      <c r="B801" s="13">
        <v>10.06</v>
      </c>
      <c r="C801" s="13">
        <v>10.06</v>
      </c>
      <c r="D801" s="13">
        <v>10.06</v>
      </c>
      <c r="E801" s="13">
        <v>10.06</v>
      </c>
      <c r="F801" s="15">
        <v>0.0146</v>
      </c>
    </row>
    <row r="802" spans="1:6">
      <c r="A802" s="14">
        <v>44088</v>
      </c>
      <c r="B802" s="13">
        <v>9.915</v>
      </c>
      <c r="C802" s="13">
        <v>9.915</v>
      </c>
      <c r="D802" s="13">
        <v>9.915</v>
      </c>
      <c r="E802" s="13">
        <v>9.915</v>
      </c>
      <c r="F802" s="15">
        <v>-0.0079</v>
      </c>
    </row>
    <row r="803" spans="1:6">
      <c r="A803" s="14">
        <v>44085</v>
      </c>
      <c r="B803" s="13">
        <v>9.994</v>
      </c>
      <c r="C803" s="13">
        <v>9.994</v>
      </c>
      <c r="D803" s="13">
        <v>9.994</v>
      </c>
      <c r="E803" s="13">
        <v>9.994</v>
      </c>
      <c r="F803" s="15">
        <v>0.0015</v>
      </c>
    </row>
    <row r="804" spans="1:6">
      <c r="A804" s="14">
        <v>44084</v>
      </c>
      <c r="B804" s="13">
        <v>9.979</v>
      </c>
      <c r="C804" s="13">
        <v>9.979</v>
      </c>
      <c r="D804" s="13">
        <v>9.979</v>
      </c>
      <c r="E804" s="13">
        <v>9.979</v>
      </c>
      <c r="F804" s="15">
        <v>-0.0017</v>
      </c>
    </row>
    <row r="805" spans="1:6">
      <c r="A805" s="14">
        <v>44083</v>
      </c>
      <c r="B805" s="13">
        <v>9.996</v>
      </c>
      <c r="C805" s="13">
        <v>9.996</v>
      </c>
      <c r="D805" s="13">
        <v>9.996</v>
      </c>
      <c r="E805" s="13">
        <v>9.996</v>
      </c>
      <c r="F805" s="15">
        <v>0.0009</v>
      </c>
    </row>
    <row r="806" spans="1:6">
      <c r="A806" s="14">
        <v>44082</v>
      </c>
      <c r="B806" s="13">
        <v>9.987</v>
      </c>
      <c r="C806" s="13">
        <v>9.987</v>
      </c>
      <c r="D806" s="13">
        <v>9.987</v>
      </c>
      <c r="E806" s="13">
        <v>9.987</v>
      </c>
      <c r="F806" s="15">
        <v>0.0008</v>
      </c>
    </row>
    <row r="807" spans="1:6">
      <c r="A807" s="14">
        <v>44078</v>
      </c>
      <c r="B807" s="13">
        <v>9.979</v>
      </c>
      <c r="C807" s="13">
        <v>9.979</v>
      </c>
      <c r="D807" s="13">
        <v>9.979</v>
      </c>
      <c r="E807" s="13">
        <v>9.979</v>
      </c>
      <c r="F807" s="15">
        <v>0.0043</v>
      </c>
    </row>
    <row r="808" spans="1:6">
      <c r="A808" s="14">
        <v>44077</v>
      </c>
      <c r="B808" s="13">
        <v>9.936</v>
      </c>
      <c r="C808" s="13">
        <v>9.936</v>
      </c>
      <c r="D808" s="13">
        <v>9.936</v>
      </c>
      <c r="E808" s="13">
        <v>9.936</v>
      </c>
      <c r="F808" s="15">
        <v>0.0094</v>
      </c>
    </row>
    <row r="809" spans="1:6">
      <c r="A809" s="14">
        <v>44075</v>
      </c>
      <c r="B809" s="13">
        <v>9.843</v>
      </c>
      <c r="C809" s="13">
        <v>9.843</v>
      </c>
      <c r="D809" s="13">
        <v>9.843</v>
      </c>
      <c r="E809" s="13">
        <v>9.843</v>
      </c>
      <c r="F809" s="15">
        <v>-0.0673</v>
      </c>
    </row>
    <row r="810" spans="1:6">
      <c r="A810" s="14">
        <v>44042</v>
      </c>
      <c r="B810" s="13">
        <v>10.553</v>
      </c>
      <c r="C810" s="13">
        <v>10.553</v>
      </c>
      <c r="D810" s="13">
        <v>10.553</v>
      </c>
      <c r="E810" s="13">
        <v>10.553</v>
      </c>
      <c r="F810" s="15">
        <v>-0.0001</v>
      </c>
    </row>
    <row r="811" spans="1:6">
      <c r="A811" s="14">
        <v>44041</v>
      </c>
      <c r="B811" s="13">
        <v>10.554</v>
      </c>
      <c r="C811" s="13">
        <v>10.554</v>
      </c>
      <c r="D811" s="13">
        <v>10.554</v>
      </c>
      <c r="E811" s="13">
        <v>10.554</v>
      </c>
      <c r="F811" s="15">
        <v>-0.012</v>
      </c>
    </row>
    <row r="812" spans="1:6">
      <c r="A812" s="14">
        <v>44040</v>
      </c>
      <c r="B812" s="13">
        <v>10.682</v>
      </c>
      <c r="C812" s="13">
        <v>10.682</v>
      </c>
      <c r="D812" s="13">
        <v>10.682</v>
      </c>
      <c r="E812" s="13">
        <v>10.682</v>
      </c>
      <c r="F812" s="15">
        <v>0</v>
      </c>
    </row>
    <row r="813" spans="1:6">
      <c r="A813" s="14">
        <v>44039</v>
      </c>
      <c r="B813" s="13">
        <v>10.682</v>
      </c>
      <c r="C813" s="13">
        <v>10.682</v>
      </c>
      <c r="D813" s="13">
        <v>10.682</v>
      </c>
      <c r="E813" s="13">
        <v>10.682</v>
      </c>
      <c r="F813" s="15">
        <v>0.0025</v>
      </c>
    </row>
    <row r="814" spans="1:6">
      <c r="A814" s="14">
        <v>44036</v>
      </c>
      <c r="B814" s="13">
        <v>10.655</v>
      </c>
      <c r="C814" s="13">
        <v>10.655</v>
      </c>
      <c r="D814" s="13">
        <v>10.655</v>
      </c>
      <c r="E814" s="13">
        <v>10.655</v>
      </c>
      <c r="F814" s="15">
        <v>-0.0001</v>
      </c>
    </row>
    <row r="815" spans="1:6">
      <c r="A815" s="14">
        <v>44035</v>
      </c>
      <c r="B815" s="13">
        <v>10.656</v>
      </c>
      <c r="C815" s="13">
        <v>10.656</v>
      </c>
      <c r="D815" s="13">
        <v>10.656</v>
      </c>
      <c r="E815" s="13">
        <v>10.656</v>
      </c>
      <c r="F815" s="15">
        <v>0.0002</v>
      </c>
    </row>
    <row r="816" spans="1:6">
      <c r="A816" s="14">
        <v>44034</v>
      </c>
      <c r="B816" s="13">
        <v>10.654</v>
      </c>
      <c r="C816" s="13">
        <v>10.654</v>
      </c>
      <c r="D816" s="13">
        <v>10.654</v>
      </c>
      <c r="E816" s="13">
        <v>10.654</v>
      </c>
      <c r="F816" s="15">
        <v>0.0034</v>
      </c>
    </row>
    <row r="817" spans="1:6">
      <c r="A817" s="14">
        <v>44033</v>
      </c>
      <c r="B817" s="13">
        <v>10.618</v>
      </c>
      <c r="C817" s="13">
        <v>10.618</v>
      </c>
      <c r="D817" s="13">
        <v>10.618</v>
      </c>
      <c r="E817" s="13">
        <v>10.618</v>
      </c>
      <c r="F817" s="15">
        <v>0.0166</v>
      </c>
    </row>
    <row r="818" spans="1:6">
      <c r="A818" s="14">
        <v>44032</v>
      </c>
      <c r="B818" s="13">
        <v>10.445</v>
      </c>
      <c r="C818" s="13">
        <v>10.445</v>
      </c>
      <c r="D818" s="13">
        <v>10.445</v>
      </c>
      <c r="E818" s="13">
        <v>10.445</v>
      </c>
      <c r="F818" s="15">
        <v>0.0017</v>
      </c>
    </row>
    <row r="819" spans="1:6">
      <c r="A819" s="14">
        <v>44029</v>
      </c>
      <c r="B819" s="13">
        <v>10.427</v>
      </c>
      <c r="C819" s="13">
        <v>10.427</v>
      </c>
      <c r="D819" s="13">
        <v>10.427</v>
      </c>
      <c r="E819" s="13">
        <v>10.427</v>
      </c>
      <c r="F819" s="15">
        <v>-0.022</v>
      </c>
    </row>
    <row r="820" spans="1:6">
      <c r="A820" s="14">
        <v>44028</v>
      </c>
      <c r="B820" s="13">
        <v>10.662</v>
      </c>
      <c r="C820" s="13">
        <v>10.662</v>
      </c>
      <c r="D820" s="13">
        <v>10.662</v>
      </c>
      <c r="E820" s="13">
        <v>10.662</v>
      </c>
      <c r="F820" s="15">
        <v>-0.0026</v>
      </c>
    </row>
    <row r="821" spans="1:6">
      <c r="A821" s="14">
        <v>44027</v>
      </c>
      <c r="B821" s="13">
        <v>10.69</v>
      </c>
      <c r="C821" s="13">
        <v>10.69</v>
      </c>
      <c r="D821" s="13">
        <v>10.69</v>
      </c>
      <c r="E821" s="13">
        <v>10.69</v>
      </c>
      <c r="F821" s="15">
        <v>0.0007</v>
      </c>
    </row>
    <row r="822" spans="1:6">
      <c r="A822" s="14">
        <v>44026</v>
      </c>
      <c r="B822" s="13">
        <v>10.682</v>
      </c>
      <c r="C822" s="13">
        <v>10.682</v>
      </c>
      <c r="D822" s="13">
        <v>10.682</v>
      </c>
      <c r="E822" s="13">
        <v>10.682</v>
      </c>
      <c r="F822" s="15">
        <v>0.001</v>
      </c>
    </row>
    <row r="823" spans="1:6">
      <c r="A823" s="14">
        <v>44025</v>
      </c>
      <c r="B823" s="13">
        <v>10.671</v>
      </c>
      <c r="C823" s="13">
        <v>10.671</v>
      </c>
      <c r="D823" s="13">
        <v>10.671</v>
      </c>
      <c r="E823" s="13">
        <v>10.671</v>
      </c>
      <c r="F823" s="15">
        <v>0.0006</v>
      </c>
    </row>
    <row r="824" spans="1:6">
      <c r="A824" s="14">
        <v>44022</v>
      </c>
      <c r="B824" s="13">
        <v>10.665</v>
      </c>
      <c r="C824" s="13">
        <v>10.665</v>
      </c>
      <c r="D824" s="13">
        <v>10.665</v>
      </c>
      <c r="E824" s="13">
        <v>10.665</v>
      </c>
      <c r="F824" s="15">
        <v>0.0011</v>
      </c>
    </row>
    <row r="825" spans="1:6">
      <c r="A825" s="14">
        <v>44021</v>
      </c>
      <c r="B825" s="13">
        <v>10.653</v>
      </c>
      <c r="C825" s="13">
        <v>10.653</v>
      </c>
      <c r="D825" s="13">
        <v>10.653</v>
      </c>
      <c r="E825" s="13">
        <v>10.653</v>
      </c>
      <c r="F825" s="15">
        <v>0</v>
      </c>
    </row>
    <row r="826" spans="1:6">
      <c r="A826" s="14">
        <v>44020</v>
      </c>
      <c r="B826" s="13">
        <v>10.653</v>
      </c>
      <c r="C826" s="13">
        <v>10.653</v>
      </c>
      <c r="D826" s="13">
        <v>10.653</v>
      </c>
      <c r="E826" s="13">
        <v>10.653</v>
      </c>
      <c r="F826" s="15">
        <v>0.003</v>
      </c>
    </row>
    <row r="827" spans="1:6">
      <c r="A827" s="14">
        <v>44019</v>
      </c>
      <c r="B827" s="13">
        <v>10.621</v>
      </c>
      <c r="C827" s="13">
        <v>10.621</v>
      </c>
      <c r="D827" s="13">
        <v>10.621</v>
      </c>
      <c r="E827" s="13">
        <v>10.621</v>
      </c>
      <c r="F827" s="15">
        <v>-0.0004</v>
      </c>
    </row>
    <row r="828" spans="1:6">
      <c r="A828" s="14">
        <v>44015</v>
      </c>
      <c r="B828" s="13">
        <v>10.625</v>
      </c>
      <c r="C828" s="13">
        <v>10.625</v>
      </c>
      <c r="D828" s="13">
        <v>10.625</v>
      </c>
      <c r="E828" s="13">
        <v>10.625</v>
      </c>
      <c r="F828" s="15">
        <v>0.001</v>
      </c>
    </row>
    <row r="829" spans="1:6">
      <c r="A829" s="14">
        <v>44014</v>
      </c>
      <c r="B829" s="13">
        <v>10.614</v>
      </c>
      <c r="C829" s="13">
        <v>10.614</v>
      </c>
      <c r="D829" s="13">
        <v>10.614</v>
      </c>
      <c r="E829" s="13">
        <v>10.614</v>
      </c>
      <c r="F829" s="15">
        <v>-0.0008</v>
      </c>
    </row>
    <row r="830" spans="1:6">
      <c r="A830" s="14">
        <v>44013</v>
      </c>
      <c r="B830" s="13">
        <v>10.622</v>
      </c>
      <c r="C830" s="13">
        <v>10.622</v>
      </c>
      <c r="D830" s="13">
        <v>10.622</v>
      </c>
      <c r="E830" s="13">
        <v>10.622</v>
      </c>
      <c r="F830" s="15">
        <v>-0.0021</v>
      </c>
    </row>
    <row r="831" spans="1:6">
      <c r="A831" s="14">
        <v>44012</v>
      </c>
      <c r="B831" s="13">
        <v>10.644</v>
      </c>
      <c r="C831" s="13">
        <v>10.644</v>
      </c>
      <c r="D831" s="13">
        <v>10.644</v>
      </c>
      <c r="E831" s="13">
        <v>10.644</v>
      </c>
      <c r="F831" s="15">
        <v>-0.0006</v>
      </c>
    </row>
    <row r="832" spans="1:6">
      <c r="A832" s="14">
        <v>44011</v>
      </c>
      <c r="B832" s="13">
        <v>10.65</v>
      </c>
      <c r="C832" s="13">
        <v>10.65</v>
      </c>
      <c r="D832" s="13">
        <v>10.65</v>
      </c>
      <c r="E832" s="13">
        <v>10.65</v>
      </c>
      <c r="F832" s="15">
        <v>-0.0023</v>
      </c>
    </row>
    <row r="833" spans="1:6">
      <c r="A833" s="14">
        <v>44008</v>
      </c>
      <c r="B833" s="13">
        <v>10.675</v>
      </c>
      <c r="C833" s="13">
        <v>10.675</v>
      </c>
      <c r="D833" s="13">
        <v>10.675</v>
      </c>
      <c r="E833" s="13">
        <v>10.675</v>
      </c>
      <c r="F833" s="15">
        <v>-0.0029</v>
      </c>
    </row>
    <row r="834" spans="1:6">
      <c r="A834" s="14">
        <v>44007</v>
      </c>
      <c r="B834" s="13">
        <v>10.706</v>
      </c>
      <c r="C834" s="13">
        <v>10.706</v>
      </c>
      <c r="D834" s="13">
        <v>10.706</v>
      </c>
      <c r="E834" s="13">
        <v>10.706</v>
      </c>
      <c r="F834" s="15">
        <v>-0.0001</v>
      </c>
    </row>
    <row r="835" spans="1:6">
      <c r="A835" s="14">
        <v>44006</v>
      </c>
      <c r="B835" s="13">
        <v>10.707</v>
      </c>
      <c r="C835" s="13">
        <v>10.707</v>
      </c>
      <c r="D835" s="13">
        <v>10.707</v>
      </c>
      <c r="E835" s="13">
        <v>10.707</v>
      </c>
      <c r="F835" s="15">
        <v>0.0064</v>
      </c>
    </row>
    <row r="836" spans="1:6">
      <c r="A836" s="14">
        <v>44005</v>
      </c>
      <c r="B836" s="13">
        <v>10.639</v>
      </c>
      <c r="C836" s="13">
        <v>10.639</v>
      </c>
      <c r="D836" s="13">
        <v>10.639</v>
      </c>
      <c r="E836" s="13">
        <v>10.639</v>
      </c>
      <c r="F836" s="15">
        <v>-0.0002</v>
      </c>
    </row>
    <row r="837" spans="1:6">
      <c r="A837" s="14">
        <v>44004</v>
      </c>
      <c r="B837" s="13">
        <v>10.641</v>
      </c>
      <c r="C837" s="13">
        <v>10.641</v>
      </c>
      <c r="D837" s="13">
        <v>10.641</v>
      </c>
      <c r="E837" s="13">
        <v>10.641</v>
      </c>
      <c r="F837" s="15">
        <v>-0.0008</v>
      </c>
    </row>
    <row r="838" spans="1:6">
      <c r="A838" s="14">
        <v>44001</v>
      </c>
      <c r="B838" s="13">
        <v>10.649</v>
      </c>
      <c r="C838" s="13">
        <v>10.649</v>
      </c>
      <c r="D838" s="13">
        <v>10.649</v>
      </c>
      <c r="E838" s="13">
        <v>10.649</v>
      </c>
      <c r="F838" s="15">
        <v>0.0011</v>
      </c>
    </row>
    <row r="839" spans="1:6">
      <c r="A839" s="14">
        <v>44000</v>
      </c>
      <c r="B839" s="13">
        <v>10.637</v>
      </c>
      <c r="C839" s="13">
        <v>10.637</v>
      </c>
      <c r="D839" s="13">
        <v>10.637</v>
      </c>
      <c r="E839" s="13">
        <v>10.637</v>
      </c>
      <c r="F839" s="15">
        <v>-0.0021</v>
      </c>
    </row>
    <row r="840" spans="1:6">
      <c r="A840" s="14">
        <v>43999</v>
      </c>
      <c r="B840" s="13">
        <v>10.659</v>
      </c>
      <c r="C840" s="13">
        <v>10.659</v>
      </c>
      <c r="D840" s="13">
        <v>10.659</v>
      </c>
      <c r="E840" s="13">
        <v>10.659</v>
      </c>
      <c r="F840" s="15">
        <v>-0.003</v>
      </c>
    </row>
    <row r="841" spans="1:6">
      <c r="A841" s="14">
        <v>43998</v>
      </c>
      <c r="B841" s="13">
        <v>10.691</v>
      </c>
      <c r="C841" s="13">
        <v>10.691</v>
      </c>
      <c r="D841" s="13">
        <v>10.691</v>
      </c>
      <c r="E841" s="13">
        <v>10.691</v>
      </c>
      <c r="F841" s="15">
        <v>-0.0066</v>
      </c>
    </row>
    <row r="842" spans="1:6">
      <c r="A842" s="14">
        <v>43997</v>
      </c>
      <c r="B842" s="13">
        <v>10.762</v>
      </c>
      <c r="C842" s="13">
        <v>10.762</v>
      </c>
      <c r="D842" s="13">
        <v>10.762</v>
      </c>
      <c r="E842" s="13">
        <v>10.762</v>
      </c>
      <c r="F842" s="15">
        <v>-0.0028</v>
      </c>
    </row>
    <row r="843" spans="1:6">
      <c r="A843" s="14">
        <v>43994</v>
      </c>
      <c r="B843" s="13">
        <v>10.792</v>
      </c>
      <c r="C843" s="13">
        <v>10.792</v>
      </c>
      <c r="D843" s="13">
        <v>10.792</v>
      </c>
      <c r="E843" s="13">
        <v>10.792</v>
      </c>
      <c r="F843" s="15">
        <v>-0.004</v>
      </c>
    </row>
    <row r="844" spans="1:6">
      <c r="A844" s="14">
        <v>43993</v>
      </c>
      <c r="B844" s="13">
        <v>10.835</v>
      </c>
      <c r="C844" s="13">
        <v>10.835</v>
      </c>
      <c r="D844" s="13">
        <v>10.835</v>
      </c>
      <c r="E844" s="13">
        <v>10.835</v>
      </c>
      <c r="F844" s="15">
        <v>0.0008</v>
      </c>
    </row>
    <row r="845" spans="1:6">
      <c r="A845" s="14">
        <v>43992</v>
      </c>
      <c r="B845" s="13">
        <v>10.826</v>
      </c>
      <c r="C845" s="13">
        <v>10.826</v>
      </c>
      <c r="D845" s="13">
        <v>10.826</v>
      </c>
      <c r="E845" s="13">
        <v>10.826</v>
      </c>
      <c r="F845" s="15">
        <v>0.0009</v>
      </c>
    </row>
    <row r="846" spans="1:6">
      <c r="A846" s="14">
        <v>43991</v>
      </c>
      <c r="B846" s="13">
        <v>10.816</v>
      </c>
      <c r="C846" s="13">
        <v>10.816</v>
      </c>
      <c r="D846" s="13">
        <v>10.816</v>
      </c>
      <c r="E846" s="13">
        <v>10.816</v>
      </c>
      <c r="F846" s="15">
        <v>0.001</v>
      </c>
    </row>
    <row r="847" spans="1:6">
      <c r="A847" s="14">
        <v>43990</v>
      </c>
      <c r="B847" s="13">
        <v>10.805</v>
      </c>
      <c r="C847" s="13">
        <v>10.805</v>
      </c>
      <c r="D847" s="13">
        <v>10.805</v>
      </c>
      <c r="E847" s="13">
        <v>10.805</v>
      </c>
      <c r="F847" s="15">
        <v>-0.001</v>
      </c>
    </row>
    <row r="848" spans="1:6">
      <c r="A848" s="14">
        <v>43987</v>
      </c>
      <c r="B848" s="13">
        <v>10.816</v>
      </c>
      <c r="C848" s="13">
        <v>10.816</v>
      </c>
      <c r="D848" s="13">
        <v>10.816</v>
      </c>
      <c r="E848" s="13">
        <v>10.816</v>
      </c>
      <c r="F848" s="15">
        <v>0.0026</v>
      </c>
    </row>
    <row r="849" spans="1:6">
      <c r="A849" s="14">
        <v>43986</v>
      </c>
      <c r="B849" s="13">
        <v>10.788</v>
      </c>
      <c r="C849" s="13">
        <v>10.788</v>
      </c>
      <c r="D849" s="13">
        <v>10.788</v>
      </c>
      <c r="E849" s="13">
        <v>10.788</v>
      </c>
      <c r="F849" s="15">
        <v>-0.0022</v>
      </c>
    </row>
    <row r="850" spans="1:6">
      <c r="A850" s="14">
        <v>43985</v>
      </c>
      <c r="B850" s="13">
        <v>10.812</v>
      </c>
      <c r="C850" s="13">
        <v>10.812</v>
      </c>
      <c r="D850" s="13">
        <v>10.812</v>
      </c>
      <c r="E850" s="13">
        <v>10.812</v>
      </c>
      <c r="F850" s="15">
        <v>0.0042</v>
      </c>
    </row>
    <row r="851" spans="1:6">
      <c r="A851" s="14">
        <v>43984</v>
      </c>
      <c r="B851" s="13">
        <v>10.767</v>
      </c>
      <c r="C851" s="13">
        <v>10.767</v>
      </c>
      <c r="D851" s="13">
        <v>10.767</v>
      </c>
      <c r="E851" s="13">
        <v>10.767</v>
      </c>
      <c r="F851" s="15">
        <v>0.0064</v>
      </c>
    </row>
    <row r="852" spans="1:6">
      <c r="A852" s="14">
        <v>43983</v>
      </c>
      <c r="B852" s="13">
        <v>10.699</v>
      </c>
      <c r="C852" s="13">
        <v>10.699</v>
      </c>
      <c r="D852" s="13">
        <v>10.699</v>
      </c>
      <c r="E852" s="13">
        <v>10.699</v>
      </c>
      <c r="F852" s="15">
        <v>-0.0027</v>
      </c>
    </row>
    <row r="853" spans="1:6">
      <c r="A853" s="14">
        <v>43980</v>
      </c>
      <c r="B853" s="13">
        <v>10.728</v>
      </c>
      <c r="C853" s="13">
        <v>10.728</v>
      </c>
      <c r="D853" s="13">
        <v>10.728</v>
      </c>
      <c r="E853" s="13">
        <v>10.728</v>
      </c>
      <c r="F853" s="15">
        <v>-0.005</v>
      </c>
    </row>
    <row r="854" spans="1:6">
      <c r="A854" s="14">
        <v>43979</v>
      </c>
      <c r="B854" s="13">
        <v>10.782</v>
      </c>
      <c r="C854" s="13">
        <v>10.782</v>
      </c>
      <c r="D854" s="13">
        <v>10.782</v>
      </c>
      <c r="E854" s="13">
        <v>10.782</v>
      </c>
      <c r="F854" s="15">
        <v>0.0053</v>
      </c>
    </row>
    <row r="855" spans="1:6">
      <c r="A855" s="14">
        <v>43978</v>
      </c>
      <c r="B855" s="13">
        <v>10.725</v>
      </c>
      <c r="C855" s="13">
        <v>10.725</v>
      </c>
      <c r="D855" s="13">
        <v>10.725</v>
      </c>
      <c r="E855" s="13">
        <v>10.725</v>
      </c>
      <c r="F855" s="15">
        <v>-0.0019</v>
      </c>
    </row>
    <row r="856" spans="1:6">
      <c r="A856" s="14">
        <v>43977</v>
      </c>
      <c r="B856" s="13">
        <v>10.745</v>
      </c>
      <c r="C856" s="13">
        <v>10.745</v>
      </c>
      <c r="D856" s="13">
        <v>10.745</v>
      </c>
      <c r="E856" s="13">
        <v>10.745</v>
      </c>
      <c r="F856" s="15">
        <v>-0.01</v>
      </c>
    </row>
    <row r="857" spans="1:6">
      <c r="A857" s="14">
        <v>43976</v>
      </c>
      <c r="B857" s="13">
        <v>10.854</v>
      </c>
      <c r="C857" s="13">
        <v>10.854</v>
      </c>
      <c r="D857" s="13">
        <v>10.854</v>
      </c>
      <c r="E857" s="13">
        <v>10.854</v>
      </c>
      <c r="F857" s="15">
        <v>0.0035</v>
      </c>
    </row>
    <row r="858" spans="1:6">
      <c r="A858" s="14">
        <v>43973</v>
      </c>
      <c r="B858" s="13">
        <v>10.816</v>
      </c>
      <c r="C858" s="13">
        <v>10.816</v>
      </c>
      <c r="D858" s="13">
        <v>10.816</v>
      </c>
      <c r="E858" s="13">
        <v>10.816</v>
      </c>
      <c r="F858" s="15">
        <v>0.0011</v>
      </c>
    </row>
    <row r="859" spans="1:6">
      <c r="A859" s="14">
        <v>43972</v>
      </c>
      <c r="B859" s="13">
        <v>10.804</v>
      </c>
      <c r="C859" s="13">
        <v>10.804</v>
      </c>
      <c r="D859" s="13">
        <v>10.804</v>
      </c>
      <c r="E859" s="13">
        <v>10.804</v>
      </c>
      <c r="F859" s="15">
        <v>-0.0011</v>
      </c>
    </row>
    <row r="860" spans="1:6">
      <c r="A860" s="14">
        <v>43971</v>
      </c>
      <c r="B860" s="13">
        <v>10.816</v>
      </c>
      <c r="C860" s="13">
        <v>10.816</v>
      </c>
      <c r="D860" s="13">
        <v>10.816</v>
      </c>
      <c r="E860" s="13">
        <v>10.816</v>
      </c>
      <c r="F860" s="15">
        <v>-0.0006</v>
      </c>
    </row>
    <row r="861" spans="1:6">
      <c r="A861" s="14">
        <v>43970</v>
      </c>
      <c r="B861" s="13">
        <v>10.823</v>
      </c>
      <c r="C861" s="13">
        <v>10.823</v>
      </c>
      <c r="D861" s="13">
        <v>10.823</v>
      </c>
      <c r="E861" s="13">
        <v>10.823</v>
      </c>
      <c r="F861" s="15">
        <v>-0.0003</v>
      </c>
    </row>
    <row r="862" spans="1:6">
      <c r="A862" s="14">
        <v>43969</v>
      </c>
      <c r="B862" s="13">
        <v>10.826</v>
      </c>
      <c r="C862" s="13">
        <v>10.826</v>
      </c>
      <c r="D862" s="13">
        <v>10.826</v>
      </c>
      <c r="E862" s="13">
        <v>10.826</v>
      </c>
      <c r="F862" s="15">
        <v>-0.0089</v>
      </c>
    </row>
    <row r="863" spans="1:6">
      <c r="A863" s="14">
        <v>43966</v>
      </c>
      <c r="B863" s="13">
        <v>10.923</v>
      </c>
      <c r="C863" s="13">
        <v>10.923</v>
      </c>
      <c r="D863" s="13">
        <v>10.923</v>
      </c>
      <c r="E863" s="13">
        <v>10.923</v>
      </c>
      <c r="F863" s="15">
        <v>-0.0108</v>
      </c>
    </row>
    <row r="864" spans="1:6">
      <c r="A864" s="14">
        <v>43965</v>
      </c>
      <c r="B864" s="13">
        <v>11.042</v>
      </c>
      <c r="C864" s="13">
        <v>11.042</v>
      </c>
      <c r="D864" s="13">
        <v>11.042</v>
      </c>
      <c r="E864" s="13">
        <v>11.042</v>
      </c>
      <c r="F864" s="15">
        <v>0.0009</v>
      </c>
    </row>
    <row r="865" spans="1:6">
      <c r="A865" s="14">
        <v>43964</v>
      </c>
      <c r="B865" s="13">
        <v>11.032</v>
      </c>
      <c r="C865" s="13">
        <v>11.032</v>
      </c>
      <c r="D865" s="13">
        <v>11.032</v>
      </c>
      <c r="E865" s="13">
        <v>11.032</v>
      </c>
      <c r="F865" s="15">
        <v>-0.0296</v>
      </c>
    </row>
    <row r="866" spans="1:6">
      <c r="A866" s="14">
        <v>43963</v>
      </c>
      <c r="B866" s="13">
        <v>11.368</v>
      </c>
      <c r="C866" s="13">
        <v>11.368</v>
      </c>
      <c r="D866" s="13">
        <v>11.368</v>
      </c>
      <c r="E866" s="13">
        <v>11.368</v>
      </c>
      <c r="F866" s="15">
        <v>0.0017</v>
      </c>
    </row>
    <row r="867" spans="1:6">
      <c r="A867" s="14">
        <v>43962</v>
      </c>
      <c r="B867" s="13">
        <v>11.349</v>
      </c>
      <c r="C867" s="13">
        <v>11.349</v>
      </c>
      <c r="D867" s="13">
        <v>11.349</v>
      </c>
      <c r="E867" s="13">
        <v>11.349</v>
      </c>
      <c r="F867" s="15">
        <v>-0.0006</v>
      </c>
    </row>
    <row r="868" spans="1:6">
      <c r="A868" s="14">
        <v>43957</v>
      </c>
      <c r="B868" s="13">
        <v>11.356</v>
      </c>
      <c r="C868" s="13">
        <v>11.356</v>
      </c>
      <c r="D868" s="13">
        <v>11.356</v>
      </c>
      <c r="E868" s="13">
        <v>11.356</v>
      </c>
      <c r="F868" s="15">
        <v>0.001</v>
      </c>
    </row>
    <row r="869" spans="1:6">
      <c r="A869" s="14">
        <v>43956</v>
      </c>
      <c r="B869" s="13">
        <v>11.345</v>
      </c>
      <c r="C869" s="13">
        <v>11.345</v>
      </c>
      <c r="D869" s="13">
        <v>11.345</v>
      </c>
      <c r="E869" s="13">
        <v>11.345</v>
      </c>
      <c r="F869" s="15">
        <v>0.0007</v>
      </c>
    </row>
    <row r="870" spans="1:6">
      <c r="A870" s="14">
        <v>43955</v>
      </c>
      <c r="B870" s="13">
        <v>11.337</v>
      </c>
      <c r="C870" s="13">
        <v>11.337</v>
      </c>
      <c r="D870" s="13">
        <v>11.337</v>
      </c>
      <c r="E870" s="13">
        <v>11.337</v>
      </c>
      <c r="F870" s="15">
        <v>0.0033</v>
      </c>
    </row>
    <row r="871" spans="1:6">
      <c r="A871" s="14">
        <v>43951</v>
      </c>
      <c r="B871" s="13">
        <v>11.3</v>
      </c>
      <c r="C871" s="13">
        <v>11.3</v>
      </c>
      <c r="D871" s="13">
        <v>11.3</v>
      </c>
      <c r="E871" s="13">
        <v>11.3</v>
      </c>
      <c r="F871" s="15">
        <v>-0.0074</v>
      </c>
    </row>
    <row r="872" spans="1:6">
      <c r="A872" s="14">
        <v>43950</v>
      </c>
      <c r="B872" s="13">
        <v>11.384</v>
      </c>
      <c r="C872" s="13">
        <v>11.384</v>
      </c>
      <c r="D872" s="13">
        <v>11.384</v>
      </c>
      <c r="E872" s="13">
        <v>11.384</v>
      </c>
      <c r="F872" s="15">
        <v>-0.004</v>
      </c>
    </row>
    <row r="873" spans="1:6">
      <c r="A873" s="14">
        <v>43949</v>
      </c>
      <c r="B873" s="13">
        <v>11.43</v>
      </c>
      <c r="C873" s="13">
        <v>11.43</v>
      </c>
      <c r="D873" s="13">
        <v>11.43</v>
      </c>
      <c r="E873" s="13">
        <v>11.43</v>
      </c>
      <c r="F873" s="15">
        <v>-0.0089</v>
      </c>
    </row>
    <row r="874" spans="1:6">
      <c r="A874" s="14">
        <v>43948</v>
      </c>
      <c r="B874" s="13">
        <v>11.533</v>
      </c>
      <c r="C874" s="13">
        <v>11.533</v>
      </c>
      <c r="D874" s="13">
        <v>11.533</v>
      </c>
      <c r="E874" s="13">
        <v>11.533</v>
      </c>
      <c r="F874" s="15">
        <v>-0.001</v>
      </c>
    </row>
    <row r="875" spans="1:6">
      <c r="A875" s="14">
        <v>43945</v>
      </c>
      <c r="B875" s="13">
        <v>11.545</v>
      </c>
      <c r="C875" s="13">
        <v>11.545</v>
      </c>
      <c r="D875" s="13">
        <v>11.545</v>
      </c>
      <c r="E875" s="13">
        <v>11.545</v>
      </c>
      <c r="F875" s="15">
        <v>0.001</v>
      </c>
    </row>
    <row r="876" spans="1:6">
      <c r="A876" s="14">
        <v>43944</v>
      </c>
      <c r="B876" s="13">
        <v>11.533</v>
      </c>
      <c r="C876" s="13">
        <v>11.533</v>
      </c>
      <c r="D876" s="13">
        <v>11.533</v>
      </c>
      <c r="E876" s="13">
        <v>11.533</v>
      </c>
      <c r="F876" s="15">
        <v>0.0063</v>
      </c>
    </row>
    <row r="877" spans="1:6">
      <c r="A877" s="14">
        <v>43943</v>
      </c>
      <c r="B877" s="13">
        <v>11.461</v>
      </c>
      <c r="C877" s="13">
        <v>11.461</v>
      </c>
      <c r="D877" s="13">
        <v>11.461</v>
      </c>
      <c r="E877" s="13">
        <v>11.461</v>
      </c>
      <c r="F877" s="15">
        <v>0.0074</v>
      </c>
    </row>
    <row r="878" spans="1:6">
      <c r="A878" s="14">
        <v>43942</v>
      </c>
      <c r="B878" s="13">
        <v>11.377</v>
      </c>
      <c r="C878" s="13">
        <v>11.377</v>
      </c>
      <c r="D878" s="13">
        <v>11.377</v>
      </c>
      <c r="E878" s="13">
        <v>11.377</v>
      </c>
      <c r="F878" s="15">
        <v>-0.0044</v>
      </c>
    </row>
    <row r="879" spans="1:6">
      <c r="A879" s="14">
        <v>43941</v>
      </c>
      <c r="B879" s="13">
        <v>11.427</v>
      </c>
      <c r="C879" s="13">
        <v>11.427</v>
      </c>
      <c r="D879" s="13">
        <v>11.427</v>
      </c>
      <c r="E879" s="13">
        <v>11.427</v>
      </c>
      <c r="F879" s="15">
        <v>-0.0209</v>
      </c>
    </row>
    <row r="880" spans="1:6">
      <c r="A880" s="14">
        <v>43938</v>
      </c>
      <c r="B880" s="13">
        <v>11.671</v>
      </c>
      <c r="C880" s="13">
        <v>11.671</v>
      </c>
      <c r="D880" s="13">
        <v>11.671</v>
      </c>
      <c r="E880" s="13">
        <v>11.671</v>
      </c>
      <c r="F880" s="15">
        <v>0.004</v>
      </c>
    </row>
    <row r="881" spans="1:6">
      <c r="A881" s="14">
        <v>43937</v>
      </c>
      <c r="B881" s="13">
        <v>11.625</v>
      </c>
      <c r="C881" s="13">
        <v>11.625</v>
      </c>
      <c r="D881" s="13">
        <v>11.625</v>
      </c>
      <c r="E881" s="13">
        <v>11.625</v>
      </c>
      <c r="F881" s="15">
        <v>0.0009</v>
      </c>
    </row>
    <row r="882" spans="1:6">
      <c r="A882" s="14">
        <v>43936</v>
      </c>
      <c r="B882" s="13">
        <v>11.614</v>
      </c>
      <c r="C882" s="13">
        <v>11.614</v>
      </c>
      <c r="D882" s="13">
        <v>11.614</v>
      </c>
      <c r="E882" s="13">
        <v>11.614</v>
      </c>
      <c r="F882" s="15">
        <v>-0.0126</v>
      </c>
    </row>
    <row r="883" spans="1:6">
      <c r="A883" s="14">
        <v>43935</v>
      </c>
      <c r="B883" s="13">
        <v>11.762</v>
      </c>
      <c r="C883" s="13">
        <v>11.762</v>
      </c>
      <c r="D883" s="13">
        <v>11.762</v>
      </c>
      <c r="E883" s="13">
        <v>11.762</v>
      </c>
      <c r="F883" s="15">
        <v>-0.0022</v>
      </c>
    </row>
    <row r="884" spans="1:6">
      <c r="A884" s="14">
        <v>43934</v>
      </c>
      <c r="B884" s="13">
        <v>11.788</v>
      </c>
      <c r="C884" s="13">
        <v>11.788</v>
      </c>
      <c r="D884" s="13">
        <v>11.788</v>
      </c>
      <c r="E884" s="13">
        <v>11.788</v>
      </c>
      <c r="F884" s="15">
        <v>0.0102</v>
      </c>
    </row>
    <row r="885" spans="1:6">
      <c r="A885" s="14">
        <v>43931</v>
      </c>
      <c r="B885" s="13">
        <v>11.669</v>
      </c>
      <c r="C885" s="13">
        <v>11.669</v>
      </c>
      <c r="D885" s="13">
        <v>11.669</v>
      </c>
      <c r="E885" s="13">
        <v>11.669</v>
      </c>
      <c r="F885" s="15">
        <v>0.0079</v>
      </c>
    </row>
    <row r="886" spans="1:6">
      <c r="A886" s="14">
        <v>43930</v>
      </c>
      <c r="B886" s="13">
        <v>11.578</v>
      </c>
      <c r="C886" s="13">
        <v>11.578</v>
      </c>
      <c r="D886" s="13">
        <v>11.578</v>
      </c>
      <c r="E886" s="13">
        <v>11.578</v>
      </c>
      <c r="F886" s="15">
        <v>-0.0173</v>
      </c>
    </row>
    <row r="887" spans="1:6">
      <c r="A887" s="14">
        <v>43929</v>
      </c>
      <c r="B887" s="13">
        <v>11.782</v>
      </c>
      <c r="C887" s="13">
        <v>11.782</v>
      </c>
      <c r="D887" s="13">
        <v>11.782</v>
      </c>
      <c r="E887" s="13">
        <v>11.782</v>
      </c>
      <c r="F887" s="15">
        <v>0.0324</v>
      </c>
    </row>
    <row r="888" spans="1:6">
      <c r="A888" s="14">
        <v>43928</v>
      </c>
      <c r="B888" s="13">
        <v>11.412</v>
      </c>
      <c r="C888" s="13">
        <v>11.412</v>
      </c>
      <c r="D888" s="13">
        <v>11.412</v>
      </c>
      <c r="E888" s="13">
        <v>11.412</v>
      </c>
      <c r="F888" s="15">
        <v>-0.0091</v>
      </c>
    </row>
    <row r="889" spans="1:6">
      <c r="A889" s="14">
        <v>43927</v>
      </c>
      <c r="B889" s="13">
        <v>11.517</v>
      </c>
      <c r="C889" s="13">
        <v>11.517</v>
      </c>
      <c r="D889" s="13">
        <v>11.517</v>
      </c>
      <c r="E889" s="13">
        <v>11.517</v>
      </c>
      <c r="F889" s="15">
        <v>0.069</v>
      </c>
    </row>
    <row r="890" spans="1:6">
      <c r="A890" s="14">
        <v>43924</v>
      </c>
      <c r="B890" s="13">
        <v>10.774</v>
      </c>
      <c r="C890" s="13">
        <v>10.774</v>
      </c>
      <c r="D890" s="13">
        <v>10.774</v>
      </c>
      <c r="E890" s="13">
        <v>10.774</v>
      </c>
      <c r="F890" s="15">
        <v>0.0034</v>
      </c>
    </row>
    <row r="891" spans="1:6">
      <c r="A891" s="14">
        <v>43923</v>
      </c>
      <c r="B891" s="13">
        <v>10.737</v>
      </c>
      <c r="C891" s="13">
        <v>10.737</v>
      </c>
      <c r="D891" s="13">
        <v>10.737</v>
      </c>
      <c r="E891" s="13">
        <v>10.737</v>
      </c>
      <c r="F891" s="15">
        <v>0.0135</v>
      </c>
    </row>
    <row r="892" spans="1:6">
      <c r="A892" s="14">
        <v>43922</v>
      </c>
      <c r="B892" s="13">
        <v>10.594</v>
      </c>
      <c r="C892" s="13">
        <v>10.594</v>
      </c>
      <c r="D892" s="13">
        <v>10.594</v>
      </c>
      <c r="E892" s="13">
        <v>10.594</v>
      </c>
      <c r="F892" s="15">
        <v>-0.0004</v>
      </c>
    </row>
    <row r="893" spans="1:6">
      <c r="A893" s="14">
        <v>43921</v>
      </c>
      <c r="B893" s="13">
        <v>10.598</v>
      </c>
      <c r="C893" s="13">
        <v>10.598</v>
      </c>
      <c r="D893" s="13">
        <v>10.598</v>
      </c>
      <c r="E893" s="13">
        <v>10.598</v>
      </c>
      <c r="F893" s="15">
        <v>0.0274</v>
      </c>
    </row>
    <row r="894" spans="1:6">
      <c r="A894" s="14">
        <v>43920</v>
      </c>
      <c r="B894" s="13">
        <v>10.315</v>
      </c>
      <c r="C894" s="13">
        <v>10.315</v>
      </c>
      <c r="D894" s="13">
        <v>10.315</v>
      </c>
      <c r="E894" s="13">
        <v>10.315</v>
      </c>
      <c r="F894" s="15">
        <v>0.0053</v>
      </c>
    </row>
    <row r="895" spans="1:6">
      <c r="A895" s="14">
        <v>43917</v>
      </c>
      <c r="B895" s="13">
        <v>10.261</v>
      </c>
      <c r="C895" s="13">
        <v>10.261</v>
      </c>
      <c r="D895" s="13">
        <v>10.261</v>
      </c>
      <c r="E895" s="13">
        <v>10.261</v>
      </c>
      <c r="F895" s="15">
        <v>-0.001</v>
      </c>
    </row>
    <row r="896" spans="1:6">
      <c r="A896" s="14">
        <v>43916</v>
      </c>
      <c r="B896" s="13">
        <v>10.271</v>
      </c>
      <c r="C896" s="13">
        <v>10.271</v>
      </c>
      <c r="D896" s="13">
        <v>10.271</v>
      </c>
      <c r="E896" s="13">
        <v>10.271</v>
      </c>
      <c r="F896" s="15">
        <v>-0.0013</v>
      </c>
    </row>
    <row r="897" spans="1:6">
      <c r="A897" s="14">
        <v>43910</v>
      </c>
      <c r="B897" s="13">
        <v>10.284</v>
      </c>
      <c r="C897" s="13">
        <v>10.284</v>
      </c>
      <c r="D897" s="13">
        <v>10.284</v>
      </c>
      <c r="E897" s="13">
        <v>10.284</v>
      </c>
      <c r="F897" s="15">
        <v>0.0222</v>
      </c>
    </row>
    <row r="898" spans="1:6">
      <c r="A898" s="14">
        <v>43909</v>
      </c>
      <c r="B898" s="13">
        <v>10.061</v>
      </c>
      <c r="C898" s="13">
        <v>10.061</v>
      </c>
      <c r="D898" s="13">
        <v>10.061</v>
      </c>
      <c r="E898" s="13">
        <v>10.061</v>
      </c>
      <c r="F898" s="15">
        <v>-0.0001</v>
      </c>
    </row>
    <row r="899" spans="1:6">
      <c r="A899" s="14">
        <v>43908</v>
      </c>
      <c r="B899" s="13">
        <v>10.062</v>
      </c>
      <c r="C899" s="13">
        <v>10.062</v>
      </c>
      <c r="D899" s="13">
        <v>10.062</v>
      </c>
      <c r="E899" s="13">
        <v>10.062</v>
      </c>
      <c r="F899" s="15">
        <v>-0.0003</v>
      </c>
    </row>
    <row r="900" spans="1:6">
      <c r="A900" s="14">
        <v>43907</v>
      </c>
      <c r="B900" s="13">
        <v>10.065</v>
      </c>
      <c r="C900" s="13">
        <v>10.065</v>
      </c>
      <c r="D900" s="13">
        <v>10.065</v>
      </c>
      <c r="E900" s="13">
        <v>10.065</v>
      </c>
      <c r="F900" s="15">
        <v>0.0148</v>
      </c>
    </row>
    <row r="901" spans="1:6">
      <c r="A901" s="14">
        <v>43906</v>
      </c>
      <c r="B901" s="13">
        <v>9.918</v>
      </c>
      <c r="C901" s="13">
        <v>9.918</v>
      </c>
      <c r="D901" s="13">
        <v>9.918</v>
      </c>
      <c r="E901" s="13">
        <v>9.918</v>
      </c>
      <c r="F901" s="15">
        <v>0.0267</v>
      </c>
    </row>
    <row r="902" spans="1:6">
      <c r="A902" s="14">
        <v>43903</v>
      </c>
      <c r="B902" s="13">
        <v>9.66</v>
      </c>
      <c r="C902" s="13">
        <v>9.66</v>
      </c>
      <c r="D902" s="13">
        <v>9.66</v>
      </c>
      <c r="E902" s="13">
        <v>9.66</v>
      </c>
      <c r="F902" s="15">
        <v>-0.0011</v>
      </c>
    </row>
    <row r="903" spans="1:6">
      <c r="A903" s="14">
        <v>43902</v>
      </c>
      <c r="B903" s="13">
        <v>9.671</v>
      </c>
      <c r="C903" s="13">
        <v>9.671</v>
      </c>
      <c r="D903" s="13">
        <v>9.671</v>
      </c>
      <c r="E903" s="13">
        <v>9.671</v>
      </c>
      <c r="F903" s="15">
        <v>-0.0011</v>
      </c>
    </row>
    <row r="904" spans="1:6">
      <c r="A904" s="14">
        <v>43901</v>
      </c>
      <c r="B904" s="13">
        <v>9.682</v>
      </c>
      <c r="C904" s="13">
        <v>9.682</v>
      </c>
      <c r="D904" s="13">
        <v>9.682</v>
      </c>
      <c r="E904" s="13">
        <v>9.682</v>
      </c>
      <c r="F904" s="15">
        <v>-0.0377</v>
      </c>
    </row>
    <row r="905" spans="1:6">
      <c r="A905" s="14">
        <v>43900</v>
      </c>
      <c r="B905" s="13">
        <v>10.061</v>
      </c>
      <c r="C905" s="13">
        <v>10.061</v>
      </c>
      <c r="D905" s="13">
        <v>10.061</v>
      </c>
      <c r="E905" s="13">
        <v>10.061</v>
      </c>
      <c r="F905" s="15">
        <v>0.0031</v>
      </c>
    </row>
    <row r="906" spans="1:6">
      <c r="A906" s="14">
        <v>43896</v>
      </c>
      <c r="B906" s="13">
        <v>10.03</v>
      </c>
      <c r="C906" s="13">
        <v>10.03</v>
      </c>
      <c r="D906" s="13">
        <v>10.03</v>
      </c>
      <c r="E906" s="13">
        <v>10.03</v>
      </c>
      <c r="F906" s="15">
        <v>-0.0061</v>
      </c>
    </row>
    <row r="907" spans="1:6">
      <c r="A907" s="14">
        <v>43895</v>
      </c>
      <c r="B907" s="13">
        <v>10.092</v>
      </c>
      <c r="C907" s="13">
        <v>10.092</v>
      </c>
      <c r="D907" s="13">
        <v>10.092</v>
      </c>
      <c r="E907" s="13">
        <v>10.092</v>
      </c>
      <c r="F907" s="15">
        <v>0.0066</v>
      </c>
    </row>
    <row r="908" spans="1:6">
      <c r="A908" s="14">
        <v>43894</v>
      </c>
      <c r="B908" s="13">
        <v>10.026</v>
      </c>
      <c r="C908" s="13">
        <v>10.026</v>
      </c>
      <c r="D908" s="13">
        <v>10.026</v>
      </c>
      <c r="E908" s="13">
        <v>10.026</v>
      </c>
      <c r="F908" s="15">
        <v>-0.0014</v>
      </c>
    </row>
    <row r="909" spans="1:6">
      <c r="A909" s="14">
        <v>43893</v>
      </c>
      <c r="B909" s="13">
        <v>10.04</v>
      </c>
      <c r="C909" s="13">
        <v>10.04</v>
      </c>
      <c r="D909" s="13">
        <v>10.04</v>
      </c>
      <c r="E909" s="13">
        <v>10.04</v>
      </c>
      <c r="F909" s="15">
        <v>0.0006</v>
      </c>
    </row>
    <row r="910" spans="1:6">
      <c r="A910" s="14">
        <v>43892</v>
      </c>
      <c r="B910" s="13">
        <v>10.034</v>
      </c>
      <c r="C910" s="13">
        <v>10.034</v>
      </c>
      <c r="D910" s="13">
        <v>10.034</v>
      </c>
      <c r="E910" s="13">
        <v>10.034</v>
      </c>
      <c r="F910" s="15">
        <v>0.003</v>
      </c>
    </row>
    <row r="911" spans="1:6">
      <c r="A911" s="14">
        <v>43889</v>
      </c>
      <c r="B911" s="13">
        <v>10.004</v>
      </c>
      <c r="C911" s="13">
        <v>10.004</v>
      </c>
      <c r="D911" s="13">
        <v>10.004</v>
      </c>
      <c r="E911" s="13">
        <v>10.004</v>
      </c>
      <c r="F911" s="15">
        <v>0.0005</v>
      </c>
    </row>
    <row r="912" spans="1:6">
      <c r="A912" s="14">
        <v>43888</v>
      </c>
      <c r="B912" s="13">
        <v>9.999</v>
      </c>
      <c r="C912" s="13">
        <v>9.999</v>
      </c>
      <c r="D912" s="13">
        <v>9.999</v>
      </c>
      <c r="E912" s="13">
        <v>9.999</v>
      </c>
      <c r="F912" s="15">
        <v>0.0007</v>
      </c>
    </row>
    <row r="913" spans="1:6">
      <c r="A913" s="14">
        <v>43887</v>
      </c>
      <c r="B913" s="13">
        <v>9.992</v>
      </c>
      <c r="C913" s="13">
        <v>9.992</v>
      </c>
      <c r="D913" s="13">
        <v>9.992</v>
      </c>
      <c r="E913" s="13">
        <v>9.992</v>
      </c>
      <c r="F913" s="15">
        <v>0.0006</v>
      </c>
    </row>
    <row r="914" spans="1:6">
      <c r="A914" s="14">
        <v>43886</v>
      </c>
      <c r="B914" s="13">
        <v>9.986</v>
      </c>
      <c r="C914" s="13">
        <v>9.986</v>
      </c>
      <c r="D914" s="13">
        <v>9.986</v>
      </c>
      <c r="E914" s="13">
        <v>9.986</v>
      </c>
      <c r="F914" s="15">
        <v>-0.0055</v>
      </c>
    </row>
    <row r="915" spans="1:6">
      <c r="A915" s="14">
        <v>43885</v>
      </c>
      <c r="B915" s="13">
        <v>10.041</v>
      </c>
      <c r="C915" s="13">
        <v>10.041</v>
      </c>
      <c r="D915" s="13">
        <v>10.041</v>
      </c>
      <c r="E915" s="13">
        <v>10.041</v>
      </c>
      <c r="F915" s="15">
        <v>0.0042</v>
      </c>
    </row>
    <row r="916" spans="1:6">
      <c r="A916" s="14">
        <v>43882</v>
      </c>
      <c r="B916" s="13">
        <v>9.999</v>
      </c>
      <c r="C916" s="13">
        <v>9.999</v>
      </c>
      <c r="D916" s="13">
        <v>9.999</v>
      </c>
      <c r="E916" s="13">
        <v>9.999</v>
      </c>
      <c r="F916" s="15">
        <v>0.0036</v>
      </c>
    </row>
    <row r="917" spans="1:6">
      <c r="A917" s="14">
        <v>43881</v>
      </c>
      <c r="B917" s="13">
        <v>9.963</v>
      </c>
      <c r="C917" s="13">
        <v>9.963</v>
      </c>
      <c r="D917" s="13">
        <v>9.963</v>
      </c>
      <c r="E917" s="13">
        <v>9.963</v>
      </c>
      <c r="F917" s="15">
        <v>-0.0013</v>
      </c>
    </row>
    <row r="918" spans="1:6">
      <c r="A918" s="14">
        <v>43880</v>
      </c>
      <c r="B918" s="13">
        <v>9.976</v>
      </c>
      <c r="C918" s="13">
        <v>9.976</v>
      </c>
      <c r="D918" s="13">
        <v>9.976</v>
      </c>
      <c r="E918" s="13">
        <v>9.976</v>
      </c>
      <c r="F918" s="15">
        <v>0.0008</v>
      </c>
    </row>
    <row r="919" spans="1:6">
      <c r="A919" s="14">
        <v>43879</v>
      </c>
      <c r="B919" s="13">
        <v>9.968</v>
      </c>
      <c r="C919" s="13">
        <v>9.968</v>
      </c>
      <c r="D919" s="13">
        <v>9.968</v>
      </c>
      <c r="E919" s="13">
        <v>9.968</v>
      </c>
      <c r="F919" s="15">
        <v>0.0035</v>
      </c>
    </row>
    <row r="920" spans="1:6">
      <c r="A920" s="14">
        <v>43878</v>
      </c>
      <c r="B920" s="13">
        <v>9.933</v>
      </c>
      <c r="C920" s="13">
        <v>9.933</v>
      </c>
      <c r="D920" s="13">
        <v>9.933</v>
      </c>
      <c r="E920" s="13">
        <v>9.933</v>
      </c>
      <c r="F920" s="15">
        <v>0.0004</v>
      </c>
    </row>
    <row r="921" spans="1:6">
      <c r="A921" s="14">
        <v>43875</v>
      </c>
      <c r="B921" s="13">
        <v>9.929</v>
      </c>
      <c r="C921" s="13">
        <v>9.929</v>
      </c>
      <c r="D921" s="13">
        <v>9.929</v>
      </c>
      <c r="E921" s="13">
        <v>9.929</v>
      </c>
      <c r="F921" s="15">
        <v>0.0004</v>
      </c>
    </row>
    <row r="922" spans="1:6">
      <c r="A922" s="14">
        <v>43874</v>
      </c>
      <c r="B922" s="13">
        <v>9.925</v>
      </c>
      <c r="C922" s="13">
        <v>9.925</v>
      </c>
      <c r="D922" s="13">
        <v>9.925</v>
      </c>
      <c r="E922" s="13">
        <v>9.925</v>
      </c>
      <c r="F922" s="15">
        <v>-0.004</v>
      </c>
    </row>
    <row r="923" spans="1:6">
      <c r="A923" s="14">
        <v>43873</v>
      </c>
      <c r="B923" s="13">
        <v>9.965</v>
      </c>
      <c r="C923" s="13">
        <v>9.965</v>
      </c>
      <c r="D923" s="13">
        <v>9.965</v>
      </c>
      <c r="E923" s="13">
        <v>9.965</v>
      </c>
      <c r="F923" s="15">
        <v>0.0023</v>
      </c>
    </row>
    <row r="924" spans="1:6">
      <c r="A924" s="14">
        <v>43872</v>
      </c>
      <c r="B924" s="13">
        <v>9.942</v>
      </c>
      <c r="C924" s="13">
        <v>9.942</v>
      </c>
      <c r="D924" s="13">
        <v>9.942</v>
      </c>
      <c r="E924" s="13">
        <v>9.942</v>
      </c>
      <c r="F924" s="15">
        <v>-0.0036</v>
      </c>
    </row>
    <row r="925" spans="1:6">
      <c r="A925" s="14">
        <v>43871</v>
      </c>
      <c r="B925" s="13">
        <v>9.978</v>
      </c>
      <c r="C925" s="13">
        <v>9.978</v>
      </c>
      <c r="D925" s="13">
        <v>9.978</v>
      </c>
      <c r="E925" s="13">
        <v>9.978</v>
      </c>
      <c r="F925" s="15">
        <v>0.0026</v>
      </c>
    </row>
    <row r="926" spans="1:6">
      <c r="A926" s="14">
        <v>43868</v>
      </c>
      <c r="B926" s="13">
        <v>9.952</v>
      </c>
      <c r="C926" s="13">
        <v>9.952</v>
      </c>
      <c r="D926" s="13">
        <v>9.952</v>
      </c>
      <c r="E926" s="13">
        <v>9.952</v>
      </c>
      <c r="F926" s="15">
        <v>-0.0015</v>
      </c>
    </row>
    <row r="927" spans="1:6">
      <c r="A927" s="14">
        <v>43867</v>
      </c>
      <c r="B927" s="13">
        <v>9.967</v>
      </c>
      <c r="C927" s="13">
        <v>9.967</v>
      </c>
      <c r="D927" s="13">
        <v>9.967</v>
      </c>
      <c r="E927" s="13">
        <v>9.967</v>
      </c>
      <c r="F927" s="15">
        <v>-0.0017</v>
      </c>
    </row>
    <row r="928" spans="1:6">
      <c r="A928" s="14">
        <v>43866</v>
      </c>
      <c r="B928" s="13">
        <v>9.984</v>
      </c>
      <c r="C928" s="13">
        <v>9.984</v>
      </c>
      <c r="D928" s="13">
        <v>9.984</v>
      </c>
      <c r="E928" s="13">
        <v>9.984</v>
      </c>
      <c r="F928" s="15">
        <v>0.0014</v>
      </c>
    </row>
    <row r="929" spans="1:6">
      <c r="A929" s="14">
        <v>43865</v>
      </c>
      <c r="B929" s="13">
        <v>9.97</v>
      </c>
      <c r="C929" s="13">
        <v>9.97</v>
      </c>
      <c r="D929" s="13">
        <v>9.97</v>
      </c>
      <c r="E929" s="13">
        <v>9.97</v>
      </c>
      <c r="F929" s="15">
        <v>-0.0021</v>
      </c>
    </row>
    <row r="930" spans="1:6">
      <c r="A930" s="14">
        <v>43864</v>
      </c>
      <c r="B930" s="13">
        <v>9.991</v>
      </c>
      <c r="C930" s="13">
        <v>9.991</v>
      </c>
      <c r="D930" s="13">
        <v>9.991</v>
      </c>
      <c r="E930" s="13">
        <v>9.991</v>
      </c>
      <c r="F930" s="15">
        <v>0.003</v>
      </c>
    </row>
    <row r="931" spans="1:6">
      <c r="A931" s="14">
        <v>43861</v>
      </c>
      <c r="B931" s="13">
        <v>9.961</v>
      </c>
      <c r="C931" s="13">
        <v>9.961</v>
      </c>
      <c r="D931" s="13">
        <v>9.961</v>
      </c>
      <c r="E931" s="13">
        <v>9.961</v>
      </c>
      <c r="F931" s="15">
        <v>-0.0061</v>
      </c>
    </row>
    <row r="932" spans="1:6">
      <c r="A932" s="14">
        <v>43860</v>
      </c>
      <c r="B932" s="13">
        <v>10.022</v>
      </c>
      <c r="C932" s="13">
        <v>10.022</v>
      </c>
      <c r="D932" s="13">
        <v>10.022</v>
      </c>
      <c r="E932" s="13">
        <v>10.022</v>
      </c>
      <c r="F932" s="15">
        <v>-0.0013</v>
      </c>
    </row>
    <row r="933" spans="1:6">
      <c r="A933" s="14">
        <v>43859</v>
      </c>
      <c r="B933" s="13">
        <v>10.035</v>
      </c>
      <c r="C933" s="13">
        <v>10.035</v>
      </c>
      <c r="D933" s="13">
        <v>10.035</v>
      </c>
      <c r="E933" s="13">
        <v>10.035</v>
      </c>
      <c r="F933" s="15">
        <v>0.0032</v>
      </c>
    </row>
    <row r="934" spans="1:6">
      <c r="A934" s="14">
        <v>43858</v>
      </c>
      <c r="B934" s="13">
        <v>10.003</v>
      </c>
      <c r="C934" s="13">
        <v>10.003</v>
      </c>
      <c r="D934" s="13">
        <v>10.003</v>
      </c>
      <c r="E934" s="13">
        <v>10.003</v>
      </c>
      <c r="F934" s="15">
        <v>-0.021</v>
      </c>
    </row>
    <row r="935" spans="1:6">
      <c r="A935" s="14">
        <v>43857</v>
      </c>
      <c r="B935" s="13">
        <v>10.218</v>
      </c>
      <c r="C935" s="13">
        <v>10.218</v>
      </c>
      <c r="D935" s="13">
        <v>10.218</v>
      </c>
      <c r="E935" s="13">
        <v>10.218</v>
      </c>
      <c r="F935" s="15">
        <v>-0.0041</v>
      </c>
    </row>
    <row r="936" spans="1:6">
      <c r="A936" s="14">
        <v>43854</v>
      </c>
      <c r="B936" s="13">
        <v>10.26</v>
      </c>
      <c r="C936" s="13">
        <v>10.26</v>
      </c>
      <c r="D936" s="13">
        <v>10.26</v>
      </c>
      <c r="E936" s="13">
        <v>10.26</v>
      </c>
      <c r="F936" s="15">
        <v>-0.0008</v>
      </c>
    </row>
    <row r="937" spans="1:6">
      <c r="A937" s="14">
        <v>43853</v>
      </c>
      <c r="B937" s="13">
        <v>10.268</v>
      </c>
      <c r="C937" s="13">
        <v>10.268</v>
      </c>
      <c r="D937" s="13">
        <v>10.268</v>
      </c>
      <c r="E937" s="13">
        <v>10.268</v>
      </c>
      <c r="F937" s="15">
        <v>0.0043</v>
      </c>
    </row>
    <row r="938" spans="1:6">
      <c r="A938" s="14">
        <v>43852</v>
      </c>
      <c r="B938" s="13">
        <v>10.224</v>
      </c>
      <c r="C938" s="13">
        <v>10.224</v>
      </c>
      <c r="D938" s="13">
        <v>10.224</v>
      </c>
      <c r="E938" s="13">
        <v>10.224</v>
      </c>
      <c r="F938" s="15">
        <v>-0.0041</v>
      </c>
    </row>
    <row r="939" spans="1:6">
      <c r="A939" s="14">
        <v>43851</v>
      </c>
      <c r="B939" s="13">
        <v>10.266</v>
      </c>
      <c r="C939" s="13">
        <v>10.266</v>
      </c>
      <c r="D939" s="13">
        <v>10.266</v>
      </c>
      <c r="E939" s="13">
        <v>10.266</v>
      </c>
      <c r="F939" s="15">
        <v>-0.0002</v>
      </c>
    </row>
    <row r="940" spans="1:6">
      <c r="A940" s="14">
        <v>43850</v>
      </c>
      <c r="B940" s="13">
        <v>10.268</v>
      </c>
      <c r="C940" s="13">
        <v>10.268</v>
      </c>
      <c r="D940" s="13">
        <v>10.268</v>
      </c>
      <c r="E940" s="13">
        <v>10.268</v>
      </c>
      <c r="F940" s="15">
        <v>0.0017</v>
      </c>
    </row>
    <row r="941" spans="1:6">
      <c r="A941" s="14">
        <v>43847</v>
      </c>
      <c r="B941" s="13">
        <v>10.251</v>
      </c>
      <c r="C941" s="13">
        <v>10.251</v>
      </c>
      <c r="D941" s="13">
        <v>10.251</v>
      </c>
      <c r="E941" s="13">
        <v>10.251</v>
      </c>
      <c r="F941" s="15">
        <v>0.0033</v>
      </c>
    </row>
    <row r="942" spans="1:6">
      <c r="A942" s="14">
        <v>43846</v>
      </c>
      <c r="B942" s="13">
        <v>10.217</v>
      </c>
      <c r="C942" s="13">
        <v>10.217</v>
      </c>
      <c r="D942" s="13">
        <v>10.217</v>
      </c>
      <c r="E942" s="13">
        <v>10.217</v>
      </c>
      <c r="F942" s="15">
        <v>-0.0004</v>
      </c>
    </row>
    <row r="943" spans="1:6">
      <c r="A943" s="14">
        <v>43845</v>
      </c>
      <c r="B943" s="13">
        <v>10.221</v>
      </c>
      <c r="C943" s="13">
        <v>10.221</v>
      </c>
      <c r="D943" s="13">
        <v>10.221</v>
      </c>
      <c r="E943" s="13">
        <v>10.221</v>
      </c>
      <c r="F943" s="15">
        <v>0.0003</v>
      </c>
    </row>
    <row r="944" spans="1:6">
      <c r="A944" s="14">
        <v>43844</v>
      </c>
      <c r="B944" s="13">
        <v>10.218</v>
      </c>
      <c r="C944" s="13">
        <v>10.218</v>
      </c>
      <c r="D944" s="13">
        <v>10.218</v>
      </c>
      <c r="E944" s="13">
        <v>10.218</v>
      </c>
      <c r="F944" s="15">
        <v>0</v>
      </c>
    </row>
    <row r="945" spans="1:6">
      <c r="A945" s="14">
        <v>43843</v>
      </c>
      <c r="B945" s="13">
        <v>10.218</v>
      </c>
      <c r="C945" s="13">
        <v>10.218</v>
      </c>
      <c r="D945" s="13">
        <v>10.218</v>
      </c>
      <c r="E945" s="13">
        <v>10.218</v>
      </c>
      <c r="F945" s="15">
        <v>-0.001</v>
      </c>
    </row>
    <row r="946" spans="1:6">
      <c r="A946" s="14">
        <v>43840</v>
      </c>
      <c r="B946" s="13">
        <v>10.228</v>
      </c>
      <c r="C946" s="13">
        <v>10.228</v>
      </c>
      <c r="D946" s="13">
        <v>10.228</v>
      </c>
      <c r="E946" s="13">
        <v>10.228</v>
      </c>
      <c r="F946" s="15">
        <v>0.0007</v>
      </c>
    </row>
    <row r="947" spans="1:6">
      <c r="A947" s="14">
        <v>43839</v>
      </c>
      <c r="B947" s="13">
        <v>10.221</v>
      </c>
      <c r="C947" s="13">
        <v>10.221</v>
      </c>
      <c r="D947" s="13">
        <v>10.221</v>
      </c>
      <c r="E947" s="13">
        <v>10.221</v>
      </c>
      <c r="F947" s="15">
        <v>-0.0001</v>
      </c>
    </row>
    <row r="948" spans="1:6">
      <c r="A948" s="14">
        <v>43838</v>
      </c>
      <c r="B948" s="13">
        <v>10.222</v>
      </c>
      <c r="C948" s="13">
        <v>10.222</v>
      </c>
      <c r="D948" s="13">
        <v>10.222</v>
      </c>
      <c r="E948" s="13">
        <v>10.222</v>
      </c>
      <c r="F948" s="15">
        <v>0.0359</v>
      </c>
    </row>
    <row r="949" spans="1:6">
      <c r="A949" s="14">
        <v>43836</v>
      </c>
      <c r="B949" s="13">
        <v>9.868</v>
      </c>
      <c r="C949" s="13">
        <v>9.868</v>
      </c>
      <c r="D949" s="13">
        <v>9.868</v>
      </c>
      <c r="E949" s="13">
        <v>9.868</v>
      </c>
      <c r="F949" s="15">
        <v>-0.0041</v>
      </c>
    </row>
    <row r="950" spans="1:6">
      <c r="A950" s="14">
        <v>43835</v>
      </c>
      <c r="B950" s="13">
        <v>9.909</v>
      </c>
      <c r="C950" s="13">
        <v>9.909</v>
      </c>
      <c r="D950" s="13">
        <v>9.909</v>
      </c>
      <c r="E950" s="13">
        <v>9.909</v>
      </c>
      <c r="F950" s="15">
        <v>0.0773</v>
      </c>
    </row>
    <row r="951" spans="1:6">
      <c r="A951" s="14">
        <v>43830</v>
      </c>
      <c r="B951" s="13">
        <v>9.198</v>
      </c>
      <c r="C951" s="13">
        <v>9.198</v>
      </c>
      <c r="D951" s="13">
        <v>9.198</v>
      </c>
      <c r="E951" s="13">
        <v>9.198</v>
      </c>
      <c r="F951" s="15">
        <v>-0.0697</v>
      </c>
    </row>
    <row r="952" spans="1:6">
      <c r="A952" s="14">
        <v>43829</v>
      </c>
      <c r="B952" s="13">
        <v>9.887</v>
      </c>
      <c r="C952" s="13">
        <v>9.887</v>
      </c>
      <c r="D952" s="13">
        <v>9.887</v>
      </c>
      <c r="E952" s="13">
        <v>9.887</v>
      </c>
      <c r="F952" s="15">
        <v>-0.0017</v>
      </c>
    </row>
    <row r="953" spans="1:6">
      <c r="A953" s="14">
        <v>43826</v>
      </c>
      <c r="B953" s="13">
        <v>9.904</v>
      </c>
      <c r="C953" s="13">
        <v>9.904</v>
      </c>
      <c r="D953" s="13">
        <v>9.904</v>
      </c>
      <c r="E953" s="13">
        <v>9.904</v>
      </c>
      <c r="F953" s="15">
        <v>-0.0373</v>
      </c>
    </row>
    <row r="954" spans="1:6">
      <c r="A954" s="14">
        <v>43825</v>
      </c>
      <c r="B954" s="13">
        <v>10.288</v>
      </c>
      <c r="C954" s="13">
        <v>10.288</v>
      </c>
      <c r="D954" s="13">
        <v>10.288</v>
      </c>
      <c r="E954" s="13">
        <v>10.288</v>
      </c>
      <c r="F954" s="15">
        <v>0.0028</v>
      </c>
    </row>
    <row r="955" spans="1:6">
      <c r="A955" s="14">
        <v>43824</v>
      </c>
      <c r="B955" s="13">
        <v>10.259</v>
      </c>
      <c r="C955" s="13">
        <v>10.259</v>
      </c>
      <c r="D955" s="13">
        <v>10.259</v>
      </c>
      <c r="E955" s="13">
        <v>10.259</v>
      </c>
      <c r="F955" s="15">
        <v>-0.0009</v>
      </c>
    </row>
    <row r="956" spans="1:6">
      <c r="A956" s="14">
        <v>43823</v>
      </c>
      <c r="B956" s="13">
        <v>10.268</v>
      </c>
      <c r="C956" s="13">
        <v>10.268</v>
      </c>
      <c r="D956" s="13">
        <v>10.268</v>
      </c>
      <c r="E956" s="13">
        <v>10.268</v>
      </c>
      <c r="F956" s="15">
        <v>0.002</v>
      </c>
    </row>
    <row r="957" spans="1:6">
      <c r="A957" s="14">
        <v>43822</v>
      </c>
      <c r="B957" s="13">
        <v>10.248</v>
      </c>
      <c r="C957" s="13">
        <v>10.248</v>
      </c>
      <c r="D957" s="13">
        <v>10.248</v>
      </c>
      <c r="E957" s="13">
        <v>10.248</v>
      </c>
      <c r="F957" s="15">
        <v>0.0008</v>
      </c>
    </row>
    <row r="958" spans="1:6">
      <c r="A958" s="14">
        <v>43819</v>
      </c>
      <c r="B958" s="13">
        <v>10.24</v>
      </c>
      <c r="C958" s="13">
        <v>10.24</v>
      </c>
      <c r="D958" s="13">
        <v>10.24</v>
      </c>
      <c r="E958" s="13">
        <v>10.24</v>
      </c>
      <c r="F958" s="15">
        <v>-0.0006</v>
      </c>
    </row>
    <row r="959" spans="1:6">
      <c r="A959" s="14">
        <v>43818</v>
      </c>
      <c r="B959" s="13">
        <v>10.246</v>
      </c>
      <c r="C959" s="13">
        <v>10.246</v>
      </c>
      <c r="D959" s="13">
        <v>10.246</v>
      </c>
      <c r="E959" s="13">
        <v>10.246</v>
      </c>
      <c r="F959" s="15">
        <v>-0.0018</v>
      </c>
    </row>
    <row r="960" spans="1:6">
      <c r="A960" s="14">
        <v>43817</v>
      </c>
      <c r="B960" s="13">
        <v>10.264</v>
      </c>
      <c r="C960" s="13">
        <v>10.264</v>
      </c>
      <c r="D960" s="13">
        <v>10.264</v>
      </c>
      <c r="E960" s="13">
        <v>10.264</v>
      </c>
      <c r="F960" s="15">
        <v>0.0046</v>
      </c>
    </row>
    <row r="961" spans="1:6">
      <c r="A961" s="14">
        <v>43811</v>
      </c>
      <c r="B961" s="13">
        <v>10.217</v>
      </c>
      <c r="C961" s="13">
        <v>10.217</v>
      </c>
      <c r="D961" s="13">
        <v>10.217</v>
      </c>
      <c r="E961" s="13">
        <v>10.217</v>
      </c>
      <c r="F961" s="15">
        <v>0.0052</v>
      </c>
    </row>
    <row r="962" spans="1:6">
      <c r="A962" s="14">
        <v>43810</v>
      </c>
      <c r="B962" s="13">
        <v>10.164</v>
      </c>
      <c r="C962" s="13">
        <v>10.164</v>
      </c>
      <c r="D962" s="13">
        <v>10.164</v>
      </c>
      <c r="E962" s="13">
        <v>10.164</v>
      </c>
      <c r="F962" s="15">
        <v>-0.0028</v>
      </c>
    </row>
    <row r="963" spans="1:6">
      <c r="A963" s="14">
        <v>43809</v>
      </c>
      <c r="B963" s="13">
        <v>10.193</v>
      </c>
      <c r="C963" s="13">
        <v>10.193</v>
      </c>
      <c r="D963" s="13">
        <v>10.193</v>
      </c>
      <c r="E963" s="13">
        <v>10.193</v>
      </c>
      <c r="F963" s="15">
        <v>-0.0001</v>
      </c>
    </row>
    <row r="964" spans="1:6">
      <c r="A964" s="14">
        <v>43808</v>
      </c>
      <c r="B964" s="13">
        <v>10.194</v>
      </c>
      <c r="C964" s="13">
        <v>10.194</v>
      </c>
      <c r="D964" s="13">
        <v>10.194</v>
      </c>
      <c r="E964" s="13">
        <v>10.194</v>
      </c>
      <c r="F964" s="15">
        <v>0.0144</v>
      </c>
    </row>
    <row r="965" spans="1:6">
      <c r="A965" s="14">
        <v>43805</v>
      </c>
      <c r="B965" s="13">
        <v>10.049</v>
      </c>
      <c r="C965" s="13">
        <v>10.049</v>
      </c>
      <c r="D965" s="13">
        <v>10.049</v>
      </c>
      <c r="E965" s="13">
        <v>10.049</v>
      </c>
      <c r="F965" s="15">
        <v>-0.0087</v>
      </c>
    </row>
    <row r="966" spans="1:6">
      <c r="A966" s="14">
        <v>43804</v>
      </c>
      <c r="B966" s="13">
        <v>10.137</v>
      </c>
      <c r="C966" s="13">
        <v>10.137</v>
      </c>
      <c r="D966" s="13">
        <v>10.137</v>
      </c>
      <c r="E966" s="13">
        <v>10.137</v>
      </c>
      <c r="F966" s="15">
        <v>0.0248</v>
      </c>
    </row>
    <row r="967" spans="1:6">
      <c r="A967" s="14">
        <v>43803</v>
      </c>
      <c r="B967" s="13">
        <v>9.892</v>
      </c>
      <c r="C967" s="13">
        <v>9.892</v>
      </c>
      <c r="D967" s="13">
        <v>9.892</v>
      </c>
      <c r="E967" s="13">
        <v>9.892</v>
      </c>
      <c r="F967" s="15">
        <v>-0.0038</v>
      </c>
    </row>
    <row r="968" spans="1:6">
      <c r="A968" s="14">
        <v>43802</v>
      </c>
      <c r="B968" s="13">
        <v>9.93</v>
      </c>
      <c r="C968" s="13">
        <v>9.93</v>
      </c>
      <c r="D968" s="13">
        <v>9.93</v>
      </c>
      <c r="E968" s="13">
        <v>9.93</v>
      </c>
      <c r="F968" s="15">
        <v>-0.0019</v>
      </c>
    </row>
    <row r="969" spans="1:6">
      <c r="A969" s="14">
        <v>43798</v>
      </c>
      <c r="B969" s="13">
        <v>9.949</v>
      </c>
      <c r="C969" s="13">
        <v>9.949</v>
      </c>
      <c r="D969" s="13">
        <v>9.949</v>
      </c>
      <c r="E969" s="13">
        <v>9.949</v>
      </c>
      <c r="F969" s="15">
        <v>0.0013</v>
      </c>
    </row>
    <row r="970" spans="1:6">
      <c r="A970" s="14">
        <v>43797</v>
      </c>
      <c r="B970" s="13">
        <v>9.936</v>
      </c>
      <c r="C970" s="13">
        <v>9.936</v>
      </c>
      <c r="D970" s="13">
        <v>9.936</v>
      </c>
      <c r="E970" s="13">
        <v>9.936</v>
      </c>
      <c r="F970" s="15">
        <v>-0.0015</v>
      </c>
    </row>
    <row r="971" spans="1:6">
      <c r="A971" s="14">
        <v>43796</v>
      </c>
      <c r="B971" s="13">
        <v>9.951</v>
      </c>
      <c r="C971" s="13">
        <v>9.951</v>
      </c>
      <c r="D971" s="13">
        <v>9.951</v>
      </c>
      <c r="E971" s="13">
        <v>9.951</v>
      </c>
      <c r="F971" s="15">
        <v>0.0009</v>
      </c>
    </row>
    <row r="972" spans="1:6">
      <c r="A972" s="14">
        <v>43795</v>
      </c>
      <c r="B972" s="13">
        <v>9.942</v>
      </c>
      <c r="C972" s="13">
        <v>9.942</v>
      </c>
      <c r="D972" s="13">
        <v>9.942</v>
      </c>
      <c r="E972" s="13">
        <v>9.942</v>
      </c>
      <c r="F972" s="15">
        <v>0.004</v>
      </c>
    </row>
    <row r="973" spans="1:6">
      <c r="A973" s="14">
        <v>43794</v>
      </c>
      <c r="B973" s="13">
        <v>9.902</v>
      </c>
      <c r="C973" s="13">
        <v>9.902</v>
      </c>
      <c r="D973" s="13">
        <v>9.902</v>
      </c>
      <c r="E973" s="13">
        <v>9.902</v>
      </c>
      <c r="F973" s="15">
        <v>-0.0249</v>
      </c>
    </row>
    <row r="974" spans="1:6">
      <c r="A974" s="14">
        <v>43791</v>
      </c>
      <c r="B974" s="13">
        <v>10.155</v>
      </c>
      <c r="C974" s="13">
        <v>10.155</v>
      </c>
      <c r="D974" s="13">
        <v>10.155</v>
      </c>
      <c r="E974" s="13">
        <v>10.155</v>
      </c>
      <c r="F974" s="15">
        <v>-0.0044</v>
      </c>
    </row>
    <row r="975" spans="1:6">
      <c r="A975" s="14">
        <v>43790</v>
      </c>
      <c r="B975" s="13">
        <v>10.2</v>
      </c>
      <c r="C975" s="13">
        <v>10.2</v>
      </c>
      <c r="D975" s="13">
        <v>10.2</v>
      </c>
      <c r="E975" s="13">
        <v>10.2</v>
      </c>
      <c r="F975" s="15">
        <v>0.0071</v>
      </c>
    </row>
    <row r="976" spans="1:6">
      <c r="A976" s="14">
        <v>43789</v>
      </c>
      <c r="B976" s="13">
        <v>10.128</v>
      </c>
      <c r="C976" s="13">
        <v>10.128</v>
      </c>
      <c r="D976" s="13">
        <v>10.128</v>
      </c>
      <c r="E976" s="13">
        <v>10.128</v>
      </c>
      <c r="F976" s="15">
        <v>-0.0002</v>
      </c>
    </row>
    <row r="977" spans="1:6">
      <c r="A977" s="14">
        <v>43788</v>
      </c>
      <c r="B977" s="13">
        <v>10.13</v>
      </c>
      <c r="C977" s="13">
        <v>10.13</v>
      </c>
      <c r="D977" s="13">
        <v>10.13</v>
      </c>
      <c r="E977" s="13">
        <v>10.13</v>
      </c>
      <c r="F977" s="15">
        <v>0.0002</v>
      </c>
    </row>
    <row r="978" spans="1:6">
      <c r="A978" s="14">
        <v>43787</v>
      </c>
      <c r="B978" s="13">
        <v>10.128</v>
      </c>
      <c r="C978" s="13">
        <v>10.128</v>
      </c>
      <c r="D978" s="13">
        <v>10.128</v>
      </c>
      <c r="E978" s="13">
        <v>10.128</v>
      </c>
      <c r="F978" s="15">
        <v>-0.0083</v>
      </c>
    </row>
    <row r="979" spans="1:6">
      <c r="A979" s="14">
        <v>43784</v>
      </c>
      <c r="B979" s="13">
        <v>10.213</v>
      </c>
      <c r="C979" s="13">
        <v>10.213</v>
      </c>
      <c r="D979" s="13">
        <v>10.213</v>
      </c>
      <c r="E979" s="13">
        <v>10.213</v>
      </c>
      <c r="F979" s="15">
        <v>0.0042</v>
      </c>
    </row>
    <row r="980" spans="1:6">
      <c r="A980" s="14">
        <v>43783</v>
      </c>
      <c r="B980" s="13">
        <v>10.17</v>
      </c>
      <c r="C980" s="13">
        <v>10.17</v>
      </c>
      <c r="D980" s="13">
        <v>10.17</v>
      </c>
      <c r="E980" s="13">
        <v>10.17</v>
      </c>
      <c r="F980" s="15">
        <v>0.0002</v>
      </c>
    </row>
    <row r="981" spans="1:6">
      <c r="A981" s="14">
        <v>43782</v>
      </c>
      <c r="B981" s="13">
        <v>10.168</v>
      </c>
      <c r="C981" s="13">
        <v>10.168</v>
      </c>
      <c r="D981" s="13">
        <v>10.168</v>
      </c>
      <c r="E981" s="13">
        <v>10.168</v>
      </c>
      <c r="F981" s="15">
        <v>-0.0052</v>
      </c>
    </row>
    <row r="982" spans="1:6">
      <c r="A982" s="14">
        <v>43781</v>
      </c>
      <c r="B982" s="13">
        <v>10.221</v>
      </c>
      <c r="C982" s="13">
        <v>10.221</v>
      </c>
      <c r="D982" s="13">
        <v>10.221</v>
      </c>
      <c r="E982" s="13">
        <v>10.221</v>
      </c>
      <c r="F982" s="15">
        <v>0.0113</v>
      </c>
    </row>
    <row r="983" spans="1:6">
      <c r="A983" s="14">
        <v>43780</v>
      </c>
      <c r="B983" s="13">
        <v>10.107</v>
      </c>
      <c r="C983" s="13">
        <v>10.107</v>
      </c>
      <c r="D983" s="13">
        <v>10.107</v>
      </c>
      <c r="E983" s="13">
        <v>10.107</v>
      </c>
      <c r="F983" s="15">
        <v>0.0015</v>
      </c>
    </row>
    <row r="984" spans="1:6">
      <c r="A984" s="14">
        <v>43777</v>
      </c>
      <c r="B984" s="13">
        <v>10.092</v>
      </c>
      <c r="C984" s="13">
        <v>10.092</v>
      </c>
      <c r="D984" s="13">
        <v>10.092</v>
      </c>
      <c r="E984" s="13">
        <v>10.092</v>
      </c>
      <c r="F984" s="15">
        <v>-0.0049</v>
      </c>
    </row>
    <row r="985" spans="1:6">
      <c r="A985" s="14">
        <v>43776</v>
      </c>
      <c r="B985" s="13">
        <v>10.142</v>
      </c>
      <c r="C985" s="13">
        <v>10.142</v>
      </c>
      <c r="D985" s="13">
        <v>10.142</v>
      </c>
      <c r="E985" s="13">
        <v>10.142</v>
      </c>
      <c r="F985" s="15">
        <v>0.0053</v>
      </c>
    </row>
    <row r="986" spans="1:6">
      <c r="A986" s="14">
        <v>43775</v>
      </c>
      <c r="B986" s="13">
        <v>10.089</v>
      </c>
      <c r="C986" s="13">
        <v>10.089</v>
      </c>
      <c r="D986" s="13">
        <v>10.089</v>
      </c>
      <c r="E986" s="13">
        <v>10.089</v>
      </c>
      <c r="F986" s="15">
        <v>-0.0015</v>
      </c>
    </row>
    <row r="987" spans="1:6">
      <c r="A987" s="14">
        <v>43774</v>
      </c>
      <c r="B987" s="13">
        <v>10.104</v>
      </c>
      <c r="C987" s="13">
        <v>10.104</v>
      </c>
      <c r="D987" s="13">
        <v>10.104</v>
      </c>
      <c r="E987" s="13">
        <v>10.104</v>
      </c>
      <c r="F987" s="15">
        <v>-0.002</v>
      </c>
    </row>
    <row r="988" spans="1:6">
      <c r="A988" s="14">
        <v>43773</v>
      </c>
      <c r="B988" s="13">
        <v>10.124</v>
      </c>
      <c r="C988" s="13">
        <v>10.124</v>
      </c>
      <c r="D988" s="13">
        <v>10.124</v>
      </c>
      <c r="E988" s="13">
        <v>10.124</v>
      </c>
      <c r="F988" s="15">
        <v>-0.0016</v>
      </c>
    </row>
    <row r="989" spans="1:6">
      <c r="A989" s="14">
        <v>43770</v>
      </c>
      <c r="B989" s="13">
        <v>10.14</v>
      </c>
      <c r="C989" s="13">
        <v>10.14</v>
      </c>
      <c r="D989" s="13">
        <v>10.14</v>
      </c>
      <c r="E989" s="13">
        <v>10.14</v>
      </c>
      <c r="F989" s="15">
        <v>0.0054</v>
      </c>
    </row>
    <row r="990" spans="1:6">
      <c r="A990" s="14">
        <v>43769</v>
      </c>
      <c r="B990" s="13">
        <v>10.086</v>
      </c>
      <c r="C990" s="13">
        <v>10.086</v>
      </c>
      <c r="D990" s="13">
        <v>10.086</v>
      </c>
      <c r="E990" s="13">
        <v>10.086</v>
      </c>
      <c r="F990" s="15">
        <v>-0.0021</v>
      </c>
    </row>
    <row r="991" spans="1:6">
      <c r="A991" s="14">
        <v>43768</v>
      </c>
      <c r="B991" s="13">
        <v>10.107</v>
      </c>
      <c r="C991" s="13">
        <v>10.107</v>
      </c>
      <c r="D991" s="13">
        <v>10.107</v>
      </c>
      <c r="E991" s="13">
        <v>10.107</v>
      </c>
      <c r="F991" s="15">
        <v>0.0029</v>
      </c>
    </row>
    <row r="992" spans="1:6">
      <c r="A992" s="14">
        <v>43767</v>
      </c>
      <c r="B992" s="13">
        <v>10.078</v>
      </c>
      <c r="C992" s="13">
        <v>10.078</v>
      </c>
      <c r="D992" s="13">
        <v>10.078</v>
      </c>
      <c r="E992" s="13">
        <v>10.078</v>
      </c>
      <c r="F992" s="15">
        <v>-0.0058</v>
      </c>
    </row>
    <row r="993" spans="1:6">
      <c r="A993" s="14">
        <v>43766</v>
      </c>
      <c r="B993" s="13">
        <v>10.137</v>
      </c>
      <c r="C993" s="13">
        <v>10.137</v>
      </c>
      <c r="D993" s="13">
        <v>10.137</v>
      </c>
      <c r="E993" s="13">
        <v>10.137</v>
      </c>
      <c r="F993" s="15">
        <v>0.0069</v>
      </c>
    </row>
    <row r="994" spans="1:6">
      <c r="A994" s="14">
        <v>43763</v>
      </c>
      <c r="B994" s="13">
        <v>10.068</v>
      </c>
      <c r="C994" s="13">
        <v>10.068</v>
      </c>
      <c r="D994" s="13">
        <v>10.068</v>
      </c>
      <c r="E994" s="13">
        <v>10.068</v>
      </c>
      <c r="F994" s="15">
        <v>-0.0007</v>
      </c>
    </row>
    <row r="995" spans="1:6">
      <c r="A995" s="14">
        <v>43762</v>
      </c>
      <c r="B995" s="13">
        <v>10.075</v>
      </c>
      <c r="C995" s="13">
        <v>10.075</v>
      </c>
      <c r="D995" s="13">
        <v>10.075</v>
      </c>
      <c r="E995" s="13">
        <v>10.075</v>
      </c>
      <c r="F995" s="15">
        <v>0.0035</v>
      </c>
    </row>
    <row r="996" spans="1:6">
      <c r="A996" s="14">
        <v>43761</v>
      </c>
      <c r="B996" s="13">
        <v>10.04</v>
      </c>
      <c r="C996" s="13">
        <v>10.04</v>
      </c>
      <c r="D996" s="13">
        <v>10.04</v>
      </c>
      <c r="E996" s="13">
        <v>10.04</v>
      </c>
      <c r="F996" s="15">
        <v>0.0029</v>
      </c>
    </row>
    <row r="997" spans="1:6">
      <c r="A997" s="14">
        <v>43760</v>
      </c>
      <c r="B997" s="13">
        <v>10.011</v>
      </c>
      <c r="C997" s="13">
        <v>10.011</v>
      </c>
      <c r="D997" s="13">
        <v>10.011</v>
      </c>
      <c r="E997" s="13">
        <v>10.011</v>
      </c>
      <c r="F997" s="15">
        <v>-0.0031</v>
      </c>
    </row>
    <row r="998" spans="1:6">
      <c r="A998" s="14">
        <v>43759</v>
      </c>
      <c r="B998" s="13">
        <v>10.042</v>
      </c>
      <c r="C998" s="13">
        <v>10.042</v>
      </c>
      <c r="D998" s="13">
        <v>10.042</v>
      </c>
      <c r="E998" s="13">
        <v>10.042</v>
      </c>
      <c r="F998" s="15">
        <v>0.0073</v>
      </c>
    </row>
    <row r="999" spans="1:6">
      <c r="A999" s="14">
        <v>43756</v>
      </c>
      <c r="B999" s="13">
        <v>9.969</v>
      </c>
      <c r="C999" s="13">
        <v>9.969</v>
      </c>
      <c r="D999" s="13">
        <v>9.969</v>
      </c>
      <c r="E999" s="13">
        <v>9.969</v>
      </c>
      <c r="F999" s="15">
        <v>-0.0013</v>
      </c>
    </row>
    <row r="1000" spans="1:6">
      <c r="A1000" s="14">
        <v>43755</v>
      </c>
      <c r="B1000" s="13">
        <v>9.982</v>
      </c>
      <c r="C1000" s="13">
        <v>9.982</v>
      </c>
      <c r="D1000" s="13">
        <v>9.982</v>
      </c>
      <c r="E1000" s="13">
        <v>9.982</v>
      </c>
      <c r="F1000" s="15">
        <v>0.0018</v>
      </c>
    </row>
    <row r="1001" spans="1:6">
      <c r="A1001" s="14">
        <v>43754</v>
      </c>
      <c r="B1001" s="13">
        <v>9.964</v>
      </c>
      <c r="C1001" s="13">
        <v>9.964</v>
      </c>
      <c r="D1001" s="13">
        <v>9.964</v>
      </c>
      <c r="E1001" s="13">
        <v>9.964</v>
      </c>
      <c r="F1001" s="15">
        <v>0.0009</v>
      </c>
    </row>
    <row r="1002" spans="1:6">
      <c r="A1002" s="14">
        <v>43753</v>
      </c>
      <c r="B1002" s="13">
        <v>9.955</v>
      </c>
      <c r="C1002" s="13">
        <v>9.955</v>
      </c>
      <c r="D1002" s="13">
        <v>9.955</v>
      </c>
      <c r="E1002" s="13">
        <v>9.955</v>
      </c>
      <c r="F1002" s="15">
        <v>0.005</v>
      </c>
    </row>
    <row r="1003" spans="1:6">
      <c r="A1003" s="14">
        <v>43752</v>
      </c>
      <c r="B1003" s="13">
        <v>9.905</v>
      </c>
      <c r="C1003" s="13">
        <v>9.905</v>
      </c>
      <c r="D1003" s="13">
        <v>9.905</v>
      </c>
      <c r="E1003" s="13">
        <v>9.905</v>
      </c>
      <c r="F1003" s="15">
        <v>0.0013</v>
      </c>
    </row>
    <row r="1004" spans="1:6">
      <c r="A1004" s="14">
        <v>43749</v>
      </c>
      <c r="B1004" s="13">
        <v>9.892</v>
      </c>
      <c r="C1004" s="13">
        <v>9.892</v>
      </c>
      <c r="D1004" s="13">
        <v>9.892</v>
      </c>
      <c r="E1004" s="13">
        <v>9.892</v>
      </c>
      <c r="F1004" s="15">
        <v>0.0013</v>
      </c>
    </row>
    <row r="1005" spans="1:6">
      <c r="A1005" s="14">
        <v>43748</v>
      </c>
      <c r="B1005" s="13">
        <v>9.879</v>
      </c>
      <c r="C1005" s="13">
        <v>9.879</v>
      </c>
      <c r="D1005" s="13">
        <v>9.879</v>
      </c>
      <c r="E1005" s="13">
        <v>9.879</v>
      </c>
      <c r="F1005" s="15">
        <v>0.0015</v>
      </c>
    </row>
    <row r="1006" spans="1:6">
      <c r="A1006" s="14">
        <v>43747</v>
      </c>
      <c r="B1006" s="13">
        <v>9.864</v>
      </c>
      <c r="C1006" s="13">
        <v>9.864</v>
      </c>
      <c r="D1006" s="13">
        <v>9.864</v>
      </c>
      <c r="E1006" s="13">
        <v>9.864</v>
      </c>
      <c r="F1006" s="15">
        <v>0.001</v>
      </c>
    </row>
    <row r="1007" spans="1:6">
      <c r="A1007" s="14">
        <v>43746</v>
      </c>
      <c r="B1007" s="13">
        <v>9.854</v>
      </c>
      <c r="C1007" s="13">
        <v>9.854</v>
      </c>
      <c r="D1007" s="13">
        <v>9.854</v>
      </c>
      <c r="E1007" s="13">
        <v>9.854</v>
      </c>
      <c r="F1007" s="15">
        <v>0.0007</v>
      </c>
    </row>
    <row r="1008" spans="1:6">
      <c r="A1008" s="14">
        <v>43745</v>
      </c>
      <c r="B1008" s="13">
        <v>9.847</v>
      </c>
      <c r="C1008" s="13">
        <v>9.847</v>
      </c>
      <c r="D1008" s="13">
        <v>9.847</v>
      </c>
      <c r="E1008" s="13">
        <v>9.847</v>
      </c>
      <c r="F1008" s="15">
        <v>0.0018</v>
      </c>
    </row>
    <row r="1009" spans="1:6">
      <c r="A1009" s="14">
        <v>43742</v>
      </c>
      <c r="B1009" s="13">
        <v>9.829</v>
      </c>
      <c r="C1009" s="13">
        <v>9.829</v>
      </c>
      <c r="D1009" s="13">
        <v>9.829</v>
      </c>
      <c r="E1009" s="13">
        <v>9.829</v>
      </c>
      <c r="F1009" s="15">
        <v>0.0003</v>
      </c>
    </row>
    <row r="1010" spans="1:6">
      <c r="A1010" s="14">
        <v>43741</v>
      </c>
      <c r="B1010" s="13">
        <v>9.826</v>
      </c>
      <c r="C1010" s="13">
        <v>9.826</v>
      </c>
      <c r="D1010" s="13">
        <v>9.826</v>
      </c>
      <c r="E1010" s="13">
        <v>9.826</v>
      </c>
      <c r="F1010" s="15">
        <v>0.0003</v>
      </c>
    </row>
    <row r="1011" spans="1:6">
      <c r="A1011" s="14">
        <v>43740</v>
      </c>
      <c r="B1011" s="13">
        <v>9.823</v>
      </c>
      <c r="C1011" s="13">
        <v>9.823</v>
      </c>
      <c r="D1011" s="13">
        <v>9.823</v>
      </c>
      <c r="E1011" s="13">
        <v>9.823</v>
      </c>
      <c r="F1011" s="15">
        <v>0.0004</v>
      </c>
    </row>
    <row r="1012" spans="1:6">
      <c r="A1012" s="14">
        <v>43739</v>
      </c>
      <c r="B1012" s="13">
        <v>9.819</v>
      </c>
      <c r="C1012" s="13">
        <v>9.819</v>
      </c>
      <c r="D1012" s="13">
        <v>9.819</v>
      </c>
      <c r="E1012" s="13">
        <v>9.819</v>
      </c>
      <c r="F1012" s="15">
        <v>0.0013</v>
      </c>
    </row>
    <row r="1013" spans="1:6">
      <c r="A1013" s="14">
        <v>43738</v>
      </c>
      <c r="B1013" s="13">
        <v>9.806</v>
      </c>
      <c r="C1013" s="13">
        <v>9.806</v>
      </c>
      <c r="D1013" s="13">
        <v>9.806</v>
      </c>
      <c r="E1013" s="13">
        <v>9.806</v>
      </c>
      <c r="F1013" s="15">
        <v>0.0019</v>
      </c>
    </row>
    <row r="1014" spans="1:6">
      <c r="A1014" s="14">
        <v>43735</v>
      </c>
      <c r="B1014" s="13">
        <v>9.787</v>
      </c>
      <c r="C1014" s="13">
        <v>9.787</v>
      </c>
      <c r="D1014" s="13">
        <v>9.787</v>
      </c>
      <c r="E1014" s="13">
        <v>9.787</v>
      </c>
      <c r="F1014" s="15">
        <v>-0.0003</v>
      </c>
    </row>
    <row r="1015" spans="1:6">
      <c r="A1015" s="14">
        <v>43734</v>
      </c>
      <c r="B1015" s="13">
        <v>9.79</v>
      </c>
      <c r="C1015" s="13">
        <v>9.79</v>
      </c>
      <c r="D1015" s="13">
        <v>9.79</v>
      </c>
      <c r="E1015" s="13">
        <v>9.79</v>
      </c>
      <c r="F1015" s="15">
        <v>0.0014</v>
      </c>
    </row>
    <row r="1016" spans="1:6">
      <c r="A1016" s="14">
        <v>43733</v>
      </c>
      <c r="B1016" s="13">
        <v>9.776</v>
      </c>
      <c r="C1016" s="13">
        <v>9.776</v>
      </c>
      <c r="D1016" s="13">
        <v>9.776</v>
      </c>
      <c r="E1016" s="13">
        <v>9.776</v>
      </c>
      <c r="F1016" s="15">
        <v>-0.0003</v>
      </c>
    </row>
    <row r="1017" spans="1:6">
      <c r="A1017" s="14">
        <v>43732</v>
      </c>
      <c r="B1017" s="13">
        <v>9.779</v>
      </c>
      <c r="C1017" s="13">
        <v>9.779</v>
      </c>
      <c r="D1017" s="13">
        <v>9.779</v>
      </c>
      <c r="E1017" s="13">
        <v>9.779</v>
      </c>
      <c r="F1017" s="15">
        <v>-0.0003</v>
      </c>
    </row>
    <row r="1018" spans="1:6">
      <c r="A1018" s="14">
        <v>43731</v>
      </c>
      <c r="B1018" s="13">
        <v>9.782</v>
      </c>
      <c r="C1018" s="13">
        <v>9.782</v>
      </c>
      <c r="D1018" s="13">
        <v>9.782</v>
      </c>
      <c r="E1018" s="13">
        <v>9.782</v>
      </c>
      <c r="F1018" s="15">
        <v>-0.0005</v>
      </c>
    </row>
    <row r="1019" spans="1:6">
      <c r="A1019" s="14">
        <v>43728</v>
      </c>
      <c r="B1019" s="13">
        <v>9.787</v>
      </c>
      <c r="C1019" s="13">
        <v>9.787</v>
      </c>
      <c r="D1019" s="13">
        <v>9.787</v>
      </c>
      <c r="E1019" s="13">
        <v>9.787</v>
      </c>
      <c r="F1019" s="15">
        <v>0.0003</v>
      </c>
    </row>
    <row r="1020" spans="1:6">
      <c r="A1020" s="14">
        <v>43727</v>
      </c>
      <c r="B1020" s="13">
        <v>9.784</v>
      </c>
      <c r="C1020" s="13">
        <v>9.784</v>
      </c>
      <c r="D1020" s="13">
        <v>9.784</v>
      </c>
      <c r="E1020" s="13">
        <v>9.784</v>
      </c>
      <c r="F1020" s="15">
        <v>0.0016</v>
      </c>
    </row>
    <row r="1021" spans="1:6">
      <c r="A1021" s="14">
        <v>43726</v>
      </c>
      <c r="B1021" s="13">
        <v>9.768</v>
      </c>
      <c r="C1021" s="13">
        <v>9.768</v>
      </c>
      <c r="D1021" s="13">
        <v>9.768</v>
      </c>
      <c r="E1021" s="13">
        <v>9.768</v>
      </c>
      <c r="F1021" s="15">
        <v>-0.0002</v>
      </c>
    </row>
    <row r="1022" spans="1:6">
      <c r="A1022" s="14">
        <v>43725</v>
      </c>
      <c r="B1022" s="13">
        <v>9.77</v>
      </c>
      <c r="C1022" s="13">
        <v>9.77</v>
      </c>
      <c r="D1022" s="13">
        <v>9.77</v>
      </c>
      <c r="E1022" s="13">
        <v>9.77</v>
      </c>
      <c r="F1022" s="15">
        <v>0</v>
      </c>
    </row>
    <row r="1023" spans="1:6">
      <c r="A1023" s="14">
        <v>43724</v>
      </c>
      <c r="B1023" s="13">
        <v>9.77</v>
      </c>
      <c r="C1023" s="13">
        <v>9.77</v>
      </c>
      <c r="D1023" s="13">
        <v>9.77</v>
      </c>
      <c r="E1023" s="13">
        <v>9.77</v>
      </c>
      <c r="F1023" s="15">
        <v>-0.0021</v>
      </c>
    </row>
    <row r="1024" spans="1:6">
      <c r="A1024" s="14">
        <v>43721</v>
      </c>
      <c r="B1024" s="13">
        <v>9.791</v>
      </c>
      <c r="C1024" s="13">
        <v>9.791</v>
      </c>
      <c r="D1024" s="13">
        <v>9.791</v>
      </c>
      <c r="E1024" s="13">
        <v>9.791</v>
      </c>
      <c r="F1024" s="15">
        <v>-0.0003</v>
      </c>
    </row>
    <row r="1025" spans="1:6">
      <c r="A1025" s="14">
        <v>43720</v>
      </c>
      <c r="B1025" s="13">
        <v>9.794</v>
      </c>
      <c r="C1025" s="13">
        <v>9.794</v>
      </c>
      <c r="D1025" s="13">
        <v>9.794</v>
      </c>
      <c r="E1025" s="13">
        <v>9.794</v>
      </c>
      <c r="F1025" s="15">
        <v>0.0069</v>
      </c>
    </row>
    <row r="1026" spans="1:6">
      <c r="A1026" s="14">
        <v>43719</v>
      </c>
      <c r="B1026" s="13">
        <v>9.727</v>
      </c>
      <c r="C1026" s="13">
        <v>9.727</v>
      </c>
      <c r="D1026" s="13">
        <v>9.727</v>
      </c>
      <c r="E1026" s="13">
        <v>9.727</v>
      </c>
      <c r="F1026" s="15">
        <v>-0.0082</v>
      </c>
    </row>
    <row r="1027" spans="1:6">
      <c r="A1027" s="14">
        <v>43718</v>
      </c>
      <c r="B1027" s="13">
        <v>9.807</v>
      </c>
      <c r="C1027" s="13">
        <v>9.807</v>
      </c>
      <c r="D1027" s="13">
        <v>9.807</v>
      </c>
      <c r="E1027" s="13">
        <v>9.807</v>
      </c>
      <c r="F1027" s="15">
        <v>-0.0005</v>
      </c>
    </row>
    <row r="1028" spans="1:6">
      <c r="A1028" s="14">
        <v>43717</v>
      </c>
      <c r="B1028" s="13">
        <v>9.812</v>
      </c>
      <c r="C1028" s="13">
        <v>9.812</v>
      </c>
      <c r="D1028" s="13">
        <v>9.812</v>
      </c>
      <c r="E1028" s="13">
        <v>9.812</v>
      </c>
      <c r="F1028" s="15">
        <v>0.0019</v>
      </c>
    </row>
    <row r="1029" spans="1:6">
      <c r="A1029" s="14">
        <v>43714</v>
      </c>
      <c r="B1029" s="13">
        <v>9.793</v>
      </c>
      <c r="C1029" s="13">
        <v>9.793</v>
      </c>
      <c r="D1029" s="13">
        <v>9.793</v>
      </c>
      <c r="E1029" s="13">
        <v>9.793</v>
      </c>
      <c r="F1029" s="15">
        <v>-0.0001</v>
      </c>
    </row>
    <row r="1030" spans="1:6">
      <c r="A1030" s="14">
        <v>43713</v>
      </c>
      <c r="B1030" s="13">
        <v>9.794</v>
      </c>
      <c r="C1030" s="13">
        <v>9.794</v>
      </c>
      <c r="D1030" s="13">
        <v>9.794</v>
      </c>
      <c r="E1030" s="13">
        <v>9.794</v>
      </c>
      <c r="F1030" s="15">
        <v>0</v>
      </c>
    </row>
    <row r="1031" spans="1:6">
      <c r="A1031" s="14">
        <v>43712</v>
      </c>
      <c r="B1031" s="13">
        <v>9.794</v>
      </c>
      <c r="C1031" s="13">
        <v>9.794</v>
      </c>
      <c r="D1031" s="13">
        <v>9.794</v>
      </c>
      <c r="E1031" s="13">
        <v>9.794</v>
      </c>
      <c r="F1031" s="15">
        <v>-0.0002</v>
      </c>
    </row>
    <row r="1032" spans="1:6">
      <c r="A1032" s="14">
        <v>43711</v>
      </c>
      <c r="B1032" s="13">
        <v>9.796</v>
      </c>
      <c r="C1032" s="13">
        <v>9.796</v>
      </c>
      <c r="D1032" s="13">
        <v>9.796</v>
      </c>
      <c r="E1032" s="13">
        <v>9.796</v>
      </c>
      <c r="F1032" s="15">
        <v>-0.0003</v>
      </c>
    </row>
    <row r="1033" spans="1:6">
      <c r="A1033" s="14">
        <v>43710</v>
      </c>
      <c r="B1033" s="13">
        <v>9.799</v>
      </c>
      <c r="C1033" s="13">
        <v>9.799</v>
      </c>
      <c r="D1033" s="13">
        <v>9.799</v>
      </c>
      <c r="E1033" s="13">
        <v>9.799</v>
      </c>
      <c r="F1033" s="15">
        <v>0.0066</v>
      </c>
    </row>
    <row r="1034" spans="1:6">
      <c r="A1034" s="14">
        <v>43706</v>
      </c>
      <c r="B1034" s="13">
        <v>9.735</v>
      </c>
      <c r="C1034" s="13">
        <v>9.735</v>
      </c>
      <c r="D1034" s="13">
        <v>9.735</v>
      </c>
      <c r="E1034" s="13">
        <v>9.735</v>
      </c>
      <c r="F1034" s="15">
        <v>-0.008</v>
      </c>
    </row>
    <row r="1035" spans="1:6">
      <c r="A1035" s="14">
        <v>43705</v>
      </c>
      <c r="B1035" s="13">
        <v>9.814</v>
      </c>
      <c r="C1035" s="13">
        <v>9.814</v>
      </c>
      <c r="D1035" s="13">
        <v>9.814</v>
      </c>
      <c r="E1035" s="13">
        <v>9.814</v>
      </c>
      <c r="F1035" s="15">
        <v>-0.0001</v>
      </c>
    </row>
    <row r="1036" spans="1:6">
      <c r="A1036" s="14">
        <v>43704</v>
      </c>
      <c r="B1036" s="13">
        <v>9.815</v>
      </c>
      <c r="C1036" s="13">
        <v>9.815</v>
      </c>
      <c r="D1036" s="13">
        <v>9.815</v>
      </c>
      <c r="E1036" s="13">
        <v>9.815</v>
      </c>
      <c r="F1036" s="15">
        <v>-0.0002</v>
      </c>
    </row>
    <row r="1037" spans="1:6">
      <c r="A1037" s="14">
        <v>43703</v>
      </c>
      <c r="B1037" s="13">
        <v>9.817</v>
      </c>
      <c r="C1037" s="13">
        <v>9.817</v>
      </c>
      <c r="D1037" s="13">
        <v>9.817</v>
      </c>
      <c r="E1037" s="13">
        <v>9.817</v>
      </c>
      <c r="F1037" s="15">
        <v>-0.0008</v>
      </c>
    </row>
    <row r="1038" spans="1:6">
      <c r="A1038" s="14">
        <v>43700</v>
      </c>
      <c r="B1038" s="13">
        <v>9.825</v>
      </c>
      <c r="C1038" s="13">
        <v>9.825</v>
      </c>
      <c r="D1038" s="13">
        <v>9.825</v>
      </c>
      <c r="E1038" s="13">
        <v>9.825</v>
      </c>
      <c r="F1038" s="15">
        <v>-0.0003</v>
      </c>
    </row>
    <row r="1039" spans="1:6">
      <c r="A1039" s="14">
        <v>43699</v>
      </c>
      <c r="B1039" s="13">
        <v>9.828</v>
      </c>
      <c r="C1039" s="13">
        <v>9.828</v>
      </c>
      <c r="D1039" s="13">
        <v>9.828</v>
      </c>
      <c r="E1039" s="13">
        <v>9.828</v>
      </c>
      <c r="F1039" s="15">
        <v>0.0017</v>
      </c>
    </row>
    <row r="1040" spans="1:6">
      <c r="A1040" s="14">
        <v>43698</v>
      </c>
      <c r="B1040" s="13">
        <v>9.811</v>
      </c>
      <c r="C1040" s="13">
        <v>9.811</v>
      </c>
      <c r="D1040" s="13">
        <v>9.811</v>
      </c>
      <c r="E1040" s="13">
        <v>9.811</v>
      </c>
      <c r="F1040" s="15">
        <v>-0.0002</v>
      </c>
    </row>
    <row r="1041" spans="1:6">
      <c r="A1041" s="14">
        <v>43697</v>
      </c>
      <c r="B1041" s="13">
        <v>9.813</v>
      </c>
      <c r="C1041" s="13">
        <v>9.813</v>
      </c>
      <c r="D1041" s="13">
        <v>9.813</v>
      </c>
      <c r="E1041" s="13">
        <v>9.813</v>
      </c>
      <c r="F1041" s="15">
        <v>-0.0001</v>
      </c>
    </row>
    <row r="1042" spans="1:6">
      <c r="A1042" s="14">
        <v>43696</v>
      </c>
      <c r="B1042" s="13">
        <v>9.814</v>
      </c>
      <c r="C1042" s="13">
        <v>9.814</v>
      </c>
      <c r="D1042" s="13">
        <v>9.814</v>
      </c>
      <c r="E1042" s="13">
        <v>9.814</v>
      </c>
      <c r="F1042" s="15">
        <v>0.0022</v>
      </c>
    </row>
    <row r="1043" spans="1:6">
      <c r="A1043" s="14">
        <v>43693</v>
      </c>
      <c r="B1043" s="13">
        <v>9.792</v>
      </c>
      <c r="C1043" s="13">
        <v>9.792</v>
      </c>
      <c r="D1043" s="13">
        <v>9.792</v>
      </c>
      <c r="E1043" s="13">
        <v>9.792</v>
      </c>
      <c r="F1043" s="15">
        <v>-0.0003</v>
      </c>
    </row>
    <row r="1044" spans="1:6">
      <c r="A1044" s="14">
        <v>43692</v>
      </c>
      <c r="B1044" s="13">
        <v>9.795</v>
      </c>
      <c r="C1044" s="13">
        <v>9.795</v>
      </c>
      <c r="D1044" s="13">
        <v>9.795</v>
      </c>
      <c r="E1044" s="13">
        <v>9.795</v>
      </c>
      <c r="F1044" s="15">
        <v>-0.0001</v>
      </c>
    </row>
    <row r="1045" spans="1:6">
      <c r="A1045" s="14">
        <v>43691</v>
      </c>
      <c r="B1045" s="13">
        <v>9.796</v>
      </c>
      <c r="C1045" s="13">
        <v>9.796</v>
      </c>
      <c r="D1045" s="13">
        <v>9.796</v>
      </c>
      <c r="E1045" s="13">
        <v>9.796</v>
      </c>
      <c r="F1045" s="15">
        <v>-0.0003</v>
      </c>
    </row>
    <row r="1046" spans="1:6">
      <c r="A1046" s="14">
        <v>43690</v>
      </c>
      <c r="B1046" s="13">
        <v>9.799</v>
      </c>
      <c r="C1046" s="13">
        <v>9.799</v>
      </c>
      <c r="D1046" s="13">
        <v>9.799</v>
      </c>
      <c r="E1046" s="13">
        <v>9.799</v>
      </c>
      <c r="F1046" s="15">
        <v>-0.0002</v>
      </c>
    </row>
    <row r="1047" spans="1:6">
      <c r="A1047" s="14">
        <v>43689</v>
      </c>
      <c r="B1047" s="13">
        <v>9.801</v>
      </c>
      <c r="C1047" s="13">
        <v>9.801</v>
      </c>
      <c r="D1047" s="13">
        <v>9.801</v>
      </c>
      <c r="E1047" s="13">
        <v>9.801</v>
      </c>
      <c r="F1047" s="15">
        <v>0.0009</v>
      </c>
    </row>
    <row r="1048" spans="1:6">
      <c r="A1048" s="14">
        <v>43686</v>
      </c>
      <c r="B1048" s="13">
        <v>9.792</v>
      </c>
      <c r="C1048" s="13">
        <v>9.792</v>
      </c>
      <c r="D1048" s="13">
        <v>9.792</v>
      </c>
      <c r="E1048" s="13">
        <v>9.792</v>
      </c>
      <c r="F1048" s="15">
        <v>0</v>
      </c>
    </row>
    <row r="1049" spans="1:6">
      <c r="A1049" s="14">
        <v>43685</v>
      </c>
      <c r="B1049" s="13">
        <v>9.792</v>
      </c>
      <c r="C1049" s="13">
        <v>9.792</v>
      </c>
      <c r="D1049" s="13">
        <v>9.792</v>
      </c>
      <c r="E1049" s="13">
        <v>9.792</v>
      </c>
      <c r="F1049" s="15">
        <v>0.0014</v>
      </c>
    </row>
    <row r="1050" spans="1:6">
      <c r="A1050" s="14">
        <v>43684</v>
      </c>
      <c r="B1050" s="13">
        <v>9.778</v>
      </c>
      <c r="C1050" s="13">
        <v>9.778</v>
      </c>
      <c r="D1050" s="13">
        <v>9.778</v>
      </c>
      <c r="E1050" s="13">
        <v>9.778</v>
      </c>
      <c r="F1050" s="15">
        <v>-0.0001</v>
      </c>
    </row>
    <row r="1051" spans="1:6">
      <c r="A1051" s="14">
        <v>43683</v>
      </c>
      <c r="B1051" s="13">
        <v>9.779</v>
      </c>
      <c r="C1051" s="13">
        <v>9.779</v>
      </c>
      <c r="D1051" s="13">
        <v>9.779</v>
      </c>
      <c r="E1051" s="13">
        <v>9.779</v>
      </c>
      <c r="F1051" s="15">
        <v>0.0016</v>
      </c>
    </row>
    <row r="1052" spans="1:6">
      <c r="A1052" s="14">
        <v>43682</v>
      </c>
      <c r="B1052" s="13">
        <v>9.763</v>
      </c>
      <c r="C1052" s="13">
        <v>9.763</v>
      </c>
      <c r="D1052" s="13">
        <v>9.763</v>
      </c>
      <c r="E1052" s="13">
        <v>9.763</v>
      </c>
      <c r="F1052" s="15">
        <v>0.0026</v>
      </c>
    </row>
    <row r="1053" spans="1:6">
      <c r="A1053" s="14">
        <v>43679</v>
      </c>
      <c r="B1053" s="13">
        <v>9.738</v>
      </c>
      <c r="C1053" s="13">
        <v>9.738</v>
      </c>
      <c r="D1053" s="13">
        <v>9.738</v>
      </c>
      <c r="E1053" s="13">
        <v>9.738</v>
      </c>
      <c r="F1053" s="15">
        <v>0</v>
      </c>
    </row>
    <row r="1054" spans="1:6">
      <c r="A1054" s="14">
        <v>43678</v>
      </c>
      <c r="B1054" s="13">
        <v>9.738</v>
      </c>
      <c r="C1054" s="13">
        <v>9.738</v>
      </c>
      <c r="D1054" s="13">
        <v>9.738</v>
      </c>
      <c r="E1054" s="13">
        <v>9.738</v>
      </c>
      <c r="F1054" s="15">
        <v>0.0024</v>
      </c>
    </row>
    <row r="1055" spans="1:6">
      <c r="A1055" s="14">
        <v>43677</v>
      </c>
      <c r="B1055" s="13">
        <v>9.715</v>
      </c>
      <c r="C1055" s="13">
        <v>9.715</v>
      </c>
      <c r="D1055" s="13">
        <v>9.715</v>
      </c>
      <c r="E1055" s="13">
        <v>9.715</v>
      </c>
      <c r="F1055" s="15">
        <v>-0.0022</v>
      </c>
    </row>
    <row r="1056" spans="1:6">
      <c r="A1056" s="14">
        <v>43676</v>
      </c>
      <c r="B1056" s="13">
        <v>9.736</v>
      </c>
      <c r="C1056" s="13">
        <v>9.736</v>
      </c>
      <c r="D1056" s="13">
        <v>9.736</v>
      </c>
      <c r="E1056" s="13">
        <v>9.736</v>
      </c>
      <c r="F1056" s="15">
        <v>-0.0001</v>
      </c>
    </row>
    <row r="1057" spans="1:6">
      <c r="A1057" s="14">
        <v>43675</v>
      </c>
      <c r="B1057" s="13">
        <v>9.737</v>
      </c>
      <c r="C1057" s="13">
        <v>9.737</v>
      </c>
      <c r="D1057" s="13">
        <v>9.737</v>
      </c>
      <c r="E1057" s="13">
        <v>9.737</v>
      </c>
      <c r="F1057" s="15">
        <v>0.0054</v>
      </c>
    </row>
    <row r="1058" spans="1:6">
      <c r="A1058" s="14">
        <v>43672</v>
      </c>
      <c r="B1058" s="13">
        <v>9.685</v>
      </c>
      <c r="C1058" s="13">
        <v>9.685</v>
      </c>
      <c r="D1058" s="13">
        <v>9.685</v>
      </c>
      <c r="E1058" s="13">
        <v>9.685</v>
      </c>
      <c r="F1058" s="15">
        <v>-0.0001</v>
      </c>
    </row>
    <row r="1059" spans="1:6">
      <c r="A1059" s="14">
        <v>43671</v>
      </c>
      <c r="B1059" s="13">
        <v>9.686</v>
      </c>
      <c r="C1059" s="13">
        <v>9.686</v>
      </c>
      <c r="D1059" s="13">
        <v>9.686</v>
      </c>
      <c r="E1059" s="13">
        <v>9.686</v>
      </c>
      <c r="F1059" s="15">
        <v>0.0023</v>
      </c>
    </row>
    <row r="1060" spans="1:6">
      <c r="A1060" s="14">
        <v>43670</v>
      </c>
      <c r="B1060" s="13">
        <v>9.664</v>
      </c>
      <c r="C1060" s="13">
        <v>9.664</v>
      </c>
      <c r="D1060" s="13">
        <v>9.664</v>
      </c>
      <c r="E1060" s="13">
        <v>9.664</v>
      </c>
      <c r="F1060" s="15">
        <v>0.0001</v>
      </c>
    </row>
    <row r="1061" spans="1:6">
      <c r="A1061" s="14">
        <v>43669</v>
      </c>
      <c r="B1061" s="13">
        <v>9.663</v>
      </c>
      <c r="C1061" s="13">
        <v>9.663</v>
      </c>
      <c r="D1061" s="13">
        <v>9.663</v>
      </c>
      <c r="E1061" s="13">
        <v>9.663</v>
      </c>
      <c r="F1061" s="15">
        <v>-0.0001</v>
      </c>
    </row>
    <row r="1062" spans="1:6">
      <c r="A1062" s="14">
        <v>43668</v>
      </c>
      <c r="B1062" s="13">
        <v>9.664</v>
      </c>
      <c r="C1062" s="13">
        <v>9.664</v>
      </c>
      <c r="D1062" s="13">
        <v>9.664</v>
      </c>
      <c r="E1062" s="13">
        <v>9.664</v>
      </c>
      <c r="F1062" s="15">
        <v>0.0058</v>
      </c>
    </row>
    <row r="1063" spans="1:6">
      <c r="A1063" s="14">
        <v>43665</v>
      </c>
      <c r="B1063" s="13">
        <v>9.608</v>
      </c>
      <c r="C1063" s="13">
        <v>9.608</v>
      </c>
      <c r="D1063" s="13">
        <v>9.608</v>
      </c>
      <c r="E1063" s="13">
        <v>9.608</v>
      </c>
      <c r="F1063" s="15">
        <v>0.0001</v>
      </c>
    </row>
    <row r="1064" spans="1:6">
      <c r="A1064" s="14">
        <v>43664</v>
      </c>
      <c r="B1064" s="13">
        <v>9.607</v>
      </c>
      <c r="C1064" s="13">
        <v>9.607</v>
      </c>
      <c r="D1064" s="13">
        <v>9.607</v>
      </c>
      <c r="E1064" s="13">
        <v>9.607</v>
      </c>
      <c r="F1064" s="15">
        <v>0.0001</v>
      </c>
    </row>
    <row r="1065" spans="1:6">
      <c r="A1065" s="14">
        <v>43663</v>
      </c>
      <c r="B1065" s="13">
        <v>9.606</v>
      </c>
      <c r="C1065" s="13">
        <v>9.606</v>
      </c>
      <c r="D1065" s="13">
        <v>9.606</v>
      </c>
      <c r="E1065" s="13">
        <v>9.606</v>
      </c>
      <c r="F1065" s="15">
        <v>0</v>
      </c>
    </row>
    <row r="1066" spans="1:6">
      <c r="A1066" s="14">
        <v>43662</v>
      </c>
      <c r="B1066" s="13">
        <v>9.606</v>
      </c>
      <c r="C1066" s="13">
        <v>9.606</v>
      </c>
      <c r="D1066" s="13">
        <v>9.606</v>
      </c>
      <c r="E1066" s="13">
        <v>9.606</v>
      </c>
      <c r="F1066" s="15">
        <v>-0.0002</v>
      </c>
    </row>
    <row r="1067" spans="1:6">
      <c r="A1067" s="14">
        <v>43661</v>
      </c>
      <c r="B1067" s="13">
        <v>9.608</v>
      </c>
      <c r="C1067" s="13">
        <v>9.608</v>
      </c>
      <c r="D1067" s="13">
        <v>9.608</v>
      </c>
      <c r="E1067" s="13">
        <v>9.608</v>
      </c>
      <c r="F1067" s="15">
        <v>0.0253</v>
      </c>
    </row>
    <row r="1068" spans="1:6">
      <c r="A1068" s="14">
        <v>43658</v>
      </c>
      <c r="B1068" s="13">
        <v>9.371</v>
      </c>
      <c r="C1068" s="13">
        <v>9.371</v>
      </c>
      <c r="D1068" s="13">
        <v>9.371</v>
      </c>
      <c r="E1068" s="13">
        <v>9.371</v>
      </c>
      <c r="F1068" s="15">
        <v>-0.0002</v>
      </c>
    </row>
    <row r="1069" spans="1:6">
      <c r="A1069" s="14">
        <v>43657</v>
      </c>
      <c r="B1069" s="13">
        <v>9.373</v>
      </c>
      <c r="C1069" s="13">
        <v>9.373</v>
      </c>
      <c r="D1069" s="13">
        <v>9.373</v>
      </c>
      <c r="E1069" s="13">
        <v>9.373</v>
      </c>
      <c r="F1069" s="15">
        <v>0.0127</v>
      </c>
    </row>
    <row r="1070" spans="1:6">
      <c r="A1070" s="14">
        <v>43656</v>
      </c>
      <c r="B1070" s="13">
        <v>9.255</v>
      </c>
      <c r="C1070" s="13">
        <v>9.255</v>
      </c>
      <c r="D1070" s="13">
        <v>9.255</v>
      </c>
      <c r="E1070" s="13">
        <v>9.255</v>
      </c>
      <c r="F1070" s="15">
        <v>-0.0001</v>
      </c>
    </row>
    <row r="1071" spans="1:6">
      <c r="A1071" s="14">
        <v>43655</v>
      </c>
      <c r="B1071" s="13">
        <v>9.256</v>
      </c>
      <c r="C1071" s="13">
        <v>9.256</v>
      </c>
      <c r="D1071" s="13">
        <v>9.256</v>
      </c>
      <c r="E1071" s="13">
        <v>9.256</v>
      </c>
      <c r="F1071" s="15">
        <v>0.0008</v>
      </c>
    </row>
    <row r="1072" spans="1:6">
      <c r="A1072" s="14">
        <v>43651</v>
      </c>
      <c r="B1072" s="13">
        <v>9.249</v>
      </c>
      <c r="C1072" s="13">
        <v>9.249</v>
      </c>
      <c r="D1072" s="13">
        <v>9.249</v>
      </c>
      <c r="E1072" s="13">
        <v>9.249</v>
      </c>
      <c r="F1072" s="15">
        <v>0.0002</v>
      </c>
    </row>
    <row r="1073" spans="1:6">
      <c r="A1073" s="14">
        <v>43650</v>
      </c>
      <c r="B1073" s="13">
        <v>9.247</v>
      </c>
      <c r="C1073" s="13">
        <v>9.247</v>
      </c>
      <c r="D1073" s="13">
        <v>9.247</v>
      </c>
      <c r="E1073" s="13">
        <v>9.247</v>
      </c>
      <c r="F1073" s="15">
        <v>0.0001</v>
      </c>
    </row>
    <row r="1074" spans="1:6">
      <c r="A1074" s="14">
        <v>43649</v>
      </c>
      <c r="B1074" s="13">
        <v>9.246</v>
      </c>
      <c r="C1074" s="13">
        <v>9.246</v>
      </c>
      <c r="D1074" s="13">
        <v>9.246</v>
      </c>
      <c r="E1074" s="13">
        <v>9.246</v>
      </c>
      <c r="F1074" s="15">
        <v>0</v>
      </c>
    </row>
    <row r="1075" spans="1:6">
      <c r="A1075" s="14">
        <v>43648</v>
      </c>
      <c r="B1075" s="13">
        <v>9.246</v>
      </c>
      <c r="C1075" s="13">
        <v>9.246</v>
      </c>
      <c r="D1075" s="13">
        <v>9.246</v>
      </c>
      <c r="E1075" s="13">
        <v>9.246</v>
      </c>
      <c r="F1075" s="15">
        <v>0</v>
      </c>
    </row>
    <row r="1076" spans="1:6">
      <c r="A1076" s="14">
        <v>43647</v>
      </c>
      <c r="B1076" s="13">
        <v>9.246</v>
      </c>
      <c r="C1076" s="13">
        <v>9.246</v>
      </c>
      <c r="D1076" s="13">
        <v>9.246</v>
      </c>
      <c r="E1076" s="13">
        <v>9.246</v>
      </c>
      <c r="F1076" s="15">
        <v>0.016</v>
      </c>
    </row>
    <row r="1077" spans="1:6">
      <c r="A1077" s="14">
        <v>43644</v>
      </c>
      <c r="B1077" s="13">
        <v>9.1</v>
      </c>
      <c r="C1077" s="13">
        <v>9.1</v>
      </c>
      <c r="D1077" s="13">
        <v>9.1</v>
      </c>
      <c r="E1077" s="13">
        <v>9.1</v>
      </c>
      <c r="F1077" s="15">
        <v>0.0003</v>
      </c>
    </row>
    <row r="1078" spans="1:6">
      <c r="A1078" s="14">
        <v>43643</v>
      </c>
      <c r="B1078" s="13">
        <v>9.097</v>
      </c>
      <c r="C1078" s="13">
        <v>9.097</v>
      </c>
      <c r="D1078" s="13">
        <v>9.097</v>
      </c>
      <c r="E1078" s="13">
        <v>9.097</v>
      </c>
      <c r="F1078" s="15">
        <v>0</v>
      </c>
    </row>
    <row r="1079" spans="1:6">
      <c r="A1079" s="14">
        <v>43642</v>
      </c>
      <c r="B1079" s="13">
        <v>9.097</v>
      </c>
      <c r="C1079" s="13">
        <v>9.097</v>
      </c>
      <c r="D1079" s="13">
        <v>9.097</v>
      </c>
      <c r="E1079" s="13">
        <v>9.097</v>
      </c>
      <c r="F1079" s="15">
        <v>0</v>
      </c>
    </row>
    <row r="1080" spans="1:6">
      <c r="A1080" s="14">
        <v>43641</v>
      </c>
      <c r="B1080" s="13">
        <v>9.097</v>
      </c>
      <c r="C1080" s="13">
        <v>9.097</v>
      </c>
      <c r="D1080" s="13">
        <v>9.097</v>
      </c>
      <c r="E1080" s="13">
        <v>9.097</v>
      </c>
      <c r="F1080" s="15">
        <v>-0.0004</v>
      </c>
    </row>
    <row r="1081" spans="1:6">
      <c r="A1081" s="14">
        <v>43640</v>
      </c>
      <c r="B1081" s="13">
        <v>9.101</v>
      </c>
      <c r="C1081" s="13">
        <v>9.101</v>
      </c>
      <c r="D1081" s="13">
        <v>9.101</v>
      </c>
      <c r="E1081" s="13">
        <v>9.101</v>
      </c>
      <c r="F1081" s="15">
        <v>0.0366</v>
      </c>
    </row>
    <row r="1082" spans="1:6">
      <c r="A1082" s="14">
        <v>43637</v>
      </c>
      <c r="B1082" s="13">
        <v>8.78</v>
      </c>
      <c r="C1082" s="13">
        <v>8.78</v>
      </c>
      <c r="D1082" s="13">
        <v>8.78</v>
      </c>
      <c r="E1082" s="13">
        <v>8.78</v>
      </c>
      <c r="F1082" s="15">
        <v>0.0001</v>
      </c>
    </row>
    <row r="1083" spans="1:6">
      <c r="A1083" s="14">
        <v>43636</v>
      </c>
      <c r="B1083" s="13">
        <v>8.779</v>
      </c>
      <c r="C1083" s="13">
        <v>8.779</v>
      </c>
      <c r="D1083" s="13">
        <v>8.779</v>
      </c>
      <c r="E1083" s="13">
        <v>8.779</v>
      </c>
      <c r="F1083" s="15">
        <v>0.0055</v>
      </c>
    </row>
    <row r="1084" spans="1:6">
      <c r="A1084" s="14">
        <v>43635</v>
      </c>
      <c r="B1084" s="13">
        <v>8.731</v>
      </c>
      <c r="C1084" s="13">
        <v>8.731</v>
      </c>
      <c r="D1084" s="13">
        <v>8.731</v>
      </c>
      <c r="E1084" s="13">
        <v>8.731</v>
      </c>
      <c r="F1084" s="15">
        <v>0</v>
      </c>
    </row>
    <row r="1085" spans="1:6">
      <c r="A1085" s="14">
        <v>43634</v>
      </c>
      <c r="B1085" s="13">
        <v>8.731</v>
      </c>
      <c r="C1085" s="13">
        <v>8.731</v>
      </c>
      <c r="D1085" s="13">
        <v>8.731</v>
      </c>
      <c r="E1085" s="13">
        <v>8.731</v>
      </c>
      <c r="F1085" s="15">
        <v>0.0029</v>
      </c>
    </row>
    <row r="1086" spans="1:6">
      <c r="A1086" s="14">
        <v>43633</v>
      </c>
      <c r="B1086" s="13">
        <v>8.706</v>
      </c>
      <c r="C1086" s="13">
        <v>8.706</v>
      </c>
      <c r="D1086" s="13">
        <v>8.706</v>
      </c>
      <c r="E1086" s="13">
        <v>8.706</v>
      </c>
      <c r="F1086" s="15">
        <v>0.0038</v>
      </c>
    </row>
    <row r="1087" spans="1:6">
      <c r="A1087" s="14">
        <v>43630</v>
      </c>
      <c r="B1087" s="13">
        <v>8.673</v>
      </c>
      <c r="C1087" s="13">
        <v>8.673</v>
      </c>
      <c r="D1087" s="13">
        <v>8.673</v>
      </c>
      <c r="E1087" s="13">
        <v>8.673</v>
      </c>
      <c r="F1087" s="15">
        <v>0.0003</v>
      </c>
    </row>
    <row r="1088" spans="1:6">
      <c r="A1088" s="14">
        <v>43629</v>
      </c>
      <c r="B1088" s="13">
        <v>8.67</v>
      </c>
      <c r="C1088" s="13">
        <v>8.67</v>
      </c>
      <c r="D1088" s="13">
        <v>8.67</v>
      </c>
      <c r="E1088" s="13">
        <v>8.67</v>
      </c>
      <c r="F1088" s="15">
        <v>0</v>
      </c>
    </row>
    <row r="1089" spans="1:6">
      <c r="A1089" s="14">
        <v>43628</v>
      </c>
      <c r="B1089" s="13">
        <v>8.67</v>
      </c>
      <c r="C1089" s="13">
        <v>8.67</v>
      </c>
      <c r="D1089" s="13">
        <v>8.67</v>
      </c>
      <c r="E1089" s="13">
        <v>8.67</v>
      </c>
      <c r="F1089" s="15">
        <v>0</v>
      </c>
    </row>
    <row r="1090" spans="1:6">
      <c r="A1090" s="14">
        <v>43627</v>
      </c>
      <c r="B1090" s="13">
        <v>8.67</v>
      </c>
      <c r="C1090" s="13">
        <v>8.67</v>
      </c>
      <c r="D1090" s="13">
        <v>8.67</v>
      </c>
      <c r="E1090" s="13">
        <v>8.67</v>
      </c>
      <c r="F1090" s="15">
        <v>0.0007</v>
      </c>
    </row>
    <row r="1091" spans="1:6">
      <c r="A1091" s="14">
        <v>43626</v>
      </c>
      <c r="B1091" s="13">
        <v>8.664</v>
      </c>
      <c r="C1091" s="13">
        <v>8.664</v>
      </c>
      <c r="D1091" s="13">
        <v>8.664</v>
      </c>
      <c r="E1091" s="13">
        <v>8.664</v>
      </c>
      <c r="F1091" s="15">
        <v>-0.0009</v>
      </c>
    </row>
    <row r="1092" spans="1:6">
      <c r="A1092" s="14">
        <v>43623</v>
      </c>
      <c r="B1092" s="13">
        <v>8.672</v>
      </c>
      <c r="C1092" s="13">
        <v>8.672</v>
      </c>
      <c r="D1092" s="13">
        <v>8.672</v>
      </c>
      <c r="E1092" s="13">
        <v>8.672</v>
      </c>
      <c r="F1092" s="15">
        <v>-0.0005</v>
      </c>
    </row>
    <row r="1093" spans="1:6">
      <c r="A1093" s="14">
        <v>43622</v>
      </c>
      <c r="B1093" s="13">
        <v>8.676</v>
      </c>
      <c r="C1093" s="13">
        <v>8.676</v>
      </c>
      <c r="D1093" s="13">
        <v>8.676</v>
      </c>
      <c r="E1093" s="13">
        <v>8.676</v>
      </c>
      <c r="F1093" s="15">
        <v>-0.0002</v>
      </c>
    </row>
    <row r="1094" spans="1:6">
      <c r="A1094" s="14">
        <v>43621</v>
      </c>
      <c r="B1094" s="13">
        <v>8.678</v>
      </c>
      <c r="C1094" s="13">
        <v>8.678</v>
      </c>
      <c r="D1094" s="13">
        <v>8.678</v>
      </c>
      <c r="E1094" s="13">
        <v>8.678</v>
      </c>
      <c r="F1094" s="15">
        <v>0</v>
      </c>
    </row>
    <row r="1095" spans="1:6">
      <c r="A1095" s="14">
        <v>43620</v>
      </c>
      <c r="B1095" s="13">
        <v>8.678</v>
      </c>
      <c r="C1095" s="13">
        <v>8.678</v>
      </c>
      <c r="D1095" s="13">
        <v>8.678</v>
      </c>
      <c r="E1095" s="13">
        <v>8.678</v>
      </c>
      <c r="F1095" s="15">
        <v>-0.0002</v>
      </c>
    </row>
    <row r="1096" spans="1:6">
      <c r="A1096" s="14">
        <v>43619</v>
      </c>
      <c r="B1096" s="13">
        <v>8.68</v>
      </c>
      <c r="C1096" s="13">
        <v>8.68</v>
      </c>
      <c r="D1096" s="13">
        <v>8.68</v>
      </c>
      <c r="E1096" s="13">
        <v>8.68</v>
      </c>
      <c r="F1096" s="15">
        <v>0.0044</v>
      </c>
    </row>
    <row r="1097" spans="1:6">
      <c r="A1097" s="14">
        <v>43616</v>
      </c>
      <c r="B1097" s="13">
        <v>8.642</v>
      </c>
      <c r="C1097" s="13">
        <v>8.642</v>
      </c>
      <c r="D1097" s="13">
        <v>8.642</v>
      </c>
      <c r="E1097" s="13">
        <v>8.642</v>
      </c>
      <c r="F1097" s="15">
        <v>-0.0021</v>
      </c>
    </row>
    <row r="1098" spans="1:6">
      <c r="A1098" s="14">
        <v>43615</v>
      </c>
      <c r="B1098" s="13">
        <v>8.66</v>
      </c>
      <c r="C1098" s="13">
        <v>8.66</v>
      </c>
      <c r="D1098" s="13">
        <v>8.66</v>
      </c>
      <c r="E1098" s="13">
        <v>8.66</v>
      </c>
      <c r="F1098" s="15">
        <v>-0.001</v>
      </c>
    </row>
    <row r="1099" spans="1:6">
      <c r="A1099" s="14">
        <v>43614</v>
      </c>
      <c r="B1099" s="13">
        <v>8.669</v>
      </c>
      <c r="C1099" s="13">
        <v>8.669</v>
      </c>
      <c r="D1099" s="13">
        <v>8.669</v>
      </c>
      <c r="E1099" s="13">
        <v>8.669</v>
      </c>
      <c r="F1099" s="15">
        <v>0</v>
      </c>
    </row>
    <row r="1100" spans="1:6">
      <c r="A1100" s="14">
        <v>43613</v>
      </c>
      <c r="B1100" s="13">
        <v>8.669</v>
      </c>
      <c r="C1100" s="13">
        <v>8.669</v>
      </c>
      <c r="D1100" s="13">
        <v>8.669</v>
      </c>
      <c r="E1100" s="13">
        <v>8.669</v>
      </c>
      <c r="F1100" s="15">
        <v>-0.0015</v>
      </c>
    </row>
    <row r="1101" spans="1:6">
      <c r="A1101" s="14">
        <v>43612</v>
      </c>
      <c r="B1101" s="13">
        <v>8.682</v>
      </c>
      <c r="C1101" s="13">
        <v>8.682</v>
      </c>
      <c r="D1101" s="13">
        <v>8.682</v>
      </c>
      <c r="E1101" s="13">
        <v>8.682</v>
      </c>
      <c r="F1101" s="15">
        <v>-0.0017</v>
      </c>
    </row>
    <row r="1102" spans="1:6">
      <c r="A1102" s="14">
        <v>43609</v>
      </c>
      <c r="B1102" s="13">
        <v>8.697</v>
      </c>
      <c r="C1102" s="13">
        <v>8.697</v>
      </c>
      <c r="D1102" s="13">
        <v>8.697</v>
      </c>
      <c r="E1102" s="13">
        <v>8.697</v>
      </c>
      <c r="F1102" s="15">
        <v>-0.0002</v>
      </c>
    </row>
    <row r="1103" spans="1:6">
      <c r="A1103" s="14">
        <v>43608</v>
      </c>
      <c r="B1103" s="13">
        <v>8.699</v>
      </c>
      <c r="C1103" s="13">
        <v>8.699</v>
      </c>
      <c r="D1103" s="13">
        <v>8.699</v>
      </c>
      <c r="E1103" s="13">
        <v>8.699</v>
      </c>
      <c r="F1103" s="15">
        <v>0</v>
      </c>
    </row>
    <row r="1104" spans="1:6">
      <c r="A1104" s="14">
        <v>43607</v>
      </c>
      <c r="B1104" s="13">
        <v>8.699</v>
      </c>
      <c r="C1104" s="13">
        <v>8.699</v>
      </c>
      <c r="D1104" s="13">
        <v>8.699</v>
      </c>
      <c r="E1104" s="13">
        <v>8.699</v>
      </c>
      <c r="F1104" s="15">
        <v>0</v>
      </c>
    </row>
    <row r="1105" spans="1:6">
      <c r="A1105" s="14">
        <v>43606</v>
      </c>
      <c r="B1105" s="13">
        <v>8.699</v>
      </c>
      <c r="C1105" s="13">
        <v>8.699</v>
      </c>
      <c r="D1105" s="13">
        <v>8.699</v>
      </c>
      <c r="E1105" s="13">
        <v>8.699</v>
      </c>
      <c r="F1105" s="15">
        <v>-0.0005</v>
      </c>
    </row>
    <row r="1106" spans="1:6">
      <c r="A1106" s="14">
        <v>43605</v>
      </c>
      <c r="B1106" s="13">
        <v>8.703</v>
      </c>
      <c r="C1106" s="13">
        <v>8.703</v>
      </c>
      <c r="D1106" s="13">
        <v>8.703</v>
      </c>
      <c r="E1106" s="13">
        <v>8.703</v>
      </c>
      <c r="F1106" s="15">
        <v>-0.0014</v>
      </c>
    </row>
    <row r="1107" spans="1:6">
      <c r="A1107" s="14">
        <v>43602</v>
      </c>
      <c r="B1107" s="13">
        <v>8.715</v>
      </c>
      <c r="C1107" s="13">
        <v>8.715</v>
      </c>
      <c r="D1107" s="13">
        <v>8.715</v>
      </c>
      <c r="E1107" s="13">
        <v>8.715</v>
      </c>
      <c r="F1107" s="15">
        <v>0</v>
      </c>
    </row>
    <row r="1108" spans="1:6">
      <c r="A1108" s="14">
        <v>43601</v>
      </c>
      <c r="B1108" s="13">
        <v>8.715</v>
      </c>
      <c r="C1108" s="13">
        <v>8.715</v>
      </c>
      <c r="D1108" s="13">
        <v>8.715</v>
      </c>
      <c r="E1108" s="13">
        <v>8.715</v>
      </c>
      <c r="F1108" s="15">
        <v>0.0009</v>
      </c>
    </row>
    <row r="1109" spans="1:6">
      <c r="A1109" s="14">
        <v>43600</v>
      </c>
      <c r="B1109" s="13">
        <v>8.707</v>
      </c>
      <c r="C1109" s="13">
        <v>8.707</v>
      </c>
      <c r="D1109" s="13">
        <v>8.707</v>
      </c>
      <c r="E1109" s="13">
        <v>8.707</v>
      </c>
      <c r="F1109" s="15">
        <v>0</v>
      </c>
    </row>
    <row r="1110" spans="1:6">
      <c r="A1110" s="14">
        <v>43599</v>
      </c>
      <c r="B1110" s="13">
        <v>8.707</v>
      </c>
      <c r="C1110" s="13">
        <v>8.707</v>
      </c>
      <c r="D1110" s="13">
        <v>8.707</v>
      </c>
      <c r="E1110" s="13">
        <v>8.707</v>
      </c>
      <c r="F1110" s="15">
        <v>-0.0011</v>
      </c>
    </row>
    <row r="1111" spans="1:6">
      <c r="A1111" s="14">
        <v>43598</v>
      </c>
      <c r="B1111" s="13">
        <v>8.717</v>
      </c>
      <c r="C1111" s="13">
        <v>8.717</v>
      </c>
      <c r="D1111" s="13">
        <v>8.717</v>
      </c>
      <c r="E1111" s="13">
        <v>8.717</v>
      </c>
      <c r="F1111" s="15">
        <v>-0.0035</v>
      </c>
    </row>
    <row r="1112" spans="1:6">
      <c r="A1112" s="14">
        <v>43593</v>
      </c>
      <c r="B1112" s="13">
        <v>8.748</v>
      </c>
      <c r="C1112" s="13">
        <v>8.748</v>
      </c>
      <c r="D1112" s="13">
        <v>8.748</v>
      </c>
      <c r="E1112" s="13">
        <v>8.748</v>
      </c>
      <c r="F1112" s="15">
        <v>0</v>
      </c>
    </row>
    <row r="1113" spans="1:6">
      <c r="A1113" s="14">
        <v>43591</v>
      </c>
      <c r="B1113" s="13">
        <v>8.748</v>
      </c>
      <c r="C1113" s="13">
        <v>8.748</v>
      </c>
      <c r="D1113" s="13">
        <v>8.748</v>
      </c>
      <c r="E1113" s="13">
        <v>8.748</v>
      </c>
      <c r="F1113" s="15">
        <v>-0.0003</v>
      </c>
    </row>
    <row r="1114" spans="1:6">
      <c r="A1114" s="14">
        <v>43589</v>
      </c>
      <c r="B1114" s="13">
        <v>8.751</v>
      </c>
      <c r="C1114" s="13">
        <v>8.751</v>
      </c>
      <c r="D1114" s="13">
        <v>8.751</v>
      </c>
      <c r="E1114" s="13">
        <v>8.751</v>
      </c>
      <c r="F1114" s="15">
        <v>-0.0003</v>
      </c>
    </row>
    <row r="1115" spans="1:6">
      <c r="A1115" s="14">
        <v>43588</v>
      </c>
      <c r="B1115" s="13">
        <v>8.754</v>
      </c>
      <c r="C1115" s="13">
        <v>8.754</v>
      </c>
      <c r="D1115" s="13">
        <v>8.754</v>
      </c>
      <c r="E1115" s="13">
        <v>8.754</v>
      </c>
      <c r="F1115" s="15">
        <v>0</v>
      </c>
    </row>
    <row r="1116" spans="1:6">
      <c r="A1116" s="14">
        <v>43587</v>
      </c>
      <c r="B1116" s="13">
        <v>8.754</v>
      </c>
      <c r="C1116" s="13">
        <v>8.754</v>
      </c>
      <c r="D1116" s="13">
        <v>8.754</v>
      </c>
      <c r="E1116" s="13">
        <v>8.754</v>
      </c>
      <c r="F1116" s="15">
        <v>0.0001</v>
      </c>
    </row>
    <row r="1117" spans="1:6">
      <c r="A1117" s="14">
        <v>43585</v>
      </c>
      <c r="B1117" s="13">
        <v>8.753</v>
      </c>
      <c r="C1117" s="13">
        <v>8.753</v>
      </c>
      <c r="D1117" s="13">
        <v>8.753</v>
      </c>
      <c r="E1117" s="13">
        <v>8.753</v>
      </c>
      <c r="F1117" s="15">
        <v>-0.0006</v>
      </c>
    </row>
    <row r="1118" spans="1:6">
      <c r="A1118" s="14">
        <v>43584</v>
      </c>
      <c r="B1118" s="13">
        <v>8.758</v>
      </c>
      <c r="C1118" s="13">
        <v>8.758</v>
      </c>
      <c r="D1118" s="13">
        <v>8.758</v>
      </c>
      <c r="E1118" s="13">
        <v>8.758</v>
      </c>
      <c r="F1118" s="15">
        <v>-0.001</v>
      </c>
    </row>
    <row r="1119" spans="1:6">
      <c r="A1119" s="14">
        <v>43581</v>
      </c>
      <c r="B1119" s="13">
        <v>8.767</v>
      </c>
      <c r="C1119" s="13">
        <v>8.767</v>
      </c>
      <c r="D1119" s="13">
        <v>8.767</v>
      </c>
      <c r="E1119" s="13">
        <v>8.767</v>
      </c>
      <c r="F1119" s="15">
        <v>-0.0001</v>
      </c>
    </row>
    <row r="1120" spans="1:6">
      <c r="A1120" s="14">
        <v>43580</v>
      </c>
      <c r="B1120" s="13">
        <v>8.768</v>
      </c>
      <c r="C1120" s="13">
        <v>8.768</v>
      </c>
      <c r="D1120" s="13">
        <v>8.768</v>
      </c>
      <c r="E1120" s="13">
        <v>8.768</v>
      </c>
      <c r="F1120" s="15">
        <v>-0.0031</v>
      </c>
    </row>
    <row r="1121" spans="1:6">
      <c r="A1121" s="14">
        <v>43579</v>
      </c>
      <c r="B1121" s="13">
        <v>8.795</v>
      </c>
      <c r="C1121" s="13">
        <v>8.795</v>
      </c>
      <c r="D1121" s="13">
        <v>8.795</v>
      </c>
      <c r="E1121" s="13">
        <v>8.795</v>
      </c>
      <c r="F1121" s="15">
        <v>-0.0001</v>
      </c>
    </row>
    <row r="1122" spans="1:6">
      <c r="A1122" s="14">
        <v>43578</v>
      </c>
      <c r="B1122" s="13">
        <v>8.796</v>
      </c>
      <c r="C1122" s="13">
        <v>8.796</v>
      </c>
      <c r="D1122" s="13">
        <v>8.796</v>
      </c>
      <c r="E1122" s="13">
        <v>8.796</v>
      </c>
      <c r="F1122" s="15">
        <v>-0.0009</v>
      </c>
    </row>
    <row r="1123" spans="1:6">
      <c r="A1123" s="14">
        <v>43577</v>
      </c>
      <c r="B1123" s="13">
        <v>8.804</v>
      </c>
      <c r="C1123" s="13">
        <v>8.804</v>
      </c>
      <c r="D1123" s="13">
        <v>8.804</v>
      </c>
      <c r="E1123" s="13">
        <v>8.804</v>
      </c>
      <c r="F1123" s="15">
        <v>-0.0016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4"/>
  <sheetViews>
    <sheetView workbookViewId="0">
      <selection activeCell="F1" sqref="F1"/>
    </sheetView>
  </sheetViews>
  <sheetFormatPr defaultColWidth="9.625" defaultRowHeight="17.6" outlineLevelCol="5"/>
  <cols>
    <col min="1" max="16384" width="9.625" style="13"/>
  </cols>
  <sheetData>
    <row r="1" spans="1:6">
      <c r="A1" s="13" t="s">
        <v>1</v>
      </c>
      <c r="B1" s="13" t="s">
        <v>1091</v>
      </c>
      <c r="C1" s="13" t="s">
        <v>1092</v>
      </c>
      <c r="D1" s="13" t="s">
        <v>1093</v>
      </c>
      <c r="E1" s="13" t="s">
        <v>1094</v>
      </c>
      <c r="F1" s="13" t="s">
        <v>1095</v>
      </c>
    </row>
    <row r="2" spans="1:6">
      <c r="A2" s="14">
        <v>45517</v>
      </c>
      <c r="B2" s="13">
        <v>13.433</v>
      </c>
      <c r="C2" s="13">
        <v>13.433</v>
      </c>
      <c r="D2" s="13">
        <v>13.433</v>
      </c>
      <c r="E2" s="13">
        <v>13.433</v>
      </c>
      <c r="F2" s="15">
        <v>0</v>
      </c>
    </row>
    <row r="3" spans="1:6">
      <c r="A3" s="14">
        <v>45516</v>
      </c>
      <c r="B3" s="13">
        <v>13.433</v>
      </c>
      <c r="C3" s="13">
        <v>13.433</v>
      </c>
      <c r="D3" s="13">
        <v>13.433</v>
      </c>
      <c r="E3" s="13">
        <v>13.433</v>
      </c>
      <c r="F3" s="15">
        <v>0</v>
      </c>
    </row>
    <row r="4" spans="1:6">
      <c r="A4" s="14">
        <v>45513</v>
      </c>
      <c r="B4" s="13">
        <v>13.433</v>
      </c>
      <c r="C4" s="13">
        <v>13.433</v>
      </c>
      <c r="D4" s="13">
        <v>13.433</v>
      </c>
      <c r="E4" s="13">
        <v>13.433</v>
      </c>
      <c r="F4" s="15">
        <v>0</v>
      </c>
    </row>
    <row r="5" spans="1:6">
      <c r="A5" s="14">
        <v>45512</v>
      </c>
      <c r="B5" s="13">
        <v>13.433</v>
      </c>
      <c r="C5" s="13">
        <v>13.433</v>
      </c>
      <c r="D5" s="13">
        <v>13.433</v>
      </c>
      <c r="E5" s="13">
        <v>13.433</v>
      </c>
      <c r="F5" s="15">
        <v>0</v>
      </c>
    </row>
    <row r="6" spans="1:6">
      <c r="A6" s="14">
        <v>45511</v>
      </c>
      <c r="B6" s="13">
        <v>13.433</v>
      </c>
      <c r="C6" s="13">
        <v>13.433</v>
      </c>
      <c r="D6" s="13">
        <v>13.433</v>
      </c>
      <c r="E6" s="13">
        <v>13.433</v>
      </c>
      <c r="F6" s="15">
        <v>-0.0037</v>
      </c>
    </row>
    <row r="7" spans="1:6">
      <c r="A7" s="14">
        <v>45510</v>
      </c>
      <c r="B7" s="13">
        <v>13.483</v>
      </c>
      <c r="C7" s="13">
        <v>13.483</v>
      </c>
      <c r="D7" s="13">
        <v>13.483</v>
      </c>
      <c r="E7" s="13">
        <v>13.483</v>
      </c>
      <c r="F7" s="15">
        <v>0.1049</v>
      </c>
    </row>
    <row r="8" spans="1:6">
      <c r="A8" s="14">
        <v>45317</v>
      </c>
      <c r="B8" s="13">
        <v>12.203</v>
      </c>
      <c r="C8" s="13">
        <v>12.2</v>
      </c>
      <c r="D8" s="13">
        <v>12.203</v>
      </c>
      <c r="E8" s="13">
        <v>12.2</v>
      </c>
      <c r="F8" s="15">
        <v>0.0001</v>
      </c>
    </row>
    <row r="9" spans="1:6">
      <c r="A9" s="14">
        <v>45316</v>
      </c>
      <c r="B9" s="13">
        <v>12.201</v>
      </c>
      <c r="C9" s="13">
        <v>12.2</v>
      </c>
      <c r="D9" s="13">
        <v>12.201</v>
      </c>
      <c r="E9" s="13">
        <v>12.2</v>
      </c>
      <c r="F9" s="15">
        <v>0</v>
      </c>
    </row>
    <row r="10" spans="1:6">
      <c r="A10" s="14">
        <v>45315</v>
      </c>
      <c r="B10" s="13">
        <v>12.201</v>
      </c>
      <c r="C10" s="13">
        <v>12.2</v>
      </c>
      <c r="D10" s="13">
        <v>12.201</v>
      </c>
      <c r="E10" s="13">
        <v>12.2</v>
      </c>
      <c r="F10" s="15">
        <v>0</v>
      </c>
    </row>
    <row r="11" spans="1:6">
      <c r="A11" s="14">
        <v>45314</v>
      </c>
      <c r="B11" s="13">
        <v>12.201</v>
      </c>
      <c r="C11" s="13">
        <v>12.2</v>
      </c>
      <c r="D11" s="13">
        <v>12.201</v>
      </c>
      <c r="E11" s="13">
        <v>12.2</v>
      </c>
      <c r="F11" s="15">
        <v>0</v>
      </c>
    </row>
    <row r="12" spans="1:6">
      <c r="A12" s="14">
        <v>45313</v>
      </c>
      <c r="B12" s="13">
        <v>12.201</v>
      </c>
      <c r="C12" s="13">
        <v>12.2</v>
      </c>
      <c r="D12" s="13">
        <v>12.201</v>
      </c>
      <c r="E12" s="13">
        <v>12.2</v>
      </c>
      <c r="F12" s="15">
        <v>-0.0001</v>
      </c>
    </row>
    <row r="13" spans="1:6">
      <c r="A13" s="14">
        <v>45310</v>
      </c>
      <c r="B13" s="13">
        <v>12.203</v>
      </c>
      <c r="C13" s="13">
        <v>12.2</v>
      </c>
      <c r="D13" s="13">
        <v>12.203</v>
      </c>
      <c r="E13" s="13">
        <v>12.2</v>
      </c>
      <c r="F13" s="15">
        <v>0.0001</v>
      </c>
    </row>
    <row r="14" spans="1:6">
      <c r="A14" s="14">
        <v>45309</v>
      </c>
      <c r="B14" s="13">
        <v>12.201</v>
      </c>
      <c r="C14" s="13">
        <v>12.2</v>
      </c>
      <c r="D14" s="13">
        <v>12.201</v>
      </c>
      <c r="E14" s="13">
        <v>12.2</v>
      </c>
      <c r="F14" s="15">
        <v>0</v>
      </c>
    </row>
    <row r="15" spans="1:6">
      <c r="A15" s="14">
        <v>45308</v>
      </c>
      <c r="B15" s="13">
        <v>12.201</v>
      </c>
      <c r="C15" s="13">
        <v>12.2</v>
      </c>
      <c r="D15" s="13">
        <v>12.201</v>
      </c>
      <c r="E15" s="13">
        <v>12.2</v>
      </c>
      <c r="F15" s="15">
        <v>0</v>
      </c>
    </row>
    <row r="16" spans="1:6">
      <c r="A16" s="14">
        <v>45307</v>
      </c>
      <c r="B16" s="13">
        <v>12.201</v>
      </c>
      <c r="C16" s="13">
        <v>12.2</v>
      </c>
      <c r="D16" s="13">
        <v>12.201</v>
      </c>
      <c r="E16" s="13">
        <v>12.2</v>
      </c>
      <c r="F16" s="15">
        <v>0</v>
      </c>
    </row>
    <row r="17" spans="1:6">
      <c r="A17" s="14">
        <v>45306</v>
      </c>
      <c r="B17" s="13">
        <v>12.201</v>
      </c>
      <c r="C17" s="13">
        <v>12.2</v>
      </c>
      <c r="D17" s="13">
        <v>12.201</v>
      </c>
      <c r="E17" s="13">
        <v>12.2</v>
      </c>
      <c r="F17" s="15">
        <v>-0.0001</v>
      </c>
    </row>
    <row r="18" spans="1:6">
      <c r="A18" s="14">
        <v>45303</v>
      </c>
      <c r="B18" s="13">
        <v>12.202</v>
      </c>
      <c r="C18" s="13">
        <v>12.2</v>
      </c>
      <c r="D18" s="13">
        <v>12.202</v>
      </c>
      <c r="E18" s="13">
        <v>12.2</v>
      </c>
      <c r="F18" s="15">
        <v>0.0001</v>
      </c>
    </row>
    <row r="19" spans="1:6">
      <c r="A19" s="14">
        <v>45302</v>
      </c>
      <c r="B19" s="13">
        <v>12.201</v>
      </c>
      <c r="C19" s="13">
        <v>12.867</v>
      </c>
      <c r="D19" s="13">
        <v>12.867</v>
      </c>
      <c r="E19" s="13">
        <v>12.2</v>
      </c>
      <c r="F19" s="15">
        <v>-0.0518</v>
      </c>
    </row>
    <row r="20" spans="1:6">
      <c r="A20" s="14">
        <v>45301</v>
      </c>
      <c r="B20" s="13">
        <v>12.868</v>
      </c>
      <c r="C20" s="13">
        <v>12.867</v>
      </c>
      <c r="D20" s="13">
        <v>12.868</v>
      </c>
      <c r="E20" s="13">
        <v>12.867</v>
      </c>
      <c r="F20" s="15">
        <v>0</v>
      </c>
    </row>
    <row r="21" spans="1:6">
      <c r="A21" s="14">
        <v>45300</v>
      </c>
      <c r="B21" s="13">
        <v>12.868</v>
      </c>
      <c r="C21" s="13">
        <v>12.867</v>
      </c>
      <c r="D21" s="13">
        <v>12.868</v>
      </c>
      <c r="E21" s="13">
        <v>12.867</v>
      </c>
      <c r="F21" s="15">
        <v>0</v>
      </c>
    </row>
    <row r="22" spans="1:6">
      <c r="A22" s="14">
        <v>45299</v>
      </c>
      <c r="B22" s="13">
        <v>12.868</v>
      </c>
      <c r="C22" s="13">
        <v>12.867</v>
      </c>
      <c r="D22" s="13">
        <v>12.868</v>
      </c>
      <c r="E22" s="13">
        <v>12.867</v>
      </c>
      <c r="F22" s="15">
        <v>-0.0001</v>
      </c>
    </row>
    <row r="23" spans="1:6">
      <c r="A23" s="14">
        <v>45296</v>
      </c>
      <c r="B23" s="13">
        <v>12.869</v>
      </c>
      <c r="C23" s="13">
        <v>12.867</v>
      </c>
      <c r="D23" s="13">
        <v>12.869</v>
      </c>
      <c r="E23" s="13">
        <v>12.867</v>
      </c>
      <c r="F23" s="15">
        <v>0.0001</v>
      </c>
    </row>
    <row r="24" spans="1:6">
      <c r="A24" s="14">
        <v>45295</v>
      </c>
      <c r="B24" s="13">
        <v>12.868</v>
      </c>
      <c r="C24" s="13">
        <v>12.867</v>
      </c>
      <c r="D24" s="13">
        <v>12.868</v>
      </c>
      <c r="E24" s="13">
        <v>12.867</v>
      </c>
      <c r="F24" s="15">
        <v>0</v>
      </c>
    </row>
    <row r="25" spans="1:6">
      <c r="A25" s="14">
        <v>45294</v>
      </c>
      <c r="B25" s="13">
        <v>12.868</v>
      </c>
      <c r="C25" s="13">
        <v>12.933</v>
      </c>
      <c r="D25" s="13">
        <v>12.933</v>
      </c>
      <c r="E25" s="13">
        <v>12.867</v>
      </c>
      <c r="F25" s="15">
        <v>-0.0051</v>
      </c>
    </row>
    <row r="26" spans="1:6">
      <c r="A26" s="14">
        <v>45293</v>
      </c>
      <c r="B26" s="13">
        <v>12.934</v>
      </c>
      <c r="C26" s="13">
        <v>12.933</v>
      </c>
      <c r="D26" s="13">
        <v>12.934</v>
      </c>
      <c r="E26" s="13">
        <v>12.933</v>
      </c>
      <c r="F26" s="15">
        <v>0.0001</v>
      </c>
    </row>
    <row r="27" spans="1:6">
      <c r="A27" s="14">
        <v>45292</v>
      </c>
      <c r="B27" s="13">
        <v>12.933</v>
      </c>
      <c r="C27" s="13">
        <v>12.933</v>
      </c>
      <c r="D27" s="13">
        <v>12.933</v>
      </c>
      <c r="E27" s="13">
        <v>12.933</v>
      </c>
      <c r="F27" s="15">
        <v>-0.0002</v>
      </c>
    </row>
    <row r="28" spans="1:6">
      <c r="A28" s="14">
        <v>45289</v>
      </c>
      <c r="B28" s="13">
        <v>12.936</v>
      </c>
      <c r="C28" s="13">
        <v>12.933</v>
      </c>
      <c r="D28" s="13">
        <v>12.936</v>
      </c>
      <c r="E28" s="13">
        <v>12.933</v>
      </c>
      <c r="F28" s="15">
        <v>0.0002</v>
      </c>
    </row>
    <row r="29" spans="1:6">
      <c r="A29" s="14">
        <v>45288</v>
      </c>
      <c r="B29" s="13">
        <v>12.934</v>
      </c>
      <c r="C29" s="13">
        <v>12.933</v>
      </c>
      <c r="D29" s="13">
        <v>12.934</v>
      </c>
      <c r="E29" s="13">
        <v>12.933</v>
      </c>
      <c r="F29" s="15">
        <v>0</v>
      </c>
    </row>
    <row r="30" spans="1:6">
      <c r="A30" s="14">
        <v>45287</v>
      </c>
      <c r="B30" s="13">
        <v>12.934</v>
      </c>
      <c r="C30" s="13">
        <v>12.933</v>
      </c>
      <c r="D30" s="13">
        <v>12.934</v>
      </c>
      <c r="E30" s="13">
        <v>12.933</v>
      </c>
      <c r="F30" s="15">
        <v>0</v>
      </c>
    </row>
    <row r="31" spans="1:6">
      <c r="A31" s="14">
        <v>45286</v>
      </c>
      <c r="B31" s="13">
        <v>12.934</v>
      </c>
      <c r="C31" s="13">
        <v>12.933</v>
      </c>
      <c r="D31" s="13">
        <v>12.934</v>
      </c>
      <c r="E31" s="13">
        <v>12.933</v>
      </c>
      <c r="F31" s="15">
        <v>0</v>
      </c>
    </row>
    <row r="32" spans="1:6">
      <c r="A32" s="14">
        <v>45285</v>
      </c>
      <c r="B32" s="13">
        <v>12.934</v>
      </c>
      <c r="C32" s="13">
        <v>12.933</v>
      </c>
      <c r="D32" s="13">
        <v>12.934</v>
      </c>
      <c r="E32" s="13">
        <v>12.933</v>
      </c>
      <c r="F32" s="15">
        <v>-0.0002</v>
      </c>
    </row>
    <row r="33" spans="1:6">
      <c r="A33" s="14">
        <v>45282</v>
      </c>
      <c r="B33" s="13">
        <v>12.936</v>
      </c>
      <c r="C33" s="13">
        <v>12.933</v>
      </c>
      <c r="D33" s="13">
        <v>12.936</v>
      </c>
      <c r="E33" s="13">
        <v>12.933</v>
      </c>
      <c r="F33" s="15">
        <v>0.0002</v>
      </c>
    </row>
    <row r="34" spans="1:6">
      <c r="A34" s="14">
        <v>45281</v>
      </c>
      <c r="B34" s="13">
        <v>12.934</v>
      </c>
      <c r="C34" s="13">
        <v>12.933</v>
      </c>
      <c r="D34" s="13">
        <v>12.934</v>
      </c>
      <c r="E34" s="13">
        <v>12.933</v>
      </c>
      <c r="F34" s="15">
        <v>0</v>
      </c>
    </row>
    <row r="35" spans="1:6">
      <c r="A35" s="14">
        <v>45280</v>
      </c>
      <c r="B35" s="13">
        <v>12.934</v>
      </c>
      <c r="C35" s="13">
        <v>12.933</v>
      </c>
      <c r="D35" s="13">
        <v>12.934</v>
      </c>
      <c r="E35" s="13">
        <v>12.933</v>
      </c>
      <c r="F35" s="15">
        <v>0.0001</v>
      </c>
    </row>
    <row r="36" spans="1:6">
      <c r="A36" s="14">
        <v>45279</v>
      </c>
      <c r="B36" s="13">
        <v>12.933</v>
      </c>
      <c r="C36" s="13">
        <v>12.867</v>
      </c>
      <c r="D36" s="13">
        <v>12.933</v>
      </c>
      <c r="E36" s="13">
        <v>12.867</v>
      </c>
      <c r="F36" s="15">
        <v>0.0051</v>
      </c>
    </row>
    <row r="37" spans="1:6">
      <c r="A37" s="14">
        <v>45278</v>
      </c>
      <c r="B37" s="13">
        <v>12.867</v>
      </c>
      <c r="C37" s="13">
        <v>12.865</v>
      </c>
      <c r="D37" s="13">
        <v>12.867</v>
      </c>
      <c r="E37" s="13">
        <v>12.865</v>
      </c>
      <c r="F37" s="15">
        <v>-0.0003</v>
      </c>
    </row>
    <row r="38" spans="1:6">
      <c r="A38" s="14">
        <v>45275</v>
      </c>
      <c r="B38" s="13">
        <v>12.871</v>
      </c>
      <c r="C38" s="13">
        <v>12.867</v>
      </c>
      <c r="D38" s="13">
        <v>12.871</v>
      </c>
      <c r="E38" s="13">
        <v>12.867</v>
      </c>
      <c r="F38" s="15">
        <v>0.0003</v>
      </c>
    </row>
    <row r="39" spans="1:6">
      <c r="A39" s="14">
        <v>45274</v>
      </c>
      <c r="B39" s="13">
        <v>12.868</v>
      </c>
      <c r="C39" s="13">
        <v>12.867</v>
      </c>
      <c r="D39" s="13">
        <v>12.868</v>
      </c>
      <c r="E39" s="13">
        <v>12.867</v>
      </c>
      <c r="F39" s="15">
        <v>0</v>
      </c>
    </row>
    <row r="40" spans="1:6">
      <c r="A40" s="14">
        <v>45273</v>
      </c>
      <c r="B40" s="13">
        <v>12.868</v>
      </c>
      <c r="C40" s="13">
        <v>12.867</v>
      </c>
      <c r="D40" s="13">
        <v>12.868</v>
      </c>
      <c r="E40" s="13">
        <v>12.867</v>
      </c>
      <c r="F40" s="15">
        <v>0</v>
      </c>
    </row>
    <row r="41" spans="1:6">
      <c r="A41" s="14">
        <v>45272</v>
      </c>
      <c r="B41" s="13">
        <v>12.868</v>
      </c>
      <c r="C41" s="13">
        <v>12.867</v>
      </c>
      <c r="D41" s="13">
        <v>12.868</v>
      </c>
      <c r="E41" s="13">
        <v>12.867</v>
      </c>
      <c r="F41" s="15">
        <v>0</v>
      </c>
    </row>
    <row r="42" spans="1:6">
      <c r="A42" s="14">
        <v>45271</v>
      </c>
      <c r="B42" s="13">
        <v>12.868</v>
      </c>
      <c r="C42" s="13">
        <v>12.867</v>
      </c>
      <c r="D42" s="13">
        <v>12.868</v>
      </c>
      <c r="E42" s="13">
        <v>12.867</v>
      </c>
      <c r="F42" s="15">
        <v>-0.0001</v>
      </c>
    </row>
    <row r="43" spans="1:6">
      <c r="A43" s="14">
        <v>45268</v>
      </c>
      <c r="B43" s="13">
        <v>12.869</v>
      </c>
      <c r="C43" s="13">
        <v>12.867</v>
      </c>
      <c r="D43" s="13">
        <v>12.869</v>
      </c>
      <c r="E43" s="13">
        <v>12.867</v>
      </c>
      <c r="F43" s="15">
        <v>0.0001</v>
      </c>
    </row>
    <row r="44" spans="1:6">
      <c r="A44" s="14">
        <v>45267</v>
      </c>
      <c r="B44" s="13">
        <v>12.868</v>
      </c>
      <c r="C44" s="13">
        <v>12.867</v>
      </c>
      <c r="D44" s="13">
        <v>12.868</v>
      </c>
      <c r="E44" s="13">
        <v>12.867</v>
      </c>
      <c r="F44" s="15">
        <v>0</v>
      </c>
    </row>
    <row r="45" spans="1:6">
      <c r="A45" s="14">
        <v>45266</v>
      </c>
      <c r="B45" s="13">
        <v>12.868</v>
      </c>
      <c r="C45" s="13">
        <v>12.867</v>
      </c>
      <c r="D45" s="13">
        <v>12.868</v>
      </c>
      <c r="E45" s="13">
        <v>12.867</v>
      </c>
      <c r="F45" s="15">
        <v>0</v>
      </c>
    </row>
    <row r="46" spans="1:6">
      <c r="A46" s="14">
        <v>45265</v>
      </c>
      <c r="B46" s="13">
        <v>12.868</v>
      </c>
      <c r="C46" s="13">
        <v>12.867</v>
      </c>
      <c r="D46" s="13">
        <v>12.868</v>
      </c>
      <c r="E46" s="13">
        <v>12.867</v>
      </c>
      <c r="F46" s="15">
        <v>0</v>
      </c>
    </row>
    <row r="47" spans="1:6">
      <c r="A47" s="14">
        <v>45264</v>
      </c>
      <c r="B47" s="13">
        <v>12.868</v>
      </c>
      <c r="C47" s="13">
        <v>12.867</v>
      </c>
      <c r="D47" s="13">
        <v>12.868</v>
      </c>
      <c r="E47" s="13">
        <v>12.867</v>
      </c>
      <c r="F47" s="15">
        <v>-0.0001</v>
      </c>
    </row>
    <row r="48" spans="1:6">
      <c r="A48" s="14">
        <v>45261</v>
      </c>
      <c r="B48" s="13">
        <v>12.869</v>
      </c>
      <c r="C48" s="13">
        <v>12.733</v>
      </c>
      <c r="D48" s="13">
        <v>12.869</v>
      </c>
      <c r="E48" s="13">
        <v>12.733</v>
      </c>
      <c r="F48" s="15">
        <v>0.0106</v>
      </c>
    </row>
    <row r="49" spans="1:6">
      <c r="A49" s="14">
        <v>45260</v>
      </c>
      <c r="B49" s="13">
        <v>12.734</v>
      </c>
      <c r="C49" s="13">
        <v>12.733</v>
      </c>
      <c r="D49" s="13">
        <v>12.734</v>
      </c>
      <c r="E49" s="13">
        <v>12.733</v>
      </c>
      <c r="F49" s="15">
        <v>0</v>
      </c>
    </row>
    <row r="50" spans="1:6">
      <c r="A50" s="14">
        <v>45259</v>
      </c>
      <c r="B50" s="13">
        <v>12.734</v>
      </c>
      <c r="C50" s="13">
        <v>12.733</v>
      </c>
      <c r="D50" s="13">
        <v>12.734</v>
      </c>
      <c r="E50" s="13">
        <v>12.733</v>
      </c>
      <c r="F50" s="15">
        <v>0</v>
      </c>
    </row>
    <row r="51" spans="1:6">
      <c r="A51" s="14">
        <v>45258</v>
      </c>
      <c r="B51" s="13">
        <v>12.734</v>
      </c>
      <c r="C51" s="13">
        <v>12.733</v>
      </c>
      <c r="D51" s="13">
        <v>12.734</v>
      </c>
      <c r="E51" s="13">
        <v>12.733</v>
      </c>
      <c r="F51" s="15">
        <v>0</v>
      </c>
    </row>
    <row r="52" spans="1:6">
      <c r="A52" s="14">
        <v>45257</v>
      </c>
      <c r="B52" s="13">
        <v>12.734</v>
      </c>
      <c r="C52" s="13">
        <v>12.733</v>
      </c>
      <c r="D52" s="13">
        <v>12.734</v>
      </c>
      <c r="E52" s="13">
        <v>12.733</v>
      </c>
      <c r="F52" s="15">
        <v>-0.0002</v>
      </c>
    </row>
    <row r="53" spans="1:6">
      <c r="A53" s="14">
        <v>45254</v>
      </c>
      <c r="B53" s="13">
        <v>12.736</v>
      </c>
      <c r="C53" s="13">
        <v>12.733</v>
      </c>
      <c r="D53" s="13">
        <v>12.736</v>
      </c>
      <c r="E53" s="13">
        <v>12.733</v>
      </c>
      <c r="F53" s="15">
        <v>0.0002</v>
      </c>
    </row>
    <row r="54" spans="1:6">
      <c r="A54" s="14">
        <v>45253</v>
      </c>
      <c r="B54" s="13">
        <v>12.734</v>
      </c>
      <c r="C54" s="13">
        <v>12.733</v>
      </c>
      <c r="D54" s="13">
        <v>12.734</v>
      </c>
      <c r="E54" s="13">
        <v>12.733</v>
      </c>
      <c r="F54" s="15">
        <v>0</v>
      </c>
    </row>
    <row r="55" spans="1:6">
      <c r="A55" s="14">
        <v>45252</v>
      </c>
      <c r="B55" s="13">
        <v>12.734</v>
      </c>
      <c r="C55" s="13">
        <v>12.733</v>
      </c>
      <c r="D55" s="13">
        <v>12.734</v>
      </c>
      <c r="E55" s="13">
        <v>12.733</v>
      </c>
      <c r="F55" s="15">
        <v>0</v>
      </c>
    </row>
    <row r="56" spans="1:6">
      <c r="A56" s="14">
        <v>45251</v>
      </c>
      <c r="B56" s="13">
        <v>12.734</v>
      </c>
      <c r="C56" s="13">
        <v>12.433</v>
      </c>
      <c r="D56" s="13">
        <v>12.734</v>
      </c>
      <c r="E56" s="13">
        <v>12.433</v>
      </c>
      <c r="F56" s="15">
        <v>0.0241</v>
      </c>
    </row>
    <row r="57" spans="1:6">
      <c r="A57" s="14">
        <v>45250</v>
      </c>
      <c r="B57" s="13">
        <v>12.434</v>
      </c>
      <c r="C57" s="13">
        <v>12.5</v>
      </c>
      <c r="D57" s="13">
        <v>12.5</v>
      </c>
      <c r="E57" s="13">
        <v>12.433</v>
      </c>
      <c r="F57" s="15">
        <v>-0.0054</v>
      </c>
    </row>
    <row r="58" spans="1:6">
      <c r="A58" s="14">
        <v>45247</v>
      </c>
      <c r="B58" s="13">
        <v>12.502</v>
      </c>
      <c r="C58" s="13">
        <v>12.5</v>
      </c>
      <c r="D58" s="13">
        <v>12.502</v>
      </c>
      <c r="E58" s="13">
        <v>12.5</v>
      </c>
      <c r="F58" s="15">
        <v>0.0001</v>
      </c>
    </row>
    <row r="59" spans="1:6">
      <c r="A59" s="14">
        <v>45246</v>
      </c>
      <c r="B59" s="13">
        <v>12.501</v>
      </c>
      <c r="C59" s="13">
        <v>12.5</v>
      </c>
      <c r="D59" s="13">
        <v>12.501</v>
      </c>
      <c r="E59" s="13">
        <v>12.5</v>
      </c>
      <c r="F59" s="15">
        <v>0</v>
      </c>
    </row>
    <row r="60" spans="1:6">
      <c r="A60" s="14">
        <v>45245</v>
      </c>
      <c r="B60" s="13">
        <v>12.501</v>
      </c>
      <c r="C60" s="13">
        <v>12.5</v>
      </c>
      <c r="D60" s="13">
        <v>12.501</v>
      </c>
      <c r="E60" s="13">
        <v>12.5</v>
      </c>
      <c r="F60" s="15">
        <v>0</v>
      </c>
    </row>
    <row r="61" spans="1:6">
      <c r="A61" s="14">
        <v>45244</v>
      </c>
      <c r="B61" s="13">
        <v>12.501</v>
      </c>
      <c r="C61" s="13">
        <v>12.5</v>
      </c>
      <c r="D61" s="13">
        <v>12.501</v>
      </c>
      <c r="E61" s="13">
        <v>12.5</v>
      </c>
      <c r="F61" s="15">
        <v>0</v>
      </c>
    </row>
    <row r="62" spans="1:6">
      <c r="A62" s="14">
        <v>45243</v>
      </c>
      <c r="B62" s="13">
        <v>12.501</v>
      </c>
      <c r="C62" s="13">
        <v>12.5</v>
      </c>
      <c r="D62" s="13">
        <v>12.501</v>
      </c>
      <c r="E62" s="13">
        <v>12.5</v>
      </c>
      <c r="F62" s="15">
        <v>-0.0001</v>
      </c>
    </row>
    <row r="63" spans="1:6">
      <c r="A63" s="14">
        <v>45240</v>
      </c>
      <c r="B63" s="13">
        <v>12.502</v>
      </c>
      <c r="C63" s="13">
        <v>12.5</v>
      </c>
      <c r="D63" s="13">
        <v>12.502</v>
      </c>
      <c r="E63" s="13">
        <v>12.5</v>
      </c>
      <c r="F63" s="15">
        <v>0.0001</v>
      </c>
    </row>
    <row r="64" spans="1:6">
      <c r="A64" s="14">
        <v>45239</v>
      </c>
      <c r="B64" s="13">
        <v>12.501</v>
      </c>
      <c r="C64" s="13">
        <v>12.5</v>
      </c>
      <c r="D64" s="13">
        <v>12.501</v>
      </c>
      <c r="E64" s="13">
        <v>12.5</v>
      </c>
      <c r="F64" s="15">
        <v>0</v>
      </c>
    </row>
    <row r="65" spans="1:6">
      <c r="A65" s="14">
        <v>45238</v>
      </c>
      <c r="B65" s="13">
        <v>12.501</v>
      </c>
      <c r="C65" s="13">
        <v>12.5</v>
      </c>
      <c r="D65" s="13">
        <v>12.501</v>
      </c>
      <c r="E65" s="13">
        <v>12.5</v>
      </c>
      <c r="F65" s="15">
        <v>0</v>
      </c>
    </row>
    <row r="66" spans="1:6">
      <c r="A66" s="14">
        <v>45237</v>
      </c>
      <c r="B66" s="13">
        <v>12.501</v>
      </c>
      <c r="C66" s="13">
        <v>12.5</v>
      </c>
      <c r="D66" s="13">
        <v>12.501</v>
      </c>
      <c r="E66" s="13">
        <v>12.5</v>
      </c>
      <c r="F66" s="15">
        <v>0</v>
      </c>
    </row>
    <row r="67" spans="1:6">
      <c r="A67" s="14">
        <v>45236</v>
      </c>
      <c r="B67" s="13">
        <v>12.501</v>
      </c>
      <c r="C67" s="13">
        <v>12.433</v>
      </c>
      <c r="D67" s="13">
        <v>12.501</v>
      </c>
      <c r="E67" s="13">
        <v>12.433</v>
      </c>
      <c r="F67" s="15">
        <v>0.0053</v>
      </c>
    </row>
    <row r="68" spans="1:6">
      <c r="A68" s="14">
        <v>45233</v>
      </c>
      <c r="B68" s="13">
        <v>12.436</v>
      </c>
      <c r="C68" s="13">
        <v>12.433</v>
      </c>
      <c r="D68" s="13">
        <v>12.436</v>
      </c>
      <c r="E68" s="13">
        <v>12.433</v>
      </c>
      <c r="F68" s="15">
        <v>0.0001</v>
      </c>
    </row>
    <row r="69" spans="1:6">
      <c r="A69" s="14">
        <v>45232</v>
      </c>
      <c r="B69" s="13">
        <v>12.434</v>
      </c>
      <c r="C69" s="13">
        <v>12.433</v>
      </c>
      <c r="D69" s="13">
        <v>12.434</v>
      </c>
      <c r="E69" s="13">
        <v>12.433</v>
      </c>
      <c r="F69" s="15">
        <v>0</v>
      </c>
    </row>
    <row r="70" spans="1:6">
      <c r="A70" s="14">
        <v>45231</v>
      </c>
      <c r="B70" s="13">
        <v>12.434</v>
      </c>
      <c r="C70" s="13">
        <v>12.433</v>
      </c>
      <c r="D70" s="13">
        <v>12.434</v>
      </c>
      <c r="E70" s="13">
        <v>12.433</v>
      </c>
      <c r="F70" s="15">
        <v>-0.0004</v>
      </c>
    </row>
    <row r="71" spans="1:6">
      <c r="A71" s="14">
        <v>45230</v>
      </c>
      <c r="B71" s="13">
        <v>12.439</v>
      </c>
      <c r="C71" s="13">
        <v>12.433</v>
      </c>
      <c r="D71" s="13">
        <v>12.439</v>
      </c>
      <c r="E71" s="13">
        <v>12.433</v>
      </c>
      <c r="F71" s="15">
        <v>0.0008</v>
      </c>
    </row>
    <row r="72" spans="1:6">
      <c r="A72" s="14">
        <v>45229</v>
      </c>
      <c r="B72" s="13">
        <v>12.429</v>
      </c>
      <c r="C72" s="13">
        <v>12.433</v>
      </c>
      <c r="D72" s="13">
        <v>12.433</v>
      </c>
      <c r="E72" s="13">
        <v>12.429</v>
      </c>
      <c r="F72" s="15">
        <v>-0.0006</v>
      </c>
    </row>
    <row r="73" spans="1:6">
      <c r="A73" s="14">
        <v>45226</v>
      </c>
      <c r="B73" s="13">
        <v>12.436</v>
      </c>
      <c r="C73" s="13">
        <v>12.433</v>
      </c>
      <c r="D73" s="13">
        <v>12.436</v>
      </c>
      <c r="E73" s="13">
        <v>12.433</v>
      </c>
      <c r="F73" s="15">
        <v>0.0001</v>
      </c>
    </row>
    <row r="74" spans="1:6">
      <c r="A74" s="14">
        <v>45225</v>
      </c>
      <c r="B74" s="13">
        <v>12.434</v>
      </c>
      <c r="C74" s="13">
        <v>12.433</v>
      </c>
      <c r="D74" s="13">
        <v>12.434</v>
      </c>
      <c r="E74" s="13">
        <v>12.433</v>
      </c>
      <c r="F74" s="15">
        <v>0.0001</v>
      </c>
    </row>
    <row r="75" spans="1:6">
      <c r="A75" s="14">
        <v>45224</v>
      </c>
      <c r="B75" s="13">
        <v>12.433</v>
      </c>
      <c r="C75" s="13">
        <v>12.433</v>
      </c>
      <c r="D75" s="13">
        <v>12.433</v>
      </c>
      <c r="E75" s="13">
        <v>12.433</v>
      </c>
      <c r="F75" s="15">
        <v>-0.0001</v>
      </c>
    </row>
    <row r="76" spans="1:6">
      <c r="A76" s="14">
        <v>45223</v>
      </c>
      <c r="B76" s="13">
        <v>12.434</v>
      </c>
      <c r="C76" s="13">
        <v>12.433</v>
      </c>
      <c r="D76" s="13">
        <v>12.434</v>
      </c>
      <c r="E76" s="13">
        <v>12.433</v>
      </c>
      <c r="F76" s="15">
        <v>0</v>
      </c>
    </row>
    <row r="77" spans="1:6">
      <c r="A77" s="14">
        <v>45222</v>
      </c>
      <c r="B77" s="13">
        <v>12.434</v>
      </c>
      <c r="C77" s="13">
        <v>12.433</v>
      </c>
      <c r="D77" s="13">
        <v>12.434</v>
      </c>
      <c r="E77" s="13">
        <v>12.433</v>
      </c>
      <c r="F77" s="15">
        <v>-0.0001</v>
      </c>
    </row>
    <row r="78" spans="1:6">
      <c r="A78" s="14">
        <v>45219</v>
      </c>
      <c r="B78" s="13">
        <v>12.436</v>
      </c>
      <c r="C78" s="13">
        <v>12.4</v>
      </c>
      <c r="D78" s="13">
        <v>12.436</v>
      </c>
      <c r="E78" s="13">
        <v>12.4</v>
      </c>
      <c r="F78" s="15">
        <v>0.0028</v>
      </c>
    </row>
    <row r="79" spans="1:6">
      <c r="A79" s="14">
        <v>45218</v>
      </c>
      <c r="B79" s="13">
        <v>12.401</v>
      </c>
      <c r="C79" s="13">
        <v>12.4</v>
      </c>
      <c r="D79" s="13">
        <v>12.401</v>
      </c>
      <c r="E79" s="13">
        <v>12.4</v>
      </c>
      <c r="F79" s="15">
        <v>0</v>
      </c>
    </row>
    <row r="80" spans="1:6">
      <c r="A80" s="14">
        <v>45217</v>
      </c>
      <c r="B80" s="13">
        <v>12.401</v>
      </c>
      <c r="C80" s="13">
        <v>12.4</v>
      </c>
      <c r="D80" s="13">
        <v>12.401</v>
      </c>
      <c r="E80" s="13">
        <v>12.4</v>
      </c>
      <c r="F80" s="15">
        <v>0</v>
      </c>
    </row>
    <row r="81" spans="1:6">
      <c r="A81" s="14">
        <v>45216</v>
      </c>
      <c r="B81" s="13">
        <v>12.401</v>
      </c>
      <c r="C81" s="13">
        <v>12.4</v>
      </c>
      <c r="D81" s="13">
        <v>12.401</v>
      </c>
      <c r="E81" s="13">
        <v>12.4</v>
      </c>
      <c r="F81" s="15">
        <v>0</v>
      </c>
    </row>
    <row r="82" spans="1:6">
      <c r="A82" s="14">
        <v>45215</v>
      </c>
      <c r="B82" s="13">
        <v>12.401</v>
      </c>
      <c r="C82" s="13">
        <v>12.4</v>
      </c>
      <c r="D82" s="13">
        <v>12.401</v>
      </c>
      <c r="E82" s="13">
        <v>12.4</v>
      </c>
      <c r="F82" s="15">
        <v>-0.0001</v>
      </c>
    </row>
    <row r="83" spans="1:6">
      <c r="A83" s="14">
        <v>45212</v>
      </c>
      <c r="B83" s="13">
        <v>12.402</v>
      </c>
      <c r="C83" s="13">
        <v>11.9</v>
      </c>
      <c r="D83" s="13">
        <v>12.402</v>
      </c>
      <c r="E83" s="13">
        <v>11.9</v>
      </c>
      <c r="F83" s="15">
        <v>0.0421</v>
      </c>
    </row>
    <row r="84" spans="1:6">
      <c r="A84" s="14">
        <v>45211</v>
      </c>
      <c r="B84" s="13">
        <v>11.901</v>
      </c>
      <c r="C84" s="13">
        <v>11.9</v>
      </c>
      <c r="D84" s="13">
        <v>11.901</v>
      </c>
      <c r="E84" s="13">
        <v>11.9</v>
      </c>
      <c r="F84" s="15">
        <v>0</v>
      </c>
    </row>
    <row r="85" spans="1:6">
      <c r="A85" s="14">
        <v>45210</v>
      </c>
      <c r="B85" s="13">
        <v>11.901</v>
      </c>
      <c r="C85" s="13">
        <v>11.6</v>
      </c>
      <c r="D85" s="13">
        <v>11.901</v>
      </c>
      <c r="E85" s="13">
        <v>11.6</v>
      </c>
      <c r="F85" s="15">
        <v>0.0259</v>
      </c>
    </row>
    <row r="86" spans="1:6">
      <c r="A86" s="14">
        <v>45209</v>
      </c>
      <c r="B86" s="13">
        <v>11.601</v>
      </c>
      <c r="C86" s="13">
        <v>11.6</v>
      </c>
      <c r="D86" s="13">
        <v>11.601</v>
      </c>
      <c r="E86" s="13">
        <v>11.6</v>
      </c>
      <c r="F86" s="15">
        <v>0</v>
      </c>
    </row>
    <row r="87" spans="1:6">
      <c r="A87" s="14">
        <v>45208</v>
      </c>
      <c r="B87" s="13">
        <v>11.601</v>
      </c>
      <c r="C87" s="13">
        <v>11.6</v>
      </c>
      <c r="D87" s="13">
        <v>11.601</v>
      </c>
      <c r="E87" s="13">
        <v>11.6</v>
      </c>
      <c r="F87" s="15">
        <v>-0.0001</v>
      </c>
    </row>
    <row r="88" spans="1:6">
      <c r="A88" s="14">
        <v>45205</v>
      </c>
      <c r="B88" s="13">
        <v>11.601</v>
      </c>
      <c r="C88" s="13">
        <v>11.6</v>
      </c>
      <c r="D88" s="13">
        <v>11.601</v>
      </c>
      <c r="E88" s="13">
        <v>11.6</v>
      </c>
      <c r="F88" s="15">
        <v>0.0001</v>
      </c>
    </row>
    <row r="89" spans="1:6">
      <c r="A89" s="14">
        <v>45204</v>
      </c>
      <c r="B89" s="13">
        <v>11.601</v>
      </c>
      <c r="C89" s="13">
        <v>11.6</v>
      </c>
      <c r="D89" s="13">
        <v>11.601</v>
      </c>
      <c r="E89" s="13">
        <v>11.6</v>
      </c>
      <c r="F89" s="15">
        <v>0</v>
      </c>
    </row>
    <row r="90" spans="1:6">
      <c r="A90" s="14">
        <v>45203</v>
      </c>
      <c r="B90" s="13">
        <v>11.601</v>
      </c>
      <c r="C90" s="13">
        <v>11.6</v>
      </c>
      <c r="D90" s="13">
        <v>11.601</v>
      </c>
      <c r="E90" s="13">
        <v>11.6</v>
      </c>
      <c r="F90" s="15">
        <v>0</v>
      </c>
    </row>
    <row r="91" spans="1:6">
      <c r="A91" s="14">
        <v>45202</v>
      </c>
      <c r="B91" s="13">
        <v>11.601</v>
      </c>
      <c r="C91" s="13">
        <v>11.6</v>
      </c>
      <c r="D91" s="13">
        <v>11.601</v>
      </c>
      <c r="E91" s="13">
        <v>11.6</v>
      </c>
      <c r="F91" s="15">
        <v>0</v>
      </c>
    </row>
    <row r="92" spans="1:6">
      <c r="A92" s="14">
        <v>45201</v>
      </c>
      <c r="B92" s="13">
        <v>11.601</v>
      </c>
      <c r="C92" s="13">
        <v>11.6</v>
      </c>
      <c r="D92" s="13">
        <v>11.601</v>
      </c>
      <c r="E92" s="13">
        <v>11.6</v>
      </c>
      <c r="F92" s="15">
        <v>-0.0001</v>
      </c>
    </row>
    <row r="93" spans="1:6">
      <c r="A93" s="14">
        <v>45198</v>
      </c>
      <c r="B93" s="13">
        <v>11.601</v>
      </c>
      <c r="C93" s="13">
        <v>11.6</v>
      </c>
      <c r="D93" s="13">
        <v>11.601</v>
      </c>
      <c r="E93" s="13">
        <v>11.6</v>
      </c>
      <c r="F93" s="15">
        <v>0.0001</v>
      </c>
    </row>
    <row r="94" spans="1:6">
      <c r="A94" s="14">
        <v>45197</v>
      </c>
      <c r="B94" s="13">
        <v>11.601</v>
      </c>
      <c r="C94" s="13">
        <v>11.6</v>
      </c>
      <c r="D94" s="13">
        <v>11.601</v>
      </c>
      <c r="E94" s="13">
        <v>11.6</v>
      </c>
      <c r="F94" s="15">
        <v>0</v>
      </c>
    </row>
    <row r="95" spans="1:6">
      <c r="A95" s="14">
        <v>45196</v>
      </c>
      <c r="B95" s="13">
        <v>11.601</v>
      </c>
      <c r="C95" s="13">
        <v>11.6</v>
      </c>
      <c r="D95" s="13">
        <v>11.601</v>
      </c>
      <c r="E95" s="13">
        <v>11.6</v>
      </c>
      <c r="F95" s="15">
        <v>0</v>
      </c>
    </row>
    <row r="96" spans="1:6">
      <c r="A96" s="14">
        <v>45195</v>
      </c>
      <c r="B96" s="13">
        <v>11.601</v>
      </c>
      <c r="C96" s="13">
        <v>11.6</v>
      </c>
      <c r="D96" s="13">
        <v>11.601</v>
      </c>
      <c r="E96" s="13">
        <v>11.6</v>
      </c>
      <c r="F96" s="15">
        <v>0</v>
      </c>
    </row>
    <row r="97" spans="1:6">
      <c r="A97" s="14">
        <v>45194</v>
      </c>
      <c r="B97" s="13">
        <v>11.601</v>
      </c>
      <c r="C97" s="13">
        <v>11.6</v>
      </c>
      <c r="D97" s="13">
        <v>11.601</v>
      </c>
      <c r="E97" s="13">
        <v>11.6</v>
      </c>
      <c r="F97" s="15">
        <v>-0.0001</v>
      </c>
    </row>
    <row r="98" spans="1:6">
      <c r="A98" s="14">
        <v>45191</v>
      </c>
      <c r="B98" s="13">
        <v>11.601</v>
      </c>
      <c r="C98" s="13">
        <v>11.6</v>
      </c>
      <c r="D98" s="13">
        <v>11.601</v>
      </c>
      <c r="E98" s="13">
        <v>11.6</v>
      </c>
      <c r="F98" s="15">
        <v>0.0001</v>
      </c>
    </row>
    <row r="99" spans="1:6">
      <c r="A99" s="14">
        <v>45190</v>
      </c>
      <c r="B99" s="13">
        <v>11.601</v>
      </c>
      <c r="C99" s="13">
        <v>11.6</v>
      </c>
      <c r="D99" s="13">
        <v>11.601</v>
      </c>
      <c r="E99" s="13">
        <v>11.6</v>
      </c>
      <c r="F99" s="15">
        <v>0</v>
      </c>
    </row>
    <row r="100" spans="1:6">
      <c r="A100" s="14">
        <v>45189</v>
      </c>
      <c r="B100" s="13">
        <v>11.601</v>
      </c>
      <c r="C100" s="13">
        <v>11.6</v>
      </c>
      <c r="D100" s="13">
        <v>11.601</v>
      </c>
      <c r="E100" s="13">
        <v>11.6</v>
      </c>
      <c r="F100" s="15">
        <v>0</v>
      </c>
    </row>
    <row r="101" spans="1:6">
      <c r="A101" s="14">
        <v>45188</v>
      </c>
      <c r="B101" s="13">
        <v>11.601</v>
      </c>
      <c r="C101" s="13">
        <v>11.6</v>
      </c>
      <c r="D101" s="13">
        <v>11.601</v>
      </c>
      <c r="E101" s="13">
        <v>11.6</v>
      </c>
      <c r="F101" s="15">
        <v>0</v>
      </c>
    </row>
    <row r="102" spans="1:6">
      <c r="A102" s="14">
        <v>45187</v>
      </c>
      <c r="B102" s="13">
        <v>11.601</v>
      </c>
      <c r="C102" s="13">
        <v>11.6</v>
      </c>
      <c r="D102" s="13">
        <v>11.601</v>
      </c>
      <c r="E102" s="13">
        <v>11.6</v>
      </c>
      <c r="F102" s="15">
        <v>-0.0001</v>
      </c>
    </row>
    <row r="103" spans="1:6">
      <c r="A103" s="14">
        <v>45184</v>
      </c>
      <c r="B103" s="13">
        <v>11.601</v>
      </c>
      <c r="C103" s="13">
        <v>11.6</v>
      </c>
      <c r="D103" s="13">
        <v>11.601</v>
      </c>
      <c r="E103" s="13">
        <v>11.6</v>
      </c>
      <c r="F103" s="15">
        <v>0.0001</v>
      </c>
    </row>
    <row r="104" spans="1:6">
      <c r="A104" s="14">
        <v>45183</v>
      </c>
      <c r="B104" s="13">
        <v>11.601</v>
      </c>
      <c r="C104" s="13">
        <v>11.6</v>
      </c>
      <c r="D104" s="13">
        <v>11.601</v>
      </c>
      <c r="E104" s="13">
        <v>11.6</v>
      </c>
      <c r="F104" s="15">
        <v>0</v>
      </c>
    </row>
    <row r="105" spans="1:6">
      <c r="A105" s="14">
        <v>45182</v>
      </c>
      <c r="B105" s="13">
        <v>11.601</v>
      </c>
      <c r="C105" s="13">
        <v>11.6</v>
      </c>
      <c r="D105" s="13">
        <v>11.601</v>
      </c>
      <c r="E105" s="13">
        <v>11.6</v>
      </c>
      <c r="F105" s="15">
        <v>0</v>
      </c>
    </row>
    <row r="106" spans="1:6">
      <c r="A106" s="14">
        <v>45181</v>
      </c>
      <c r="B106" s="13">
        <v>11.601</v>
      </c>
      <c r="C106" s="13">
        <v>11.6</v>
      </c>
      <c r="D106" s="13">
        <v>11.601</v>
      </c>
      <c r="E106" s="13">
        <v>11.6</v>
      </c>
      <c r="F106" s="15">
        <v>0</v>
      </c>
    </row>
    <row r="107" spans="1:6">
      <c r="A107" s="14">
        <v>45180</v>
      </c>
      <c r="B107" s="13">
        <v>11.601</v>
      </c>
      <c r="C107" s="13">
        <v>11.6</v>
      </c>
      <c r="D107" s="13">
        <v>11.601</v>
      </c>
      <c r="E107" s="13">
        <v>11.6</v>
      </c>
      <c r="F107" s="15">
        <v>-0.0001</v>
      </c>
    </row>
    <row r="108" spans="1:6">
      <c r="A108" s="14">
        <v>45177</v>
      </c>
      <c r="B108" s="13">
        <v>11.601</v>
      </c>
      <c r="C108" s="13">
        <v>11.6</v>
      </c>
      <c r="D108" s="13">
        <v>11.601</v>
      </c>
      <c r="E108" s="13">
        <v>11.6</v>
      </c>
      <c r="F108" s="15">
        <v>0.0001</v>
      </c>
    </row>
    <row r="109" spans="1:6">
      <c r="A109" s="14">
        <v>45176</v>
      </c>
      <c r="B109" s="13">
        <v>11.601</v>
      </c>
      <c r="C109" s="13">
        <v>11.6</v>
      </c>
      <c r="D109" s="13">
        <v>11.601</v>
      </c>
      <c r="E109" s="13">
        <v>11.6</v>
      </c>
      <c r="F109" s="15">
        <v>0</v>
      </c>
    </row>
    <row r="110" spans="1:6">
      <c r="A110" s="14">
        <v>45175</v>
      </c>
      <c r="B110" s="13">
        <v>11.601</v>
      </c>
      <c r="C110" s="13">
        <v>12</v>
      </c>
      <c r="D110" s="13">
        <v>12</v>
      </c>
      <c r="E110" s="13">
        <v>11.6</v>
      </c>
      <c r="F110" s="15">
        <v>-0.0333</v>
      </c>
    </row>
    <row r="111" spans="1:6">
      <c r="A111" s="14">
        <v>45174</v>
      </c>
      <c r="B111" s="13">
        <v>12</v>
      </c>
      <c r="C111" s="13">
        <v>12</v>
      </c>
      <c r="D111" s="13">
        <v>12</v>
      </c>
      <c r="E111" s="13">
        <v>12</v>
      </c>
      <c r="F111" s="15">
        <v>0</v>
      </c>
    </row>
    <row r="112" spans="1:6">
      <c r="A112" s="14">
        <v>45173</v>
      </c>
      <c r="B112" s="13">
        <v>12</v>
      </c>
      <c r="C112" s="13">
        <v>12</v>
      </c>
      <c r="D112" s="13">
        <v>12</v>
      </c>
      <c r="E112" s="13">
        <v>12</v>
      </c>
      <c r="F112" s="15">
        <v>-0.0001</v>
      </c>
    </row>
    <row r="113" spans="1:6">
      <c r="A113" s="14">
        <v>45170</v>
      </c>
      <c r="B113" s="13">
        <v>12.002</v>
      </c>
      <c r="C113" s="13">
        <v>12</v>
      </c>
      <c r="D113" s="13">
        <v>12.002</v>
      </c>
      <c r="E113" s="13">
        <v>12</v>
      </c>
      <c r="F113" s="15">
        <v>-0.0003</v>
      </c>
    </row>
    <row r="114" spans="1:6">
      <c r="A114" s="14">
        <v>45169</v>
      </c>
      <c r="B114" s="13">
        <v>12.005</v>
      </c>
      <c r="C114" s="13">
        <v>12</v>
      </c>
      <c r="D114" s="13">
        <v>12.005</v>
      </c>
      <c r="E114" s="13">
        <v>12</v>
      </c>
      <c r="F114" s="15">
        <v>0.0005</v>
      </c>
    </row>
    <row r="115" spans="1:6">
      <c r="A115" s="14">
        <v>45168</v>
      </c>
      <c r="B115" s="13">
        <v>12</v>
      </c>
      <c r="C115" s="13">
        <v>12</v>
      </c>
      <c r="D115" s="13">
        <v>12</v>
      </c>
      <c r="E115" s="13">
        <v>12</v>
      </c>
      <c r="F115" s="15">
        <v>0.0003</v>
      </c>
    </row>
    <row r="116" spans="1:6">
      <c r="A116" s="14">
        <v>45167</v>
      </c>
      <c r="B116" s="13">
        <v>11.996</v>
      </c>
      <c r="C116" s="13">
        <v>12</v>
      </c>
      <c r="D116" s="13">
        <v>12</v>
      </c>
      <c r="E116" s="13">
        <v>11.996</v>
      </c>
      <c r="F116" s="15">
        <v>-0.0004</v>
      </c>
    </row>
    <row r="117" spans="1:6">
      <c r="A117" s="14">
        <v>45166</v>
      </c>
      <c r="B117" s="13">
        <v>12</v>
      </c>
      <c r="C117" s="13">
        <v>12</v>
      </c>
      <c r="D117" s="13">
        <v>12</v>
      </c>
      <c r="E117" s="13">
        <v>12</v>
      </c>
      <c r="F117" s="15">
        <v>-0.0001</v>
      </c>
    </row>
    <row r="118" spans="1:6">
      <c r="A118" s="14">
        <v>45163</v>
      </c>
      <c r="B118" s="13">
        <v>12.002</v>
      </c>
      <c r="C118" s="13">
        <v>12</v>
      </c>
      <c r="D118" s="13">
        <v>12.002</v>
      </c>
      <c r="E118" s="13">
        <v>12</v>
      </c>
      <c r="F118" s="15">
        <v>0.0001</v>
      </c>
    </row>
    <row r="119" spans="1:6">
      <c r="A119" s="14">
        <v>45162</v>
      </c>
      <c r="B119" s="13">
        <v>12</v>
      </c>
      <c r="C119" s="13">
        <v>12</v>
      </c>
      <c r="D119" s="13">
        <v>12</v>
      </c>
      <c r="E119" s="13">
        <v>12</v>
      </c>
      <c r="F119" s="15">
        <v>0</v>
      </c>
    </row>
    <row r="120" spans="1:6">
      <c r="A120" s="14">
        <v>45161</v>
      </c>
      <c r="B120" s="13">
        <v>12</v>
      </c>
      <c r="C120" s="13">
        <v>12</v>
      </c>
      <c r="D120" s="13">
        <v>12</v>
      </c>
      <c r="E120" s="13">
        <v>12</v>
      </c>
      <c r="F120" s="15">
        <v>0</v>
      </c>
    </row>
    <row r="121" spans="1:6">
      <c r="A121" s="14">
        <v>45160</v>
      </c>
      <c r="B121" s="13">
        <v>12</v>
      </c>
      <c r="C121" s="13">
        <v>12</v>
      </c>
      <c r="D121" s="13">
        <v>12</v>
      </c>
      <c r="E121" s="13">
        <v>12</v>
      </c>
      <c r="F121" s="15">
        <v>0</v>
      </c>
    </row>
    <row r="122" spans="1:6">
      <c r="A122" s="14">
        <v>45159</v>
      </c>
      <c r="B122" s="13">
        <v>12</v>
      </c>
      <c r="C122" s="13">
        <v>12</v>
      </c>
      <c r="D122" s="13">
        <v>12</v>
      </c>
      <c r="E122" s="13">
        <v>12</v>
      </c>
      <c r="F122" s="15">
        <v>-0.0001</v>
      </c>
    </row>
    <row r="123" spans="1:6">
      <c r="A123" s="14">
        <v>45156</v>
      </c>
      <c r="B123" s="13">
        <v>12.002</v>
      </c>
      <c r="C123" s="13">
        <v>12</v>
      </c>
      <c r="D123" s="13">
        <v>12.002</v>
      </c>
      <c r="E123" s="13">
        <v>12</v>
      </c>
      <c r="F123" s="15">
        <v>0.0001</v>
      </c>
    </row>
    <row r="124" spans="1:6">
      <c r="A124" s="14">
        <v>45155</v>
      </c>
      <c r="B124" s="13">
        <v>12</v>
      </c>
      <c r="C124" s="13">
        <v>12</v>
      </c>
      <c r="D124" s="13">
        <v>12</v>
      </c>
      <c r="E124" s="13">
        <v>12</v>
      </c>
      <c r="F124" s="15">
        <v>0</v>
      </c>
    </row>
    <row r="125" spans="1:6">
      <c r="A125" s="14">
        <v>45154</v>
      </c>
      <c r="B125" s="13">
        <v>12</v>
      </c>
      <c r="C125" s="13">
        <v>12</v>
      </c>
      <c r="D125" s="13">
        <v>12</v>
      </c>
      <c r="E125" s="13">
        <v>12</v>
      </c>
      <c r="F125" s="15">
        <v>0</v>
      </c>
    </row>
    <row r="126" spans="1:6">
      <c r="A126" s="14">
        <v>45153</v>
      </c>
      <c r="B126" s="13">
        <v>12</v>
      </c>
      <c r="C126" s="13">
        <v>12</v>
      </c>
      <c r="D126" s="13">
        <v>12</v>
      </c>
      <c r="E126" s="13">
        <v>12</v>
      </c>
      <c r="F126" s="15">
        <v>0</v>
      </c>
    </row>
    <row r="127" spans="1:6">
      <c r="A127" s="14">
        <v>45152</v>
      </c>
      <c r="B127" s="13">
        <v>12</v>
      </c>
      <c r="C127" s="13">
        <v>12</v>
      </c>
      <c r="D127" s="13">
        <v>12</v>
      </c>
      <c r="E127" s="13">
        <v>12</v>
      </c>
      <c r="F127" s="15">
        <v>-0.0001</v>
      </c>
    </row>
    <row r="128" spans="1:6">
      <c r="A128" s="14">
        <v>45149</v>
      </c>
      <c r="B128" s="13">
        <v>12.002</v>
      </c>
      <c r="C128" s="13">
        <v>12</v>
      </c>
      <c r="D128" s="13">
        <v>12.002</v>
      </c>
      <c r="E128" s="13">
        <v>12</v>
      </c>
      <c r="F128" s="15">
        <v>0.0001</v>
      </c>
    </row>
    <row r="129" spans="1:6">
      <c r="A129" s="14">
        <v>45148</v>
      </c>
      <c r="B129" s="13">
        <v>12</v>
      </c>
      <c r="C129" s="13">
        <v>12</v>
      </c>
      <c r="D129" s="13">
        <v>12</v>
      </c>
      <c r="E129" s="13">
        <v>12</v>
      </c>
      <c r="F129" s="15">
        <v>0</v>
      </c>
    </row>
    <row r="130" spans="1:6">
      <c r="A130" s="14">
        <v>45147</v>
      </c>
      <c r="B130" s="13">
        <v>12</v>
      </c>
      <c r="C130" s="13">
        <v>12</v>
      </c>
      <c r="D130" s="13">
        <v>12</v>
      </c>
      <c r="E130" s="13">
        <v>12</v>
      </c>
      <c r="F130" s="15">
        <v>0</v>
      </c>
    </row>
    <row r="131" spans="1:6">
      <c r="A131" s="14">
        <v>45146</v>
      </c>
      <c r="B131" s="13">
        <v>12</v>
      </c>
      <c r="C131" s="13">
        <v>12</v>
      </c>
      <c r="D131" s="13">
        <v>12</v>
      </c>
      <c r="E131" s="13">
        <v>12</v>
      </c>
      <c r="F131" s="15">
        <v>0</v>
      </c>
    </row>
    <row r="132" spans="1:6">
      <c r="A132" s="14">
        <v>45145</v>
      </c>
      <c r="B132" s="13">
        <v>12</v>
      </c>
      <c r="C132" s="13">
        <v>12</v>
      </c>
      <c r="D132" s="13">
        <v>12</v>
      </c>
      <c r="E132" s="13">
        <v>12</v>
      </c>
      <c r="F132" s="15">
        <v>-0.0001</v>
      </c>
    </row>
    <row r="133" spans="1:6">
      <c r="A133" s="14">
        <v>45142</v>
      </c>
      <c r="B133" s="13">
        <v>12.002</v>
      </c>
      <c r="C133" s="13">
        <v>12</v>
      </c>
      <c r="D133" s="13">
        <v>12.002</v>
      </c>
      <c r="E133" s="13">
        <v>12</v>
      </c>
      <c r="F133" s="15">
        <v>0.0001</v>
      </c>
    </row>
    <row r="134" spans="1:6">
      <c r="A134" s="14">
        <v>45141</v>
      </c>
      <c r="B134" s="13">
        <v>12</v>
      </c>
      <c r="C134" s="13">
        <v>12</v>
      </c>
      <c r="D134" s="13">
        <v>12</v>
      </c>
      <c r="E134" s="13">
        <v>12</v>
      </c>
      <c r="F134" s="15">
        <v>0</v>
      </c>
    </row>
    <row r="135" spans="1:6">
      <c r="A135" s="14">
        <v>45140</v>
      </c>
      <c r="B135" s="13">
        <v>12</v>
      </c>
      <c r="C135" s="13">
        <v>12</v>
      </c>
      <c r="D135" s="13">
        <v>12</v>
      </c>
      <c r="E135" s="13">
        <v>12</v>
      </c>
      <c r="F135" s="15">
        <v>0</v>
      </c>
    </row>
    <row r="136" spans="1:6">
      <c r="A136" s="14">
        <v>45139</v>
      </c>
      <c r="B136" s="13">
        <v>12</v>
      </c>
      <c r="C136" s="13">
        <v>12</v>
      </c>
      <c r="D136" s="13">
        <v>12</v>
      </c>
      <c r="E136" s="13">
        <v>12</v>
      </c>
      <c r="F136" s="15">
        <v>-0.0004</v>
      </c>
    </row>
    <row r="137" spans="1:6">
      <c r="A137" s="14">
        <v>45138</v>
      </c>
      <c r="B137" s="13">
        <v>12.005</v>
      </c>
      <c r="C137" s="13">
        <v>12</v>
      </c>
      <c r="D137" s="13">
        <v>12.005</v>
      </c>
      <c r="E137" s="13">
        <v>12</v>
      </c>
      <c r="F137" s="15">
        <v>0.0008</v>
      </c>
    </row>
    <row r="138" spans="1:6">
      <c r="A138" s="14">
        <v>45135</v>
      </c>
      <c r="B138" s="13">
        <v>11.997</v>
      </c>
      <c r="C138" s="13">
        <v>12</v>
      </c>
      <c r="D138" s="13">
        <v>12</v>
      </c>
      <c r="E138" s="13">
        <v>11.997</v>
      </c>
      <c r="F138" s="15">
        <v>-0.0003</v>
      </c>
    </row>
    <row r="139" spans="1:6">
      <c r="A139" s="14">
        <v>45134</v>
      </c>
      <c r="B139" s="13">
        <v>12</v>
      </c>
      <c r="C139" s="13">
        <v>12</v>
      </c>
      <c r="D139" s="13">
        <v>12</v>
      </c>
      <c r="E139" s="13">
        <v>12</v>
      </c>
      <c r="F139" s="15">
        <v>0</v>
      </c>
    </row>
    <row r="140" spans="1:6">
      <c r="A140" s="14">
        <v>45133</v>
      </c>
      <c r="B140" s="13">
        <v>12</v>
      </c>
      <c r="C140" s="13">
        <v>12</v>
      </c>
      <c r="D140" s="13">
        <v>12</v>
      </c>
      <c r="E140" s="13">
        <v>12</v>
      </c>
      <c r="F140" s="15">
        <v>0</v>
      </c>
    </row>
    <row r="141" spans="1:6">
      <c r="A141" s="14">
        <v>45132</v>
      </c>
      <c r="B141" s="13">
        <v>12</v>
      </c>
      <c r="C141" s="13">
        <v>12</v>
      </c>
      <c r="D141" s="13">
        <v>12</v>
      </c>
      <c r="E141" s="13">
        <v>12</v>
      </c>
      <c r="F141" s="15">
        <v>0</v>
      </c>
    </row>
    <row r="142" spans="1:6">
      <c r="A142" s="14">
        <v>45131</v>
      </c>
      <c r="B142" s="13">
        <v>12</v>
      </c>
      <c r="C142" s="13">
        <v>12</v>
      </c>
      <c r="D142" s="13">
        <v>12</v>
      </c>
      <c r="E142" s="13">
        <v>12</v>
      </c>
      <c r="F142" s="15">
        <v>-0.0001</v>
      </c>
    </row>
    <row r="143" spans="1:6">
      <c r="A143" s="14">
        <v>45128</v>
      </c>
      <c r="B143" s="13">
        <v>12.002</v>
      </c>
      <c r="C143" s="13">
        <v>12</v>
      </c>
      <c r="D143" s="13">
        <v>12.002</v>
      </c>
      <c r="E143" s="13">
        <v>12</v>
      </c>
      <c r="F143" s="15">
        <v>0.0001</v>
      </c>
    </row>
    <row r="144" spans="1:6">
      <c r="A144" s="14">
        <v>45127</v>
      </c>
      <c r="B144" s="13">
        <v>12</v>
      </c>
      <c r="C144" s="13">
        <v>12</v>
      </c>
      <c r="D144" s="13">
        <v>12</v>
      </c>
      <c r="E144" s="13">
        <v>12</v>
      </c>
      <c r="F144" s="15">
        <v>0</v>
      </c>
    </row>
    <row r="145" spans="1:6">
      <c r="A145" s="14">
        <v>45126</v>
      </c>
      <c r="B145" s="13">
        <v>12</v>
      </c>
      <c r="C145" s="13">
        <v>12</v>
      </c>
      <c r="D145" s="13">
        <v>12</v>
      </c>
      <c r="E145" s="13">
        <v>12</v>
      </c>
      <c r="F145" s="15">
        <v>0</v>
      </c>
    </row>
    <row r="146" spans="1:6">
      <c r="A146" s="14">
        <v>45125</v>
      </c>
      <c r="B146" s="13">
        <v>12</v>
      </c>
      <c r="C146" s="13">
        <v>12</v>
      </c>
      <c r="D146" s="13">
        <v>12</v>
      </c>
      <c r="E146" s="13">
        <v>12</v>
      </c>
      <c r="F146" s="15">
        <v>0</v>
      </c>
    </row>
    <row r="147" spans="1:6">
      <c r="A147" s="14">
        <v>45124</v>
      </c>
      <c r="B147" s="13">
        <v>12</v>
      </c>
      <c r="C147" s="13">
        <v>12</v>
      </c>
      <c r="D147" s="13">
        <v>12</v>
      </c>
      <c r="E147" s="13">
        <v>12</v>
      </c>
      <c r="F147" s="15">
        <v>-0.0001</v>
      </c>
    </row>
    <row r="148" spans="1:6">
      <c r="A148" s="14">
        <v>45121</v>
      </c>
      <c r="B148" s="13">
        <v>12.002</v>
      </c>
      <c r="C148" s="13">
        <v>12</v>
      </c>
      <c r="D148" s="13">
        <v>12.002</v>
      </c>
      <c r="E148" s="13">
        <v>12</v>
      </c>
      <c r="F148" s="15">
        <v>0.0001</v>
      </c>
    </row>
    <row r="149" spans="1:6">
      <c r="A149" s="14">
        <v>45120</v>
      </c>
      <c r="B149" s="13">
        <v>12</v>
      </c>
      <c r="C149" s="13">
        <v>12</v>
      </c>
      <c r="D149" s="13">
        <v>12</v>
      </c>
      <c r="E149" s="13">
        <v>12</v>
      </c>
      <c r="F149" s="15">
        <v>0</v>
      </c>
    </row>
    <row r="150" spans="1:6">
      <c r="A150" s="14">
        <v>45119</v>
      </c>
      <c r="B150" s="13">
        <v>12</v>
      </c>
      <c r="C150" s="13">
        <v>12</v>
      </c>
      <c r="D150" s="13">
        <v>12</v>
      </c>
      <c r="E150" s="13">
        <v>12</v>
      </c>
      <c r="F150" s="15">
        <v>0</v>
      </c>
    </row>
    <row r="151" spans="1:6">
      <c r="A151" s="14">
        <v>45118</v>
      </c>
      <c r="B151" s="13">
        <v>12</v>
      </c>
      <c r="C151" s="13">
        <v>12</v>
      </c>
      <c r="D151" s="13">
        <v>12</v>
      </c>
      <c r="E151" s="13">
        <v>12</v>
      </c>
      <c r="F151" s="15">
        <v>0</v>
      </c>
    </row>
    <row r="152" spans="1:6">
      <c r="A152" s="14">
        <v>45117</v>
      </c>
      <c r="B152" s="13">
        <v>12</v>
      </c>
      <c r="C152" s="13">
        <v>12</v>
      </c>
      <c r="D152" s="13">
        <v>12</v>
      </c>
      <c r="E152" s="13">
        <v>12</v>
      </c>
      <c r="F152" s="15">
        <v>0</v>
      </c>
    </row>
    <row r="153" spans="1:6">
      <c r="A153" s="14">
        <v>45114</v>
      </c>
      <c r="B153" s="13">
        <v>12</v>
      </c>
      <c r="C153" s="13">
        <v>12</v>
      </c>
      <c r="D153" s="13">
        <v>12</v>
      </c>
      <c r="E153" s="13">
        <v>12</v>
      </c>
      <c r="F153" s="15">
        <v>0</v>
      </c>
    </row>
    <row r="154" spans="1:6">
      <c r="A154" s="14">
        <v>45113</v>
      </c>
      <c r="B154" s="13">
        <v>12</v>
      </c>
      <c r="C154" s="13">
        <v>12</v>
      </c>
      <c r="D154" s="13">
        <v>12</v>
      </c>
      <c r="E154" s="13">
        <v>12</v>
      </c>
      <c r="F154" s="15">
        <v>-0.0002</v>
      </c>
    </row>
    <row r="155" spans="1:6">
      <c r="A155" s="14">
        <v>45112</v>
      </c>
      <c r="B155" s="13">
        <v>12.002</v>
      </c>
      <c r="C155" s="13">
        <v>11.8</v>
      </c>
      <c r="D155" s="13">
        <v>12.002</v>
      </c>
      <c r="E155" s="13">
        <v>11.8</v>
      </c>
      <c r="F155" s="15">
        <v>0.0172</v>
      </c>
    </row>
    <row r="156" spans="1:6">
      <c r="A156" s="14">
        <v>45111</v>
      </c>
      <c r="B156" s="13">
        <v>11.8</v>
      </c>
      <c r="C156" s="13">
        <v>11.8</v>
      </c>
      <c r="D156" s="13">
        <v>11.8</v>
      </c>
      <c r="E156" s="13">
        <v>11.8</v>
      </c>
      <c r="F156" s="15">
        <v>0</v>
      </c>
    </row>
    <row r="157" spans="1:6">
      <c r="A157" s="14">
        <v>45110</v>
      </c>
      <c r="B157" s="13">
        <v>11.8</v>
      </c>
      <c r="C157" s="13">
        <v>11.8</v>
      </c>
      <c r="D157" s="13">
        <v>11.8</v>
      </c>
      <c r="E157" s="13">
        <v>11.8</v>
      </c>
      <c r="F157" s="15">
        <v>-0.0001</v>
      </c>
    </row>
    <row r="158" spans="1:6">
      <c r="A158" s="14">
        <v>45107</v>
      </c>
      <c r="B158" s="13">
        <v>11.802</v>
      </c>
      <c r="C158" s="13">
        <v>11.8</v>
      </c>
      <c r="D158" s="13">
        <v>11.802</v>
      </c>
      <c r="E158" s="13">
        <v>11.8</v>
      </c>
      <c r="F158" s="15">
        <v>0.0001</v>
      </c>
    </row>
    <row r="159" spans="1:6">
      <c r="A159" s="14">
        <v>45106</v>
      </c>
      <c r="B159" s="13">
        <v>11.8</v>
      </c>
      <c r="C159" s="13">
        <v>11.8</v>
      </c>
      <c r="D159" s="13">
        <v>11.8</v>
      </c>
      <c r="E159" s="13">
        <v>11.8</v>
      </c>
      <c r="F159" s="15">
        <v>0</v>
      </c>
    </row>
    <row r="160" spans="1:6">
      <c r="A160" s="14">
        <v>45105</v>
      </c>
      <c r="B160" s="13">
        <v>11.8</v>
      </c>
      <c r="C160" s="13">
        <v>11.8</v>
      </c>
      <c r="D160" s="13">
        <v>11.8</v>
      </c>
      <c r="E160" s="13">
        <v>11.8</v>
      </c>
      <c r="F160" s="15">
        <v>-0.0001</v>
      </c>
    </row>
    <row r="161" spans="1:6">
      <c r="A161" s="14">
        <v>45104</v>
      </c>
      <c r="B161" s="13">
        <v>11.801</v>
      </c>
      <c r="C161" s="13">
        <v>11.8</v>
      </c>
      <c r="D161" s="13">
        <v>11.801</v>
      </c>
      <c r="E161" s="13">
        <v>11.8</v>
      </c>
      <c r="F161" s="15">
        <v>0.0001</v>
      </c>
    </row>
    <row r="162" spans="1:6">
      <c r="A162" s="14">
        <v>45103</v>
      </c>
      <c r="B162" s="13">
        <v>11.8</v>
      </c>
      <c r="C162" s="13">
        <v>11.8</v>
      </c>
      <c r="D162" s="13">
        <v>11.8</v>
      </c>
      <c r="E162" s="13">
        <v>11.8</v>
      </c>
      <c r="F162" s="15">
        <v>-0.0001</v>
      </c>
    </row>
    <row r="163" spans="1:6">
      <c r="A163" s="14">
        <v>45100</v>
      </c>
      <c r="B163" s="13">
        <v>11.802</v>
      </c>
      <c r="C163" s="13">
        <v>11.8</v>
      </c>
      <c r="D163" s="13">
        <v>11.802</v>
      </c>
      <c r="E163" s="13">
        <v>11.8</v>
      </c>
      <c r="F163" s="15">
        <v>0.0001</v>
      </c>
    </row>
    <row r="164" spans="1:6">
      <c r="A164" s="14">
        <v>45099</v>
      </c>
      <c r="B164" s="13">
        <v>11.8</v>
      </c>
      <c r="C164" s="13">
        <v>11.8</v>
      </c>
      <c r="D164" s="13">
        <v>11.8</v>
      </c>
      <c r="E164" s="13">
        <v>11.8</v>
      </c>
      <c r="F164" s="15">
        <v>0</v>
      </c>
    </row>
    <row r="165" spans="1:6">
      <c r="A165" s="14">
        <v>45098</v>
      </c>
      <c r="B165" s="13">
        <v>11.8</v>
      </c>
      <c r="C165" s="13">
        <v>11.8</v>
      </c>
      <c r="D165" s="13">
        <v>11.8</v>
      </c>
      <c r="E165" s="13">
        <v>11.8</v>
      </c>
      <c r="F165" s="15">
        <v>0</v>
      </c>
    </row>
    <row r="166" spans="1:6">
      <c r="A166" s="14">
        <v>45097</v>
      </c>
      <c r="B166" s="13">
        <v>11.8</v>
      </c>
      <c r="C166" s="13">
        <v>11.8</v>
      </c>
      <c r="D166" s="13">
        <v>11.8</v>
      </c>
      <c r="E166" s="13">
        <v>11.8</v>
      </c>
      <c r="F166" s="15">
        <v>0</v>
      </c>
    </row>
    <row r="167" spans="1:6">
      <c r="A167" s="14">
        <v>45096</v>
      </c>
      <c r="B167" s="13">
        <v>11.8</v>
      </c>
      <c r="C167" s="13">
        <v>11.8</v>
      </c>
      <c r="D167" s="13">
        <v>11.8</v>
      </c>
      <c r="E167" s="13">
        <v>11.8</v>
      </c>
      <c r="F167" s="15">
        <v>-0.0001</v>
      </c>
    </row>
    <row r="168" spans="1:6">
      <c r="A168" s="14">
        <v>45093</v>
      </c>
      <c r="B168" s="13">
        <v>11.802</v>
      </c>
      <c r="C168" s="13">
        <v>11.8</v>
      </c>
      <c r="D168" s="13">
        <v>11.802</v>
      </c>
      <c r="E168" s="13">
        <v>11.8</v>
      </c>
      <c r="F168" s="15">
        <v>0.0001</v>
      </c>
    </row>
    <row r="169" spans="1:6">
      <c r="A169" s="14">
        <v>45092</v>
      </c>
      <c r="B169" s="13">
        <v>11.8</v>
      </c>
      <c r="C169" s="13">
        <v>11.8</v>
      </c>
      <c r="D169" s="13">
        <v>11.8</v>
      </c>
      <c r="E169" s="13">
        <v>11.8</v>
      </c>
      <c r="F169" s="15">
        <v>0</v>
      </c>
    </row>
    <row r="170" spans="1:6">
      <c r="A170" s="14">
        <v>45091</v>
      </c>
      <c r="B170" s="13">
        <v>11.8</v>
      </c>
      <c r="C170" s="13">
        <v>11.8</v>
      </c>
      <c r="D170" s="13">
        <v>11.8</v>
      </c>
      <c r="E170" s="13">
        <v>11.8</v>
      </c>
      <c r="F170" s="15">
        <v>0</v>
      </c>
    </row>
    <row r="171" spans="1:6">
      <c r="A171" s="14">
        <v>45090</v>
      </c>
      <c r="B171" s="13">
        <v>11.8</v>
      </c>
      <c r="C171" s="13">
        <v>12</v>
      </c>
      <c r="D171" s="13">
        <v>12</v>
      </c>
      <c r="E171" s="13">
        <v>11.8</v>
      </c>
      <c r="F171" s="15">
        <v>-0.0167</v>
      </c>
    </row>
    <row r="172" spans="1:6">
      <c r="A172" s="14">
        <v>45089</v>
      </c>
      <c r="B172" s="13">
        <v>12</v>
      </c>
      <c r="C172" s="13">
        <v>12</v>
      </c>
      <c r="D172" s="13">
        <v>12</v>
      </c>
      <c r="E172" s="13">
        <v>12</v>
      </c>
      <c r="F172" s="15">
        <v>-0.0001</v>
      </c>
    </row>
    <row r="173" spans="1:6">
      <c r="A173" s="14">
        <v>45086</v>
      </c>
      <c r="B173" s="13">
        <v>12.002</v>
      </c>
      <c r="C173" s="13">
        <v>12</v>
      </c>
      <c r="D173" s="13">
        <v>12.002</v>
      </c>
      <c r="E173" s="13">
        <v>12</v>
      </c>
      <c r="F173" s="15">
        <v>0.0001</v>
      </c>
    </row>
    <row r="174" spans="1:6">
      <c r="A174" s="14">
        <v>45085</v>
      </c>
      <c r="B174" s="13">
        <v>12</v>
      </c>
      <c r="C174" s="13">
        <v>12</v>
      </c>
      <c r="D174" s="13">
        <v>12</v>
      </c>
      <c r="E174" s="13">
        <v>12</v>
      </c>
      <c r="F174" s="15">
        <v>0</v>
      </c>
    </row>
    <row r="175" spans="1:6">
      <c r="A175" s="14">
        <v>45084</v>
      </c>
      <c r="B175" s="13">
        <v>12</v>
      </c>
      <c r="C175" s="13">
        <v>12</v>
      </c>
      <c r="D175" s="13">
        <v>12</v>
      </c>
      <c r="E175" s="13">
        <v>12</v>
      </c>
      <c r="F175" s="15">
        <v>0</v>
      </c>
    </row>
    <row r="176" spans="1:6">
      <c r="A176" s="14">
        <v>45083</v>
      </c>
      <c r="B176" s="13">
        <v>12</v>
      </c>
      <c r="C176" s="13">
        <v>12</v>
      </c>
      <c r="D176" s="13">
        <v>12</v>
      </c>
      <c r="E176" s="13">
        <v>12</v>
      </c>
      <c r="F176" s="15">
        <v>0</v>
      </c>
    </row>
    <row r="177" spans="1:6">
      <c r="A177" s="14">
        <v>45082</v>
      </c>
      <c r="B177" s="13">
        <v>12</v>
      </c>
      <c r="C177" s="13">
        <v>12</v>
      </c>
      <c r="D177" s="13">
        <v>12</v>
      </c>
      <c r="E177" s="13">
        <v>12</v>
      </c>
      <c r="F177" s="15">
        <v>-0.0001</v>
      </c>
    </row>
    <row r="178" spans="1:6">
      <c r="A178" s="14">
        <v>45079</v>
      </c>
      <c r="B178" s="13">
        <v>12.002</v>
      </c>
      <c r="C178" s="13">
        <v>12</v>
      </c>
      <c r="D178" s="13">
        <v>12.002</v>
      </c>
      <c r="E178" s="13">
        <v>12</v>
      </c>
      <c r="F178" s="15">
        <v>0.0001</v>
      </c>
    </row>
    <row r="179" spans="1:6">
      <c r="A179" s="14">
        <v>45078</v>
      </c>
      <c r="B179" s="13">
        <v>12</v>
      </c>
      <c r="C179" s="13">
        <v>12</v>
      </c>
      <c r="D179" s="13">
        <v>12</v>
      </c>
      <c r="E179" s="13">
        <v>12</v>
      </c>
      <c r="F179" s="15">
        <v>-0.0004</v>
      </c>
    </row>
    <row r="180" spans="1:6">
      <c r="A180" s="14">
        <v>45077</v>
      </c>
      <c r="B180" s="13">
        <v>12.005</v>
      </c>
      <c r="C180" s="13">
        <v>12</v>
      </c>
      <c r="D180" s="13">
        <v>12.005</v>
      </c>
      <c r="E180" s="13">
        <v>12</v>
      </c>
      <c r="F180" s="15">
        <v>0.0008</v>
      </c>
    </row>
    <row r="181" spans="1:6">
      <c r="A181" s="14">
        <v>45076</v>
      </c>
      <c r="B181" s="13">
        <v>11.995</v>
      </c>
      <c r="C181" s="13">
        <v>12</v>
      </c>
      <c r="D181" s="13">
        <v>12</v>
      </c>
      <c r="E181" s="13">
        <v>11.995</v>
      </c>
      <c r="F181" s="15">
        <v>-0.0004</v>
      </c>
    </row>
    <row r="182" spans="1:6">
      <c r="A182" s="14">
        <v>45075</v>
      </c>
      <c r="B182" s="13">
        <v>12</v>
      </c>
      <c r="C182" s="13">
        <v>12</v>
      </c>
      <c r="D182" s="13">
        <v>12</v>
      </c>
      <c r="E182" s="13">
        <v>12</v>
      </c>
      <c r="F182" s="15">
        <v>-0.0001</v>
      </c>
    </row>
    <row r="183" spans="1:6">
      <c r="A183" s="14">
        <v>45072</v>
      </c>
      <c r="B183" s="13">
        <v>12.001</v>
      </c>
      <c r="C183" s="13">
        <v>12</v>
      </c>
      <c r="D183" s="13">
        <v>12.001</v>
      </c>
      <c r="E183" s="13">
        <v>12</v>
      </c>
      <c r="F183" s="15">
        <v>0.0001</v>
      </c>
    </row>
    <row r="184" spans="1:6">
      <c r="A184" s="14">
        <v>45071</v>
      </c>
      <c r="B184" s="13">
        <v>12</v>
      </c>
      <c r="C184" s="13">
        <v>12</v>
      </c>
      <c r="D184" s="13">
        <v>12</v>
      </c>
      <c r="E184" s="13">
        <v>12</v>
      </c>
      <c r="F184" s="15">
        <v>0</v>
      </c>
    </row>
    <row r="185" spans="1:6">
      <c r="A185" s="14">
        <v>45070</v>
      </c>
      <c r="B185" s="13">
        <v>12</v>
      </c>
      <c r="C185" s="13">
        <v>12</v>
      </c>
      <c r="D185" s="13">
        <v>12</v>
      </c>
      <c r="E185" s="13">
        <v>12</v>
      </c>
      <c r="F185" s="15">
        <v>0</v>
      </c>
    </row>
    <row r="186" spans="1:6">
      <c r="A186" s="14">
        <v>45069</v>
      </c>
      <c r="B186" s="13">
        <v>12</v>
      </c>
      <c r="C186" s="13">
        <v>12</v>
      </c>
      <c r="D186" s="13">
        <v>12</v>
      </c>
      <c r="E186" s="13">
        <v>12</v>
      </c>
      <c r="F186" s="15">
        <v>0</v>
      </c>
    </row>
    <row r="187" spans="1:6">
      <c r="A187" s="14">
        <v>45068</v>
      </c>
      <c r="B187" s="13">
        <v>12</v>
      </c>
      <c r="C187" s="13">
        <v>12</v>
      </c>
      <c r="D187" s="13">
        <v>12</v>
      </c>
      <c r="E187" s="13">
        <v>12</v>
      </c>
      <c r="F187" s="15">
        <v>-0.0001</v>
      </c>
    </row>
    <row r="188" spans="1:6">
      <c r="A188" s="14">
        <v>45065</v>
      </c>
      <c r="B188" s="13">
        <v>12.001</v>
      </c>
      <c r="C188" s="13">
        <v>12</v>
      </c>
      <c r="D188" s="13">
        <v>12.001</v>
      </c>
      <c r="E188" s="13">
        <v>12</v>
      </c>
      <c r="F188" s="15">
        <v>0.0001</v>
      </c>
    </row>
    <row r="189" spans="1:6">
      <c r="A189" s="14">
        <v>45064</v>
      </c>
      <c r="B189" s="13">
        <v>12</v>
      </c>
      <c r="C189" s="13">
        <v>12</v>
      </c>
      <c r="D189" s="13">
        <v>12</v>
      </c>
      <c r="E189" s="13">
        <v>12</v>
      </c>
      <c r="F189" s="15">
        <v>0</v>
      </c>
    </row>
    <row r="190" spans="1:6">
      <c r="A190" s="14">
        <v>45063</v>
      </c>
      <c r="B190" s="13">
        <v>12</v>
      </c>
      <c r="C190" s="13">
        <v>12</v>
      </c>
      <c r="D190" s="13">
        <v>12</v>
      </c>
      <c r="E190" s="13">
        <v>12</v>
      </c>
      <c r="F190" s="15">
        <v>0</v>
      </c>
    </row>
    <row r="191" spans="1:6">
      <c r="A191" s="14">
        <v>45062</v>
      </c>
      <c r="B191" s="13">
        <v>12</v>
      </c>
      <c r="C191" s="13">
        <v>12</v>
      </c>
      <c r="D191" s="13">
        <v>12</v>
      </c>
      <c r="E191" s="13">
        <v>12</v>
      </c>
      <c r="F191" s="15">
        <v>0</v>
      </c>
    </row>
    <row r="192" spans="1:6">
      <c r="A192" s="14">
        <v>45061</v>
      </c>
      <c r="B192" s="13">
        <v>12</v>
      </c>
      <c r="C192" s="13">
        <v>12.5</v>
      </c>
      <c r="D192" s="13">
        <v>12.5</v>
      </c>
      <c r="E192" s="13">
        <v>12</v>
      </c>
      <c r="F192" s="15">
        <v>-0.0401</v>
      </c>
    </row>
    <row r="193" spans="1:6">
      <c r="A193" s="14">
        <v>45058</v>
      </c>
      <c r="B193" s="13">
        <v>12.502</v>
      </c>
      <c r="C193" s="13">
        <v>12.5</v>
      </c>
      <c r="D193" s="13">
        <v>12.502</v>
      </c>
      <c r="E193" s="13">
        <v>12.5</v>
      </c>
      <c r="F193" s="15">
        <v>0</v>
      </c>
    </row>
    <row r="194" spans="1:6">
      <c r="A194" s="14">
        <v>45057</v>
      </c>
      <c r="B194" s="13">
        <v>12.501</v>
      </c>
      <c r="C194" s="13">
        <v>12.5</v>
      </c>
      <c r="D194" s="13">
        <v>12.501</v>
      </c>
      <c r="E194" s="13">
        <v>12.5</v>
      </c>
      <c r="F194" s="15">
        <v>0</v>
      </c>
    </row>
    <row r="195" spans="1:6">
      <c r="A195" s="14">
        <v>45056</v>
      </c>
      <c r="B195" s="13">
        <v>12.501</v>
      </c>
      <c r="C195" s="13">
        <v>12.5</v>
      </c>
      <c r="D195" s="13">
        <v>12.501</v>
      </c>
      <c r="E195" s="13">
        <v>12.5</v>
      </c>
      <c r="F195" s="15">
        <v>0.0001</v>
      </c>
    </row>
    <row r="196" spans="1:6">
      <c r="A196" s="14">
        <v>45055</v>
      </c>
      <c r="B196" s="13">
        <v>12.5</v>
      </c>
      <c r="C196" s="13">
        <v>12.5</v>
      </c>
      <c r="D196" s="13">
        <v>12.5</v>
      </c>
      <c r="E196" s="13">
        <v>12.5</v>
      </c>
      <c r="F196" s="15">
        <v>0</v>
      </c>
    </row>
    <row r="197" spans="1:6">
      <c r="A197" s="14">
        <v>45054</v>
      </c>
      <c r="B197" s="13">
        <v>12.5</v>
      </c>
      <c r="C197" s="13">
        <v>12.5</v>
      </c>
      <c r="D197" s="13">
        <v>12.5</v>
      </c>
      <c r="E197" s="13">
        <v>12.5</v>
      </c>
      <c r="F197" s="15">
        <v>-0.0004</v>
      </c>
    </row>
    <row r="198" spans="1:6">
      <c r="A198" s="14">
        <v>45051</v>
      </c>
      <c r="B198" s="13">
        <v>12.505</v>
      </c>
      <c r="C198" s="13">
        <v>12.5</v>
      </c>
      <c r="D198" s="13">
        <v>12.505</v>
      </c>
      <c r="E198" s="13">
        <v>12.5</v>
      </c>
      <c r="F198" s="15">
        <v>0.0003</v>
      </c>
    </row>
    <row r="199" spans="1:6">
      <c r="A199" s="14">
        <v>45050</v>
      </c>
      <c r="B199" s="13">
        <v>12.501</v>
      </c>
      <c r="C199" s="13">
        <v>12.5</v>
      </c>
      <c r="D199" s="13">
        <v>12.501</v>
      </c>
      <c r="E199" s="13">
        <v>12.5</v>
      </c>
      <c r="F199" s="15">
        <v>0</v>
      </c>
    </row>
    <row r="200" spans="1:6">
      <c r="A200" s="14">
        <v>45049</v>
      </c>
      <c r="B200" s="13">
        <v>12.501</v>
      </c>
      <c r="C200" s="13">
        <v>12.5</v>
      </c>
      <c r="D200" s="13">
        <v>12.501</v>
      </c>
      <c r="E200" s="13">
        <v>12.5</v>
      </c>
      <c r="F200" s="15">
        <v>0</v>
      </c>
    </row>
    <row r="201" spans="1:6">
      <c r="A201" s="14">
        <v>45048</v>
      </c>
      <c r="B201" s="13">
        <v>12.501</v>
      </c>
      <c r="C201" s="13">
        <v>12.5</v>
      </c>
      <c r="D201" s="13">
        <v>12.501</v>
      </c>
      <c r="E201" s="13">
        <v>12.5</v>
      </c>
      <c r="F201" s="15">
        <v>0.0001</v>
      </c>
    </row>
    <row r="202" spans="1:6">
      <c r="A202" s="14">
        <v>45047</v>
      </c>
      <c r="B202" s="13">
        <v>12.5</v>
      </c>
      <c r="C202" s="13">
        <v>12.5</v>
      </c>
      <c r="D202" s="13">
        <v>12.5</v>
      </c>
      <c r="E202" s="13">
        <v>12.5</v>
      </c>
      <c r="F202" s="15">
        <v>-0.0003</v>
      </c>
    </row>
    <row r="203" spans="1:6">
      <c r="A203" s="14">
        <v>45044</v>
      </c>
      <c r="B203" s="13">
        <v>12.504</v>
      </c>
      <c r="C203" s="13">
        <v>12.5</v>
      </c>
      <c r="D203" s="13">
        <v>12.504</v>
      </c>
      <c r="E203" s="13">
        <v>12.5</v>
      </c>
      <c r="F203" s="15">
        <v>0.0002</v>
      </c>
    </row>
    <row r="204" spans="1:6">
      <c r="A204" s="14">
        <v>45043</v>
      </c>
      <c r="B204" s="13">
        <v>12.501</v>
      </c>
      <c r="C204" s="13">
        <v>12.5</v>
      </c>
      <c r="D204" s="13">
        <v>12.501</v>
      </c>
      <c r="E204" s="13">
        <v>12.5</v>
      </c>
      <c r="F204" s="15">
        <v>0</v>
      </c>
    </row>
    <row r="205" spans="1:6">
      <c r="A205" s="14">
        <v>45042</v>
      </c>
      <c r="B205" s="13">
        <v>12.501</v>
      </c>
      <c r="C205" s="13">
        <v>13.1</v>
      </c>
      <c r="D205" s="13">
        <v>13.1</v>
      </c>
      <c r="E205" s="13">
        <v>12.5</v>
      </c>
      <c r="F205" s="15">
        <v>-0.0458</v>
      </c>
    </row>
    <row r="206" spans="1:6">
      <c r="A206" s="14">
        <v>45041</v>
      </c>
      <c r="B206" s="13">
        <v>13.101</v>
      </c>
      <c r="C206" s="13">
        <v>12.782</v>
      </c>
      <c r="D206" s="13">
        <v>13.101</v>
      </c>
      <c r="E206" s="13">
        <v>12.782</v>
      </c>
      <c r="F206" s="15">
        <v>-0.0076</v>
      </c>
    </row>
    <row r="207" spans="1:6">
      <c r="A207" s="14">
        <v>45040</v>
      </c>
      <c r="B207" s="13">
        <v>13.201</v>
      </c>
      <c r="C207" s="13">
        <v>12.913</v>
      </c>
      <c r="D207" s="13">
        <v>13.201</v>
      </c>
      <c r="E207" s="13">
        <v>12.694</v>
      </c>
      <c r="F207" s="15">
        <v>-0.0003</v>
      </c>
    </row>
    <row r="208" spans="1:6">
      <c r="A208" s="14">
        <v>45037</v>
      </c>
      <c r="B208" s="13">
        <v>13.206</v>
      </c>
      <c r="C208" s="13">
        <v>13.2</v>
      </c>
      <c r="D208" s="13">
        <v>13.206</v>
      </c>
      <c r="E208" s="13">
        <v>12.783</v>
      </c>
      <c r="F208" s="15">
        <v>0.0003</v>
      </c>
    </row>
    <row r="209" spans="1:6">
      <c r="A209" s="14">
        <v>45036</v>
      </c>
      <c r="B209" s="13">
        <v>13.202</v>
      </c>
      <c r="C209" s="13">
        <v>13.262</v>
      </c>
      <c r="D209" s="13">
        <v>13.33</v>
      </c>
      <c r="E209" s="13">
        <v>13.202</v>
      </c>
      <c r="F209" s="15">
        <v>0</v>
      </c>
    </row>
    <row r="210" spans="1:6">
      <c r="A210" s="14">
        <v>45035</v>
      </c>
      <c r="B210" s="13">
        <v>13.202</v>
      </c>
      <c r="C210" s="13">
        <v>13.169</v>
      </c>
      <c r="D210" s="13">
        <v>13.202</v>
      </c>
      <c r="E210" s="13">
        <v>13.169</v>
      </c>
      <c r="F210" s="15">
        <v>0</v>
      </c>
    </row>
    <row r="211" spans="1:6">
      <c r="A211" s="14">
        <v>45034</v>
      </c>
      <c r="B211" s="13">
        <v>13.202</v>
      </c>
      <c r="C211" s="13">
        <v>13.2</v>
      </c>
      <c r="D211" s="13">
        <v>13.287</v>
      </c>
      <c r="E211" s="13">
        <v>12.961</v>
      </c>
      <c r="F211" s="15">
        <v>0</v>
      </c>
    </row>
    <row r="212" spans="1:6">
      <c r="A212" s="14">
        <v>45033</v>
      </c>
      <c r="B212" s="13">
        <v>13.202</v>
      </c>
      <c r="C212" s="13">
        <v>13.4</v>
      </c>
      <c r="D212" s="13">
        <v>13.606</v>
      </c>
      <c r="E212" s="13">
        <v>13.2</v>
      </c>
      <c r="F212" s="15">
        <v>-0.0003</v>
      </c>
    </row>
    <row r="213" spans="1:6">
      <c r="A213" s="14">
        <v>45030</v>
      </c>
      <c r="B213" s="13">
        <v>13.206</v>
      </c>
      <c r="C213" s="13">
        <v>13.2</v>
      </c>
      <c r="D213" s="13">
        <v>13.577</v>
      </c>
      <c r="E213" s="13">
        <v>13.2</v>
      </c>
      <c r="F213" s="15">
        <v>0.0003</v>
      </c>
    </row>
    <row r="214" spans="1:6">
      <c r="A214" s="14">
        <v>45029</v>
      </c>
      <c r="B214" s="13">
        <v>13.202</v>
      </c>
      <c r="C214" s="13">
        <v>13.47</v>
      </c>
      <c r="D214" s="13">
        <v>13.78</v>
      </c>
      <c r="E214" s="13">
        <v>13.2</v>
      </c>
      <c r="F214" s="15">
        <v>0</v>
      </c>
    </row>
    <row r="215" spans="1:6">
      <c r="A215" s="14">
        <v>45028</v>
      </c>
      <c r="B215" s="13">
        <v>13.202</v>
      </c>
      <c r="C215" s="13">
        <v>13.2</v>
      </c>
      <c r="D215" s="13">
        <v>13.202</v>
      </c>
      <c r="E215" s="13">
        <v>13.064</v>
      </c>
      <c r="F215" s="15">
        <v>0</v>
      </c>
    </row>
    <row r="216" spans="1:6">
      <c r="A216" s="14">
        <v>45027</v>
      </c>
      <c r="B216" s="13">
        <v>13.202</v>
      </c>
      <c r="C216" s="13">
        <v>12.599</v>
      </c>
      <c r="D216" s="13">
        <v>13.599</v>
      </c>
      <c r="E216" s="13">
        <v>12.599</v>
      </c>
      <c r="F216" s="15">
        <v>0</v>
      </c>
    </row>
    <row r="217" spans="1:6">
      <c r="A217" s="14">
        <v>45026</v>
      </c>
      <c r="B217" s="13">
        <v>13.202</v>
      </c>
      <c r="C217" s="13">
        <v>12.602</v>
      </c>
      <c r="D217" s="13">
        <v>13.202</v>
      </c>
      <c r="E217" s="13">
        <v>12.602</v>
      </c>
      <c r="F217" s="15">
        <v>-0.0003</v>
      </c>
    </row>
    <row r="218" spans="1:6">
      <c r="A218" s="14">
        <v>45023</v>
      </c>
      <c r="B218" s="13">
        <v>13.206</v>
      </c>
      <c r="C218" s="13">
        <v>12.95</v>
      </c>
      <c r="D218" s="13">
        <v>13.206</v>
      </c>
      <c r="E218" s="13">
        <v>12.756</v>
      </c>
      <c r="F218" s="15">
        <v>0.0003</v>
      </c>
    </row>
    <row r="219" spans="1:6">
      <c r="A219" s="14">
        <v>45022</v>
      </c>
      <c r="B219" s="13">
        <v>13.202</v>
      </c>
      <c r="C219" s="13">
        <v>12.997</v>
      </c>
      <c r="D219" s="13">
        <v>13.202</v>
      </c>
      <c r="E219" s="13">
        <v>12.33</v>
      </c>
      <c r="F219" s="15">
        <v>0</v>
      </c>
    </row>
    <row r="220" spans="1:6">
      <c r="A220" s="14">
        <v>45021</v>
      </c>
      <c r="B220" s="13">
        <v>13.202</v>
      </c>
      <c r="C220" s="13">
        <v>12.541</v>
      </c>
      <c r="D220" s="13">
        <v>13.202</v>
      </c>
      <c r="E220" s="13">
        <v>12.541</v>
      </c>
      <c r="F220" s="15">
        <v>0</v>
      </c>
    </row>
    <row r="221" spans="1:6">
      <c r="A221" s="14">
        <v>45020</v>
      </c>
      <c r="B221" s="13">
        <v>13.202</v>
      </c>
      <c r="C221" s="13">
        <v>12.592</v>
      </c>
      <c r="D221" s="13">
        <v>13.202</v>
      </c>
      <c r="E221" s="13">
        <v>12.592</v>
      </c>
      <c r="F221" s="15">
        <v>0</v>
      </c>
    </row>
    <row r="222" spans="1:6">
      <c r="A222" s="14">
        <v>45019</v>
      </c>
      <c r="B222" s="13">
        <v>13.202</v>
      </c>
      <c r="C222" s="13">
        <v>12.854</v>
      </c>
      <c r="D222" s="13">
        <v>13.202</v>
      </c>
      <c r="E222" s="13">
        <v>12.854</v>
      </c>
      <c r="F222" s="15">
        <v>-0.03</v>
      </c>
    </row>
    <row r="223" spans="1:6">
      <c r="A223" s="14">
        <v>45016</v>
      </c>
      <c r="B223" s="13">
        <v>13.611</v>
      </c>
      <c r="C223" s="13">
        <v>12.841</v>
      </c>
      <c r="D223" s="13">
        <v>13.611</v>
      </c>
      <c r="E223" s="13">
        <v>12.841</v>
      </c>
      <c r="F223" s="15">
        <v>0.0011</v>
      </c>
    </row>
    <row r="224" spans="1:6">
      <c r="A224" s="14">
        <v>45015</v>
      </c>
      <c r="B224" s="13">
        <v>13.595</v>
      </c>
      <c r="C224" s="13">
        <v>12.846</v>
      </c>
      <c r="D224" s="13">
        <v>13.6</v>
      </c>
      <c r="E224" s="13">
        <v>12.846</v>
      </c>
      <c r="F224" s="15">
        <v>-0.0005</v>
      </c>
    </row>
    <row r="225" spans="1:6">
      <c r="A225" s="14">
        <v>45014</v>
      </c>
      <c r="B225" s="13">
        <v>13.602</v>
      </c>
      <c r="C225" s="13">
        <v>12.455</v>
      </c>
      <c r="D225" s="13">
        <v>13.602</v>
      </c>
      <c r="E225" s="13">
        <v>12.455</v>
      </c>
      <c r="F225" s="15">
        <v>0</v>
      </c>
    </row>
    <row r="226" spans="1:6">
      <c r="A226" s="14">
        <v>45013</v>
      </c>
      <c r="B226" s="13">
        <v>13.602</v>
      </c>
      <c r="C226" s="13">
        <v>12.788</v>
      </c>
      <c r="D226" s="13">
        <v>13.602</v>
      </c>
      <c r="E226" s="13">
        <v>12.788</v>
      </c>
      <c r="F226" s="15">
        <v>0</v>
      </c>
    </row>
    <row r="227" spans="1:6">
      <c r="A227" s="14">
        <v>45012</v>
      </c>
      <c r="B227" s="13">
        <v>13.602</v>
      </c>
      <c r="C227" s="13">
        <v>12.905</v>
      </c>
      <c r="D227" s="13">
        <v>13.602</v>
      </c>
      <c r="E227" s="13">
        <v>12.905</v>
      </c>
      <c r="F227" s="15">
        <v>-0.0003</v>
      </c>
    </row>
    <row r="228" spans="1:6">
      <c r="A228" s="14">
        <v>45009</v>
      </c>
      <c r="B228" s="13">
        <v>13.606</v>
      </c>
      <c r="C228" s="13">
        <v>13.835</v>
      </c>
      <c r="D228" s="13">
        <v>13.835</v>
      </c>
      <c r="E228" s="13">
        <v>12.925</v>
      </c>
      <c r="F228" s="15">
        <v>0.0003</v>
      </c>
    </row>
    <row r="229" spans="1:6">
      <c r="A229" s="14">
        <v>45008</v>
      </c>
      <c r="B229" s="13">
        <v>13.602</v>
      </c>
      <c r="C229" s="13">
        <v>13.602</v>
      </c>
      <c r="D229" s="13">
        <v>13.602</v>
      </c>
      <c r="E229" s="13">
        <v>13.602</v>
      </c>
      <c r="F229" s="15">
        <v>0</v>
      </c>
    </row>
    <row r="230" spans="1:6">
      <c r="A230" s="14">
        <v>45007</v>
      </c>
      <c r="B230" s="13">
        <v>13.602</v>
      </c>
      <c r="C230" s="13">
        <v>13.602</v>
      </c>
      <c r="D230" s="13">
        <v>13.602</v>
      </c>
      <c r="E230" s="13">
        <v>13.602</v>
      </c>
      <c r="F230" s="15">
        <v>-0.0003</v>
      </c>
    </row>
    <row r="231" spans="1:6">
      <c r="A231" s="14">
        <v>45006</v>
      </c>
      <c r="B231" s="13">
        <v>13.606</v>
      </c>
      <c r="C231" s="13">
        <v>13.606</v>
      </c>
      <c r="D231" s="13">
        <v>13.606</v>
      </c>
      <c r="E231" s="13">
        <v>13.606</v>
      </c>
      <c r="F231" s="15">
        <v>-0.0001</v>
      </c>
    </row>
    <row r="232" spans="1:6">
      <c r="A232" s="14">
        <v>45005</v>
      </c>
      <c r="B232" s="13">
        <v>13.608</v>
      </c>
      <c r="C232" s="13">
        <v>13.451</v>
      </c>
      <c r="D232" s="13">
        <v>14.35</v>
      </c>
      <c r="E232" s="13">
        <v>13.451</v>
      </c>
      <c r="F232" s="15">
        <v>-0.0522</v>
      </c>
    </row>
    <row r="233" spans="1:6">
      <c r="A233" s="14">
        <v>45002</v>
      </c>
      <c r="B233" s="13">
        <v>14.357</v>
      </c>
      <c r="C233" s="13">
        <v>13.009</v>
      </c>
      <c r="D233" s="13">
        <v>14.357</v>
      </c>
      <c r="E233" s="13">
        <v>13.009</v>
      </c>
      <c r="F233" s="15">
        <v>0.0005</v>
      </c>
    </row>
    <row r="234" spans="1:6">
      <c r="A234" s="14">
        <v>45001</v>
      </c>
      <c r="B234" s="13">
        <v>14.35</v>
      </c>
      <c r="C234" s="13">
        <v>13.578</v>
      </c>
      <c r="D234" s="13">
        <v>14.35</v>
      </c>
      <c r="E234" s="13">
        <v>13.578</v>
      </c>
      <c r="F234" s="15">
        <v>-0.0001</v>
      </c>
    </row>
    <row r="235" spans="1:6">
      <c r="A235" s="14">
        <v>45000</v>
      </c>
      <c r="B235" s="13">
        <v>14.352</v>
      </c>
      <c r="C235" s="13">
        <v>13.016</v>
      </c>
      <c r="D235" s="13">
        <v>14.352</v>
      </c>
      <c r="E235" s="13">
        <v>13.016</v>
      </c>
      <c r="F235" s="15">
        <v>0.0999</v>
      </c>
    </row>
    <row r="236" spans="1:6">
      <c r="A236" s="14">
        <v>44999</v>
      </c>
      <c r="B236" s="13">
        <v>13.049</v>
      </c>
      <c r="C236" s="13">
        <v>13.015</v>
      </c>
      <c r="D236" s="13">
        <v>14.3</v>
      </c>
      <c r="E236" s="13">
        <v>13.015</v>
      </c>
      <c r="F236" s="15">
        <v>-0.0876</v>
      </c>
    </row>
    <row r="237" spans="1:6">
      <c r="A237" s="14">
        <v>44998</v>
      </c>
      <c r="B237" s="13">
        <v>14.302</v>
      </c>
      <c r="C237" s="13">
        <v>13.302</v>
      </c>
      <c r="D237" s="13">
        <v>14.302</v>
      </c>
      <c r="E237" s="13">
        <v>13.302</v>
      </c>
      <c r="F237" s="15">
        <v>-0.0003</v>
      </c>
    </row>
    <row r="238" spans="1:6">
      <c r="A238" s="14">
        <v>44995</v>
      </c>
      <c r="B238" s="13">
        <v>14.307</v>
      </c>
      <c r="C238" s="13">
        <v>13.356</v>
      </c>
      <c r="D238" s="13">
        <v>14.307</v>
      </c>
      <c r="E238" s="13">
        <v>13.356</v>
      </c>
      <c r="F238" s="15">
        <v>0.0005</v>
      </c>
    </row>
    <row r="239" spans="1:6">
      <c r="A239" s="14">
        <v>44994</v>
      </c>
      <c r="B239" s="13">
        <v>14.3</v>
      </c>
      <c r="C239" s="13">
        <v>13.534</v>
      </c>
      <c r="D239" s="13">
        <v>14.3</v>
      </c>
      <c r="E239" s="13">
        <v>13.534</v>
      </c>
      <c r="F239" s="15">
        <v>0</v>
      </c>
    </row>
    <row r="240" spans="1:6">
      <c r="A240" s="14">
        <v>44993</v>
      </c>
      <c r="B240" s="13">
        <v>14.3</v>
      </c>
      <c r="C240" s="13">
        <v>14.3</v>
      </c>
      <c r="D240" s="13">
        <v>14.3</v>
      </c>
      <c r="E240" s="13">
        <v>14.3</v>
      </c>
      <c r="F240" s="15">
        <v>-0.0003</v>
      </c>
    </row>
    <row r="241" spans="1:6">
      <c r="A241" s="14">
        <v>44992</v>
      </c>
      <c r="B241" s="13">
        <v>14.304</v>
      </c>
      <c r="C241" s="13">
        <v>13.62</v>
      </c>
      <c r="D241" s="13">
        <v>14.304</v>
      </c>
      <c r="E241" s="13">
        <v>13.62</v>
      </c>
      <c r="F241" s="15">
        <v>0.0003</v>
      </c>
    </row>
    <row r="242" spans="1:6">
      <c r="A242" s="14">
        <v>44991</v>
      </c>
      <c r="B242" s="13">
        <v>14.3</v>
      </c>
      <c r="C242" s="13">
        <v>13.658</v>
      </c>
      <c r="D242" s="13">
        <v>14.3</v>
      </c>
      <c r="E242" s="13">
        <v>13.658</v>
      </c>
      <c r="F242" s="15">
        <v>-0.0005</v>
      </c>
    </row>
    <row r="243" spans="1:6">
      <c r="A243" s="14">
        <v>44988</v>
      </c>
      <c r="B243" s="13">
        <v>14.307</v>
      </c>
      <c r="C243" s="13">
        <v>13.728</v>
      </c>
      <c r="D243" s="13">
        <v>14.307</v>
      </c>
      <c r="E243" s="13">
        <v>13.728</v>
      </c>
      <c r="F243" s="15">
        <v>0.0003</v>
      </c>
    </row>
    <row r="244" spans="1:6">
      <c r="A244" s="14">
        <v>44987</v>
      </c>
      <c r="B244" s="13">
        <v>14.302</v>
      </c>
      <c r="C244" s="13">
        <v>13.12</v>
      </c>
      <c r="D244" s="13">
        <v>14.302</v>
      </c>
      <c r="E244" s="13">
        <v>13.12</v>
      </c>
      <c r="F244" s="15">
        <v>0</v>
      </c>
    </row>
    <row r="245" spans="1:6">
      <c r="A245" s="14">
        <v>44986</v>
      </c>
      <c r="B245" s="13">
        <v>14.302</v>
      </c>
      <c r="C245" s="13">
        <v>12.946</v>
      </c>
      <c r="D245" s="13">
        <v>14.302</v>
      </c>
      <c r="E245" s="13">
        <v>12.946</v>
      </c>
      <c r="F245" s="15">
        <v>0.0006</v>
      </c>
    </row>
    <row r="246" spans="1:6">
      <c r="A246" s="14">
        <v>44985</v>
      </c>
      <c r="B246" s="13">
        <v>14.293</v>
      </c>
      <c r="C246" s="13">
        <v>12.994</v>
      </c>
      <c r="D246" s="13">
        <v>14.3</v>
      </c>
      <c r="E246" s="13">
        <v>12.994</v>
      </c>
      <c r="F246" s="15">
        <v>-0.0015</v>
      </c>
    </row>
    <row r="247" spans="1:6">
      <c r="A247" s="14">
        <v>44984</v>
      </c>
      <c r="B247" s="13">
        <v>14.316</v>
      </c>
      <c r="C247" s="13">
        <v>12.983</v>
      </c>
      <c r="D247" s="13">
        <v>14.316</v>
      </c>
      <c r="E247" s="13">
        <v>12.983</v>
      </c>
      <c r="F247" s="15">
        <v>0.0011</v>
      </c>
    </row>
    <row r="248" spans="1:6">
      <c r="A248" s="14">
        <v>44981</v>
      </c>
      <c r="B248" s="13">
        <v>14.3</v>
      </c>
      <c r="C248" s="13">
        <v>13.012</v>
      </c>
      <c r="D248" s="13">
        <v>14.3</v>
      </c>
      <c r="E248" s="13">
        <v>13.012</v>
      </c>
      <c r="F248" s="15">
        <v>-0.0001</v>
      </c>
    </row>
    <row r="249" spans="1:6">
      <c r="A249" s="14">
        <v>44980</v>
      </c>
      <c r="B249" s="13">
        <v>14.302</v>
      </c>
      <c r="C249" s="13">
        <v>12.979</v>
      </c>
      <c r="D249" s="13">
        <v>14.302</v>
      </c>
      <c r="E249" s="13">
        <v>12.979</v>
      </c>
      <c r="F249" s="15">
        <v>0</v>
      </c>
    </row>
    <row r="250" spans="1:6">
      <c r="A250" s="14">
        <v>44979</v>
      </c>
      <c r="B250" s="13">
        <v>14.302</v>
      </c>
      <c r="C250" s="13">
        <v>13.012</v>
      </c>
      <c r="D250" s="13">
        <v>14.302</v>
      </c>
      <c r="E250" s="13">
        <v>13.012</v>
      </c>
      <c r="F250" s="15">
        <v>0</v>
      </c>
    </row>
    <row r="251" spans="1:6">
      <c r="A251" s="14">
        <v>44978</v>
      </c>
      <c r="B251" s="13">
        <v>14.302</v>
      </c>
      <c r="C251" s="13">
        <v>13.021</v>
      </c>
      <c r="D251" s="13">
        <v>14.302</v>
      </c>
      <c r="E251" s="13">
        <v>13.021</v>
      </c>
      <c r="F251" s="15">
        <v>0</v>
      </c>
    </row>
    <row r="252" spans="1:6">
      <c r="A252" s="14">
        <v>44977</v>
      </c>
      <c r="B252" s="13">
        <v>14.302</v>
      </c>
      <c r="C252" s="13">
        <v>13.227</v>
      </c>
      <c r="D252" s="13">
        <v>14.302</v>
      </c>
      <c r="E252" s="13">
        <v>13.227</v>
      </c>
      <c r="F252" s="15">
        <v>-0.0003</v>
      </c>
    </row>
    <row r="253" spans="1:6">
      <c r="A253" s="14">
        <v>44974</v>
      </c>
      <c r="B253" s="13">
        <v>14.307</v>
      </c>
      <c r="C253" s="13">
        <v>13.246</v>
      </c>
      <c r="D253" s="13">
        <v>14.307</v>
      </c>
      <c r="E253" s="13">
        <v>13.245</v>
      </c>
      <c r="F253" s="15">
        <v>0.0003</v>
      </c>
    </row>
    <row r="254" spans="1:6">
      <c r="A254" s="14">
        <v>44973</v>
      </c>
      <c r="B254" s="13">
        <v>14.302</v>
      </c>
      <c r="C254" s="13">
        <v>13.28</v>
      </c>
      <c r="D254" s="13">
        <v>14.302</v>
      </c>
      <c r="E254" s="13">
        <v>13.28</v>
      </c>
      <c r="F254" s="15">
        <v>0</v>
      </c>
    </row>
    <row r="255" spans="1:6">
      <c r="A255" s="14">
        <v>44972</v>
      </c>
      <c r="B255" s="13">
        <v>14.302</v>
      </c>
      <c r="C255" s="13">
        <v>12.995</v>
      </c>
      <c r="D255" s="13">
        <v>14.302</v>
      </c>
      <c r="E255" s="13">
        <v>12.995</v>
      </c>
      <c r="F255" s="15">
        <v>0</v>
      </c>
    </row>
    <row r="256" spans="1:6">
      <c r="A256" s="14">
        <v>44971</v>
      </c>
      <c r="B256" s="13">
        <v>14.302</v>
      </c>
      <c r="C256" s="13">
        <v>13.05</v>
      </c>
      <c r="D256" s="13">
        <v>14.302</v>
      </c>
      <c r="E256" s="13">
        <v>13.05</v>
      </c>
      <c r="F256" s="15">
        <v>0</v>
      </c>
    </row>
    <row r="257" spans="1:6">
      <c r="A257" s="14">
        <v>44970</v>
      </c>
      <c r="B257" s="13">
        <v>14.302</v>
      </c>
      <c r="C257" s="13">
        <v>13.165</v>
      </c>
      <c r="D257" s="13">
        <v>14.302</v>
      </c>
      <c r="E257" s="13">
        <v>13.165</v>
      </c>
      <c r="F257" s="15">
        <v>-0.0003</v>
      </c>
    </row>
    <row r="258" spans="1:6">
      <c r="A258" s="14">
        <v>44967</v>
      </c>
      <c r="B258" s="13">
        <v>14.307</v>
      </c>
      <c r="C258" s="13">
        <v>13.311</v>
      </c>
      <c r="D258" s="13">
        <v>14.307</v>
      </c>
      <c r="E258" s="13">
        <v>13.311</v>
      </c>
      <c r="F258" s="15">
        <v>0.0003</v>
      </c>
    </row>
    <row r="259" spans="1:6">
      <c r="A259" s="14">
        <v>44966</v>
      </c>
      <c r="B259" s="13">
        <v>14.302</v>
      </c>
      <c r="C259" s="13">
        <v>13.512</v>
      </c>
      <c r="D259" s="13">
        <v>14.302</v>
      </c>
      <c r="E259" s="13">
        <v>13.512</v>
      </c>
      <c r="F259" s="15">
        <v>0</v>
      </c>
    </row>
    <row r="260" spans="1:6">
      <c r="A260" s="14">
        <v>44965</v>
      </c>
      <c r="B260" s="13">
        <v>14.302</v>
      </c>
      <c r="C260" s="13">
        <v>14.339</v>
      </c>
      <c r="D260" s="13">
        <v>14.339</v>
      </c>
      <c r="E260" s="13">
        <v>14.068</v>
      </c>
      <c r="F260" s="15">
        <v>0</v>
      </c>
    </row>
    <row r="261" spans="1:6">
      <c r="A261" s="14">
        <v>44964</v>
      </c>
      <c r="B261" s="13">
        <v>14.302</v>
      </c>
      <c r="C261" s="13">
        <v>13.312</v>
      </c>
      <c r="D261" s="13">
        <v>14.302</v>
      </c>
      <c r="E261" s="13">
        <v>13.312</v>
      </c>
      <c r="F261" s="15">
        <v>0</v>
      </c>
    </row>
    <row r="262" spans="1:6">
      <c r="A262" s="14">
        <v>44963</v>
      </c>
      <c r="B262" s="13">
        <v>14.302</v>
      </c>
      <c r="C262" s="13">
        <v>14.312</v>
      </c>
      <c r="D262" s="13">
        <v>14.823</v>
      </c>
      <c r="E262" s="13">
        <v>14.3</v>
      </c>
      <c r="F262" s="15">
        <v>-0.0003</v>
      </c>
    </row>
    <row r="263" spans="1:6">
      <c r="A263" s="14">
        <v>44960</v>
      </c>
      <c r="B263" s="13">
        <v>14.307</v>
      </c>
      <c r="C263" s="13">
        <v>14.34</v>
      </c>
      <c r="D263" s="13">
        <v>14.34</v>
      </c>
      <c r="E263" s="13">
        <v>14.3</v>
      </c>
      <c r="F263" s="15">
        <v>0.0003</v>
      </c>
    </row>
    <row r="264" spans="1:6">
      <c r="A264" s="14">
        <v>44959</v>
      </c>
      <c r="B264" s="13">
        <v>14.302</v>
      </c>
      <c r="C264" s="13">
        <v>14.434</v>
      </c>
      <c r="D264" s="13">
        <v>14.434</v>
      </c>
      <c r="E264" s="13">
        <v>14.3</v>
      </c>
      <c r="F264" s="15">
        <v>0</v>
      </c>
    </row>
    <row r="265" spans="1:6">
      <c r="A265" s="14">
        <v>44958</v>
      </c>
      <c r="B265" s="13">
        <v>14.302</v>
      </c>
      <c r="C265" s="13">
        <v>14.03</v>
      </c>
      <c r="D265" s="13">
        <v>14.302</v>
      </c>
      <c r="E265" s="13">
        <v>14.03</v>
      </c>
      <c r="F265" s="15">
        <v>-0.0003</v>
      </c>
    </row>
    <row r="266" spans="1:6">
      <c r="A266" s="14">
        <v>44957</v>
      </c>
      <c r="B266" s="13">
        <v>14.307</v>
      </c>
      <c r="C266" s="13">
        <v>14.172</v>
      </c>
      <c r="D266" s="13">
        <v>14.307</v>
      </c>
      <c r="E266" s="13">
        <v>14.172</v>
      </c>
      <c r="F266" s="15">
        <v>0.0008</v>
      </c>
    </row>
    <row r="267" spans="1:6">
      <c r="A267" s="14">
        <v>44956</v>
      </c>
      <c r="B267" s="13">
        <v>14.295</v>
      </c>
      <c r="C267" s="13">
        <v>14.202</v>
      </c>
      <c r="D267" s="13">
        <v>14.3</v>
      </c>
      <c r="E267" s="13">
        <v>14.202</v>
      </c>
      <c r="F267" s="15">
        <v>-0.0008</v>
      </c>
    </row>
    <row r="268" spans="1:6">
      <c r="A268" s="14">
        <v>44953</v>
      </c>
      <c r="B268" s="13">
        <v>14.307</v>
      </c>
      <c r="C268" s="13">
        <v>14.165</v>
      </c>
      <c r="D268" s="13">
        <v>14.307</v>
      </c>
      <c r="E268" s="13">
        <v>14.165</v>
      </c>
      <c r="F268" s="15">
        <v>0.0003</v>
      </c>
    </row>
    <row r="269" spans="1:6">
      <c r="A269" s="14">
        <v>44952</v>
      </c>
      <c r="B269" s="13">
        <v>14.302</v>
      </c>
      <c r="C269" s="13">
        <v>14.278</v>
      </c>
      <c r="D269" s="13">
        <v>14.302</v>
      </c>
      <c r="E269" s="13">
        <v>14.276</v>
      </c>
      <c r="F269" s="15">
        <v>0</v>
      </c>
    </row>
    <row r="270" spans="1:6">
      <c r="A270" s="14">
        <v>44951</v>
      </c>
      <c r="B270" s="13">
        <v>14.302</v>
      </c>
      <c r="C270" s="13">
        <v>13.963</v>
      </c>
      <c r="D270" s="13">
        <v>14.302</v>
      </c>
      <c r="E270" s="13">
        <v>13.963</v>
      </c>
      <c r="F270" s="15">
        <v>0</v>
      </c>
    </row>
    <row r="271" spans="1:6">
      <c r="A271" s="14">
        <v>44950</v>
      </c>
      <c r="B271" s="13">
        <v>14.302</v>
      </c>
      <c r="C271" s="13">
        <v>14.002</v>
      </c>
      <c r="D271" s="13">
        <v>14.302</v>
      </c>
      <c r="E271" s="13">
        <v>14.002</v>
      </c>
      <c r="F271" s="15">
        <v>0</v>
      </c>
    </row>
    <row r="272" spans="1:6">
      <c r="A272" s="14">
        <v>44949</v>
      </c>
      <c r="B272" s="13">
        <v>14.302</v>
      </c>
      <c r="C272" s="13">
        <v>14.086</v>
      </c>
      <c r="D272" s="13">
        <v>14.302</v>
      </c>
      <c r="E272" s="13">
        <v>14.086</v>
      </c>
      <c r="F272" s="15">
        <v>-0.0003</v>
      </c>
    </row>
    <row r="273" spans="1:6">
      <c r="A273" s="14">
        <v>44946</v>
      </c>
      <c r="B273" s="13">
        <v>14.307</v>
      </c>
      <c r="C273" s="13">
        <v>14.122</v>
      </c>
      <c r="D273" s="13">
        <v>14.307</v>
      </c>
      <c r="E273" s="13">
        <v>14.122</v>
      </c>
      <c r="F273" s="15">
        <v>0.0003</v>
      </c>
    </row>
    <row r="274" spans="1:6">
      <c r="A274" s="14">
        <v>44945</v>
      </c>
      <c r="B274" s="13">
        <v>14.302</v>
      </c>
      <c r="C274" s="13">
        <v>14.232</v>
      </c>
      <c r="D274" s="13">
        <v>14.302</v>
      </c>
      <c r="E274" s="13">
        <v>14.232</v>
      </c>
      <c r="F274" s="15">
        <v>0</v>
      </c>
    </row>
    <row r="275" spans="1:6">
      <c r="A275" s="14">
        <v>44944</v>
      </c>
      <c r="B275" s="13">
        <v>14.302</v>
      </c>
      <c r="C275" s="13">
        <v>14.3</v>
      </c>
      <c r="D275" s="13">
        <v>14.302</v>
      </c>
      <c r="E275" s="13">
        <v>13.941</v>
      </c>
      <c r="F275" s="15">
        <v>0</v>
      </c>
    </row>
    <row r="276" spans="1:6">
      <c r="A276" s="14">
        <v>44943</v>
      </c>
      <c r="B276" s="13">
        <v>14.302</v>
      </c>
      <c r="C276" s="13">
        <v>13.991</v>
      </c>
      <c r="D276" s="13">
        <v>14.302</v>
      </c>
      <c r="E276" s="13">
        <v>13.991</v>
      </c>
      <c r="F276" s="15">
        <v>0</v>
      </c>
    </row>
    <row r="277" spans="1:6">
      <c r="A277" s="14">
        <v>44942</v>
      </c>
      <c r="B277" s="13">
        <v>14.302</v>
      </c>
      <c r="C277" s="13">
        <v>13.983</v>
      </c>
      <c r="D277" s="13">
        <v>14.302</v>
      </c>
      <c r="E277" s="13">
        <v>13.983</v>
      </c>
      <c r="F277" s="15">
        <v>-0.0003</v>
      </c>
    </row>
    <row r="278" spans="1:6">
      <c r="A278" s="14">
        <v>44939</v>
      </c>
      <c r="B278" s="13">
        <v>14.307</v>
      </c>
      <c r="C278" s="13">
        <v>14.115</v>
      </c>
      <c r="D278" s="13">
        <v>14.307</v>
      </c>
      <c r="E278" s="13">
        <v>14.115</v>
      </c>
      <c r="F278" s="15">
        <v>0.0003</v>
      </c>
    </row>
    <row r="279" spans="1:6">
      <c r="A279" s="14">
        <v>44938</v>
      </c>
      <c r="B279" s="13">
        <v>14.302</v>
      </c>
      <c r="C279" s="13">
        <v>14.153</v>
      </c>
      <c r="D279" s="13">
        <v>14.302</v>
      </c>
      <c r="E279" s="13">
        <v>14.153</v>
      </c>
      <c r="F279" s="15">
        <v>0</v>
      </c>
    </row>
    <row r="280" spans="1:6">
      <c r="A280" s="14">
        <v>44937</v>
      </c>
      <c r="B280" s="13">
        <v>14.302</v>
      </c>
      <c r="C280" s="13">
        <v>14.192</v>
      </c>
      <c r="D280" s="13">
        <v>14.302</v>
      </c>
      <c r="E280" s="13">
        <v>14.192</v>
      </c>
      <c r="F280" s="15">
        <v>0</v>
      </c>
    </row>
    <row r="281" spans="1:6">
      <c r="A281" s="14">
        <v>44936</v>
      </c>
      <c r="B281" s="13">
        <v>14.302</v>
      </c>
      <c r="C281" s="13">
        <v>14.215</v>
      </c>
      <c r="D281" s="13">
        <v>14.302</v>
      </c>
      <c r="E281" s="13">
        <v>14.215</v>
      </c>
      <c r="F281" s="15">
        <v>0</v>
      </c>
    </row>
    <row r="282" spans="1:6">
      <c r="A282" s="14">
        <v>44935</v>
      </c>
      <c r="B282" s="13">
        <v>14.302</v>
      </c>
      <c r="C282" s="13">
        <v>14.288</v>
      </c>
      <c r="D282" s="13">
        <v>14.302</v>
      </c>
      <c r="E282" s="13">
        <v>14.288</v>
      </c>
      <c r="F282" s="15">
        <v>-0.0003</v>
      </c>
    </row>
    <row r="283" spans="1:6">
      <c r="A283" s="14">
        <v>44932</v>
      </c>
      <c r="B283" s="13">
        <v>14.307</v>
      </c>
      <c r="C283" s="13">
        <v>14.436</v>
      </c>
      <c r="D283" s="13">
        <v>14.5</v>
      </c>
      <c r="E283" s="13">
        <v>14.3</v>
      </c>
      <c r="F283" s="15">
        <v>-0.0135</v>
      </c>
    </row>
    <row r="284" spans="1:6">
      <c r="A284" s="14">
        <v>44931</v>
      </c>
      <c r="B284" s="13">
        <v>14.502</v>
      </c>
      <c r="C284" s="13">
        <v>14.491</v>
      </c>
      <c r="D284" s="13">
        <v>14.502</v>
      </c>
      <c r="E284" s="13">
        <v>14.491</v>
      </c>
      <c r="F284" s="15">
        <v>0</v>
      </c>
    </row>
    <row r="285" spans="1:6">
      <c r="A285" s="14">
        <v>44930</v>
      </c>
      <c r="B285" s="13">
        <v>14.502</v>
      </c>
      <c r="C285" s="13">
        <v>14.241</v>
      </c>
      <c r="D285" s="13">
        <v>14.502</v>
      </c>
      <c r="E285" s="13">
        <v>14.241</v>
      </c>
      <c r="F285" s="15">
        <v>0</v>
      </c>
    </row>
    <row r="286" spans="1:6">
      <c r="A286" s="14">
        <v>44929</v>
      </c>
      <c r="B286" s="13">
        <v>14.502</v>
      </c>
      <c r="C286" s="13">
        <v>14.502</v>
      </c>
      <c r="D286" s="13">
        <v>14.502</v>
      </c>
      <c r="E286" s="13">
        <v>14.502</v>
      </c>
      <c r="F286" s="15">
        <v>-0.0002</v>
      </c>
    </row>
    <row r="287" spans="1:6">
      <c r="A287" s="14">
        <v>44928</v>
      </c>
      <c r="B287" s="13">
        <v>14.505</v>
      </c>
      <c r="C287" s="13">
        <v>14.505</v>
      </c>
      <c r="D287" s="13">
        <v>14.505</v>
      </c>
      <c r="E287" s="13">
        <v>14.505</v>
      </c>
      <c r="F287" s="15">
        <v>-0.0002</v>
      </c>
    </row>
    <row r="288" spans="1:6">
      <c r="A288" s="14">
        <v>44925</v>
      </c>
      <c r="B288" s="13">
        <v>14.508</v>
      </c>
      <c r="C288" s="13">
        <v>14.228</v>
      </c>
      <c r="D288" s="13">
        <v>14.508</v>
      </c>
      <c r="E288" s="13">
        <v>14.228</v>
      </c>
      <c r="F288" s="15">
        <v>0.0004</v>
      </c>
    </row>
    <row r="289" spans="1:6">
      <c r="A289" s="14">
        <v>44924</v>
      </c>
      <c r="B289" s="13">
        <v>14.502</v>
      </c>
      <c r="C289" s="13">
        <v>14.234</v>
      </c>
      <c r="D289" s="13">
        <v>14.502</v>
      </c>
      <c r="E289" s="13">
        <v>14.234</v>
      </c>
      <c r="F289" s="15">
        <v>0</v>
      </c>
    </row>
    <row r="290" spans="1:6">
      <c r="A290" s="14">
        <v>44923</v>
      </c>
      <c r="B290" s="13">
        <v>14.502</v>
      </c>
      <c r="C290" s="13">
        <v>14.133</v>
      </c>
      <c r="D290" s="13">
        <v>14.502</v>
      </c>
      <c r="E290" s="13">
        <v>14.133</v>
      </c>
      <c r="F290" s="15">
        <v>0</v>
      </c>
    </row>
    <row r="291" spans="1:6">
      <c r="A291" s="14">
        <v>44922</v>
      </c>
      <c r="B291" s="13">
        <v>14.502</v>
      </c>
      <c r="C291" s="13">
        <v>14.131</v>
      </c>
      <c r="D291" s="13">
        <v>14.502</v>
      </c>
      <c r="E291" s="13">
        <v>14.131</v>
      </c>
      <c r="F291" s="15">
        <v>0</v>
      </c>
    </row>
    <row r="292" spans="1:6">
      <c r="A292" s="14">
        <v>44921</v>
      </c>
      <c r="B292" s="13">
        <v>14.502</v>
      </c>
      <c r="C292" s="13">
        <v>14.148</v>
      </c>
      <c r="D292" s="13">
        <v>14.502</v>
      </c>
      <c r="E292" s="13">
        <v>14.148</v>
      </c>
      <c r="F292" s="15">
        <v>-0.0003</v>
      </c>
    </row>
    <row r="293" spans="1:6">
      <c r="A293" s="14">
        <v>44918</v>
      </c>
      <c r="B293" s="13">
        <v>14.507</v>
      </c>
      <c r="C293" s="13">
        <v>14.127</v>
      </c>
      <c r="D293" s="13">
        <v>14.507</v>
      </c>
      <c r="E293" s="13">
        <v>14.127</v>
      </c>
      <c r="F293" s="15">
        <v>0.0003</v>
      </c>
    </row>
    <row r="294" spans="1:6">
      <c r="A294" s="14">
        <v>44917</v>
      </c>
      <c r="B294" s="13">
        <v>14.502</v>
      </c>
      <c r="C294" s="13">
        <v>14.134</v>
      </c>
      <c r="D294" s="13">
        <v>14.502</v>
      </c>
      <c r="E294" s="13">
        <v>14.134</v>
      </c>
      <c r="F294" s="15">
        <v>0</v>
      </c>
    </row>
    <row r="295" spans="1:6">
      <c r="A295" s="14">
        <v>44916</v>
      </c>
      <c r="B295" s="13">
        <v>14.502</v>
      </c>
      <c r="C295" s="13">
        <v>14.033</v>
      </c>
      <c r="D295" s="13">
        <v>14.502</v>
      </c>
      <c r="E295" s="13">
        <v>14.033</v>
      </c>
      <c r="F295" s="15">
        <v>0.0035</v>
      </c>
    </row>
    <row r="296" spans="1:6">
      <c r="A296" s="14">
        <v>44915</v>
      </c>
      <c r="B296" s="13">
        <v>14.452</v>
      </c>
      <c r="C296" s="13">
        <v>13.981</v>
      </c>
      <c r="D296" s="13">
        <v>14.452</v>
      </c>
      <c r="E296" s="13">
        <v>13.981</v>
      </c>
      <c r="F296" s="15">
        <v>0</v>
      </c>
    </row>
    <row r="297" spans="1:6">
      <c r="A297" s="14">
        <v>44914</v>
      </c>
      <c r="B297" s="13">
        <v>14.452</v>
      </c>
      <c r="C297" s="13">
        <v>13.92</v>
      </c>
      <c r="D297" s="13">
        <v>14.452</v>
      </c>
      <c r="E297" s="13">
        <v>13.92</v>
      </c>
      <c r="F297" s="15">
        <v>0.0001</v>
      </c>
    </row>
    <row r="298" spans="1:6">
      <c r="A298" s="14">
        <v>44911</v>
      </c>
      <c r="B298" s="13">
        <v>14.45</v>
      </c>
      <c r="C298" s="13">
        <v>14.45</v>
      </c>
      <c r="D298" s="13">
        <v>14.45</v>
      </c>
      <c r="E298" s="13">
        <v>14.45</v>
      </c>
      <c r="F298" s="15">
        <v>-0.0006</v>
      </c>
    </row>
    <row r="299" spans="1:6">
      <c r="A299" s="14">
        <v>44910</v>
      </c>
      <c r="B299" s="13">
        <v>14.458</v>
      </c>
      <c r="C299" s="13">
        <v>13.927</v>
      </c>
      <c r="D299" s="13">
        <v>14.458</v>
      </c>
      <c r="E299" s="13">
        <v>13.927</v>
      </c>
      <c r="F299" s="15">
        <v>0.0004</v>
      </c>
    </row>
    <row r="300" spans="1:6">
      <c r="A300" s="14">
        <v>44909</v>
      </c>
      <c r="B300" s="13">
        <v>14.452</v>
      </c>
      <c r="C300" s="13">
        <v>13.895</v>
      </c>
      <c r="D300" s="13">
        <v>14.452</v>
      </c>
      <c r="E300" s="13">
        <v>13.895</v>
      </c>
      <c r="F300" s="15">
        <v>0</v>
      </c>
    </row>
    <row r="301" spans="1:6">
      <c r="A301" s="14">
        <v>44908</v>
      </c>
      <c r="B301" s="13">
        <v>14.452</v>
      </c>
      <c r="C301" s="13">
        <v>13.899</v>
      </c>
      <c r="D301" s="13">
        <v>14.452</v>
      </c>
      <c r="E301" s="13">
        <v>13.899</v>
      </c>
      <c r="F301" s="15">
        <v>0</v>
      </c>
    </row>
    <row r="302" spans="1:6">
      <c r="A302" s="14">
        <v>44907</v>
      </c>
      <c r="B302" s="13">
        <v>14.452</v>
      </c>
      <c r="C302" s="13">
        <v>14.45</v>
      </c>
      <c r="D302" s="13">
        <v>14.452</v>
      </c>
      <c r="E302" s="13">
        <v>13.903</v>
      </c>
      <c r="F302" s="15">
        <v>-0.0003</v>
      </c>
    </row>
    <row r="303" spans="1:6">
      <c r="A303" s="14">
        <v>44904</v>
      </c>
      <c r="B303" s="13">
        <v>14.456</v>
      </c>
      <c r="C303" s="13">
        <v>13.663</v>
      </c>
      <c r="D303" s="13">
        <v>14.456</v>
      </c>
      <c r="E303" s="13">
        <v>13.196</v>
      </c>
      <c r="F303" s="15">
        <v>0.0003</v>
      </c>
    </row>
    <row r="304" spans="1:6">
      <c r="A304" s="14">
        <v>44903</v>
      </c>
      <c r="B304" s="13">
        <v>14.452</v>
      </c>
      <c r="C304" s="13">
        <v>12.762</v>
      </c>
      <c r="D304" s="13">
        <v>14.452</v>
      </c>
      <c r="E304" s="13">
        <v>12.762</v>
      </c>
      <c r="F304" s="15">
        <v>0</v>
      </c>
    </row>
    <row r="305" spans="1:6">
      <c r="A305" s="14">
        <v>44902</v>
      </c>
      <c r="B305" s="13">
        <v>14.452</v>
      </c>
      <c r="C305" s="13">
        <v>14.45</v>
      </c>
      <c r="D305" s="13">
        <v>14.452</v>
      </c>
      <c r="E305" s="13">
        <v>14.45</v>
      </c>
      <c r="F305" s="15">
        <v>0</v>
      </c>
    </row>
    <row r="306" spans="1:6">
      <c r="A306" s="14">
        <v>44901</v>
      </c>
      <c r="B306" s="13">
        <v>14.452</v>
      </c>
      <c r="C306" s="13">
        <v>13.332</v>
      </c>
      <c r="D306" s="13">
        <v>14.5</v>
      </c>
      <c r="E306" s="13">
        <v>13.332</v>
      </c>
      <c r="F306" s="15">
        <v>-0.0034</v>
      </c>
    </row>
    <row r="307" spans="1:6">
      <c r="A307" s="14">
        <v>44900</v>
      </c>
      <c r="B307" s="13">
        <v>14.502</v>
      </c>
      <c r="C307" s="13">
        <v>12.646</v>
      </c>
      <c r="D307" s="13">
        <v>14.502</v>
      </c>
      <c r="E307" s="13">
        <v>12.646</v>
      </c>
      <c r="F307" s="15">
        <v>-0.0003</v>
      </c>
    </row>
    <row r="308" spans="1:6">
      <c r="A308" s="14">
        <v>44897</v>
      </c>
      <c r="B308" s="13">
        <v>14.506</v>
      </c>
      <c r="C308" s="13">
        <v>14.238</v>
      </c>
      <c r="D308" s="13">
        <v>14.506</v>
      </c>
      <c r="E308" s="13">
        <v>14.238</v>
      </c>
      <c r="F308" s="15">
        <v>0.0003</v>
      </c>
    </row>
    <row r="309" spans="1:6">
      <c r="A309" s="14">
        <v>44896</v>
      </c>
      <c r="B309" s="13">
        <v>14.502</v>
      </c>
      <c r="C309" s="13">
        <v>14.5</v>
      </c>
      <c r="D309" s="13">
        <v>14.502</v>
      </c>
      <c r="E309" s="13">
        <v>14.5</v>
      </c>
      <c r="F309" s="15">
        <v>0</v>
      </c>
    </row>
    <row r="310" spans="1:6">
      <c r="A310" s="14">
        <v>44895</v>
      </c>
      <c r="B310" s="13">
        <v>14.502</v>
      </c>
      <c r="C310" s="13">
        <v>14.24</v>
      </c>
      <c r="D310" s="13">
        <v>14.677</v>
      </c>
      <c r="E310" s="13">
        <v>14.24</v>
      </c>
      <c r="F310" s="15">
        <v>0</v>
      </c>
    </row>
    <row r="311" spans="1:6">
      <c r="A311" s="14">
        <v>44894</v>
      </c>
      <c r="B311" s="13">
        <v>14.502</v>
      </c>
      <c r="C311" s="13">
        <v>14.241</v>
      </c>
      <c r="D311" s="13">
        <v>14.502</v>
      </c>
      <c r="E311" s="13">
        <v>14.241</v>
      </c>
      <c r="F311" s="15">
        <v>0</v>
      </c>
    </row>
    <row r="312" spans="1:6">
      <c r="A312" s="14">
        <v>44893</v>
      </c>
      <c r="B312" s="13">
        <v>14.502</v>
      </c>
      <c r="C312" s="13">
        <v>13.964</v>
      </c>
      <c r="D312" s="13">
        <v>14.502</v>
      </c>
      <c r="E312" s="13">
        <v>13.964</v>
      </c>
      <c r="F312" s="15">
        <v>-0.0003</v>
      </c>
    </row>
    <row r="313" spans="1:6">
      <c r="A313" s="14">
        <v>44890</v>
      </c>
      <c r="B313" s="13">
        <v>14.506</v>
      </c>
      <c r="C313" s="13">
        <v>14.034</v>
      </c>
      <c r="D313" s="13">
        <v>14.506</v>
      </c>
      <c r="E313" s="13">
        <v>14.034</v>
      </c>
      <c r="F313" s="15">
        <v>0.0003</v>
      </c>
    </row>
    <row r="314" spans="1:6">
      <c r="A314" s="14">
        <v>44889</v>
      </c>
      <c r="B314" s="13">
        <v>14.502</v>
      </c>
      <c r="C314" s="13">
        <v>14.018</v>
      </c>
      <c r="D314" s="13">
        <v>14.502</v>
      </c>
      <c r="E314" s="13">
        <v>14.018</v>
      </c>
      <c r="F314" s="15">
        <v>0</v>
      </c>
    </row>
    <row r="315" spans="1:6">
      <c r="A315" s="14">
        <v>44888</v>
      </c>
      <c r="B315" s="13">
        <v>14.502</v>
      </c>
      <c r="C315" s="13">
        <v>14.036</v>
      </c>
      <c r="D315" s="13">
        <v>14.502</v>
      </c>
      <c r="E315" s="13">
        <v>14.036</v>
      </c>
      <c r="F315" s="15">
        <v>0</v>
      </c>
    </row>
    <row r="316" spans="1:6">
      <c r="A316" s="14">
        <v>44887</v>
      </c>
      <c r="B316" s="13">
        <v>14.502</v>
      </c>
      <c r="C316" s="13">
        <v>14.045</v>
      </c>
      <c r="D316" s="13">
        <v>14.502</v>
      </c>
      <c r="E316" s="13">
        <v>14.045</v>
      </c>
      <c r="F316" s="15">
        <v>0</v>
      </c>
    </row>
    <row r="317" spans="1:6">
      <c r="A317" s="14">
        <v>44886</v>
      </c>
      <c r="B317" s="13">
        <v>14.502</v>
      </c>
      <c r="C317" s="13">
        <v>14.5</v>
      </c>
      <c r="D317" s="13">
        <v>14.502</v>
      </c>
      <c r="E317" s="13">
        <v>13.099</v>
      </c>
      <c r="F317" s="15">
        <v>-0.0003</v>
      </c>
    </row>
    <row r="318" spans="1:6">
      <c r="A318" s="14">
        <v>44883</v>
      </c>
      <c r="B318" s="13">
        <v>14.506</v>
      </c>
      <c r="C318" s="13">
        <v>13.847</v>
      </c>
      <c r="D318" s="13">
        <v>14.506</v>
      </c>
      <c r="E318" s="13">
        <v>13.847</v>
      </c>
      <c r="F318" s="15">
        <v>0.0003</v>
      </c>
    </row>
    <row r="319" spans="1:6">
      <c r="A319" s="14">
        <v>44882</v>
      </c>
      <c r="B319" s="13">
        <v>14.502</v>
      </c>
      <c r="C319" s="13">
        <v>13.857</v>
      </c>
      <c r="D319" s="13">
        <v>14.502</v>
      </c>
      <c r="E319" s="13">
        <v>13.857</v>
      </c>
      <c r="F319" s="15">
        <v>0</v>
      </c>
    </row>
    <row r="320" spans="1:6">
      <c r="A320" s="14">
        <v>44881</v>
      </c>
      <c r="B320" s="13">
        <v>14.502</v>
      </c>
      <c r="C320" s="13">
        <v>13.762</v>
      </c>
      <c r="D320" s="13">
        <v>14.502</v>
      </c>
      <c r="E320" s="13">
        <v>13.762</v>
      </c>
      <c r="F320" s="15">
        <v>0</v>
      </c>
    </row>
    <row r="321" spans="1:6">
      <c r="A321" s="14">
        <v>44880</v>
      </c>
      <c r="B321" s="13">
        <v>14.502</v>
      </c>
      <c r="C321" s="13">
        <v>12.95</v>
      </c>
      <c r="D321" s="13">
        <v>14.502</v>
      </c>
      <c r="E321" s="13">
        <v>12.95</v>
      </c>
      <c r="F321" s="15">
        <v>0.1027</v>
      </c>
    </row>
    <row r="322" spans="1:6">
      <c r="A322" s="14">
        <v>44879</v>
      </c>
      <c r="B322" s="13">
        <v>13.151</v>
      </c>
      <c r="C322" s="13">
        <v>12.962</v>
      </c>
      <c r="D322" s="13">
        <v>13.151</v>
      </c>
      <c r="E322" s="13">
        <v>12.962</v>
      </c>
      <c r="F322" s="15">
        <v>-0.0003</v>
      </c>
    </row>
    <row r="323" spans="1:6">
      <c r="A323" s="14">
        <v>44876</v>
      </c>
      <c r="B323" s="13">
        <v>13.156</v>
      </c>
      <c r="C323" s="13">
        <v>12.95</v>
      </c>
      <c r="D323" s="13">
        <v>13.156</v>
      </c>
      <c r="E323" s="13">
        <v>12.95</v>
      </c>
      <c r="F323" s="15">
        <v>0.0003</v>
      </c>
    </row>
    <row r="324" spans="1:6">
      <c r="A324" s="14">
        <v>44875</v>
      </c>
      <c r="B324" s="13">
        <v>13.151</v>
      </c>
      <c r="C324" s="13">
        <v>13.15</v>
      </c>
      <c r="D324" s="13">
        <v>13.151</v>
      </c>
      <c r="E324" s="13">
        <v>12.929</v>
      </c>
      <c r="F324" s="15">
        <v>0</v>
      </c>
    </row>
    <row r="325" spans="1:6">
      <c r="A325" s="14">
        <v>44874</v>
      </c>
      <c r="B325" s="13">
        <v>13.151</v>
      </c>
      <c r="C325" s="13">
        <v>12.946</v>
      </c>
      <c r="D325" s="13">
        <v>13.151</v>
      </c>
      <c r="E325" s="13">
        <v>12.946</v>
      </c>
      <c r="F325" s="15">
        <v>0</v>
      </c>
    </row>
    <row r="326" spans="1:6">
      <c r="A326" s="14">
        <v>44873</v>
      </c>
      <c r="B326" s="13">
        <v>13.151</v>
      </c>
      <c r="C326" s="13">
        <v>12.852</v>
      </c>
      <c r="D326" s="13">
        <v>13.151</v>
      </c>
      <c r="E326" s="13">
        <v>12.852</v>
      </c>
      <c r="F326" s="15">
        <v>0</v>
      </c>
    </row>
    <row r="327" spans="1:6">
      <c r="A327" s="14">
        <v>44872</v>
      </c>
      <c r="B327" s="13">
        <v>13.151</v>
      </c>
      <c r="C327" s="13">
        <v>12.927</v>
      </c>
      <c r="D327" s="13">
        <v>13.151</v>
      </c>
      <c r="E327" s="13">
        <v>12.927</v>
      </c>
      <c r="F327" s="15">
        <v>-0.0003</v>
      </c>
    </row>
    <row r="328" spans="1:6">
      <c r="A328" s="14">
        <v>44869</v>
      </c>
      <c r="B328" s="13">
        <v>13.156</v>
      </c>
      <c r="C328" s="13">
        <v>12.948</v>
      </c>
      <c r="D328" s="13">
        <v>13.156</v>
      </c>
      <c r="E328" s="13">
        <v>12.948</v>
      </c>
      <c r="F328" s="15">
        <v>0.0003</v>
      </c>
    </row>
    <row r="329" spans="1:6">
      <c r="A329" s="14">
        <v>44868</v>
      </c>
      <c r="B329" s="13">
        <v>13.151</v>
      </c>
      <c r="C329" s="13">
        <v>13.15</v>
      </c>
      <c r="D329" s="13">
        <v>13.151</v>
      </c>
      <c r="E329" s="13">
        <v>13.15</v>
      </c>
      <c r="F329" s="15">
        <v>0</v>
      </c>
    </row>
    <row r="330" spans="1:6">
      <c r="A330" s="14">
        <v>44867</v>
      </c>
      <c r="B330" s="13">
        <v>13.151</v>
      </c>
      <c r="C330" s="13">
        <v>13.15</v>
      </c>
      <c r="D330" s="13">
        <v>13.151</v>
      </c>
      <c r="E330" s="13">
        <v>12.299</v>
      </c>
      <c r="F330" s="15">
        <v>0</v>
      </c>
    </row>
    <row r="331" spans="1:6">
      <c r="A331" s="14">
        <v>44866</v>
      </c>
      <c r="B331" s="13">
        <v>13.151</v>
      </c>
      <c r="C331" s="13">
        <v>13.15</v>
      </c>
      <c r="D331" s="13">
        <v>13.412</v>
      </c>
      <c r="E331" s="13">
        <v>12.982</v>
      </c>
      <c r="F331" s="15">
        <v>-0.0003</v>
      </c>
    </row>
    <row r="332" spans="1:6">
      <c r="A332" s="14">
        <v>44865</v>
      </c>
      <c r="B332" s="13">
        <v>13.156</v>
      </c>
      <c r="C332" s="13">
        <v>13.15</v>
      </c>
      <c r="D332" s="13">
        <v>13.156</v>
      </c>
      <c r="E332" s="13">
        <v>13.15</v>
      </c>
      <c r="F332" s="15">
        <v>0.0005</v>
      </c>
    </row>
    <row r="333" spans="1:6">
      <c r="A333" s="14">
        <v>44862</v>
      </c>
      <c r="B333" s="13">
        <v>13.149</v>
      </c>
      <c r="C333" s="13">
        <v>13.15</v>
      </c>
      <c r="D333" s="13">
        <v>13.15</v>
      </c>
      <c r="E333" s="13">
        <v>13.149</v>
      </c>
      <c r="F333" s="15">
        <v>-0.0002</v>
      </c>
    </row>
    <row r="334" spans="1:6">
      <c r="A334" s="14">
        <v>44861</v>
      </c>
      <c r="B334" s="13">
        <v>13.151</v>
      </c>
      <c r="C334" s="13">
        <v>13.15</v>
      </c>
      <c r="D334" s="13">
        <v>13.151</v>
      </c>
      <c r="E334" s="13">
        <v>13.15</v>
      </c>
      <c r="F334" s="15">
        <v>0</v>
      </c>
    </row>
    <row r="335" spans="1:6">
      <c r="A335" s="14">
        <v>44860</v>
      </c>
      <c r="B335" s="13">
        <v>13.151</v>
      </c>
      <c r="C335" s="13">
        <v>13.15</v>
      </c>
      <c r="D335" s="13">
        <v>13.151</v>
      </c>
      <c r="E335" s="13">
        <v>13.15</v>
      </c>
      <c r="F335" s="15">
        <v>0</v>
      </c>
    </row>
    <row r="336" spans="1:6">
      <c r="A336" s="14">
        <v>44859</v>
      </c>
      <c r="B336" s="13">
        <v>13.151</v>
      </c>
      <c r="C336" s="13">
        <v>13.05</v>
      </c>
      <c r="D336" s="13">
        <v>13.151</v>
      </c>
      <c r="E336" s="13">
        <v>13.05</v>
      </c>
      <c r="F336" s="15">
        <v>0.0076</v>
      </c>
    </row>
    <row r="337" spans="1:6">
      <c r="A337" s="14">
        <v>44858</v>
      </c>
      <c r="B337" s="13">
        <v>13.052</v>
      </c>
      <c r="C337" s="13">
        <v>13.05</v>
      </c>
      <c r="D337" s="13">
        <v>13.052</v>
      </c>
      <c r="E337" s="13">
        <v>13.05</v>
      </c>
      <c r="F337" s="15">
        <v>-0.0002</v>
      </c>
    </row>
    <row r="338" spans="1:6">
      <c r="A338" s="14">
        <v>44855</v>
      </c>
      <c r="B338" s="13">
        <v>13.054</v>
      </c>
      <c r="C338" s="13">
        <v>13.05</v>
      </c>
      <c r="D338" s="13">
        <v>13.054</v>
      </c>
      <c r="E338" s="13">
        <v>12.272</v>
      </c>
      <c r="F338" s="15">
        <v>0.0002</v>
      </c>
    </row>
    <row r="339" spans="1:6">
      <c r="A339" s="14">
        <v>44854</v>
      </c>
      <c r="B339" s="13">
        <v>13.052</v>
      </c>
      <c r="C339" s="13">
        <v>13.05</v>
      </c>
      <c r="D339" s="13">
        <v>13.052</v>
      </c>
      <c r="E339" s="13">
        <v>13.05</v>
      </c>
      <c r="F339" s="15">
        <v>0</v>
      </c>
    </row>
    <row r="340" spans="1:6">
      <c r="A340" s="14">
        <v>44853</v>
      </c>
      <c r="B340" s="13">
        <v>13.052</v>
      </c>
      <c r="C340" s="13">
        <v>13.05</v>
      </c>
      <c r="D340" s="13">
        <v>13.052</v>
      </c>
      <c r="E340" s="13">
        <v>12.274</v>
      </c>
      <c r="F340" s="15">
        <v>0</v>
      </c>
    </row>
    <row r="341" spans="1:6">
      <c r="A341" s="14">
        <v>44852</v>
      </c>
      <c r="B341" s="13">
        <v>13.052</v>
      </c>
      <c r="C341" s="13">
        <v>13.05</v>
      </c>
      <c r="D341" s="13">
        <v>13.052</v>
      </c>
      <c r="E341" s="13">
        <v>12.274</v>
      </c>
      <c r="F341" s="15">
        <v>0</v>
      </c>
    </row>
    <row r="342" spans="1:6">
      <c r="A342" s="14">
        <v>44851</v>
      </c>
      <c r="B342" s="13">
        <v>13.052</v>
      </c>
      <c r="C342" s="13">
        <v>13.05</v>
      </c>
      <c r="D342" s="13">
        <v>13.052</v>
      </c>
      <c r="E342" s="13">
        <v>13.05</v>
      </c>
      <c r="F342" s="15">
        <v>-0.0002</v>
      </c>
    </row>
    <row r="343" spans="1:6">
      <c r="A343" s="14">
        <v>44848</v>
      </c>
      <c r="B343" s="13">
        <v>13.054</v>
      </c>
      <c r="C343" s="13">
        <v>13.05</v>
      </c>
      <c r="D343" s="13">
        <v>13.054</v>
      </c>
      <c r="E343" s="13">
        <v>13.05</v>
      </c>
      <c r="F343" s="15">
        <v>0.0002</v>
      </c>
    </row>
    <row r="344" spans="1:6">
      <c r="A344" s="14">
        <v>44847</v>
      </c>
      <c r="B344" s="13">
        <v>13.052</v>
      </c>
      <c r="C344" s="13">
        <v>13.05</v>
      </c>
      <c r="D344" s="13">
        <v>13.052</v>
      </c>
      <c r="E344" s="13">
        <v>12.273</v>
      </c>
      <c r="F344" s="15">
        <v>0</v>
      </c>
    </row>
    <row r="345" spans="1:6">
      <c r="A345" s="14">
        <v>44846</v>
      </c>
      <c r="B345" s="13">
        <v>13.052</v>
      </c>
      <c r="C345" s="13">
        <v>13.05</v>
      </c>
      <c r="D345" s="13">
        <v>13.052</v>
      </c>
      <c r="E345" s="13">
        <v>13.05</v>
      </c>
      <c r="F345" s="15">
        <v>0</v>
      </c>
    </row>
    <row r="346" spans="1:6">
      <c r="A346" s="14">
        <v>44845</v>
      </c>
      <c r="B346" s="13">
        <v>13.052</v>
      </c>
      <c r="C346" s="13">
        <v>13.05</v>
      </c>
      <c r="D346" s="13">
        <v>13.052</v>
      </c>
      <c r="E346" s="13">
        <v>13.05</v>
      </c>
      <c r="F346" s="15">
        <v>0</v>
      </c>
    </row>
    <row r="347" spans="1:6">
      <c r="A347" s="14">
        <v>44844</v>
      </c>
      <c r="B347" s="13">
        <v>13.052</v>
      </c>
      <c r="C347" s="13">
        <v>13.05</v>
      </c>
      <c r="D347" s="13">
        <v>13.052</v>
      </c>
      <c r="E347" s="13">
        <v>12.274</v>
      </c>
      <c r="F347" s="15">
        <v>-0.0002</v>
      </c>
    </row>
    <row r="348" spans="1:6">
      <c r="A348" s="14">
        <v>44841</v>
      </c>
      <c r="B348" s="13">
        <v>13.054</v>
      </c>
      <c r="C348" s="13">
        <v>13.05</v>
      </c>
      <c r="D348" s="13">
        <v>13.054</v>
      </c>
      <c r="E348" s="13">
        <v>13.05</v>
      </c>
      <c r="F348" s="15">
        <v>0.0002</v>
      </c>
    </row>
    <row r="349" spans="1:6">
      <c r="A349" s="14">
        <v>44840</v>
      </c>
      <c r="B349" s="13">
        <v>13.052</v>
      </c>
      <c r="C349" s="13">
        <v>13.05</v>
      </c>
      <c r="D349" s="13">
        <v>13.052</v>
      </c>
      <c r="E349" s="13">
        <v>13.05</v>
      </c>
      <c r="F349" s="15">
        <v>0</v>
      </c>
    </row>
    <row r="350" spans="1:6">
      <c r="A350" s="14">
        <v>44839</v>
      </c>
      <c r="B350" s="13">
        <v>13.052</v>
      </c>
      <c r="C350" s="13">
        <v>13.05</v>
      </c>
      <c r="D350" s="13">
        <v>13.052</v>
      </c>
      <c r="E350" s="13">
        <v>12.274</v>
      </c>
      <c r="F350" s="15">
        <v>0</v>
      </c>
    </row>
    <row r="351" spans="1:6">
      <c r="A351" s="14">
        <v>44838</v>
      </c>
      <c r="B351" s="13">
        <v>13.052</v>
      </c>
      <c r="C351" s="13">
        <v>13.05</v>
      </c>
      <c r="D351" s="13">
        <v>13.052</v>
      </c>
      <c r="E351" s="13">
        <v>13.05</v>
      </c>
      <c r="F351" s="15">
        <v>0</v>
      </c>
    </row>
    <row r="352" spans="1:6">
      <c r="A352" s="14">
        <v>44837</v>
      </c>
      <c r="B352" s="13">
        <v>13.052</v>
      </c>
      <c r="C352" s="13">
        <v>13.05</v>
      </c>
      <c r="D352" s="13">
        <v>13.052</v>
      </c>
      <c r="E352" s="13">
        <v>13.05</v>
      </c>
      <c r="F352" s="15">
        <v>-0.0002</v>
      </c>
    </row>
    <row r="353" spans="1:6">
      <c r="A353" s="14">
        <v>44834</v>
      </c>
      <c r="B353" s="13">
        <v>13.054</v>
      </c>
      <c r="C353" s="13">
        <v>13.05</v>
      </c>
      <c r="D353" s="13">
        <v>13.054</v>
      </c>
      <c r="E353" s="13">
        <v>12.273</v>
      </c>
      <c r="F353" s="15">
        <v>0.0002</v>
      </c>
    </row>
    <row r="354" spans="1:6">
      <c r="A354" s="14">
        <v>44833</v>
      </c>
      <c r="B354" s="13">
        <v>13.052</v>
      </c>
      <c r="C354" s="13">
        <v>13.05</v>
      </c>
      <c r="D354" s="13">
        <v>13.052</v>
      </c>
      <c r="E354" s="13">
        <v>13.05</v>
      </c>
      <c r="F354" s="15">
        <v>0</v>
      </c>
    </row>
    <row r="355" spans="1:6">
      <c r="A355" s="14">
        <v>44832</v>
      </c>
      <c r="B355" s="13">
        <v>13.052</v>
      </c>
      <c r="C355" s="13">
        <v>13.05</v>
      </c>
      <c r="D355" s="13">
        <v>13.052</v>
      </c>
      <c r="E355" s="13">
        <v>13.05</v>
      </c>
      <c r="F355" s="15">
        <v>0</v>
      </c>
    </row>
    <row r="356" spans="1:6">
      <c r="A356" s="14">
        <v>44831</v>
      </c>
      <c r="B356" s="13">
        <v>13.052</v>
      </c>
      <c r="C356" s="13">
        <v>13.05</v>
      </c>
      <c r="D356" s="13">
        <v>13.052</v>
      </c>
      <c r="E356" s="13">
        <v>12.274</v>
      </c>
      <c r="F356" s="15">
        <v>0</v>
      </c>
    </row>
    <row r="357" spans="1:6">
      <c r="A357" s="14">
        <v>44830</v>
      </c>
      <c r="B357" s="13">
        <v>13.052</v>
      </c>
      <c r="C357" s="13">
        <v>13.05</v>
      </c>
      <c r="D357" s="13">
        <v>13.052</v>
      </c>
      <c r="E357" s="13">
        <v>13.05</v>
      </c>
      <c r="F357" s="15">
        <v>-0.0002</v>
      </c>
    </row>
    <row r="358" spans="1:6">
      <c r="A358" s="14">
        <v>44827</v>
      </c>
      <c r="B358" s="13">
        <v>13.054</v>
      </c>
      <c r="C358" s="13">
        <v>13.05</v>
      </c>
      <c r="D358" s="13">
        <v>13.054</v>
      </c>
      <c r="E358" s="13">
        <v>13.05</v>
      </c>
      <c r="F358" s="15">
        <v>0.0002</v>
      </c>
    </row>
    <row r="359" spans="1:6">
      <c r="A359" s="14">
        <v>44826</v>
      </c>
      <c r="B359" s="13">
        <v>13.052</v>
      </c>
      <c r="C359" s="13">
        <v>13.05</v>
      </c>
      <c r="D359" s="13">
        <v>13.052</v>
      </c>
      <c r="E359" s="13">
        <v>13.05</v>
      </c>
      <c r="F359" s="15">
        <v>0</v>
      </c>
    </row>
    <row r="360" spans="1:6">
      <c r="A360" s="14">
        <v>44825</v>
      </c>
      <c r="B360" s="13">
        <v>13.052</v>
      </c>
      <c r="C360" s="13">
        <v>13.05</v>
      </c>
      <c r="D360" s="13">
        <v>13.052</v>
      </c>
      <c r="E360" s="13">
        <v>12.274</v>
      </c>
      <c r="F360" s="15">
        <v>0</v>
      </c>
    </row>
    <row r="361" spans="1:6">
      <c r="A361" s="14">
        <v>44824</v>
      </c>
      <c r="B361" s="13">
        <v>13.052</v>
      </c>
      <c r="C361" s="13">
        <v>13.05</v>
      </c>
      <c r="D361" s="13">
        <v>13.052</v>
      </c>
      <c r="E361" s="13">
        <v>13.05</v>
      </c>
      <c r="F361" s="15">
        <v>0</v>
      </c>
    </row>
    <row r="362" spans="1:6">
      <c r="A362" s="14">
        <v>44823</v>
      </c>
      <c r="B362" s="13">
        <v>13.052</v>
      </c>
      <c r="C362" s="13">
        <v>13.05</v>
      </c>
      <c r="D362" s="13">
        <v>13.052</v>
      </c>
      <c r="E362" s="13">
        <v>13.05</v>
      </c>
      <c r="F362" s="15">
        <v>-0.0002</v>
      </c>
    </row>
    <row r="363" spans="1:6">
      <c r="A363" s="14">
        <v>44820</v>
      </c>
      <c r="B363" s="13">
        <v>13.054</v>
      </c>
      <c r="C363" s="13">
        <v>13.05</v>
      </c>
      <c r="D363" s="13">
        <v>13.054</v>
      </c>
      <c r="E363" s="13">
        <v>13.05</v>
      </c>
      <c r="F363" s="15">
        <v>0.0002</v>
      </c>
    </row>
    <row r="364" spans="1:6">
      <c r="A364" s="14">
        <v>44819</v>
      </c>
      <c r="B364" s="13">
        <v>13.052</v>
      </c>
      <c r="C364" s="13">
        <v>13.05</v>
      </c>
      <c r="D364" s="13">
        <v>13.052</v>
      </c>
      <c r="E364" s="13">
        <v>12.273</v>
      </c>
      <c r="F364" s="15">
        <v>0</v>
      </c>
    </row>
    <row r="365" spans="1:6">
      <c r="A365" s="14">
        <v>44818</v>
      </c>
      <c r="B365" s="13">
        <v>13.052</v>
      </c>
      <c r="C365" s="13">
        <v>13.05</v>
      </c>
      <c r="D365" s="13">
        <v>13.052</v>
      </c>
      <c r="E365" s="13">
        <v>13.05</v>
      </c>
      <c r="F365" s="15">
        <v>0</v>
      </c>
    </row>
    <row r="366" spans="1:6">
      <c r="A366" s="14">
        <v>44817</v>
      </c>
      <c r="B366" s="13">
        <v>13.052</v>
      </c>
      <c r="C366" s="13">
        <v>13.05</v>
      </c>
      <c r="D366" s="13">
        <v>13.052</v>
      </c>
      <c r="E366" s="13">
        <v>13.05</v>
      </c>
      <c r="F366" s="15">
        <v>0</v>
      </c>
    </row>
    <row r="367" spans="1:6">
      <c r="A367" s="14">
        <v>44816</v>
      </c>
      <c r="B367" s="13">
        <v>13.052</v>
      </c>
      <c r="C367" s="13">
        <v>13.05</v>
      </c>
      <c r="D367" s="13">
        <v>13.052</v>
      </c>
      <c r="E367" s="13">
        <v>12.274</v>
      </c>
      <c r="F367" s="15">
        <v>-0.0002</v>
      </c>
    </row>
    <row r="368" spans="1:6">
      <c r="A368" s="14">
        <v>44813</v>
      </c>
      <c r="B368" s="13">
        <v>13.054</v>
      </c>
      <c r="C368" s="13">
        <v>13.05</v>
      </c>
      <c r="D368" s="13">
        <v>13.054</v>
      </c>
      <c r="E368" s="13">
        <v>13.05</v>
      </c>
      <c r="F368" s="15">
        <v>0.0002</v>
      </c>
    </row>
    <row r="369" spans="1:6">
      <c r="A369" s="14">
        <v>44812</v>
      </c>
      <c r="B369" s="13">
        <v>13.052</v>
      </c>
      <c r="C369" s="13">
        <v>13.05</v>
      </c>
      <c r="D369" s="13">
        <v>13.052</v>
      </c>
      <c r="E369" s="13">
        <v>13.05</v>
      </c>
      <c r="F369" s="15">
        <v>0</v>
      </c>
    </row>
    <row r="370" spans="1:6">
      <c r="A370" s="14">
        <v>44811</v>
      </c>
      <c r="B370" s="13">
        <v>13.052</v>
      </c>
      <c r="C370" s="13">
        <v>13.05</v>
      </c>
      <c r="D370" s="13">
        <v>13.052</v>
      </c>
      <c r="E370" s="13">
        <v>13.05</v>
      </c>
      <c r="F370" s="15">
        <v>0</v>
      </c>
    </row>
    <row r="371" spans="1:6">
      <c r="A371" s="14">
        <v>44810</v>
      </c>
      <c r="B371" s="13">
        <v>13.052</v>
      </c>
      <c r="C371" s="13">
        <v>13.05</v>
      </c>
      <c r="D371" s="13">
        <v>13.052</v>
      </c>
      <c r="E371" s="13">
        <v>12.274</v>
      </c>
      <c r="F371" s="15">
        <v>0</v>
      </c>
    </row>
    <row r="372" spans="1:6">
      <c r="A372" s="14">
        <v>44809</v>
      </c>
      <c r="B372" s="13">
        <v>13.052</v>
      </c>
      <c r="C372" s="13">
        <v>12.63</v>
      </c>
      <c r="D372" s="13">
        <v>13.052</v>
      </c>
      <c r="E372" s="13">
        <v>12.63</v>
      </c>
      <c r="F372" s="15">
        <v>0.033</v>
      </c>
    </row>
    <row r="373" spans="1:6">
      <c r="A373" s="14">
        <v>44806</v>
      </c>
      <c r="B373" s="13">
        <v>12.634</v>
      </c>
      <c r="C373" s="13">
        <v>12.63</v>
      </c>
      <c r="D373" s="13">
        <v>12.634</v>
      </c>
      <c r="E373" s="13">
        <v>12.63</v>
      </c>
      <c r="F373" s="15">
        <v>0.0003</v>
      </c>
    </row>
    <row r="374" spans="1:6">
      <c r="A374" s="14">
        <v>44805</v>
      </c>
      <c r="B374" s="13">
        <v>12.631</v>
      </c>
      <c r="C374" s="13">
        <v>12.63</v>
      </c>
      <c r="D374" s="13">
        <v>12.631</v>
      </c>
      <c r="E374" s="13">
        <v>12.188</v>
      </c>
      <c r="F374" s="15">
        <v>-0.0004</v>
      </c>
    </row>
    <row r="375" spans="1:6">
      <c r="A375" s="14">
        <v>44804</v>
      </c>
      <c r="B375" s="13">
        <v>12.635</v>
      </c>
      <c r="C375" s="13">
        <v>13.5</v>
      </c>
      <c r="D375" s="13">
        <v>13.5</v>
      </c>
      <c r="E375" s="13">
        <v>12.63</v>
      </c>
      <c r="F375" s="15">
        <v>-0.064</v>
      </c>
    </row>
    <row r="376" spans="1:6">
      <c r="A376" s="14">
        <v>44803</v>
      </c>
      <c r="B376" s="13">
        <v>13.5</v>
      </c>
      <c r="C376" s="13">
        <v>13.5</v>
      </c>
      <c r="D376" s="13">
        <v>13.5</v>
      </c>
      <c r="E376" s="13">
        <v>13.5</v>
      </c>
      <c r="F376" s="15">
        <v>0.0002</v>
      </c>
    </row>
    <row r="377" spans="1:6">
      <c r="A377" s="14">
        <v>44802</v>
      </c>
      <c r="B377" s="13">
        <v>13.498</v>
      </c>
      <c r="C377" s="13">
        <v>13.5</v>
      </c>
      <c r="D377" s="13">
        <v>13.5</v>
      </c>
      <c r="E377" s="13">
        <v>13.498</v>
      </c>
      <c r="F377" s="15">
        <v>-0.0005</v>
      </c>
    </row>
    <row r="378" spans="1:6">
      <c r="A378" s="14">
        <v>44799</v>
      </c>
      <c r="B378" s="13">
        <v>13.505</v>
      </c>
      <c r="C378" s="13">
        <v>13.5</v>
      </c>
      <c r="D378" s="13">
        <v>13.505</v>
      </c>
      <c r="E378" s="13">
        <v>12.623</v>
      </c>
      <c r="F378" s="15">
        <v>0.0002</v>
      </c>
    </row>
    <row r="379" spans="1:6">
      <c r="A379" s="14">
        <v>44798</v>
      </c>
      <c r="B379" s="13">
        <v>13.502</v>
      </c>
      <c r="C379" s="13">
        <v>13.5</v>
      </c>
      <c r="D379" s="13">
        <v>13.502</v>
      </c>
      <c r="E379" s="13">
        <v>13.5</v>
      </c>
      <c r="F379" s="15">
        <v>0</v>
      </c>
    </row>
    <row r="380" spans="1:6">
      <c r="A380" s="14">
        <v>44797</v>
      </c>
      <c r="B380" s="13">
        <v>13.502</v>
      </c>
      <c r="C380" s="13">
        <v>13.5</v>
      </c>
      <c r="D380" s="13">
        <v>13.502</v>
      </c>
      <c r="E380" s="13">
        <v>13.5</v>
      </c>
      <c r="F380" s="15">
        <v>0</v>
      </c>
    </row>
    <row r="381" spans="1:6">
      <c r="A381" s="14">
        <v>44796</v>
      </c>
      <c r="B381" s="13">
        <v>13.502</v>
      </c>
      <c r="C381" s="13">
        <v>13.5</v>
      </c>
      <c r="D381" s="13">
        <v>13.502</v>
      </c>
      <c r="E381" s="13">
        <v>12.624</v>
      </c>
      <c r="F381" s="15">
        <v>0</v>
      </c>
    </row>
    <row r="382" spans="1:6">
      <c r="A382" s="14">
        <v>44795</v>
      </c>
      <c r="B382" s="13">
        <v>13.502</v>
      </c>
      <c r="C382" s="13">
        <v>13.5</v>
      </c>
      <c r="D382" s="13">
        <v>13.502</v>
      </c>
      <c r="E382" s="13">
        <v>13.5</v>
      </c>
      <c r="F382" s="15">
        <v>-0.0002</v>
      </c>
    </row>
    <row r="383" spans="1:6">
      <c r="A383" s="14">
        <v>44792</v>
      </c>
      <c r="B383" s="13">
        <v>13.505</v>
      </c>
      <c r="C383" s="13">
        <v>13.5</v>
      </c>
      <c r="D383" s="13">
        <v>13.505</v>
      </c>
      <c r="E383" s="13">
        <v>13.5</v>
      </c>
      <c r="F383" s="15">
        <v>0.0002</v>
      </c>
    </row>
    <row r="384" spans="1:6">
      <c r="A384" s="14">
        <v>44791</v>
      </c>
      <c r="B384" s="13">
        <v>13.502</v>
      </c>
      <c r="C384" s="13">
        <v>13.5</v>
      </c>
      <c r="D384" s="13">
        <v>13.502</v>
      </c>
      <c r="E384" s="13">
        <v>13.5</v>
      </c>
      <c r="F384" s="15">
        <v>0</v>
      </c>
    </row>
    <row r="385" spans="1:6">
      <c r="A385" s="14">
        <v>44790</v>
      </c>
      <c r="B385" s="13">
        <v>13.502</v>
      </c>
      <c r="C385" s="13">
        <v>13.5</v>
      </c>
      <c r="D385" s="13">
        <v>13.502</v>
      </c>
      <c r="E385" s="13">
        <v>12.624</v>
      </c>
      <c r="F385" s="15">
        <v>0</v>
      </c>
    </row>
    <row r="386" spans="1:6">
      <c r="A386" s="14">
        <v>44789</v>
      </c>
      <c r="B386" s="13">
        <v>13.502</v>
      </c>
      <c r="C386" s="13">
        <v>13.95</v>
      </c>
      <c r="D386" s="13">
        <v>13.95</v>
      </c>
      <c r="E386" s="13">
        <v>13.5</v>
      </c>
      <c r="F386" s="15">
        <v>-0.0323</v>
      </c>
    </row>
    <row r="387" spans="1:6">
      <c r="A387" s="14">
        <v>44788</v>
      </c>
      <c r="B387" s="13">
        <v>13.951</v>
      </c>
      <c r="C387" s="13">
        <v>13.95</v>
      </c>
      <c r="D387" s="13">
        <v>13.951</v>
      </c>
      <c r="E387" s="13">
        <v>13.95</v>
      </c>
      <c r="F387" s="15">
        <v>-0.0002</v>
      </c>
    </row>
    <row r="388" spans="1:6">
      <c r="A388" s="14">
        <v>44785</v>
      </c>
      <c r="B388" s="13">
        <v>13.955</v>
      </c>
      <c r="C388" s="13">
        <v>13.95</v>
      </c>
      <c r="D388" s="13">
        <v>13.955</v>
      </c>
      <c r="E388" s="13">
        <v>13.95</v>
      </c>
      <c r="F388" s="15">
        <v>0.0002</v>
      </c>
    </row>
    <row r="389" spans="1:6">
      <c r="A389" s="14">
        <v>44784</v>
      </c>
      <c r="B389" s="13">
        <v>13.951</v>
      </c>
      <c r="C389" s="13">
        <v>13.95</v>
      </c>
      <c r="D389" s="13">
        <v>13.951</v>
      </c>
      <c r="E389" s="13">
        <v>13.95</v>
      </c>
      <c r="F389" s="15">
        <v>0</v>
      </c>
    </row>
    <row r="390" spans="1:6">
      <c r="A390" s="14">
        <v>44783</v>
      </c>
      <c r="B390" s="13">
        <v>13.951</v>
      </c>
      <c r="C390" s="13">
        <v>13.95</v>
      </c>
      <c r="D390" s="13">
        <v>13.951</v>
      </c>
      <c r="E390" s="13">
        <v>12.874</v>
      </c>
      <c r="F390" s="15">
        <v>0</v>
      </c>
    </row>
    <row r="391" spans="1:6">
      <c r="A391" s="14">
        <v>44782</v>
      </c>
      <c r="B391" s="13">
        <v>13.951</v>
      </c>
      <c r="C391" s="13">
        <v>13.95</v>
      </c>
      <c r="D391" s="13">
        <v>13.951</v>
      </c>
      <c r="E391" s="13">
        <v>13.95</v>
      </c>
      <c r="F391" s="15">
        <v>0</v>
      </c>
    </row>
    <row r="392" spans="1:6">
      <c r="A392" s="14">
        <v>44781</v>
      </c>
      <c r="B392" s="13">
        <v>13.951</v>
      </c>
      <c r="C392" s="13">
        <v>13.95</v>
      </c>
      <c r="D392" s="13">
        <v>13.951</v>
      </c>
      <c r="E392" s="13">
        <v>13.95</v>
      </c>
      <c r="F392" s="15">
        <v>-0.0002</v>
      </c>
    </row>
    <row r="393" spans="1:6">
      <c r="A393" s="14">
        <v>44778</v>
      </c>
      <c r="B393" s="13">
        <v>13.955</v>
      </c>
      <c r="C393" s="13">
        <v>13.95</v>
      </c>
      <c r="D393" s="13">
        <v>13.955</v>
      </c>
      <c r="E393" s="13">
        <v>12.873</v>
      </c>
      <c r="F393" s="15">
        <v>0.0002</v>
      </c>
    </row>
    <row r="394" spans="1:6">
      <c r="A394" s="14">
        <v>44777</v>
      </c>
      <c r="B394" s="13">
        <v>13.951</v>
      </c>
      <c r="C394" s="13">
        <v>13.95</v>
      </c>
      <c r="D394" s="13">
        <v>13.951</v>
      </c>
      <c r="E394" s="13">
        <v>13.95</v>
      </c>
      <c r="F394" s="15">
        <v>0</v>
      </c>
    </row>
    <row r="395" spans="1:6">
      <c r="A395" s="14">
        <v>44776</v>
      </c>
      <c r="B395" s="13">
        <v>13.951</v>
      </c>
      <c r="C395" s="13">
        <v>13.95</v>
      </c>
      <c r="D395" s="13">
        <v>13.951</v>
      </c>
      <c r="E395" s="13">
        <v>13.95</v>
      </c>
      <c r="F395" s="15">
        <v>0</v>
      </c>
    </row>
    <row r="396" spans="1:6">
      <c r="A396" s="14">
        <v>44775</v>
      </c>
      <c r="B396" s="13">
        <v>13.951</v>
      </c>
      <c r="C396" s="13">
        <v>13.95</v>
      </c>
      <c r="D396" s="13">
        <v>13.951</v>
      </c>
      <c r="E396" s="13">
        <v>13.95</v>
      </c>
      <c r="F396" s="15">
        <v>0</v>
      </c>
    </row>
    <row r="397" spans="1:6">
      <c r="A397" s="14">
        <v>44774</v>
      </c>
      <c r="B397" s="13">
        <v>13.951</v>
      </c>
      <c r="C397" s="13">
        <v>13.95</v>
      </c>
      <c r="D397" s="13">
        <v>13.951</v>
      </c>
      <c r="E397" s="13">
        <v>13.95</v>
      </c>
      <c r="F397" s="15">
        <v>-0.0001</v>
      </c>
    </row>
    <row r="398" spans="1:6">
      <c r="A398" s="14">
        <v>44771</v>
      </c>
      <c r="B398" s="13">
        <v>13.953</v>
      </c>
      <c r="C398" s="13">
        <v>13.95</v>
      </c>
      <c r="D398" s="13">
        <v>13.953</v>
      </c>
      <c r="E398" s="13">
        <v>13.95</v>
      </c>
      <c r="F398" s="15">
        <v>0.0001</v>
      </c>
    </row>
    <row r="399" spans="1:6">
      <c r="A399" s="14">
        <v>44770</v>
      </c>
      <c r="B399" s="13">
        <v>13.951</v>
      </c>
      <c r="C399" s="13">
        <v>13.95</v>
      </c>
      <c r="D399" s="13">
        <v>13.951</v>
      </c>
      <c r="E399" s="13">
        <v>13.95</v>
      </c>
      <c r="F399" s="15">
        <v>0</v>
      </c>
    </row>
    <row r="400" spans="1:6">
      <c r="A400" s="14">
        <v>44769</v>
      </c>
      <c r="B400" s="13">
        <v>13.951</v>
      </c>
      <c r="C400" s="13">
        <v>13.95</v>
      </c>
      <c r="D400" s="13">
        <v>13.951</v>
      </c>
      <c r="E400" s="13">
        <v>13.95</v>
      </c>
      <c r="F400" s="15">
        <v>0</v>
      </c>
    </row>
    <row r="401" spans="1:6">
      <c r="A401" s="14">
        <v>44768</v>
      </c>
      <c r="B401" s="13">
        <v>13.951</v>
      </c>
      <c r="C401" s="13">
        <v>13.95</v>
      </c>
      <c r="D401" s="13">
        <v>13.951</v>
      </c>
      <c r="E401" s="13">
        <v>12.55</v>
      </c>
      <c r="F401" s="15">
        <v>0</v>
      </c>
    </row>
    <row r="402" spans="1:6">
      <c r="A402" s="14">
        <v>44767</v>
      </c>
      <c r="B402" s="13">
        <v>13.951</v>
      </c>
      <c r="C402" s="13">
        <v>13.95</v>
      </c>
      <c r="D402" s="13">
        <v>13.951</v>
      </c>
      <c r="E402" s="13">
        <v>13.95</v>
      </c>
      <c r="F402" s="15">
        <v>-0.0002</v>
      </c>
    </row>
    <row r="403" spans="1:6">
      <c r="A403" s="14">
        <v>44764</v>
      </c>
      <c r="B403" s="13">
        <v>13.955</v>
      </c>
      <c r="C403" s="13">
        <v>13.95</v>
      </c>
      <c r="D403" s="13">
        <v>13.955</v>
      </c>
      <c r="E403" s="13">
        <v>13.95</v>
      </c>
      <c r="F403" s="15">
        <v>0.0002</v>
      </c>
    </row>
    <row r="404" spans="1:6">
      <c r="A404" s="14">
        <v>44763</v>
      </c>
      <c r="B404" s="13">
        <v>13.951</v>
      </c>
      <c r="C404" s="13">
        <v>13.95</v>
      </c>
      <c r="D404" s="13">
        <v>13.951</v>
      </c>
      <c r="E404" s="13">
        <v>13.95</v>
      </c>
      <c r="F404" s="15">
        <v>0</v>
      </c>
    </row>
    <row r="405" spans="1:6">
      <c r="A405" s="14">
        <v>44762</v>
      </c>
      <c r="B405" s="13">
        <v>13.951</v>
      </c>
      <c r="C405" s="13">
        <v>13.95</v>
      </c>
      <c r="D405" s="13">
        <v>13.951</v>
      </c>
      <c r="E405" s="13">
        <v>13.95</v>
      </c>
      <c r="F405" s="15">
        <v>0</v>
      </c>
    </row>
    <row r="406" spans="1:6">
      <c r="A406" s="14">
        <v>44761</v>
      </c>
      <c r="B406" s="13">
        <v>13.951</v>
      </c>
      <c r="C406" s="13">
        <v>13.95</v>
      </c>
      <c r="D406" s="13">
        <v>13.951</v>
      </c>
      <c r="E406" s="13">
        <v>13.95</v>
      </c>
      <c r="F406" s="15">
        <v>0</v>
      </c>
    </row>
    <row r="407" spans="1:6">
      <c r="A407" s="14">
        <v>44760</v>
      </c>
      <c r="B407" s="13">
        <v>13.951</v>
      </c>
      <c r="C407" s="13">
        <v>13.95</v>
      </c>
      <c r="D407" s="13">
        <v>13.951</v>
      </c>
      <c r="E407" s="13">
        <v>13.95</v>
      </c>
      <c r="F407" s="15">
        <v>-0.0002</v>
      </c>
    </row>
    <row r="408" spans="1:6">
      <c r="A408" s="14">
        <v>44757</v>
      </c>
      <c r="B408" s="13">
        <v>13.955</v>
      </c>
      <c r="C408" s="13">
        <v>13.95</v>
      </c>
      <c r="D408" s="13">
        <v>13.955</v>
      </c>
      <c r="E408" s="13">
        <v>13.95</v>
      </c>
      <c r="F408" s="15">
        <v>0.0002</v>
      </c>
    </row>
    <row r="409" spans="1:6">
      <c r="A409" s="14">
        <v>44756</v>
      </c>
      <c r="B409" s="13">
        <v>13.951</v>
      </c>
      <c r="C409" s="13">
        <v>13.95</v>
      </c>
      <c r="D409" s="13">
        <v>13.951</v>
      </c>
      <c r="E409" s="13">
        <v>13.95</v>
      </c>
      <c r="F409" s="15">
        <v>0</v>
      </c>
    </row>
    <row r="410" spans="1:6">
      <c r="A410" s="14">
        <v>44755</v>
      </c>
      <c r="B410" s="13">
        <v>13.951</v>
      </c>
      <c r="C410" s="13">
        <v>13.95</v>
      </c>
      <c r="D410" s="13">
        <v>13.951</v>
      </c>
      <c r="E410" s="13">
        <v>13.95</v>
      </c>
      <c r="F410" s="15">
        <v>0</v>
      </c>
    </row>
    <row r="411" spans="1:6">
      <c r="A411" s="14">
        <v>44754</v>
      </c>
      <c r="B411" s="13">
        <v>13.951</v>
      </c>
      <c r="C411" s="13">
        <v>13.95</v>
      </c>
      <c r="D411" s="13">
        <v>13.951</v>
      </c>
      <c r="E411" s="13">
        <v>13.95</v>
      </c>
      <c r="F411" s="15">
        <v>0</v>
      </c>
    </row>
    <row r="412" spans="1:6">
      <c r="A412" s="14">
        <v>44753</v>
      </c>
      <c r="B412" s="13">
        <v>13.951</v>
      </c>
      <c r="C412" s="13">
        <v>13.95</v>
      </c>
      <c r="D412" s="13">
        <v>13.951</v>
      </c>
      <c r="E412" s="13">
        <v>13.95</v>
      </c>
      <c r="F412" s="15">
        <v>-0.0002</v>
      </c>
    </row>
    <row r="413" spans="1:6">
      <c r="A413" s="14">
        <v>44750</v>
      </c>
      <c r="B413" s="13">
        <v>13.955</v>
      </c>
      <c r="C413" s="13">
        <v>13.95</v>
      </c>
      <c r="D413" s="13">
        <v>13.955</v>
      </c>
      <c r="E413" s="13">
        <v>13.95</v>
      </c>
      <c r="F413" s="15">
        <v>0.0002</v>
      </c>
    </row>
    <row r="414" spans="1:6">
      <c r="A414" s="14">
        <v>44749</v>
      </c>
      <c r="B414" s="13">
        <v>13.951</v>
      </c>
      <c r="C414" s="13">
        <v>13.95</v>
      </c>
      <c r="D414" s="13">
        <v>13.951</v>
      </c>
      <c r="E414" s="13">
        <v>13.95</v>
      </c>
      <c r="F414" s="15">
        <v>0</v>
      </c>
    </row>
    <row r="415" spans="1:6">
      <c r="A415" s="14">
        <v>44748</v>
      </c>
      <c r="B415" s="13">
        <v>13.951</v>
      </c>
      <c r="C415" s="13">
        <v>13.95</v>
      </c>
      <c r="D415" s="13">
        <v>13.951</v>
      </c>
      <c r="E415" s="13">
        <v>13.95</v>
      </c>
      <c r="F415" s="15">
        <v>0</v>
      </c>
    </row>
    <row r="416" spans="1:6">
      <c r="A416" s="14">
        <v>44747</v>
      </c>
      <c r="B416" s="13">
        <v>13.951</v>
      </c>
      <c r="C416" s="13">
        <v>13.95</v>
      </c>
      <c r="D416" s="13">
        <v>13.951</v>
      </c>
      <c r="E416" s="13">
        <v>13.95</v>
      </c>
      <c r="F416" s="15">
        <v>0</v>
      </c>
    </row>
    <row r="417" spans="1:6">
      <c r="A417" s="14">
        <v>44746</v>
      </c>
      <c r="B417" s="13">
        <v>13.951</v>
      </c>
      <c r="C417" s="13">
        <v>13.95</v>
      </c>
      <c r="D417" s="13">
        <v>13.951</v>
      </c>
      <c r="E417" s="13">
        <v>13.95</v>
      </c>
      <c r="F417" s="15">
        <v>-0.0002</v>
      </c>
    </row>
    <row r="418" spans="1:6">
      <c r="A418" s="14">
        <v>44743</v>
      </c>
      <c r="B418" s="13">
        <v>13.955</v>
      </c>
      <c r="C418" s="13">
        <v>12.7</v>
      </c>
      <c r="D418" s="13">
        <v>13.955</v>
      </c>
      <c r="E418" s="13">
        <v>12.7</v>
      </c>
      <c r="F418" s="15">
        <v>0.0986</v>
      </c>
    </row>
    <row r="419" spans="1:6">
      <c r="A419" s="14">
        <v>44742</v>
      </c>
      <c r="B419" s="13">
        <v>12.701</v>
      </c>
      <c r="C419" s="13">
        <v>12.7</v>
      </c>
      <c r="D419" s="13">
        <v>12.701</v>
      </c>
      <c r="E419" s="13">
        <v>12.7</v>
      </c>
      <c r="F419" s="15">
        <v>0</v>
      </c>
    </row>
    <row r="420" spans="1:6">
      <c r="A420" s="14">
        <v>44741</v>
      </c>
      <c r="B420" s="13">
        <v>12.701</v>
      </c>
      <c r="C420" s="13">
        <v>12.7</v>
      </c>
      <c r="D420" s="13">
        <v>12.701</v>
      </c>
      <c r="E420" s="13">
        <v>12.7</v>
      </c>
      <c r="F420" s="15">
        <v>0</v>
      </c>
    </row>
    <row r="421" spans="1:6">
      <c r="A421" s="14">
        <v>44740</v>
      </c>
      <c r="B421" s="13">
        <v>12.701</v>
      </c>
      <c r="C421" s="13">
        <v>12.7</v>
      </c>
      <c r="D421" s="13">
        <v>12.701</v>
      </c>
      <c r="E421" s="13">
        <v>12.7</v>
      </c>
      <c r="F421" s="15">
        <v>0</v>
      </c>
    </row>
    <row r="422" spans="1:6">
      <c r="A422" s="14">
        <v>44739</v>
      </c>
      <c r="B422" s="13">
        <v>12.701</v>
      </c>
      <c r="C422" s="13">
        <v>12.7</v>
      </c>
      <c r="D422" s="13">
        <v>12.701</v>
      </c>
      <c r="E422" s="13">
        <v>12.7</v>
      </c>
      <c r="F422" s="15">
        <v>-0.0002</v>
      </c>
    </row>
    <row r="423" spans="1:6">
      <c r="A423" s="14">
        <v>44736</v>
      </c>
      <c r="B423" s="13">
        <v>12.704</v>
      </c>
      <c r="C423" s="13">
        <v>12.7</v>
      </c>
      <c r="D423" s="13">
        <v>12.704</v>
      </c>
      <c r="E423" s="13">
        <v>12.7</v>
      </c>
      <c r="F423" s="15">
        <v>0.0002</v>
      </c>
    </row>
    <row r="424" spans="1:6">
      <c r="A424" s="14">
        <v>44735</v>
      </c>
      <c r="B424" s="13">
        <v>12.701</v>
      </c>
      <c r="C424" s="13">
        <v>12.7</v>
      </c>
      <c r="D424" s="13">
        <v>12.701</v>
      </c>
      <c r="E424" s="13">
        <v>12.7</v>
      </c>
      <c r="F424" s="15">
        <v>0</v>
      </c>
    </row>
    <row r="425" spans="1:6">
      <c r="A425" s="14">
        <v>44734</v>
      </c>
      <c r="B425" s="13">
        <v>12.701</v>
      </c>
      <c r="C425" s="13">
        <v>12.7</v>
      </c>
      <c r="D425" s="13">
        <v>12.701</v>
      </c>
      <c r="E425" s="13">
        <v>12.7</v>
      </c>
      <c r="F425" s="15">
        <v>0</v>
      </c>
    </row>
    <row r="426" spans="1:6">
      <c r="A426" s="14">
        <v>44733</v>
      </c>
      <c r="B426" s="13">
        <v>12.701</v>
      </c>
      <c r="C426" s="13">
        <v>12.7</v>
      </c>
      <c r="D426" s="13">
        <v>12.701</v>
      </c>
      <c r="E426" s="13">
        <v>12.7</v>
      </c>
      <c r="F426" s="15">
        <v>0</v>
      </c>
    </row>
    <row r="427" spans="1:6">
      <c r="A427" s="14">
        <v>44732</v>
      </c>
      <c r="B427" s="13">
        <v>12.701</v>
      </c>
      <c r="C427" s="13">
        <v>12.7</v>
      </c>
      <c r="D427" s="13">
        <v>12.701</v>
      </c>
      <c r="E427" s="13">
        <v>12.7</v>
      </c>
      <c r="F427" s="15">
        <v>-0.0002</v>
      </c>
    </row>
    <row r="428" spans="1:6">
      <c r="A428" s="14">
        <v>44729</v>
      </c>
      <c r="B428" s="13">
        <v>12.704</v>
      </c>
      <c r="C428" s="13">
        <v>12.7</v>
      </c>
      <c r="D428" s="13">
        <v>12.704</v>
      </c>
      <c r="E428" s="13">
        <v>12.7</v>
      </c>
      <c r="F428" s="15">
        <v>0.0002</v>
      </c>
    </row>
    <row r="429" spans="1:6">
      <c r="A429" s="14">
        <v>44728</v>
      </c>
      <c r="B429" s="13">
        <v>12.701</v>
      </c>
      <c r="C429" s="13">
        <v>12.7</v>
      </c>
      <c r="D429" s="13">
        <v>12.701</v>
      </c>
      <c r="E429" s="13">
        <v>12.7</v>
      </c>
      <c r="F429" s="15">
        <v>0</v>
      </c>
    </row>
    <row r="430" spans="1:6">
      <c r="A430" s="14">
        <v>44727</v>
      </c>
      <c r="B430" s="13">
        <v>12.701</v>
      </c>
      <c r="C430" s="13">
        <v>12.7</v>
      </c>
      <c r="D430" s="13">
        <v>12.701</v>
      </c>
      <c r="E430" s="13">
        <v>12.7</v>
      </c>
      <c r="F430" s="15">
        <v>0</v>
      </c>
    </row>
    <row r="431" spans="1:6">
      <c r="A431" s="14">
        <v>44726</v>
      </c>
      <c r="B431" s="13">
        <v>12.701</v>
      </c>
      <c r="C431" s="13">
        <v>12.7</v>
      </c>
      <c r="D431" s="13">
        <v>12.701</v>
      </c>
      <c r="E431" s="13">
        <v>12.7</v>
      </c>
      <c r="F431" s="15">
        <v>0</v>
      </c>
    </row>
    <row r="432" spans="1:6">
      <c r="A432" s="14">
        <v>44725</v>
      </c>
      <c r="B432" s="13">
        <v>12.701</v>
      </c>
      <c r="C432" s="13">
        <v>12.7</v>
      </c>
      <c r="D432" s="13">
        <v>12.701</v>
      </c>
      <c r="E432" s="13">
        <v>12.7</v>
      </c>
      <c r="F432" s="15">
        <v>-0.0002</v>
      </c>
    </row>
    <row r="433" spans="1:6">
      <c r="A433" s="14">
        <v>44722</v>
      </c>
      <c r="B433" s="13">
        <v>12.704</v>
      </c>
      <c r="C433" s="13">
        <v>12.7</v>
      </c>
      <c r="D433" s="13">
        <v>12.704</v>
      </c>
      <c r="E433" s="13">
        <v>12.7</v>
      </c>
      <c r="F433" s="15">
        <v>0.0002</v>
      </c>
    </row>
    <row r="434" spans="1:6">
      <c r="A434" s="14">
        <v>44721</v>
      </c>
      <c r="B434" s="13">
        <v>12.701</v>
      </c>
      <c r="C434" s="13">
        <v>12.7</v>
      </c>
      <c r="D434" s="13">
        <v>12.701</v>
      </c>
      <c r="E434" s="13">
        <v>12.7</v>
      </c>
      <c r="F434" s="15">
        <v>0</v>
      </c>
    </row>
    <row r="435" spans="1:6">
      <c r="A435" s="14">
        <v>44720</v>
      </c>
      <c r="B435" s="13">
        <v>12.701</v>
      </c>
      <c r="C435" s="13">
        <v>12.7</v>
      </c>
      <c r="D435" s="13">
        <v>12.701</v>
      </c>
      <c r="E435" s="13">
        <v>12.7</v>
      </c>
      <c r="F435" s="15">
        <v>0</v>
      </c>
    </row>
    <row r="436" spans="1:6">
      <c r="A436" s="14">
        <v>44719</v>
      </c>
      <c r="B436" s="13">
        <v>12.701</v>
      </c>
      <c r="C436" s="13">
        <v>12.7</v>
      </c>
      <c r="D436" s="13">
        <v>12.701</v>
      </c>
      <c r="E436" s="13">
        <v>12.7</v>
      </c>
      <c r="F436" s="15">
        <v>0</v>
      </c>
    </row>
    <row r="437" spans="1:6">
      <c r="A437" s="14">
        <v>44718</v>
      </c>
      <c r="B437" s="13">
        <v>12.701</v>
      </c>
      <c r="C437" s="13">
        <v>12.7</v>
      </c>
      <c r="D437" s="13">
        <v>12.701</v>
      </c>
      <c r="E437" s="13">
        <v>12.7</v>
      </c>
      <c r="F437" s="15">
        <v>-0.0002</v>
      </c>
    </row>
    <row r="438" spans="1:6">
      <c r="A438" s="14">
        <v>44715</v>
      </c>
      <c r="B438" s="13">
        <v>12.704</v>
      </c>
      <c r="C438" s="13">
        <v>12.7</v>
      </c>
      <c r="D438" s="13">
        <v>12.704</v>
      </c>
      <c r="E438" s="13">
        <v>12.7</v>
      </c>
      <c r="F438" s="15">
        <v>0.0002</v>
      </c>
    </row>
    <row r="439" spans="1:6">
      <c r="A439" s="14">
        <v>44714</v>
      </c>
      <c r="B439" s="13">
        <v>12.701</v>
      </c>
      <c r="C439" s="13">
        <v>12.7</v>
      </c>
      <c r="D439" s="13">
        <v>12.701</v>
      </c>
      <c r="E439" s="13">
        <v>12.7</v>
      </c>
      <c r="F439" s="15">
        <v>0</v>
      </c>
    </row>
    <row r="440" spans="1:6">
      <c r="A440" s="14">
        <v>44713</v>
      </c>
      <c r="B440" s="13">
        <v>12.701</v>
      </c>
      <c r="C440" s="13">
        <v>12.7</v>
      </c>
      <c r="D440" s="13">
        <v>12.701</v>
      </c>
      <c r="E440" s="13">
        <v>12.7</v>
      </c>
      <c r="F440" s="15">
        <v>-0.0003</v>
      </c>
    </row>
    <row r="441" spans="1:6">
      <c r="A441" s="14">
        <v>44712</v>
      </c>
      <c r="B441" s="13">
        <v>12.705</v>
      </c>
      <c r="C441" s="13">
        <v>12.7</v>
      </c>
      <c r="D441" s="13">
        <v>12.705</v>
      </c>
      <c r="E441" s="13">
        <v>12.7</v>
      </c>
      <c r="F441" s="15">
        <v>0.0007</v>
      </c>
    </row>
    <row r="442" spans="1:6">
      <c r="A442" s="14">
        <v>44711</v>
      </c>
      <c r="B442" s="13">
        <v>12.696</v>
      </c>
      <c r="C442" s="13">
        <v>12.75</v>
      </c>
      <c r="D442" s="13">
        <v>12.75</v>
      </c>
      <c r="E442" s="13">
        <v>12.696</v>
      </c>
      <c r="F442" s="15">
        <v>-0.0045</v>
      </c>
    </row>
    <row r="443" spans="1:6">
      <c r="A443" s="14">
        <v>44708</v>
      </c>
      <c r="B443" s="13">
        <v>12.754</v>
      </c>
      <c r="C443" s="13">
        <v>12.75</v>
      </c>
      <c r="D443" s="13">
        <v>12.754</v>
      </c>
      <c r="E443" s="13">
        <v>12.75</v>
      </c>
      <c r="F443" s="15">
        <v>0.0002</v>
      </c>
    </row>
    <row r="444" spans="1:6">
      <c r="A444" s="14">
        <v>44707</v>
      </c>
      <c r="B444" s="13">
        <v>12.752</v>
      </c>
      <c r="C444" s="13">
        <v>12.75</v>
      </c>
      <c r="D444" s="13">
        <v>12.908</v>
      </c>
      <c r="E444" s="13">
        <v>12.75</v>
      </c>
      <c r="F444" s="15">
        <v>0</v>
      </c>
    </row>
    <row r="445" spans="1:6">
      <c r="A445" s="14">
        <v>44706</v>
      </c>
      <c r="B445" s="13">
        <v>12.752</v>
      </c>
      <c r="C445" s="13">
        <v>12.75</v>
      </c>
      <c r="D445" s="13">
        <v>12.909</v>
      </c>
      <c r="E445" s="13">
        <v>12.75</v>
      </c>
      <c r="F445" s="15">
        <v>0</v>
      </c>
    </row>
    <row r="446" spans="1:6">
      <c r="A446" s="14">
        <v>44705</v>
      </c>
      <c r="B446" s="13">
        <v>12.752</v>
      </c>
      <c r="C446" s="13">
        <v>12.7</v>
      </c>
      <c r="D446" s="13">
        <v>12.752</v>
      </c>
      <c r="E446" s="13">
        <v>12.7</v>
      </c>
      <c r="F446" s="15">
        <v>0.0039</v>
      </c>
    </row>
    <row r="447" spans="1:6">
      <c r="A447" s="14">
        <v>44704</v>
      </c>
      <c r="B447" s="13">
        <v>12.701</v>
      </c>
      <c r="C447" s="13">
        <v>12.7</v>
      </c>
      <c r="D447" s="13">
        <v>12.769</v>
      </c>
      <c r="E447" s="13">
        <v>12.7</v>
      </c>
      <c r="F447" s="15">
        <v>-0.0002</v>
      </c>
    </row>
    <row r="448" spans="1:6">
      <c r="A448" s="14">
        <v>44701</v>
      </c>
      <c r="B448" s="13">
        <v>12.704</v>
      </c>
      <c r="C448" s="13">
        <v>12.7</v>
      </c>
      <c r="D448" s="13">
        <v>12.704</v>
      </c>
      <c r="E448" s="13">
        <v>12.7</v>
      </c>
      <c r="F448" s="15">
        <v>0.0002</v>
      </c>
    </row>
    <row r="449" spans="1:6">
      <c r="A449" s="14">
        <v>44700</v>
      </c>
      <c r="B449" s="13">
        <v>12.701</v>
      </c>
      <c r="C449" s="13">
        <v>12.7</v>
      </c>
      <c r="D449" s="13">
        <v>12.701</v>
      </c>
      <c r="E449" s="13">
        <v>12.7</v>
      </c>
      <c r="F449" s="15">
        <v>0</v>
      </c>
    </row>
    <row r="450" spans="1:6">
      <c r="A450" s="14">
        <v>44699</v>
      </c>
      <c r="B450" s="13">
        <v>12.701</v>
      </c>
      <c r="C450" s="13">
        <v>12.7</v>
      </c>
      <c r="D450" s="13">
        <v>12.701</v>
      </c>
      <c r="E450" s="13">
        <v>12.7</v>
      </c>
      <c r="F450" s="15">
        <v>0</v>
      </c>
    </row>
    <row r="451" spans="1:6">
      <c r="A451" s="14">
        <v>44698</v>
      </c>
      <c r="B451" s="13">
        <v>12.701</v>
      </c>
      <c r="C451" s="13">
        <v>12.7</v>
      </c>
      <c r="D451" s="13">
        <v>12.701</v>
      </c>
      <c r="E451" s="13">
        <v>12.7</v>
      </c>
      <c r="F451" s="15">
        <v>0</v>
      </c>
    </row>
    <row r="452" spans="1:6">
      <c r="A452" s="14">
        <v>44697</v>
      </c>
      <c r="B452" s="13">
        <v>12.701</v>
      </c>
      <c r="C452" s="13">
        <v>12.7</v>
      </c>
      <c r="D452" s="13">
        <v>12.701</v>
      </c>
      <c r="E452" s="13">
        <v>12.7</v>
      </c>
      <c r="F452" s="15">
        <v>-0.0002</v>
      </c>
    </row>
    <row r="453" spans="1:6">
      <c r="A453" s="14">
        <v>44694</v>
      </c>
      <c r="B453" s="13">
        <v>12.704</v>
      </c>
      <c r="C453" s="13">
        <v>12.7</v>
      </c>
      <c r="D453" s="13">
        <v>12.704</v>
      </c>
      <c r="E453" s="13">
        <v>12.7</v>
      </c>
      <c r="F453" s="15">
        <v>0.0002</v>
      </c>
    </row>
    <row r="454" spans="1:6">
      <c r="A454" s="14">
        <v>44693</v>
      </c>
      <c r="B454" s="13">
        <v>12.701</v>
      </c>
      <c r="C454" s="13">
        <v>12.7</v>
      </c>
      <c r="D454" s="13">
        <v>12.701</v>
      </c>
      <c r="E454" s="13">
        <v>12.7</v>
      </c>
      <c r="F454" s="15">
        <v>0.0001</v>
      </c>
    </row>
    <row r="455" spans="1:6">
      <c r="A455" s="14">
        <v>44692</v>
      </c>
      <c r="B455" s="13">
        <v>12.7</v>
      </c>
      <c r="C455" s="13">
        <v>12.476</v>
      </c>
      <c r="D455" s="13">
        <v>12.7</v>
      </c>
      <c r="E455" s="13">
        <v>12.476</v>
      </c>
      <c r="F455" s="15">
        <v>0</v>
      </c>
    </row>
    <row r="456" spans="1:6">
      <c r="A456" s="14">
        <v>44691</v>
      </c>
      <c r="B456" s="13">
        <v>12.7</v>
      </c>
      <c r="C456" s="13">
        <v>12.7</v>
      </c>
      <c r="D456" s="13">
        <v>12.7</v>
      </c>
      <c r="E456" s="13">
        <v>12.7</v>
      </c>
      <c r="F456" s="15">
        <v>0</v>
      </c>
    </row>
    <row r="457" spans="1:6">
      <c r="A457" s="14">
        <v>44690</v>
      </c>
      <c r="B457" s="13">
        <v>12.7</v>
      </c>
      <c r="C457" s="13">
        <v>12.7</v>
      </c>
      <c r="D457" s="13">
        <v>12.7</v>
      </c>
      <c r="E457" s="13">
        <v>12.7</v>
      </c>
      <c r="F457" s="15">
        <v>-0.0004</v>
      </c>
    </row>
    <row r="458" spans="1:6">
      <c r="A458" s="14">
        <v>44687</v>
      </c>
      <c r="B458" s="13">
        <v>12.705</v>
      </c>
      <c r="C458" s="13">
        <v>12.475</v>
      </c>
      <c r="D458" s="13">
        <v>12.705</v>
      </c>
      <c r="E458" s="13">
        <v>12.475</v>
      </c>
      <c r="F458" s="15">
        <v>0.0003</v>
      </c>
    </row>
    <row r="459" spans="1:6">
      <c r="A459" s="14">
        <v>44686</v>
      </c>
      <c r="B459" s="13">
        <v>12.701</v>
      </c>
      <c r="C459" s="13">
        <v>12.474</v>
      </c>
      <c r="D459" s="13">
        <v>12.701</v>
      </c>
      <c r="E459" s="13">
        <v>12.474</v>
      </c>
      <c r="F459" s="15">
        <v>0</v>
      </c>
    </row>
    <row r="460" spans="1:6">
      <c r="A460" s="14">
        <v>44685</v>
      </c>
      <c r="B460" s="13">
        <v>12.701</v>
      </c>
      <c r="C460" s="13">
        <v>12.7</v>
      </c>
      <c r="D460" s="13">
        <v>12.701</v>
      </c>
      <c r="E460" s="13">
        <v>12.7</v>
      </c>
      <c r="F460" s="15">
        <v>0</v>
      </c>
    </row>
    <row r="461" spans="1:6">
      <c r="A461" s="14">
        <v>44684</v>
      </c>
      <c r="B461" s="13">
        <v>12.701</v>
      </c>
      <c r="C461" s="13">
        <v>12.7</v>
      </c>
      <c r="D461" s="13">
        <v>12.701</v>
      </c>
      <c r="E461" s="13">
        <v>12.7</v>
      </c>
      <c r="F461" s="15">
        <v>0</v>
      </c>
    </row>
    <row r="462" spans="1:6">
      <c r="A462" s="14">
        <v>44683</v>
      </c>
      <c r="B462" s="13">
        <v>12.701</v>
      </c>
      <c r="C462" s="13">
        <v>12.7</v>
      </c>
      <c r="D462" s="13">
        <v>12.701</v>
      </c>
      <c r="E462" s="13">
        <v>12.7</v>
      </c>
      <c r="F462" s="15">
        <v>-0.0002</v>
      </c>
    </row>
    <row r="463" spans="1:6">
      <c r="A463" s="14">
        <v>44680</v>
      </c>
      <c r="B463" s="13">
        <v>12.703</v>
      </c>
      <c r="C463" s="13">
        <v>12.7</v>
      </c>
      <c r="D463" s="13">
        <v>12.703</v>
      </c>
      <c r="E463" s="13">
        <v>12.7</v>
      </c>
      <c r="F463" s="15">
        <v>0.0002</v>
      </c>
    </row>
    <row r="464" spans="1:6">
      <c r="A464" s="14">
        <v>44679</v>
      </c>
      <c r="B464" s="13">
        <v>12.701</v>
      </c>
      <c r="C464" s="13">
        <v>12.7</v>
      </c>
      <c r="D464" s="13">
        <v>12.701</v>
      </c>
      <c r="E464" s="13">
        <v>12.7</v>
      </c>
      <c r="F464" s="15">
        <v>0</v>
      </c>
    </row>
    <row r="465" spans="1:6">
      <c r="A465" s="14">
        <v>44678</v>
      </c>
      <c r="B465" s="13">
        <v>12.701</v>
      </c>
      <c r="C465" s="13">
        <v>12.7</v>
      </c>
      <c r="D465" s="13">
        <v>12.701</v>
      </c>
      <c r="E465" s="13">
        <v>12.7</v>
      </c>
      <c r="F465" s="15">
        <v>0</v>
      </c>
    </row>
    <row r="466" spans="1:6">
      <c r="A466" s="14">
        <v>44677</v>
      </c>
      <c r="B466" s="13">
        <v>12.701</v>
      </c>
      <c r="C466" s="13">
        <v>12.7</v>
      </c>
      <c r="D466" s="13">
        <v>12.701</v>
      </c>
      <c r="E466" s="13">
        <v>12.7</v>
      </c>
      <c r="F466" s="15">
        <v>0</v>
      </c>
    </row>
    <row r="467" spans="1:6">
      <c r="A467" s="14">
        <v>44676</v>
      </c>
      <c r="B467" s="13">
        <v>12.701</v>
      </c>
      <c r="C467" s="13">
        <v>12.7</v>
      </c>
      <c r="D467" s="13">
        <v>12.701</v>
      </c>
      <c r="E467" s="13">
        <v>12.7</v>
      </c>
      <c r="F467" s="15">
        <v>-0.0002</v>
      </c>
    </row>
    <row r="468" spans="1:6">
      <c r="A468" s="14">
        <v>44673</v>
      </c>
      <c r="B468" s="13">
        <v>12.703</v>
      </c>
      <c r="C468" s="13">
        <v>12.7</v>
      </c>
      <c r="D468" s="13">
        <v>12.703</v>
      </c>
      <c r="E468" s="13">
        <v>12.7</v>
      </c>
      <c r="F468" s="15">
        <v>0.0002</v>
      </c>
    </row>
    <row r="469" spans="1:6">
      <c r="A469" s="14">
        <v>44672</v>
      </c>
      <c r="B469" s="13">
        <v>12.701</v>
      </c>
      <c r="C469" s="13">
        <v>12.7</v>
      </c>
      <c r="D469" s="13">
        <v>12.701</v>
      </c>
      <c r="E469" s="13">
        <v>12.7</v>
      </c>
      <c r="F469" s="15">
        <v>0</v>
      </c>
    </row>
    <row r="470" spans="1:6">
      <c r="A470" s="14">
        <v>44671</v>
      </c>
      <c r="B470" s="13">
        <v>12.701</v>
      </c>
      <c r="C470" s="13">
        <v>12.7</v>
      </c>
      <c r="D470" s="13">
        <v>12.701</v>
      </c>
      <c r="E470" s="13">
        <v>12.7</v>
      </c>
      <c r="F470" s="15">
        <v>0</v>
      </c>
    </row>
    <row r="471" spans="1:6">
      <c r="A471" s="14">
        <v>44670</v>
      </c>
      <c r="B471" s="13">
        <v>12.701</v>
      </c>
      <c r="C471" s="13">
        <v>12.7</v>
      </c>
      <c r="D471" s="13">
        <v>12.701</v>
      </c>
      <c r="E471" s="13">
        <v>12.7</v>
      </c>
      <c r="F471" s="15">
        <v>0</v>
      </c>
    </row>
    <row r="472" spans="1:6">
      <c r="A472" s="14">
        <v>44669</v>
      </c>
      <c r="B472" s="13">
        <v>12.701</v>
      </c>
      <c r="C472" s="13">
        <v>12.7</v>
      </c>
      <c r="D472" s="13">
        <v>13.179</v>
      </c>
      <c r="E472" s="13">
        <v>12.474</v>
      </c>
      <c r="F472" s="15">
        <v>-0.0002</v>
      </c>
    </row>
    <row r="473" spans="1:6">
      <c r="A473" s="14">
        <v>44666</v>
      </c>
      <c r="B473" s="13">
        <v>12.703</v>
      </c>
      <c r="C473" s="13">
        <v>12.7</v>
      </c>
      <c r="D473" s="13">
        <v>12.703</v>
      </c>
      <c r="E473" s="13">
        <v>12.7</v>
      </c>
      <c r="F473" s="15">
        <v>0.0002</v>
      </c>
    </row>
    <row r="474" spans="1:6">
      <c r="A474" s="14">
        <v>44665</v>
      </c>
      <c r="B474" s="13">
        <v>12.701</v>
      </c>
      <c r="C474" s="13">
        <v>12.7</v>
      </c>
      <c r="D474" s="13">
        <v>12.701</v>
      </c>
      <c r="E474" s="13">
        <v>12.7</v>
      </c>
      <c r="F474" s="15">
        <v>0</v>
      </c>
    </row>
    <row r="475" spans="1:6">
      <c r="A475" s="14">
        <v>44664</v>
      </c>
      <c r="B475" s="13">
        <v>12.701</v>
      </c>
      <c r="C475" s="13">
        <v>12.7</v>
      </c>
      <c r="D475" s="13">
        <v>12.701</v>
      </c>
      <c r="E475" s="13">
        <v>12.7</v>
      </c>
      <c r="F475" s="15">
        <v>0</v>
      </c>
    </row>
    <row r="476" spans="1:6">
      <c r="A476" s="14">
        <v>44663</v>
      </c>
      <c r="B476" s="13">
        <v>12.701</v>
      </c>
      <c r="C476" s="13">
        <v>12.7</v>
      </c>
      <c r="D476" s="13">
        <v>12.701</v>
      </c>
      <c r="E476" s="13">
        <v>12.7</v>
      </c>
      <c r="F476" s="15">
        <v>0</v>
      </c>
    </row>
    <row r="477" spans="1:6">
      <c r="A477" s="14">
        <v>44662</v>
      </c>
      <c r="B477" s="13">
        <v>12.701</v>
      </c>
      <c r="C477" s="13">
        <v>12.7</v>
      </c>
      <c r="D477" s="13">
        <v>12.87</v>
      </c>
      <c r="E477" s="13">
        <v>12.474</v>
      </c>
      <c r="F477" s="15">
        <v>-0.0002</v>
      </c>
    </row>
    <row r="478" spans="1:6">
      <c r="A478" s="14">
        <v>44659</v>
      </c>
      <c r="B478" s="13">
        <v>12.703</v>
      </c>
      <c r="C478" s="13">
        <v>12.7</v>
      </c>
      <c r="D478" s="13">
        <v>12.703</v>
      </c>
      <c r="E478" s="13">
        <v>12.7</v>
      </c>
      <c r="F478" s="15">
        <v>0.0002</v>
      </c>
    </row>
    <row r="479" spans="1:6">
      <c r="A479" s="14">
        <v>44658</v>
      </c>
      <c r="B479" s="13">
        <v>12.701</v>
      </c>
      <c r="C479" s="13">
        <v>12.7</v>
      </c>
      <c r="D479" s="13">
        <v>12.701</v>
      </c>
      <c r="E479" s="13">
        <v>12.7</v>
      </c>
      <c r="F479" s="15">
        <v>0</v>
      </c>
    </row>
    <row r="480" spans="1:6">
      <c r="A480" s="14">
        <v>44657</v>
      </c>
      <c r="B480" s="13">
        <v>12.701</v>
      </c>
      <c r="C480" s="13">
        <v>12.7</v>
      </c>
      <c r="D480" s="13">
        <v>12.701</v>
      </c>
      <c r="E480" s="13">
        <v>12.7</v>
      </c>
      <c r="F480" s="15">
        <v>0</v>
      </c>
    </row>
    <row r="481" spans="1:6">
      <c r="A481" s="14">
        <v>44656</v>
      </c>
      <c r="B481" s="13">
        <v>12.701</v>
      </c>
      <c r="C481" s="13">
        <v>12.7</v>
      </c>
      <c r="D481" s="13">
        <v>12.701</v>
      </c>
      <c r="E481" s="13">
        <v>12.7</v>
      </c>
      <c r="F481" s="15">
        <v>0</v>
      </c>
    </row>
    <row r="482" spans="1:6">
      <c r="A482" s="14">
        <v>44655</v>
      </c>
      <c r="B482" s="13">
        <v>12.701</v>
      </c>
      <c r="C482" s="13">
        <v>12.7</v>
      </c>
      <c r="D482" s="13">
        <v>12.701</v>
      </c>
      <c r="E482" s="13">
        <v>12.7</v>
      </c>
      <c r="F482" s="15">
        <v>-0.0002</v>
      </c>
    </row>
    <row r="483" spans="1:6">
      <c r="A483" s="14">
        <v>44652</v>
      </c>
      <c r="B483" s="13">
        <v>12.703</v>
      </c>
      <c r="C483" s="13">
        <v>12.7</v>
      </c>
      <c r="D483" s="13">
        <v>12.703</v>
      </c>
      <c r="E483" s="13">
        <v>12.7</v>
      </c>
      <c r="F483" s="15">
        <v>-0.0002</v>
      </c>
    </row>
    <row r="484" spans="1:6">
      <c r="A484" s="14">
        <v>44651</v>
      </c>
      <c r="B484" s="13">
        <v>12.707</v>
      </c>
      <c r="C484" s="13">
        <v>12.7</v>
      </c>
      <c r="D484" s="13">
        <v>12.707</v>
      </c>
      <c r="E484" s="13">
        <v>12.7</v>
      </c>
      <c r="F484" s="15">
        <v>0.0009</v>
      </c>
    </row>
    <row r="485" spans="1:6">
      <c r="A485" s="14">
        <v>44650</v>
      </c>
      <c r="B485" s="13">
        <v>12.695</v>
      </c>
      <c r="C485" s="13">
        <v>12.7</v>
      </c>
      <c r="D485" s="13">
        <v>12.7</v>
      </c>
      <c r="E485" s="13">
        <v>12.695</v>
      </c>
      <c r="F485" s="15">
        <v>-0.0005</v>
      </c>
    </row>
    <row r="486" spans="1:6">
      <c r="A486" s="14">
        <v>44649</v>
      </c>
      <c r="B486" s="13">
        <v>12.701</v>
      </c>
      <c r="C486" s="13">
        <v>12.476</v>
      </c>
      <c r="D486" s="13">
        <v>12.701</v>
      </c>
      <c r="E486" s="13">
        <v>12.476</v>
      </c>
      <c r="F486" s="15">
        <v>0</v>
      </c>
    </row>
    <row r="487" spans="1:6">
      <c r="A487" s="14">
        <v>44648</v>
      </c>
      <c r="B487" s="13">
        <v>12.701</v>
      </c>
      <c r="C487" s="13">
        <v>12.7</v>
      </c>
      <c r="D487" s="13">
        <v>12.701</v>
      </c>
      <c r="E487" s="13">
        <v>12.7</v>
      </c>
      <c r="F487" s="15">
        <v>-0.0002</v>
      </c>
    </row>
    <row r="488" spans="1:6">
      <c r="A488" s="14">
        <v>44645</v>
      </c>
      <c r="B488" s="13">
        <v>12.703</v>
      </c>
      <c r="C488" s="13">
        <v>12.474</v>
      </c>
      <c r="D488" s="13">
        <v>12.703</v>
      </c>
      <c r="E488" s="13">
        <v>12.474</v>
      </c>
      <c r="F488" s="15">
        <v>0.0002</v>
      </c>
    </row>
    <row r="489" spans="1:6">
      <c r="A489" s="14">
        <v>44644</v>
      </c>
      <c r="B489" s="13">
        <v>12.701</v>
      </c>
      <c r="C489" s="13">
        <v>12.7</v>
      </c>
      <c r="D489" s="13">
        <v>12.701</v>
      </c>
      <c r="E489" s="13">
        <v>12.7</v>
      </c>
      <c r="F489" s="15">
        <v>0</v>
      </c>
    </row>
    <row r="490" spans="1:6">
      <c r="A490" s="14">
        <v>44643</v>
      </c>
      <c r="B490" s="13">
        <v>12.701</v>
      </c>
      <c r="C490" s="13">
        <v>12.7</v>
      </c>
      <c r="D490" s="13">
        <v>12.701</v>
      </c>
      <c r="E490" s="13">
        <v>12.7</v>
      </c>
      <c r="F490" s="15">
        <v>0.0001</v>
      </c>
    </row>
    <row r="491" spans="1:6">
      <c r="A491" s="14">
        <v>44642</v>
      </c>
      <c r="B491" s="13">
        <v>12.7</v>
      </c>
      <c r="C491" s="13">
        <v>12.7</v>
      </c>
      <c r="D491" s="13">
        <v>12.7</v>
      </c>
      <c r="E491" s="13">
        <v>12.7</v>
      </c>
      <c r="F491" s="15">
        <v>-0.0002</v>
      </c>
    </row>
    <row r="492" spans="1:6">
      <c r="A492" s="14">
        <v>44641</v>
      </c>
      <c r="B492" s="13">
        <v>12.702</v>
      </c>
      <c r="C492" s="13">
        <v>12.7</v>
      </c>
      <c r="D492" s="13">
        <v>12.702</v>
      </c>
      <c r="E492" s="13">
        <v>12.7</v>
      </c>
      <c r="F492" s="15">
        <v>-0.0001</v>
      </c>
    </row>
    <row r="493" spans="1:6">
      <c r="A493" s="14">
        <v>44638</v>
      </c>
      <c r="B493" s="13">
        <v>12.703</v>
      </c>
      <c r="C493" s="13">
        <v>12.7</v>
      </c>
      <c r="D493" s="13">
        <v>12.703</v>
      </c>
      <c r="E493" s="13">
        <v>12.7</v>
      </c>
      <c r="F493" s="15">
        <v>0.0002</v>
      </c>
    </row>
    <row r="494" spans="1:6">
      <c r="A494" s="14">
        <v>44637</v>
      </c>
      <c r="B494" s="13">
        <v>12.701</v>
      </c>
      <c r="C494" s="13">
        <v>10.974</v>
      </c>
      <c r="D494" s="13">
        <v>12.701</v>
      </c>
      <c r="E494" s="13">
        <v>10.85</v>
      </c>
      <c r="F494" s="15">
        <v>0.134</v>
      </c>
    </row>
    <row r="495" spans="1:6">
      <c r="A495" s="14">
        <v>44636</v>
      </c>
      <c r="B495" s="13">
        <v>11.201</v>
      </c>
      <c r="C495" s="13">
        <v>10.975</v>
      </c>
      <c r="D495" s="13">
        <v>11.201</v>
      </c>
      <c r="E495" s="13">
        <v>10.768</v>
      </c>
      <c r="F495" s="15">
        <v>0</v>
      </c>
    </row>
    <row r="496" spans="1:6">
      <c r="A496" s="14">
        <v>44635</v>
      </c>
      <c r="B496" s="13">
        <v>11.201</v>
      </c>
      <c r="C496" s="13">
        <v>10.975</v>
      </c>
      <c r="D496" s="13">
        <v>11.201</v>
      </c>
      <c r="E496" s="13">
        <v>10.975</v>
      </c>
      <c r="F496" s="15">
        <v>0</v>
      </c>
    </row>
    <row r="497" spans="1:6">
      <c r="A497" s="14">
        <v>44634</v>
      </c>
      <c r="B497" s="13">
        <v>11.201</v>
      </c>
      <c r="C497" s="13">
        <v>10.976</v>
      </c>
      <c r="D497" s="13">
        <v>11.201</v>
      </c>
      <c r="E497" s="13">
        <v>10.976</v>
      </c>
      <c r="F497" s="15">
        <v>-0.0001</v>
      </c>
    </row>
    <row r="498" spans="1:6">
      <c r="A498" s="14">
        <v>44631</v>
      </c>
      <c r="B498" s="13">
        <v>11.203</v>
      </c>
      <c r="C498" s="13">
        <v>10.914</v>
      </c>
      <c r="D498" s="13">
        <v>11.203</v>
      </c>
      <c r="E498" s="13">
        <v>10.914</v>
      </c>
      <c r="F498" s="15">
        <v>0.0002</v>
      </c>
    </row>
    <row r="499" spans="1:6">
      <c r="A499" s="14">
        <v>44630</v>
      </c>
      <c r="B499" s="13">
        <v>11.2</v>
      </c>
      <c r="C499" s="13">
        <v>11.09</v>
      </c>
      <c r="D499" s="13">
        <v>11.207</v>
      </c>
      <c r="E499" s="13">
        <v>11.09</v>
      </c>
      <c r="F499" s="15">
        <v>0</v>
      </c>
    </row>
    <row r="500" spans="1:6">
      <c r="A500" s="14">
        <v>44629</v>
      </c>
      <c r="B500" s="13">
        <v>11.2</v>
      </c>
      <c r="C500" s="13">
        <v>11.193</v>
      </c>
      <c r="D500" s="13">
        <v>11.2</v>
      </c>
      <c r="E500" s="13">
        <v>11.193</v>
      </c>
      <c r="F500" s="15">
        <v>0</v>
      </c>
    </row>
    <row r="501" spans="1:6">
      <c r="A501" s="14">
        <v>44628</v>
      </c>
      <c r="B501" s="13">
        <v>11.2</v>
      </c>
      <c r="C501" s="13">
        <v>11.2</v>
      </c>
      <c r="D501" s="13">
        <v>11.2</v>
      </c>
      <c r="E501" s="13">
        <v>11.2</v>
      </c>
      <c r="F501" s="15">
        <v>-0.0001</v>
      </c>
    </row>
    <row r="502" spans="1:6">
      <c r="A502" s="14">
        <v>44627</v>
      </c>
      <c r="B502" s="13">
        <v>11.201</v>
      </c>
      <c r="C502" s="13">
        <v>11.2</v>
      </c>
      <c r="D502" s="13">
        <v>11.201</v>
      </c>
      <c r="E502" s="13">
        <v>11.2</v>
      </c>
      <c r="F502" s="15">
        <v>-0.0133</v>
      </c>
    </row>
    <row r="503" spans="1:6">
      <c r="A503" s="14">
        <v>44625</v>
      </c>
      <c r="B503" s="13">
        <v>11.352</v>
      </c>
      <c r="C503" s="13">
        <v>11.352</v>
      </c>
      <c r="D503" s="13">
        <v>11.352</v>
      </c>
      <c r="E503" s="13">
        <v>11.352</v>
      </c>
      <c r="F503" s="15">
        <v>0.0133</v>
      </c>
    </row>
    <row r="504" spans="1:6">
      <c r="A504" s="14">
        <v>44624</v>
      </c>
      <c r="B504" s="13">
        <v>11.203</v>
      </c>
      <c r="C504" s="13">
        <v>11.392</v>
      </c>
      <c r="D504" s="13">
        <v>11.392</v>
      </c>
      <c r="E504" s="13">
        <v>11.2</v>
      </c>
      <c r="F504" s="15">
        <v>0.0212</v>
      </c>
    </row>
    <row r="505" spans="1:6">
      <c r="A505" s="14">
        <v>44623</v>
      </c>
      <c r="B505" s="13">
        <v>10.969</v>
      </c>
      <c r="C505" s="13">
        <v>10.969</v>
      </c>
      <c r="D505" s="13">
        <v>10.969</v>
      </c>
      <c r="E505" s="13">
        <v>10.969</v>
      </c>
      <c r="F505" s="15">
        <v>0.03</v>
      </c>
    </row>
    <row r="506" spans="1:6">
      <c r="A506" s="14">
        <v>44621</v>
      </c>
      <c r="B506" s="13">
        <v>10.65</v>
      </c>
      <c r="C506" s="13">
        <v>10.76</v>
      </c>
      <c r="D506" s="13">
        <v>10.76</v>
      </c>
      <c r="E506" s="13">
        <v>10.65</v>
      </c>
      <c r="F506" s="15">
        <v>0.0008</v>
      </c>
    </row>
    <row r="507" spans="1:6">
      <c r="A507" s="14">
        <v>44620</v>
      </c>
      <c r="B507" s="13">
        <v>10.642</v>
      </c>
      <c r="C507" s="13">
        <v>11.135</v>
      </c>
      <c r="D507" s="13">
        <v>11.135</v>
      </c>
      <c r="E507" s="13">
        <v>10.642</v>
      </c>
      <c r="F507" s="15">
        <v>-0.0019</v>
      </c>
    </row>
    <row r="508" spans="1:6">
      <c r="A508" s="14">
        <v>44617</v>
      </c>
      <c r="B508" s="13">
        <v>10.662</v>
      </c>
      <c r="C508" s="13">
        <v>10.923</v>
      </c>
      <c r="D508" s="13">
        <v>10.991</v>
      </c>
      <c r="E508" s="13">
        <v>10.662</v>
      </c>
      <c r="F508" s="15">
        <v>-0.0174</v>
      </c>
    </row>
    <row r="509" spans="1:6">
      <c r="A509" s="14">
        <v>44616</v>
      </c>
      <c r="B509" s="13">
        <v>10.851</v>
      </c>
      <c r="C509" s="13">
        <v>10.778</v>
      </c>
      <c r="D509" s="13">
        <v>10.851</v>
      </c>
      <c r="E509" s="13">
        <v>10.778</v>
      </c>
      <c r="F509" s="15">
        <v>0.0188</v>
      </c>
    </row>
    <row r="510" spans="1:6">
      <c r="A510" s="14">
        <v>44615</v>
      </c>
      <c r="B510" s="13">
        <v>10.651</v>
      </c>
      <c r="C510" s="13">
        <v>10.792</v>
      </c>
      <c r="D510" s="13">
        <v>10.792</v>
      </c>
      <c r="E510" s="13">
        <v>10.65</v>
      </c>
      <c r="F510" s="15">
        <v>0</v>
      </c>
    </row>
    <row r="511" spans="1:6">
      <c r="A511" s="14">
        <v>44614</v>
      </c>
      <c r="B511" s="13">
        <v>10.651</v>
      </c>
      <c r="C511" s="13">
        <v>10.792</v>
      </c>
      <c r="D511" s="13">
        <v>10.792</v>
      </c>
      <c r="E511" s="13">
        <v>10.65</v>
      </c>
      <c r="F511" s="15">
        <v>0</v>
      </c>
    </row>
    <row r="512" spans="1:6">
      <c r="A512" s="14">
        <v>44613</v>
      </c>
      <c r="B512" s="13">
        <v>10.651</v>
      </c>
      <c r="C512" s="13">
        <v>10.771</v>
      </c>
      <c r="D512" s="13">
        <v>10.771</v>
      </c>
      <c r="E512" s="13">
        <v>10.65</v>
      </c>
      <c r="F512" s="15">
        <v>0</v>
      </c>
    </row>
    <row r="513" spans="1:6">
      <c r="A513" s="14">
        <v>44610</v>
      </c>
      <c r="B513" s="13">
        <v>10.651</v>
      </c>
      <c r="C513" s="13">
        <v>10.802</v>
      </c>
      <c r="D513" s="13">
        <v>10.802</v>
      </c>
      <c r="E513" s="13">
        <v>10.65</v>
      </c>
      <c r="F513" s="15">
        <v>0.0001</v>
      </c>
    </row>
    <row r="514" spans="1:6">
      <c r="A514" s="14">
        <v>44609</v>
      </c>
      <c r="B514" s="13">
        <v>10.651</v>
      </c>
      <c r="C514" s="13">
        <v>10.801</v>
      </c>
      <c r="D514" s="13">
        <v>10.801</v>
      </c>
      <c r="E514" s="13">
        <v>10.65</v>
      </c>
      <c r="F514" s="15">
        <v>0</v>
      </c>
    </row>
    <row r="515" spans="1:6">
      <c r="A515" s="14">
        <v>44608</v>
      </c>
      <c r="B515" s="13">
        <v>10.651</v>
      </c>
      <c r="C515" s="13">
        <v>10.814</v>
      </c>
      <c r="D515" s="13">
        <v>10.814</v>
      </c>
      <c r="E515" s="13">
        <v>10.65</v>
      </c>
      <c r="F515" s="15">
        <v>0</v>
      </c>
    </row>
    <row r="516" spans="1:6">
      <c r="A516" s="14">
        <v>44607</v>
      </c>
      <c r="B516" s="13">
        <v>10.651</v>
      </c>
      <c r="C516" s="13">
        <v>10.795</v>
      </c>
      <c r="D516" s="13">
        <v>10.795</v>
      </c>
      <c r="E516" s="13">
        <v>10.65</v>
      </c>
      <c r="F516" s="15">
        <v>0</v>
      </c>
    </row>
    <row r="517" spans="1:6">
      <c r="A517" s="14">
        <v>44606</v>
      </c>
      <c r="B517" s="13">
        <v>10.651</v>
      </c>
      <c r="C517" s="13">
        <v>10.797</v>
      </c>
      <c r="D517" s="13">
        <v>10.797</v>
      </c>
      <c r="E517" s="13">
        <v>10.65</v>
      </c>
      <c r="F517" s="15">
        <v>0</v>
      </c>
    </row>
    <row r="518" spans="1:6">
      <c r="A518" s="14">
        <v>44603</v>
      </c>
      <c r="B518" s="13">
        <v>10.651</v>
      </c>
      <c r="C518" s="13">
        <v>10.713</v>
      </c>
      <c r="D518" s="13">
        <v>10.713</v>
      </c>
      <c r="E518" s="13">
        <v>10.65</v>
      </c>
      <c r="F518" s="15">
        <v>0.0001</v>
      </c>
    </row>
    <row r="519" spans="1:6">
      <c r="A519" s="14">
        <v>44602</v>
      </c>
      <c r="B519" s="13">
        <v>10.651</v>
      </c>
      <c r="C519" s="13">
        <v>10.723</v>
      </c>
      <c r="D519" s="13">
        <v>10.723</v>
      </c>
      <c r="E519" s="13">
        <v>10.65</v>
      </c>
      <c r="F519" s="15">
        <v>0</v>
      </c>
    </row>
    <row r="520" spans="1:6">
      <c r="A520" s="14">
        <v>44601</v>
      </c>
      <c r="B520" s="13">
        <v>10.651</v>
      </c>
      <c r="C520" s="13">
        <v>10.694</v>
      </c>
      <c r="D520" s="13">
        <v>10.694</v>
      </c>
      <c r="E520" s="13">
        <v>10.65</v>
      </c>
      <c r="F520" s="15">
        <v>0</v>
      </c>
    </row>
    <row r="521" spans="1:6">
      <c r="A521" s="14">
        <v>44600</v>
      </c>
      <c r="B521" s="13">
        <v>10.651</v>
      </c>
      <c r="C521" s="13">
        <v>10.702</v>
      </c>
      <c r="D521" s="13">
        <v>10.702</v>
      </c>
      <c r="E521" s="13">
        <v>10.65</v>
      </c>
      <c r="F521" s="15">
        <v>0</v>
      </c>
    </row>
    <row r="522" spans="1:6">
      <c r="A522" s="14">
        <v>44599</v>
      </c>
      <c r="B522" s="13">
        <v>10.651</v>
      </c>
      <c r="C522" s="13">
        <v>10.65</v>
      </c>
      <c r="D522" s="13">
        <v>10.651</v>
      </c>
      <c r="E522" s="13">
        <v>10.65</v>
      </c>
      <c r="F522" s="15">
        <v>-0.0138</v>
      </c>
    </row>
    <row r="523" spans="1:6">
      <c r="A523" s="14">
        <v>44588</v>
      </c>
      <c r="B523" s="13">
        <v>10.8</v>
      </c>
      <c r="C523" s="13">
        <v>10.8</v>
      </c>
      <c r="D523" s="13">
        <v>10.8</v>
      </c>
      <c r="E523" s="13">
        <v>10.8</v>
      </c>
      <c r="F523" s="15">
        <v>0</v>
      </c>
    </row>
    <row r="524" spans="1:6">
      <c r="A524" s="14">
        <v>44587</v>
      </c>
      <c r="B524" s="13">
        <v>10.8</v>
      </c>
      <c r="C524" s="13">
        <v>10.8</v>
      </c>
      <c r="D524" s="13">
        <v>10.8</v>
      </c>
      <c r="E524" s="13">
        <v>10.8</v>
      </c>
      <c r="F524" s="15">
        <v>0</v>
      </c>
    </row>
    <row r="525" spans="1:6">
      <c r="A525" s="14">
        <v>44586</v>
      </c>
      <c r="B525" s="13">
        <v>10.8</v>
      </c>
      <c r="C525" s="13">
        <v>10.8</v>
      </c>
      <c r="D525" s="13">
        <v>10.8</v>
      </c>
      <c r="E525" s="13">
        <v>10.8</v>
      </c>
      <c r="F525" s="15">
        <v>0</v>
      </c>
    </row>
    <row r="526" spans="1:6">
      <c r="A526" s="14">
        <v>44585</v>
      </c>
      <c r="B526" s="13">
        <v>10.8</v>
      </c>
      <c r="C526" s="13">
        <v>10.8</v>
      </c>
      <c r="D526" s="13">
        <v>10.8</v>
      </c>
      <c r="E526" s="13">
        <v>10.8</v>
      </c>
      <c r="F526" s="15">
        <v>-0.0002</v>
      </c>
    </row>
    <row r="527" spans="1:6">
      <c r="A527" s="14">
        <v>44582</v>
      </c>
      <c r="B527" s="13">
        <v>10.802</v>
      </c>
      <c r="C527" s="13">
        <v>10.8</v>
      </c>
      <c r="D527" s="13">
        <v>10.802</v>
      </c>
      <c r="E527" s="13">
        <v>10.8</v>
      </c>
      <c r="F527" s="15">
        <v>0.0001</v>
      </c>
    </row>
    <row r="528" spans="1:6">
      <c r="A528" s="14">
        <v>44581</v>
      </c>
      <c r="B528" s="13">
        <v>10.8</v>
      </c>
      <c r="C528" s="13">
        <v>10.8</v>
      </c>
      <c r="D528" s="13">
        <v>10.8</v>
      </c>
      <c r="E528" s="13">
        <v>10.8</v>
      </c>
      <c r="F528" s="15">
        <v>0</v>
      </c>
    </row>
    <row r="529" spans="1:6">
      <c r="A529" s="14">
        <v>44580</v>
      </c>
      <c r="B529" s="13">
        <v>10.8</v>
      </c>
      <c r="C529" s="13">
        <v>10.8</v>
      </c>
      <c r="D529" s="13">
        <v>10.8</v>
      </c>
      <c r="E529" s="13">
        <v>10.8</v>
      </c>
      <c r="F529" s="15">
        <v>0</v>
      </c>
    </row>
    <row r="530" spans="1:6">
      <c r="A530" s="14">
        <v>44579</v>
      </c>
      <c r="B530" s="13">
        <v>10.8</v>
      </c>
      <c r="C530" s="13">
        <v>10.8</v>
      </c>
      <c r="D530" s="13">
        <v>10.8</v>
      </c>
      <c r="E530" s="13">
        <v>10.8</v>
      </c>
      <c r="F530" s="15">
        <v>0</v>
      </c>
    </row>
    <row r="531" spans="1:6">
      <c r="A531" s="14">
        <v>44578</v>
      </c>
      <c r="B531" s="13">
        <v>10.8</v>
      </c>
      <c r="C531" s="13">
        <v>10.8</v>
      </c>
      <c r="D531" s="13">
        <v>10.8</v>
      </c>
      <c r="E531" s="13">
        <v>10.8</v>
      </c>
      <c r="F531" s="15">
        <v>-0.0001</v>
      </c>
    </row>
    <row r="532" spans="1:6">
      <c r="A532" s="14">
        <v>44575</v>
      </c>
      <c r="B532" s="13">
        <v>10.802</v>
      </c>
      <c r="C532" s="13">
        <v>10.8</v>
      </c>
      <c r="D532" s="13">
        <v>10.802</v>
      </c>
      <c r="E532" s="13">
        <v>10.8</v>
      </c>
      <c r="F532" s="15">
        <v>0.0001</v>
      </c>
    </row>
    <row r="533" spans="1:6">
      <c r="A533" s="14">
        <v>44574</v>
      </c>
      <c r="B533" s="13">
        <v>10.8</v>
      </c>
      <c r="C533" s="13">
        <v>10.8</v>
      </c>
      <c r="D533" s="13">
        <v>10.8</v>
      </c>
      <c r="E533" s="13">
        <v>10.8</v>
      </c>
      <c r="F533" s="15">
        <v>0</v>
      </c>
    </row>
    <row r="534" spans="1:6">
      <c r="A534" s="14">
        <v>44573</v>
      </c>
      <c r="B534" s="13">
        <v>10.8</v>
      </c>
      <c r="C534" s="13">
        <v>10.8</v>
      </c>
      <c r="D534" s="13">
        <v>10.8</v>
      </c>
      <c r="E534" s="13">
        <v>10.8</v>
      </c>
      <c r="F534" s="15">
        <v>0</v>
      </c>
    </row>
    <row r="535" spans="1:6">
      <c r="A535" s="14">
        <v>44572</v>
      </c>
      <c r="B535" s="13">
        <v>10.8</v>
      </c>
      <c r="C535" s="13">
        <v>10.8</v>
      </c>
      <c r="D535" s="13">
        <v>10.8</v>
      </c>
      <c r="E535" s="13">
        <v>10.8</v>
      </c>
      <c r="F535" s="15">
        <v>0</v>
      </c>
    </row>
    <row r="536" spans="1:6">
      <c r="A536" s="14">
        <v>44571</v>
      </c>
      <c r="B536" s="13">
        <v>10.8</v>
      </c>
      <c r="C536" s="13">
        <v>10.8</v>
      </c>
      <c r="D536" s="13">
        <v>10.8</v>
      </c>
      <c r="E536" s="13">
        <v>10.8</v>
      </c>
      <c r="F536" s="15">
        <v>0</v>
      </c>
    </row>
    <row r="537" spans="1:6">
      <c r="A537" s="14">
        <v>44568</v>
      </c>
      <c r="B537" s="13">
        <v>10.8</v>
      </c>
      <c r="C537" s="13">
        <v>10.6</v>
      </c>
      <c r="D537" s="13">
        <v>10.8</v>
      </c>
      <c r="E537" s="13">
        <v>10.6</v>
      </c>
      <c r="F537" s="15">
        <v>0.0187</v>
      </c>
    </row>
    <row r="538" spans="1:6">
      <c r="A538" s="14">
        <v>44567</v>
      </c>
      <c r="B538" s="13">
        <v>10.602</v>
      </c>
      <c r="C538" s="13">
        <v>10.6</v>
      </c>
      <c r="D538" s="13">
        <v>10.602</v>
      </c>
      <c r="E538" s="13">
        <v>10.6</v>
      </c>
      <c r="F538" s="15">
        <v>0.0001</v>
      </c>
    </row>
    <row r="539" spans="1:6">
      <c r="A539" s="14">
        <v>44566</v>
      </c>
      <c r="B539" s="13">
        <v>10.601</v>
      </c>
      <c r="C539" s="13">
        <v>10.297</v>
      </c>
      <c r="D539" s="13">
        <v>10.601</v>
      </c>
      <c r="E539" s="13">
        <v>10.297</v>
      </c>
      <c r="F539" s="15">
        <v>0</v>
      </c>
    </row>
    <row r="540" spans="1:6">
      <c r="A540" s="14">
        <v>44565</v>
      </c>
      <c r="B540" s="13">
        <v>10.601</v>
      </c>
      <c r="C540" s="13">
        <v>10.6</v>
      </c>
      <c r="D540" s="13">
        <v>10.601</v>
      </c>
      <c r="E540" s="13">
        <v>10.6</v>
      </c>
      <c r="F540" s="15">
        <v>0</v>
      </c>
    </row>
    <row r="541" spans="1:6">
      <c r="A541" s="14">
        <v>44564</v>
      </c>
      <c r="B541" s="13">
        <v>10.601</v>
      </c>
      <c r="C541" s="13">
        <v>10.6</v>
      </c>
      <c r="D541" s="13">
        <v>10.601</v>
      </c>
      <c r="E541" s="13">
        <v>10.6</v>
      </c>
      <c r="F541" s="15">
        <v>-0.0005</v>
      </c>
    </row>
    <row r="542" spans="1:6">
      <c r="A542" s="14">
        <v>44561</v>
      </c>
      <c r="B542" s="13">
        <v>10.606</v>
      </c>
      <c r="C542" s="13">
        <v>10.293</v>
      </c>
      <c r="D542" s="13">
        <v>10.606</v>
      </c>
      <c r="E542" s="13">
        <v>10.293</v>
      </c>
      <c r="F542" s="15">
        <v>0.001</v>
      </c>
    </row>
    <row r="543" spans="1:6">
      <c r="A543" s="14">
        <v>44560</v>
      </c>
      <c r="B543" s="13">
        <v>10.595</v>
      </c>
      <c r="C543" s="13">
        <v>10.298</v>
      </c>
      <c r="D543" s="13">
        <v>10.6</v>
      </c>
      <c r="E543" s="13">
        <v>10.298</v>
      </c>
      <c r="F543" s="15">
        <v>-0.0005</v>
      </c>
    </row>
    <row r="544" spans="1:6">
      <c r="A544" s="14">
        <v>44559</v>
      </c>
      <c r="B544" s="13">
        <v>10.601</v>
      </c>
      <c r="C544" s="13">
        <v>10.3</v>
      </c>
      <c r="D544" s="13">
        <v>10.601</v>
      </c>
      <c r="E544" s="13">
        <v>10.3</v>
      </c>
      <c r="F544" s="15">
        <v>0</v>
      </c>
    </row>
    <row r="545" spans="1:6">
      <c r="A545" s="14">
        <v>44558</v>
      </c>
      <c r="B545" s="13">
        <v>10.601</v>
      </c>
      <c r="C545" s="13">
        <v>10.299</v>
      </c>
      <c r="D545" s="13">
        <v>10.601</v>
      </c>
      <c r="E545" s="13">
        <v>10.299</v>
      </c>
      <c r="F545" s="15">
        <v>0</v>
      </c>
    </row>
    <row r="546" spans="1:6">
      <c r="A546" s="14">
        <v>44557</v>
      </c>
      <c r="B546" s="13">
        <v>10.601</v>
      </c>
      <c r="C546" s="13">
        <v>10.299</v>
      </c>
      <c r="D546" s="13">
        <v>10.601</v>
      </c>
      <c r="E546" s="13">
        <v>10.299</v>
      </c>
      <c r="F546" s="15">
        <v>-0.0001</v>
      </c>
    </row>
    <row r="547" spans="1:6">
      <c r="A547" s="14">
        <v>44554</v>
      </c>
      <c r="B547" s="13">
        <v>10.601</v>
      </c>
      <c r="C547" s="13">
        <v>10.299</v>
      </c>
      <c r="D547" s="13">
        <v>10.601</v>
      </c>
      <c r="E547" s="13">
        <v>10.299</v>
      </c>
      <c r="F547" s="15">
        <v>0.0001</v>
      </c>
    </row>
    <row r="548" spans="1:6">
      <c r="A548" s="14">
        <v>44553</v>
      </c>
      <c r="B548" s="13">
        <v>10.601</v>
      </c>
      <c r="C548" s="13">
        <v>10.299</v>
      </c>
      <c r="D548" s="13">
        <v>10.601</v>
      </c>
      <c r="E548" s="13">
        <v>10.299</v>
      </c>
      <c r="F548" s="15">
        <v>0</v>
      </c>
    </row>
    <row r="549" spans="1:6">
      <c r="A549" s="14">
        <v>44552</v>
      </c>
      <c r="B549" s="13">
        <v>10.601</v>
      </c>
      <c r="C549" s="13">
        <v>10.299</v>
      </c>
      <c r="D549" s="13">
        <v>10.601</v>
      </c>
      <c r="E549" s="13">
        <v>10.299</v>
      </c>
      <c r="F549" s="15">
        <v>0</v>
      </c>
    </row>
    <row r="550" spans="1:6">
      <c r="A550" s="14">
        <v>44551</v>
      </c>
      <c r="B550" s="13">
        <v>10.601</v>
      </c>
      <c r="C550" s="13">
        <v>10.299</v>
      </c>
      <c r="D550" s="13">
        <v>10.601</v>
      </c>
      <c r="E550" s="13">
        <v>10.299</v>
      </c>
      <c r="F550" s="15">
        <v>0</v>
      </c>
    </row>
    <row r="551" spans="1:6">
      <c r="A551" s="14">
        <v>44550</v>
      </c>
      <c r="B551" s="13">
        <v>10.601</v>
      </c>
      <c r="C551" s="13">
        <v>10.299</v>
      </c>
      <c r="D551" s="13">
        <v>10.601</v>
      </c>
      <c r="E551" s="13">
        <v>10.299</v>
      </c>
      <c r="F551" s="15">
        <v>-0.0001</v>
      </c>
    </row>
    <row r="552" spans="1:6">
      <c r="A552" s="14">
        <v>44547</v>
      </c>
      <c r="B552" s="13">
        <v>10.601</v>
      </c>
      <c r="C552" s="13">
        <v>10.6</v>
      </c>
      <c r="D552" s="13">
        <v>10.601</v>
      </c>
      <c r="E552" s="13">
        <v>10.6</v>
      </c>
      <c r="F552" s="15">
        <v>0.0001</v>
      </c>
    </row>
    <row r="553" spans="1:6">
      <c r="A553" s="14">
        <v>44546</v>
      </c>
      <c r="B553" s="13">
        <v>10.6</v>
      </c>
      <c r="C553" s="13">
        <v>10.6</v>
      </c>
      <c r="D553" s="13">
        <v>10.6</v>
      </c>
      <c r="E553" s="13">
        <v>10.6</v>
      </c>
      <c r="F553" s="15">
        <v>-0.0001</v>
      </c>
    </row>
    <row r="554" spans="1:6">
      <c r="A554" s="14">
        <v>44545</v>
      </c>
      <c r="B554" s="13">
        <v>10.601</v>
      </c>
      <c r="C554" s="13">
        <v>10.297</v>
      </c>
      <c r="D554" s="13">
        <v>10.601</v>
      </c>
      <c r="E554" s="13">
        <v>10.297</v>
      </c>
      <c r="F554" s="15">
        <v>0</v>
      </c>
    </row>
    <row r="555" spans="1:6">
      <c r="A555" s="14">
        <v>44544</v>
      </c>
      <c r="B555" s="13">
        <v>10.601</v>
      </c>
      <c r="C555" s="13">
        <v>9.669</v>
      </c>
      <c r="D555" s="13">
        <v>10.601</v>
      </c>
      <c r="E555" s="13">
        <v>9.669</v>
      </c>
      <c r="F555" s="15">
        <v>0.0963</v>
      </c>
    </row>
    <row r="556" spans="1:6">
      <c r="A556" s="14">
        <v>44543</v>
      </c>
      <c r="B556" s="13">
        <v>9.67</v>
      </c>
      <c r="C556" s="13">
        <v>9.726</v>
      </c>
      <c r="D556" s="13">
        <v>9.726</v>
      </c>
      <c r="E556" s="13">
        <v>9.435</v>
      </c>
      <c r="F556" s="15">
        <v>-0.0058</v>
      </c>
    </row>
    <row r="557" spans="1:6">
      <c r="A557" s="14">
        <v>44540</v>
      </c>
      <c r="B557" s="13">
        <v>9.726</v>
      </c>
      <c r="C557" s="13">
        <v>9.725</v>
      </c>
      <c r="D557" s="13">
        <v>9.726</v>
      </c>
      <c r="E557" s="13">
        <v>9.725</v>
      </c>
      <c r="F557" s="15">
        <v>0</v>
      </c>
    </row>
    <row r="558" spans="1:6">
      <c r="A558" s="14">
        <v>44539</v>
      </c>
      <c r="B558" s="13">
        <v>9.725</v>
      </c>
      <c r="C558" s="13">
        <v>9.715</v>
      </c>
      <c r="D558" s="13">
        <v>9.725</v>
      </c>
      <c r="E558" s="13">
        <v>9.715</v>
      </c>
      <c r="F558" s="15">
        <v>0.001</v>
      </c>
    </row>
    <row r="559" spans="1:6">
      <c r="A559" s="14">
        <v>44538</v>
      </c>
      <c r="B559" s="13">
        <v>9.715</v>
      </c>
      <c r="C559" s="13">
        <v>9.716</v>
      </c>
      <c r="D559" s="13">
        <v>9.716</v>
      </c>
      <c r="E559" s="13">
        <v>9.715</v>
      </c>
      <c r="F559" s="15">
        <v>0</v>
      </c>
    </row>
    <row r="560" spans="1:6">
      <c r="A560" s="14">
        <v>44537</v>
      </c>
      <c r="B560" s="13">
        <v>9.716</v>
      </c>
      <c r="C560" s="13">
        <v>9.715</v>
      </c>
      <c r="D560" s="13">
        <v>9.716</v>
      </c>
      <c r="E560" s="13">
        <v>9.715</v>
      </c>
      <c r="F560" s="15">
        <v>0</v>
      </c>
    </row>
    <row r="561" spans="1:6">
      <c r="A561" s="14">
        <v>44536</v>
      </c>
      <c r="B561" s="13">
        <v>9.715</v>
      </c>
      <c r="C561" s="13">
        <v>9.706</v>
      </c>
      <c r="D561" s="13">
        <v>9.715</v>
      </c>
      <c r="E561" s="13">
        <v>9.706</v>
      </c>
      <c r="F561" s="15">
        <v>0.001</v>
      </c>
    </row>
    <row r="562" spans="1:6">
      <c r="A562" s="14">
        <v>44533</v>
      </c>
      <c r="B562" s="13">
        <v>9.705</v>
      </c>
      <c r="C562" s="13">
        <v>9.712</v>
      </c>
      <c r="D562" s="13">
        <v>9.712</v>
      </c>
      <c r="E562" s="13">
        <v>9.705</v>
      </c>
      <c r="F562" s="15">
        <v>-0.0007</v>
      </c>
    </row>
    <row r="563" spans="1:6">
      <c r="A563" s="14">
        <v>44532</v>
      </c>
      <c r="B563" s="13">
        <v>9.712</v>
      </c>
      <c r="C563" s="13">
        <v>9.717</v>
      </c>
      <c r="D563" s="13">
        <v>9.717</v>
      </c>
      <c r="E563" s="13">
        <v>9.712</v>
      </c>
      <c r="F563" s="15">
        <v>-0.0004</v>
      </c>
    </row>
    <row r="564" spans="1:6">
      <c r="A564" s="14">
        <v>44530</v>
      </c>
      <c r="B564" s="13">
        <v>9.716</v>
      </c>
      <c r="C564" s="13">
        <v>9.704</v>
      </c>
      <c r="D564" s="13">
        <v>9.716</v>
      </c>
      <c r="E564" s="13">
        <v>9.704</v>
      </c>
      <c r="F564" s="15">
        <v>0.0012</v>
      </c>
    </row>
    <row r="565" spans="1:6">
      <c r="A565" s="14">
        <v>44529</v>
      </c>
      <c r="B565" s="13">
        <v>9.704</v>
      </c>
      <c r="C565" s="13">
        <v>9.682</v>
      </c>
      <c r="D565" s="13">
        <v>9.704</v>
      </c>
      <c r="E565" s="13">
        <v>9.682</v>
      </c>
      <c r="F565" s="15">
        <v>0.0023</v>
      </c>
    </row>
    <row r="566" spans="1:6">
      <c r="A566" s="14">
        <v>44526</v>
      </c>
      <c r="B566" s="13">
        <v>9.682</v>
      </c>
      <c r="C566" s="13">
        <v>9.681</v>
      </c>
      <c r="D566" s="13">
        <v>9.682</v>
      </c>
      <c r="E566" s="13">
        <v>9.681</v>
      </c>
      <c r="F566" s="15">
        <v>0.0002</v>
      </c>
    </row>
    <row r="567" spans="1:6">
      <c r="A567" s="14">
        <v>44525</v>
      </c>
      <c r="B567" s="13">
        <v>9.681</v>
      </c>
      <c r="C567" s="13">
        <v>9.67</v>
      </c>
      <c r="D567" s="13">
        <v>9.681</v>
      </c>
      <c r="E567" s="13">
        <v>9.67</v>
      </c>
      <c r="F567" s="15">
        <v>-0.027</v>
      </c>
    </row>
    <row r="568" spans="1:6">
      <c r="A568" s="14">
        <v>44524</v>
      </c>
      <c r="B568" s="13">
        <v>9.949</v>
      </c>
      <c r="C568" s="13">
        <v>9.67</v>
      </c>
      <c r="D568" s="13">
        <v>9.949</v>
      </c>
      <c r="E568" s="13">
        <v>9.67</v>
      </c>
      <c r="F568" s="15">
        <v>0.027</v>
      </c>
    </row>
    <row r="569" spans="1:6">
      <c r="A569" s="14">
        <v>44523</v>
      </c>
      <c r="B569" s="13">
        <v>9.687</v>
      </c>
      <c r="C569" s="13">
        <v>9.686</v>
      </c>
      <c r="D569" s="13">
        <v>9.949</v>
      </c>
      <c r="E569" s="13">
        <v>9.686</v>
      </c>
      <c r="F569" s="15">
        <v>0.0022</v>
      </c>
    </row>
    <row r="570" spans="1:6">
      <c r="A570" s="14">
        <v>44522</v>
      </c>
      <c r="B570" s="13">
        <v>9.666</v>
      </c>
      <c r="C570" s="13">
        <v>9.67</v>
      </c>
      <c r="D570" s="13">
        <v>9.949</v>
      </c>
      <c r="E570" s="13">
        <v>9.666</v>
      </c>
      <c r="F570" s="15">
        <v>0.0018</v>
      </c>
    </row>
    <row r="571" spans="1:6">
      <c r="A571" s="14">
        <v>44519</v>
      </c>
      <c r="B571" s="13">
        <v>9.649</v>
      </c>
      <c r="C571" s="13">
        <v>9.669</v>
      </c>
      <c r="D571" s="13">
        <v>9.949</v>
      </c>
      <c r="E571" s="13">
        <v>9.649</v>
      </c>
      <c r="F571" s="15">
        <v>-0.0302</v>
      </c>
    </row>
    <row r="572" spans="1:6">
      <c r="A572" s="14">
        <v>44518</v>
      </c>
      <c r="B572" s="13">
        <v>9.949</v>
      </c>
      <c r="C572" s="13">
        <v>9.669</v>
      </c>
      <c r="D572" s="13">
        <v>9.949</v>
      </c>
      <c r="E572" s="13">
        <v>9.669</v>
      </c>
      <c r="F572" s="15">
        <v>0</v>
      </c>
    </row>
    <row r="573" spans="1:6">
      <c r="A573" s="14">
        <v>44517</v>
      </c>
      <c r="B573" s="13">
        <v>9.949</v>
      </c>
      <c r="C573" s="13">
        <v>9.67</v>
      </c>
      <c r="D573" s="13">
        <v>9.949</v>
      </c>
      <c r="E573" s="13">
        <v>9.67</v>
      </c>
      <c r="F573" s="15">
        <v>0.0309</v>
      </c>
    </row>
    <row r="574" spans="1:6">
      <c r="A574" s="14">
        <v>44516</v>
      </c>
      <c r="B574" s="13">
        <v>9.651</v>
      </c>
      <c r="C574" s="13">
        <v>9.95</v>
      </c>
      <c r="D574" s="13">
        <v>9.95</v>
      </c>
      <c r="E574" s="13">
        <v>9.651</v>
      </c>
      <c r="F574" s="15">
        <v>-0.03</v>
      </c>
    </row>
    <row r="575" spans="1:6">
      <c r="A575" s="14">
        <v>44515</v>
      </c>
      <c r="B575" s="13">
        <v>9.949</v>
      </c>
      <c r="C575" s="13">
        <v>9.67</v>
      </c>
      <c r="D575" s="13">
        <v>9.949</v>
      </c>
      <c r="E575" s="13">
        <v>9.67</v>
      </c>
      <c r="F575" s="15">
        <v>0.029</v>
      </c>
    </row>
    <row r="576" spans="1:6">
      <c r="A576" s="14">
        <v>44512</v>
      </c>
      <c r="B576" s="13">
        <v>9.669</v>
      </c>
      <c r="C576" s="13">
        <v>9.669</v>
      </c>
      <c r="D576" s="13">
        <v>9.669</v>
      </c>
      <c r="E576" s="13">
        <v>9.649</v>
      </c>
      <c r="F576" s="15">
        <v>-0.0281</v>
      </c>
    </row>
    <row r="577" spans="1:6">
      <c r="A577" s="14">
        <v>44511</v>
      </c>
      <c r="B577" s="13">
        <v>9.949</v>
      </c>
      <c r="C577" s="13">
        <v>9.669</v>
      </c>
      <c r="D577" s="13">
        <v>9.949</v>
      </c>
      <c r="E577" s="13">
        <v>9.669</v>
      </c>
      <c r="F577" s="15">
        <v>0</v>
      </c>
    </row>
    <row r="578" spans="1:6">
      <c r="A578" s="14">
        <v>44510</v>
      </c>
      <c r="B578" s="13">
        <v>9.949</v>
      </c>
      <c r="C578" s="13">
        <v>9.67</v>
      </c>
      <c r="D578" s="13">
        <v>9.949</v>
      </c>
      <c r="E578" s="13">
        <v>9.67</v>
      </c>
      <c r="F578" s="15">
        <v>0.031</v>
      </c>
    </row>
    <row r="579" spans="1:6">
      <c r="A579" s="14">
        <v>44509</v>
      </c>
      <c r="B579" s="13">
        <v>9.649</v>
      </c>
      <c r="C579" s="13">
        <v>9.67</v>
      </c>
      <c r="D579" s="13">
        <v>9.949</v>
      </c>
      <c r="E579" s="13">
        <v>9.649</v>
      </c>
      <c r="F579" s="15">
        <v>0</v>
      </c>
    </row>
    <row r="580" spans="1:6">
      <c r="A580" s="14">
        <v>44508</v>
      </c>
      <c r="B580" s="13">
        <v>9.649</v>
      </c>
      <c r="C580" s="13">
        <v>9.67</v>
      </c>
      <c r="D580" s="13">
        <v>9.67</v>
      </c>
      <c r="E580" s="13">
        <v>9.649</v>
      </c>
      <c r="F580" s="15">
        <v>-0.002</v>
      </c>
    </row>
    <row r="581" spans="1:6">
      <c r="A581" s="14">
        <v>44505</v>
      </c>
      <c r="B581" s="13">
        <v>9.669</v>
      </c>
      <c r="C581" s="13">
        <v>9.669</v>
      </c>
      <c r="D581" s="13">
        <v>9.669</v>
      </c>
      <c r="E581" s="13">
        <v>9.669</v>
      </c>
      <c r="F581" s="15">
        <v>0.0021</v>
      </c>
    </row>
    <row r="582" spans="1:6">
      <c r="A582" s="14">
        <v>44504</v>
      </c>
      <c r="B582" s="13">
        <v>9.649</v>
      </c>
      <c r="C582" s="13">
        <v>9.669</v>
      </c>
      <c r="D582" s="13">
        <v>9.949</v>
      </c>
      <c r="E582" s="13">
        <v>9.649</v>
      </c>
      <c r="F582" s="15">
        <v>-0.0302</v>
      </c>
    </row>
    <row r="583" spans="1:6">
      <c r="A583" s="14">
        <v>44503</v>
      </c>
      <c r="B583" s="13">
        <v>9.949</v>
      </c>
      <c r="C583" s="13">
        <v>9.67</v>
      </c>
      <c r="D583" s="13">
        <v>9.949</v>
      </c>
      <c r="E583" s="13">
        <v>9.67</v>
      </c>
      <c r="F583" s="15">
        <v>0.031</v>
      </c>
    </row>
    <row r="584" spans="1:6">
      <c r="A584" s="14">
        <v>44502</v>
      </c>
      <c r="B584" s="13">
        <v>9.649</v>
      </c>
      <c r="C584" s="13">
        <v>9.67</v>
      </c>
      <c r="D584" s="13">
        <v>9.949</v>
      </c>
      <c r="E584" s="13">
        <v>9.649</v>
      </c>
      <c r="F584" s="15">
        <v>0</v>
      </c>
    </row>
    <row r="585" spans="1:6">
      <c r="A585" s="14">
        <v>44501</v>
      </c>
      <c r="B585" s="13">
        <v>9.649</v>
      </c>
      <c r="C585" s="13">
        <v>9.67</v>
      </c>
      <c r="D585" s="13">
        <v>9.949</v>
      </c>
      <c r="E585" s="13">
        <v>9.649</v>
      </c>
      <c r="F585" s="15">
        <v>0</v>
      </c>
    </row>
    <row r="586" spans="1:6">
      <c r="A586" s="14">
        <v>44498</v>
      </c>
      <c r="B586" s="13">
        <v>9.649</v>
      </c>
      <c r="C586" s="13">
        <v>9.67</v>
      </c>
      <c r="D586" s="13">
        <v>9.67</v>
      </c>
      <c r="E586" s="13">
        <v>9.649</v>
      </c>
      <c r="F586" s="15">
        <v>-0.0301</v>
      </c>
    </row>
    <row r="587" spans="1:6">
      <c r="A587" s="14">
        <v>44497</v>
      </c>
      <c r="B587" s="13">
        <v>9.949</v>
      </c>
      <c r="C587" s="13">
        <v>9.67</v>
      </c>
      <c r="D587" s="13">
        <v>9.949</v>
      </c>
      <c r="E587" s="13">
        <v>9.67</v>
      </c>
      <c r="F587" s="15">
        <v>0.031</v>
      </c>
    </row>
    <row r="588" spans="1:6">
      <c r="A588" s="14">
        <v>44496</v>
      </c>
      <c r="B588" s="13">
        <v>9.649</v>
      </c>
      <c r="C588" s="13">
        <v>9.67</v>
      </c>
      <c r="D588" s="13">
        <v>9.949</v>
      </c>
      <c r="E588" s="13">
        <v>9.649</v>
      </c>
      <c r="F588" s="15">
        <v>-0.0301</v>
      </c>
    </row>
    <row r="589" spans="1:6">
      <c r="A589" s="14">
        <v>44495</v>
      </c>
      <c r="B589" s="13">
        <v>9.949</v>
      </c>
      <c r="C589" s="13">
        <v>9.67</v>
      </c>
      <c r="D589" s="13">
        <v>9.949</v>
      </c>
      <c r="E589" s="13">
        <v>9.67</v>
      </c>
      <c r="F589" s="15">
        <v>0.031</v>
      </c>
    </row>
    <row r="590" spans="1:6">
      <c r="A590" s="14">
        <v>44494</v>
      </c>
      <c r="B590" s="13">
        <v>9.649</v>
      </c>
      <c r="C590" s="13">
        <v>9.67</v>
      </c>
      <c r="D590" s="13">
        <v>9.67</v>
      </c>
      <c r="E590" s="13">
        <v>9.649</v>
      </c>
      <c r="F590" s="15">
        <v>-0.001</v>
      </c>
    </row>
    <row r="591" spans="1:6">
      <c r="A591" s="14">
        <v>44491</v>
      </c>
      <c r="B591" s="13">
        <v>9.659</v>
      </c>
      <c r="C591" s="13">
        <v>9.669</v>
      </c>
      <c r="D591" s="13">
        <v>9.959</v>
      </c>
      <c r="E591" s="13">
        <v>9.659</v>
      </c>
      <c r="F591" s="15">
        <v>0</v>
      </c>
    </row>
    <row r="592" spans="1:6">
      <c r="A592" s="14">
        <v>44490</v>
      </c>
      <c r="B592" s="13">
        <v>9.659</v>
      </c>
      <c r="C592" s="13">
        <v>9.669</v>
      </c>
      <c r="D592" s="13">
        <v>9.959</v>
      </c>
      <c r="E592" s="13">
        <v>9.659</v>
      </c>
      <c r="F592" s="15">
        <v>-0.0001</v>
      </c>
    </row>
    <row r="593" spans="1:6">
      <c r="A593" s="14">
        <v>44489</v>
      </c>
      <c r="B593" s="13">
        <v>9.66</v>
      </c>
      <c r="C593" s="13">
        <v>9.96</v>
      </c>
      <c r="D593" s="13">
        <v>9.96</v>
      </c>
      <c r="E593" s="13">
        <v>9.66</v>
      </c>
      <c r="F593" s="15">
        <v>0</v>
      </c>
    </row>
    <row r="594" spans="1:6">
      <c r="A594" s="14">
        <v>44488</v>
      </c>
      <c r="B594" s="13">
        <v>9.66</v>
      </c>
      <c r="C594" s="13">
        <v>9.67</v>
      </c>
      <c r="D594" s="13">
        <v>9.96</v>
      </c>
      <c r="E594" s="13">
        <v>9.66</v>
      </c>
      <c r="F594" s="15">
        <v>-0.0301</v>
      </c>
    </row>
    <row r="595" spans="1:6">
      <c r="A595" s="14">
        <v>44487</v>
      </c>
      <c r="B595" s="13">
        <v>9.96</v>
      </c>
      <c r="C595" s="13">
        <v>9.67</v>
      </c>
      <c r="D595" s="13">
        <v>9.96</v>
      </c>
      <c r="E595" s="13">
        <v>9.67</v>
      </c>
      <c r="F595" s="15">
        <v>0.0001</v>
      </c>
    </row>
    <row r="596" spans="1:6">
      <c r="A596" s="14">
        <v>44484</v>
      </c>
      <c r="B596" s="13">
        <v>9.959</v>
      </c>
      <c r="C596" s="13">
        <v>9.669</v>
      </c>
      <c r="D596" s="13">
        <v>9.959</v>
      </c>
      <c r="E596" s="13">
        <v>9.669</v>
      </c>
      <c r="F596" s="15">
        <v>0</v>
      </c>
    </row>
    <row r="597" spans="1:6">
      <c r="A597" s="14">
        <v>44483</v>
      </c>
      <c r="B597" s="13">
        <v>9.959</v>
      </c>
      <c r="C597" s="13">
        <v>9.669</v>
      </c>
      <c r="D597" s="13">
        <v>9.959</v>
      </c>
      <c r="E597" s="13">
        <v>9.669</v>
      </c>
      <c r="F597" s="15">
        <v>0.031</v>
      </c>
    </row>
    <row r="598" spans="1:6">
      <c r="A598" s="14">
        <v>44482</v>
      </c>
      <c r="B598" s="13">
        <v>9.66</v>
      </c>
      <c r="C598" s="13">
        <v>9.67</v>
      </c>
      <c r="D598" s="13">
        <v>9.96</v>
      </c>
      <c r="E598" s="13">
        <v>9.66</v>
      </c>
      <c r="F598" s="15">
        <v>0</v>
      </c>
    </row>
    <row r="599" spans="1:6">
      <c r="A599" s="14">
        <v>44481</v>
      </c>
      <c r="B599" s="13">
        <v>9.66</v>
      </c>
      <c r="C599" s="13">
        <v>9.67</v>
      </c>
      <c r="D599" s="13">
        <v>9.96</v>
      </c>
      <c r="E599" s="13">
        <v>9.66</v>
      </c>
      <c r="F599" s="15">
        <v>-0.0301</v>
      </c>
    </row>
    <row r="600" spans="1:6">
      <c r="A600" s="14">
        <v>44480</v>
      </c>
      <c r="B600" s="13">
        <v>9.96</v>
      </c>
      <c r="C600" s="13">
        <v>9.67</v>
      </c>
      <c r="D600" s="13">
        <v>9.96</v>
      </c>
      <c r="E600" s="13">
        <v>9.67</v>
      </c>
      <c r="F600" s="15">
        <v>0.0311</v>
      </c>
    </row>
    <row r="601" spans="1:6">
      <c r="A601" s="14">
        <v>44477</v>
      </c>
      <c r="B601" s="13">
        <v>9.659</v>
      </c>
      <c r="C601" s="13">
        <v>9.959</v>
      </c>
      <c r="D601" s="13">
        <v>9.959</v>
      </c>
      <c r="E601" s="13">
        <v>9.659</v>
      </c>
      <c r="F601" s="15">
        <v>-0.0301</v>
      </c>
    </row>
    <row r="602" spans="1:6">
      <c r="A602" s="14">
        <v>44476</v>
      </c>
      <c r="B602" s="13">
        <v>9.959</v>
      </c>
      <c r="C602" s="13">
        <v>9.669</v>
      </c>
      <c r="D602" s="13">
        <v>9.959</v>
      </c>
      <c r="E602" s="13">
        <v>9.669</v>
      </c>
      <c r="F602" s="15">
        <v>-0.0001</v>
      </c>
    </row>
    <row r="603" spans="1:6">
      <c r="A603" s="14">
        <v>44475</v>
      </c>
      <c r="B603" s="13">
        <v>9.96</v>
      </c>
      <c r="C603" s="13">
        <v>9.67</v>
      </c>
      <c r="D603" s="13">
        <v>9.96</v>
      </c>
      <c r="E603" s="13">
        <v>9.67</v>
      </c>
      <c r="F603" s="15">
        <v>0</v>
      </c>
    </row>
    <row r="604" spans="1:6">
      <c r="A604" s="14">
        <v>44474</v>
      </c>
      <c r="B604" s="13">
        <v>9.96</v>
      </c>
      <c r="C604" s="13">
        <v>9.67</v>
      </c>
      <c r="D604" s="13">
        <v>9.96</v>
      </c>
      <c r="E604" s="13">
        <v>9.67</v>
      </c>
      <c r="F604" s="15">
        <v>0.03</v>
      </c>
    </row>
    <row r="605" spans="1:6">
      <c r="A605" s="14">
        <v>44473</v>
      </c>
      <c r="B605" s="13">
        <v>9.67</v>
      </c>
      <c r="C605" s="13">
        <v>9.67</v>
      </c>
      <c r="D605" s="13">
        <v>9.67</v>
      </c>
      <c r="E605" s="13">
        <v>9.67</v>
      </c>
      <c r="F605" s="15">
        <v>-0.03</v>
      </c>
    </row>
    <row r="606" spans="1:6">
      <c r="A606" s="14">
        <v>44470</v>
      </c>
      <c r="B606" s="13">
        <v>9.969</v>
      </c>
      <c r="C606" s="13">
        <v>9.669</v>
      </c>
      <c r="D606" s="13">
        <v>9.969</v>
      </c>
      <c r="E606" s="13">
        <v>9.669</v>
      </c>
      <c r="F606" s="15">
        <v>0.031</v>
      </c>
    </row>
    <row r="607" spans="1:6">
      <c r="A607" s="14">
        <v>44469</v>
      </c>
      <c r="B607" s="13">
        <v>9.669</v>
      </c>
      <c r="C607" s="13">
        <v>9.669</v>
      </c>
      <c r="D607" s="13">
        <v>9.669</v>
      </c>
      <c r="E607" s="13">
        <v>9.669</v>
      </c>
      <c r="F607" s="15">
        <v>-0.0001</v>
      </c>
    </row>
    <row r="608" spans="1:6">
      <c r="A608" s="14">
        <v>44468</v>
      </c>
      <c r="B608" s="13">
        <v>9.67</v>
      </c>
      <c r="C608" s="13">
        <v>9.67</v>
      </c>
      <c r="D608" s="13">
        <v>9.67</v>
      </c>
      <c r="E608" s="13">
        <v>9.67</v>
      </c>
      <c r="F608" s="15">
        <v>0</v>
      </c>
    </row>
    <row r="609" spans="1:6">
      <c r="A609" s="14">
        <v>44467</v>
      </c>
      <c r="B609" s="13">
        <v>9.67</v>
      </c>
      <c r="C609" s="13">
        <v>9.67</v>
      </c>
      <c r="D609" s="13">
        <v>9.67</v>
      </c>
      <c r="E609" s="13">
        <v>9.67</v>
      </c>
      <c r="F609" s="15">
        <v>0</v>
      </c>
    </row>
    <row r="610" spans="1:6">
      <c r="A610" s="14">
        <v>44466</v>
      </c>
      <c r="B610" s="13">
        <v>9.67</v>
      </c>
      <c r="C610" s="13">
        <v>9.67</v>
      </c>
      <c r="D610" s="13">
        <v>9.67</v>
      </c>
      <c r="E610" s="13">
        <v>9.67</v>
      </c>
      <c r="F610" s="15">
        <v>0</v>
      </c>
    </row>
    <row r="611" spans="1:6">
      <c r="A611" s="14">
        <v>44463</v>
      </c>
      <c r="B611" s="13">
        <v>9.67</v>
      </c>
      <c r="C611" s="13">
        <v>9.67</v>
      </c>
      <c r="D611" s="13">
        <v>9.969</v>
      </c>
      <c r="E611" s="13">
        <v>9.67</v>
      </c>
      <c r="F611" s="15">
        <v>0</v>
      </c>
    </row>
    <row r="612" spans="1:6">
      <c r="A612" s="14">
        <v>44462</v>
      </c>
      <c r="B612" s="13">
        <v>9.67</v>
      </c>
      <c r="C612" s="13">
        <v>9.67</v>
      </c>
      <c r="D612" s="13">
        <v>9.67</v>
      </c>
      <c r="E612" s="13">
        <v>9.67</v>
      </c>
      <c r="F612" s="15">
        <v>0</v>
      </c>
    </row>
    <row r="613" spans="1:6">
      <c r="A613" s="14">
        <v>44461</v>
      </c>
      <c r="B613" s="13">
        <v>9.67</v>
      </c>
      <c r="C613" s="13">
        <v>9.67</v>
      </c>
      <c r="D613" s="13">
        <v>9.67</v>
      </c>
      <c r="E613" s="13">
        <v>9.67</v>
      </c>
      <c r="F613" s="15">
        <v>0</v>
      </c>
    </row>
    <row r="614" spans="1:6">
      <c r="A614" s="14">
        <v>44460</v>
      </c>
      <c r="B614" s="13">
        <v>9.67</v>
      </c>
      <c r="C614" s="13">
        <v>9.67</v>
      </c>
      <c r="D614" s="13">
        <v>9.67</v>
      </c>
      <c r="E614" s="13">
        <v>9.67</v>
      </c>
      <c r="F614" s="15">
        <v>0</v>
      </c>
    </row>
    <row r="615" spans="1:6">
      <c r="A615" s="14">
        <v>44459</v>
      </c>
      <c r="B615" s="13">
        <v>9.67</v>
      </c>
      <c r="C615" s="13">
        <v>9.67</v>
      </c>
      <c r="D615" s="13">
        <v>9.67</v>
      </c>
      <c r="E615" s="13">
        <v>9.67</v>
      </c>
      <c r="F615" s="15">
        <v>0</v>
      </c>
    </row>
    <row r="616" spans="1:6">
      <c r="A616" s="14">
        <v>44456</v>
      </c>
      <c r="B616" s="13">
        <v>9.67</v>
      </c>
      <c r="C616" s="13">
        <v>9.682</v>
      </c>
      <c r="D616" s="13">
        <v>9.969</v>
      </c>
      <c r="E616" s="13">
        <v>9.67</v>
      </c>
      <c r="F616" s="15">
        <v>0</v>
      </c>
    </row>
    <row r="617" spans="1:6">
      <c r="A617" s="14">
        <v>44455</v>
      </c>
      <c r="B617" s="13">
        <v>9.67</v>
      </c>
      <c r="C617" s="13">
        <v>9.677</v>
      </c>
      <c r="D617" s="13">
        <v>9.677</v>
      </c>
      <c r="E617" s="13">
        <v>9.62</v>
      </c>
      <c r="F617" s="15">
        <v>0</v>
      </c>
    </row>
    <row r="618" spans="1:6">
      <c r="A618" s="14">
        <v>44454</v>
      </c>
      <c r="B618" s="13">
        <v>9.67</v>
      </c>
      <c r="C618" s="13">
        <v>9.977</v>
      </c>
      <c r="D618" s="13">
        <v>9.977</v>
      </c>
      <c r="E618" s="13">
        <v>9.665</v>
      </c>
      <c r="F618" s="15">
        <v>-0.0666</v>
      </c>
    </row>
    <row r="619" spans="1:6">
      <c r="A619" s="14">
        <v>44452</v>
      </c>
      <c r="B619" s="13">
        <v>10.359</v>
      </c>
      <c r="C619" s="13">
        <v>10.137</v>
      </c>
      <c r="D619" s="13">
        <v>10.5</v>
      </c>
      <c r="E619" s="13">
        <v>10.137</v>
      </c>
      <c r="F619" s="15">
        <v>-0.0135</v>
      </c>
    </row>
    <row r="620" spans="1:6">
      <c r="A620" s="14">
        <v>44449</v>
      </c>
      <c r="B620" s="13">
        <v>10.501</v>
      </c>
      <c r="C620" s="13">
        <v>9.884</v>
      </c>
      <c r="D620" s="13">
        <v>10.501</v>
      </c>
      <c r="E620" s="13">
        <v>9.884</v>
      </c>
      <c r="F620" s="15">
        <v>0.0624</v>
      </c>
    </row>
    <row r="621" spans="1:6">
      <c r="A621" s="14">
        <v>44447</v>
      </c>
      <c r="B621" s="13">
        <v>9.884</v>
      </c>
      <c r="C621" s="13">
        <v>9.693</v>
      </c>
      <c r="D621" s="13">
        <v>9.884</v>
      </c>
      <c r="E621" s="13">
        <v>9.67</v>
      </c>
      <c r="F621" s="15">
        <v>0.0222</v>
      </c>
    </row>
    <row r="622" spans="1:6">
      <c r="A622" s="14">
        <v>44446</v>
      </c>
      <c r="B622" s="13">
        <v>9.67</v>
      </c>
      <c r="C622" s="13">
        <v>9.694</v>
      </c>
      <c r="D622" s="13">
        <v>9.884</v>
      </c>
      <c r="E622" s="13">
        <v>9.67</v>
      </c>
      <c r="F622" s="15">
        <v>0</v>
      </c>
    </row>
    <row r="623" spans="1:6">
      <c r="A623" s="14">
        <v>44445</v>
      </c>
      <c r="B623" s="13">
        <v>9.67</v>
      </c>
      <c r="C623" s="13">
        <v>9.661</v>
      </c>
      <c r="D623" s="13">
        <v>9.67</v>
      </c>
      <c r="E623" s="13">
        <v>9.585</v>
      </c>
      <c r="F623" s="15">
        <v>0.0001</v>
      </c>
    </row>
    <row r="624" spans="1:6">
      <c r="A624" s="14">
        <v>44442</v>
      </c>
      <c r="B624" s="13">
        <v>9.668</v>
      </c>
      <c r="C624" s="13">
        <v>9.661</v>
      </c>
      <c r="D624" s="13">
        <v>9.668</v>
      </c>
      <c r="E624" s="13">
        <v>9.584</v>
      </c>
      <c r="F624" s="15">
        <v>0</v>
      </c>
    </row>
    <row r="625" spans="1:6">
      <c r="A625" s="14">
        <v>44441</v>
      </c>
      <c r="B625" s="13">
        <v>9.668</v>
      </c>
      <c r="C625" s="13">
        <v>9.678</v>
      </c>
      <c r="D625" s="13">
        <v>9.678</v>
      </c>
      <c r="E625" s="13">
        <v>9.584</v>
      </c>
      <c r="F625" s="15">
        <v>-0.0001</v>
      </c>
    </row>
    <row r="626" spans="1:6">
      <c r="A626" s="14">
        <v>44440</v>
      </c>
      <c r="B626" s="13">
        <v>9.67</v>
      </c>
      <c r="C626" s="13">
        <v>9.684</v>
      </c>
      <c r="D626" s="13">
        <v>9.884</v>
      </c>
      <c r="E626" s="13">
        <v>9.67</v>
      </c>
      <c r="F626" s="15">
        <v>0.0005</v>
      </c>
    </row>
    <row r="627" spans="1:6">
      <c r="A627" s="14">
        <v>44439</v>
      </c>
      <c r="B627" s="13">
        <v>9.665</v>
      </c>
      <c r="C627" s="13">
        <v>9.686</v>
      </c>
      <c r="D627" s="13">
        <v>9.88</v>
      </c>
      <c r="E627" s="13">
        <v>9.665</v>
      </c>
      <c r="F627" s="15">
        <v>-0.0004</v>
      </c>
    </row>
    <row r="628" spans="1:6">
      <c r="A628" s="14">
        <v>44435</v>
      </c>
      <c r="B628" s="13">
        <v>9.668</v>
      </c>
      <c r="C628" s="13">
        <v>10.023</v>
      </c>
      <c r="D628" s="13">
        <v>10.023</v>
      </c>
      <c r="E628" s="13">
        <v>9.668</v>
      </c>
      <c r="F628" s="15">
        <v>-0.1006</v>
      </c>
    </row>
    <row r="629" spans="1:6">
      <c r="A629" s="14">
        <v>44434</v>
      </c>
      <c r="B629" s="13">
        <v>10.75</v>
      </c>
      <c r="C629" s="13">
        <v>10.75</v>
      </c>
      <c r="D629" s="13">
        <v>10.75</v>
      </c>
      <c r="E629" s="13">
        <v>10.75</v>
      </c>
      <c r="F629" s="15">
        <v>0</v>
      </c>
    </row>
    <row r="630" spans="1:6">
      <c r="A630" s="14">
        <v>44433</v>
      </c>
      <c r="B630" s="13">
        <v>10.75</v>
      </c>
      <c r="C630" s="13">
        <v>10.75</v>
      </c>
      <c r="D630" s="13">
        <v>10.75</v>
      </c>
      <c r="E630" s="13">
        <v>10.75</v>
      </c>
      <c r="F630" s="15">
        <v>0</v>
      </c>
    </row>
    <row r="631" spans="1:6">
      <c r="A631" s="14">
        <v>44432</v>
      </c>
      <c r="B631" s="13">
        <v>10.75</v>
      </c>
      <c r="C631" s="13">
        <v>10.75</v>
      </c>
      <c r="D631" s="13">
        <v>10.75</v>
      </c>
      <c r="E631" s="13">
        <v>10.75</v>
      </c>
      <c r="F631" s="15">
        <v>0</v>
      </c>
    </row>
    <row r="632" spans="1:6">
      <c r="A632" s="14">
        <v>44431</v>
      </c>
      <c r="B632" s="13">
        <v>10.75</v>
      </c>
      <c r="C632" s="13">
        <v>10.75</v>
      </c>
      <c r="D632" s="13">
        <v>10.75</v>
      </c>
      <c r="E632" s="13">
        <v>10.75</v>
      </c>
      <c r="F632" s="15">
        <v>0.1119</v>
      </c>
    </row>
    <row r="633" spans="1:6">
      <c r="A633" s="14">
        <v>44428</v>
      </c>
      <c r="B633" s="13">
        <v>9.669</v>
      </c>
      <c r="C633" s="13">
        <v>10.036</v>
      </c>
      <c r="D633" s="13">
        <v>10.036</v>
      </c>
      <c r="E633" s="13">
        <v>9.669</v>
      </c>
      <c r="F633" s="15">
        <v>0</v>
      </c>
    </row>
    <row r="634" spans="1:6">
      <c r="A634" s="14">
        <v>44427</v>
      </c>
      <c r="B634" s="13">
        <v>9.669</v>
      </c>
      <c r="C634" s="13">
        <v>10.112</v>
      </c>
      <c r="D634" s="13">
        <v>10.112</v>
      </c>
      <c r="E634" s="13">
        <v>9.669</v>
      </c>
      <c r="F634" s="15">
        <v>-0.0001</v>
      </c>
    </row>
    <row r="635" spans="1:6">
      <c r="A635" s="14">
        <v>44426</v>
      </c>
      <c r="B635" s="13">
        <v>9.67</v>
      </c>
      <c r="C635" s="13">
        <v>10.025</v>
      </c>
      <c r="D635" s="13">
        <v>10.025</v>
      </c>
      <c r="E635" s="13">
        <v>9.67</v>
      </c>
      <c r="F635" s="15">
        <v>0</v>
      </c>
    </row>
    <row r="636" spans="1:6">
      <c r="A636" s="14">
        <v>44425</v>
      </c>
      <c r="B636" s="13">
        <v>9.67</v>
      </c>
      <c r="C636" s="13">
        <v>10.047</v>
      </c>
      <c r="D636" s="13">
        <v>10.047</v>
      </c>
      <c r="E636" s="13">
        <v>9.67</v>
      </c>
      <c r="F636" s="15">
        <v>0</v>
      </c>
    </row>
    <row r="637" spans="1:6">
      <c r="A637" s="14">
        <v>44424</v>
      </c>
      <c r="B637" s="13">
        <v>9.67</v>
      </c>
      <c r="C637" s="13">
        <v>10.072</v>
      </c>
      <c r="D637" s="13">
        <v>10.072</v>
      </c>
      <c r="E637" s="13">
        <v>9.67</v>
      </c>
      <c r="F637" s="15">
        <v>0.0001</v>
      </c>
    </row>
    <row r="638" spans="1:6">
      <c r="A638" s="14">
        <v>44421</v>
      </c>
      <c r="B638" s="13">
        <v>9.669</v>
      </c>
      <c r="C638" s="13">
        <v>10.093</v>
      </c>
      <c r="D638" s="13">
        <v>10.093</v>
      </c>
      <c r="E638" s="13">
        <v>9.669</v>
      </c>
      <c r="F638" s="15">
        <v>0</v>
      </c>
    </row>
    <row r="639" spans="1:6">
      <c r="A639" s="14">
        <v>44420</v>
      </c>
      <c r="B639" s="13">
        <v>9.668</v>
      </c>
      <c r="C639" s="13">
        <v>10.105</v>
      </c>
      <c r="D639" s="13">
        <v>10.105</v>
      </c>
      <c r="E639" s="13">
        <v>9.668</v>
      </c>
      <c r="F639" s="15">
        <v>0</v>
      </c>
    </row>
    <row r="640" spans="1:6">
      <c r="A640" s="14">
        <v>44419</v>
      </c>
      <c r="B640" s="13">
        <v>9.668</v>
      </c>
      <c r="C640" s="13">
        <v>10.104</v>
      </c>
      <c r="D640" s="13">
        <v>10.104</v>
      </c>
      <c r="E640" s="13">
        <v>9.668</v>
      </c>
      <c r="F640" s="15">
        <v>0</v>
      </c>
    </row>
    <row r="641" spans="1:6">
      <c r="A641" s="14">
        <v>44418</v>
      </c>
      <c r="B641" s="13">
        <v>9.668</v>
      </c>
      <c r="C641" s="13">
        <v>10.115</v>
      </c>
      <c r="D641" s="13">
        <v>10.115</v>
      </c>
      <c r="E641" s="13">
        <v>9.668</v>
      </c>
      <c r="F641" s="15">
        <v>0</v>
      </c>
    </row>
    <row r="642" spans="1:6">
      <c r="A642" s="14">
        <v>44417</v>
      </c>
      <c r="B642" s="13">
        <v>9.668</v>
      </c>
      <c r="C642" s="13">
        <v>9.668</v>
      </c>
      <c r="D642" s="13">
        <v>9.668</v>
      </c>
      <c r="E642" s="13">
        <v>9.668</v>
      </c>
      <c r="F642" s="15">
        <v>0.0001</v>
      </c>
    </row>
    <row r="643" spans="1:6">
      <c r="A643" s="14">
        <v>44414</v>
      </c>
      <c r="B643" s="13">
        <v>9.667</v>
      </c>
      <c r="C643" s="13">
        <v>10.038</v>
      </c>
      <c r="D643" s="13">
        <v>10.038</v>
      </c>
      <c r="E643" s="13">
        <v>9.667</v>
      </c>
      <c r="F643" s="15">
        <v>-0.0394</v>
      </c>
    </row>
    <row r="644" spans="1:6">
      <c r="A644" s="14">
        <v>44413</v>
      </c>
      <c r="B644" s="13">
        <v>10.064</v>
      </c>
      <c r="C644" s="13">
        <v>10.064</v>
      </c>
      <c r="D644" s="13">
        <v>10.064</v>
      </c>
      <c r="E644" s="13">
        <v>10.064</v>
      </c>
      <c r="F644" s="15">
        <v>0.0409</v>
      </c>
    </row>
    <row r="645" spans="1:6">
      <c r="A645" s="14">
        <v>44412</v>
      </c>
      <c r="B645" s="13">
        <v>9.668</v>
      </c>
      <c r="C645" s="13">
        <v>10.065</v>
      </c>
      <c r="D645" s="13">
        <v>10.065</v>
      </c>
      <c r="E645" s="13">
        <v>9.668</v>
      </c>
      <c r="F645" s="15">
        <v>0</v>
      </c>
    </row>
    <row r="646" spans="1:6">
      <c r="A646" s="14">
        <v>44411</v>
      </c>
      <c r="B646" s="13">
        <v>9.668</v>
      </c>
      <c r="C646" s="13">
        <v>10.136</v>
      </c>
      <c r="D646" s="13">
        <v>10.136</v>
      </c>
      <c r="E646" s="13">
        <v>9.668</v>
      </c>
      <c r="F646" s="15">
        <v>0</v>
      </c>
    </row>
    <row r="647" spans="1:6">
      <c r="A647" s="14">
        <v>44410</v>
      </c>
      <c r="B647" s="13">
        <v>9.668</v>
      </c>
      <c r="C647" s="13">
        <v>10.189</v>
      </c>
      <c r="D647" s="13">
        <v>10.189</v>
      </c>
      <c r="E647" s="13">
        <v>9.668</v>
      </c>
      <c r="F647" s="15">
        <v>0</v>
      </c>
    </row>
    <row r="648" spans="1:6">
      <c r="A648" s="14">
        <v>44407</v>
      </c>
      <c r="B648" s="13">
        <v>9.668</v>
      </c>
      <c r="C648" s="13">
        <v>10.206</v>
      </c>
      <c r="D648" s="13">
        <v>10.206</v>
      </c>
      <c r="E648" s="13">
        <v>9.668</v>
      </c>
      <c r="F648" s="15">
        <v>0</v>
      </c>
    </row>
    <row r="649" spans="1:6">
      <c r="A649" s="14">
        <v>44406</v>
      </c>
      <c r="B649" s="13">
        <v>9.668</v>
      </c>
      <c r="C649" s="13">
        <v>10.191</v>
      </c>
      <c r="D649" s="13">
        <v>10.191</v>
      </c>
      <c r="E649" s="13">
        <v>9.668</v>
      </c>
      <c r="F649" s="15">
        <v>-0.0534</v>
      </c>
    </row>
    <row r="650" spans="1:6">
      <c r="A650" s="14">
        <v>44405</v>
      </c>
      <c r="B650" s="13">
        <v>10.213</v>
      </c>
      <c r="C650" s="13">
        <v>10.213</v>
      </c>
      <c r="D650" s="13">
        <v>10.213</v>
      </c>
      <c r="E650" s="13">
        <v>10.213</v>
      </c>
      <c r="F650" s="15">
        <v>0.0563</v>
      </c>
    </row>
    <row r="651" spans="1:6">
      <c r="A651" s="14">
        <v>44404</v>
      </c>
      <c r="B651" s="13">
        <v>9.669</v>
      </c>
      <c r="C651" s="13">
        <v>10.021</v>
      </c>
      <c r="D651" s="13">
        <v>10.021</v>
      </c>
      <c r="E651" s="13">
        <v>9.669</v>
      </c>
      <c r="F651" s="15">
        <v>0.0073</v>
      </c>
    </row>
    <row r="652" spans="1:6">
      <c r="A652" s="14">
        <v>44403</v>
      </c>
      <c r="B652" s="13">
        <v>9.599</v>
      </c>
      <c r="C652" s="13">
        <v>10.186</v>
      </c>
      <c r="D652" s="13">
        <v>10.186</v>
      </c>
      <c r="E652" s="13">
        <v>9.599</v>
      </c>
      <c r="F652" s="15">
        <v>-0.0945</v>
      </c>
    </row>
    <row r="653" spans="1:6">
      <c r="A653" s="14">
        <v>44400</v>
      </c>
      <c r="B653" s="13">
        <v>10.601</v>
      </c>
      <c r="C653" s="13">
        <v>10.601</v>
      </c>
      <c r="D653" s="13">
        <v>10.601</v>
      </c>
      <c r="E653" s="13">
        <v>10.601</v>
      </c>
      <c r="F653" s="15">
        <v>0.001</v>
      </c>
    </row>
    <row r="654" spans="1:6">
      <c r="A654" s="14">
        <v>44399</v>
      </c>
      <c r="B654" s="13">
        <v>10.59</v>
      </c>
      <c r="C654" s="13">
        <v>10.59</v>
      </c>
      <c r="D654" s="13">
        <v>10.59</v>
      </c>
      <c r="E654" s="13">
        <v>10.59</v>
      </c>
      <c r="F654" s="15">
        <v>-0.0006</v>
      </c>
    </row>
    <row r="655" spans="1:6">
      <c r="A655" s="14">
        <v>44398</v>
      </c>
      <c r="B655" s="13">
        <v>10.596</v>
      </c>
      <c r="C655" s="13">
        <v>10.596</v>
      </c>
      <c r="D655" s="13">
        <v>10.596</v>
      </c>
      <c r="E655" s="13">
        <v>10.596</v>
      </c>
      <c r="F655" s="15">
        <v>0.0085</v>
      </c>
    </row>
    <row r="656" spans="1:6">
      <c r="A656" s="14">
        <v>44396</v>
      </c>
      <c r="B656" s="13">
        <v>10.507</v>
      </c>
      <c r="C656" s="13">
        <v>10.507</v>
      </c>
      <c r="D656" s="13">
        <v>10.507</v>
      </c>
      <c r="E656" s="13">
        <v>10.507</v>
      </c>
      <c r="F656" s="15">
        <v>0.0074</v>
      </c>
    </row>
    <row r="657" spans="1:6">
      <c r="A657" s="14">
        <v>44393</v>
      </c>
      <c r="B657" s="13">
        <v>10.43</v>
      </c>
      <c r="C657" s="13">
        <v>10.43</v>
      </c>
      <c r="D657" s="13">
        <v>10.43</v>
      </c>
      <c r="E657" s="13">
        <v>10.43</v>
      </c>
      <c r="F657" s="15">
        <v>0.0733</v>
      </c>
    </row>
    <row r="658" spans="1:6">
      <c r="A658" s="14">
        <v>44392</v>
      </c>
      <c r="B658" s="13">
        <v>9.717</v>
      </c>
      <c r="C658" s="13">
        <v>10.442</v>
      </c>
      <c r="D658" s="13">
        <v>10.442</v>
      </c>
      <c r="E658" s="13">
        <v>9.717</v>
      </c>
      <c r="F658" s="15">
        <v>-0.071</v>
      </c>
    </row>
    <row r="659" spans="1:6">
      <c r="A659" s="14">
        <v>44391</v>
      </c>
      <c r="B659" s="13">
        <v>10.46</v>
      </c>
      <c r="C659" s="13">
        <v>10.46</v>
      </c>
      <c r="D659" s="13">
        <v>10.46</v>
      </c>
      <c r="E659" s="13">
        <v>10.46</v>
      </c>
      <c r="F659" s="15">
        <v>0.0841</v>
      </c>
    </row>
    <row r="660" spans="1:6">
      <c r="A660" s="14">
        <v>44390</v>
      </c>
      <c r="B660" s="13">
        <v>9.649</v>
      </c>
      <c r="C660" s="13">
        <v>10.491</v>
      </c>
      <c r="D660" s="13">
        <v>10.491</v>
      </c>
      <c r="E660" s="13">
        <v>9.649</v>
      </c>
      <c r="F660" s="15">
        <v>-0.0612</v>
      </c>
    </row>
    <row r="661" spans="1:6">
      <c r="A661" s="14">
        <v>44389</v>
      </c>
      <c r="B661" s="13">
        <v>10.278</v>
      </c>
      <c r="C661" s="13">
        <v>10.278</v>
      </c>
      <c r="D661" s="13">
        <v>10.278</v>
      </c>
      <c r="E661" s="13">
        <v>10.278</v>
      </c>
      <c r="F661" s="15">
        <v>0.0654</v>
      </c>
    </row>
    <row r="662" spans="1:6">
      <c r="A662" s="14">
        <v>44386</v>
      </c>
      <c r="B662" s="13">
        <v>9.648</v>
      </c>
      <c r="C662" s="13">
        <v>9.648</v>
      </c>
      <c r="D662" s="13">
        <v>9.648</v>
      </c>
      <c r="E662" s="13">
        <v>9.648</v>
      </c>
      <c r="F662" s="15">
        <v>0</v>
      </c>
    </row>
    <row r="663" spans="1:6">
      <c r="A663" s="14">
        <v>44385</v>
      </c>
      <c r="B663" s="13">
        <v>9.648</v>
      </c>
      <c r="C663" s="13">
        <v>10.281</v>
      </c>
      <c r="D663" s="13">
        <v>10.281</v>
      </c>
      <c r="E663" s="13">
        <v>9.648</v>
      </c>
      <c r="F663" s="15">
        <v>-0.0001</v>
      </c>
    </row>
    <row r="664" spans="1:6">
      <c r="A664" s="14">
        <v>44384</v>
      </c>
      <c r="B664" s="13">
        <v>9.649</v>
      </c>
      <c r="C664" s="13">
        <v>10.25</v>
      </c>
      <c r="D664" s="13">
        <v>10.25</v>
      </c>
      <c r="E664" s="13">
        <v>9.649</v>
      </c>
      <c r="F664" s="15">
        <v>0</v>
      </c>
    </row>
    <row r="665" spans="1:6">
      <c r="A665" s="14">
        <v>44380</v>
      </c>
      <c r="B665" s="13">
        <v>9.649</v>
      </c>
      <c r="C665" s="13">
        <v>10.252</v>
      </c>
      <c r="D665" s="13">
        <v>10.252</v>
      </c>
      <c r="E665" s="13">
        <v>9.649</v>
      </c>
      <c r="F665" s="15">
        <v>0.0003</v>
      </c>
    </row>
    <row r="666" spans="1:6">
      <c r="A666" s="14">
        <v>44379</v>
      </c>
      <c r="B666" s="13">
        <v>9.646</v>
      </c>
      <c r="C666" s="13">
        <v>10.266</v>
      </c>
      <c r="D666" s="13">
        <v>10.266</v>
      </c>
      <c r="E666" s="13">
        <v>9.646</v>
      </c>
      <c r="F666" s="15">
        <v>-0.0003</v>
      </c>
    </row>
    <row r="667" spans="1:6">
      <c r="A667" s="14">
        <v>44378</v>
      </c>
      <c r="B667" s="13">
        <v>9.649</v>
      </c>
      <c r="C667" s="13">
        <v>10.267</v>
      </c>
      <c r="D667" s="13">
        <v>10.267</v>
      </c>
      <c r="E667" s="13">
        <v>9.649</v>
      </c>
      <c r="F667" s="15">
        <v>-0.0698</v>
      </c>
    </row>
    <row r="668" spans="1:6">
      <c r="A668" s="14">
        <v>44377</v>
      </c>
      <c r="B668" s="13">
        <v>10.373</v>
      </c>
      <c r="C668" s="13">
        <v>10.373</v>
      </c>
      <c r="D668" s="13">
        <v>10.373</v>
      </c>
      <c r="E668" s="13">
        <v>10.373</v>
      </c>
      <c r="F668" s="15">
        <v>0.0049</v>
      </c>
    </row>
    <row r="669" spans="1:6">
      <c r="A669" s="14">
        <v>44376</v>
      </c>
      <c r="B669" s="13">
        <v>10.322</v>
      </c>
      <c r="C669" s="13">
        <v>10.322</v>
      </c>
      <c r="D669" s="13">
        <v>10.322</v>
      </c>
      <c r="E669" s="13">
        <v>10.322</v>
      </c>
      <c r="F669" s="15">
        <v>0.0016</v>
      </c>
    </row>
    <row r="670" spans="1:6">
      <c r="A670" s="14">
        <v>44375</v>
      </c>
      <c r="B670" s="13">
        <v>10.306</v>
      </c>
      <c r="C670" s="13">
        <v>10.306</v>
      </c>
      <c r="D670" s="13">
        <v>10.306</v>
      </c>
      <c r="E670" s="13">
        <v>10.306</v>
      </c>
      <c r="F670" s="15">
        <v>0.0637</v>
      </c>
    </row>
    <row r="671" spans="1:6">
      <c r="A671" s="14">
        <v>44372</v>
      </c>
      <c r="B671" s="13">
        <v>9.689</v>
      </c>
      <c r="C671" s="13">
        <v>10.373</v>
      </c>
      <c r="D671" s="13">
        <v>10.373</v>
      </c>
      <c r="E671" s="13">
        <v>9.689</v>
      </c>
      <c r="F671" s="15">
        <v>-0.0171</v>
      </c>
    </row>
    <row r="672" spans="1:6">
      <c r="A672" s="14">
        <v>44371</v>
      </c>
      <c r="B672" s="13">
        <v>9.858</v>
      </c>
      <c r="C672" s="13">
        <v>10.439</v>
      </c>
      <c r="D672" s="13">
        <v>10.439</v>
      </c>
      <c r="E672" s="13">
        <v>9.858</v>
      </c>
      <c r="F672" s="15">
        <v>-0.0001</v>
      </c>
    </row>
    <row r="673" spans="1:6">
      <c r="A673" s="14">
        <v>44370</v>
      </c>
      <c r="B673" s="13">
        <v>9.858</v>
      </c>
      <c r="C673" s="13">
        <v>10.421</v>
      </c>
      <c r="D673" s="13">
        <v>10.421</v>
      </c>
      <c r="E673" s="13">
        <v>9.858</v>
      </c>
      <c r="F673" s="15">
        <v>0</v>
      </c>
    </row>
    <row r="674" spans="1:6">
      <c r="A674" s="14">
        <v>44369</v>
      </c>
      <c r="B674" s="13">
        <v>9.858</v>
      </c>
      <c r="C674" s="13">
        <v>10.431</v>
      </c>
      <c r="D674" s="13">
        <v>10.431</v>
      </c>
      <c r="E674" s="13">
        <v>9.858</v>
      </c>
      <c r="F674" s="15">
        <v>-0.06</v>
      </c>
    </row>
    <row r="675" spans="1:6">
      <c r="A675" s="14">
        <v>44368</v>
      </c>
      <c r="B675" s="13">
        <v>10.488</v>
      </c>
      <c r="C675" s="13">
        <v>10.488</v>
      </c>
      <c r="D675" s="13">
        <v>10.488</v>
      </c>
      <c r="E675" s="13">
        <v>10.488</v>
      </c>
      <c r="F675" s="15">
        <v>0.0815</v>
      </c>
    </row>
    <row r="676" spans="1:6">
      <c r="A676" s="14">
        <v>44365</v>
      </c>
      <c r="B676" s="13">
        <v>9.698</v>
      </c>
      <c r="C676" s="13">
        <v>10.417</v>
      </c>
      <c r="D676" s="13">
        <v>10.417</v>
      </c>
      <c r="E676" s="13">
        <v>9.698</v>
      </c>
      <c r="F676" s="15">
        <v>0</v>
      </c>
    </row>
    <row r="677" spans="1:6">
      <c r="A677" s="14">
        <v>44364</v>
      </c>
      <c r="B677" s="13">
        <v>9.698</v>
      </c>
      <c r="C677" s="13">
        <v>10.385</v>
      </c>
      <c r="D677" s="13">
        <v>10.385</v>
      </c>
      <c r="E677" s="13">
        <v>9.698</v>
      </c>
      <c r="F677" s="15">
        <v>-0.0002</v>
      </c>
    </row>
    <row r="678" spans="1:6">
      <c r="A678" s="14">
        <v>44363</v>
      </c>
      <c r="B678" s="13">
        <v>9.699</v>
      </c>
      <c r="C678" s="13">
        <v>10.286</v>
      </c>
      <c r="D678" s="13">
        <v>10.286</v>
      </c>
      <c r="E678" s="13">
        <v>9.699</v>
      </c>
      <c r="F678" s="15">
        <v>0</v>
      </c>
    </row>
    <row r="679" spans="1:6">
      <c r="A679" s="14">
        <v>44362</v>
      </c>
      <c r="B679" s="13">
        <v>9.699</v>
      </c>
      <c r="C679" s="13">
        <v>10.284</v>
      </c>
      <c r="D679" s="13">
        <v>10.284</v>
      </c>
      <c r="E679" s="13">
        <v>9.699</v>
      </c>
      <c r="F679" s="15">
        <v>-0.0573</v>
      </c>
    </row>
    <row r="680" spans="1:6">
      <c r="A680" s="14">
        <v>44361</v>
      </c>
      <c r="B680" s="13">
        <v>10.289</v>
      </c>
      <c r="C680" s="13">
        <v>10.289</v>
      </c>
      <c r="D680" s="13">
        <v>10.289</v>
      </c>
      <c r="E680" s="13">
        <v>10.289</v>
      </c>
      <c r="F680" s="15">
        <v>0.061</v>
      </c>
    </row>
    <row r="681" spans="1:6">
      <c r="A681" s="14">
        <v>44358</v>
      </c>
      <c r="B681" s="13">
        <v>9.698</v>
      </c>
      <c r="C681" s="13">
        <v>10.311</v>
      </c>
      <c r="D681" s="13">
        <v>10.311</v>
      </c>
      <c r="E681" s="13">
        <v>9.698</v>
      </c>
      <c r="F681" s="15">
        <v>0</v>
      </c>
    </row>
    <row r="682" spans="1:6">
      <c r="A682" s="14">
        <v>44357</v>
      </c>
      <c r="B682" s="13">
        <v>9.698</v>
      </c>
      <c r="C682" s="13">
        <v>10.344</v>
      </c>
      <c r="D682" s="13">
        <v>10.344</v>
      </c>
      <c r="E682" s="13">
        <v>9.698</v>
      </c>
      <c r="F682" s="15">
        <v>-0.0002</v>
      </c>
    </row>
    <row r="683" spans="1:6">
      <c r="A683" s="14">
        <v>44356</v>
      </c>
      <c r="B683" s="13">
        <v>9.699</v>
      </c>
      <c r="C683" s="13">
        <v>10.269</v>
      </c>
      <c r="D683" s="13">
        <v>10.269</v>
      </c>
      <c r="E683" s="13">
        <v>9.699</v>
      </c>
      <c r="F683" s="15">
        <v>0</v>
      </c>
    </row>
    <row r="684" spans="1:6">
      <c r="A684" s="14">
        <v>44355</v>
      </c>
      <c r="B684" s="13">
        <v>9.699</v>
      </c>
      <c r="C684" s="13">
        <v>10.274</v>
      </c>
      <c r="D684" s="13">
        <v>10.274</v>
      </c>
      <c r="E684" s="13">
        <v>9.699</v>
      </c>
      <c r="F684" s="15">
        <v>0</v>
      </c>
    </row>
    <row r="685" spans="1:6">
      <c r="A685" s="14">
        <v>44354</v>
      </c>
      <c r="B685" s="13">
        <v>9.699</v>
      </c>
      <c r="C685" s="13">
        <v>10.238</v>
      </c>
      <c r="D685" s="13">
        <v>10.238</v>
      </c>
      <c r="E685" s="13">
        <v>9.699</v>
      </c>
      <c r="F685" s="15">
        <v>0.0002</v>
      </c>
    </row>
    <row r="686" spans="1:6">
      <c r="A686" s="14">
        <v>44351</v>
      </c>
      <c r="B686" s="13">
        <v>9.698</v>
      </c>
      <c r="C686" s="13">
        <v>10.215</v>
      </c>
      <c r="D686" s="13">
        <v>10.215</v>
      </c>
      <c r="E686" s="13">
        <v>9.698</v>
      </c>
      <c r="F686" s="15">
        <v>0</v>
      </c>
    </row>
    <row r="687" spans="1:6">
      <c r="A687" s="14">
        <v>44350</v>
      </c>
      <c r="B687" s="13">
        <v>9.698</v>
      </c>
      <c r="C687" s="13">
        <v>10.192</v>
      </c>
      <c r="D687" s="13">
        <v>10.192</v>
      </c>
      <c r="E687" s="13">
        <v>9.698</v>
      </c>
      <c r="F687" s="15">
        <v>-0.0002</v>
      </c>
    </row>
    <row r="688" spans="1:6">
      <c r="A688" s="14">
        <v>44349</v>
      </c>
      <c r="B688" s="13">
        <v>9.699</v>
      </c>
      <c r="C688" s="13">
        <v>10.13</v>
      </c>
      <c r="D688" s="13">
        <v>10.13</v>
      </c>
      <c r="E688" s="13">
        <v>9.699</v>
      </c>
      <c r="F688" s="15">
        <v>0</v>
      </c>
    </row>
    <row r="689" spans="1:6">
      <c r="A689" s="14">
        <v>44348</v>
      </c>
      <c r="B689" s="13">
        <v>9.699</v>
      </c>
      <c r="C689" s="13">
        <v>9.699</v>
      </c>
      <c r="D689" s="13">
        <v>9.699</v>
      </c>
      <c r="E689" s="13">
        <v>9.699</v>
      </c>
      <c r="F689" s="15">
        <v>0.0005</v>
      </c>
    </row>
    <row r="690" spans="1:6">
      <c r="A690" s="14">
        <v>44347</v>
      </c>
      <c r="B690" s="13">
        <v>9.694</v>
      </c>
      <c r="C690" s="13">
        <v>10.114</v>
      </c>
      <c r="D690" s="13">
        <v>10.114</v>
      </c>
      <c r="E690" s="13">
        <v>9.694</v>
      </c>
      <c r="F690" s="15">
        <v>-0.0004</v>
      </c>
    </row>
    <row r="691" spans="1:6">
      <c r="A691" s="14">
        <v>44344</v>
      </c>
      <c r="B691" s="13">
        <v>9.698</v>
      </c>
      <c r="C691" s="13">
        <v>10.052</v>
      </c>
      <c r="D691" s="13">
        <v>10.052</v>
      </c>
      <c r="E691" s="13">
        <v>9.698</v>
      </c>
      <c r="F691" s="15">
        <v>-0.0459</v>
      </c>
    </row>
    <row r="692" spans="1:6">
      <c r="A692" s="14">
        <v>44343</v>
      </c>
      <c r="B692" s="13">
        <v>10.165</v>
      </c>
      <c r="C692" s="13">
        <v>9.698</v>
      </c>
      <c r="D692" s="13">
        <v>10.165</v>
      </c>
      <c r="E692" s="13">
        <v>9.698</v>
      </c>
      <c r="F692" s="15">
        <v>0.048</v>
      </c>
    </row>
    <row r="693" spans="1:6">
      <c r="A693" s="14">
        <v>44342</v>
      </c>
      <c r="B693" s="13">
        <v>9.699</v>
      </c>
      <c r="C693" s="13">
        <v>10.273</v>
      </c>
      <c r="D693" s="13">
        <v>10.273</v>
      </c>
      <c r="E693" s="13">
        <v>9.699</v>
      </c>
      <c r="F693" s="15">
        <v>0</v>
      </c>
    </row>
    <row r="694" spans="1:6">
      <c r="A694" s="14">
        <v>44341</v>
      </c>
      <c r="B694" s="13">
        <v>9.699</v>
      </c>
      <c r="C694" s="13">
        <v>10.278</v>
      </c>
      <c r="D694" s="13">
        <v>10.359</v>
      </c>
      <c r="E694" s="13">
        <v>9.699</v>
      </c>
      <c r="F694" s="15">
        <v>0</v>
      </c>
    </row>
    <row r="695" spans="1:6">
      <c r="A695" s="14">
        <v>44340</v>
      </c>
      <c r="B695" s="13">
        <v>9.699</v>
      </c>
      <c r="C695" s="13">
        <v>10.278</v>
      </c>
      <c r="D695" s="13">
        <v>10.278</v>
      </c>
      <c r="E695" s="13">
        <v>9.699</v>
      </c>
      <c r="F695" s="15">
        <v>0.0002</v>
      </c>
    </row>
    <row r="696" spans="1:6">
      <c r="A696" s="14">
        <v>44337</v>
      </c>
      <c r="B696" s="13">
        <v>9.698</v>
      </c>
      <c r="C696" s="13">
        <v>10.062</v>
      </c>
      <c r="D696" s="13">
        <v>10.062</v>
      </c>
      <c r="E696" s="13">
        <v>9.698</v>
      </c>
      <c r="F696" s="15">
        <v>0</v>
      </c>
    </row>
    <row r="697" spans="1:6">
      <c r="A697" s="14">
        <v>44336</v>
      </c>
      <c r="B697" s="13">
        <v>9.698</v>
      </c>
      <c r="C697" s="13">
        <v>10.105</v>
      </c>
      <c r="D697" s="13">
        <v>10.105</v>
      </c>
      <c r="E697" s="13">
        <v>9.698</v>
      </c>
      <c r="F697" s="15">
        <v>-0.0002</v>
      </c>
    </row>
    <row r="698" spans="1:6">
      <c r="A698" s="14">
        <v>44335</v>
      </c>
      <c r="B698" s="13">
        <v>9.699</v>
      </c>
      <c r="C698" s="13">
        <v>10.406</v>
      </c>
      <c r="D698" s="13">
        <v>10.406</v>
      </c>
      <c r="E698" s="13">
        <v>9.699</v>
      </c>
      <c r="F698" s="15">
        <v>0</v>
      </c>
    </row>
    <row r="699" spans="1:6">
      <c r="A699" s="14">
        <v>44334</v>
      </c>
      <c r="B699" s="13">
        <v>9.699</v>
      </c>
      <c r="C699" s="13">
        <v>10.356</v>
      </c>
      <c r="D699" s="13">
        <v>10.356</v>
      </c>
      <c r="E699" s="13">
        <v>9.699</v>
      </c>
      <c r="F699" s="15">
        <v>0</v>
      </c>
    </row>
    <row r="700" spans="1:6">
      <c r="A700" s="14">
        <v>44333</v>
      </c>
      <c r="B700" s="13">
        <v>9.699</v>
      </c>
      <c r="C700" s="13">
        <v>10.093</v>
      </c>
      <c r="D700" s="13">
        <v>10.093</v>
      </c>
      <c r="E700" s="13">
        <v>9.699</v>
      </c>
      <c r="F700" s="15">
        <v>0.0002</v>
      </c>
    </row>
    <row r="701" spans="1:6">
      <c r="A701" s="14">
        <v>44330</v>
      </c>
      <c r="B701" s="13">
        <v>9.698</v>
      </c>
      <c r="C701" s="13">
        <v>10.348</v>
      </c>
      <c r="D701" s="13">
        <v>10.348</v>
      </c>
      <c r="E701" s="13">
        <v>9.698</v>
      </c>
      <c r="F701" s="15">
        <v>0</v>
      </c>
    </row>
    <row r="702" spans="1:6">
      <c r="A702" s="14">
        <v>44329</v>
      </c>
      <c r="B702" s="13">
        <v>9.698</v>
      </c>
      <c r="C702" s="13">
        <v>10.354</v>
      </c>
      <c r="D702" s="13">
        <v>10.354</v>
      </c>
      <c r="E702" s="13">
        <v>9.698</v>
      </c>
      <c r="F702" s="15">
        <v>-0.0002</v>
      </c>
    </row>
    <row r="703" spans="1:6">
      <c r="A703" s="14">
        <v>44328</v>
      </c>
      <c r="B703" s="13">
        <v>9.699</v>
      </c>
      <c r="C703" s="13">
        <v>10.333</v>
      </c>
      <c r="D703" s="13">
        <v>10.333</v>
      </c>
      <c r="E703" s="13">
        <v>9.699</v>
      </c>
      <c r="F703" s="15">
        <v>0</v>
      </c>
    </row>
    <row r="704" spans="1:6">
      <c r="A704" s="14">
        <v>44327</v>
      </c>
      <c r="B704" s="13">
        <v>9.699</v>
      </c>
      <c r="C704" s="13">
        <v>10.348</v>
      </c>
      <c r="D704" s="13">
        <v>10.348</v>
      </c>
      <c r="E704" s="13">
        <v>9.699</v>
      </c>
      <c r="F704" s="15">
        <v>0.0003</v>
      </c>
    </row>
    <row r="705" spans="1:6">
      <c r="A705" s="14">
        <v>44322</v>
      </c>
      <c r="B705" s="13">
        <v>9.696</v>
      </c>
      <c r="C705" s="13">
        <v>9.696</v>
      </c>
      <c r="D705" s="13">
        <v>9.696</v>
      </c>
      <c r="E705" s="13">
        <v>9.696</v>
      </c>
      <c r="F705" s="15">
        <v>-0.03</v>
      </c>
    </row>
    <row r="706" spans="1:6">
      <c r="A706" s="14">
        <v>44321</v>
      </c>
      <c r="B706" s="13">
        <v>9.996</v>
      </c>
      <c r="C706" s="13">
        <v>9.996</v>
      </c>
      <c r="D706" s="13">
        <v>9.996</v>
      </c>
      <c r="E706" s="13">
        <v>9.996</v>
      </c>
      <c r="F706" s="15">
        <v>-0.0003</v>
      </c>
    </row>
    <row r="707" spans="1:6">
      <c r="A707" s="14">
        <v>44320</v>
      </c>
      <c r="B707" s="13">
        <v>9.999</v>
      </c>
      <c r="C707" s="13">
        <v>9.999</v>
      </c>
      <c r="D707" s="13">
        <v>9.999</v>
      </c>
      <c r="E707" s="13">
        <v>9.999</v>
      </c>
      <c r="F707" s="15">
        <v>0.0002</v>
      </c>
    </row>
    <row r="708" spans="1:6">
      <c r="A708" s="14">
        <v>44316</v>
      </c>
      <c r="B708" s="13">
        <v>9.997</v>
      </c>
      <c r="C708" s="13">
        <v>9.997</v>
      </c>
      <c r="D708" s="13">
        <v>9.997</v>
      </c>
      <c r="E708" s="13">
        <v>9.997</v>
      </c>
      <c r="F708" s="15">
        <v>0</v>
      </c>
    </row>
    <row r="709" spans="1:6">
      <c r="A709" s="14">
        <v>44315</v>
      </c>
      <c r="B709" s="13">
        <v>9.997</v>
      </c>
      <c r="C709" s="13">
        <v>9.997</v>
      </c>
      <c r="D709" s="13">
        <v>9.997</v>
      </c>
      <c r="E709" s="13">
        <v>9.997</v>
      </c>
      <c r="F709" s="15">
        <v>-0.0002</v>
      </c>
    </row>
    <row r="710" spans="1:6">
      <c r="A710" s="14">
        <v>44314</v>
      </c>
      <c r="B710" s="13">
        <v>9.999</v>
      </c>
      <c r="C710" s="13">
        <v>9.999</v>
      </c>
      <c r="D710" s="13">
        <v>9.999</v>
      </c>
      <c r="E710" s="13">
        <v>9.999</v>
      </c>
      <c r="F710" s="15">
        <v>0</v>
      </c>
    </row>
    <row r="711" spans="1:6">
      <c r="A711" s="14">
        <v>44313</v>
      </c>
      <c r="B711" s="13">
        <v>9.999</v>
      </c>
      <c r="C711" s="13">
        <v>9.999</v>
      </c>
      <c r="D711" s="13">
        <v>9.999</v>
      </c>
      <c r="E711" s="13">
        <v>9.999</v>
      </c>
      <c r="F711" s="15">
        <v>0</v>
      </c>
    </row>
    <row r="712" spans="1:6">
      <c r="A712" s="14">
        <v>44312</v>
      </c>
      <c r="B712" s="13">
        <v>9.999</v>
      </c>
      <c r="C712" s="13">
        <v>9.999</v>
      </c>
      <c r="D712" s="13">
        <v>9.999</v>
      </c>
      <c r="E712" s="13">
        <v>9.999</v>
      </c>
      <c r="F712" s="15">
        <v>0.0001</v>
      </c>
    </row>
    <row r="713" spans="1:6">
      <c r="A713" s="14">
        <v>44309</v>
      </c>
      <c r="B713" s="13">
        <v>9.998</v>
      </c>
      <c r="C713" s="13">
        <v>9.998</v>
      </c>
      <c r="D713" s="13">
        <v>9.998</v>
      </c>
      <c r="E713" s="13">
        <v>9.998</v>
      </c>
      <c r="F713" s="15">
        <v>0</v>
      </c>
    </row>
    <row r="714" spans="1:6">
      <c r="A714" s="14">
        <v>44308</v>
      </c>
      <c r="B714" s="13">
        <v>9.998</v>
      </c>
      <c r="C714" s="13">
        <v>9.998</v>
      </c>
      <c r="D714" s="13">
        <v>9.998</v>
      </c>
      <c r="E714" s="13">
        <v>9.998</v>
      </c>
      <c r="F714" s="15">
        <v>-0.0001</v>
      </c>
    </row>
    <row r="715" spans="1:6">
      <c r="A715" s="14">
        <v>44307</v>
      </c>
      <c r="B715" s="13">
        <v>9.999</v>
      </c>
      <c r="C715" s="13">
        <v>9.999</v>
      </c>
      <c r="D715" s="13">
        <v>9.999</v>
      </c>
      <c r="E715" s="13">
        <v>9.999</v>
      </c>
      <c r="F715" s="15">
        <v>0</v>
      </c>
    </row>
    <row r="716" spans="1:6">
      <c r="A716" s="14">
        <v>44306</v>
      </c>
      <c r="B716" s="13">
        <v>9.999</v>
      </c>
      <c r="C716" s="13">
        <v>9.999</v>
      </c>
      <c r="D716" s="13">
        <v>9.999</v>
      </c>
      <c r="E716" s="13">
        <v>9.999</v>
      </c>
      <c r="F716" s="15">
        <v>0</v>
      </c>
    </row>
    <row r="717" spans="1:6">
      <c r="A717" s="14">
        <v>44305</v>
      </c>
      <c r="B717" s="13">
        <v>9.999</v>
      </c>
      <c r="C717" s="13">
        <v>9.999</v>
      </c>
      <c r="D717" s="13">
        <v>9.999</v>
      </c>
      <c r="E717" s="13">
        <v>9.999</v>
      </c>
      <c r="F717" s="15">
        <v>0.0001</v>
      </c>
    </row>
    <row r="718" spans="1:6">
      <c r="A718" s="14">
        <v>44302</v>
      </c>
      <c r="B718" s="13">
        <v>9.998</v>
      </c>
      <c r="C718" s="13">
        <v>9.998</v>
      </c>
      <c r="D718" s="13">
        <v>9.998</v>
      </c>
      <c r="E718" s="13">
        <v>9.998</v>
      </c>
      <c r="F718" s="15">
        <v>0</v>
      </c>
    </row>
    <row r="719" spans="1:6">
      <c r="A719" s="14">
        <v>44301</v>
      </c>
      <c r="B719" s="13">
        <v>9.998</v>
      </c>
      <c r="C719" s="13">
        <v>9.998</v>
      </c>
      <c r="D719" s="13">
        <v>9.998</v>
      </c>
      <c r="E719" s="13">
        <v>9.998</v>
      </c>
      <c r="F719" s="15">
        <v>-0.0001</v>
      </c>
    </row>
    <row r="720" spans="1:6">
      <c r="A720" s="14">
        <v>44300</v>
      </c>
      <c r="B720" s="13">
        <v>9.999</v>
      </c>
      <c r="C720" s="13">
        <v>9.999</v>
      </c>
      <c r="D720" s="13">
        <v>9.999</v>
      </c>
      <c r="E720" s="13">
        <v>9.999</v>
      </c>
      <c r="F720" s="15">
        <v>-0.0075</v>
      </c>
    </row>
    <row r="721" spans="1:6">
      <c r="A721" s="14">
        <v>44299</v>
      </c>
      <c r="B721" s="13">
        <v>10.075</v>
      </c>
      <c r="C721" s="13">
        <v>10.075</v>
      </c>
      <c r="D721" s="13">
        <v>10.075</v>
      </c>
      <c r="E721" s="13">
        <v>10.075</v>
      </c>
      <c r="F721" s="15">
        <v>0.0076</v>
      </c>
    </row>
    <row r="722" spans="1:6">
      <c r="A722" s="14">
        <v>44298</v>
      </c>
      <c r="B722" s="13">
        <v>9.999</v>
      </c>
      <c r="C722" s="13">
        <v>9.999</v>
      </c>
      <c r="D722" s="13">
        <v>9.999</v>
      </c>
      <c r="E722" s="13">
        <v>9.999</v>
      </c>
      <c r="F722" s="15">
        <v>0.0001</v>
      </c>
    </row>
    <row r="723" spans="1:6">
      <c r="A723" s="14">
        <v>44295</v>
      </c>
      <c r="B723" s="13">
        <v>9.998</v>
      </c>
      <c r="C723" s="13">
        <v>9.998</v>
      </c>
      <c r="D723" s="13">
        <v>9.998</v>
      </c>
      <c r="E723" s="13">
        <v>9.998</v>
      </c>
      <c r="F723" s="15">
        <v>0</v>
      </c>
    </row>
    <row r="724" spans="1:6">
      <c r="A724" s="14">
        <v>44294</v>
      </c>
      <c r="B724" s="13">
        <v>9.998</v>
      </c>
      <c r="C724" s="13">
        <v>9.998</v>
      </c>
      <c r="D724" s="13">
        <v>9.998</v>
      </c>
      <c r="E724" s="13">
        <v>9.998</v>
      </c>
      <c r="F724" s="15">
        <v>-0.0001</v>
      </c>
    </row>
    <row r="725" spans="1:6">
      <c r="A725" s="14">
        <v>44293</v>
      </c>
      <c r="B725" s="13">
        <v>9.999</v>
      </c>
      <c r="C725" s="13">
        <v>9.999</v>
      </c>
      <c r="D725" s="13">
        <v>9.999</v>
      </c>
      <c r="E725" s="13">
        <v>9.999</v>
      </c>
      <c r="F725" s="15">
        <v>0</v>
      </c>
    </row>
    <row r="726" spans="1:6">
      <c r="A726" s="14">
        <v>44292</v>
      </c>
      <c r="B726" s="13">
        <v>9.999</v>
      </c>
      <c r="C726" s="13">
        <v>9.999</v>
      </c>
      <c r="D726" s="13">
        <v>9.999</v>
      </c>
      <c r="E726" s="13">
        <v>9.999</v>
      </c>
      <c r="F726" s="15">
        <v>0</v>
      </c>
    </row>
    <row r="727" spans="1:6">
      <c r="A727" s="14">
        <v>44291</v>
      </c>
      <c r="B727" s="13">
        <v>9.999</v>
      </c>
      <c r="C727" s="13">
        <v>9.999</v>
      </c>
      <c r="D727" s="13">
        <v>9.999</v>
      </c>
      <c r="E727" s="13">
        <v>9.999</v>
      </c>
      <c r="F727" s="15">
        <v>0.0001</v>
      </c>
    </row>
    <row r="728" spans="1:6">
      <c r="A728" s="14">
        <v>44288</v>
      </c>
      <c r="B728" s="13">
        <v>9.998</v>
      </c>
      <c r="C728" s="13">
        <v>9.998</v>
      </c>
      <c r="D728" s="13">
        <v>9.998</v>
      </c>
      <c r="E728" s="13">
        <v>9.998</v>
      </c>
      <c r="F728" s="15">
        <v>0</v>
      </c>
    </row>
    <row r="729" spans="1:6">
      <c r="A729" s="14">
        <v>44287</v>
      </c>
      <c r="B729" s="13">
        <v>9.998</v>
      </c>
      <c r="C729" s="13">
        <v>9.998</v>
      </c>
      <c r="D729" s="13">
        <v>9.998</v>
      </c>
      <c r="E729" s="13">
        <v>9.998</v>
      </c>
      <c r="F729" s="15">
        <v>0.0003</v>
      </c>
    </row>
    <row r="730" spans="1:6">
      <c r="A730" s="14">
        <v>44286</v>
      </c>
      <c r="B730" s="13">
        <v>9.995</v>
      </c>
      <c r="C730" s="13">
        <v>9.995</v>
      </c>
      <c r="D730" s="13">
        <v>9.995</v>
      </c>
      <c r="E730" s="13">
        <v>9.995</v>
      </c>
      <c r="F730" s="15">
        <v>-0.0004</v>
      </c>
    </row>
    <row r="731" spans="1:6">
      <c r="A731" s="14">
        <v>44285</v>
      </c>
      <c r="B731" s="13">
        <v>9.999</v>
      </c>
      <c r="C731" s="13">
        <v>9.999</v>
      </c>
      <c r="D731" s="13">
        <v>9.999</v>
      </c>
      <c r="E731" s="13">
        <v>9.999</v>
      </c>
      <c r="F731" s="15">
        <v>0</v>
      </c>
    </row>
    <row r="732" spans="1:6">
      <c r="A732" s="14">
        <v>44284</v>
      </c>
      <c r="B732" s="13">
        <v>9.999</v>
      </c>
      <c r="C732" s="13">
        <v>9.999</v>
      </c>
      <c r="D732" s="13">
        <v>9.999</v>
      </c>
      <c r="E732" s="13">
        <v>9.999</v>
      </c>
      <c r="F732" s="15">
        <v>0.0001</v>
      </c>
    </row>
    <row r="733" spans="1:6">
      <c r="A733" s="14">
        <v>44281</v>
      </c>
      <c r="B733" s="13">
        <v>9.998</v>
      </c>
      <c r="C733" s="13">
        <v>9.998</v>
      </c>
      <c r="D733" s="13">
        <v>9.998</v>
      </c>
      <c r="E733" s="13">
        <v>9.998</v>
      </c>
      <c r="F733" s="15">
        <v>0</v>
      </c>
    </row>
    <row r="734" spans="1:6">
      <c r="A734" s="14">
        <v>44280</v>
      </c>
      <c r="B734" s="13">
        <v>9.998</v>
      </c>
      <c r="C734" s="13">
        <v>9.998</v>
      </c>
      <c r="D734" s="13">
        <v>9.998</v>
      </c>
      <c r="E734" s="13">
        <v>9.998</v>
      </c>
      <c r="F734" s="15">
        <v>-0.005</v>
      </c>
    </row>
    <row r="735" spans="1:6">
      <c r="A735" s="14">
        <v>44274</v>
      </c>
      <c r="B735" s="13">
        <v>10.048</v>
      </c>
      <c r="C735" s="13">
        <v>10.048</v>
      </c>
      <c r="D735" s="13">
        <v>10.048</v>
      </c>
      <c r="E735" s="13">
        <v>10.048</v>
      </c>
      <c r="F735" s="15">
        <v>0.0052</v>
      </c>
    </row>
    <row r="736" spans="1:6">
      <c r="A736" s="14">
        <v>44273</v>
      </c>
      <c r="B736" s="13">
        <v>9.996</v>
      </c>
      <c r="C736" s="13">
        <v>9.996</v>
      </c>
      <c r="D736" s="13">
        <v>9.996</v>
      </c>
      <c r="E736" s="13">
        <v>9.996</v>
      </c>
      <c r="F736" s="15">
        <v>-0.0003</v>
      </c>
    </row>
    <row r="737" spans="1:6">
      <c r="A737" s="14">
        <v>44272</v>
      </c>
      <c r="B737" s="13">
        <v>9.999</v>
      </c>
      <c r="C737" s="13">
        <v>9.999</v>
      </c>
      <c r="D737" s="13">
        <v>9.999</v>
      </c>
      <c r="E737" s="13">
        <v>9.999</v>
      </c>
      <c r="F737" s="15">
        <v>0</v>
      </c>
    </row>
    <row r="738" spans="1:6">
      <c r="A738" s="14">
        <v>44271</v>
      </c>
      <c r="B738" s="13">
        <v>9.999</v>
      </c>
      <c r="C738" s="13">
        <v>9.999</v>
      </c>
      <c r="D738" s="13">
        <v>9.999</v>
      </c>
      <c r="E738" s="13">
        <v>9.999</v>
      </c>
      <c r="F738" s="15">
        <v>0</v>
      </c>
    </row>
    <row r="739" spans="1:6">
      <c r="A739" s="14">
        <v>44270</v>
      </c>
      <c r="B739" s="13">
        <v>9.999</v>
      </c>
      <c r="C739" s="13">
        <v>9.999</v>
      </c>
      <c r="D739" s="13">
        <v>9.999</v>
      </c>
      <c r="E739" s="13">
        <v>9.999</v>
      </c>
      <c r="F739" s="15">
        <v>0.0001</v>
      </c>
    </row>
    <row r="740" spans="1:6">
      <c r="A740" s="14">
        <v>44267</v>
      </c>
      <c r="B740" s="13">
        <v>9.998</v>
      </c>
      <c r="C740" s="13">
        <v>9.998</v>
      </c>
      <c r="D740" s="13">
        <v>9.998</v>
      </c>
      <c r="E740" s="13">
        <v>9.998</v>
      </c>
      <c r="F740" s="15">
        <v>0</v>
      </c>
    </row>
    <row r="741" spans="1:6">
      <c r="A741" s="14">
        <v>44266</v>
      </c>
      <c r="B741" s="13">
        <v>9.998</v>
      </c>
      <c r="C741" s="13">
        <v>9.998</v>
      </c>
      <c r="D741" s="13">
        <v>9.998</v>
      </c>
      <c r="E741" s="13">
        <v>9.998</v>
      </c>
      <c r="F741" s="15">
        <v>0.0187</v>
      </c>
    </row>
    <row r="742" spans="1:6">
      <c r="A742" s="14">
        <v>44265</v>
      </c>
      <c r="B742" s="13">
        <v>9.814</v>
      </c>
      <c r="C742" s="13">
        <v>9.814</v>
      </c>
      <c r="D742" s="13">
        <v>9.814</v>
      </c>
      <c r="E742" s="13">
        <v>9.814</v>
      </c>
      <c r="F742" s="15">
        <v>-0.0185</v>
      </c>
    </row>
    <row r="743" spans="1:6">
      <c r="A743" s="14">
        <v>44264</v>
      </c>
      <c r="B743" s="13">
        <v>9.999</v>
      </c>
      <c r="C743" s="13">
        <v>9.999</v>
      </c>
      <c r="D743" s="13">
        <v>9.999</v>
      </c>
      <c r="E743" s="13">
        <v>9.999</v>
      </c>
      <c r="F743" s="15">
        <v>0.0213</v>
      </c>
    </row>
    <row r="744" spans="1:6">
      <c r="A744" s="14">
        <v>44260</v>
      </c>
      <c r="B744" s="13">
        <v>9.79</v>
      </c>
      <c r="C744" s="13">
        <v>9.79</v>
      </c>
      <c r="D744" s="13">
        <v>9.79</v>
      </c>
      <c r="E744" s="13">
        <v>9.79</v>
      </c>
      <c r="F744" s="15">
        <v>-0.0207</v>
      </c>
    </row>
    <row r="745" spans="1:6">
      <c r="A745" s="14">
        <v>44259</v>
      </c>
      <c r="B745" s="13">
        <v>9.997</v>
      </c>
      <c r="C745" s="13">
        <v>9.997</v>
      </c>
      <c r="D745" s="13">
        <v>9.997</v>
      </c>
      <c r="E745" s="13">
        <v>9.997</v>
      </c>
      <c r="F745" s="15">
        <v>-0.0002</v>
      </c>
    </row>
    <row r="746" spans="1:6">
      <c r="A746" s="14">
        <v>44258</v>
      </c>
      <c r="B746" s="13">
        <v>9.999</v>
      </c>
      <c r="C746" s="13">
        <v>9.999</v>
      </c>
      <c r="D746" s="13">
        <v>9.999</v>
      </c>
      <c r="E746" s="13">
        <v>9.999</v>
      </c>
      <c r="F746" s="15">
        <v>0</v>
      </c>
    </row>
    <row r="747" spans="1:6">
      <c r="A747" s="14">
        <v>44257</v>
      </c>
      <c r="B747" s="13">
        <v>9.999</v>
      </c>
      <c r="C747" s="13">
        <v>9.999</v>
      </c>
      <c r="D747" s="13">
        <v>9.999</v>
      </c>
      <c r="E747" s="13">
        <v>9.999</v>
      </c>
      <c r="F747" s="15">
        <v>0</v>
      </c>
    </row>
    <row r="748" spans="1:6">
      <c r="A748" s="14">
        <v>44256</v>
      </c>
      <c r="B748" s="13">
        <v>9.999</v>
      </c>
      <c r="C748" s="13">
        <v>9.999</v>
      </c>
      <c r="D748" s="13">
        <v>9.999</v>
      </c>
      <c r="E748" s="13">
        <v>9.999</v>
      </c>
      <c r="F748" s="15">
        <v>0.0002</v>
      </c>
    </row>
    <row r="749" spans="1:6">
      <c r="A749" s="14">
        <v>44253</v>
      </c>
      <c r="B749" s="13">
        <v>9.997</v>
      </c>
      <c r="C749" s="13">
        <v>9.997</v>
      </c>
      <c r="D749" s="13">
        <v>9.997</v>
      </c>
      <c r="E749" s="13">
        <v>9.997</v>
      </c>
      <c r="F749" s="15">
        <v>0</v>
      </c>
    </row>
    <row r="750" spans="1:6">
      <c r="A750" s="14">
        <v>44252</v>
      </c>
      <c r="B750" s="13">
        <v>9.997</v>
      </c>
      <c r="C750" s="13">
        <v>9.997</v>
      </c>
      <c r="D750" s="13">
        <v>9.997</v>
      </c>
      <c r="E750" s="13">
        <v>9.997</v>
      </c>
      <c r="F750" s="15">
        <v>-0.0002</v>
      </c>
    </row>
    <row r="751" spans="1:6">
      <c r="A751" s="14">
        <v>44251</v>
      </c>
      <c r="B751" s="13">
        <v>9.999</v>
      </c>
      <c r="C751" s="13">
        <v>9.999</v>
      </c>
      <c r="D751" s="13">
        <v>9.999</v>
      </c>
      <c r="E751" s="13">
        <v>9.999</v>
      </c>
      <c r="F751" s="15">
        <v>0</v>
      </c>
    </row>
    <row r="752" spans="1:6">
      <c r="A752" s="14">
        <v>44250</v>
      </c>
      <c r="B752" s="13">
        <v>9.999</v>
      </c>
      <c r="C752" s="13">
        <v>9.999</v>
      </c>
      <c r="D752" s="13">
        <v>9.999</v>
      </c>
      <c r="E752" s="13">
        <v>9.999</v>
      </c>
      <c r="F752" s="15">
        <v>0</v>
      </c>
    </row>
    <row r="753" spans="1:6">
      <c r="A753" s="14">
        <v>44249</v>
      </c>
      <c r="B753" s="13">
        <v>9.999</v>
      </c>
      <c r="C753" s="13">
        <v>9.999</v>
      </c>
      <c r="D753" s="13">
        <v>9.999</v>
      </c>
      <c r="E753" s="13">
        <v>9.999</v>
      </c>
      <c r="F753" s="15">
        <v>0.0001</v>
      </c>
    </row>
    <row r="754" spans="1:6">
      <c r="A754" s="14">
        <v>44246</v>
      </c>
      <c r="B754" s="13">
        <v>9.998</v>
      </c>
      <c r="C754" s="13">
        <v>9.998</v>
      </c>
      <c r="D754" s="13">
        <v>9.998</v>
      </c>
      <c r="E754" s="13">
        <v>9.998</v>
      </c>
      <c r="F754" s="15">
        <v>0</v>
      </c>
    </row>
    <row r="755" spans="1:6">
      <c r="A755" s="14">
        <v>44245</v>
      </c>
      <c r="B755" s="13">
        <v>9.998</v>
      </c>
      <c r="C755" s="13">
        <v>9.998</v>
      </c>
      <c r="D755" s="13">
        <v>9.998</v>
      </c>
      <c r="E755" s="13">
        <v>9.998</v>
      </c>
      <c r="F755" s="15">
        <v>-0.0001</v>
      </c>
    </row>
    <row r="756" spans="1:6">
      <c r="A756" s="14">
        <v>44244</v>
      </c>
      <c r="B756" s="13">
        <v>9.999</v>
      </c>
      <c r="C756" s="13">
        <v>9.999</v>
      </c>
      <c r="D756" s="13">
        <v>9.999</v>
      </c>
      <c r="E756" s="13">
        <v>9.999</v>
      </c>
      <c r="F756" s="15">
        <v>0</v>
      </c>
    </row>
    <row r="757" spans="1:6">
      <c r="A757" s="14">
        <v>44243</v>
      </c>
      <c r="B757" s="13">
        <v>9.999</v>
      </c>
      <c r="C757" s="13">
        <v>9.999</v>
      </c>
      <c r="D757" s="13">
        <v>9.999</v>
      </c>
      <c r="E757" s="13">
        <v>9.999</v>
      </c>
      <c r="F757" s="15">
        <v>0</v>
      </c>
    </row>
    <row r="758" spans="1:6">
      <c r="A758" s="14">
        <v>44242</v>
      </c>
      <c r="B758" s="13">
        <v>9.999</v>
      </c>
      <c r="C758" s="13">
        <v>9.999</v>
      </c>
      <c r="D758" s="13">
        <v>9.999</v>
      </c>
      <c r="E758" s="13">
        <v>9.999</v>
      </c>
      <c r="F758" s="15">
        <v>0.0001</v>
      </c>
    </row>
    <row r="759" spans="1:6">
      <c r="A759" s="14">
        <v>44239</v>
      </c>
      <c r="B759" s="13">
        <v>9.998</v>
      </c>
      <c r="C759" s="13">
        <v>9.998</v>
      </c>
      <c r="D759" s="13">
        <v>9.998</v>
      </c>
      <c r="E759" s="13">
        <v>9.998</v>
      </c>
      <c r="F759" s="15">
        <v>0</v>
      </c>
    </row>
    <row r="760" spans="1:6">
      <c r="A760" s="14">
        <v>44238</v>
      </c>
      <c r="B760" s="13">
        <v>9.998</v>
      </c>
      <c r="C760" s="13">
        <v>9.998</v>
      </c>
      <c r="D760" s="13">
        <v>9.998</v>
      </c>
      <c r="E760" s="13">
        <v>9.998</v>
      </c>
      <c r="F760" s="15">
        <v>-0.0001</v>
      </c>
    </row>
    <row r="761" spans="1:6">
      <c r="A761" s="14">
        <v>44237</v>
      </c>
      <c r="B761" s="13">
        <v>9.999</v>
      </c>
      <c r="C761" s="13">
        <v>9.999</v>
      </c>
      <c r="D761" s="13">
        <v>9.999</v>
      </c>
      <c r="E761" s="13">
        <v>9.999</v>
      </c>
      <c r="F761" s="15">
        <v>0</v>
      </c>
    </row>
    <row r="762" spans="1:6">
      <c r="A762" s="14">
        <v>44236</v>
      </c>
      <c r="B762" s="13">
        <v>9.999</v>
      </c>
      <c r="C762" s="13">
        <v>9.999</v>
      </c>
      <c r="D762" s="13">
        <v>9.999</v>
      </c>
      <c r="E762" s="13">
        <v>9.999</v>
      </c>
      <c r="F762" s="15">
        <v>0</v>
      </c>
    </row>
    <row r="763" spans="1:6">
      <c r="A763" s="14">
        <v>44235</v>
      </c>
      <c r="B763" s="13">
        <v>9.999</v>
      </c>
      <c r="C763" s="13">
        <v>9.999</v>
      </c>
      <c r="D763" s="13">
        <v>9.999</v>
      </c>
      <c r="E763" s="13">
        <v>9.999</v>
      </c>
      <c r="F763" s="15">
        <v>0.0001</v>
      </c>
    </row>
    <row r="764" spans="1:6">
      <c r="A764" s="14">
        <v>44232</v>
      </c>
      <c r="B764" s="13">
        <v>9.998</v>
      </c>
      <c r="C764" s="13">
        <v>9.998</v>
      </c>
      <c r="D764" s="13">
        <v>9.998</v>
      </c>
      <c r="E764" s="13">
        <v>9.998</v>
      </c>
      <c r="F764" s="15">
        <v>0</v>
      </c>
    </row>
    <row r="765" spans="1:6">
      <c r="A765" s="14">
        <v>44231</v>
      </c>
      <c r="B765" s="13">
        <v>9.998</v>
      </c>
      <c r="C765" s="13">
        <v>9.998</v>
      </c>
      <c r="D765" s="13">
        <v>9.998</v>
      </c>
      <c r="E765" s="13">
        <v>9.998</v>
      </c>
      <c r="F765" s="15">
        <v>-0.0001</v>
      </c>
    </row>
    <row r="766" spans="1:6">
      <c r="A766" s="14">
        <v>44230</v>
      </c>
      <c r="B766" s="13">
        <v>9.999</v>
      </c>
      <c r="C766" s="13">
        <v>9.999</v>
      </c>
      <c r="D766" s="13">
        <v>9.999</v>
      </c>
      <c r="E766" s="13">
        <v>9.999</v>
      </c>
      <c r="F766" s="15">
        <v>0.0249</v>
      </c>
    </row>
    <row r="767" spans="1:6">
      <c r="A767" s="14">
        <v>44229</v>
      </c>
      <c r="B767" s="13">
        <v>9.756</v>
      </c>
      <c r="C767" s="13">
        <v>9.756</v>
      </c>
      <c r="D767" s="13">
        <v>9.756</v>
      </c>
      <c r="E767" s="13">
        <v>9.756</v>
      </c>
      <c r="F767" s="15">
        <v>-0.0243</v>
      </c>
    </row>
    <row r="768" spans="1:6">
      <c r="A768" s="14">
        <v>44228</v>
      </c>
      <c r="B768" s="13">
        <v>9.999</v>
      </c>
      <c r="C768" s="13">
        <v>9.999</v>
      </c>
      <c r="D768" s="13">
        <v>9.999</v>
      </c>
      <c r="E768" s="13">
        <v>9.999</v>
      </c>
      <c r="F768" s="15">
        <v>0.0001</v>
      </c>
    </row>
    <row r="769" spans="1:6">
      <c r="A769" s="14">
        <v>44225</v>
      </c>
      <c r="B769" s="13">
        <v>9.998</v>
      </c>
      <c r="C769" s="13">
        <v>9.998</v>
      </c>
      <c r="D769" s="13">
        <v>9.998</v>
      </c>
      <c r="E769" s="13">
        <v>9.998</v>
      </c>
      <c r="F769" s="15">
        <v>0</v>
      </c>
    </row>
    <row r="770" spans="1:6">
      <c r="A770" s="14">
        <v>44224</v>
      </c>
      <c r="B770" s="13">
        <v>9.998</v>
      </c>
      <c r="C770" s="13">
        <v>9.998</v>
      </c>
      <c r="D770" s="13">
        <v>9.998</v>
      </c>
      <c r="E770" s="13">
        <v>9.998</v>
      </c>
      <c r="F770" s="15">
        <v>-0.0001</v>
      </c>
    </row>
    <row r="771" spans="1:6">
      <c r="A771" s="14">
        <v>44223</v>
      </c>
      <c r="B771" s="13">
        <v>9.999</v>
      </c>
      <c r="C771" s="13">
        <v>9.999</v>
      </c>
      <c r="D771" s="13">
        <v>9.999</v>
      </c>
      <c r="E771" s="13">
        <v>9.999</v>
      </c>
      <c r="F771" s="15">
        <v>0</v>
      </c>
    </row>
    <row r="772" spans="1:6">
      <c r="A772" s="14">
        <v>44222</v>
      </c>
      <c r="B772" s="13">
        <v>9.999</v>
      </c>
      <c r="C772" s="13">
        <v>9.999</v>
      </c>
      <c r="D772" s="13">
        <v>9.999</v>
      </c>
      <c r="E772" s="13">
        <v>9.999</v>
      </c>
      <c r="F772" s="15">
        <v>0</v>
      </c>
    </row>
    <row r="773" spans="1:6">
      <c r="A773" s="14">
        <v>44221</v>
      </c>
      <c r="B773" s="13">
        <v>9.999</v>
      </c>
      <c r="C773" s="13">
        <v>9.999</v>
      </c>
      <c r="D773" s="13">
        <v>9.999</v>
      </c>
      <c r="E773" s="13">
        <v>9.999</v>
      </c>
      <c r="F773" s="15">
        <v>0.0001</v>
      </c>
    </row>
    <row r="774" spans="1:6">
      <c r="A774" s="14">
        <v>44218</v>
      </c>
      <c r="B774" s="13">
        <v>9.998</v>
      </c>
      <c r="C774" s="13">
        <v>9.998</v>
      </c>
      <c r="D774" s="13">
        <v>9.998</v>
      </c>
      <c r="E774" s="13">
        <v>9.998</v>
      </c>
      <c r="F774" s="15">
        <v>-0.0196</v>
      </c>
    </row>
    <row r="775" spans="1:6">
      <c r="A775" s="14">
        <v>44217</v>
      </c>
      <c r="B775" s="13">
        <v>10.198</v>
      </c>
      <c r="C775" s="13">
        <v>10.198</v>
      </c>
      <c r="D775" s="13">
        <v>10.198</v>
      </c>
      <c r="E775" s="13">
        <v>10.198</v>
      </c>
      <c r="F775" s="15">
        <v>-0.0001</v>
      </c>
    </row>
    <row r="776" spans="1:6">
      <c r="A776" s="14">
        <v>44216</v>
      </c>
      <c r="B776" s="13">
        <v>10.199</v>
      </c>
      <c r="C776" s="13">
        <v>10.199</v>
      </c>
      <c r="D776" s="13">
        <v>10.199</v>
      </c>
      <c r="E776" s="13">
        <v>10.199</v>
      </c>
      <c r="F776" s="15">
        <v>0</v>
      </c>
    </row>
    <row r="777" spans="1:6">
      <c r="A777" s="14">
        <v>44215</v>
      </c>
      <c r="B777" s="13">
        <v>10.199</v>
      </c>
      <c r="C777" s="13">
        <v>10.199</v>
      </c>
      <c r="D777" s="13">
        <v>10.199</v>
      </c>
      <c r="E777" s="13">
        <v>10.199</v>
      </c>
      <c r="F777" s="15">
        <v>0</v>
      </c>
    </row>
    <row r="778" spans="1:6">
      <c r="A778" s="14">
        <v>44214</v>
      </c>
      <c r="B778" s="13">
        <v>10.199</v>
      </c>
      <c r="C778" s="13">
        <v>10.199</v>
      </c>
      <c r="D778" s="13">
        <v>10.199</v>
      </c>
      <c r="E778" s="13">
        <v>10.199</v>
      </c>
      <c r="F778" s="15">
        <v>0.0001</v>
      </c>
    </row>
    <row r="779" spans="1:6">
      <c r="A779" s="14">
        <v>44211</v>
      </c>
      <c r="B779" s="13">
        <v>10.198</v>
      </c>
      <c r="C779" s="13">
        <v>10.198</v>
      </c>
      <c r="D779" s="13">
        <v>10.198</v>
      </c>
      <c r="E779" s="13">
        <v>10.198</v>
      </c>
      <c r="F779" s="15">
        <v>0</v>
      </c>
    </row>
    <row r="780" spans="1:6">
      <c r="A780" s="14">
        <v>44210</v>
      </c>
      <c r="B780" s="13">
        <v>10.198</v>
      </c>
      <c r="C780" s="13">
        <v>10.198</v>
      </c>
      <c r="D780" s="13">
        <v>10.198</v>
      </c>
      <c r="E780" s="13">
        <v>10.198</v>
      </c>
      <c r="F780" s="15">
        <v>-0.0001</v>
      </c>
    </row>
    <row r="781" spans="1:6">
      <c r="A781" s="14">
        <v>44209</v>
      </c>
      <c r="B781" s="13">
        <v>10.199</v>
      </c>
      <c r="C781" s="13">
        <v>10.199</v>
      </c>
      <c r="D781" s="13">
        <v>10.199</v>
      </c>
      <c r="E781" s="13">
        <v>10.199</v>
      </c>
      <c r="F781" s="15">
        <v>0</v>
      </c>
    </row>
    <row r="782" spans="1:6">
      <c r="A782" s="14">
        <v>44208</v>
      </c>
      <c r="B782" s="13">
        <v>10.199</v>
      </c>
      <c r="C782" s="13">
        <v>10.199</v>
      </c>
      <c r="D782" s="13">
        <v>10.199</v>
      </c>
      <c r="E782" s="13">
        <v>10.199</v>
      </c>
      <c r="F782" s="15">
        <v>0</v>
      </c>
    </row>
    <row r="783" spans="1:6">
      <c r="A783" s="14">
        <v>44207</v>
      </c>
      <c r="B783" s="13">
        <v>10.199</v>
      </c>
      <c r="C783" s="13">
        <v>10.199</v>
      </c>
      <c r="D783" s="13">
        <v>10.199</v>
      </c>
      <c r="E783" s="13">
        <v>10.199</v>
      </c>
      <c r="F783" s="15">
        <v>0.0001</v>
      </c>
    </row>
    <row r="784" spans="1:6">
      <c r="A784" s="14">
        <v>44204</v>
      </c>
      <c r="B784" s="13">
        <v>10.198</v>
      </c>
      <c r="C784" s="13">
        <v>10.198</v>
      </c>
      <c r="D784" s="13">
        <v>10.198</v>
      </c>
      <c r="E784" s="13">
        <v>10.198</v>
      </c>
      <c r="F784" s="15">
        <v>0.0001</v>
      </c>
    </row>
    <row r="785" spans="1:6">
      <c r="A785" s="14">
        <v>44202</v>
      </c>
      <c r="B785" s="13">
        <v>10.197</v>
      </c>
      <c r="C785" s="13">
        <v>10.197</v>
      </c>
      <c r="D785" s="13">
        <v>10.197</v>
      </c>
      <c r="E785" s="13">
        <v>10.197</v>
      </c>
      <c r="F785" s="15">
        <v>-0.0001</v>
      </c>
    </row>
    <row r="786" spans="1:6">
      <c r="A786" s="14">
        <v>44201</v>
      </c>
      <c r="B786" s="13">
        <v>10.198</v>
      </c>
      <c r="C786" s="13">
        <v>10.198</v>
      </c>
      <c r="D786" s="13">
        <v>10.198</v>
      </c>
      <c r="E786" s="13">
        <v>10.198</v>
      </c>
      <c r="F786" s="15">
        <v>0.0005</v>
      </c>
    </row>
    <row r="787" spans="1:6">
      <c r="A787" s="14">
        <v>44196</v>
      </c>
      <c r="B787" s="13">
        <v>10.193</v>
      </c>
      <c r="C787" s="13">
        <v>10.193</v>
      </c>
      <c r="D787" s="13">
        <v>10.193</v>
      </c>
      <c r="E787" s="13">
        <v>10.193</v>
      </c>
      <c r="F787" s="15">
        <v>-0.0004</v>
      </c>
    </row>
    <row r="788" spans="1:6">
      <c r="A788" s="14">
        <v>44195</v>
      </c>
      <c r="B788" s="13">
        <v>10.197</v>
      </c>
      <c r="C788" s="13">
        <v>10.197</v>
      </c>
      <c r="D788" s="13">
        <v>10.197</v>
      </c>
      <c r="E788" s="13">
        <v>10.197</v>
      </c>
      <c r="F788" s="15">
        <v>-0.0003</v>
      </c>
    </row>
    <row r="789" spans="1:6">
      <c r="A789" s="14">
        <v>44194</v>
      </c>
      <c r="B789" s="13">
        <v>10.2</v>
      </c>
      <c r="C789" s="13">
        <v>10.2</v>
      </c>
      <c r="D789" s="13">
        <v>10.2</v>
      </c>
      <c r="E789" s="13">
        <v>10.2</v>
      </c>
      <c r="F789" s="15">
        <v>0.0001</v>
      </c>
    </row>
    <row r="790" spans="1:6">
      <c r="A790" s="14">
        <v>44193</v>
      </c>
      <c r="B790" s="13">
        <v>10.199</v>
      </c>
      <c r="C790" s="13">
        <v>10.199</v>
      </c>
      <c r="D790" s="13">
        <v>10.199</v>
      </c>
      <c r="E790" s="13">
        <v>10.199</v>
      </c>
      <c r="F790" s="15">
        <v>0.0001</v>
      </c>
    </row>
    <row r="791" spans="1:6">
      <c r="A791" s="14">
        <v>44190</v>
      </c>
      <c r="B791" s="13">
        <v>10.198</v>
      </c>
      <c r="C791" s="13">
        <v>10.198</v>
      </c>
      <c r="D791" s="13">
        <v>10.198</v>
      </c>
      <c r="E791" s="13">
        <v>10.198</v>
      </c>
      <c r="F791" s="15">
        <v>0</v>
      </c>
    </row>
    <row r="792" spans="1:6">
      <c r="A792" s="14">
        <v>44189</v>
      </c>
      <c r="B792" s="13">
        <v>10.198</v>
      </c>
      <c r="C792" s="13">
        <v>10.198</v>
      </c>
      <c r="D792" s="13">
        <v>10.198</v>
      </c>
      <c r="E792" s="13">
        <v>10.198</v>
      </c>
      <c r="F792" s="15">
        <v>-0.0001</v>
      </c>
    </row>
    <row r="793" spans="1:6">
      <c r="A793" s="14">
        <v>44188</v>
      </c>
      <c r="B793" s="13">
        <v>10.199</v>
      </c>
      <c r="C793" s="13">
        <v>10.199</v>
      </c>
      <c r="D793" s="13">
        <v>10.199</v>
      </c>
      <c r="E793" s="13">
        <v>10.199</v>
      </c>
      <c r="F793" s="15">
        <v>0</v>
      </c>
    </row>
    <row r="794" spans="1:6">
      <c r="A794" s="14">
        <v>44187</v>
      </c>
      <c r="B794" s="13">
        <v>10.199</v>
      </c>
      <c r="C794" s="13">
        <v>10.199</v>
      </c>
      <c r="D794" s="13">
        <v>10.199</v>
      </c>
      <c r="E794" s="13">
        <v>10.199</v>
      </c>
      <c r="F794" s="15">
        <v>0</v>
      </c>
    </row>
    <row r="795" spans="1:6">
      <c r="A795" s="14">
        <v>44186</v>
      </c>
      <c r="B795" s="13">
        <v>10.199</v>
      </c>
      <c r="C795" s="13">
        <v>10.199</v>
      </c>
      <c r="D795" s="13">
        <v>10.199</v>
      </c>
      <c r="E795" s="13">
        <v>10.199</v>
      </c>
      <c r="F795" s="15">
        <v>0.0289</v>
      </c>
    </row>
    <row r="796" spans="1:6">
      <c r="A796" s="14">
        <v>44185</v>
      </c>
      <c r="B796" s="13">
        <v>9.913</v>
      </c>
      <c r="C796" s="13">
        <v>9.913</v>
      </c>
      <c r="D796" s="13">
        <v>9.913</v>
      </c>
      <c r="E796" s="13">
        <v>9.913</v>
      </c>
      <c r="F796" s="15">
        <v>-0.0003</v>
      </c>
    </row>
    <row r="797" spans="1:6">
      <c r="A797" s="14">
        <v>44180</v>
      </c>
      <c r="B797" s="13">
        <v>9.916</v>
      </c>
      <c r="C797" s="13">
        <v>9.916</v>
      </c>
      <c r="D797" s="13">
        <v>9.916</v>
      </c>
      <c r="E797" s="13">
        <v>9.916</v>
      </c>
      <c r="F797" s="15">
        <v>0</v>
      </c>
    </row>
    <row r="798" spans="1:6">
      <c r="A798" s="14">
        <v>44179</v>
      </c>
      <c r="B798" s="13">
        <v>9.916</v>
      </c>
      <c r="C798" s="13">
        <v>9.916</v>
      </c>
      <c r="D798" s="13">
        <v>9.916</v>
      </c>
      <c r="E798" s="13">
        <v>9.916</v>
      </c>
      <c r="F798" s="15">
        <v>-0.0126</v>
      </c>
    </row>
    <row r="799" spans="1:6">
      <c r="A799" s="14">
        <v>44176</v>
      </c>
      <c r="B799" s="13">
        <v>10.043</v>
      </c>
      <c r="C799" s="13">
        <v>10.043</v>
      </c>
      <c r="D799" s="13">
        <v>10.043</v>
      </c>
      <c r="E799" s="13">
        <v>10.043</v>
      </c>
      <c r="F799" s="15">
        <v>-0.0045</v>
      </c>
    </row>
    <row r="800" spans="1:6">
      <c r="A800" s="14">
        <v>44175</v>
      </c>
      <c r="B800" s="13">
        <v>10.088</v>
      </c>
      <c r="C800" s="13">
        <v>10.088</v>
      </c>
      <c r="D800" s="13">
        <v>10.088</v>
      </c>
      <c r="E800" s="13">
        <v>10.088</v>
      </c>
      <c r="F800" s="15">
        <v>-0.0023</v>
      </c>
    </row>
    <row r="801" spans="1:6">
      <c r="A801" s="14">
        <v>44174</v>
      </c>
      <c r="B801" s="13">
        <v>10.111</v>
      </c>
      <c r="C801" s="13">
        <v>10.111</v>
      </c>
      <c r="D801" s="13">
        <v>10.111</v>
      </c>
      <c r="E801" s="13">
        <v>10.111</v>
      </c>
      <c r="F801" s="15">
        <v>-0.0011</v>
      </c>
    </row>
    <row r="802" spans="1:6">
      <c r="A802" s="14">
        <v>44173</v>
      </c>
      <c r="B802" s="13">
        <v>10.122</v>
      </c>
      <c r="C802" s="13">
        <v>10.122</v>
      </c>
      <c r="D802" s="13">
        <v>10.122</v>
      </c>
      <c r="E802" s="13">
        <v>10.122</v>
      </c>
      <c r="F802" s="15">
        <v>-0.0012</v>
      </c>
    </row>
    <row r="803" spans="1:6">
      <c r="A803" s="14">
        <v>44172</v>
      </c>
      <c r="B803" s="13">
        <v>10.134</v>
      </c>
      <c r="C803" s="13">
        <v>10.134</v>
      </c>
      <c r="D803" s="13">
        <v>10.134</v>
      </c>
      <c r="E803" s="13">
        <v>10.134</v>
      </c>
      <c r="F803" s="15">
        <v>-0.0108</v>
      </c>
    </row>
    <row r="804" spans="1:6">
      <c r="A804" s="14">
        <v>44169</v>
      </c>
      <c r="B804" s="13">
        <v>10.245</v>
      </c>
      <c r="C804" s="13">
        <v>10.245</v>
      </c>
      <c r="D804" s="13">
        <v>10.245</v>
      </c>
      <c r="E804" s="13">
        <v>10.245</v>
      </c>
      <c r="F804" s="15">
        <v>-0.0172</v>
      </c>
    </row>
    <row r="805" spans="1:6">
      <c r="A805" s="14">
        <v>44168</v>
      </c>
      <c r="B805" s="13">
        <v>10.424</v>
      </c>
      <c r="C805" s="13">
        <v>10.424</v>
      </c>
      <c r="D805" s="13">
        <v>10.424</v>
      </c>
      <c r="E805" s="13">
        <v>10.424</v>
      </c>
      <c r="F805" s="15">
        <v>0.004</v>
      </c>
    </row>
    <row r="806" spans="1:6">
      <c r="A806" s="14">
        <v>44167</v>
      </c>
      <c r="B806" s="13">
        <v>10.382</v>
      </c>
      <c r="C806" s="13">
        <v>10.382</v>
      </c>
      <c r="D806" s="13">
        <v>10.382</v>
      </c>
      <c r="E806" s="13">
        <v>10.382</v>
      </c>
      <c r="F806" s="15">
        <v>0.0002</v>
      </c>
    </row>
    <row r="807" spans="1:6">
      <c r="A807" s="14">
        <v>44165</v>
      </c>
      <c r="B807" s="13">
        <v>10.38</v>
      </c>
      <c r="C807" s="13">
        <v>10.38</v>
      </c>
      <c r="D807" s="13">
        <v>10.38</v>
      </c>
      <c r="E807" s="13">
        <v>10.38</v>
      </c>
      <c r="F807" s="15">
        <v>-0.0039</v>
      </c>
    </row>
    <row r="808" spans="1:6">
      <c r="A808" s="14">
        <v>44162</v>
      </c>
      <c r="B808" s="13">
        <v>10.421</v>
      </c>
      <c r="C808" s="13">
        <v>10.421</v>
      </c>
      <c r="D808" s="13">
        <v>10.421</v>
      </c>
      <c r="E808" s="13">
        <v>10.421</v>
      </c>
      <c r="F808" s="15">
        <v>0.0055</v>
      </c>
    </row>
    <row r="809" spans="1:6">
      <c r="A809" s="14">
        <v>44161</v>
      </c>
      <c r="B809" s="13">
        <v>10.364</v>
      </c>
      <c r="C809" s="13">
        <v>10.364</v>
      </c>
      <c r="D809" s="13">
        <v>10.364</v>
      </c>
      <c r="E809" s="13">
        <v>10.364</v>
      </c>
      <c r="F809" s="15">
        <v>0.0064</v>
      </c>
    </row>
    <row r="810" spans="1:6">
      <c r="A810" s="14">
        <v>44160</v>
      </c>
      <c r="B810" s="13">
        <v>10.298</v>
      </c>
      <c r="C810" s="13">
        <v>10.298</v>
      </c>
      <c r="D810" s="13">
        <v>10.298</v>
      </c>
      <c r="E810" s="13">
        <v>10.298</v>
      </c>
      <c r="F810" s="15">
        <v>-0.0096</v>
      </c>
    </row>
    <row r="811" spans="1:6">
      <c r="A811" s="14">
        <v>44159</v>
      </c>
      <c r="B811" s="13">
        <v>10.398</v>
      </c>
      <c r="C811" s="13">
        <v>10.398</v>
      </c>
      <c r="D811" s="13">
        <v>10.398</v>
      </c>
      <c r="E811" s="13">
        <v>10.398</v>
      </c>
      <c r="F811" s="15">
        <v>-0.0143</v>
      </c>
    </row>
    <row r="812" spans="1:6">
      <c r="A812" s="14">
        <v>44158</v>
      </c>
      <c r="B812" s="13">
        <v>10.549</v>
      </c>
      <c r="C812" s="13">
        <v>10.549</v>
      </c>
      <c r="D812" s="13">
        <v>10.549</v>
      </c>
      <c r="E812" s="13">
        <v>10.549</v>
      </c>
      <c r="F812" s="15">
        <v>0.0001</v>
      </c>
    </row>
    <row r="813" spans="1:6">
      <c r="A813" s="14">
        <v>44155</v>
      </c>
      <c r="B813" s="13">
        <v>10.548</v>
      </c>
      <c r="C813" s="13">
        <v>10.548</v>
      </c>
      <c r="D813" s="13">
        <v>10.548</v>
      </c>
      <c r="E813" s="13">
        <v>10.548</v>
      </c>
      <c r="F813" s="15">
        <v>0.0293</v>
      </c>
    </row>
    <row r="814" spans="1:6">
      <c r="A814" s="14">
        <v>44154</v>
      </c>
      <c r="B814" s="13">
        <v>10.248</v>
      </c>
      <c r="C814" s="13">
        <v>10.248</v>
      </c>
      <c r="D814" s="13">
        <v>10.248</v>
      </c>
      <c r="E814" s="13">
        <v>10.248</v>
      </c>
      <c r="F814" s="15">
        <v>0.0044</v>
      </c>
    </row>
    <row r="815" spans="1:6">
      <c r="A815" s="14">
        <v>44153</v>
      </c>
      <c r="B815" s="13">
        <v>10.203</v>
      </c>
      <c r="C815" s="13">
        <v>10.203</v>
      </c>
      <c r="D815" s="13">
        <v>10.203</v>
      </c>
      <c r="E815" s="13">
        <v>10.203</v>
      </c>
      <c r="F815" s="15">
        <v>0.0008</v>
      </c>
    </row>
    <row r="816" spans="1:6">
      <c r="A816" s="14">
        <v>44152</v>
      </c>
      <c r="B816" s="13">
        <v>10.195</v>
      </c>
      <c r="C816" s="13">
        <v>10.195</v>
      </c>
      <c r="D816" s="13">
        <v>10.195</v>
      </c>
      <c r="E816" s="13">
        <v>10.195</v>
      </c>
      <c r="F816" s="15">
        <v>0.0006</v>
      </c>
    </row>
    <row r="817" spans="1:6">
      <c r="A817" s="14">
        <v>44151</v>
      </c>
      <c r="B817" s="13">
        <v>10.189</v>
      </c>
      <c r="C817" s="13">
        <v>10.189</v>
      </c>
      <c r="D817" s="13">
        <v>10.189</v>
      </c>
      <c r="E817" s="13">
        <v>10.189</v>
      </c>
      <c r="F817" s="15">
        <v>0.0004</v>
      </c>
    </row>
    <row r="818" spans="1:6">
      <c r="A818" s="14">
        <v>44148</v>
      </c>
      <c r="B818" s="13">
        <v>10.185</v>
      </c>
      <c r="C818" s="13">
        <v>10.185</v>
      </c>
      <c r="D818" s="13">
        <v>10.185</v>
      </c>
      <c r="E818" s="13">
        <v>10.185</v>
      </c>
      <c r="F818" s="15">
        <v>-0.001</v>
      </c>
    </row>
    <row r="819" spans="1:6">
      <c r="A819" s="14">
        <v>44147</v>
      </c>
      <c r="B819" s="13">
        <v>10.195</v>
      </c>
      <c r="C819" s="13">
        <v>10.195</v>
      </c>
      <c r="D819" s="13">
        <v>10.195</v>
      </c>
      <c r="E819" s="13">
        <v>10.195</v>
      </c>
      <c r="F819" s="15">
        <v>-0.0007</v>
      </c>
    </row>
    <row r="820" spans="1:6">
      <c r="A820" s="14">
        <v>44146</v>
      </c>
      <c r="B820" s="13">
        <v>10.202</v>
      </c>
      <c r="C820" s="13">
        <v>10.202</v>
      </c>
      <c r="D820" s="13">
        <v>10.202</v>
      </c>
      <c r="E820" s="13">
        <v>10.202</v>
      </c>
      <c r="F820" s="15">
        <v>-0.0002</v>
      </c>
    </row>
    <row r="821" spans="1:6">
      <c r="A821" s="14">
        <v>44145</v>
      </c>
      <c r="B821" s="13">
        <v>10.204</v>
      </c>
      <c r="C821" s="13">
        <v>10.204</v>
      </c>
      <c r="D821" s="13">
        <v>10.204</v>
      </c>
      <c r="E821" s="13">
        <v>10.204</v>
      </c>
      <c r="F821" s="15">
        <v>0.0011</v>
      </c>
    </row>
    <row r="822" spans="1:6">
      <c r="A822" s="14">
        <v>44144</v>
      </c>
      <c r="B822" s="13">
        <v>10.193</v>
      </c>
      <c r="C822" s="13">
        <v>10.193</v>
      </c>
      <c r="D822" s="13">
        <v>10.193</v>
      </c>
      <c r="E822" s="13">
        <v>10.193</v>
      </c>
      <c r="F822" s="15">
        <v>-0.0001</v>
      </c>
    </row>
    <row r="823" spans="1:6">
      <c r="A823" s="14">
        <v>44141</v>
      </c>
      <c r="B823" s="13">
        <v>10.194</v>
      </c>
      <c r="C823" s="13">
        <v>10.194</v>
      </c>
      <c r="D823" s="13">
        <v>10.194</v>
      </c>
      <c r="E823" s="13">
        <v>10.194</v>
      </c>
      <c r="F823" s="15">
        <v>-0.0004</v>
      </c>
    </row>
    <row r="824" spans="1:6">
      <c r="A824" s="14">
        <v>44140</v>
      </c>
      <c r="B824" s="13">
        <v>10.198</v>
      </c>
      <c r="C824" s="13">
        <v>10.198</v>
      </c>
      <c r="D824" s="13">
        <v>10.198</v>
      </c>
      <c r="E824" s="13">
        <v>10.198</v>
      </c>
      <c r="F824" s="15">
        <v>-0.0017</v>
      </c>
    </row>
    <row r="825" spans="1:6">
      <c r="A825" s="14">
        <v>44139</v>
      </c>
      <c r="B825" s="13">
        <v>10.215</v>
      </c>
      <c r="C825" s="13">
        <v>10.215</v>
      </c>
      <c r="D825" s="13">
        <v>10.215</v>
      </c>
      <c r="E825" s="13">
        <v>10.215</v>
      </c>
      <c r="F825" s="15">
        <v>-0.0013</v>
      </c>
    </row>
    <row r="826" spans="1:6">
      <c r="A826" s="14">
        <v>44138</v>
      </c>
      <c r="B826" s="13">
        <v>10.228</v>
      </c>
      <c r="C826" s="13">
        <v>10.228</v>
      </c>
      <c r="D826" s="13">
        <v>10.228</v>
      </c>
      <c r="E826" s="13">
        <v>10.228</v>
      </c>
      <c r="F826" s="15">
        <v>-0.0017</v>
      </c>
    </row>
    <row r="827" spans="1:6">
      <c r="A827" s="14">
        <v>44137</v>
      </c>
      <c r="B827" s="13">
        <v>10.245</v>
      </c>
      <c r="C827" s="13">
        <v>10.245</v>
      </c>
      <c r="D827" s="13">
        <v>10.245</v>
      </c>
      <c r="E827" s="13">
        <v>10.245</v>
      </c>
      <c r="F827" s="15">
        <v>-0.0069</v>
      </c>
    </row>
    <row r="828" spans="1:6">
      <c r="A828" s="14">
        <v>44134</v>
      </c>
      <c r="B828" s="13">
        <v>10.316</v>
      </c>
      <c r="C828" s="13">
        <v>10.316</v>
      </c>
      <c r="D828" s="13">
        <v>10.316</v>
      </c>
      <c r="E828" s="13">
        <v>10.316</v>
      </c>
      <c r="F828" s="15">
        <v>-0.0005</v>
      </c>
    </row>
    <row r="829" spans="1:6">
      <c r="A829" s="14">
        <v>44133</v>
      </c>
      <c r="B829" s="13">
        <v>10.321</v>
      </c>
      <c r="C829" s="13">
        <v>10.321</v>
      </c>
      <c r="D829" s="13">
        <v>10.321</v>
      </c>
      <c r="E829" s="13">
        <v>10.321</v>
      </c>
      <c r="F829" s="15">
        <v>-0.0132</v>
      </c>
    </row>
    <row r="830" spans="1:6">
      <c r="A830" s="14">
        <v>44132</v>
      </c>
      <c r="B830" s="13">
        <v>10.459</v>
      </c>
      <c r="C830" s="13">
        <v>10.459</v>
      </c>
      <c r="D830" s="13">
        <v>10.459</v>
      </c>
      <c r="E830" s="13">
        <v>10.459</v>
      </c>
      <c r="F830" s="15">
        <v>-0.0052</v>
      </c>
    </row>
    <row r="831" spans="1:6">
      <c r="A831" s="14">
        <v>44131</v>
      </c>
      <c r="B831" s="13">
        <v>10.514</v>
      </c>
      <c r="C831" s="13">
        <v>10.514</v>
      </c>
      <c r="D831" s="13">
        <v>10.514</v>
      </c>
      <c r="E831" s="13">
        <v>10.514</v>
      </c>
      <c r="F831" s="15">
        <v>0.0042</v>
      </c>
    </row>
    <row r="832" spans="1:6">
      <c r="A832" s="14">
        <v>44130</v>
      </c>
      <c r="B832" s="13">
        <v>10.47</v>
      </c>
      <c r="C832" s="13">
        <v>10.47</v>
      </c>
      <c r="D832" s="13">
        <v>10.47</v>
      </c>
      <c r="E832" s="13">
        <v>10.47</v>
      </c>
      <c r="F832" s="15">
        <v>0.0229</v>
      </c>
    </row>
    <row r="833" spans="1:6">
      <c r="A833" s="14">
        <v>44127</v>
      </c>
      <c r="B833" s="13">
        <v>10.236</v>
      </c>
      <c r="C833" s="13">
        <v>10.236</v>
      </c>
      <c r="D833" s="13">
        <v>10.236</v>
      </c>
      <c r="E833" s="13">
        <v>10.236</v>
      </c>
      <c r="F833" s="15">
        <v>0.0303</v>
      </c>
    </row>
    <row r="834" spans="1:6">
      <c r="A834" s="14">
        <v>44126</v>
      </c>
      <c r="B834" s="13">
        <v>9.935</v>
      </c>
      <c r="C834" s="13">
        <v>9.935</v>
      </c>
      <c r="D834" s="13">
        <v>9.935</v>
      </c>
      <c r="E834" s="13">
        <v>9.935</v>
      </c>
      <c r="F834" s="15">
        <v>0.0025</v>
      </c>
    </row>
    <row r="835" spans="1:6">
      <c r="A835" s="14">
        <v>44125</v>
      </c>
      <c r="B835" s="13">
        <v>9.91</v>
      </c>
      <c r="C835" s="13">
        <v>9.91</v>
      </c>
      <c r="D835" s="13">
        <v>9.91</v>
      </c>
      <c r="E835" s="13">
        <v>9.91</v>
      </c>
      <c r="F835" s="15">
        <v>0.0033</v>
      </c>
    </row>
    <row r="836" spans="1:6">
      <c r="A836" s="14">
        <v>44124</v>
      </c>
      <c r="B836" s="13">
        <v>9.877</v>
      </c>
      <c r="C836" s="13">
        <v>9.877</v>
      </c>
      <c r="D836" s="13">
        <v>9.877</v>
      </c>
      <c r="E836" s="13">
        <v>9.877</v>
      </c>
      <c r="F836" s="15">
        <v>0</v>
      </c>
    </row>
    <row r="837" spans="1:6">
      <c r="A837" s="14">
        <v>44123</v>
      </c>
      <c r="B837" s="13">
        <v>9.877</v>
      </c>
      <c r="C837" s="13">
        <v>9.877</v>
      </c>
      <c r="D837" s="13">
        <v>9.877</v>
      </c>
      <c r="E837" s="13">
        <v>9.877</v>
      </c>
      <c r="F837" s="15">
        <v>-0.0006</v>
      </c>
    </row>
    <row r="838" spans="1:6">
      <c r="A838" s="14">
        <v>44120</v>
      </c>
      <c r="B838" s="13">
        <v>9.883</v>
      </c>
      <c r="C838" s="13">
        <v>9.883</v>
      </c>
      <c r="D838" s="13">
        <v>9.883</v>
      </c>
      <c r="E838" s="13">
        <v>9.883</v>
      </c>
      <c r="F838" s="15">
        <v>0.001</v>
      </c>
    </row>
    <row r="839" spans="1:6">
      <c r="A839" s="14">
        <v>44119</v>
      </c>
      <c r="B839" s="13">
        <v>9.873</v>
      </c>
      <c r="C839" s="13">
        <v>9.873</v>
      </c>
      <c r="D839" s="13">
        <v>9.873</v>
      </c>
      <c r="E839" s="13">
        <v>9.873</v>
      </c>
      <c r="F839" s="15">
        <v>-0.008</v>
      </c>
    </row>
    <row r="840" spans="1:6">
      <c r="A840" s="14">
        <v>44118</v>
      </c>
      <c r="B840" s="13">
        <v>9.953</v>
      </c>
      <c r="C840" s="13">
        <v>9.953</v>
      </c>
      <c r="D840" s="13">
        <v>9.953</v>
      </c>
      <c r="E840" s="13">
        <v>9.953</v>
      </c>
      <c r="F840" s="15">
        <v>-0.0087</v>
      </c>
    </row>
    <row r="841" spans="1:6">
      <c r="A841" s="14">
        <v>44117</v>
      </c>
      <c r="B841" s="13">
        <v>10.04</v>
      </c>
      <c r="C841" s="13">
        <v>10.04</v>
      </c>
      <c r="D841" s="13">
        <v>10.04</v>
      </c>
      <c r="E841" s="13">
        <v>10.04</v>
      </c>
      <c r="F841" s="15">
        <v>-0.0059</v>
      </c>
    </row>
    <row r="842" spans="1:6">
      <c r="A842" s="14">
        <v>44116</v>
      </c>
      <c r="B842" s="13">
        <v>10.1</v>
      </c>
      <c r="C842" s="13">
        <v>10.1</v>
      </c>
      <c r="D842" s="13">
        <v>10.1</v>
      </c>
      <c r="E842" s="13">
        <v>10.1</v>
      </c>
      <c r="F842" s="15">
        <v>-0.0012</v>
      </c>
    </row>
    <row r="843" spans="1:6">
      <c r="A843" s="14">
        <v>44113</v>
      </c>
      <c r="B843" s="13">
        <v>10.112</v>
      </c>
      <c r="C843" s="13">
        <v>10.112</v>
      </c>
      <c r="D843" s="13">
        <v>10.112</v>
      </c>
      <c r="E843" s="13">
        <v>10.112</v>
      </c>
      <c r="F843" s="15">
        <v>-0.0002</v>
      </c>
    </row>
    <row r="844" spans="1:6">
      <c r="A844" s="14">
        <v>44112</v>
      </c>
      <c r="B844" s="13">
        <v>10.114</v>
      </c>
      <c r="C844" s="13">
        <v>10.114</v>
      </c>
      <c r="D844" s="13">
        <v>10.114</v>
      </c>
      <c r="E844" s="13">
        <v>10.114</v>
      </c>
      <c r="F844" s="15">
        <v>-0.0001</v>
      </c>
    </row>
    <row r="845" spans="1:6">
      <c r="A845" s="14">
        <v>44111</v>
      </c>
      <c r="B845" s="13">
        <v>10.115</v>
      </c>
      <c r="C845" s="13">
        <v>10.115</v>
      </c>
      <c r="D845" s="13">
        <v>10.115</v>
      </c>
      <c r="E845" s="13">
        <v>10.115</v>
      </c>
      <c r="F845" s="15">
        <v>-0.0139</v>
      </c>
    </row>
    <row r="846" spans="1:6">
      <c r="A846" s="14">
        <v>44110</v>
      </c>
      <c r="B846" s="13">
        <v>10.258</v>
      </c>
      <c r="C846" s="13">
        <v>10.258</v>
      </c>
      <c r="D846" s="13">
        <v>10.258</v>
      </c>
      <c r="E846" s="13">
        <v>10.258</v>
      </c>
      <c r="F846" s="15">
        <v>-0.011</v>
      </c>
    </row>
    <row r="847" spans="1:6">
      <c r="A847" s="14">
        <v>44109</v>
      </c>
      <c r="B847" s="13">
        <v>10.372</v>
      </c>
      <c r="C847" s="13">
        <v>10.372</v>
      </c>
      <c r="D847" s="13">
        <v>10.372</v>
      </c>
      <c r="E847" s="13">
        <v>10.372</v>
      </c>
      <c r="F847" s="15">
        <v>0.0007</v>
      </c>
    </row>
    <row r="848" spans="1:6">
      <c r="A848" s="14">
        <v>44106</v>
      </c>
      <c r="B848" s="13">
        <v>10.365</v>
      </c>
      <c r="C848" s="13">
        <v>10.365</v>
      </c>
      <c r="D848" s="13">
        <v>10.365</v>
      </c>
      <c r="E848" s="13">
        <v>10.365</v>
      </c>
      <c r="F848" s="15">
        <v>0.0064</v>
      </c>
    </row>
    <row r="849" spans="1:6">
      <c r="A849" s="14">
        <v>44105</v>
      </c>
      <c r="B849" s="13">
        <v>10.299</v>
      </c>
      <c r="C849" s="13">
        <v>10.299</v>
      </c>
      <c r="D849" s="13">
        <v>10.299</v>
      </c>
      <c r="E849" s="13">
        <v>10.299</v>
      </c>
      <c r="F849" s="15">
        <v>0.0291</v>
      </c>
    </row>
    <row r="850" spans="1:6">
      <c r="A850" s="14">
        <v>44104</v>
      </c>
      <c r="B850" s="13">
        <v>10.008</v>
      </c>
      <c r="C850" s="13">
        <v>10.008</v>
      </c>
      <c r="D850" s="13">
        <v>10.008</v>
      </c>
      <c r="E850" s="13">
        <v>10.008</v>
      </c>
      <c r="F850" s="15">
        <v>0.0041</v>
      </c>
    </row>
    <row r="851" spans="1:6">
      <c r="A851" s="14">
        <v>44103</v>
      </c>
      <c r="B851" s="13">
        <v>9.967</v>
      </c>
      <c r="C851" s="13">
        <v>9.967</v>
      </c>
      <c r="D851" s="13">
        <v>9.967</v>
      </c>
      <c r="E851" s="13">
        <v>9.967</v>
      </c>
      <c r="F851" s="15">
        <v>-0.0004</v>
      </c>
    </row>
    <row r="852" spans="1:6">
      <c r="A852" s="14">
        <v>44102</v>
      </c>
      <c r="B852" s="13">
        <v>9.971</v>
      </c>
      <c r="C852" s="13">
        <v>9.971</v>
      </c>
      <c r="D852" s="13">
        <v>9.971</v>
      </c>
      <c r="E852" s="13">
        <v>9.971</v>
      </c>
      <c r="F852" s="15">
        <v>0.0038</v>
      </c>
    </row>
    <row r="853" spans="1:6">
      <c r="A853" s="14">
        <v>44099</v>
      </c>
      <c r="B853" s="13">
        <v>9.933</v>
      </c>
      <c r="C853" s="13">
        <v>9.933</v>
      </c>
      <c r="D853" s="13">
        <v>9.933</v>
      </c>
      <c r="E853" s="13">
        <v>9.933</v>
      </c>
      <c r="F853" s="15">
        <v>0.0014</v>
      </c>
    </row>
    <row r="854" spans="1:6">
      <c r="A854" s="14">
        <v>44098</v>
      </c>
      <c r="B854" s="13">
        <v>9.919</v>
      </c>
      <c r="C854" s="13">
        <v>9.919</v>
      </c>
      <c r="D854" s="13">
        <v>9.919</v>
      </c>
      <c r="E854" s="13">
        <v>9.919</v>
      </c>
      <c r="F854" s="15">
        <v>0.0116</v>
      </c>
    </row>
    <row r="855" spans="1:6">
      <c r="A855" s="14">
        <v>44097</v>
      </c>
      <c r="B855" s="13">
        <v>9.805</v>
      </c>
      <c r="C855" s="13">
        <v>9.805</v>
      </c>
      <c r="D855" s="13">
        <v>9.805</v>
      </c>
      <c r="E855" s="13">
        <v>9.805</v>
      </c>
      <c r="F855" s="15">
        <v>-0.0057</v>
      </c>
    </row>
    <row r="856" spans="1:6">
      <c r="A856" s="14">
        <v>44096</v>
      </c>
      <c r="B856" s="13">
        <v>9.861</v>
      </c>
      <c r="C856" s="13">
        <v>9.861</v>
      </c>
      <c r="D856" s="13">
        <v>9.861</v>
      </c>
      <c r="E856" s="13">
        <v>9.861</v>
      </c>
      <c r="F856" s="15">
        <v>0.0026</v>
      </c>
    </row>
    <row r="857" spans="1:6">
      <c r="A857" s="14">
        <v>44095</v>
      </c>
      <c r="B857" s="13">
        <v>9.835</v>
      </c>
      <c r="C857" s="13">
        <v>9.835</v>
      </c>
      <c r="D857" s="13">
        <v>9.835</v>
      </c>
      <c r="E857" s="13">
        <v>9.835</v>
      </c>
      <c r="F857" s="15">
        <v>0.0035</v>
      </c>
    </row>
    <row r="858" spans="1:6">
      <c r="A858" s="14">
        <v>44092</v>
      </c>
      <c r="B858" s="13">
        <v>9.801</v>
      </c>
      <c r="C858" s="13">
        <v>9.801</v>
      </c>
      <c r="D858" s="13">
        <v>9.801</v>
      </c>
      <c r="E858" s="13">
        <v>9.801</v>
      </c>
      <c r="F858" s="15">
        <v>-0.0054</v>
      </c>
    </row>
    <row r="859" spans="1:6">
      <c r="A859" s="14">
        <v>44091</v>
      </c>
      <c r="B859" s="13">
        <v>9.854</v>
      </c>
      <c r="C859" s="13">
        <v>9.854</v>
      </c>
      <c r="D859" s="13">
        <v>9.854</v>
      </c>
      <c r="E859" s="13">
        <v>9.854</v>
      </c>
      <c r="F859" s="15">
        <v>-0.0126</v>
      </c>
    </row>
    <row r="860" spans="1:6">
      <c r="A860" s="14">
        <v>44090</v>
      </c>
      <c r="B860" s="13">
        <v>9.98</v>
      </c>
      <c r="C860" s="13">
        <v>9.98</v>
      </c>
      <c r="D860" s="13">
        <v>9.98</v>
      </c>
      <c r="E860" s="13">
        <v>9.98</v>
      </c>
      <c r="F860" s="15">
        <v>-0.0003</v>
      </c>
    </row>
    <row r="861" spans="1:6">
      <c r="A861" s="14">
        <v>44089</v>
      </c>
      <c r="B861" s="13">
        <v>9.983</v>
      </c>
      <c r="C861" s="13">
        <v>9.983</v>
      </c>
      <c r="D861" s="13">
        <v>9.983</v>
      </c>
      <c r="E861" s="13">
        <v>9.983</v>
      </c>
      <c r="F861" s="15">
        <v>-0.0017</v>
      </c>
    </row>
    <row r="862" spans="1:6">
      <c r="A862" s="14">
        <v>44088</v>
      </c>
      <c r="B862" s="13">
        <v>10</v>
      </c>
      <c r="C862" s="13">
        <v>10</v>
      </c>
      <c r="D862" s="13">
        <v>10</v>
      </c>
      <c r="E862" s="13">
        <v>10</v>
      </c>
      <c r="F862" s="15">
        <v>-0.0074</v>
      </c>
    </row>
    <row r="863" spans="1:6">
      <c r="A863" s="14">
        <v>44085</v>
      </c>
      <c r="B863" s="13">
        <v>10.075</v>
      </c>
      <c r="C863" s="13">
        <v>10.075</v>
      </c>
      <c r="D863" s="13">
        <v>10.075</v>
      </c>
      <c r="E863" s="13">
        <v>10.075</v>
      </c>
      <c r="F863" s="15">
        <v>0.0014</v>
      </c>
    </row>
    <row r="864" spans="1:6">
      <c r="A864" s="14">
        <v>44084</v>
      </c>
      <c r="B864" s="13">
        <v>10.061</v>
      </c>
      <c r="C864" s="13">
        <v>10.061</v>
      </c>
      <c r="D864" s="13">
        <v>10.061</v>
      </c>
      <c r="E864" s="13">
        <v>10.061</v>
      </c>
      <c r="F864" s="15">
        <v>-0.0031</v>
      </c>
    </row>
    <row r="865" spans="1:6">
      <c r="A865" s="14">
        <v>44083</v>
      </c>
      <c r="B865" s="13">
        <v>10.092</v>
      </c>
      <c r="C865" s="13">
        <v>10.092</v>
      </c>
      <c r="D865" s="13">
        <v>10.092</v>
      </c>
      <c r="E865" s="13">
        <v>10.092</v>
      </c>
      <c r="F865" s="15">
        <v>0.0008</v>
      </c>
    </row>
    <row r="866" spans="1:6">
      <c r="A866" s="14">
        <v>44082</v>
      </c>
      <c r="B866" s="13">
        <v>10.084</v>
      </c>
      <c r="C866" s="13">
        <v>10.084</v>
      </c>
      <c r="D866" s="13">
        <v>10.084</v>
      </c>
      <c r="E866" s="13">
        <v>10.084</v>
      </c>
      <c r="F866" s="15">
        <v>-0.0022</v>
      </c>
    </row>
    <row r="867" spans="1:6">
      <c r="A867" s="14">
        <v>44081</v>
      </c>
      <c r="B867" s="13">
        <v>10.106</v>
      </c>
      <c r="C867" s="13">
        <v>10.106</v>
      </c>
      <c r="D867" s="13">
        <v>10.106</v>
      </c>
      <c r="E867" s="13">
        <v>10.106</v>
      </c>
      <c r="F867" s="15">
        <v>-0.004</v>
      </c>
    </row>
    <row r="868" spans="1:6">
      <c r="A868" s="14">
        <v>44078</v>
      </c>
      <c r="B868" s="13">
        <v>10.147</v>
      </c>
      <c r="C868" s="13">
        <v>10.147</v>
      </c>
      <c r="D868" s="13">
        <v>10.147</v>
      </c>
      <c r="E868" s="13">
        <v>10.147</v>
      </c>
      <c r="F868" s="15">
        <v>-0.0017</v>
      </c>
    </row>
    <row r="869" spans="1:6">
      <c r="A869" s="14">
        <v>44077</v>
      </c>
      <c r="B869" s="13">
        <v>10.164</v>
      </c>
      <c r="C869" s="13">
        <v>10.164</v>
      </c>
      <c r="D869" s="13">
        <v>10.164</v>
      </c>
      <c r="E869" s="13">
        <v>10.164</v>
      </c>
      <c r="F869" s="15">
        <v>-0.0172</v>
      </c>
    </row>
    <row r="870" spans="1:6">
      <c r="A870" s="14">
        <v>44075</v>
      </c>
      <c r="B870" s="13">
        <v>10.342</v>
      </c>
      <c r="C870" s="13">
        <v>10.342</v>
      </c>
      <c r="D870" s="13">
        <v>10.342</v>
      </c>
      <c r="E870" s="13">
        <v>10.342</v>
      </c>
      <c r="F870" s="15">
        <v>-0.0268</v>
      </c>
    </row>
    <row r="871" spans="1:6">
      <c r="A871" s="14">
        <v>44042</v>
      </c>
      <c r="B871" s="13">
        <v>10.627</v>
      </c>
      <c r="C871" s="13">
        <v>10.627</v>
      </c>
      <c r="D871" s="13">
        <v>10.627</v>
      </c>
      <c r="E871" s="13">
        <v>10.627</v>
      </c>
      <c r="F871" s="15">
        <v>0.0001</v>
      </c>
    </row>
    <row r="872" spans="1:6">
      <c r="A872" s="14">
        <v>44041</v>
      </c>
      <c r="B872" s="13">
        <v>10.626</v>
      </c>
      <c r="C872" s="13">
        <v>10.626</v>
      </c>
      <c r="D872" s="13">
        <v>10.626</v>
      </c>
      <c r="E872" s="13">
        <v>10.626</v>
      </c>
      <c r="F872" s="15">
        <v>-0.0091</v>
      </c>
    </row>
    <row r="873" spans="1:6">
      <c r="A873" s="14">
        <v>44040</v>
      </c>
      <c r="B873" s="13">
        <v>10.724</v>
      </c>
      <c r="C873" s="13">
        <v>10.724</v>
      </c>
      <c r="D873" s="13">
        <v>10.724</v>
      </c>
      <c r="E873" s="13">
        <v>10.724</v>
      </c>
      <c r="F873" s="15">
        <v>0</v>
      </c>
    </row>
    <row r="874" spans="1:6">
      <c r="A874" s="14">
        <v>44039</v>
      </c>
      <c r="B874" s="13">
        <v>10.724</v>
      </c>
      <c r="C874" s="13">
        <v>10.724</v>
      </c>
      <c r="D874" s="13">
        <v>10.724</v>
      </c>
      <c r="E874" s="13">
        <v>10.724</v>
      </c>
      <c r="F874" s="15">
        <v>-0.0009</v>
      </c>
    </row>
    <row r="875" spans="1:6">
      <c r="A875" s="14">
        <v>44036</v>
      </c>
      <c r="B875" s="13">
        <v>10.734</v>
      </c>
      <c r="C875" s="13">
        <v>10.734</v>
      </c>
      <c r="D875" s="13">
        <v>10.734</v>
      </c>
      <c r="E875" s="13">
        <v>10.734</v>
      </c>
      <c r="F875" s="15">
        <v>-0.0012</v>
      </c>
    </row>
    <row r="876" spans="1:6">
      <c r="A876" s="14">
        <v>44035</v>
      </c>
      <c r="B876" s="13">
        <v>10.747</v>
      </c>
      <c r="C876" s="13">
        <v>10.747</v>
      </c>
      <c r="D876" s="13">
        <v>10.747</v>
      </c>
      <c r="E876" s="13">
        <v>10.747</v>
      </c>
      <c r="F876" s="15">
        <v>-0.0012</v>
      </c>
    </row>
    <row r="877" spans="1:6">
      <c r="A877" s="14">
        <v>44034</v>
      </c>
      <c r="B877" s="13">
        <v>10.76</v>
      </c>
      <c r="C877" s="13">
        <v>10.76</v>
      </c>
      <c r="D877" s="13">
        <v>10.76</v>
      </c>
      <c r="E877" s="13">
        <v>10.76</v>
      </c>
      <c r="F877" s="15">
        <v>0.0007</v>
      </c>
    </row>
    <row r="878" spans="1:6">
      <c r="A878" s="14">
        <v>44033</v>
      </c>
      <c r="B878" s="13">
        <v>10.753</v>
      </c>
      <c r="C878" s="13">
        <v>10.753</v>
      </c>
      <c r="D878" s="13">
        <v>10.753</v>
      </c>
      <c r="E878" s="13">
        <v>10.753</v>
      </c>
      <c r="F878" s="15">
        <v>-0.0081</v>
      </c>
    </row>
    <row r="879" spans="1:6">
      <c r="A879" s="14">
        <v>44032</v>
      </c>
      <c r="B879" s="13">
        <v>10.841</v>
      </c>
      <c r="C879" s="13">
        <v>10.841</v>
      </c>
      <c r="D879" s="13">
        <v>10.841</v>
      </c>
      <c r="E879" s="13">
        <v>10.841</v>
      </c>
      <c r="F879" s="15">
        <v>0.002</v>
      </c>
    </row>
    <row r="880" spans="1:6">
      <c r="A880" s="14">
        <v>44029</v>
      </c>
      <c r="B880" s="13">
        <v>10.819</v>
      </c>
      <c r="C880" s="13">
        <v>10.819</v>
      </c>
      <c r="D880" s="13">
        <v>10.819</v>
      </c>
      <c r="E880" s="13">
        <v>10.819</v>
      </c>
      <c r="F880" s="15">
        <v>0.0184</v>
      </c>
    </row>
    <row r="881" spans="1:6">
      <c r="A881" s="14">
        <v>44028</v>
      </c>
      <c r="B881" s="13">
        <v>10.624</v>
      </c>
      <c r="C881" s="13">
        <v>10.624</v>
      </c>
      <c r="D881" s="13">
        <v>10.624</v>
      </c>
      <c r="E881" s="13">
        <v>10.624</v>
      </c>
      <c r="F881" s="15">
        <v>-0.0065</v>
      </c>
    </row>
    <row r="882" spans="1:6">
      <c r="A882" s="14">
        <v>44027</v>
      </c>
      <c r="B882" s="13">
        <v>10.694</v>
      </c>
      <c r="C882" s="13">
        <v>10.694</v>
      </c>
      <c r="D882" s="13">
        <v>10.694</v>
      </c>
      <c r="E882" s="13">
        <v>10.694</v>
      </c>
      <c r="F882" s="15">
        <v>0.0014</v>
      </c>
    </row>
    <row r="883" spans="1:6">
      <c r="A883" s="14">
        <v>44026</v>
      </c>
      <c r="B883" s="13">
        <v>10.679</v>
      </c>
      <c r="C883" s="13">
        <v>10.679</v>
      </c>
      <c r="D883" s="13">
        <v>10.679</v>
      </c>
      <c r="E883" s="13">
        <v>10.679</v>
      </c>
      <c r="F883" s="15">
        <v>0.0011</v>
      </c>
    </row>
    <row r="884" spans="1:6">
      <c r="A884" s="14">
        <v>44025</v>
      </c>
      <c r="B884" s="13">
        <v>10.667</v>
      </c>
      <c r="C884" s="13">
        <v>10.667</v>
      </c>
      <c r="D884" s="13">
        <v>10.667</v>
      </c>
      <c r="E884" s="13">
        <v>10.667</v>
      </c>
      <c r="F884" s="15">
        <v>-0.0007</v>
      </c>
    </row>
    <row r="885" spans="1:6">
      <c r="A885" s="14">
        <v>44022</v>
      </c>
      <c r="B885" s="13">
        <v>10.674</v>
      </c>
      <c r="C885" s="13">
        <v>10.674</v>
      </c>
      <c r="D885" s="13">
        <v>10.674</v>
      </c>
      <c r="E885" s="13">
        <v>10.674</v>
      </c>
      <c r="F885" s="15">
        <v>0.001</v>
      </c>
    </row>
    <row r="886" spans="1:6">
      <c r="A886" s="14">
        <v>44021</v>
      </c>
      <c r="B886" s="13">
        <v>10.663</v>
      </c>
      <c r="C886" s="13">
        <v>10.663</v>
      </c>
      <c r="D886" s="13">
        <v>10.663</v>
      </c>
      <c r="E886" s="13">
        <v>10.663</v>
      </c>
      <c r="F886" s="15">
        <v>0</v>
      </c>
    </row>
    <row r="887" spans="1:6">
      <c r="A887" s="14">
        <v>44020</v>
      </c>
      <c r="B887" s="13">
        <v>10.663</v>
      </c>
      <c r="C887" s="13">
        <v>10.663</v>
      </c>
      <c r="D887" s="13">
        <v>10.663</v>
      </c>
      <c r="E887" s="13">
        <v>10.663</v>
      </c>
      <c r="F887" s="15">
        <v>-0.002</v>
      </c>
    </row>
    <row r="888" spans="1:6">
      <c r="A888" s="14">
        <v>44019</v>
      </c>
      <c r="B888" s="13">
        <v>10.684</v>
      </c>
      <c r="C888" s="13">
        <v>10.684</v>
      </c>
      <c r="D888" s="13">
        <v>10.684</v>
      </c>
      <c r="E888" s="13">
        <v>10.684</v>
      </c>
      <c r="F888" s="15">
        <v>-0.0007</v>
      </c>
    </row>
    <row r="889" spans="1:6">
      <c r="A889" s="14">
        <v>44015</v>
      </c>
      <c r="B889" s="13">
        <v>10.691</v>
      </c>
      <c r="C889" s="13">
        <v>10.691</v>
      </c>
      <c r="D889" s="13">
        <v>10.691</v>
      </c>
      <c r="E889" s="13">
        <v>10.691</v>
      </c>
      <c r="F889" s="15">
        <v>0.001</v>
      </c>
    </row>
    <row r="890" spans="1:6">
      <c r="A890" s="14">
        <v>44014</v>
      </c>
      <c r="B890" s="13">
        <v>10.68</v>
      </c>
      <c r="C890" s="13">
        <v>10.68</v>
      </c>
      <c r="D890" s="13">
        <v>10.68</v>
      </c>
      <c r="E890" s="13">
        <v>10.68</v>
      </c>
      <c r="F890" s="15">
        <v>0.0004</v>
      </c>
    </row>
    <row r="891" spans="1:6">
      <c r="A891" s="14">
        <v>44013</v>
      </c>
      <c r="B891" s="13">
        <v>10.676</v>
      </c>
      <c r="C891" s="13">
        <v>10.676</v>
      </c>
      <c r="D891" s="13">
        <v>10.676</v>
      </c>
      <c r="E891" s="13">
        <v>10.676</v>
      </c>
      <c r="F891" s="15">
        <v>0.001</v>
      </c>
    </row>
    <row r="892" spans="1:6">
      <c r="A892" s="14">
        <v>44012</v>
      </c>
      <c r="B892" s="13">
        <v>10.665</v>
      </c>
      <c r="C892" s="13">
        <v>10.665</v>
      </c>
      <c r="D892" s="13">
        <v>10.665</v>
      </c>
      <c r="E892" s="13">
        <v>10.665</v>
      </c>
      <c r="F892" s="15">
        <v>-0.0069</v>
      </c>
    </row>
    <row r="893" spans="1:6">
      <c r="A893" s="14">
        <v>44011</v>
      </c>
      <c r="B893" s="13">
        <v>10.739</v>
      </c>
      <c r="C893" s="13">
        <v>10.739</v>
      </c>
      <c r="D893" s="13">
        <v>10.739</v>
      </c>
      <c r="E893" s="13">
        <v>10.739</v>
      </c>
      <c r="F893" s="15">
        <v>-0.0009</v>
      </c>
    </row>
    <row r="894" spans="1:6">
      <c r="A894" s="14">
        <v>44008</v>
      </c>
      <c r="B894" s="13">
        <v>10.749</v>
      </c>
      <c r="C894" s="13">
        <v>10.749</v>
      </c>
      <c r="D894" s="13">
        <v>10.749</v>
      </c>
      <c r="E894" s="13">
        <v>10.749</v>
      </c>
      <c r="F894" s="15">
        <v>-0.0016</v>
      </c>
    </row>
    <row r="895" spans="1:6">
      <c r="A895" s="14">
        <v>44007</v>
      </c>
      <c r="B895" s="13">
        <v>10.766</v>
      </c>
      <c r="C895" s="13">
        <v>10.766</v>
      </c>
      <c r="D895" s="13">
        <v>10.766</v>
      </c>
      <c r="E895" s="13">
        <v>10.766</v>
      </c>
      <c r="F895" s="15">
        <v>0</v>
      </c>
    </row>
    <row r="896" spans="1:6">
      <c r="A896" s="14">
        <v>44006</v>
      </c>
      <c r="B896" s="13">
        <v>10.766</v>
      </c>
      <c r="C896" s="13">
        <v>10.766</v>
      </c>
      <c r="D896" s="13">
        <v>10.766</v>
      </c>
      <c r="E896" s="13">
        <v>10.766</v>
      </c>
      <c r="F896" s="15">
        <v>-0.0028</v>
      </c>
    </row>
    <row r="897" spans="1:6">
      <c r="A897" s="14">
        <v>44005</v>
      </c>
      <c r="B897" s="13">
        <v>10.796</v>
      </c>
      <c r="C897" s="13">
        <v>10.796</v>
      </c>
      <c r="D897" s="13">
        <v>10.796</v>
      </c>
      <c r="E897" s="13">
        <v>10.796</v>
      </c>
      <c r="F897" s="15">
        <v>0.0019</v>
      </c>
    </row>
    <row r="898" spans="1:6">
      <c r="A898" s="14">
        <v>44004</v>
      </c>
      <c r="B898" s="13">
        <v>10.776</v>
      </c>
      <c r="C898" s="13">
        <v>10.776</v>
      </c>
      <c r="D898" s="13">
        <v>10.776</v>
      </c>
      <c r="E898" s="13">
        <v>10.776</v>
      </c>
      <c r="F898" s="15">
        <v>0.0003</v>
      </c>
    </row>
    <row r="899" spans="1:6">
      <c r="A899" s="14">
        <v>44001</v>
      </c>
      <c r="B899" s="13">
        <v>10.773</v>
      </c>
      <c r="C899" s="13">
        <v>10.773</v>
      </c>
      <c r="D899" s="13">
        <v>10.773</v>
      </c>
      <c r="E899" s="13">
        <v>10.773</v>
      </c>
      <c r="F899" s="15">
        <v>-0.0022</v>
      </c>
    </row>
    <row r="900" spans="1:6">
      <c r="A900" s="14">
        <v>44000</v>
      </c>
      <c r="B900" s="13">
        <v>10.797</v>
      </c>
      <c r="C900" s="13">
        <v>10.797</v>
      </c>
      <c r="D900" s="13">
        <v>10.797</v>
      </c>
      <c r="E900" s="13">
        <v>10.797</v>
      </c>
      <c r="F900" s="15">
        <v>0.004</v>
      </c>
    </row>
    <row r="901" spans="1:6">
      <c r="A901" s="14">
        <v>43999</v>
      </c>
      <c r="B901" s="13">
        <v>10.754</v>
      </c>
      <c r="C901" s="13">
        <v>10.754</v>
      </c>
      <c r="D901" s="13">
        <v>10.754</v>
      </c>
      <c r="E901" s="13">
        <v>10.754</v>
      </c>
      <c r="F901" s="15">
        <v>0.0036</v>
      </c>
    </row>
    <row r="902" spans="1:6">
      <c r="A902" s="14">
        <v>43998</v>
      </c>
      <c r="B902" s="13">
        <v>10.715</v>
      </c>
      <c r="C902" s="13">
        <v>10.715</v>
      </c>
      <c r="D902" s="13">
        <v>10.715</v>
      </c>
      <c r="E902" s="13">
        <v>10.715</v>
      </c>
      <c r="F902" s="15">
        <v>0.0007</v>
      </c>
    </row>
    <row r="903" spans="1:6">
      <c r="A903" s="14">
        <v>43997</v>
      </c>
      <c r="B903" s="13">
        <v>10.707</v>
      </c>
      <c r="C903" s="13">
        <v>10.707</v>
      </c>
      <c r="D903" s="13">
        <v>10.707</v>
      </c>
      <c r="E903" s="13">
        <v>10.707</v>
      </c>
      <c r="F903" s="15">
        <v>0.0031</v>
      </c>
    </row>
    <row r="904" spans="1:6">
      <c r="A904" s="14">
        <v>43994</v>
      </c>
      <c r="B904" s="13">
        <v>10.674</v>
      </c>
      <c r="C904" s="13">
        <v>10.674</v>
      </c>
      <c r="D904" s="13">
        <v>10.674</v>
      </c>
      <c r="E904" s="13">
        <v>10.674</v>
      </c>
      <c r="F904" s="15">
        <v>0.0015</v>
      </c>
    </row>
    <row r="905" spans="1:6">
      <c r="A905" s="14">
        <v>43993</v>
      </c>
      <c r="B905" s="13">
        <v>10.658</v>
      </c>
      <c r="C905" s="13">
        <v>10.658</v>
      </c>
      <c r="D905" s="13">
        <v>10.658</v>
      </c>
      <c r="E905" s="13">
        <v>10.658</v>
      </c>
      <c r="F905" s="15">
        <v>0.0009</v>
      </c>
    </row>
    <row r="906" spans="1:6">
      <c r="A906" s="14">
        <v>43992</v>
      </c>
      <c r="B906" s="13">
        <v>10.648</v>
      </c>
      <c r="C906" s="13">
        <v>10.648</v>
      </c>
      <c r="D906" s="13">
        <v>10.648</v>
      </c>
      <c r="E906" s="13">
        <v>10.648</v>
      </c>
      <c r="F906" s="15">
        <v>0.001</v>
      </c>
    </row>
    <row r="907" spans="1:6">
      <c r="A907" s="14">
        <v>43991</v>
      </c>
      <c r="B907" s="13">
        <v>10.637</v>
      </c>
      <c r="C907" s="13">
        <v>10.637</v>
      </c>
      <c r="D907" s="13">
        <v>10.637</v>
      </c>
      <c r="E907" s="13">
        <v>10.637</v>
      </c>
      <c r="F907" s="15">
        <v>0.0008</v>
      </c>
    </row>
    <row r="908" spans="1:6">
      <c r="A908" s="14">
        <v>43990</v>
      </c>
      <c r="B908" s="13">
        <v>10.629</v>
      </c>
      <c r="C908" s="13">
        <v>10.629</v>
      </c>
      <c r="D908" s="13">
        <v>10.629</v>
      </c>
      <c r="E908" s="13">
        <v>10.629</v>
      </c>
      <c r="F908" s="15">
        <v>-0.0012</v>
      </c>
    </row>
    <row r="909" spans="1:6">
      <c r="A909" s="14">
        <v>43987</v>
      </c>
      <c r="B909" s="13">
        <v>10.642</v>
      </c>
      <c r="C909" s="13">
        <v>10.642</v>
      </c>
      <c r="D909" s="13">
        <v>10.642</v>
      </c>
      <c r="E909" s="13">
        <v>10.642</v>
      </c>
      <c r="F909" s="15">
        <v>0.0011</v>
      </c>
    </row>
    <row r="910" spans="1:6">
      <c r="A910" s="14">
        <v>43986</v>
      </c>
      <c r="B910" s="13">
        <v>10.63</v>
      </c>
      <c r="C910" s="13">
        <v>10.63</v>
      </c>
      <c r="D910" s="13">
        <v>10.63</v>
      </c>
      <c r="E910" s="13">
        <v>10.63</v>
      </c>
      <c r="F910" s="15">
        <v>-0.0007</v>
      </c>
    </row>
    <row r="911" spans="1:6">
      <c r="A911" s="14">
        <v>43985</v>
      </c>
      <c r="B911" s="13">
        <v>10.637</v>
      </c>
      <c r="C911" s="13">
        <v>10.637</v>
      </c>
      <c r="D911" s="13">
        <v>10.637</v>
      </c>
      <c r="E911" s="13">
        <v>10.637</v>
      </c>
      <c r="F911" s="15">
        <v>0.0045</v>
      </c>
    </row>
    <row r="912" spans="1:6">
      <c r="A912" s="14">
        <v>43984</v>
      </c>
      <c r="B912" s="13">
        <v>10.589</v>
      </c>
      <c r="C912" s="13">
        <v>10.589</v>
      </c>
      <c r="D912" s="13">
        <v>10.589</v>
      </c>
      <c r="E912" s="13">
        <v>10.589</v>
      </c>
      <c r="F912" s="15">
        <v>0.0048</v>
      </c>
    </row>
    <row r="913" spans="1:6">
      <c r="A913" s="14">
        <v>43983</v>
      </c>
      <c r="B913" s="13">
        <v>10.538</v>
      </c>
      <c r="C913" s="13">
        <v>10.538</v>
      </c>
      <c r="D913" s="13">
        <v>10.538</v>
      </c>
      <c r="E913" s="13">
        <v>10.538</v>
      </c>
      <c r="F913" s="15">
        <v>-0.001</v>
      </c>
    </row>
    <row r="914" spans="1:6">
      <c r="A914" s="14">
        <v>43980</v>
      </c>
      <c r="B914" s="13">
        <v>10.549</v>
      </c>
      <c r="C914" s="13">
        <v>10.549</v>
      </c>
      <c r="D914" s="13">
        <v>10.549</v>
      </c>
      <c r="E914" s="13">
        <v>10.549</v>
      </c>
      <c r="F914" s="15">
        <v>0.0056</v>
      </c>
    </row>
    <row r="915" spans="1:6">
      <c r="A915" s="14">
        <v>43979</v>
      </c>
      <c r="B915" s="13">
        <v>10.49</v>
      </c>
      <c r="C915" s="13">
        <v>10.49</v>
      </c>
      <c r="D915" s="13">
        <v>10.49</v>
      </c>
      <c r="E915" s="13">
        <v>10.49</v>
      </c>
      <c r="F915" s="15">
        <v>-0.0044</v>
      </c>
    </row>
    <row r="916" spans="1:6">
      <c r="A916" s="14">
        <v>43978</v>
      </c>
      <c r="B916" s="13">
        <v>10.536</v>
      </c>
      <c r="C916" s="13">
        <v>10.536</v>
      </c>
      <c r="D916" s="13">
        <v>10.536</v>
      </c>
      <c r="E916" s="13">
        <v>10.536</v>
      </c>
      <c r="F916" s="15">
        <v>0</v>
      </c>
    </row>
    <row r="917" spans="1:6">
      <c r="A917" s="14">
        <v>43977</v>
      </c>
      <c r="B917" s="13">
        <v>10.536</v>
      </c>
      <c r="C917" s="13">
        <v>10.536</v>
      </c>
      <c r="D917" s="13">
        <v>10.536</v>
      </c>
      <c r="E917" s="13">
        <v>10.536</v>
      </c>
      <c r="F917" s="15">
        <v>0.001</v>
      </c>
    </row>
    <row r="918" spans="1:6">
      <c r="A918" s="14">
        <v>43976</v>
      </c>
      <c r="B918" s="13">
        <v>10.526</v>
      </c>
      <c r="C918" s="13">
        <v>10.526</v>
      </c>
      <c r="D918" s="13">
        <v>10.526</v>
      </c>
      <c r="E918" s="13">
        <v>10.526</v>
      </c>
      <c r="F918" s="15">
        <v>-0.0006</v>
      </c>
    </row>
    <row r="919" spans="1:6">
      <c r="A919" s="14">
        <v>43973</v>
      </c>
      <c r="B919" s="13">
        <v>10.532</v>
      </c>
      <c r="C919" s="13">
        <v>10.532</v>
      </c>
      <c r="D919" s="13">
        <v>10.532</v>
      </c>
      <c r="E919" s="13">
        <v>10.532</v>
      </c>
      <c r="F919" s="15">
        <v>0.0078</v>
      </c>
    </row>
    <row r="920" spans="1:6">
      <c r="A920" s="14">
        <v>43972</v>
      </c>
      <c r="B920" s="13">
        <v>10.45</v>
      </c>
      <c r="C920" s="13">
        <v>10.45</v>
      </c>
      <c r="D920" s="13">
        <v>10.45</v>
      </c>
      <c r="E920" s="13">
        <v>10.45</v>
      </c>
      <c r="F920" s="15">
        <v>0.0002</v>
      </c>
    </row>
    <row r="921" spans="1:6">
      <c r="A921" s="14">
        <v>43971</v>
      </c>
      <c r="B921" s="13">
        <v>10.448</v>
      </c>
      <c r="C921" s="13">
        <v>10.448</v>
      </c>
      <c r="D921" s="13">
        <v>10.448</v>
      </c>
      <c r="E921" s="13">
        <v>10.448</v>
      </c>
      <c r="F921" s="15">
        <v>-0.0004</v>
      </c>
    </row>
    <row r="922" spans="1:6">
      <c r="A922" s="14">
        <v>43970</v>
      </c>
      <c r="B922" s="13">
        <v>10.452</v>
      </c>
      <c r="C922" s="13">
        <v>10.452</v>
      </c>
      <c r="D922" s="13">
        <v>10.452</v>
      </c>
      <c r="E922" s="13">
        <v>10.452</v>
      </c>
      <c r="F922" s="15">
        <v>-0.0068</v>
      </c>
    </row>
    <row r="923" spans="1:6">
      <c r="A923" s="14">
        <v>43969</v>
      </c>
      <c r="B923" s="13">
        <v>10.524</v>
      </c>
      <c r="C923" s="13">
        <v>10.524</v>
      </c>
      <c r="D923" s="13">
        <v>10.524</v>
      </c>
      <c r="E923" s="13">
        <v>10.524</v>
      </c>
      <c r="F923" s="15">
        <v>-0.0017</v>
      </c>
    </row>
    <row r="924" spans="1:6">
      <c r="A924" s="14">
        <v>43966</v>
      </c>
      <c r="B924" s="13">
        <v>10.542</v>
      </c>
      <c r="C924" s="13">
        <v>10.542</v>
      </c>
      <c r="D924" s="13">
        <v>10.542</v>
      </c>
      <c r="E924" s="13">
        <v>10.542</v>
      </c>
      <c r="F924" s="15">
        <v>-0.0102</v>
      </c>
    </row>
    <row r="925" spans="1:6">
      <c r="A925" s="14">
        <v>43965</v>
      </c>
      <c r="B925" s="13">
        <v>10.651</v>
      </c>
      <c r="C925" s="13">
        <v>10.651</v>
      </c>
      <c r="D925" s="13">
        <v>10.651</v>
      </c>
      <c r="E925" s="13">
        <v>10.651</v>
      </c>
      <c r="F925" s="15">
        <v>0.0013</v>
      </c>
    </row>
    <row r="926" spans="1:6">
      <c r="A926" s="14">
        <v>43964</v>
      </c>
      <c r="B926" s="13">
        <v>10.637</v>
      </c>
      <c r="C926" s="13">
        <v>10.637</v>
      </c>
      <c r="D926" s="13">
        <v>10.637</v>
      </c>
      <c r="E926" s="13">
        <v>10.637</v>
      </c>
      <c r="F926" s="15">
        <v>0.004</v>
      </c>
    </row>
    <row r="927" spans="1:6">
      <c r="A927" s="14">
        <v>43963</v>
      </c>
      <c r="B927" s="13">
        <v>10.595</v>
      </c>
      <c r="C927" s="13">
        <v>10.595</v>
      </c>
      <c r="D927" s="13">
        <v>10.595</v>
      </c>
      <c r="E927" s="13">
        <v>10.595</v>
      </c>
      <c r="F927" s="15">
        <v>-0.0007</v>
      </c>
    </row>
    <row r="928" spans="1:6">
      <c r="A928" s="14">
        <v>43962</v>
      </c>
      <c r="B928" s="13">
        <v>10.602</v>
      </c>
      <c r="C928" s="13">
        <v>10.602</v>
      </c>
      <c r="D928" s="13">
        <v>10.602</v>
      </c>
      <c r="E928" s="13">
        <v>10.602</v>
      </c>
      <c r="F928" s="15">
        <v>0.0016</v>
      </c>
    </row>
    <row r="929" spans="1:6">
      <c r="A929" s="14">
        <v>43957</v>
      </c>
      <c r="B929" s="13">
        <v>10.585</v>
      </c>
      <c r="C929" s="13">
        <v>10.585</v>
      </c>
      <c r="D929" s="13">
        <v>10.585</v>
      </c>
      <c r="E929" s="13">
        <v>10.585</v>
      </c>
      <c r="F929" s="15">
        <v>-0.0008</v>
      </c>
    </row>
    <row r="930" spans="1:6">
      <c r="A930" s="14">
        <v>43956</v>
      </c>
      <c r="B930" s="13">
        <v>10.593</v>
      </c>
      <c r="C930" s="13">
        <v>10.593</v>
      </c>
      <c r="D930" s="13">
        <v>10.593</v>
      </c>
      <c r="E930" s="13">
        <v>10.593</v>
      </c>
      <c r="F930" s="15">
        <v>0.0002</v>
      </c>
    </row>
    <row r="931" spans="1:6">
      <c r="A931" s="14">
        <v>43955</v>
      </c>
      <c r="B931" s="13">
        <v>10.591</v>
      </c>
      <c r="C931" s="13">
        <v>10.591</v>
      </c>
      <c r="D931" s="13">
        <v>10.591</v>
      </c>
      <c r="E931" s="13">
        <v>10.591</v>
      </c>
      <c r="F931" s="15">
        <v>-0.0031</v>
      </c>
    </row>
    <row r="932" spans="1:6">
      <c r="A932" s="14">
        <v>43951</v>
      </c>
      <c r="B932" s="13">
        <v>10.624</v>
      </c>
      <c r="C932" s="13">
        <v>10.624</v>
      </c>
      <c r="D932" s="13">
        <v>10.624</v>
      </c>
      <c r="E932" s="13">
        <v>10.624</v>
      </c>
      <c r="F932" s="15">
        <v>0.0047</v>
      </c>
    </row>
    <row r="933" spans="1:6">
      <c r="A933" s="14">
        <v>43950</v>
      </c>
      <c r="B933" s="13">
        <v>10.574</v>
      </c>
      <c r="C933" s="13">
        <v>10.574</v>
      </c>
      <c r="D933" s="13">
        <v>10.574</v>
      </c>
      <c r="E933" s="13">
        <v>10.574</v>
      </c>
      <c r="F933" s="15">
        <v>0.0046</v>
      </c>
    </row>
    <row r="934" spans="1:6">
      <c r="A934" s="14">
        <v>43949</v>
      </c>
      <c r="B934" s="13">
        <v>10.526</v>
      </c>
      <c r="C934" s="13">
        <v>10.526</v>
      </c>
      <c r="D934" s="13">
        <v>10.526</v>
      </c>
      <c r="E934" s="13">
        <v>10.526</v>
      </c>
      <c r="F934" s="15">
        <v>0.006</v>
      </c>
    </row>
    <row r="935" spans="1:6">
      <c r="A935" s="14">
        <v>43948</v>
      </c>
      <c r="B935" s="13">
        <v>10.463</v>
      </c>
      <c r="C935" s="13">
        <v>10.463</v>
      </c>
      <c r="D935" s="13">
        <v>10.463</v>
      </c>
      <c r="E935" s="13">
        <v>10.463</v>
      </c>
      <c r="F935" s="15">
        <v>-0.0011</v>
      </c>
    </row>
    <row r="936" spans="1:6">
      <c r="A936" s="14">
        <v>43945</v>
      </c>
      <c r="B936" s="13">
        <v>10.475</v>
      </c>
      <c r="C936" s="13">
        <v>10.475</v>
      </c>
      <c r="D936" s="13">
        <v>10.475</v>
      </c>
      <c r="E936" s="13">
        <v>10.475</v>
      </c>
      <c r="F936" s="15">
        <v>0.0003</v>
      </c>
    </row>
    <row r="937" spans="1:6">
      <c r="A937" s="14">
        <v>43944</v>
      </c>
      <c r="B937" s="13">
        <v>10.472</v>
      </c>
      <c r="C937" s="13">
        <v>10.472</v>
      </c>
      <c r="D937" s="13">
        <v>10.472</v>
      </c>
      <c r="E937" s="13">
        <v>10.472</v>
      </c>
      <c r="F937" s="15">
        <v>0.0019</v>
      </c>
    </row>
    <row r="938" spans="1:6">
      <c r="A938" s="14">
        <v>43943</v>
      </c>
      <c r="B938" s="13">
        <v>10.452</v>
      </c>
      <c r="C938" s="13">
        <v>10.452</v>
      </c>
      <c r="D938" s="13">
        <v>10.452</v>
      </c>
      <c r="E938" s="13">
        <v>10.452</v>
      </c>
      <c r="F938" s="15">
        <v>-0.0024</v>
      </c>
    </row>
    <row r="939" spans="1:6">
      <c r="A939" s="14">
        <v>43942</v>
      </c>
      <c r="B939" s="13">
        <v>10.477</v>
      </c>
      <c r="C939" s="13">
        <v>10.477</v>
      </c>
      <c r="D939" s="13">
        <v>10.477</v>
      </c>
      <c r="E939" s="13">
        <v>10.477</v>
      </c>
      <c r="F939" s="15">
        <v>0.0049</v>
      </c>
    </row>
    <row r="940" spans="1:6">
      <c r="A940" s="14">
        <v>43941</v>
      </c>
      <c r="B940" s="13">
        <v>10.426</v>
      </c>
      <c r="C940" s="13">
        <v>10.426</v>
      </c>
      <c r="D940" s="13">
        <v>10.426</v>
      </c>
      <c r="E940" s="13">
        <v>10.426</v>
      </c>
      <c r="F940" s="15">
        <v>-0.0064</v>
      </c>
    </row>
    <row r="941" spans="1:6">
      <c r="A941" s="14">
        <v>43938</v>
      </c>
      <c r="B941" s="13">
        <v>10.493</v>
      </c>
      <c r="C941" s="13">
        <v>10.493</v>
      </c>
      <c r="D941" s="13">
        <v>10.493</v>
      </c>
      <c r="E941" s="13">
        <v>10.493</v>
      </c>
      <c r="F941" s="15">
        <v>0.0002</v>
      </c>
    </row>
    <row r="942" spans="1:6">
      <c r="A942" s="14">
        <v>43937</v>
      </c>
      <c r="B942" s="13">
        <v>10.491</v>
      </c>
      <c r="C942" s="13">
        <v>10.491</v>
      </c>
      <c r="D942" s="13">
        <v>10.491</v>
      </c>
      <c r="E942" s="13">
        <v>10.491</v>
      </c>
      <c r="F942" s="15">
        <v>-0.0014</v>
      </c>
    </row>
    <row r="943" spans="1:6">
      <c r="A943" s="14">
        <v>43936</v>
      </c>
      <c r="B943" s="13">
        <v>10.506</v>
      </c>
      <c r="C943" s="13">
        <v>10.506</v>
      </c>
      <c r="D943" s="13">
        <v>10.506</v>
      </c>
      <c r="E943" s="13">
        <v>10.506</v>
      </c>
      <c r="F943" s="15">
        <v>0.0207</v>
      </c>
    </row>
    <row r="944" spans="1:6">
      <c r="A944" s="14">
        <v>43935</v>
      </c>
      <c r="B944" s="13">
        <v>10.293</v>
      </c>
      <c r="C944" s="13">
        <v>10.293</v>
      </c>
      <c r="D944" s="13">
        <v>10.293</v>
      </c>
      <c r="E944" s="13">
        <v>10.293</v>
      </c>
      <c r="F944" s="15">
        <v>0.0012</v>
      </c>
    </row>
    <row r="945" spans="1:6">
      <c r="A945" s="14">
        <v>43934</v>
      </c>
      <c r="B945" s="13">
        <v>10.281</v>
      </c>
      <c r="C945" s="13">
        <v>10.281</v>
      </c>
      <c r="D945" s="13">
        <v>10.281</v>
      </c>
      <c r="E945" s="13">
        <v>10.281</v>
      </c>
      <c r="F945" s="15">
        <v>-0.0078</v>
      </c>
    </row>
    <row r="946" spans="1:6">
      <c r="A946" s="14">
        <v>43931</v>
      </c>
      <c r="B946" s="13">
        <v>10.362</v>
      </c>
      <c r="C946" s="13">
        <v>10.362</v>
      </c>
      <c r="D946" s="13">
        <v>10.362</v>
      </c>
      <c r="E946" s="13">
        <v>10.362</v>
      </c>
      <c r="F946" s="15">
        <v>-0.0015</v>
      </c>
    </row>
    <row r="947" spans="1:6">
      <c r="A947" s="14">
        <v>43930</v>
      </c>
      <c r="B947" s="13">
        <v>10.378</v>
      </c>
      <c r="C947" s="13">
        <v>10.378</v>
      </c>
      <c r="D947" s="13">
        <v>10.378</v>
      </c>
      <c r="E947" s="13">
        <v>10.378</v>
      </c>
      <c r="F947" s="15">
        <v>0.013</v>
      </c>
    </row>
    <row r="948" spans="1:6">
      <c r="A948" s="14">
        <v>43929</v>
      </c>
      <c r="B948" s="13">
        <v>10.245</v>
      </c>
      <c r="C948" s="13">
        <v>10.245</v>
      </c>
      <c r="D948" s="13">
        <v>10.245</v>
      </c>
      <c r="E948" s="13">
        <v>10.245</v>
      </c>
      <c r="F948" s="15">
        <v>-0.0102</v>
      </c>
    </row>
    <row r="949" spans="1:6">
      <c r="A949" s="14">
        <v>43928</v>
      </c>
      <c r="B949" s="13">
        <v>10.351</v>
      </c>
      <c r="C949" s="13">
        <v>10.351</v>
      </c>
      <c r="D949" s="13">
        <v>10.351</v>
      </c>
      <c r="E949" s="13">
        <v>10.351</v>
      </c>
      <c r="F949" s="15">
        <v>0.0409</v>
      </c>
    </row>
    <row r="950" spans="1:6">
      <c r="A950" s="14">
        <v>43927</v>
      </c>
      <c r="B950" s="13">
        <v>9.944</v>
      </c>
      <c r="C950" s="13">
        <v>9.944</v>
      </c>
      <c r="D950" s="13">
        <v>9.944</v>
      </c>
      <c r="E950" s="13">
        <v>9.944</v>
      </c>
      <c r="F950" s="15">
        <v>-0.097</v>
      </c>
    </row>
    <row r="951" spans="1:6">
      <c r="A951" s="14">
        <v>43924</v>
      </c>
      <c r="B951" s="13">
        <v>11.012</v>
      </c>
      <c r="C951" s="13">
        <v>11.012</v>
      </c>
      <c r="D951" s="13">
        <v>11.012</v>
      </c>
      <c r="E951" s="13">
        <v>11.012</v>
      </c>
      <c r="F951" s="15">
        <v>-0.0043</v>
      </c>
    </row>
    <row r="952" spans="1:6">
      <c r="A952" s="14">
        <v>43923</v>
      </c>
      <c r="B952" s="13">
        <v>11.06</v>
      </c>
      <c r="C952" s="13">
        <v>11.06</v>
      </c>
      <c r="D952" s="13">
        <v>11.06</v>
      </c>
      <c r="E952" s="13">
        <v>11.06</v>
      </c>
      <c r="F952" s="15">
        <v>0.0197</v>
      </c>
    </row>
    <row r="953" spans="1:6">
      <c r="A953" s="14">
        <v>43922</v>
      </c>
      <c r="B953" s="13">
        <v>10.846</v>
      </c>
      <c r="C953" s="13">
        <v>10.846</v>
      </c>
      <c r="D953" s="13">
        <v>10.846</v>
      </c>
      <c r="E953" s="13">
        <v>10.846</v>
      </c>
      <c r="F953" s="15">
        <v>0.0018</v>
      </c>
    </row>
    <row r="954" spans="1:6">
      <c r="A954" s="14">
        <v>43921</v>
      </c>
      <c r="B954" s="13">
        <v>10.827</v>
      </c>
      <c r="C954" s="13">
        <v>10.827</v>
      </c>
      <c r="D954" s="13">
        <v>10.827</v>
      </c>
      <c r="E954" s="13">
        <v>10.827</v>
      </c>
      <c r="F954" s="15">
        <v>0.0268</v>
      </c>
    </row>
    <row r="955" spans="1:6">
      <c r="A955" s="14">
        <v>43920</v>
      </c>
      <c r="B955" s="13">
        <v>10.544</v>
      </c>
      <c r="C955" s="13">
        <v>10.544</v>
      </c>
      <c r="D955" s="13">
        <v>10.544</v>
      </c>
      <c r="E955" s="13">
        <v>10.544</v>
      </c>
      <c r="F955" s="15">
        <v>-0.007</v>
      </c>
    </row>
    <row r="956" spans="1:6">
      <c r="A956" s="14">
        <v>43917</v>
      </c>
      <c r="B956" s="13">
        <v>10.618</v>
      </c>
      <c r="C956" s="13">
        <v>10.618</v>
      </c>
      <c r="D956" s="13">
        <v>10.618</v>
      </c>
      <c r="E956" s="13">
        <v>10.618</v>
      </c>
      <c r="F956" s="15">
        <v>-0.001</v>
      </c>
    </row>
    <row r="957" spans="1:6">
      <c r="A957" s="14">
        <v>43916</v>
      </c>
      <c r="B957" s="13">
        <v>10.629</v>
      </c>
      <c r="C957" s="13">
        <v>10.629</v>
      </c>
      <c r="D957" s="13">
        <v>10.629</v>
      </c>
      <c r="E957" s="13">
        <v>10.629</v>
      </c>
      <c r="F957" s="15">
        <v>-0.0003</v>
      </c>
    </row>
    <row r="958" spans="1:6">
      <c r="A958" s="14">
        <v>43910</v>
      </c>
      <c r="B958" s="13">
        <v>10.632</v>
      </c>
      <c r="C958" s="13">
        <v>10.632</v>
      </c>
      <c r="D958" s="13">
        <v>10.632</v>
      </c>
      <c r="E958" s="13">
        <v>10.632</v>
      </c>
      <c r="F958" s="15">
        <v>0.027</v>
      </c>
    </row>
    <row r="959" spans="1:6">
      <c r="A959" s="14">
        <v>43909</v>
      </c>
      <c r="B959" s="13">
        <v>10.352</v>
      </c>
      <c r="C959" s="13">
        <v>10.352</v>
      </c>
      <c r="D959" s="13">
        <v>10.352</v>
      </c>
      <c r="E959" s="13">
        <v>10.352</v>
      </c>
      <c r="F959" s="15">
        <v>-0.0001</v>
      </c>
    </row>
    <row r="960" spans="1:6">
      <c r="A960" s="14">
        <v>43908</v>
      </c>
      <c r="B960" s="13">
        <v>10.353</v>
      </c>
      <c r="C960" s="13">
        <v>10.353</v>
      </c>
      <c r="D960" s="13">
        <v>10.353</v>
      </c>
      <c r="E960" s="13">
        <v>10.353</v>
      </c>
      <c r="F960" s="15">
        <v>0.0001</v>
      </c>
    </row>
    <row r="961" spans="1:6">
      <c r="A961" s="14">
        <v>43907</v>
      </c>
      <c r="B961" s="13">
        <v>10.352</v>
      </c>
      <c r="C961" s="13">
        <v>10.352</v>
      </c>
      <c r="D961" s="13">
        <v>10.352</v>
      </c>
      <c r="E961" s="13">
        <v>10.352</v>
      </c>
      <c r="F961" s="15">
        <v>0.0149</v>
      </c>
    </row>
    <row r="962" spans="1:6">
      <c r="A962" s="14">
        <v>43906</v>
      </c>
      <c r="B962" s="13">
        <v>10.2</v>
      </c>
      <c r="C962" s="13">
        <v>10.2</v>
      </c>
      <c r="D962" s="13">
        <v>10.2</v>
      </c>
      <c r="E962" s="13">
        <v>10.2</v>
      </c>
      <c r="F962" s="15">
        <v>0.0258</v>
      </c>
    </row>
    <row r="963" spans="1:6">
      <c r="A963" s="14">
        <v>43903</v>
      </c>
      <c r="B963" s="13">
        <v>9.943</v>
      </c>
      <c r="C963" s="13">
        <v>9.943</v>
      </c>
      <c r="D963" s="13">
        <v>9.943</v>
      </c>
      <c r="E963" s="13">
        <v>9.943</v>
      </c>
      <c r="F963" s="15">
        <v>-0.0001</v>
      </c>
    </row>
    <row r="964" spans="1:6">
      <c r="A964" s="14">
        <v>43902</v>
      </c>
      <c r="B964" s="13">
        <v>9.944</v>
      </c>
      <c r="C964" s="13">
        <v>9.944</v>
      </c>
      <c r="D964" s="13">
        <v>9.944</v>
      </c>
      <c r="E964" s="13">
        <v>9.944</v>
      </c>
      <c r="F964" s="15">
        <v>-0.0009</v>
      </c>
    </row>
    <row r="965" spans="1:6">
      <c r="A965" s="14">
        <v>43901</v>
      </c>
      <c r="B965" s="13">
        <v>9.953</v>
      </c>
      <c r="C965" s="13">
        <v>9.953</v>
      </c>
      <c r="D965" s="13">
        <v>9.953</v>
      </c>
      <c r="E965" s="13">
        <v>9.953</v>
      </c>
      <c r="F965" s="15">
        <v>0.0413</v>
      </c>
    </row>
    <row r="966" spans="1:6">
      <c r="A966" s="14">
        <v>43900</v>
      </c>
      <c r="B966" s="13">
        <v>9.558</v>
      </c>
      <c r="C966" s="13">
        <v>9.558</v>
      </c>
      <c r="D966" s="13">
        <v>9.558</v>
      </c>
      <c r="E966" s="13">
        <v>9.558</v>
      </c>
      <c r="F966" s="15">
        <v>-0.0023</v>
      </c>
    </row>
    <row r="967" spans="1:6">
      <c r="A967" s="14">
        <v>43896</v>
      </c>
      <c r="B967" s="13">
        <v>9.58</v>
      </c>
      <c r="C967" s="13">
        <v>9.58</v>
      </c>
      <c r="D967" s="13">
        <v>9.58</v>
      </c>
      <c r="E967" s="13">
        <v>9.58</v>
      </c>
      <c r="F967" s="15">
        <v>0.004</v>
      </c>
    </row>
    <row r="968" spans="1:6">
      <c r="A968" s="14">
        <v>43895</v>
      </c>
      <c r="B968" s="13">
        <v>9.542</v>
      </c>
      <c r="C968" s="13">
        <v>9.542</v>
      </c>
      <c r="D968" s="13">
        <v>9.542</v>
      </c>
      <c r="E968" s="13">
        <v>9.542</v>
      </c>
      <c r="F968" s="15">
        <v>0.0019</v>
      </c>
    </row>
    <row r="969" spans="1:6">
      <c r="A969" s="14">
        <v>43894</v>
      </c>
      <c r="B969" s="13">
        <v>9.524</v>
      </c>
      <c r="C969" s="13">
        <v>9.524</v>
      </c>
      <c r="D969" s="13">
        <v>9.524</v>
      </c>
      <c r="E969" s="13">
        <v>9.524</v>
      </c>
      <c r="F969" s="15">
        <v>0.0007</v>
      </c>
    </row>
    <row r="970" spans="1:6">
      <c r="A970" s="14">
        <v>43893</v>
      </c>
      <c r="B970" s="13">
        <v>9.517</v>
      </c>
      <c r="C970" s="13">
        <v>9.517</v>
      </c>
      <c r="D970" s="13">
        <v>9.517</v>
      </c>
      <c r="E970" s="13">
        <v>9.517</v>
      </c>
      <c r="F970" s="15">
        <v>-0.0004</v>
      </c>
    </row>
    <row r="971" spans="1:6">
      <c r="A971" s="14">
        <v>43892</v>
      </c>
      <c r="B971" s="13">
        <v>9.521</v>
      </c>
      <c r="C971" s="13">
        <v>9.521</v>
      </c>
      <c r="D971" s="13">
        <v>9.521</v>
      </c>
      <c r="E971" s="13">
        <v>9.521</v>
      </c>
      <c r="F971" s="15">
        <v>0.0011</v>
      </c>
    </row>
    <row r="972" spans="1:6">
      <c r="A972" s="14">
        <v>43889</v>
      </c>
      <c r="B972" s="13">
        <v>9.511</v>
      </c>
      <c r="C972" s="13">
        <v>9.511</v>
      </c>
      <c r="D972" s="13">
        <v>9.511</v>
      </c>
      <c r="E972" s="13">
        <v>9.511</v>
      </c>
      <c r="F972" s="15">
        <v>0.0017</v>
      </c>
    </row>
    <row r="973" spans="1:6">
      <c r="A973" s="14">
        <v>43888</v>
      </c>
      <c r="B973" s="13">
        <v>9.495</v>
      </c>
      <c r="C973" s="13">
        <v>9.495</v>
      </c>
      <c r="D973" s="13">
        <v>9.495</v>
      </c>
      <c r="E973" s="13">
        <v>9.495</v>
      </c>
      <c r="F973" s="15">
        <v>-0.0002</v>
      </c>
    </row>
    <row r="974" spans="1:6">
      <c r="A974" s="14">
        <v>43887</v>
      </c>
      <c r="B974" s="13">
        <v>9.497</v>
      </c>
      <c r="C974" s="13">
        <v>9.497</v>
      </c>
      <c r="D974" s="13">
        <v>9.497</v>
      </c>
      <c r="E974" s="13">
        <v>9.497</v>
      </c>
      <c r="F974" s="15">
        <v>0.0001</v>
      </c>
    </row>
    <row r="975" spans="1:6">
      <c r="A975" s="14">
        <v>43886</v>
      </c>
      <c r="B975" s="13">
        <v>9.496</v>
      </c>
      <c r="C975" s="13">
        <v>9.496</v>
      </c>
      <c r="D975" s="13">
        <v>9.496</v>
      </c>
      <c r="E975" s="13">
        <v>9.496</v>
      </c>
      <c r="F975" s="15">
        <v>-0.0023</v>
      </c>
    </row>
    <row r="976" spans="1:6">
      <c r="A976" s="14">
        <v>43885</v>
      </c>
      <c r="B976" s="13">
        <v>9.518</v>
      </c>
      <c r="C976" s="13">
        <v>9.518</v>
      </c>
      <c r="D976" s="13">
        <v>9.518</v>
      </c>
      <c r="E976" s="13">
        <v>9.518</v>
      </c>
      <c r="F976" s="15">
        <v>-0.003</v>
      </c>
    </row>
    <row r="977" spans="1:6">
      <c r="A977" s="14">
        <v>43882</v>
      </c>
      <c r="B977" s="13">
        <v>9.547</v>
      </c>
      <c r="C977" s="13">
        <v>9.547</v>
      </c>
      <c r="D977" s="13">
        <v>9.547</v>
      </c>
      <c r="E977" s="13">
        <v>9.547</v>
      </c>
      <c r="F977" s="15">
        <v>-0.0021</v>
      </c>
    </row>
    <row r="978" spans="1:6">
      <c r="A978" s="14">
        <v>43881</v>
      </c>
      <c r="B978" s="13">
        <v>9.567</v>
      </c>
      <c r="C978" s="13">
        <v>9.567</v>
      </c>
      <c r="D978" s="13">
        <v>9.567</v>
      </c>
      <c r="E978" s="13">
        <v>9.567</v>
      </c>
      <c r="F978" s="15">
        <v>0.0002</v>
      </c>
    </row>
    <row r="979" spans="1:6">
      <c r="A979" s="14">
        <v>43880</v>
      </c>
      <c r="B979" s="13">
        <v>9.565</v>
      </c>
      <c r="C979" s="13">
        <v>9.565</v>
      </c>
      <c r="D979" s="13">
        <v>9.565</v>
      </c>
      <c r="E979" s="13">
        <v>9.565</v>
      </c>
      <c r="F979" s="15">
        <v>0.002</v>
      </c>
    </row>
    <row r="980" spans="1:6">
      <c r="A980" s="14">
        <v>43879</v>
      </c>
      <c r="B980" s="13">
        <v>9.546</v>
      </c>
      <c r="C980" s="13">
        <v>9.546</v>
      </c>
      <c r="D980" s="13">
        <v>9.546</v>
      </c>
      <c r="E980" s="13">
        <v>9.546</v>
      </c>
      <c r="F980" s="15">
        <v>-0.0033</v>
      </c>
    </row>
    <row r="981" spans="1:6">
      <c r="A981" s="14">
        <v>43878</v>
      </c>
      <c r="B981" s="13">
        <v>9.578</v>
      </c>
      <c r="C981" s="13">
        <v>9.578</v>
      </c>
      <c r="D981" s="13">
        <v>9.578</v>
      </c>
      <c r="E981" s="13">
        <v>9.578</v>
      </c>
      <c r="F981" s="15">
        <v>0.001</v>
      </c>
    </row>
    <row r="982" spans="1:6">
      <c r="A982" s="14">
        <v>43875</v>
      </c>
      <c r="B982" s="13">
        <v>9.568</v>
      </c>
      <c r="C982" s="13">
        <v>9.568</v>
      </c>
      <c r="D982" s="13">
        <v>9.568</v>
      </c>
      <c r="E982" s="13">
        <v>9.568</v>
      </c>
      <c r="F982" s="15">
        <v>0.001</v>
      </c>
    </row>
    <row r="983" spans="1:6">
      <c r="A983" s="14">
        <v>43874</v>
      </c>
      <c r="B983" s="13">
        <v>9.558</v>
      </c>
      <c r="C983" s="13">
        <v>9.558</v>
      </c>
      <c r="D983" s="13">
        <v>9.558</v>
      </c>
      <c r="E983" s="13">
        <v>9.558</v>
      </c>
      <c r="F983" s="15">
        <v>0.0024</v>
      </c>
    </row>
    <row r="984" spans="1:6">
      <c r="A984" s="14">
        <v>43873</v>
      </c>
      <c r="B984" s="13">
        <v>9.535</v>
      </c>
      <c r="C984" s="13">
        <v>9.535</v>
      </c>
      <c r="D984" s="13">
        <v>9.535</v>
      </c>
      <c r="E984" s="13">
        <v>9.535</v>
      </c>
      <c r="F984" s="15">
        <v>-0.0004</v>
      </c>
    </row>
    <row r="985" spans="1:6">
      <c r="A985" s="14">
        <v>43872</v>
      </c>
      <c r="B985" s="13">
        <v>9.539</v>
      </c>
      <c r="C985" s="13">
        <v>9.539</v>
      </c>
      <c r="D985" s="13">
        <v>9.539</v>
      </c>
      <c r="E985" s="13">
        <v>9.539</v>
      </c>
      <c r="F985" s="15">
        <v>0.003</v>
      </c>
    </row>
    <row r="986" spans="1:6">
      <c r="A986" s="14">
        <v>43871</v>
      </c>
      <c r="B986" s="13">
        <v>9.51</v>
      </c>
      <c r="C986" s="13">
        <v>9.51</v>
      </c>
      <c r="D986" s="13">
        <v>9.51</v>
      </c>
      <c r="E986" s="13">
        <v>9.51</v>
      </c>
      <c r="F986" s="15">
        <v>-0.002</v>
      </c>
    </row>
    <row r="987" spans="1:6">
      <c r="A987" s="14">
        <v>43868</v>
      </c>
      <c r="B987" s="13">
        <v>9.529</v>
      </c>
      <c r="C987" s="13">
        <v>9.529</v>
      </c>
      <c r="D987" s="13">
        <v>9.529</v>
      </c>
      <c r="E987" s="13">
        <v>9.529</v>
      </c>
      <c r="F987" s="15">
        <v>-0.0017</v>
      </c>
    </row>
    <row r="988" spans="1:6">
      <c r="A988" s="14">
        <v>43867</v>
      </c>
      <c r="B988" s="13">
        <v>9.545</v>
      </c>
      <c r="C988" s="13">
        <v>9.545</v>
      </c>
      <c r="D988" s="13">
        <v>9.545</v>
      </c>
      <c r="E988" s="13">
        <v>9.545</v>
      </c>
      <c r="F988" s="15">
        <v>0.001</v>
      </c>
    </row>
    <row r="989" spans="1:6">
      <c r="A989" s="14">
        <v>43866</v>
      </c>
      <c r="B989" s="13">
        <v>9.535</v>
      </c>
      <c r="C989" s="13">
        <v>9.535</v>
      </c>
      <c r="D989" s="13">
        <v>9.535</v>
      </c>
      <c r="E989" s="13">
        <v>9.535</v>
      </c>
      <c r="F989" s="15">
        <v>0.0002</v>
      </c>
    </row>
    <row r="990" spans="1:6">
      <c r="A990" s="14">
        <v>43865</v>
      </c>
      <c r="B990" s="13">
        <v>9.533</v>
      </c>
      <c r="C990" s="13">
        <v>9.533</v>
      </c>
      <c r="D990" s="13">
        <v>9.533</v>
      </c>
      <c r="E990" s="13">
        <v>9.533</v>
      </c>
      <c r="F990" s="15">
        <v>0.0021</v>
      </c>
    </row>
    <row r="991" spans="1:6">
      <c r="A991" s="14">
        <v>43864</v>
      </c>
      <c r="B991" s="13">
        <v>9.513</v>
      </c>
      <c r="C991" s="13">
        <v>9.513</v>
      </c>
      <c r="D991" s="13">
        <v>9.513</v>
      </c>
      <c r="E991" s="13">
        <v>9.513</v>
      </c>
      <c r="F991" s="15">
        <v>-0.0018</v>
      </c>
    </row>
    <row r="992" spans="1:6">
      <c r="A992" s="14">
        <v>43861</v>
      </c>
      <c r="B992" s="13">
        <v>9.53</v>
      </c>
      <c r="C992" s="13">
        <v>9.53</v>
      </c>
      <c r="D992" s="13">
        <v>9.53</v>
      </c>
      <c r="E992" s="13">
        <v>9.53</v>
      </c>
      <c r="F992" s="15">
        <v>0.0025</v>
      </c>
    </row>
    <row r="993" spans="1:6">
      <c r="A993" s="14">
        <v>43860</v>
      </c>
      <c r="B993" s="13">
        <v>9.506</v>
      </c>
      <c r="C993" s="13">
        <v>9.506</v>
      </c>
      <c r="D993" s="13">
        <v>9.506</v>
      </c>
      <c r="E993" s="13">
        <v>9.506</v>
      </c>
      <c r="F993" s="15">
        <v>0.0009</v>
      </c>
    </row>
    <row r="994" spans="1:6">
      <c r="A994" s="14">
        <v>43859</v>
      </c>
      <c r="B994" s="13">
        <v>9.497</v>
      </c>
      <c r="C994" s="13">
        <v>9.497</v>
      </c>
      <c r="D994" s="13">
        <v>9.497</v>
      </c>
      <c r="E994" s="13">
        <v>9.497</v>
      </c>
      <c r="F994" s="15">
        <v>-0.0001</v>
      </c>
    </row>
    <row r="995" spans="1:6">
      <c r="A995" s="14">
        <v>43858</v>
      </c>
      <c r="B995" s="13">
        <v>9.498</v>
      </c>
      <c r="C995" s="13">
        <v>9.498</v>
      </c>
      <c r="D995" s="13">
        <v>9.498</v>
      </c>
      <c r="E995" s="13">
        <v>9.498</v>
      </c>
      <c r="F995" s="15">
        <v>-0.0018</v>
      </c>
    </row>
    <row r="996" spans="1:6">
      <c r="A996" s="14">
        <v>43857</v>
      </c>
      <c r="B996" s="13">
        <v>9.515</v>
      </c>
      <c r="C996" s="13">
        <v>9.515</v>
      </c>
      <c r="D996" s="13">
        <v>9.515</v>
      </c>
      <c r="E996" s="13">
        <v>9.515</v>
      </c>
      <c r="F996" s="15">
        <v>-0.0003</v>
      </c>
    </row>
    <row r="997" spans="1:6">
      <c r="A997" s="14">
        <v>43854</v>
      </c>
      <c r="B997" s="13">
        <v>9.518</v>
      </c>
      <c r="C997" s="13">
        <v>9.518</v>
      </c>
      <c r="D997" s="13">
        <v>9.518</v>
      </c>
      <c r="E997" s="13">
        <v>9.518</v>
      </c>
      <c r="F997" s="15">
        <v>0.0015</v>
      </c>
    </row>
    <row r="998" spans="1:6">
      <c r="A998" s="14">
        <v>43853</v>
      </c>
      <c r="B998" s="13">
        <v>9.504</v>
      </c>
      <c r="C998" s="13">
        <v>9.504</v>
      </c>
      <c r="D998" s="13">
        <v>9.504</v>
      </c>
      <c r="E998" s="13">
        <v>9.504</v>
      </c>
      <c r="F998" s="15">
        <v>-0.0013</v>
      </c>
    </row>
    <row r="999" spans="1:6">
      <c r="A999" s="14">
        <v>43852</v>
      </c>
      <c r="B999" s="13">
        <v>9.516</v>
      </c>
      <c r="C999" s="13">
        <v>9.516</v>
      </c>
      <c r="D999" s="13">
        <v>9.516</v>
      </c>
      <c r="E999" s="13">
        <v>9.516</v>
      </c>
      <c r="F999" s="15">
        <v>0.0023</v>
      </c>
    </row>
    <row r="1000" spans="1:6">
      <c r="A1000" s="14">
        <v>43851</v>
      </c>
      <c r="B1000" s="13">
        <v>9.494</v>
      </c>
      <c r="C1000" s="13">
        <v>9.494</v>
      </c>
      <c r="D1000" s="13">
        <v>9.494</v>
      </c>
      <c r="E1000" s="13">
        <v>9.494</v>
      </c>
      <c r="F1000" s="15">
        <v>-0.0003</v>
      </c>
    </row>
    <row r="1001" spans="1:6">
      <c r="A1001" s="14">
        <v>43850</v>
      </c>
      <c r="B1001" s="13">
        <v>9.497</v>
      </c>
      <c r="C1001" s="13">
        <v>9.497</v>
      </c>
      <c r="D1001" s="13">
        <v>9.497</v>
      </c>
      <c r="E1001" s="13">
        <v>9.497</v>
      </c>
      <c r="F1001" s="15">
        <v>-0.0007</v>
      </c>
    </row>
    <row r="1002" spans="1:6">
      <c r="A1002" s="14">
        <v>43847</v>
      </c>
      <c r="B1002" s="13">
        <v>9.504</v>
      </c>
      <c r="C1002" s="13">
        <v>9.504</v>
      </c>
      <c r="D1002" s="13">
        <v>9.504</v>
      </c>
      <c r="E1002" s="13">
        <v>9.504</v>
      </c>
      <c r="F1002" s="15">
        <v>0.0002</v>
      </c>
    </row>
    <row r="1003" spans="1:6">
      <c r="A1003" s="14">
        <v>43846</v>
      </c>
      <c r="B1003" s="13">
        <v>9.502</v>
      </c>
      <c r="C1003" s="13">
        <v>9.502</v>
      </c>
      <c r="D1003" s="13">
        <v>9.502</v>
      </c>
      <c r="E1003" s="13">
        <v>9.502</v>
      </c>
      <c r="F1003" s="15">
        <v>0.0002</v>
      </c>
    </row>
    <row r="1004" spans="1:6">
      <c r="A1004" s="14">
        <v>43845</v>
      </c>
      <c r="B1004" s="13">
        <v>9.5</v>
      </c>
      <c r="C1004" s="13">
        <v>9.5</v>
      </c>
      <c r="D1004" s="13">
        <v>9.5</v>
      </c>
      <c r="E1004" s="13">
        <v>9.5</v>
      </c>
      <c r="F1004" s="15">
        <v>0.0021</v>
      </c>
    </row>
    <row r="1005" spans="1:6">
      <c r="A1005" s="14">
        <v>43844</v>
      </c>
      <c r="B1005" s="13">
        <v>9.48</v>
      </c>
      <c r="C1005" s="13">
        <v>9.48</v>
      </c>
      <c r="D1005" s="13">
        <v>9.48</v>
      </c>
      <c r="E1005" s="13">
        <v>9.48</v>
      </c>
      <c r="F1005" s="15">
        <v>0.0001</v>
      </c>
    </row>
    <row r="1006" spans="1:6">
      <c r="A1006" s="14">
        <v>43843</v>
      </c>
      <c r="B1006" s="13">
        <v>9.479</v>
      </c>
      <c r="C1006" s="13">
        <v>9.479</v>
      </c>
      <c r="D1006" s="13">
        <v>9.479</v>
      </c>
      <c r="E1006" s="13">
        <v>9.479</v>
      </c>
      <c r="F1006" s="15">
        <v>0.0003</v>
      </c>
    </row>
    <row r="1007" spans="1:6">
      <c r="A1007" s="14">
        <v>43840</v>
      </c>
      <c r="B1007" s="13">
        <v>9.476</v>
      </c>
      <c r="C1007" s="13">
        <v>9.476</v>
      </c>
      <c r="D1007" s="13">
        <v>9.476</v>
      </c>
      <c r="E1007" s="13">
        <v>9.476</v>
      </c>
      <c r="F1007" s="15">
        <v>-0.0001</v>
      </c>
    </row>
    <row r="1008" spans="1:6">
      <c r="A1008" s="14">
        <v>43839</v>
      </c>
      <c r="B1008" s="13">
        <v>9.477</v>
      </c>
      <c r="C1008" s="13">
        <v>9.477</v>
      </c>
      <c r="D1008" s="13">
        <v>9.477</v>
      </c>
      <c r="E1008" s="13">
        <v>9.477</v>
      </c>
      <c r="F1008" s="15">
        <v>0.0003</v>
      </c>
    </row>
    <row r="1009" spans="1:6">
      <c r="A1009" s="14">
        <v>43838</v>
      </c>
      <c r="B1009" s="13">
        <v>9.474</v>
      </c>
      <c r="C1009" s="13">
        <v>9.474</v>
      </c>
      <c r="D1009" s="13">
        <v>9.474</v>
      </c>
      <c r="E1009" s="13">
        <v>9.474</v>
      </c>
      <c r="F1009" s="15">
        <v>0.0139</v>
      </c>
    </row>
    <row r="1010" spans="1:6">
      <c r="A1010" s="14">
        <v>43836</v>
      </c>
      <c r="B1010" s="13">
        <v>9.344</v>
      </c>
      <c r="C1010" s="13">
        <v>9.344</v>
      </c>
      <c r="D1010" s="13">
        <v>9.344</v>
      </c>
      <c r="E1010" s="13">
        <v>9.344</v>
      </c>
      <c r="F1010" s="15">
        <v>0.0002</v>
      </c>
    </row>
    <row r="1011" spans="1:6">
      <c r="A1011" s="14">
        <v>43835</v>
      </c>
      <c r="B1011" s="13">
        <v>9.342</v>
      </c>
      <c r="C1011" s="13">
        <v>9.342</v>
      </c>
      <c r="D1011" s="13">
        <v>9.342</v>
      </c>
      <c r="E1011" s="13">
        <v>9.342</v>
      </c>
      <c r="F1011" s="15">
        <v>0.0326</v>
      </c>
    </row>
    <row r="1012" spans="1:6">
      <c r="A1012" s="14">
        <v>43830</v>
      </c>
      <c r="B1012" s="13">
        <v>9.047</v>
      </c>
      <c r="C1012" s="13">
        <v>9.047</v>
      </c>
      <c r="D1012" s="13">
        <v>9.047</v>
      </c>
      <c r="E1012" s="13">
        <v>9.047</v>
      </c>
      <c r="F1012" s="15">
        <v>-0.0322</v>
      </c>
    </row>
    <row r="1013" spans="1:6">
      <c r="A1013" s="14">
        <v>43829</v>
      </c>
      <c r="B1013" s="13">
        <v>9.348</v>
      </c>
      <c r="C1013" s="13">
        <v>9.348</v>
      </c>
      <c r="D1013" s="13">
        <v>9.348</v>
      </c>
      <c r="E1013" s="13">
        <v>9.348</v>
      </c>
      <c r="F1013" s="15">
        <v>0</v>
      </c>
    </row>
    <row r="1014" spans="1:6">
      <c r="A1014" s="14">
        <v>43826</v>
      </c>
      <c r="B1014" s="13">
        <v>9.348</v>
      </c>
      <c r="C1014" s="13">
        <v>9.348</v>
      </c>
      <c r="D1014" s="13">
        <v>9.348</v>
      </c>
      <c r="E1014" s="13">
        <v>9.348</v>
      </c>
      <c r="F1014" s="15">
        <v>-0.0104</v>
      </c>
    </row>
    <row r="1015" spans="1:6">
      <c r="A1015" s="14">
        <v>43825</v>
      </c>
      <c r="B1015" s="13">
        <v>9.446</v>
      </c>
      <c r="C1015" s="13">
        <v>9.446</v>
      </c>
      <c r="D1015" s="13">
        <v>9.446</v>
      </c>
      <c r="E1015" s="13">
        <v>9.446</v>
      </c>
      <c r="F1015" s="15">
        <v>-0.0036</v>
      </c>
    </row>
    <row r="1016" spans="1:6">
      <c r="A1016" s="14">
        <v>43824</v>
      </c>
      <c r="B1016" s="13">
        <v>9.48</v>
      </c>
      <c r="C1016" s="13">
        <v>9.48</v>
      </c>
      <c r="D1016" s="13">
        <v>9.48</v>
      </c>
      <c r="E1016" s="13">
        <v>9.48</v>
      </c>
      <c r="F1016" s="15">
        <v>0.0008</v>
      </c>
    </row>
    <row r="1017" spans="1:6">
      <c r="A1017" s="14">
        <v>43823</v>
      </c>
      <c r="B1017" s="13">
        <v>9.472</v>
      </c>
      <c r="C1017" s="13">
        <v>9.472</v>
      </c>
      <c r="D1017" s="13">
        <v>9.472</v>
      </c>
      <c r="E1017" s="13">
        <v>9.472</v>
      </c>
      <c r="F1017" s="15">
        <v>-0.0008</v>
      </c>
    </row>
    <row r="1018" spans="1:6">
      <c r="A1018" s="14">
        <v>43822</v>
      </c>
      <c r="B1018" s="13">
        <v>9.48</v>
      </c>
      <c r="C1018" s="13">
        <v>9.48</v>
      </c>
      <c r="D1018" s="13">
        <v>9.48</v>
      </c>
      <c r="E1018" s="13">
        <v>9.48</v>
      </c>
      <c r="F1018" s="15">
        <v>0</v>
      </c>
    </row>
    <row r="1019" spans="1:6">
      <c r="A1019" s="14">
        <v>43819</v>
      </c>
      <c r="B1019" s="13">
        <v>9.48</v>
      </c>
      <c r="C1019" s="13">
        <v>9.48</v>
      </c>
      <c r="D1019" s="13">
        <v>9.48</v>
      </c>
      <c r="E1019" s="13">
        <v>9.48</v>
      </c>
      <c r="F1019" s="15">
        <v>0.0022</v>
      </c>
    </row>
    <row r="1020" spans="1:6">
      <c r="A1020" s="14">
        <v>43818</v>
      </c>
      <c r="B1020" s="13">
        <v>9.459</v>
      </c>
      <c r="C1020" s="13">
        <v>9.459</v>
      </c>
      <c r="D1020" s="13">
        <v>9.459</v>
      </c>
      <c r="E1020" s="13">
        <v>9.459</v>
      </c>
      <c r="F1020" s="15">
        <v>0.0006</v>
      </c>
    </row>
    <row r="1021" spans="1:6">
      <c r="A1021" s="14">
        <v>43817</v>
      </c>
      <c r="B1021" s="13">
        <v>9.453</v>
      </c>
      <c r="C1021" s="13">
        <v>9.453</v>
      </c>
      <c r="D1021" s="13">
        <v>9.453</v>
      </c>
      <c r="E1021" s="13">
        <v>9.453</v>
      </c>
      <c r="F1021" s="15">
        <v>-0.0005</v>
      </c>
    </row>
    <row r="1022" spans="1:6">
      <c r="A1022" s="14">
        <v>43811</v>
      </c>
      <c r="B1022" s="13">
        <v>9.458</v>
      </c>
      <c r="C1022" s="13">
        <v>9.458</v>
      </c>
      <c r="D1022" s="13">
        <v>9.458</v>
      </c>
      <c r="E1022" s="13">
        <v>9.458</v>
      </c>
      <c r="F1022" s="15">
        <v>0.0015</v>
      </c>
    </row>
    <row r="1023" spans="1:6">
      <c r="A1023" s="14">
        <v>43810</v>
      </c>
      <c r="B1023" s="13">
        <v>9.444</v>
      </c>
      <c r="C1023" s="13">
        <v>9.444</v>
      </c>
      <c r="D1023" s="13">
        <v>9.444</v>
      </c>
      <c r="E1023" s="13">
        <v>9.444</v>
      </c>
      <c r="F1023" s="15">
        <v>0.0024</v>
      </c>
    </row>
    <row r="1024" spans="1:6">
      <c r="A1024" s="14">
        <v>43809</v>
      </c>
      <c r="B1024" s="13">
        <v>9.421</v>
      </c>
      <c r="C1024" s="13">
        <v>9.421</v>
      </c>
      <c r="D1024" s="13">
        <v>9.421</v>
      </c>
      <c r="E1024" s="13">
        <v>9.421</v>
      </c>
      <c r="F1024" s="15">
        <v>0.0026</v>
      </c>
    </row>
    <row r="1025" spans="1:6">
      <c r="A1025" s="14">
        <v>43808</v>
      </c>
      <c r="B1025" s="13">
        <v>9.397</v>
      </c>
      <c r="C1025" s="13">
        <v>9.397</v>
      </c>
      <c r="D1025" s="13">
        <v>9.397</v>
      </c>
      <c r="E1025" s="13">
        <v>9.397</v>
      </c>
      <c r="F1025" s="15">
        <v>0.0073</v>
      </c>
    </row>
    <row r="1026" spans="1:6">
      <c r="A1026" s="14">
        <v>43805</v>
      </c>
      <c r="B1026" s="13">
        <v>9.329</v>
      </c>
      <c r="C1026" s="13">
        <v>9.329</v>
      </c>
      <c r="D1026" s="13">
        <v>9.329</v>
      </c>
      <c r="E1026" s="13">
        <v>9.329</v>
      </c>
      <c r="F1026" s="15">
        <v>-0.0015</v>
      </c>
    </row>
    <row r="1027" spans="1:6">
      <c r="A1027" s="14">
        <v>43804</v>
      </c>
      <c r="B1027" s="13">
        <v>9.343</v>
      </c>
      <c r="C1027" s="13">
        <v>9.343</v>
      </c>
      <c r="D1027" s="13">
        <v>9.343</v>
      </c>
      <c r="E1027" s="13">
        <v>9.343</v>
      </c>
      <c r="F1027" s="15">
        <v>0.008</v>
      </c>
    </row>
    <row r="1028" spans="1:6">
      <c r="A1028" s="14">
        <v>43803</v>
      </c>
      <c r="B1028" s="13">
        <v>9.269</v>
      </c>
      <c r="C1028" s="13">
        <v>9.269</v>
      </c>
      <c r="D1028" s="13">
        <v>9.269</v>
      </c>
      <c r="E1028" s="13">
        <v>9.269</v>
      </c>
      <c r="F1028" s="15">
        <v>-0.0015</v>
      </c>
    </row>
    <row r="1029" spans="1:6">
      <c r="A1029" s="14">
        <v>43802</v>
      </c>
      <c r="B1029" s="13">
        <v>9.283</v>
      </c>
      <c r="C1029" s="13">
        <v>9.283</v>
      </c>
      <c r="D1029" s="13">
        <v>9.283</v>
      </c>
      <c r="E1029" s="13">
        <v>9.283</v>
      </c>
      <c r="F1029" s="15">
        <v>-0.0004</v>
      </c>
    </row>
    <row r="1030" spans="1:6">
      <c r="A1030" s="14">
        <v>43798</v>
      </c>
      <c r="B1030" s="13">
        <v>9.287</v>
      </c>
      <c r="C1030" s="13">
        <v>9.287</v>
      </c>
      <c r="D1030" s="13">
        <v>9.287</v>
      </c>
      <c r="E1030" s="13">
        <v>9.287</v>
      </c>
      <c r="F1030" s="15">
        <v>0.0066</v>
      </c>
    </row>
    <row r="1031" spans="1:6">
      <c r="A1031" s="14">
        <v>43797</v>
      </c>
      <c r="B1031" s="13">
        <v>9.226</v>
      </c>
      <c r="C1031" s="13">
        <v>9.226</v>
      </c>
      <c r="D1031" s="13">
        <v>9.226</v>
      </c>
      <c r="E1031" s="13">
        <v>9.226</v>
      </c>
      <c r="F1031" s="15">
        <v>0.0008</v>
      </c>
    </row>
    <row r="1032" spans="1:6">
      <c r="A1032" s="14">
        <v>43796</v>
      </c>
      <c r="B1032" s="13">
        <v>9.219</v>
      </c>
      <c r="C1032" s="13">
        <v>9.219</v>
      </c>
      <c r="D1032" s="13">
        <v>9.219</v>
      </c>
      <c r="E1032" s="13">
        <v>9.219</v>
      </c>
      <c r="F1032" s="15">
        <v>-0.0003</v>
      </c>
    </row>
    <row r="1033" spans="1:6">
      <c r="A1033" s="14">
        <v>43795</v>
      </c>
      <c r="B1033" s="13">
        <v>9.222</v>
      </c>
      <c r="C1033" s="13">
        <v>9.222</v>
      </c>
      <c r="D1033" s="13">
        <v>9.222</v>
      </c>
      <c r="E1033" s="13">
        <v>9.222</v>
      </c>
      <c r="F1033" s="15">
        <v>-0.0002</v>
      </c>
    </row>
    <row r="1034" spans="1:6">
      <c r="A1034" s="14">
        <v>43794</v>
      </c>
      <c r="B1034" s="13">
        <v>9.224</v>
      </c>
      <c r="C1034" s="13">
        <v>9.224</v>
      </c>
      <c r="D1034" s="13">
        <v>9.224</v>
      </c>
      <c r="E1034" s="13">
        <v>9.224</v>
      </c>
      <c r="F1034" s="15">
        <v>-0.0109</v>
      </c>
    </row>
    <row r="1035" spans="1:6">
      <c r="A1035" s="14">
        <v>43791</v>
      </c>
      <c r="B1035" s="13">
        <v>9.326</v>
      </c>
      <c r="C1035" s="13">
        <v>9.326</v>
      </c>
      <c r="D1035" s="13">
        <v>9.326</v>
      </c>
      <c r="E1035" s="13">
        <v>9.326</v>
      </c>
      <c r="F1035" s="15">
        <v>-0.0029</v>
      </c>
    </row>
    <row r="1036" spans="1:6">
      <c r="A1036" s="14">
        <v>43790</v>
      </c>
      <c r="B1036" s="13">
        <v>9.353</v>
      </c>
      <c r="C1036" s="13">
        <v>9.353</v>
      </c>
      <c r="D1036" s="13">
        <v>9.353</v>
      </c>
      <c r="E1036" s="13">
        <v>9.353</v>
      </c>
      <c r="F1036" s="15">
        <v>-0.0045</v>
      </c>
    </row>
    <row r="1037" spans="1:6">
      <c r="A1037" s="14">
        <v>43789</v>
      </c>
      <c r="B1037" s="13">
        <v>9.395</v>
      </c>
      <c r="C1037" s="13">
        <v>9.395</v>
      </c>
      <c r="D1037" s="13">
        <v>9.395</v>
      </c>
      <c r="E1037" s="13">
        <v>9.395</v>
      </c>
      <c r="F1037" s="15">
        <v>-0.0017</v>
      </c>
    </row>
    <row r="1038" spans="1:6">
      <c r="A1038" s="14">
        <v>43788</v>
      </c>
      <c r="B1038" s="13">
        <v>9.411</v>
      </c>
      <c r="C1038" s="13">
        <v>9.411</v>
      </c>
      <c r="D1038" s="13">
        <v>9.411</v>
      </c>
      <c r="E1038" s="13">
        <v>9.411</v>
      </c>
      <c r="F1038" s="15">
        <v>-0.0003</v>
      </c>
    </row>
    <row r="1039" spans="1:6">
      <c r="A1039" s="14">
        <v>43787</v>
      </c>
      <c r="B1039" s="13">
        <v>9.414</v>
      </c>
      <c r="C1039" s="13">
        <v>9.414</v>
      </c>
      <c r="D1039" s="13">
        <v>9.414</v>
      </c>
      <c r="E1039" s="13">
        <v>9.414</v>
      </c>
      <c r="F1039" s="15">
        <v>0.0045</v>
      </c>
    </row>
    <row r="1040" spans="1:6">
      <c r="A1040" s="14">
        <v>43784</v>
      </c>
      <c r="B1040" s="13">
        <v>9.372</v>
      </c>
      <c r="C1040" s="13">
        <v>9.372</v>
      </c>
      <c r="D1040" s="13">
        <v>9.372</v>
      </c>
      <c r="E1040" s="13">
        <v>9.372</v>
      </c>
      <c r="F1040" s="15">
        <v>0.0032</v>
      </c>
    </row>
    <row r="1041" spans="1:6">
      <c r="A1041" s="14">
        <v>43783</v>
      </c>
      <c r="B1041" s="13">
        <v>9.342</v>
      </c>
      <c r="C1041" s="13">
        <v>9.342</v>
      </c>
      <c r="D1041" s="13">
        <v>9.342</v>
      </c>
      <c r="E1041" s="13">
        <v>9.342</v>
      </c>
      <c r="F1041" s="15">
        <v>-0.0001</v>
      </c>
    </row>
    <row r="1042" spans="1:6">
      <c r="A1042" s="14">
        <v>43782</v>
      </c>
      <c r="B1042" s="13">
        <v>9.343</v>
      </c>
      <c r="C1042" s="13">
        <v>9.343</v>
      </c>
      <c r="D1042" s="13">
        <v>9.343</v>
      </c>
      <c r="E1042" s="13">
        <v>9.343</v>
      </c>
      <c r="F1042" s="15">
        <v>0.0128</v>
      </c>
    </row>
    <row r="1043" spans="1:6">
      <c r="A1043" s="14">
        <v>43781</v>
      </c>
      <c r="B1043" s="13">
        <v>9.225</v>
      </c>
      <c r="C1043" s="13">
        <v>9.225</v>
      </c>
      <c r="D1043" s="13">
        <v>9.225</v>
      </c>
      <c r="E1043" s="13">
        <v>9.225</v>
      </c>
      <c r="F1043" s="15">
        <v>-0.004</v>
      </c>
    </row>
    <row r="1044" spans="1:6">
      <c r="A1044" s="14">
        <v>43780</v>
      </c>
      <c r="B1044" s="13">
        <v>9.262</v>
      </c>
      <c r="C1044" s="13">
        <v>9.262</v>
      </c>
      <c r="D1044" s="13">
        <v>9.262</v>
      </c>
      <c r="E1044" s="13">
        <v>9.262</v>
      </c>
      <c r="F1044" s="15">
        <v>-0.0006</v>
      </c>
    </row>
    <row r="1045" spans="1:6">
      <c r="A1045" s="14">
        <v>43777</v>
      </c>
      <c r="B1045" s="13">
        <v>9.268</v>
      </c>
      <c r="C1045" s="13">
        <v>9.268</v>
      </c>
      <c r="D1045" s="13">
        <v>9.268</v>
      </c>
      <c r="E1045" s="13">
        <v>9.268</v>
      </c>
      <c r="F1045" s="15">
        <v>0.0051</v>
      </c>
    </row>
    <row r="1046" spans="1:6">
      <c r="A1046" s="14">
        <v>43776</v>
      </c>
      <c r="B1046" s="13">
        <v>9.221</v>
      </c>
      <c r="C1046" s="13">
        <v>9.221</v>
      </c>
      <c r="D1046" s="13">
        <v>9.221</v>
      </c>
      <c r="E1046" s="13">
        <v>9.221</v>
      </c>
      <c r="F1046" s="15">
        <v>-0.0032</v>
      </c>
    </row>
    <row r="1047" spans="1:6">
      <c r="A1047" s="14">
        <v>43775</v>
      </c>
      <c r="B1047" s="13">
        <v>9.251</v>
      </c>
      <c r="C1047" s="13">
        <v>9.251</v>
      </c>
      <c r="D1047" s="13">
        <v>9.251</v>
      </c>
      <c r="E1047" s="13">
        <v>9.251</v>
      </c>
      <c r="F1047" s="15">
        <v>0.0006</v>
      </c>
    </row>
    <row r="1048" spans="1:6">
      <c r="A1048" s="14">
        <v>43774</v>
      </c>
      <c r="B1048" s="13">
        <v>9.245</v>
      </c>
      <c r="C1048" s="13">
        <v>9.245</v>
      </c>
      <c r="D1048" s="13">
        <v>9.245</v>
      </c>
      <c r="E1048" s="13">
        <v>9.245</v>
      </c>
      <c r="F1048" s="15">
        <v>0.0012</v>
      </c>
    </row>
    <row r="1049" spans="1:6">
      <c r="A1049" s="14">
        <v>43773</v>
      </c>
      <c r="B1049" s="13">
        <v>9.234</v>
      </c>
      <c r="C1049" s="13">
        <v>9.234</v>
      </c>
      <c r="D1049" s="13">
        <v>9.234</v>
      </c>
      <c r="E1049" s="13">
        <v>9.234</v>
      </c>
      <c r="F1049" s="15">
        <v>0.0086</v>
      </c>
    </row>
    <row r="1050" spans="1:6">
      <c r="A1050" s="14">
        <v>43770</v>
      </c>
      <c r="B1050" s="13">
        <v>9.155</v>
      </c>
      <c r="C1050" s="13">
        <v>9.155</v>
      </c>
      <c r="D1050" s="13">
        <v>9.155</v>
      </c>
      <c r="E1050" s="13">
        <v>9.155</v>
      </c>
      <c r="F1050" s="15">
        <v>0.0002</v>
      </c>
    </row>
    <row r="1051" spans="1:6">
      <c r="A1051" s="14">
        <v>43769</v>
      </c>
      <c r="B1051" s="13">
        <v>9.153</v>
      </c>
      <c r="C1051" s="13">
        <v>9.153</v>
      </c>
      <c r="D1051" s="13">
        <v>9.153</v>
      </c>
      <c r="E1051" s="13">
        <v>9.153</v>
      </c>
      <c r="F1051" s="15">
        <v>0.0009</v>
      </c>
    </row>
    <row r="1052" spans="1:6">
      <c r="A1052" s="14">
        <v>43768</v>
      </c>
      <c r="B1052" s="13">
        <v>9.145</v>
      </c>
      <c r="C1052" s="13">
        <v>9.145</v>
      </c>
      <c r="D1052" s="13">
        <v>9.145</v>
      </c>
      <c r="E1052" s="13">
        <v>9.145</v>
      </c>
      <c r="F1052" s="15">
        <v>0.0049</v>
      </c>
    </row>
    <row r="1053" spans="1:6">
      <c r="A1053" s="14">
        <v>43767</v>
      </c>
      <c r="B1053" s="13">
        <v>9.1</v>
      </c>
      <c r="C1053" s="13">
        <v>9.1</v>
      </c>
      <c r="D1053" s="13">
        <v>9.1</v>
      </c>
      <c r="E1053" s="13">
        <v>9.1</v>
      </c>
      <c r="F1053" s="15">
        <v>0.0101</v>
      </c>
    </row>
    <row r="1054" spans="1:6">
      <c r="A1054" s="14">
        <v>43766</v>
      </c>
      <c r="B1054" s="13">
        <v>9.009</v>
      </c>
      <c r="C1054" s="13">
        <v>9.009</v>
      </c>
      <c r="D1054" s="13">
        <v>9.009</v>
      </c>
      <c r="E1054" s="13">
        <v>9.009</v>
      </c>
      <c r="F1054" s="15">
        <v>-0.003</v>
      </c>
    </row>
    <row r="1055" spans="1:6">
      <c r="A1055" s="14">
        <v>43763</v>
      </c>
      <c r="B1055" s="13">
        <v>9.036</v>
      </c>
      <c r="C1055" s="13">
        <v>9.036</v>
      </c>
      <c r="D1055" s="13">
        <v>9.036</v>
      </c>
      <c r="E1055" s="13">
        <v>9.036</v>
      </c>
      <c r="F1055" s="15">
        <v>0.0026</v>
      </c>
    </row>
    <row r="1056" spans="1:6">
      <c r="A1056" s="14">
        <v>43762</v>
      </c>
      <c r="B1056" s="13">
        <v>9.013</v>
      </c>
      <c r="C1056" s="13">
        <v>9.013</v>
      </c>
      <c r="D1056" s="13">
        <v>9.013</v>
      </c>
      <c r="E1056" s="13">
        <v>9.013</v>
      </c>
      <c r="F1056" s="15">
        <v>-0.0001</v>
      </c>
    </row>
    <row r="1057" spans="1:6">
      <c r="A1057" s="14">
        <v>43761</v>
      </c>
      <c r="B1057" s="13">
        <v>9.014</v>
      </c>
      <c r="C1057" s="13">
        <v>9.014</v>
      </c>
      <c r="D1057" s="13">
        <v>9.014</v>
      </c>
      <c r="E1057" s="13">
        <v>9.014</v>
      </c>
      <c r="F1057" s="15">
        <v>0.0029</v>
      </c>
    </row>
    <row r="1058" spans="1:6">
      <c r="A1058" s="14">
        <v>43760</v>
      </c>
      <c r="B1058" s="13">
        <v>8.988</v>
      </c>
      <c r="C1058" s="13">
        <v>8.988</v>
      </c>
      <c r="D1058" s="13">
        <v>8.988</v>
      </c>
      <c r="E1058" s="13">
        <v>8.988</v>
      </c>
      <c r="F1058" s="15">
        <v>0.0033</v>
      </c>
    </row>
    <row r="1059" spans="1:6">
      <c r="A1059" s="14">
        <v>43759</v>
      </c>
      <c r="B1059" s="13">
        <v>8.958</v>
      </c>
      <c r="C1059" s="13">
        <v>8.958</v>
      </c>
      <c r="D1059" s="13">
        <v>8.958</v>
      </c>
      <c r="E1059" s="13">
        <v>8.958</v>
      </c>
      <c r="F1059" s="15">
        <v>-0.0013</v>
      </c>
    </row>
    <row r="1060" spans="1:6">
      <c r="A1060" s="14">
        <v>43756</v>
      </c>
      <c r="B1060" s="13">
        <v>8.97</v>
      </c>
      <c r="C1060" s="13">
        <v>8.97</v>
      </c>
      <c r="D1060" s="13">
        <v>8.97</v>
      </c>
      <c r="E1060" s="13">
        <v>8.97</v>
      </c>
      <c r="F1060" s="15">
        <v>0.0038</v>
      </c>
    </row>
    <row r="1061" spans="1:6">
      <c r="A1061" s="14">
        <v>43755</v>
      </c>
      <c r="B1061" s="13">
        <v>8.936</v>
      </c>
      <c r="C1061" s="13">
        <v>8.936</v>
      </c>
      <c r="D1061" s="13">
        <v>8.936</v>
      </c>
      <c r="E1061" s="13">
        <v>8.936</v>
      </c>
      <c r="F1061" s="15">
        <v>0.0007</v>
      </c>
    </row>
    <row r="1062" spans="1:6">
      <c r="A1062" s="14">
        <v>43754</v>
      </c>
      <c r="B1062" s="13">
        <v>8.93</v>
      </c>
      <c r="C1062" s="13">
        <v>8.93</v>
      </c>
      <c r="D1062" s="13">
        <v>8.93</v>
      </c>
      <c r="E1062" s="13">
        <v>8.93</v>
      </c>
      <c r="F1062" s="15">
        <v>0.0009</v>
      </c>
    </row>
    <row r="1063" spans="1:6">
      <c r="A1063" s="14">
        <v>43753</v>
      </c>
      <c r="B1063" s="13">
        <v>8.922</v>
      </c>
      <c r="C1063" s="13">
        <v>8.922</v>
      </c>
      <c r="D1063" s="13">
        <v>8.922</v>
      </c>
      <c r="E1063" s="13">
        <v>8.922</v>
      </c>
      <c r="F1063" s="15">
        <v>-0.0011</v>
      </c>
    </row>
    <row r="1064" spans="1:6">
      <c r="A1064" s="14">
        <v>43752</v>
      </c>
      <c r="B1064" s="13">
        <v>8.932</v>
      </c>
      <c r="C1064" s="13">
        <v>8.932</v>
      </c>
      <c r="D1064" s="13">
        <v>8.932</v>
      </c>
      <c r="E1064" s="13">
        <v>8.932</v>
      </c>
      <c r="F1064" s="15">
        <v>0.0031</v>
      </c>
    </row>
    <row r="1065" spans="1:6">
      <c r="A1065" s="14">
        <v>43749</v>
      </c>
      <c r="B1065" s="13">
        <v>8.904</v>
      </c>
      <c r="C1065" s="13">
        <v>8.904</v>
      </c>
      <c r="D1065" s="13">
        <v>8.904</v>
      </c>
      <c r="E1065" s="13">
        <v>8.904</v>
      </c>
      <c r="F1065" s="15">
        <v>0.0007</v>
      </c>
    </row>
    <row r="1066" spans="1:6">
      <c r="A1066" s="14">
        <v>43748</v>
      </c>
      <c r="B1066" s="13">
        <v>8.898</v>
      </c>
      <c r="C1066" s="13">
        <v>8.898</v>
      </c>
      <c r="D1066" s="13">
        <v>8.898</v>
      </c>
      <c r="E1066" s="13">
        <v>8.898</v>
      </c>
      <c r="F1066" s="15">
        <v>0.0001</v>
      </c>
    </row>
    <row r="1067" spans="1:6">
      <c r="A1067" s="14">
        <v>43747</v>
      </c>
      <c r="B1067" s="13">
        <v>8.897</v>
      </c>
      <c r="C1067" s="13">
        <v>8.897</v>
      </c>
      <c r="D1067" s="13">
        <v>8.897</v>
      </c>
      <c r="E1067" s="13">
        <v>8.897</v>
      </c>
      <c r="F1067" s="15">
        <v>0.0033</v>
      </c>
    </row>
    <row r="1068" spans="1:6">
      <c r="A1068" s="14">
        <v>43746</v>
      </c>
      <c r="B1068" s="13">
        <v>8.868</v>
      </c>
      <c r="C1068" s="13">
        <v>8.868</v>
      </c>
      <c r="D1068" s="13">
        <v>8.868</v>
      </c>
      <c r="E1068" s="13">
        <v>8.868</v>
      </c>
      <c r="F1068" s="15">
        <v>0.0018</v>
      </c>
    </row>
    <row r="1069" spans="1:6">
      <c r="A1069" s="14">
        <v>43745</v>
      </c>
      <c r="B1069" s="13">
        <v>8.852</v>
      </c>
      <c r="C1069" s="13">
        <v>8.852</v>
      </c>
      <c r="D1069" s="13">
        <v>8.852</v>
      </c>
      <c r="E1069" s="13">
        <v>8.852</v>
      </c>
      <c r="F1069" s="15">
        <v>0.0003</v>
      </c>
    </row>
    <row r="1070" spans="1:6">
      <c r="A1070" s="14">
        <v>43742</v>
      </c>
      <c r="B1070" s="13">
        <v>8.849</v>
      </c>
      <c r="C1070" s="13">
        <v>8.849</v>
      </c>
      <c r="D1070" s="13">
        <v>8.849</v>
      </c>
      <c r="E1070" s="13">
        <v>8.849</v>
      </c>
      <c r="F1070" s="15">
        <v>0.0025</v>
      </c>
    </row>
    <row r="1071" spans="1:6">
      <c r="A1071" s="14">
        <v>43741</v>
      </c>
      <c r="B1071" s="13">
        <v>8.827</v>
      </c>
      <c r="C1071" s="13">
        <v>8.827</v>
      </c>
      <c r="D1071" s="13">
        <v>8.827</v>
      </c>
      <c r="E1071" s="13">
        <v>8.827</v>
      </c>
      <c r="F1071" s="15">
        <v>0.0007</v>
      </c>
    </row>
    <row r="1072" spans="1:6">
      <c r="A1072" s="14">
        <v>43740</v>
      </c>
      <c r="B1072" s="13">
        <v>8.821</v>
      </c>
      <c r="C1072" s="13">
        <v>8.821</v>
      </c>
      <c r="D1072" s="13">
        <v>8.821</v>
      </c>
      <c r="E1072" s="13">
        <v>8.821</v>
      </c>
      <c r="F1072" s="15">
        <v>0.0006</v>
      </c>
    </row>
    <row r="1073" spans="1:6">
      <c r="A1073" s="14">
        <v>43739</v>
      </c>
      <c r="B1073" s="13">
        <v>8.816</v>
      </c>
      <c r="C1073" s="13">
        <v>8.816</v>
      </c>
      <c r="D1073" s="13">
        <v>8.816</v>
      </c>
      <c r="E1073" s="13">
        <v>8.816</v>
      </c>
      <c r="F1073" s="15">
        <v>0.0001</v>
      </c>
    </row>
    <row r="1074" spans="1:6">
      <c r="A1074" s="14">
        <v>43738</v>
      </c>
      <c r="B1074" s="13">
        <v>8.815</v>
      </c>
      <c r="C1074" s="13">
        <v>8.815</v>
      </c>
      <c r="D1074" s="13">
        <v>8.815</v>
      </c>
      <c r="E1074" s="13">
        <v>8.815</v>
      </c>
      <c r="F1074" s="15">
        <v>-0.0001</v>
      </c>
    </row>
    <row r="1075" spans="1:6">
      <c r="A1075" s="14">
        <v>43735</v>
      </c>
      <c r="B1075" s="13">
        <v>8.816</v>
      </c>
      <c r="C1075" s="13">
        <v>8.816</v>
      </c>
      <c r="D1075" s="13">
        <v>8.816</v>
      </c>
      <c r="E1075" s="13">
        <v>8.816</v>
      </c>
      <c r="F1075" s="15">
        <v>0.0001</v>
      </c>
    </row>
    <row r="1076" spans="1:6">
      <c r="A1076" s="14">
        <v>43734</v>
      </c>
      <c r="B1076" s="13">
        <v>8.815</v>
      </c>
      <c r="C1076" s="13">
        <v>8.815</v>
      </c>
      <c r="D1076" s="13">
        <v>8.815</v>
      </c>
      <c r="E1076" s="13">
        <v>8.815</v>
      </c>
      <c r="F1076" s="15">
        <v>-0.0025</v>
      </c>
    </row>
    <row r="1077" spans="1:6">
      <c r="A1077" s="14">
        <v>43733</v>
      </c>
      <c r="B1077" s="13">
        <v>8.837</v>
      </c>
      <c r="C1077" s="13">
        <v>8.837</v>
      </c>
      <c r="D1077" s="13">
        <v>8.837</v>
      </c>
      <c r="E1077" s="13">
        <v>8.837</v>
      </c>
      <c r="F1077" s="15">
        <v>0</v>
      </c>
    </row>
    <row r="1078" spans="1:6">
      <c r="A1078" s="14">
        <v>43732</v>
      </c>
      <c r="B1078" s="13">
        <v>8.837</v>
      </c>
      <c r="C1078" s="13">
        <v>8.837</v>
      </c>
      <c r="D1078" s="13">
        <v>8.837</v>
      </c>
      <c r="E1078" s="13">
        <v>8.837</v>
      </c>
      <c r="F1078" s="15">
        <v>0.0011</v>
      </c>
    </row>
    <row r="1079" spans="1:6">
      <c r="A1079" s="14">
        <v>43731</v>
      </c>
      <c r="B1079" s="13">
        <v>8.827</v>
      </c>
      <c r="C1079" s="13">
        <v>8.827</v>
      </c>
      <c r="D1079" s="13">
        <v>8.827</v>
      </c>
      <c r="E1079" s="13">
        <v>8.827</v>
      </c>
      <c r="F1079" s="15">
        <v>0</v>
      </c>
    </row>
    <row r="1080" spans="1:6">
      <c r="A1080" s="14">
        <v>43728</v>
      </c>
      <c r="B1080" s="13">
        <v>8.827</v>
      </c>
      <c r="C1080" s="13">
        <v>8.827</v>
      </c>
      <c r="D1080" s="13">
        <v>8.827</v>
      </c>
      <c r="E1080" s="13">
        <v>8.827</v>
      </c>
      <c r="F1080" s="15">
        <v>0.0001</v>
      </c>
    </row>
    <row r="1081" spans="1:6">
      <c r="A1081" s="14">
        <v>43727</v>
      </c>
      <c r="B1081" s="13">
        <v>8.826</v>
      </c>
      <c r="C1081" s="13">
        <v>8.826</v>
      </c>
      <c r="D1081" s="13">
        <v>8.826</v>
      </c>
      <c r="E1081" s="13">
        <v>8.826</v>
      </c>
      <c r="F1081" s="15">
        <v>0.0009</v>
      </c>
    </row>
    <row r="1082" spans="1:6">
      <c r="A1082" s="14">
        <v>43726</v>
      </c>
      <c r="B1082" s="13">
        <v>8.818</v>
      </c>
      <c r="C1082" s="13">
        <v>8.818</v>
      </c>
      <c r="D1082" s="13">
        <v>8.818</v>
      </c>
      <c r="E1082" s="13">
        <v>8.818</v>
      </c>
      <c r="F1082" s="15">
        <v>0</v>
      </c>
    </row>
    <row r="1083" spans="1:6">
      <c r="A1083" s="14">
        <v>43725</v>
      </c>
      <c r="B1083" s="13">
        <v>8.818</v>
      </c>
      <c r="C1083" s="13">
        <v>8.818</v>
      </c>
      <c r="D1083" s="13">
        <v>8.818</v>
      </c>
      <c r="E1083" s="13">
        <v>8.818</v>
      </c>
      <c r="F1083" s="15">
        <v>0.0002</v>
      </c>
    </row>
    <row r="1084" spans="1:6">
      <c r="A1084" s="14">
        <v>43724</v>
      </c>
      <c r="B1084" s="13">
        <v>8.816</v>
      </c>
      <c r="C1084" s="13">
        <v>8.816</v>
      </c>
      <c r="D1084" s="13">
        <v>8.816</v>
      </c>
      <c r="E1084" s="13">
        <v>8.816</v>
      </c>
      <c r="F1084" s="15">
        <v>0.0002</v>
      </c>
    </row>
    <row r="1085" spans="1:6">
      <c r="A1085" s="14">
        <v>43721</v>
      </c>
      <c r="B1085" s="13">
        <v>8.814</v>
      </c>
      <c r="C1085" s="13">
        <v>8.814</v>
      </c>
      <c r="D1085" s="13">
        <v>8.814</v>
      </c>
      <c r="E1085" s="13">
        <v>8.814</v>
      </c>
      <c r="F1085" s="15">
        <v>0</v>
      </c>
    </row>
    <row r="1086" spans="1:6">
      <c r="A1086" s="14">
        <v>43720</v>
      </c>
      <c r="B1086" s="13">
        <v>8.814</v>
      </c>
      <c r="C1086" s="13">
        <v>8.814</v>
      </c>
      <c r="D1086" s="13">
        <v>8.814</v>
      </c>
      <c r="E1086" s="13">
        <v>8.814</v>
      </c>
      <c r="F1086" s="15">
        <v>0.0043</v>
      </c>
    </row>
    <row r="1087" spans="1:6">
      <c r="A1087" s="14">
        <v>43719</v>
      </c>
      <c r="B1087" s="13">
        <v>8.776</v>
      </c>
      <c r="C1087" s="13">
        <v>8.776</v>
      </c>
      <c r="D1087" s="13">
        <v>8.776</v>
      </c>
      <c r="E1087" s="13">
        <v>8.776</v>
      </c>
      <c r="F1087" s="15">
        <v>0.0001</v>
      </c>
    </row>
    <row r="1088" spans="1:6">
      <c r="A1088" s="14">
        <v>43718</v>
      </c>
      <c r="B1088" s="13">
        <v>8.775</v>
      </c>
      <c r="C1088" s="13">
        <v>8.775</v>
      </c>
      <c r="D1088" s="13">
        <v>8.775</v>
      </c>
      <c r="E1088" s="13">
        <v>8.775</v>
      </c>
      <c r="F1088" s="15">
        <v>0.0003</v>
      </c>
    </row>
    <row r="1089" spans="1:6">
      <c r="A1089" s="14">
        <v>43717</v>
      </c>
      <c r="B1089" s="13">
        <v>8.772</v>
      </c>
      <c r="C1089" s="13">
        <v>8.772</v>
      </c>
      <c r="D1089" s="13">
        <v>8.772</v>
      </c>
      <c r="E1089" s="13">
        <v>8.772</v>
      </c>
      <c r="F1089" s="15">
        <v>0.0027</v>
      </c>
    </row>
    <row r="1090" spans="1:6">
      <c r="A1090" s="14">
        <v>43714</v>
      </c>
      <c r="B1090" s="13">
        <v>8.748</v>
      </c>
      <c r="C1090" s="13">
        <v>8.748</v>
      </c>
      <c r="D1090" s="13">
        <v>8.748</v>
      </c>
      <c r="E1090" s="13">
        <v>8.748</v>
      </c>
      <c r="F1090" s="15">
        <v>0</v>
      </c>
    </row>
    <row r="1091" spans="1:6">
      <c r="A1091" s="14">
        <v>43713</v>
      </c>
      <c r="B1091" s="13">
        <v>8.748</v>
      </c>
      <c r="C1091" s="13">
        <v>8.748</v>
      </c>
      <c r="D1091" s="13">
        <v>8.748</v>
      </c>
      <c r="E1091" s="13">
        <v>8.748</v>
      </c>
      <c r="F1091" s="15">
        <v>0.0029</v>
      </c>
    </row>
    <row r="1092" spans="1:6">
      <c r="A1092" s="14">
        <v>43712</v>
      </c>
      <c r="B1092" s="13">
        <v>8.723</v>
      </c>
      <c r="C1092" s="13">
        <v>8.723</v>
      </c>
      <c r="D1092" s="13">
        <v>8.723</v>
      </c>
      <c r="E1092" s="13">
        <v>8.723</v>
      </c>
      <c r="F1092" s="15">
        <v>0</v>
      </c>
    </row>
    <row r="1093" spans="1:6">
      <c r="A1093" s="14">
        <v>43711</v>
      </c>
      <c r="B1093" s="13">
        <v>8.723</v>
      </c>
      <c r="C1093" s="13">
        <v>8.723</v>
      </c>
      <c r="D1093" s="13">
        <v>8.723</v>
      </c>
      <c r="E1093" s="13">
        <v>8.723</v>
      </c>
      <c r="F1093" s="15">
        <v>0.0008</v>
      </c>
    </row>
    <row r="1094" spans="1:6">
      <c r="A1094" s="14">
        <v>43710</v>
      </c>
      <c r="B1094" s="13">
        <v>8.716</v>
      </c>
      <c r="C1094" s="13">
        <v>8.716</v>
      </c>
      <c r="D1094" s="13">
        <v>8.716</v>
      </c>
      <c r="E1094" s="13">
        <v>8.716</v>
      </c>
      <c r="F1094" s="15">
        <v>-0.0084</v>
      </c>
    </row>
    <row r="1095" spans="1:6">
      <c r="A1095" s="14">
        <v>43706</v>
      </c>
      <c r="B1095" s="13">
        <v>8.79</v>
      </c>
      <c r="C1095" s="13">
        <v>8.79</v>
      </c>
      <c r="D1095" s="13">
        <v>8.79</v>
      </c>
      <c r="E1095" s="13">
        <v>8.79</v>
      </c>
      <c r="F1095" s="15">
        <v>0.0009</v>
      </c>
    </row>
    <row r="1096" spans="1:6">
      <c r="A1096" s="14">
        <v>43705</v>
      </c>
      <c r="B1096" s="13">
        <v>8.782</v>
      </c>
      <c r="C1096" s="13">
        <v>8.782</v>
      </c>
      <c r="D1096" s="13">
        <v>8.782</v>
      </c>
      <c r="E1096" s="13">
        <v>8.782</v>
      </c>
      <c r="F1096" s="15">
        <v>0</v>
      </c>
    </row>
    <row r="1097" spans="1:6">
      <c r="A1097" s="14">
        <v>43704</v>
      </c>
      <c r="B1097" s="13">
        <v>8.782</v>
      </c>
      <c r="C1097" s="13">
        <v>8.782</v>
      </c>
      <c r="D1097" s="13">
        <v>8.782</v>
      </c>
      <c r="E1097" s="13">
        <v>8.782</v>
      </c>
      <c r="F1097" s="15">
        <v>0.0018</v>
      </c>
    </row>
    <row r="1098" spans="1:6">
      <c r="A1098" s="14">
        <v>43703</v>
      </c>
      <c r="B1098" s="13">
        <v>8.766</v>
      </c>
      <c r="C1098" s="13">
        <v>8.766</v>
      </c>
      <c r="D1098" s="13">
        <v>8.766</v>
      </c>
      <c r="E1098" s="13">
        <v>8.766</v>
      </c>
      <c r="F1098" s="15">
        <v>0.0074</v>
      </c>
    </row>
    <row r="1099" spans="1:6">
      <c r="A1099" s="14">
        <v>43700</v>
      </c>
      <c r="B1099" s="13">
        <v>8.702</v>
      </c>
      <c r="C1099" s="13">
        <v>8.702</v>
      </c>
      <c r="D1099" s="13">
        <v>8.702</v>
      </c>
      <c r="E1099" s="13">
        <v>8.702</v>
      </c>
      <c r="F1099" s="15">
        <v>0</v>
      </c>
    </row>
    <row r="1100" spans="1:6">
      <c r="A1100" s="14">
        <v>43699</v>
      </c>
      <c r="B1100" s="13">
        <v>8.702</v>
      </c>
      <c r="C1100" s="13">
        <v>8.702</v>
      </c>
      <c r="D1100" s="13">
        <v>8.702</v>
      </c>
      <c r="E1100" s="13">
        <v>8.702</v>
      </c>
      <c r="F1100" s="15">
        <v>-0.0006</v>
      </c>
    </row>
    <row r="1101" spans="1:6">
      <c r="A1101" s="14">
        <v>43698</v>
      </c>
      <c r="B1101" s="13">
        <v>8.707</v>
      </c>
      <c r="C1101" s="13">
        <v>8.707</v>
      </c>
      <c r="D1101" s="13">
        <v>8.707</v>
      </c>
      <c r="E1101" s="13">
        <v>8.707</v>
      </c>
      <c r="F1101" s="15">
        <v>0</v>
      </c>
    </row>
    <row r="1102" spans="1:6">
      <c r="A1102" s="14">
        <v>43697</v>
      </c>
      <c r="B1102" s="13">
        <v>8.707</v>
      </c>
      <c r="C1102" s="13">
        <v>8.707</v>
      </c>
      <c r="D1102" s="13">
        <v>8.707</v>
      </c>
      <c r="E1102" s="13">
        <v>8.707</v>
      </c>
      <c r="F1102" s="15">
        <v>0.0028</v>
      </c>
    </row>
    <row r="1103" spans="1:6">
      <c r="A1103" s="14">
        <v>43696</v>
      </c>
      <c r="B1103" s="13">
        <v>8.683</v>
      </c>
      <c r="C1103" s="13">
        <v>8.683</v>
      </c>
      <c r="D1103" s="13">
        <v>8.683</v>
      </c>
      <c r="E1103" s="13">
        <v>8.683</v>
      </c>
      <c r="F1103" s="15">
        <v>0.0001</v>
      </c>
    </row>
    <row r="1104" spans="1:6">
      <c r="A1104" s="14">
        <v>43693</v>
      </c>
      <c r="B1104" s="13">
        <v>8.682</v>
      </c>
      <c r="C1104" s="13">
        <v>8.682</v>
      </c>
      <c r="D1104" s="13">
        <v>8.682</v>
      </c>
      <c r="E1104" s="13">
        <v>8.682</v>
      </c>
      <c r="F1104" s="15">
        <v>0</v>
      </c>
    </row>
    <row r="1105" spans="1:6">
      <c r="A1105" s="14">
        <v>43692</v>
      </c>
      <c r="B1105" s="13">
        <v>8.682</v>
      </c>
      <c r="C1105" s="13">
        <v>8.682</v>
      </c>
      <c r="D1105" s="13">
        <v>8.682</v>
      </c>
      <c r="E1105" s="13">
        <v>8.682</v>
      </c>
      <c r="F1105" s="15">
        <v>-0.0003</v>
      </c>
    </row>
    <row r="1106" spans="1:6">
      <c r="A1106" s="14">
        <v>43691</v>
      </c>
      <c r="B1106" s="13">
        <v>8.685</v>
      </c>
      <c r="C1106" s="13">
        <v>8.685</v>
      </c>
      <c r="D1106" s="13">
        <v>8.685</v>
      </c>
      <c r="E1106" s="13">
        <v>8.685</v>
      </c>
      <c r="F1106" s="15">
        <v>0</v>
      </c>
    </row>
    <row r="1107" spans="1:6">
      <c r="A1107" s="14">
        <v>43690</v>
      </c>
      <c r="B1107" s="13">
        <v>8.685</v>
      </c>
      <c r="C1107" s="13">
        <v>8.685</v>
      </c>
      <c r="D1107" s="13">
        <v>8.685</v>
      </c>
      <c r="E1107" s="13">
        <v>8.685</v>
      </c>
      <c r="F1107" s="15">
        <v>0.0017</v>
      </c>
    </row>
    <row r="1108" spans="1:6">
      <c r="A1108" s="14">
        <v>43689</v>
      </c>
      <c r="B1108" s="13">
        <v>8.67</v>
      </c>
      <c r="C1108" s="13">
        <v>8.67</v>
      </c>
      <c r="D1108" s="13">
        <v>8.67</v>
      </c>
      <c r="E1108" s="13">
        <v>8.67</v>
      </c>
      <c r="F1108" s="15">
        <v>0.0029</v>
      </c>
    </row>
    <row r="1109" spans="1:6">
      <c r="A1109" s="14">
        <v>43686</v>
      </c>
      <c r="B1109" s="13">
        <v>8.645</v>
      </c>
      <c r="C1109" s="13">
        <v>8.645</v>
      </c>
      <c r="D1109" s="13">
        <v>8.645</v>
      </c>
      <c r="E1109" s="13">
        <v>8.645</v>
      </c>
      <c r="F1109" s="15">
        <v>0</v>
      </c>
    </row>
    <row r="1110" spans="1:6">
      <c r="A1110" s="14">
        <v>43685</v>
      </c>
      <c r="B1110" s="13">
        <v>8.645</v>
      </c>
      <c r="C1110" s="13">
        <v>8.645</v>
      </c>
      <c r="D1110" s="13">
        <v>8.645</v>
      </c>
      <c r="E1110" s="13">
        <v>8.645</v>
      </c>
      <c r="F1110" s="15">
        <v>0.0039</v>
      </c>
    </row>
    <row r="1111" spans="1:6">
      <c r="A1111" s="14">
        <v>43684</v>
      </c>
      <c r="B1111" s="13">
        <v>8.611</v>
      </c>
      <c r="C1111" s="13">
        <v>8.611</v>
      </c>
      <c r="D1111" s="13">
        <v>8.611</v>
      </c>
      <c r="E1111" s="13">
        <v>8.611</v>
      </c>
      <c r="F1111" s="15">
        <v>0</v>
      </c>
    </row>
    <row r="1112" spans="1:6">
      <c r="A1112" s="14">
        <v>43683</v>
      </c>
      <c r="B1112" s="13">
        <v>8.611</v>
      </c>
      <c r="C1112" s="13">
        <v>8.611</v>
      </c>
      <c r="D1112" s="13">
        <v>8.611</v>
      </c>
      <c r="E1112" s="13">
        <v>8.611</v>
      </c>
      <c r="F1112" s="15">
        <v>0.0002</v>
      </c>
    </row>
    <row r="1113" spans="1:6">
      <c r="A1113" s="14">
        <v>43682</v>
      </c>
      <c r="B1113" s="13">
        <v>8.609</v>
      </c>
      <c r="C1113" s="13">
        <v>8.609</v>
      </c>
      <c r="D1113" s="13">
        <v>8.609</v>
      </c>
      <c r="E1113" s="13">
        <v>8.609</v>
      </c>
      <c r="F1113" s="15">
        <v>0.0023</v>
      </c>
    </row>
    <row r="1114" spans="1:6">
      <c r="A1114" s="14">
        <v>43679</v>
      </c>
      <c r="B1114" s="13">
        <v>8.589</v>
      </c>
      <c r="C1114" s="13">
        <v>8.589</v>
      </c>
      <c r="D1114" s="13">
        <v>8.589</v>
      </c>
      <c r="E1114" s="13">
        <v>8.589</v>
      </c>
      <c r="F1114" s="15">
        <v>0</v>
      </c>
    </row>
    <row r="1115" spans="1:6">
      <c r="A1115" s="14">
        <v>43678</v>
      </c>
      <c r="B1115" s="13">
        <v>8.589</v>
      </c>
      <c r="C1115" s="13">
        <v>8.589</v>
      </c>
      <c r="D1115" s="13">
        <v>8.589</v>
      </c>
      <c r="E1115" s="13">
        <v>8.589</v>
      </c>
      <c r="F1115" s="15">
        <v>0.0006</v>
      </c>
    </row>
    <row r="1116" spans="1:6">
      <c r="A1116" s="14">
        <v>43677</v>
      </c>
      <c r="B1116" s="13">
        <v>8.584</v>
      </c>
      <c r="C1116" s="13">
        <v>8.584</v>
      </c>
      <c r="D1116" s="13">
        <v>8.584</v>
      </c>
      <c r="E1116" s="13">
        <v>8.584</v>
      </c>
      <c r="F1116" s="15">
        <v>-0.0005</v>
      </c>
    </row>
    <row r="1117" spans="1:6">
      <c r="A1117" s="14">
        <v>43676</v>
      </c>
      <c r="B1117" s="13">
        <v>8.588</v>
      </c>
      <c r="C1117" s="13">
        <v>8.588</v>
      </c>
      <c r="D1117" s="13">
        <v>8.588</v>
      </c>
      <c r="E1117" s="13">
        <v>8.588</v>
      </c>
      <c r="F1117" s="15">
        <v>-0.0013</v>
      </c>
    </row>
    <row r="1118" spans="1:6">
      <c r="A1118" s="14">
        <v>43675</v>
      </c>
      <c r="B1118" s="13">
        <v>8.599</v>
      </c>
      <c r="C1118" s="13">
        <v>8.599</v>
      </c>
      <c r="D1118" s="13">
        <v>8.599</v>
      </c>
      <c r="E1118" s="13">
        <v>8.599</v>
      </c>
      <c r="F1118" s="15">
        <v>0.0002</v>
      </c>
    </row>
    <row r="1119" spans="1:6">
      <c r="A1119" s="14">
        <v>43672</v>
      </c>
      <c r="B1119" s="13">
        <v>8.597</v>
      </c>
      <c r="C1119" s="13">
        <v>8.597</v>
      </c>
      <c r="D1119" s="13">
        <v>8.597</v>
      </c>
      <c r="E1119" s="13">
        <v>8.597</v>
      </c>
      <c r="F1119" s="15">
        <v>0</v>
      </c>
    </row>
    <row r="1120" spans="1:6">
      <c r="A1120" s="14">
        <v>43671</v>
      </c>
      <c r="B1120" s="13">
        <v>8.597</v>
      </c>
      <c r="C1120" s="13">
        <v>8.597</v>
      </c>
      <c r="D1120" s="13">
        <v>8.597</v>
      </c>
      <c r="E1120" s="13">
        <v>8.597</v>
      </c>
      <c r="F1120" s="15">
        <v>-0.003</v>
      </c>
    </row>
    <row r="1121" spans="1:6">
      <c r="A1121" s="14">
        <v>43670</v>
      </c>
      <c r="B1121" s="13">
        <v>8.623</v>
      </c>
      <c r="C1121" s="13">
        <v>8.623</v>
      </c>
      <c r="D1121" s="13">
        <v>8.623</v>
      </c>
      <c r="E1121" s="13">
        <v>8.623</v>
      </c>
      <c r="F1121" s="15">
        <v>0</v>
      </c>
    </row>
    <row r="1122" spans="1:6">
      <c r="A1122" s="14">
        <v>43669</v>
      </c>
      <c r="B1122" s="13">
        <v>8.623</v>
      </c>
      <c r="C1122" s="13">
        <v>8.623</v>
      </c>
      <c r="D1122" s="13">
        <v>8.623</v>
      </c>
      <c r="E1122" s="13">
        <v>8.623</v>
      </c>
      <c r="F1122" s="15">
        <v>-0.0003</v>
      </c>
    </row>
    <row r="1123" spans="1:6">
      <c r="A1123" s="14">
        <v>43668</v>
      </c>
      <c r="B1123" s="13">
        <v>8.626</v>
      </c>
      <c r="C1123" s="13">
        <v>8.626</v>
      </c>
      <c r="D1123" s="13">
        <v>8.626</v>
      </c>
      <c r="E1123" s="13">
        <v>8.626</v>
      </c>
      <c r="F1123" s="15">
        <v>0</v>
      </c>
    </row>
    <row r="1124" spans="1:6">
      <c r="A1124" s="14">
        <v>43665</v>
      </c>
      <c r="B1124" s="13">
        <v>8.626</v>
      </c>
      <c r="C1124" s="13">
        <v>8.626</v>
      </c>
      <c r="D1124" s="13">
        <v>8.626</v>
      </c>
      <c r="E1124" s="13">
        <v>8.626</v>
      </c>
      <c r="F1124" s="15">
        <v>0.0001</v>
      </c>
    </row>
    <row r="1125" spans="1:6">
      <c r="A1125" s="14">
        <v>43664</v>
      </c>
      <c r="B1125" s="13">
        <v>8.625</v>
      </c>
      <c r="C1125" s="13">
        <v>8.625</v>
      </c>
      <c r="D1125" s="13">
        <v>8.625</v>
      </c>
      <c r="E1125" s="13">
        <v>8.625</v>
      </c>
      <c r="F1125" s="15">
        <v>-0.0005</v>
      </c>
    </row>
    <row r="1126" spans="1:6">
      <c r="A1126" s="14">
        <v>43663</v>
      </c>
      <c r="B1126" s="13">
        <v>8.629</v>
      </c>
      <c r="C1126" s="13">
        <v>8.629</v>
      </c>
      <c r="D1126" s="13">
        <v>8.629</v>
      </c>
      <c r="E1126" s="13">
        <v>8.629</v>
      </c>
      <c r="F1126" s="15">
        <v>0</v>
      </c>
    </row>
    <row r="1127" spans="1:6">
      <c r="A1127" s="14">
        <v>43662</v>
      </c>
      <c r="B1127" s="13">
        <v>8.629</v>
      </c>
      <c r="C1127" s="13">
        <v>8.629</v>
      </c>
      <c r="D1127" s="13">
        <v>8.629</v>
      </c>
      <c r="E1127" s="13">
        <v>8.629</v>
      </c>
      <c r="F1127" s="15">
        <v>-0.0031</v>
      </c>
    </row>
    <row r="1128" spans="1:6">
      <c r="A1128" s="14">
        <v>43661</v>
      </c>
      <c r="B1128" s="13">
        <v>8.656</v>
      </c>
      <c r="C1128" s="13">
        <v>8.656</v>
      </c>
      <c r="D1128" s="13">
        <v>8.656</v>
      </c>
      <c r="E1128" s="13">
        <v>8.656</v>
      </c>
      <c r="F1128" s="15">
        <v>0.0051</v>
      </c>
    </row>
    <row r="1129" spans="1:6">
      <c r="A1129" s="14">
        <v>43658</v>
      </c>
      <c r="B1129" s="13">
        <v>8.612</v>
      </c>
      <c r="C1129" s="13">
        <v>8.612</v>
      </c>
      <c r="D1129" s="13">
        <v>8.612</v>
      </c>
      <c r="E1129" s="13">
        <v>8.612</v>
      </c>
      <c r="F1129" s="15">
        <v>0</v>
      </c>
    </row>
    <row r="1130" spans="1:6">
      <c r="A1130" s="14">
        <v>43657</v>
      </c>
      <c r="B1130" s="13">
        <v>8.612</v>
      </c>
      <c r="C1130" s="13">
        <v>8.612</v>
      </c>
      <c r="D1130" s="13">
        <v>8.612</v>
      </c>
      <c r="E1130" s="13">
        <v>8.612</v>
      </c>
      <c r="F1130" s="15">
        <v>0.0096</v>
      </c>
    </row>
    <row r="1131" spans="1:6">
      <c r="A1131" s="14">
        <v>43656</v>
      </c>
      <c r="B1131" s="13">
        <v>8.53</v>
      </c>
      <c r="C1131" s="13">
        <v>8.53</v>
      </c>
      <c r="D1131" s="13">
        <v>8.53</v>
      </c>
      <c r="E1131" s="13">
        <v>8.53</v>
      </c>
      <c r="F1131" s="15">
        <v>0.0002</v>
      </c>
    </row>
    <row r="1132" spans="1:6">
      <c r="A1132" s="14">
        <v>43655</v>
      </c>
      <c r="B1132" s="13">
        <v>8.528</v>
      </c>
      <c r="C1132" s="13">
        <v>8.528</v>
      </c>
      <c r="D1132" s="13">
        <v>8.528</v>
      </c>
      <c r="E1132" s="13">
        <v>8.528</v>
      </c>
      <c r="F1132" s="15">
        <v>-0.0018</v>
      </c>
    </row>
    <row r="1133" spans="1:6">
      <c r="A1133" s="14">
        <v>43651</v>
      </c>
      <c r="B1133" s="13">
        <v>8.543</v>
      </c>
      <c r="C1133" s="13">
        <v>8.543</v>
      </c>
      <c r="D1133" s="13">
        <v>8.543</v>
      </c>
      <c r="E1133" s="13">
        <v>8.543</v>
      </c>
      <c r="F1133" s="15">
        <v>-0.0013</v>
      </c>
    </row>
    <row r="1134" spans="1:6">
      <c r="A1134" s="14">
        <v>43650</v>
      </c>
      <c r="B1134" s="13">
        <v>8.554</v>
      </c>
      <c r="C1134" s="13">
        <v>8.554</v>
      </c>
      <c r="D1134" s="13">
        <v>8.554</v>
      </c>
      <c r="E1134" s="13">
        <v>8.554</v>
      </c>
      <c r="F1134" s="15">
        <v>0</v>
      </c>
    </row>
    <row r="1135" spans="1:6">
      <c r="A1135" s="14">
        <v>43649</v>
      </c>
      <c r="B1135" s="13">
        <v>8.554</v>
      </c>
      <c r="C1135" s="13">
        <v>8.554</v>
      </c>
      <c r="D1135" s="13">
        <v>8.554</v>
      </c>
      <c r="E1135" s="13">
        <v>8.554</v>
      </c>
      <c r="F1135" s="15">
        <v>0</v>
      </c>
    </row>
    <row r="1136" spans="1:6">
      <c r="A1136" s="14">
        <v>43648</v>
      </c>
      <c r="B1136" s="13">
        <v>8.554</v>
      </c>
      <c r="C1136" s="13">
        <v>8.554</v>
      </c>
      <c r="D1136" s="13">
        <v>8.554</v>
      </c>
      <c r="E1136" s="13">
        <v>8.554</v>
      </c>
      <c r="F1136" s="15">
        <v>0</v>
      </c>
    </row>
    <row r="1137" spans="1:6">
      <c r="A1137" s="14">
        <v>43647</v>
      </c>
      <c r="B1137" s="13">
        <v>8.554</v>
      </c>
      <c r="C1137" s="13">
        <v>8.554</v>
      </c>
      <c r="D1137" s="13">
        <v>8.554</v>
      </c>
      <c r="E1137" s="13">
        <v>8.554</v>
      </c>
      <c r="F1137" s="15">
        <v>-0.008</v>
      </c>
    </row>
    <row r="1138" spans="1:6">
      <c r="A1138" s="14">
        <v>43644</v>
      </c>
      <c r="B1138" s="13">
        <v>8.623</v>
      </c>
      <c r="C1138" s="13">
        <v>8.623</v>
      </c>
      <c r="D1138" s="13">
        <v>8.623</v>
      </c>
      <c r="E1138" s="13">
        <v>8.623</v>
      </c>
      <c r="F1138" s="15">
        <v>0</v>
      </c>
    </row>
    <row r="1139" spans="1:6">
      <c r="A1139" s="14">
        <v>43643</v>
      </c>
      <c r="B1139" s="13">
        <v>8.623</v>
      </c>
      <c r="C1139" s="13">
        <v>8.623</v>
      </c>
      <c r="D1139" s="13">
        <v>8.623</v>
      </c>
      <c r="E1139" s="13">
        <v>8.623</v>
      </c>
      <c r="F1139" s="15">
        <v>-0.0008</v>
      </c>
    </row>
    <row r="1140" spans="1:6">
      <c r="A1140" s="14">
        <v>43642</v>
      </c>
      <c r="B1140" s="13">
        <v>8.63</v>
      </c>
      <c r="C1140" s="13">
        <v>8.63</v>
      </c>
      <c r="D1140" s="13">
        <v>8.63</v>
      </c>
      <c r="E1140" s="13">
        <v>8.63</v>
      </c>
      <c r="F1140" s="15">
        <v>0</v>
      </c>
    </row>
    <row r="1141" spans="1:6">
      <c r="A1141" s="14">
        <v>43641</v>
      </c>
      <c r="B1141" s="13">
        <v>8.63</v>
      </c>
      <c r="C1141" s="13">
        <v>8.63</v>
      </c>
      <c r="D1141" s="13">
        <v>8.63</v>
      </c>
      <c r="E1141" s="13">
        <v>8.63</v>
      </c>
      <c r="F1141" s="15">
        <v>0.0005</v>
      </c>
    </row>
    <row r="1142" spans="1:6">
      <c r="A1142" s="14">
        <v>43640</v>
      </c>
      <c r="B1142" s="13">
        <v>8.626</v>
      </c>
      <c r="C1142" s="13">
        <v>8.626</v>
      </c>
      <c r="D1142" s="13">
        <v>8.626</v>
      </c>
      <c r="E1142" s="13">
        <v>8.626</v>
      </c>
      <c r="F1142" s="15">
        <v>-0.0013</v>
      </c>
    </row>
    <row r="1143" spans="1:6">
      <c r="A1143" s="14">
        <v>43637</v>
      </c>
      <c r="B1143" s="13">
        <v>8.637</v>
      </c>
      <c r="C1143" s="13">
        <v>8.637</v>
      </c>
      <c r="D1143" s="13">
        <v>8.637</v>
      </c>
      <c r="E1143" s="13">
        <v>8.637</v>
      </c>
      <c r="F1143" s="15">
        <v>0.0001</v>
      </c>
    </row>
    <row r="1144" spans="1:6">
      <c r="A1144" s="14">
        <v>43636</v>
      </c>
      <c r="B1144" s="13">
        <v>8.636</v>
      </c>
      <c r="C1144" s="13">
        <v>8.636</v>
      </c>
      <c r="D1144" s="13">
        <v>8.636</v>
      </c>
      <c r="E1144" s="13">
        <v>8.636</v>
      </c>
      <c r="F1144" s="15">
        <v>-0.0012</v>
      </c>
    </row>
    <row r="1145" spans="1:6">
      <c r="A1145" s="14">
        <v>43635</v>
      </c>
      <c r="B1145" s="13">
        <v>8.646</v>
      </c>
      <c r="C1145" s="13">
        <v>8.646</v>
      </c>
      <c r="D1145" s="13">
        <v>8.646</v>
      </c>
      <c r="E1145" s="13">
        <v>8.646</v>
      </c>
      <c r="F1145" s="15">
        <v>0</v>
      </c>
    </row>
    <row r="1146" spans="1:6">
      <c r="A1146" s="14">
        <v>43634</v>
      </c>
      <c r="B1146" s="13">
        <v>8.646</v>
      </c>
      <c r="C1146" s="13">
        <v>8.646</v>
      </c>
      <c r="D1146" s="13">
        <v>8.646</v>
      </c>
      <c r="E1146" s="13">
        <v>8.646</v>
      </c>
      <c r="F1146" s="15">
        <v>0.0022</v>
      </c>
    </row>
    <row r="1147" spans="1:6">
      <c r="A1147" s="14">
        <v>43633</v>
      </c>
      <c r="B1147" s="13">
        <v>8.627</v>
      </c>
      <c r="C1147" s="13">
        <v>8.627</v>
      </c>
      <c r="D1147" s="13">
        <v>8.627</v>
      </c>
      <c r="E1147" s="13">
        <v>8.627</v>
      </c>
      <c r="F1147" s="15">
        <v>0.0043</v>
      </c>
    </row>
    <row r="1148" spans="1:6">
      <c r="A1148" s="14">
        <v>43630</v>
      </c>
      <c r="B1148" s="13">
        <v>8.59</v>
      </c>
      <c r="C1148" s="13">
        <v>8.59</v>
      </c>
      <c r="D1148" s="13">
        <v>8.59</v>
      </c>
      <c r="E1148" s="13">
        <v>8.59</v>
      </c>
      <c r="F1148" s="15">
        <v>-0.0006</v>
      </c>
    </row>
    <row r="1149" spans="1:6">
      <c r="A1149" s="14">
        <v>43629</v>
      </c>
      <c r="B1149" s="13">
        <v>8.595</v>
      </c>
      <c r="C1149" s="13">
        <v>8.595</v>
      </c>
      <c r="D1149" s="13">
        <v>8.595</v>
      </c>
      <c r="E1149" s="13">
        <v>8.595</v>
      </c>
      <c r="F1149" s="15">
        <v>0</v>
      </c>
    </row>
    <row r="1150" spans="1:6">
      <c r="A1150" s="14">
        <v>43628</v>
      </c>
      <c r="B1150" s="13">
        <v>8.595</v>
      </c>
      <c r="C1150" s="13">
        <v>8.595</v>
      </c>
      <c r="D1150" s="13">
        <v>8.595</v>
      </c>
      <c r="E1150" s="13">
        <v>8.595</v>
      </c>
      <c r="F1150" s="15">
        <v>0</v>
      </c>
    </row>
    <row r="1151" spans="1:6">
      <c r="A1151" s="14">
        <v>43627</v>
      </c>
      <c r="B1151" s="13">
        <v>8.595</v>
      </c>
      <c r="C1151" s="13">
        <v>8.595</v>
      </c>
      <c r="D1151" s="13">
        <v>8.595</v>
      </c>
      <c r="E1151" s="13">
        <v>8.595</v>
      </c>
      <c r="F1151" s="15">
        <v>-0.0015</v>
      </c>
    </row>
    <row r="1152" spans="1:6">
      <c r="A1152" s="14">
        <v>43626</v>
      </c>
      <c r="B1152" s="13">
        <v>8.608</v>
      </c>
      <c r="C1152" s="13">
        <v>8.608</v>
      </c>
      <c r="D1152" s="13">
        <v>8.608</v>
      </c>
      <c r="E1152" s="13">
        <v>8.608</v>
      </c>
      <c r="F1152" s="15">
        <v>0.0008</v>
      </c>
    </row>
    <row r="1153" spans="1:6">
      <c r="A1153" s="14">
        <v>43623</v>
      </c>
      <c r="B1153" s="13">
        <v>8.601</v>
      </c>
      <c r="C1153" s="13">
        <v>8.601</v>
      </c>
      <c r="D1153" s="13">
        <v>8.601</v>
      </c>
      <c r="E1153" s="13">
        <v>8.601</v>
      </c>
      <c r="F1153" s="15">
        <v>-0.0002</v>
      </c>
    </row>
    <row r="1154" spans="1:6">
      <c r="A1154" s="14">
        <v>43622</v>
      </c>
      <c r="B1154" s="13">
        <v>8.603</v>
      </c>
      <c r="C1154" s="13">
        <v>8.603</v>
      </c>
      <c r="D1154" s="13">
        <v>8.603</v>
      </c>
      <c r="E1154" s="13">
        <v>8.603</v>
      </c>
      <c r="F1154" s="15">
        <v>0.0006</v>
      </c>
    </row>
    <row r="1155" spans="1:6">
      <c r="A1155" s="14">
        <v>43621</v>
      </c>
      <c r="B1155" s="13">
        <v>8.598</v>
      </c>
      <c r="C1155" s="13">
        <v>8.598</v>
      </c>
      <c r="D1155" s="13">
        <v>8.598</v>
      </c>
      <c r="E1155" s="13">
        <v>8.598</v>
      </c>
      <c r="F1155" s="15">
        <v>0</v>
      </c>
    </row>
    <row r="1156" spans="1:6">
      <c r="A1156" s="14">
        <v>43620</v>
      </c>
      <c r="B1156" s="13">
        <v>8.598</v>
      </c>
      <c r="C1156" s="13">
        <v>8.598</v>
      </c>
      <c r="D1156" s="13">
        <v>8.598</v>
      </c>
      <c r="E1156" s="13">
        <v>8.598</v>
      </c>
      <c r="F1156" s="15">
        <v>-0.0019</v>
      </c>
    </row>
    <row r="1157" spans="1:6">
      <c r="A1157" s="14">
        <v>43619</v>
      </c>
      <c r="B1157" s="13">
        <v>8.614</v>
      </c>
      <c r="C1157" s="13">
        <v>8.614</v>
      </c>
      <c r="D1157" s="13">
        <v>8.614</v>
      </c>
      <c r="E1157" s="13">
        <v>8.614</v>
      </c>
      <c r="F1157" s="15">
        <v>0.0045</v>
      </c>
    </row>
    <row r="1158" spans="1:6">
      <c r="A1158" s="14">
        <v>43616</v>
      </c>
      <c r="B1158" s="13">
        <v>8.575</v>
      </c>
      <c r="C1158" s="13">
        <v>8.575</v>
      </c>
      <c r="D1158" s="13">
        <v>8.575</v>
      </c>
      <c r="E1158" s="13">
        <v>8.575</v>
      </c>
      <c r="F1158" s="15">
        <v>0</v>
      </c>
    </row>
    <row r="1159" spans="1:6">
      <c r="A1159" s="14">
        <v>43615</v>
      </c>
      <c r="B1159" s="13">
        <v>8.575</v>
      </c>
      <c r="C1159" s="13">
        <v>8.575</v>
      </c>
      <c r="D1159" s="13">
        <v>8.575</v>
      </c>
      <c r="E1159" s="13">
        <v>8.575</v>
      </c>
      <c r="F1159" s="15">
        <v>-0.0022</v>
      </c>
    </row>
    <row r="1160" spans="1:6">
      <c r="A1160" s="14">
        <v>43614</v>
      </c>
      <c r="B1160" s="13">
        <v>8.594</v>
      </c>
      <c r="C1160" s="13">
        <v>8.594</v>
      </c>
      <c r="D1160" s="13">
        <v>8.594</v>
      </c>
      <c r="E1160" s="13">
        <v>8.594</v>
      </c>
      <c r="F1160" s="15">
        <v>-0.0001</v>
      </c>
    </row>
    <row r="1161" spans="1:6">
      <c r="A1161" s="14">
        <v>43613</v>
      </c>
      <c r="B1161" s="13">
        <v>8.595</v>
      </c>
      <c r="C1161" s="13">
        <v>8.595</v>
      </c>
      <c r="D1161" s="13">
        <v>8.595</v>
      </c>
      <c r="E1161" s="13">
        <v>8.595</v>
      </c>
      <c r="F1161" s="15">
        <v>-0.0007</v>
      </c>
    </row>
    <row r="1162" spans="1:6">
      <c r="A1162" s="14">
        <v>43612</v>
      </c>
      <c r="B1162" s="13">
        <v>8.601</v>
      </c>
      <c r="C1162" s="13">
        <v>8.601</v>
      </c>
      <c r="D1162" s="13">
        <v>8.601</v>
      </c>
      <c r="E1162" s="13">
        <v>8.601</v>
      </c>
      <c r="F1162" s="15">
        <v>-0.0047</v>
      </c>
    </row>
    <row r="1163" spans="1:6">
      <c r="A1163" s="14">
        <v>43609</v>
      </c>
      <c r="B1163" s="13">
        <v>8.642</v>
      </c>
      <c r="C1163" s="13">
        <v>8.642</v>
      </c>
      <c r="D1163" s="13">
        <v>8.642</v>
      </c>
      <c r="E1163" s="13">
        <v>8.642</v>
      </c>
      <c r="F1163" s="15">
        <v>0.0001</v>
      </c>
    </row>
    <row r="1164" spans="1:6">
      <c r="A1164" s="14">
        <v>43608</v>
      </c>
      <c r="B1164" s="13">
        <v>8.641</v>
      </c>
      <c r="C1164" s="13">
        <v>8.641</v>
      </c>
      <c r="D1164" s="13">
        <v>8.641</v>
      </c>
      <c r="E1164" s="13">
        <v>8.641</v>
      </c>
      <c r="F1164" s="15">
        <v>-0.0001</v>
      </c>
    </row>
    <row r="1165" spans="1:6">
      <c r="A1165" s="14">
        <v>43607</v>
      </c>
      <c r="B1165" s="13">
        <v>8.642</v>
      </c>
      <c r="C1165" s="13">
        <v>8.642</v>
      </c>
      <c r="D1165" s="13">
        <v>8.642</v>
      </c>
      <c r="E1165" s="13">
        <v>8.642</v>
      </c>
      <c r="F1165" s="15">
        <v>0</v>
      </c>
    </row>
    <row r="1166" spans="1:6">
      <c r="A1166" s="14">
        <v>43606</v>
      </c>
      <c r="B1166" s="13">
        <v>8.642</v>
      </c>
      <c r="C1166" s="13">
        <v>8.642</v>
      </c>
      <c r="D1166" s="13">
        <v>8.642</v>
      </c>
      <c r="E1166" s="13">
        <v>8.642</v>
      </c>
      <c r="F1166" s="15">
        <v>0.0007</v>
      </c>
    </row>
    <row r="1167" spans="1:6">
      <c r="A1167" s="14">
        <v>43605</v>
      </c>
      <c r="B1167" s="13">
        <v>8.636</v>
      </c>
      <c r="C1167" s="13">
        <v>8.636</v>
      </c>
      <c r="D1167" s="13">
        <v>8.636</v>
      </c>
      <c r="E1167" s="13">
        <v>8.636</v>
      </c>
      <c r="F1167" s="15">
        <v>0.0012</v>
      </c>
    </row>
    <row r="1168" spans="1:6">
      <c r="A1168" s="14">
        <v>43602</v>
      </c>
      <c r="B1168" s="13">
        <v>8.626</v>
      </c>
      <c r="C1168" s="13">
        <v>8.626</v>
      </c>
      <c r="D1168" s="13">
        <v>8.626</v>
      </c>
      <c r="E1168" s="13">
        <v>8.626</v>
      </c>
      <c r="F1168" s="15">
        <v>0</v>
      </c>
    </row>
    <row r="1169" spans="1:6">
      <c r="A1169" s="14">
        <v>43601</v>
      </c>
      <c r="B1169" s="13">
        <v>8.626</v>
      </c>
      <c r="C1169" s="13">
        <v>8.626</v>
      </c>
      <c r="D1169" s="13">
        <v>8.626</v>
      </c>
      <c r="E1169" s="13">
        <v>8.626</v>
      </c>
      <c r="F1169" s="15">
        <v>0.0038</v>
      </c>
    </row>
    <row r="1170" spans="1:6">
      <c r="A1170" s="14">
        <v>43600</v>
      </c>
      <c r="B1170" s="13">
        <v>8.593</v>
      </c>
      <c r="C1170" s="13">
        <v>8.593</v>
      </c>
      <c r="D1170" s="13">
        <v>8.593</v>
      </c>
      <c r="E1170" s="13">
        <v>8.593</v>
      </c>
      <c r="F1170" s="15">
        <v>0</v>
      </c>
    </row>
    <row r="1171" spans="1:6">
      <c r="A1171" s="14">
        <v>43599</v>
      </c>
      <c r="B1171" s="13">
        <v>8.593</v>
      </c>
      <c r="C1171" s="13">
        <v>8.593</v>
      </c>
      <c r="D1171" s="13">
        <v>8.593</v>
      </c>
      <c r="E1171" s="13">
        <v>8.593</v>
      </c>
      <c r="F1171" s="15">
        <v>-0.0006</v>
      </c>
    </row>
    <row r="1172" spans="1:6">
      <c r="A1172" s="14">
        <v>43598</v>
      </c>
      <c r="B1172" s="13">
        <v>8.598</v>
      </c>
      <c r="C1172" s="13">
        <v>8.598</v>
      </c>
      <c r="D1172" s="13">
        <v>8.598</v>
      </c>
      <c r="E1172" s="13">
        <v>8.598</v>
      </c>
      <c r="F1172" s="15">
        <v>-0.0085</v>
      </c>
    </row>
    <row r="1173" spans="1:6">
      <c r="A1173" s="14">
        <v>43593</v>
      </c>
      <c r="B1173" s="13">
        <v>8.672</v>
      </c>
      <c r="C1173" s="13">
        <v>8.672</v>
      </c>
      <c r="D1173" s="13">
        <v>8.672</v>
      </c>
      <c r="E1173" s="13">
        <v>8.672</v>
      </c>
      <c r="F1173" s="15">
        <v>0</v>
      </c>
    </row>
    <row r="1174" spans="1:6">
      <c r="A1174" s="14">
        <v>43591</v>
      </c>
      <c r="B1174" s="13">
        <v>8.672</v>
      </c>
      <c r="C1174" s="13">
        <v>8.672</v>
      </c>
      <c r="D1174" s="13">
        <v>8.672</v>
      </c>
      <c r="E1174" s="13">
        <v>8.672</v>
      </c>
      <c r="F1174" s="15">
        <v>0.0006</v>
      </c>
    </row>
    <row r="1175" spans="1:6">
      <c r="A1175" s="14">
        <v>43589</v>
      </c>
      <c r="B1175" s="13">
        <v>8.667</v>
      </c>
      <c r="C1175" s="13">
        <v>8.667</v>
      </c>
      <c r="D1175" s="13">
        <v>8.667</v>
      </c>
      <c r="E1175" s="13">
        <v>8.667</v>
      </c>
      <c r="F1175" s="15">
        <v>-0.0006</v>
      </c>
    </row>
    <row r="1176" spans="1:6">
      <c r="A1176" s="14">
        <v>43588</v>
      </c>
      <c r="B1176" s="13">
        <v>8.672</v>
      </c>
      <c r="C1176" s="13">
        <v>8.672</v>
      </c>
      <c r="D1176" s="13">
        <v>8.672</v>
      </c>
      <c r="E1176" s="13">
        <v>8.672</v>
      </c>
      <c r="F1176" s="15">
        <v>0</v>
      </c>
    </row>
    <row r="1177" spans="1:6">
      <c r="A1177" s="14">
        <v>43587</v>
      </c>
      <c r="B1177" s="13">
        <v>8.672</v>
      </c>
      <c r="C1177" s="13">
        <v>8.672</v>
      </c>
      <c r="D1177" s="13">
        <v>8.672</v>
      </c>
      <c r="E1177" s="13">
        <v>8.672</v>
      </c>
      <c r="F1177" s="15">
        <v>0</v>
      </c>
    </row>
    <row r="1178" spans="1:6">
      <c r="A1178" s="14">
        <v>43585</v>
      </c>
      <c r="B1178" s="13">
        <v>8.672</v>
      </c>
      <c r="C1178" s="13">
        <v>8.672</v>
      </c>
      <c r="D1178" s="13">
        <v>8.672</v>
      </c>
      <c r="E1178" s="13">
        <v>8.672</v>
      </c>
      <c r="F1178" s="15">
        <v>-0.0009</v>
      </c>
    </row>
    <row r="1179" spans="1:6">
      <c r="A1179" s="14">
        <v>43584</v>
      </c>
      <c r="B1179" s="13">
        <v>8.68</v>
      </c>
      <c r="C1179" s="13">
        <v>8.68</v>
      </c>
      <c r="D1179" s="13">
        <v>8.68</v>
      </c>
      <c r="E1179" s="13">
        <v>8.68</v>
      </c>
      <c r="F1179" s="15">
        <v>0.0029</v>
      </c>
    </row>
    <row r="1180" spans="1:6">
      <c r="A1180" s="14">
        <v>43581</v>
      </c>
      <c r="B1180" s="13">
        <v>8.655</v>
      </c>
      <c r="C1180" s="13">
        <v>8.655</v>
      </c>
      <c r="D1180" s="13">
        <v>8.655</v>
      </c>
      <c r="E1180" s="13">
        <v>8.655</v>
      </c>
      <c r="F1180" s="15">
        <v>0.0002</v>
      </c>
    </row>
    <row r="1181" spans="1:6">
      <c r="A1181" s="14">
        <v>43580</v>
      </c>
      <c r="B1181" s="13">
        <v>8.653</v>
      </c>
      <c r="C1181" s="13">
        <v>8.653</v>
      </c>
      <c r="D1181" s="13">
        <v>8.653</v>
      </c>
      <c r="E1181" s="13">
        <v>8.653</v>
      </c>
      <c r="F1181" s="15">
        <v>-0.01</v>
      </c>
    </row>
    <row r="1182" spans="1:6">
      <c r="A1182" s="14">
        <v>43579</v>
      </c>
      <c r="B1182" s="13">
        <v>8.74</v>
      </c>
      <c r="C1182" s="13">
        <v>8.74</v>
      </c>
      <c r="D1182" s="13">
        <v>8.74</v>
      </c>
      <c r="E1182" s="13">
        <v>8.74</v>
      </c>
      <c r="F1182" s="15">
        <v>0</v>
      </c>
    </row>
    <row r="1183" spans="1:6">
      <c r="A1183" s="14">
        <v>43578</v>
      </c>
      <c r="B1183" s="13">
        <v>8.74</v>
      </c>
      <c r="C1183" s="13">
        <v>8.74</v>
      </c>
      <c r="D1183" s="13">
        <v>8.74</v>
      </c>
      <c r="E1183" s="13">
        <v>8.74</v>
      </c>
      <c r="F1183" s="15">
        <v>0.0013</v>
      </c>
    </row>
    <row r="1184" spans="1:6">
      <c r="A1184" s="14">
        <v>43577</v>
      </c>
      <c r="B1184" s="13">
        <v>8.729</v>
      </c>
      <c r="C1184" s="13">
        <v>8.729</v>
      </c>
      <c r="D1184" s="13">
        <v>8.729</v>
      </c>
      <c r="E1184" s="13">
        <v>8.729</v>
      </c>
      <c r="F1184" s="15">
        <v>-0.0005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7"/>
  <sheetViews>
    <sheetView topLeftCell="A1638" workbookViewId="0">
      <selection activeCell="I4" sqref="I4:L4"/>
    </sheetView>
  </sheetViews>
  <sheetFormatPr defaultColWidth="9" defaultRowHeight="14.4"/>
  <cols>
    <col min="1" max="1" width="14.2890625" style="3"/>
    <col min="2" max="2" width="17.2890625" style="3" customWidth="1"/>
    <col min="3" max="3" width="18.2890625" style="3" customWidth="1"/>
    <col min="4" max="4" width="17.2890625" style="3" customWidth="1"/>
    <col min="5" max="5" width="22.5703125" style="3" customWidth="1"/>
    <col min="6" max="7" width="9.0625" style="3" customWidth="1"/>
    <col min="8" max="8" width="9.9375" style="3" customWidth="1"/>
    <col min="9" max="12" width="11.0625" style="3"/>
    <col min="13" max="256" width="9.140625" style="3"/>
    <col min="257" max="16384" width="9" style="3"/>
  </cols>
  <sheetData>
    <row r="1" s="3" customFormat="1" ht="30.75" customHeight="1" spans="1:12">
      <c r="A1" s="5" t="s">
        <v>1096</v>
      </c>
      <c r="B1" s="5"/>
      <c r="C1" s="5"/>
      <c r="D1" s="5"/>
      <c r="E1" s="5"/>
    </row>
    <row r="2" s="3" customFormat="1" ht="69.75" customHeight="1" spans="1:12">
      <c r="A2" s="3" t="s">
        <v>1097</v>
      </c>
    </row>
    <row r="3" s="3" customFormat="1" ht="21.75" customHeight="1" spans="1:12">
      <c r="A3" s="6" t="s">
        <v>1098</v>
      </c>
      <c r="B3" s="6"/>
      <c r="C3" s="6"/>
      <c r="D3" s="6"/>
      <c r="E3" s="6"/>
      <c r="F3" s="3">
        <v>1</v>
      </c>
      <c r="G3" s="3">
        <v>5</v>
      </c>
      <c r="H3" s="3">
        <v>10</v>
      </c>
    </row>
    <row r="4" s="3" customFormat="1" ht="16.5" customHeight="1" spans="1:12">
      <c r="A4" s="7"/>
      <c r="B4" s="7" t="s">
        <v>1099</v>
      </c>
      <c r="C4" s="7" t="s">
        <v>1100</v>
      </c>
      <c r="D4" s="7" t="s">
        <v>1101</v>
      </c>
      <c r="E4" s="7" t="s">
        <v>1102</v>
      </c>
      <c r="F4" s="1" t="s">
        <v>1103</v>
      </c>
      <c r="G4" s="1" t="s">
        <v>1104</v>
      </c>
      <c r="H4" s="1" t="s">
        <v>1105</v>
      </c>
      <c r="I4" s="3" t="s">
        <v>1</v>
      </c>
      <c r="J4" s="1" t="s">
        <v>1103</v>
      </c>
      <c r="K4" s="1" t="s">
        <v>1104</v>
      </c>
      <c r="L4" s="1" t="s">
        <v>1105</v>
      </c>
    </row>
    <row r="5" s="3" customFormat="1" spans="1:12">
      <c r="A5" s="4">
        <v>46254</v>
      </c>
      <c r="B5" s="8">
        <v>0.119082827977656</v>
      </c>
      <c r="C5" s="8">
        <v>0.0295957643937064</v>
      </c>
      <c r="D5" s="8">
        <v>0.0324806214811401</v>
      </c>
      <c r="E5" s="8">
        <v>1.50000000000017</v>
      </c>
      <c r="F5" s="9">
        <f>B5+(C5+D5)*(E5/$F$3)*(1-EXP(-$F$3/E5))-D5*EXP(-$F$3/E5)</f>
        <v>0.147714680890962</v>
      </c>
      <c r="G5" s="9">
        <f>B5+(C5+D5)*(E5/$G$3)*(1-EXP(-$G$3/E5))-D5*EXP(-$G$3/E5)</f>
        <v>0.135882676492462</v>
      </c>
      <c r="H5" s="9">
        <f t="shared" ref="H5:H68" si="0">B5+(C5+D5)*(E5/$H$3)*(1-EXP(-$H$3/E5))-D5*EXP(-$H$3/E5)</f>
        <v>0.128341099846059</v>
      </c>
      <c r="I5" s="3" t="str">
        <f t="shared" ref="I5:I68" si="1">TEXT(A5,"yyyy-mm-01")</f>
        <v>2026-08-01</v>
      </c>
      <c r="J5" s="9">
        <f>AVERAGEIF($I:$I,I5,$F:$F)</f>
        <v>0.146852254159215</v>
      </c>
      <c r="K5" s="9">
        <f t="shared" ref="K5:K68" si="2">AVERAGEIF($I:$I,I5,$G:$G)</f>
        <v>0.135694937669423</v>
      </c>
      <c r="L5" s="9">
        <f t="shared" ref="L5:L68" si="3">AVERAGEIF($I:$I,I5,$H:$H)</f>
        <v>0.128017664366604</v>
      </c>
    </row>
    <row r="6" s="3" customFormat="1" spans="1:12">
      <c r="A6" s="4">
        <v>46253</v>
      </c>
      <c r="B6" s="8">
        <v>0.119679531835746</v>
      </c>
      <c r="C6" s="8">
        <v>0.0283093458777035</v>
      </c>
      <c r="D6" s="8">
        <v>0.030592964467806</v>
      </c>
      <c r="E6" s="8">
        <v>1.50000000000048</v>
      </c>
      <c r="F6" s="9">
        <f t="shared" ref="F5:F68" si="4">B6+(C6+D6)*(E6/$F$3)*(1-EXP(-$F$3/E6))-D6*EXP(-$F$3/E6)</f>
        <v>0.146963863951351</v>
      </c>
      <c r="G6" s="9">
        <f t="shared" ref="G5:G68" si="5">B6+(C6+D6)*(E6/$G$3)*(1-EXP(-$G$3/E6))-D6*EXP(-$G$3/E6)</f>
        <v>0.135628467540284</v>
      </c>
      <c r="H6" s="9">
        <f t="shared" si="0"/>
        <v>0.128464700586242</v>
      </c>
      <c r="I6" s="3" t="str">
        <f t="shared" si="1"/>
        <v>2026-08-01</v>
      </c>
      <c r="J6" s="9">
        <f t="shared" ref="J5:J68" si="6">AVERAGEIF($I:$I,I6,$F:$F)</f>
        <v>0.146852254159215</v>
      </c>
      <c r="K6" s="9">
        <f t="shared" si="2"/>
        <v>0.135694937669423</v>
      </c>
      <c r="L6" s="9">
        <f t="shared" si="3"/>
        <v>0.128017664366604</v>
      </c>
    </row>
    <row r="7" s="3" customFormat="1" spans="1:12">
      <c r="A7" s="4">
        <v>46252</v>
      </c>
      <c r="B7" s="8">
        <v>0.118683304844813</v>
      </c>
      <c r="C7" s="8">
        <v>0.0282701081113505</v>
      </c>
      <c r="D7" s="8">
        <v>0.0340922236588122</v>
      </c>
      <c r="E7" s="8">
        <v>1.50000000000241</v>
      </c>
      <c r="F7" s="9">
        <f t="shared" si="4"/>
        <v>0.14669643817735</v>
      </c>
      <c r="G7" s="9">
        <f t="shared" si="5"/>
        <v>0.135508384593277</v>
      </c>
      <c r="H7" s="9">
        <f t="shared" si="0"/>
        <v>0.12798236303246</v>
      </c>
      <c r="I7" s="3" t="str">
        <f t="shared" si="1"/>
        <v>2026-08-01</v>
      </c>
      <c r="J7" s="9">
        <f t="shared" si="6"/>
        <v>0.146852254159215</v>
      </c>
      <c r="K7" s="9">
        <f t="shared" si="2"/>
        <v>0.135694937669423</v>
      </c>
      <c r="L7" s="9">
        <f t="shared" si="3"/>
        <v>0.128017664366604</v>
      </c>
    </row>
    <row r="8" s="3" customFormat="1" spans="1:12">
      <c r="A8" s="4">
        <v>46251</v>
      </c>
      <c r="B8" s="8">
        <v>0.118728769950453</v>
      </c>
      <c r="C8" s="8">
        <v>0.028397294939841</v>
      </c>
      <c r="D8" s="8">
        <v>0.0335407709896356</v>
      </c>
      <c r="E8" s="8">
        <v>1.50000000000126</v>
      </c>
      <c r="F8" s="9">
        <f t="shared" si="4"/>
        <v>0.146715367781095</v>
      </c>
      <c r="G8" s="9">
        <f t="shared" si="5"/>
        <v>0.135450783042587</v>
      </c>
      <c r="H8" s="9">
        <f t="shared" si="0"/>
        <v>0.127964971049554</v>
      </c>
      <c r="I8" s="3" t="str">
        <f t="shared" si="1"/>
        <v>2026-08-01</v>
      </c>
      <c r="J8" s="9">
        <f t="shared" si="6"/>
        <v>0.146852254159215</v>
      </c>
      <c r="K8" s="9">
        <f t="shared" si="2"/>
        <v>0.135694937669423</v>
      </c>
      <c r="L8" s="9">
        <f t="shared" si="3"/>
        <v>0.128017664366604</v>
      </c>
    </row>
    <row r="9" s="3" customFormat="1" spans="1:12">
      <c r="A9" s="4">
        <v>46248</v>
      </c>
      <c r="B9" s="8">
        <v>0.118774986552243</v>
      </c>
      <c r="C9" s="8">
        <v>0.0279193925985608</v>
      </c>
      <c r="D9" s="8">
        <v>0.0340231477837982</v>
      </c>
      <c r="E9" s="8">
        <v>1.50000000000023</v>
      </c>
      <c r="F9" s="9">
        <f t="shared" si="4"/>
        <v>0.146517189667197</v>
      </c>
      <c r="G9" s="9">
        <f t="shared" si="5"/>
        <v>0.135481085787207</v>
      </c>
      <c r="H9" s="9">
        <f t="shared" si="0"/>
        <v>0.128011244076106</v>
      </c>
      <c r="I9" s="3" t="str">
        <f t="shared" si="1"/>
        <v>2026-08-01</v>
      </c>
      <c r="J9" s="9">
        <f t="shared" si="6"/>
        <v>0.146852254159215</v>
      </c>
      <c r="K9" s="9">
        <f t="shared" si="2"/>
        <v>0.135694937669423</v>
      </c>
      <c r="L9" s="9">
        <f t="shared" si="3"/>
        <v>0.128017664366604</v>
      </c>
    </row>
    <row r="10" s="3" customFormat="1" spans="1:12">
      <c r="A10" s="4">
        <v>46247</v>
      </c>
      <c r="B10" s="8">
        <v>0.117802956180436</v>
      </c>
      <c r="C10" s="8">
        <v>0.0285459401547009</v>
      </c>
      <c r="D10" s="8">
        <v>0.0384588017737848</v>
      </c>
      <c r="E10" s="8">
        <v>1.50000000000045</v>
      </c>
      <c r="F10" s="9">
        <f t="shared" si="4"/>
        <v>0.146962589521355</v>
      </c>
      <c r="G10" s="9">
        <f t="shared" si="5"/>
        <v>0.135815301705027</v>
      </c>
      <c r="H10" s="9">
        <f t="shared" si="0"/>
        <v>0.127791932623701</v>
      </c>
      <c r="I10" s="3" t="str">
        <f t="shared" si="1"/>
        <v>2026-08-01</v>
      </c>
      <c r="J10" s="9">
        <f t="shared" si="6"/>
        <v>0.146852254159215</v>
      </c>
      <c r="K10" s="9">
        <f t="shared" si="2"/>
        <v>0.135694937669423</v>
      </c>
      <c r="L10" s="9">
        <f t="shared" si="3"/>
        <v>0.128017664366604</v>
      </c>
    </row>
    <row r="11" s="3" customFormat="1" spans="1:12">
      <c r="A11" s="4">
        <v>46246</v>
      </c>
      <c r="B11" s="8">
        <v>0.11894876006384</v>
      </c>
      <c r="C11" s="8">
        <v>0.0274865181657056</v>
      </c>
      <c r="D11" s="8">
        <v>0.0339273252696399</v>
      </c>
      <c r="E11" s="8">
        <v>1.50000000000029</v>
      </c>
      <c r="F11" s="9">
        <f t="shared" si="4"/>
        <v>0.146354277772498</v>
      </c>
      <c r="G11" s="9">
        <f t="shared" si="5"/>
        <v>0.135505326805844</v>
      </c>
      <c r="H11" s="9">
        <f t="shared" si="0"/>
        <v>0.128105935918263</v>
      </c>
      <c r="I11" s="3" t="str">
        <f t="shared" si="1"/>
        <v>2026-08-01</v>
      </c>
      <c r="J11" s="9">
        <f t="shared" si="6"/>
        <v>0.146852254159215</v>
      </c>
      <c r="K11" s="9">
        <f t="shared" si="2"/>
        <v>0.135694937669423</v>
      </c>
      <c r="L11" s="9">
        <f t="shared" si="3"/>
        <v>0.128017664366604</v>
      </c>
    </row>
    <row r="12" s="3" customFormat="1" spans="1:12">
      <c r="A12" s="4">
        <v>46245</v>
      </c>
      <c r="B12" s="8">
        <v>0.118223175771659</v>
      </c>
      <c r="C12" s="8">
        <v>0.0284712033791444</v>
      </c>
      <c r="D12" s="8">
        <v>0.0377520551295917</v>
      </c>
      <c r="E12" s="8">
        <v>1.50000000000021</v>
      </c>
      <c r="F12" s="9">
        <f t="shared" si="4"/>
        <v>0.14717528025781</v>
      </c>
      <c r="G12" s="9">
        <f t="shared" si="5"/>
        <v>0.136034652335701</v>
      </c>
      <c r="H12" s="9">
        <f t="shared" si="0"/>
        <v>0.128095978312961</v>
      </c>
      <c r="I12" s="3" t="str">
        <f t="shared" si="1"/>
        <v>2026-08-01</v>
      </c>
      <c r="J12" s="9">
        <f t="shared" si="6"/>
        <v>0.146852254159215</v>
      </c>
      <c r="K12" s="9">
        <f t="shared" si="2"/>
        <v>0.135694937669423</v>
      </c>
      <c r="L12" s="9">
        <f t="shared" si="3"/>
        <v>0.128017664366604</v>
      </c>
    </row>
    <row r="13" s="3" customFormat="1" spans="1:12">
      <c r="A13" s="4">
        <v>46244</v>
      </c>
      <c r="B13" s="8">
        <v>0.118457660825267</v>
      </c>
      <c r="C13" s="8">
        <v>0.0279776174042791</v>
      </c>
      <c r="D13" s="8">
        <v>0.0368786988967871</v>
      </c>
      <c r="E13" s="8">
        <v>1.50000000000027</v>
      </c>
      <c r="F13" s="9">
        <f t="shared" si="4"/>
        <v>0.146860465336067</v>
      </c>
      <c r="G13" s="9">
        <f t="shared" si="5"/>
        <v>0.135904840117614</v>
      </c>
      <c r="H13" s="9">
        <f t="shared" si="0"/>
        <v>0.128126794440609</v>
      </c>
      <c r="I13" s="3" t="str">
        <f t="shared" si="1"/>
        <v>2026-08-01</v>
      </c>
      <c r="J13" s="9">
        <f t="shared" si="6"/>
        <v>0.146852254159215</v>
      </c>
      <c r="K13" s="9">
        <f t="shared" si="2"/>
        <v>0.135694937669423</v>
      </c>
      <c r="L13" s="9">
        <f t="shared" si="3"/>
        <v>0.128017664366604</v>
      </c>
    </row>
    <row r="14" s="3" customFormat="1" spans="1:12">
      <c r="A14" s="4">
        <v>46241</v>
      </c>
      <c r="B14" s="8">
        <v>0.118760905814483</v>
      </c>
      <c r="C14" s="8">
        <v>0.0280198253937118</v>
      </c>
      <c r="D14" s="8">
        <v>0.0358356666014005</v>
      </c>
      <c r="E14" s="8">
        <v>1.50000000000035</v>
      </c>
      <c r="F14" s="9">
        <f t="shared" si="4"/>
        <v>0.14696874500024</v>
      </c>
      <c r="G14" s="9">
        <f t="shared" si="5"/>
        <v>0.135955757962101</v>
      </c>
      <c r="H14" s="9">
        <f t="shared" si="0"/>
        <v>0.128281434234515</v>
      </c>
      <c r="I14" s="3" t="str">
        <f t="shared" si="1"/>
        <v>2026-08-01</v>
      </c>
      <c r="J14" s="9">
        <f t="shared" si="6"/>
        <v>0.146852254159215</v>
      </c>
      <c r="K14" s="9">
        <f t="shared" si="2"/>
        <v>0.135694937669423</v>
      </c>
      <c r="L14" s="9">
        <f t="shared" si="3"/>
        <v>0.128017664366604</v>
      </c>
    </row>
    <row r="15" s="3" customFormat="1" spans="1:12">
      <c r="A15" s="4">
        <v>46240</v>
      </c>
      <c r="B15" s="8">
        <v>0.118539773495313</v>
      </c>
      <c r="C15" s="8">
        <v>0.0284999691540019</v>
      </c>
      <c r="D15" s="8">
        <v>0.035852604837669</v>
      </c>
      <c r="E15" s="8">
        <v>1.50000000000349</v>
      </c>
      <c r="F15" s="9">
        <f t="shared" si="4"/>
        <v>0.14710172368555</v>
      </c>
      <c r="G15" s="9">
        <f t="shared" si="5"/>
        <v>0.135877826117444</v>
      </c>
      <c r="H15" s="9">
        <f t="shared" si="0"/>
        <v>0.128134747768173</v>
      </c>
      <c r="I15" s="3" t="str">
        <f t="shared" si="1"/>
        <v>2026-08-01</v>
      </c>
      <c r="J15" s="9">
        <f t="shared" si="6"/>
        <v>0.146852254159215</v>
      </c>
      <c r="K15" s="9">
        <f t="shared" si="2"/>
        <v>0.135694937669423</v>
      </c>
      <c r="L15" s="9">
        <f t="shared" si="3"/>
        <v>0.128017664366604</v>
      </c>
    </row>
    <row r="16" s="3" customFormat="1" spans="1:12">
      <c r="A16" s="4">
        <v>46239</v>
      </c>
      <c r="B16" s="8">
        <v>0.118458276861711</v>
      </c>
      <c r="C16" s="8">
        <v>0.0287541028186756</v>
      </c>
      <c r="D16" s="8">
        <v>0.0362581434450672</v>
      </c>
      <c r="E16" s="8">
        <v>1.50000000000021</v>
      </c>
      <c r="F16" s="9">
        <f t="shared" si="4"/>
        <v>0.147293494440436</v>
      </c>
      <c r="G16" s="9">
        <f t="shared" si="5"/>
        <v>0.135972704040582</v>
      </c>
      <c r="H16" s="9">
        <f t="shared" si="0"/>
        <v>0.128151559945037</v>
      </c>
      <c r="I16" s="3" t="str">
        <f t="shared" si="1"/>
        <v>2026-08-01</v>
      </c>
      <c r="J16" s="9">
        <f t="shared" si="6"/>
        <v>0.146852254159215</v>
      </c>
      <c r="K16" s="9">
        <f t="shared" si="2"/>
        <v>0.135694937669423</v>
      </c>
      <c r="L16" s="9">
        <f t="shared" si="3"/>
        <v>0.128017664366604</v>
      </c>
    </row>
    <row r="17" s="3" customFormat="1" spans="1:12">
      <c r="A17" s="4">
        <v>46238</v>
      </c>
      <c r="B17" s="8">
        <v>0.117229812815314</v>
      </c>
      <c r="C17" s="8">
        <v>0.0279089528509249</v>
      </c>
      <c r="D17" s="8">
        <v>0.0399748067024649</v>
      </c>
      <c r="E17" s="8">
        <v>1.50000000000032</v>
      </c>
      <c r="F17" s="9">
        <f t="shared" si="4"/>
        <v>0.146252675665831</v>
      </c>
      <c r="G17" s="9">
        <f t="shared" si="5"/>
        <v>0.135442374256964</v>
      </c>
      <c r="H17" s="9">
        <f t="shared" si="0"/>
        <v>0.127348544783067</v>
      </c>
      <c r="I17" s="3" t="str">
        <f t="shared" si="1"/>
        <v>2026-08-01</v>
      </c>
      <c r="J17" s="9">
        <f t="shared" si="6"/>
        <v>0.146852254159215</v>
      </c>
      <c r="K17" s="9">
        <f t="shared" si="2"/>
        <v>0.135694937669423</v>
      </c>
      <c r="L17" s="9">
        <f t="shared" si="3"/>
        <v>0.128017664366604</v>
      </c>
    </row>
    <row r="18" s="3" customFormat="1" spans="1:12">
      <c r="A18" s="4">
        <v>46237</v>
      </c>
      <c r="B18" s="8">
        <v>0.117727506658368</v>
      </c>
      <c r="C18" s="8">
        <v>0.0282757874614745</v>
      </c>
      <c r="D18" s="8">
        <v>0.0369102443655936</v>
      </c>
      <c r="E18" s="8">
        <v>1.50000000000069</v>
      </c>
      <c r="F18" s="9">
        <f t="shared" si="4"/>
        <v>0.146354766081269</v>
      </c>
      <c r="G18" s="9">
        <f t="shared" si="5"/>
        <v>0.135268946574831</v>
      </c>
      <c r="H18" s="9">
        <f t="shared" si="0"/>
        <v>0.127445994515716</v>
      </c>
      <c r="I18" s="3" t="str">
        <f t="shared" si="1"/>
        <v>2026-08-01</v>
      </c>
      <c r="J18" s="9">
        <f t="shared" si="6"/>
        <v>0.146852254159215</v>
      </c>
      <c r="K18" s="9">
        <f t="shared" si="2"/>
        <v>0.135694937669423</v>
      </c>
      <c r="L18" s="9">
        <f t="shared" si="3"/>
        <v>0.128017664366604</v>
      </c>
    </row>
    <row r="19" s="3" customFormat="1" spans="1:12">
      <c r="A19" s="4">
        <v>46234</v>
      </c>
      <c r="B19" s="8">
        <v>0.118959187385407</v>
      </c>
      <c r="C19" s="8">
        <v>0.0312695258612845</v>
      </c>
      <c r="D19" s="8">
        <v>0.0279024671212483</v>
      </c>
      <c r="E19" s="8">
        <v>1.50000000000047</v>
      </c>
      <c r="F19" s="9">
        <f t="shared" si="4"/>
        <v>0.147821701329151</v>
      </c>
      <c r="G19" s="9">
        <f t="shared" si="5"/>
        <v>0.135082122468514</v>
      </c>
      <c r="H19" s="9">
        <f t="shared" si="0"/>
        <v>0.127788181068236</v>
      </c>
      <c r="I19" s="3" t="str">
        <f t="shared" si="1"/>
        <v>2026-07-01</v>
      </c>
      <c r="J19" s="9">
        <f t="shared" si="6"/>
        <v>0.1489068364479</v>
      </c>
      <c r="K19" s="9">
        <f t="shared" si="2"/>
        <v>0.135775220873885</v>
      </c>
      <c r="L19" s="9">
        <f t="shared" si="3"/>
        <v>0.130210170331561</v>
      </c>
    </row>
    <row r="20" s="3" customFormat="1" spans="1:12">
      <c r="A20" s="4">
        <v>46233</v>
      </c>
      <c r="B20" s="8">
        <v>0.118202720197789</v>
      </c>
      <c r="C20" s="8">
        <v>0.031509553030538</v>
      </c>
      <c r="D20" s="8">
        <v>0.0306978716710942</v>
      </c>
      <c r="E20" s="8">
        <v>1.50000000000863</v>
      </c>
      <c r="F20" s="9">
        <f t="shared" si="4"/>
        <v>0.147845509257325</v>
      </c>
      <c r="G20" s="9">
        <f t="shared" si="5"/>
        <v>0.135104075762092</v>
      </c>
      <c r="H20" s="9">
        <f t="shared" si="0"/>
        <v>0.127482891663262</v>
      </c>
      <c r="I20" s="3" t="str">
        <f t="shared" si="1"/>
        <v>2026-07-01</v>
      </c>
      <c r="J20" s="9">
        <f t="shared" si="6"/>
        <v>0.1489068364479</v>
      </c>
      <c r="K20" s="9">
        <f t="shared" si="2"/>
        <v>0.135775220873885</v>
      </c>
      <c r="L20" s="9">
        <f t="shared" si="3"/>
        <v>0.130210170331561</v>
      </c>
    </row>
    <row r="21" s="3" customFormat="1" spans="1:12">
      <c r="A21" s="4">
        <v>46232</v>
      </c>
      <c r="B21" s="8">
        <v>0.118800464660334</v>
      </c>
      <c r="C21" s="8">
        <v>0.0333195834004991</v>
      </c>
      <c r="D21" s="8">
        <v>0.0252452043384361</v>
      </c>
      <c r="E21" s="8">
        <v>1.50000000000035</v>
      </c>
      <c r="F21" s="9">
        <f t="shared" si="4"/>
        <v>0.14858407929139</v>
      </c>
      <c r="G21" s="9">
        <f t="shared" si="5"/>
        <v>0.134842531775943</v>
      </c>
      <c r="H21" s="9">
        <f t="shared" si="0"/>
        <v>0.127541875191547</v>
      </c>
      <c r="I21" s="3" t="str">
        <f t="shared" si="1"/>
        <v>2026-07-01</v>
      </c>
      <c r="J21" s="9">
        <f t="shared" si="6"/>
        <v>0.1489068364479</v>
      </c>
      <c r="K21" s="9">
        <f t="shared" si="2"/>
        <v>0.135775220873885</v>
      </c>
      <c r="L21" s="9">
        <f t="shared" si="3"/>
        <v>0.130210170331561</v>
      </c>
    </row>
    <row r="22" s="3" customFormat="1" spans="1:12">
      <c r="A22" s="4">
        <v>46231</v>
      </c>
      <c r="B22" s="8">
        <v>0.120203262391528</v>
      </c>
      <c r="C22" s="8">
        <v>0.0330327135073303</v>
      </c>
      <c r="D22" s="8">
        <v>0.017206980703922</v>
      </c>
      <c r="E22" s="8">
        <v>1.50000000000025</v>
      </c>
      <c r="F22" s="9">
        <f t="shared" si="4"/>
        <v>0.148037566653621</v>
      </c>
      <c r="G22" s="9">
        <f t="shared" si="5"/>
        <v>0.134123653784629</v>
      </c>
      <c r="H22" s="9">
        <f t="shared" si="0"/>
        <v>0.127707727828001</v>
      </c>
      <c r="I22" s="3" t="str">
        <f t="shared" si="1"/>
        <v>2026-07-01</v>
      </c>
      <c r="J22" s="9">
        <f t="shared" si="6"/>
        <v>0.1489068364479</v>
      </c>
      <c r="K22" s="9">
        <f t="shared" si="2"/>
        <v>0.135775220873885</v>
      </c>
      <c r="L22" s="9">
        <f t="shared" si="3"/>
        <v>0.130210170331561</v>
      </c>
    </row>
    <row r="23" s="3" customFormat="1" spans="1:12">
      <c r="A23" s="4">
        <v>46230</v>
      </c>
      <c r="B23" s="8">
        <v>0.120514699944695</v>
      </c>
      <c r="C23" s="8">
        <v>0.0304021853721655</v>
      </c>
      <c r="D23" s="8">
        <v>0.0189964932911882</v>
      </c>
      <c r="E23" s="8">
        <v>1.50000000000037</v>
      </c>
      <c r="F23" s="9">
        <f t="shared" si="4"/>
        <v>0.146816402157409</v>
      </c>
      <c r="G23" s="9">
        <f t="shared" si="5"/>
        <v>0.134127948328213</v>
      </c>
      <c r="H23" s="9">
        <f t="shared" si="0"/>
        <v>0.127890896200499</v>
      </c>
      <c r="I23" s="3" t="str">
        <f t="shared" si="1"/>
        <v>2026-07-01</v>
      </c>
      <c r="J23" s="9">
        <f t="shared" si="6"/>
        <v>0.1489068364479</v>
      </c>
      <c r="K23" s="9">
        <f t="shared" si="2"/>
        <v>0.135775220873885</v>
      </c>
      <c r="L23" s="9">
        <f t="shared" si="3"/>
        <v>0.130210170331561</v>
      </c>
    </row>
    <row r="24" s="3" customFormat="1" spans="1:12">
      <c r="A24" s="4">
        <v>46227</v>
      </c>
      <c r="B24" s="8">
        <v>0.122949633603457</v>
      </c>
      <c r="C24" s="8">
        <v>0.0298572866403016</v>
      </c>
      <c r="D24" s="8">
        <v>0.00855089193248155</v>
      </c>
      <c r="E24" s="8">
        <v>1.50000000000047</v>
      </c>
      <c r="F24" s="9">
        <f t="shared" si="4"/>
        <v>0.146592602576308</v>
      </c>
      <c r="G24" s="9">
        <f t="shared" si="5"/>
        <v>0.133755990781316</v>
      </c>
      <c r="H24" s="9">
        <f t="shared" si="0"/>
        <v>0.128692646303326</v>
      </c>
      <c r="I24" s="3" t="str">
        <f t="shared" si="1"/>
        <v>2026-07-01</v>
      </c>
      <c r="J24" s="9">
        <f t="shared" si="6"/>
        <v>0.1489068364479</v>
      </c>
      <c r="K24" s="9">
        <f t="shared" si="2"/>
        <v>0.135775220873885</v>
      </c>
      <c r="L24" s="9">
        <f t="shared" si="3"/>
        <v>0.130210170331561</v>
      </c>
    </row>
    <row r="25" s="3" customFormat="1" spans="1:12">
      <c r="A25" s="4">
        <v>46226</v>
      </c>
      <c r="B25" s="8">
        <v>0.123759692482259</v>
      </c>
      <c r="C25" s="8">
        <v>0.0301623897899975</v>
      </c>
      <c r="D25" s="8">
        <v>-0.00938613319179115</v>
      </c>
      <c r="E25" s="8">
        <v>2.49999999999335</v>
      </c>
      <c r="F25" s="9">
        <f t="shared" si="4"/>
        <v>0.147175194012583</v>
      </c>
      <c r="G25" s="9">
        <f t="shared" si="5"/>
        <v>0.134012215489689</v>
      </c>
      <c r="H25" s="9">
        <f t="shared" si="0"/>
        <v>0.129030537054571</v>
      </c>
      <c r="I25" s="3" t="str">
        <f t="shared" si="1"/>
        <v>2026-07-01</v>
      </c>
      <c r="J25" s="9">
        <f t="shared" si="6"/>
        <v>0.1489068364479</v>
      </c>
      <c r="K25" s="9">
        <f t="shared" si="2"/>
        <v>0.135775220873885</v>
      </c>
      <c r="L25" s="9">
        <f t="shared" si="3"/>
        <v>0.130210170331561</v>
      </c>
    </row>
    <row r="26" s="3" customFormat="1" spans="1:12">
      <c r="A26" s="4">
        <v>46225</v>
      </c>
      <c r="B26" s="8">
        <v>0.125054225678919</v>
      </c>
      <c r="C26" s="8">
        <v>0.02955349254752</v>
      </c>
      <c r="D26" s="8">
        <v>-0.0138875462929279</v>
      </c>
      <c r="E26" s="8">
        <v>2.49999999999578</v>
      </c>
      <c r="F26" s="9">
        <f t="shared" si="4"/>
        <v>0.147275197449361</v>
      </c>
      <c r="G26" s="9">
        <f t="shared" si="5"/>
        <v>0.133706596180448</v>
      </c>
      <c r="H26" s="9">
        <f t="shared" si="0"/>
        <v>0.129153338571899</v>
      </c>
      <c r="I26" s="3" t="str">
        <f t="shared" si="1"/>
        <v>2026-07-01</v>
      </c>
      <c r="J26" s="9">
        <f t="shared" si="6"/>
        <v>0.1489068364479</v>
      </c>
      <c r="K26" s="9">
        <f t="shared" si="2"/>
        <v>0.135775220873885</v>
      </c>
      <c r="L26" s="9">
        <f t="shared" si="3"/>
        <v>0.130210170331561</v>
      </c>
    </row>
    <row r="27" s="3" customFormat="1" spans="1:12">
      <c r="A27" s="4">
        <v>46224</v>
      </c>
      <c r="B27" s="8">
        <v>0.130454285634858</v>
      </c>
      <c r="C27" s="8">
        <v>0.0237249652128165</v>
      </c>
      <c r="D27" s="8">
        <v>-0.0232230494214003</v>
      </c>
      <c r="E27" s="8">
        <v>2.49999999999698</v>
      </c>
      <c r="F27" s="9">
        <f t="shared" si="4"/>
        <v>0.146434840129611</v>
      </c>
      <c r="G27" s="9">
        <f t="shared" si="5"/>
        <v>0.133814178043725</v>
      </c>
      <c r="H27" s="9">
        <f t="shared" si="0"/>
        <v>0.13100281134271</v>
      </c>
      <c r="I27" s="3" t="str">
        <f t="shared" si="1"/>
        <v>2026-07-01</v>
      </c>
      <c r="J27" s="9">
        <f t="shared" si="6"/>
        <v>0.1489068364479</v>
      </c>
      <c r="K27" s="9">
        <f t="shared" si="2"/>
        <v>0.135775220873885</v>
      </c>
      <c r="L27" s="9">
        <f t="shared" si="3"/>
        <v>0.130210170331561</v>
      </c>
    </row>
    <row r="28" s="3" customFormat="1" spans="1:12">
      <c r="A28" s="4">
        <v>46223</v>
      </c>
      <c r="B28" s="8">
        <v>0.130745971563137</v>
      </c>
      <c r="C28" s="8">
        <v>0.0238617466633015</v>
      </c>
      <c r="D28" s="8">
        <v>-0.0246480160993998</v>
      </c>
      <c r="E28" s="8">
        <v>2.49999999999862</v>
      </c>
      <c r="F28" s="9">
        <f t="shared" si="4"/>
        <v>0.146619987670829</v>
      </c>
      <c r="G28" s="9">
        <f t="shared" si="5"/>
        <v>0.133741788083535</v>
      </c>
      <c r="H28" s="9">
        <f t="shared" si="0"/>
        <v>0.131004448623077</v>
      </c>
      <c r="I28" s="3" t="str">
        <f t="shared" si="1"/>
        <v>2026-07-01</v>
      </c>
      <c r="J28" s="9">
        <f t="shared" si="6"/>
        <v>0.1489068364479</v>
      </c>
      <c r="K28" s="9">
        <f t="shared" si="2"/>
        <v>0.135775220873885</v>
      </c>
      <c r="L28" s="9">
        <f t="shared" si="3"/>
        <v>0.130210170331561</v>
      </c>
    </row>
    <row r="29" s="3" customFormat="1" spans="1:12">
      <c r="A29" s="4">
        <v>46220</v>
      </c>
      <c r="B29" s="8">
        <v>0.130558533769975</v>
      </c>
      <c r="C29" s="8">
        <v>0.0243918262278471</v>
      </c>
      <c r="D29" s="8">
        <v>-0.0244296263074491</v>
      </c>
      <c r="E29" s="8">
        <v>2.49999999999885</v>
      </c>
      <c r="F29" s="9">
        <f t="shared" si="4"/>
        <v>0.146903047179758</v>
      </c>
      <c r="G29" s="9">
        <f t="shared" si="5"/>
        <v>0.133848381968094</v>
      </c>
      <c r="H29" s="9">
        <f t="shared" si="0"/>
        <v>0.13099670104686</v>
      </c>
      <c r="I29" s="3" t="str">
        <f t="shared" si="1"/>
        <v>2026-07-01</v>
      </c>
      <c r="J29" s="9">
        <f t="shared" si="6"/>
        <v>0.1489068364479</v>
      </c>
      <c r="K29" s="9">
        <f t="shared" si="2"/>
        <v>0.135775220873885</v>
      </c>
      <c r="L29" s="9">
        <f t="shared" si="3"/>
        <v>0.130210170331561</v>
      </c>
    </row>
    <row r="30" s="3" customFormat="1" spans="1:12">
      <c r="A30" s="4">
        <v>46219</v>
      </c>
      <c r="B30" s="8">
        <v>0.130916209445542</v>
      </c>
      <c r="C30" s="8">
        <v>0.024291054856841</v>
      </c>
      <c r="D30" s="8">
        <v>-0.0258930935371631</v>
      </c>
      <c r="E30" s="8">
        <v>2.49999999999896</v>
      </c>
      <c r="F30" s="9">
        <f t="shared" si="4"/>
        <v>0.146952469001431</v>
      </c>
      <c r="G30" s="9">
        <f t="shared" si="5"/>
        <v>0.133727845432381</v>
      </c>
      <c r="H30" s="9">
        <f t="shared" si="0"/>
        <v>0.130997283916888</v>
      </c>
      <c r="I30" s="3" t="str">
        <f t="shared" si="1"/>
        <v>2026-07-01</v>
      </c>
      <c r="J30" s="9">
        <f t="shared" si="6"/>
        <v>0.1489068364479</v>
      </c>
      <c r="K30" s="9">
        <f t="shared" si="2"/>
        <v>0.135775220873885</v>
      </c>
      <c r="L30" s="9">
        <f t="shared" si="3"/>
        <v>0.130210170331561</v>
      </c>
    </row>
    <row r="31" s="3" customFormat="1" spans="1:12">
      <c r="A31" s="4">
        <v>46218</v>
      </c>
      <c r="B31" s="8">
        <v>0.130516992073167</v>
      </c>
      <c r="C31" s="8">
        <v>0.0246902722292158</v>
      </c>
      <c r="D31" s="8">
        <v>-0.0249797871839871</v>
      </c>
      <c r="E31" s="8">
        <v>2.4999999999986</v>
      </c>
      <c r="F31" s="9">
        <f t="shared" si="4"/>
        <v>0.147022825975891</v>
      </c>
      <c r="G31" s="9">
        <f t="shared" si="5"/>
        <v>0.133772471963715</v>
      </c>
      <c r="H31" s="9">
        <f t="shared" si="0"/>
        <v>0.130903459758894</v>
      </c>
      <c r="I31" s="3" t="str">
        <f t="shared" si="1"/>
        <v>2026-07-01</v>
      </c>
      <c r="J31" s="9">
        <f t="shared" si="6"/>
        <v>0.1489068364479</v>
      </c>
      <c r="K31" s="9">
        <f t="shared" si="2"/>
        <v>0.135775220873885</v>
      </c>
      <c r="L31" s="9">
        <f t="shared" si="3"/>
        <v>0.130210170331561</v>
      </c>
    </row>
    <row r="32" s="3" customFormat="1" spans="1:12">
      <c r="A32" s="4">
        <v>46217</v>
      </c>
      <c r="B32" s="8">
        <v>0.131445791766045</v>
      </c>
      <c r="C32" s="8">
        <v>0.0232475979104357</v>
      </c>
      <c r="D32" s="8">
        <v>-0.0261692832617107</v>
      </c>
      <c r="E32" s="8">
        <v>2.4999999999993</v>
      </c>
      <c r="F32" s="9">
        <f t="shared" si="4"/>
        <v>0.146579534196486</v>
      </c>
      <c r="G32" s="9">
        <f t="shared" si="5"/>
        <v>0.13372428001</v>
      </c>
      <c r="H32" s="9">
        <f t="shared" si="0"/>
        <v>0.131208055703884</v>
      </c>
      <c r="I32" s="3" t="str">
        <f t="shared" si="1"/>
        <v>2026-07-01</v>
      </c>
      <c r="J32" s="9">
        <f t="shared" si="6"/>
        <v>0.1489068364479</v>
      </c>
      <c r="K32" s="9">
        <f t="shared" si="2"/>
        <v>0.135775220873885</v>
      </c>
      <c r="L32" s="9">
        <f t="shared" si="3"/>
        <v>0.130210170331561</v>
      </c>
    </row>
    <row r="33" s="3" customFormat="1" spans="1:12">
      <c r="A33" s="4">
        <v>46216</v>
      </c>
      <c r="B33" s="8">
        <v>0.131728987590694</v>
      </c>
      <c r="C33" s="8">
        <v>0.0219358599534565</v>
      </c>
      <c r="D33" s="8">
        <v>-0.0253916427935206</v>
      </c>
      <c r="E33" s="8">
        <v>2.49999999999952</v>
      </c>
      <c r="F33" s="9">
        <f t="shared" si="4"/>
        <v>0.145901258937908</v>
      </c>
      <c r="G33" s="9">
        <f t="shared" si="5"/>
        <v>0.133671326014697</v>
      </c>
      <c r="H33" s="9">
        <f t="shared" si="0"/>
        <v>0.131345929758519</v>
      </c>
      <c r="I33" s="3" t="str">
        <f t="shared" si="1"/>
        <v>2026-07-01</v>
      </c>
      <c r="J33" s="9">
        <f t="shared" si="6"/>
        <v>0.1489068364479</v>
      </c>
      <c r="K33" s="9">
        <f t="shared" si="2"/>
        <v>0.135775220873885</v>
      </c>
      <c r="L33" s="9">
        <f t="shared" si="3"/>
        <v>0.130210170331561</v>
      </c>
    </row>
    <row r="34" s="3" customFormat="1" spans="1:12">
      <c r="A34" s="4">
        <v>46213</v>
      </c>
      <c r="B34" s="8">
        <v>0.129027603377975</v>
      </c>
      <c r="C34" s="8">
        <v>0.0234359397484937</v>
      </c>
      <c r="D34" s="8">
        <v>-0.0151592342138996</v>
      </c>
      <c r="E34" s="8">
        <v>2.49999999999742</v>
      </c>
      <c r="F34" s="9">
        <f t="shared" si="4"/>
        <v>0.14601080170315</v>
      </c>
      <c r="G34" s="9">
        <f t="shared" si="5"/>
        <v>0.134657470257359</v>
      </c>
      <c r="H34" s="9">
        <f t="shared" si="0"/>
        <v>0.131336532533872</v>
      </c>
      <c r="I34" s="3" t="str">
        <f t="shared" si="1"/>
        <v>2026-07-01</v>
      </c>
      <c r="J34" s="9">
        <f t="shared" si="6"/>
        <v>0.1489068364479</v>
      </c>
      <c r="K34" s="9">
        <f t="shared" si="2"/>
        <v>0.135775220873885</v>
      </c>
      <c r="L34" s="9">
        <f t="shared" si="3"/>
        <v>0.130210170331561</v>
      </c>
    </row>
    <row r="35" s="3" customFormat="1" spans="1:12">
      <c r="A35" s="4">
        <v>46212</v>
      </c>
      <c r="B35" s="8">
        <v>0.127969446314106</v>
      </c>
      <c r="C35" s="8">
        <v>0.0239788099579521</v>
      </c>
      <c r="D35" s="8">
        <v>-0.011477957054253</v>
      </c>
      <c r="E35" s="8">
        <v>2.49999999999592</v>
      </c>
      <c r="F35" s="9">
        <f t="shared" si="4"/>
        <v>0.145966552539617</v>
      </c>
      <c r="G35" s="9">
        <f t="shared" si="5"/>
        <v>0.134927342100649</v>
      </c>
      <c r="H35" s="9">
        <f t="shared" si="0"/>
        <v>0.131247645379715</v>
      </c>
      <c r="I35" s="3" t="str">
        <f t="shared" si="1"/>
        <v>2026-07-01</v>
      </c>
      <c r="J35" s="9">
        <f t="shared" si="6"/>
        <v>0.1489068364479</v>
      </c>
      <c r="K35" s="9">
        <f t="shared" si="2"/>
        <v>0.135775220873885</v>
      </c>
      <c r="L35" s="9">
        <f t="shared" si="3"/>
        <v>0.130210170331561</v>
      </c>
    </row>
    <row r="36" s="3" customFormat="1" spans="1:12">
      <c r="A36" s="4">
        <v>46211</v>
      </c>
      <c r="B36" s="8">
        <v>0.128296136260764</v>
      </c>
      <c r="C36" s="8">
        <v>0.0248540432329107</v>
      </c>
      <c r="D36" s="8">
        <v>-0.0139160173057339</v>
      </c>
      <c r="E36" s="8">
        <v>2.4999999999977</v>
      </c>
      <c r="F36" s="9">
        <f t="shared" si="4"/>
        <v>0.146639441332103</v>
      </c>
      <c r="G36" s="9">
        <f t="shared" si="5"/>
        <v>0.134908326949491</v>
      </c>
      <c r="H36" s="9">
        <f t="shared" si="0"/>
        <v>0.131235439257037</v>
      </c>
      <c r="I36" s="3" t="str">
        <f t="shared" si="1"/>
        <v>2026-07-01</v>
      </c>
      <c r="J36" s="9">
        <f t="shared" si="6"/>
        <v>0.1489068364479</v>
      </c>
      <c r="K36" s="9">
        <f t="shared" si="2"/>
        <v>0.135775220873885</v>
      </c>
      <c r="L36" s="9">
        <f t="shared" si="3"/>
        <v>0.130210170331561</v>
      </c>
    </row>
    <row r="37" s="3" customFormat="1" spans="1:12">
      <c r="A37" s="4">
        <v>46210</v>
      </c>
      <c r="B37" s="8">
        <v>0.133227751817688</v>
      </c>
      <c r="C37" s="8">
        <v>0.0229209306722438</v>
      </c>
      <c r="D37" s="8">
        <v>-0.0247066665013067</v>
      </c>
      <c r="E37" s="8">
        <v>2.49999999999843</v>
      </c>
      <c r="F37" s="9">
        <f t="shared" si="4"/>
        <v>0.148317322379432</v>
      </c>
      <c r="G37" s="9">
        <f t="shared" si="5"/>
        <v>0.135799404144045</v>
      </c>
      <c r="H37" s="9">
        <f t="shared" si="0"/>
        <v>0.133242012965352</v>
      </c>
      <c r="I37" s="3" t="str">
        <f t="shared" si="1"/>
        <v>2026-07-01</v>
      </c>
      <c r="J37" s="9">
        <f t="shared" si="6"/>
        <v>0.1489068364479</v>
      </c>
      <c r="K37" s="9">
        <f t="shared" si="2"/>
        <v>0.135775220873885</v>
      </c>
      <c r="L37" s="9">
        <f t="shared" si="3"/>
        <v>0.130210170331561</v>
      </c>
    </row>
    <row r="38" s="3" customFormat="1" spans="1:12">
      <c r="A38" s="4">
        <v>46206</v>
      </c>
      <c r="B38" s="8">
        <v>0.110211972930635</v>
      </c>
      <c r="C38" s="8">
        <v>0.043281348026474</v>
      </c>
      <c r="D38" s="8">
        <v>0.0945419575144401</v>
      </c>
      <c r="E38" s="8">
        <v>1.50000000000004</v>
      </c>
      <c r="F38" s="9">
        <f t="shared" si="4"/>
        <v>0.162266205087693</v>
      </c>
      <c r="G38" s="9">
        <f t="shared" si="5"/>
        <v>0.146711263124014</v>
      </c>
      <c r="H38" s="9">
        <f t="shared" si="0"/>
        <v>0.130738841681408</v>
      </c>
      <c r="I38" s="3" t="str">
        <f t="shared" si="1"/>
        <v>2026-07-01</v>
      </c>
      <c r="J38" s="9">
        <f t="shared" si="6"/>
        <v>0.1489068364479</v>
      </c>
      <c r="K38" s="9">
        <f t="shared" si="2"/>
        <v>0.135775220873885</v>
      </c>
      <c r="L38" s="9">
        <f t="shared" si="3"/>
        <v>0.130210170331561</v>
      </c>
    </row>
    <row r="39" s="3" customFormat="1" spans="1:12">
      <c r="A39" s="4">
        <v>46205</v>
      </c>
      <c r="B39" s="8">
        <v>0.109874971896245</v>
      </c>
      <c r="C39" s="8">
        <v>0.0416436757426645</v>
      </c>
      <c r="D39" s="8">
        <v>0.0967141671409549</v>
      </c>
      <c r="E39" s="8">
        <v>1.50000000000006</v>
      </c>
      <c r="F39" s="9">
        <f t="shared" si="4"/>
        <v>0.16120409952522</v>
      </c>
      <c r="G39" s="9">
        <f t="shared" si="5"/>
        <v>0.146451411176189</v>
      </c>
      <c r="H39" s="9">
        <f t="shared" si="0"/>
        <v>0.130479154780486</v>
      </c>
      <c r="I39" s="3" t="str">
        <f t="shared" si="1"/>
        <v>2026-07-01</v>
      </c>
      <c r="J39" s="9">
        <f t="shared" si="6"/>
        <v>0.1489068364479</v>
      </c>
      <c r="K39" s="9">
        <f t="shared" si="2"/>
        <v>0.135775220873885</v>
      </c>
      <c r="L39" s="9">
        <f t="shared" si="3"/>
        <v>0.130210170331561</v>
      </c>
    </row>
    <row r="40" s="3" customFormat="1" spans="1:12">
      <c r="A40" s="4">
        <v>46204</v>
      </c>
      <c r="B40" s="8">
        <v>0.124064529093199</v>
      </c>
      <c r="C40" s="8">
        <v>0.026422304180737</v>
      </c>
      <c r="D40" s="8">
        <v>0.0689414003830438</v>
      </c>
      <c r="E40" s="8">
        <v>1.00000000000017</v>
      </c>
      <c r="F40" s="9">
        <f t="shared" si="4"/>
        <v>0.158983763467527</v>
      </c>
      <c r="G40" s="9">
        <f t="shared" si="5"/>
        <v>0.142544235386737</v>
      </c>
      <c r="H40" s="9">
        <f t="shared" si="0"/>
        <v>0.133597336664295</v>
      </c>
      <c r="I40" s="3" t="str">
        <f t="shared" si="1"/>
        <v>2026-07-01</v>
      </c>
      <c r="J40" s="9">
        <f t="shared" si="6"/>
        <v>0.1489068364479</v>
      </c>
      <c r="K40" s="9">
        <f t="shared" si="2"/>
        <v>0.135775220873885</v>
      </c>
      <c r="L40" s="9">
        <f t="shared" si="3"/>
        <v>0.130210170331561</v>
      </c>
    </row>
    <row r="41" s="3" customFormat="1" spans="1:12">
      <c r="A41" s="4">
        <v>46203</v>
      </c>
      <c r="B41" s="8">
        <v>0.12521602056186</v>
      </c>
      <c r="C41" s="8">
        <v>0.0300768638441752</v>
      </c>
      <c r="D41" s="8">
        <v>0.0591070392877949</v>
      </c>
      <c r="E41" s="8">
        <v>1.00000000000025</v>
      </c>
      <c r="F41" s="9">
        <f t="shared" si="4"/>
        <v>0.159846734665661</v>
      </c>
      <c r="G41" s="9">
        <f t="shared" si="5"/>
        <v>0.142534357807769</v>
      </c>
      <c r="H41" s="9">
        <f t="shared" si="0"/>
        <v>0.134131322525333</v>
      </c>
      <c r="I41" s="3" t="str">
        <f t="shared" si="1"/>
        <v>2026-06-01</v>
      </c>
      <c r="J41" s="9">
        <f t="shared" si="6"/>
        <v>0.164596735904588</v>
      </c>
      <c r="K41" s="9">
        <f t="shared" si="2"/>
        <v>0.144632365310194</v>
      </c>
      <c r="L41" s="9">
        <f t="shared" si="3"/>
        <v>0.135527518553001</v>
      </c>
    </row>
    <row r="42" s="3" customFormat="1" spans="1:12">
      <c r="A42" s="4">
        <v>46202</v>
      </c>
      <c r="B42" s="8">
        <v>0.12960240072096</v>
      </c>
      <c r="C42" s="8">
        <v>0.0259473000200052</v>
      </c>
      <c r="D42" s="8">
        <v>0.0282774770321409</v>
      </c>
      <c r="E42" s="8">
        <v>1.26153660639021</v>
      </c>
      <c r="F42" s="9">
        <f t="shared" si="4"/>
        <v>0.154247022292658</v>
      </c>
      <c r="G42" s="9">
        <f t="shared" si="5"/>
        <v>0.142486575081577</v>
      </c>
      <c r="H42" s="9">
        <f t="shared" si="0"/>
        <v>0.136430379838877</v>
      </c>
      <c r="I42" s="3" t="str">
        <f t="shared" si="1"/>
        <v>2026-06-01</v>
      </c>
      <c r="J42" s="9">
        <f t="shared" si="6"/>
        <v>0.164596735904588</v>
      </c>
      <c r="K42" s="9">
        <f t="shared" si="2"/>
        <v>0.144632365310194</v>
      </c>
      <c r="L42" s="9">
        <f t="shared" si="3"/>
        <v>0.135527518553001</v>
      </c>
    </row>
    <row r="43" s="3" customFormat="1" spans="1:12">
      <c r="A43" s="4">
        <v>46199</v>
      </c>
      <c r="B43" s="8">
        <v>0.129558237879496</v>
      </c>
      <c r="C43" s="8">
        <v>0.0250494803469431</v>
      </c>
      <c r="D43" s="8">
        <v>0.038594644763715</v>
      </c>
      <c r="E43" s="8">
        <v>1.00000000000028</v>
      </c>
      <c r="F43" s="9">
        <f t="shared" si="4"/>
        <v>0.155590821462714</v>
      </c>
      <c r="G43" s="9">
        <f t="shared" si="5"/>
        <v>0.141941248082404</v>
      </c>
      <c r="H43" s="9">
        <f t="shared" si="0"/>
        <v>0.135920609252521</v>
      </c>
      <c r="I43" s="3" t="str">
        <f t="shared" si="1"/>
        <v>2026-06-01</v>
      </c>
      <c r="J43" s="9">
        <f t="shared" si="6"/>
        <v>0.164596735904588</v>
      </c>
      <c r="K43" s="9">
        <f t="shared" si="2"/>
        <v>0.144632365310194</v>
      </c>
      <c r="L43" s="9">
        <f t="shared" si="3"/>
        <v>0.135527518553001</v>
      </c>
    </row>
    <row r="44" s="3" customFormat="1" spans="1:12">
      <c r="A44" s="4">
        <v>46198</v>
      </c>
      <c r="B44" s="8">
        <v>0.12903976184451</v>
      </c>
      <c r="C44" s="8">
        <v>0.0255679563819291</v>
      </c>
      <c r="D44" s="8">
        <v>0.0405928053754388</v>
      </c>
      <c r="E44" s="8">
        <v>1.00000000000056</v>
      </c>
      <c r="F44" s="9">
        <f t="shared" si="4"/>
        <v>0.155928080982004</v>
      </c>
      <c r="G44" s="9">
        <f t="shared" si="5"/>
        <v>0.141909244483598</v>
      </c>
      <c r="H44" s="9">
        <f t="shared" si="0"/>
        <v>0.135653694740344</v>
      </c>
      <c r="I44" s="3" t="str">
        <f t="shared" si="1"/>
        <v>2026-06-01</v>
      </c>
      <c r="J44" s="9">
        <f t="shared" si="6"/>
        <v>0.164596735904588</v>
      </c>
      <c r="K44" s="9">
        <f t="shared" si="2"/>
        <v>0.144632365310194</v>
      </c>
      <c r="L44" s="9">
        <f t="shared" si="3"/>
        <v>0.135527518553001</v>
      </c>
    </row>
    <row r="45" s="3" customFormat="1" spans="1:12">
      <c r="A45" s="4">
        <v>46197</v>
      </c>
      <c r="B45" s="8">
        <v>0.125297451888923</v>
      </c>
      <c r="C45" s="8">
        <v>0.0290532079410014</v>
      </c>
      <c r="D45" s="8">
        <v>0.0600143337011227</v>
      </c>
      <c r="E45" s="8">
        <v>1.00000000000041</v>
      </c>
      <c r="F45" s="9">
        <f t="shared" si="4"/>
        <v>0.159520836540984</v>
      </c>
      <c r="G45" s="9">
        <f t="shared" si="5"/>
        <v>0.142586560342706</v>
      </c>
      <c r="H45" s="9">
        <f t="shared" si="0"/>
        <v>0.134201077040591</v>
      </c>
      <c r="I45" s="3" t="str">
        <f t="shared" si="1"/>
        <v>2026-06-01</v>
      </c>
      <c r="J45" s="9">
        <f t="shared" si="6"/>
        <v>0.164596735904588</v>
      </c>
      <c r="K45" s="9">
        <f t="shared" si="2"/>
        <v>0.144632365310194</v>
      </c>
      <c r="L45" s="9">
        <f t="shared" si="3"/>
        <v>0.135527518553001</v>
      </c>
    </row>
    <row r="46" s="3" customFormat="1" spans="1:12">
      <c r="A46" s="4">
        <v>46196</v>
      </c>
      <c r="B46" s="8">
        <v>0.122503275443313</v>
      </c>
      <c r="C46" s="8">
        <v>0.0316759754043615</v>
      </c>
      <c r="D46" s="8">
        <v>0.0908312134822446</v>
      </c>
      <c r="E46" s="8">
        <v>1.00000000000015</v>
      </c>
      <c r="F46" s="9">
        <f t="shared" si="4"/>
        <v>0.166527652086058</v>
      </c>
      <c r="G46" s="9">
        <f t="shared" si="5"/>
        <v>0.146227607929186</v>
      </c>
      <c r="H46" s="9">
        <f t="shared" si="0"/>
        <v>0.134749314419486</v>
      </c>
      <c r="I46" s="3" t="str">
        <f t="shared" si="1"/>
        <v>2026-06-01</v>
      </c>
      <c r="J46" s="9">
        <f t="shared" si="6"/>
        <v>0.164596735904588</v>
      </c>
      <c r="K46" s="9">
        <f t="shared" si="2"/>
        <v>0.144632365310194</v>
      </c>
      <c r="L46" s="9">
        <f t="shared" si="3"/>
        <v>0.135527518553001</v>
      </c>
    </row>
    <row r="47" s="3" customFormat="1" spans="1:12">
      <c r="A47" s="4">
        <v>46195</v>
      </c>
      <c r="B47" s="8">
        <v>0.122254079735865</v>
      </c>
      <c r="C47" s="8">
        <v>0.0312392412212439</v>
      </c>
      <c r="D47" s="8">
        <v>0.0930232311744018</v>
      </c>
      <c r="E47" s="8">
        <v>1.00000000000014</v>
      </c>
      <c r="F47" s="9">
        <f t="shared" si="4"/>
        <v>0.166581608927617</v>
      </c>
      <c r="G47" s="9">
        <f t="shared" si="5"/>
        <v>0.146312333823064</v>
      </c>
      <c r="H47" s="9">
        <f t="shared" si="0"/>
        <v>0.134675539576517</v>
      </c>
      <c r="I47" s="3" t="str">
        <f t="shared" si="1"/>
        <v>2026-06-01</v>
      </c>
      <c r="J47" s="9">
        <f t="shared" si="6"/>
        <v>0.164596735904588</v>
      </c>
      <c r="K47" s="9">
        <f t="shared" si="2"/>
        <v>0.144632365310194</v>
      </c>
      <c r="L47" s="9">
        <f t="shared" si="3"/>
        <v>0.135527518553001</v>
      </c>
    </row>
    <row r="48" s="3" customFormat="1" spans="1:12">
      <c r="A48" s="4">
        <v>46192</v>
      </c>
      <c r="B48" s="8">
        <v>0.122245012026974</v>
      </c>
      <c r="C48" s="8">
        <v>0.0304760749906898</v>
      </c>
      <c r="D48" s="8">
        <v>0.0938019605729958</v>
      </c>
      <c r="E48" s="8">
        <v>1.00000000000018</v>
      </c>
      <c r="F48" s="9">
        <f t="shared" si="4"/>
        <v>0.166295900481227</v>
      </c>
      <c r="G48" s="9">
        <f t="shared" si="5"/>
        <v>0.146301110737608</v>
      </c>
      <c r="H48" s="9">
        <f t="shared" si="0"/>
        <v>0.134667992759515</v>
      </c>
      <c r="I48" s="3" t="str">
        <f t="shared" si="1"/>
        <v>2026-06-01</v>
      </c>
      <c r="J48" s="9">
        <f t="shared" si="6"/>
        <v>0.164596735904588</v>
      </c>
      <c r="K48" s="9">
        <f t="shared" si="2"/>
        <v>0.144632365310194</v>
      </c>
      <c r="L48" s="9">
        <f t="shared" si="3"/>
        <v>0.135527518553001</v>
      </c>
    </row>
    <row r="49" s="3" customFormat="1" spans="1:12">
      <c r="A49" s="4">
        <v>46191</v>
      </c>
      <c r="B49" s="8">
        <v>0.124996310583856</v>
      </c>
      <c r="C49" s="8">
        <v>0.0289257716884002</v>
      </c>
      <c r="D49" s="8">
        <v>0.07276684882323</v>
      </c>
      <c r="E49" s="8">
        <v>1.00000000000012</v>
      </c>
      <c r="F49" s="9">
        <f t="shared" si="4"/>
        <v>0.162508879009512</v>
      </c>
      <c r="G49" s="9">
        <f t="shared" si="5"/>
        <v>0.144707495618082</v>
      </c>
      <c r="H49" s="9">
        <f t="shared" si="0"/>
        <v>0.135161807341412</v>
      </c>
      <c r="I49" s="3" t="str">
        <f t="shared" si="1"/>
        <v>2026-06-01</v>
      </c>
      <c r="J49" s="9">
        <f t="shared" si="6"/>
        <v>0.164596735904588</v>
      </c>
      <c r="K49" s="9">
        <f t="shared" si="2"/>
        <v>0.144632365310194</v>
      </c>
      <c r="L49" s="9">
        <f t="shared" si="3"/>
        <v>0.135527518553001</v>
      </c>
    </row>
    <row r="50" s="3" customFormat="1" spans="1:12">
      <c r="A50" s="4">
        <v>46190</v>
      </c>
      <c r="B50" s="8">
        <v>0.123858707570823</v>
      </c>
      <c r="C50" s="8">
        <v>0.0322899749191084</v>
      </c>
      <c r="D50" s="8">
        <v>0.0863838725111244</v>
      </c>
      <c r="E50" s="8">
        <v>1.00000000000005</v>
      </c>
      <c r="F50" s="9">
        <f t="shared" si="4"/>
        <v>0.167096035581139</v>
      </c>
      <c r="G50" s="9">
        <f t="shared" si="5"/>
        <v>0.146851503483482</v>
      </c>
      <c r="H50" s="9">
        <f t="shared" si="0"/>
        <v>0.135721631713668</v>
      </c>
      <c r="I50" s="3" t="str">
        <f t="shared" si="1"/>
        <v>2026-06-01</v>
      </c>
      <c r="J50" s="9">
        <f t="shared" si="6"/>
        <v>0.164596735904588</v>
      </c>
      <c r="K50" s="9">
        <f t="shared" si="2"/>
        <v>0.144632365310194</v>
      </c>
      <c r="L50" s="9">
        <f t="shared" si="3"/>
        <v>0.135527518553001</v>
      </c>
    </row>
    <row r="51" s="3" customFormat="1" spans="1:12">
      <c r="A51" s="4">
        <v>46189</v>
      </c>
      <c r="B51" s="8">
        <v>0.12295862153037</v>
      </c>
      <c r="C51" s="8">
        <v>0.0330189599239823</v>
      </c>
      <c r="D51" s="8">
        <v>0.0935007759932694</v>
      </c>
      <c r="E51" s="8">
        <v>1.00000000000002</v>
      </c>
      <c r="F51" s="9">
        <f t="shared" si="4"/>
        <v>0.168537334479725</v>
      </c>
      <c r="G51" s="9">
        <f t="shared" si="5"/>
        <v>0.147462068785815</v>
      </c>
      <c r="H51" s="9">
        <f t="shared" si="0"/>
        <v>0.135605775794721</v>
      </c>
      <c r="I51" s="3" t="str">
        <f t="shared" si="1"/>
        <v>2026-06-01</v>
      </c>
      <c r="J51" s="9">
        <f t="shared" si="6"/>
        <v>0.164596735904588</v>
      </c>
      <c r="K51" s="9">
        <f t="shared" si="2"/>
        <v>0.144632365310194</v>
      </c>
      <c r="L51" s="9">
        <f t="shared" si="3"/>
        <v>0.135527518553001</v>
      </c>
    </row>
    <row r="52" s="3" customFormat="1" spans="1:12">
      <c r="A52" s="4">
        <v>46188</v>
      </c>
      <c r="B52" s="8">
        <v>0.12254053903566</v>
      </c>
      <c r="C52" s="8">
        <v>0.0360004890928908</v>
      </c>
      <c r="D52" s="8">
        <v>0.0920201839312611</v>
      </c>
      <c r="E52" s="8">
        <v>1.00000000000013</v>
      </c>
      <c r="F52" s="9">
        <f t="shared" si="4"/>
        <v>0.16961270456817</v>
      </c>
      <c r="G52" s="9">
        <f t="shared" si="5"/>
        <v>0.147352127216394</v>
      </c>
      <c r="H52" s="9">
        <f t="shared" si="0"/>
        <v>0.135337847415234</v>
      </c>
      <c r="I52" s="3" t="str">
        <f t="shared" si="1"/>
        <v>2026-06-01</v>
      </c>
      <c r="J52" s="9">
        <f t="shared" si="6"/>
        <v>0.164596735904588</v>
      </c>
      <c r="K52" s="9">
        <f t="shared" si="2"/>
        <v>0.144632365310194</v>
      </c>
      <c r="L52" s="9">
        <f t="shared" si="3"/>
        <v>0.135527518553001</v>
      </c>
    </row>
    <row r="53" s="3" customFormat="1" spans="1:12">
      <c r="A53" s="4">
        <v>46185</v>
      </c>
      <c r="B53" s="8">
        <v>0.12257021693061</v>
      </c>
      <c r="C53" s="8">
        <v>0.0353732611353448</v>
      </c>
      <c r="D53" s="8">
        <v>0.0929512534566408</v>
      </c>
      <c r="E53" s="8">
        <v>1.00000000000007</v>
      </c>
      <c r="F53" s="9">
        <f t="shared" si="4"/>
        <v>0.169491925628085</v>
      </c>
      <c r="G53" s="9">
        <f t="shared" si="5"/>
        <v>0.147435890474118</v>
      </c>
      <c r="H53" s="9">
        <f t="shared" si="0"/>
        <v>0.135397865817036</v>
      </c>
      <c r="I53" s="3" t="str">
        <f t="shared" si="1"/>
        <v>2026-06-01</v>
      </c>
      <c r="J53" s="9">
        <f t="shared" si="6"/>
        <v>0.164596735904588</v>
      </c>
      <c r="K53" s="9">
        <f t="shared" si="2"/>
        <v>0.144632365310194</v>
      </c>
      <c r="L53" s="9">
        <f t="shared" si="3"/>
        <v>0.135527518553001</v>
      </c>
    </row>
    <row r="54" s="3" customFormat="1" spans="1:12">
      <c r="A54" s="4">
        <v>46184</v>
      </c>
      <c r="B54" s="8">
        <v>0.122500003517072</v>
      </c>
      <c r="C54" s="8">
        <v>0.0331352880143765</v>
      </c>
      <c r="D54" s="8">
        <v>0.0964495623040622</v>
      </c>
      <c r="E54" s="8">
        <v>1.00000000000003</v>
      </c>
      <c r="F54" s="9">
        <f t="shared" si="4"/>
        <v>0.16893144043443</v>
      </c>
      <c r="G54" s="9">
        <f t="shared" si="5"/>
        <v>0.147592474371205</v>
      </c>
      <c r="H54" s="9">
        <f t="shared" si="0"/>
        <v>0.135453521431252</v>
      </c>
      <c r="I54" s="3" t="str">
        <f t="shared" si="1"/>
        <v>2026-06-01</v>
      </c>
      <c r="J54" s="9">
        <f t="shared" si="6"/>
        <v>0.164596735904588</v>
      </c>
      <c r="K54" s="9">
        <f t="shared" si="2"/>
        <v>0.144632365310194</v>
      </c>
      <c r="L54" s="9">
        <f t="shared" si="3"/>
        <v>0.135527518553001</v>
      </c>
    </row>
    <row r="55" s="3" customFormat="1" spans="1:12">
      <c r="A55" s="4">
        <v>46183</v>
      </c>
      <c r="B55" s="8">
        <v>0.122350162551213</v>
      </c>
      <c r="C55" s="8">
        <v>0.0306284020458675</v>
      </c>
      <c r="D55" s="8">
        <v>0.1017978591773</v>
      </c>
      <c r="E55" s="8">
        <v>1.00000000000014</v>
      </c>
      <c r="F55" s="9">
        <f t="shared" si="4"/>
        <v>0.168610185252584</v>
      </c>
      <c r="G55" s="9">
        <f t="shared" si="5"/>
        <v>0.147971049990211</v>
      </c>
      <c r="H55" s="9">
        <f t="shared" si="0"/>
        <v>0.135587565843579</v>
      </c>
      <c r="I55" s="3" t="str">
        <f t="shared" si="1"/>
        <v>2026-06-01</v>
      </c>
      <c r="J55" s="9">
        <f t="shared" si="6"/>
        <v>0.164596735904588</v>
      </c>
      <c r="K55" s="9">
        <f t="shared" si="2"/>
        <v>0.144632365310194</v>
      </c>
      <c r="L55" s="9">
        <f t="shared" si="3"/>
        <v>0.135527518553001</v>
      </c>
    </row>
    <row r="56" s="3" customFormat="1" spans="1:12">
      <c r="A56" s="4">
        <v>46182</v>
      </c>
      <c r="B56" s="8">
        <v>0.125211739497577</v>
      </c>
      <c r="C56" s="8">
        <v>0.0280242364012815</v>
      </c>
      <c r="D56" s="8">
        <v>0.0858573977787864</v>
      </c>
      <c r="E56" s="8">
        <v>1.00000000000004</v>
      </c>
      <c r="F56" s="9">
        <f t="shared" si="4"/>
        <v>0.165613490220496</v>
      </c>
      <c r="G56" s="9">
        <f t="shared" si="5"/>
        <v>0.147256098054823</v>
      </c>
      <c r="H56" s="9">
        <f t="shared" si="0"/>
        <v>0.136595487973936</v>
      </c>
      <c r="I56" s="3" t="str">
        <f t="shared" si="1"/>
        <v>2026-06-01</v>
      </c>
      <c r="J56" s="9">
        <f t="shared" si="6"/>
        <v>0.164596735904588</v>
      </c>
      <c r="K56" s="9">
        <f t="shared" si="2"/>
        <v>0.144632365310194</v>
      </c>
      <c r="L56" s="9">
        <f t="shared" si="3"/>
        <v>0.135527518553001</v>
      </c>
    </row>
    <row r="57" s="3" customFormat="1" spans="1:12">
      <c r="A57" s="4">
        <v>46181</v>
      </c>
      <c r="B57" s="8">
        <v>0.130411848792735</v>
      </c>
      <c r="C57" s="8">
        <v>0.0333213431898664</v>
      </c>
      <c r="D57" s="8">
        <v>0.0473222665323592</v>
      </c>
      <c r="E57" s="8">
        <v>1.0000000000001</v>
      </c>
      <c r="F57" s="9">
        <f t="shared" si="4"/>
        <v>0.163979443469411</v>
      </c>
      <c r="G57" s="9">
        <f t="shared" si="5"/>
        <v>0.146113041339786</v>
      </c>
      <c r="H57" s="9">
        <f t="shared" si="0"/>
        <v>0.13847369521596</v>
      </c>
      <c r="I57" s="3" t="str">
        <f t="shared" si="1"/>
        <v>2026-06-01</v>
      </c>
      <c r="J57" s="9">
        <f t="shared" si="6"/>
        <v>0.164596735904588</v>
      </c>
      <c r="K57" s="9">
        <f t="shared" si="2"/>
        <v>0.144632365310194</v>
      </c>
      <c r="L57" s="9">
        <f t="shared" si="3"/>
        <v>0.135527518553001</v>
      </c>
    </row>
    <row r="58" s="3" customFormat="1" spans="1:12">
      <c r="A58" s="4">
        <v>46178</v>
      </c>
      <c r="B58" s="8">
        <v>0.127697082258339</v>
      </c>
      <c r="C58" s="8">
        <v>0.0380715611945476</v>
      </c>
      <c r="D58" s="8">
        <v>0.060595148992004</v>
      </c>
      <c r="E58" s="8">
        <v>0.724537988923044</v>
      </c>
      <c r="F58" s="9">
        <f t="shared" si="4"/>
        <v>0.165961938896347</v>
      </c>
      <c r="G58" s="9">
        <f t="shared" si="5"/>
        <v>0.141919234058699</v>
      </c>
      <c r="H58" s="9">
        <f t="shared" si="0"/>
        <v>0.134845791563215</v>
      </c>
      <c r="I58" s="3" t="str">
        <f t="shared" si="1"/>
        <v>2026-06-01</v>
      </c>
      <c r="J58" s="9">
        <f t="shared" si="6"/>
        <v>0.164596735904588</v>
      </c>
      <c r="K58" s="9">
        <f t="shared" si="2"/>
        <v>0.144632365310194</v>
      </c>
      <c r="L58" s="9">
        <f t="shared" si="3"/>
        <v>0.135527518553001</v>
      </c>
    </row>
    <row r="59" s="3" customFormat="1" spans="1:12">
      <c r="A59" s="4">
        <v>46177</v>
      </c>
      <c r="B59" s="8">
        <v>0.12915258948773</v>
      </c>
      <c r="C59" s="8">
        <v>0.0378861104417075</v>
      </c>
      <c r="D59" s="8">
        <v>0.0624849833555791</v>
      </c>
      <c r="E59" s="8">
        <v>0.639524825671976</v>
      </c>
      <c r="F59" s="9">
        <f t="shared" si="4"/>
        <v>0.166820725741636</v>
      </c>
      <c r="G59" s="9">
        <f t="shared" si="5"/>
        <v>0.141960248086387</v>
      </c>
      <c r="H59" s="9">
        <f t="shared" si="0"/>
        <v>0.135571558962097</v>
      </c>
      <c r="I59" s="3" t="str">
        <f t="shared" si="1"/>
        <v>2026-06-01</v>
      </c>
      <c r="J59" s="9">
        <f t="shared" si="6"/>
        <v>0.164596735904588</v>
      </c>
      <c r="K59" s="9">
        <f t="shared" si="2"/>
        <v>0.144632365310194</v>
      </c>
      <c r="L59" s="9">
        <f t="shared" si="3"/>
        <v>0.135527518553001</v>
      </c>
    </row>
    <row r="60" s="3" customFormat="1" spans="1:12">
      <c r="A60" s="4">
        <v>46176</v>
      </c>
      <c r="B60" s="8">
        <v>0.127042734093624</v>
      </c>
      <c r="C60" s="8">
        <v>0.0402497836805706</v>
      </c>
      <c r="D60" s="8">
        <v>0.0713032451173757</v>
      </c>
      <c r="E60" s="8">
        <v>0.689852048233131</v>
      </c>
      <c r="F60" s="9">
        <f t="shared" si="4"/>
        <v>0.169206426031902</v>
      </c>
      <c r="G60" s="9">
        <f t="shared" si="5"/>
        <v>0.142372055609275</v>
      </c>
      <c r="H60" s="9">
        <f t="shared" si="0"/>
        <v>0.134738202625858</v>
      </c>
      <c r="I60" s="3" t="str">
        <f t="shared" si="1"/>
        <v>2026-06-01</v>
      </c>
      <c r="J60" s="9">
        <f t="shared" si="6"/>
        <v>0.164596735904588</v>
      </c>
      <c r="K60" s="9">
        <f t="shared" si="2"/>
        <v>0.144632365310194</v>
      </c>
      <c r="L60" s="9">
        <f t="shared" si="3"/>
        <v>0.135527518553001</v>
      </c>
    </row>
    <row r="61" s="3" customFormat="1" spans="1:12">
      <c r="A61" s="4">
        <v>46175</v>
      </c>
      <c r="B61" s="8">
        <v>0.131421007266197</v>
      </c>
      <c r="C61" s="8">
        <v>0.0380685707123791</v>
      </c>
      <c r="D61" s="8">
        <v>0.0539514962130012</v>
      </c>
      <c r="E61" s="8">
        <v>0.536862475744424</v>
      </c>
      <c r="F61" s="9">
        <f t="shared" si="4"/>
        <v>0.164776770889788</v>
      </c>
      <c r="G61" s="9">
        <f t="shared" si="5"/>
        <v>0.141295673188694</v>
      </c>
      <c r="H61" s="9">
        <f t="shared" si="0"/>
        <v>0.13636121888172</v>
      </c>
      <c r="I61" s="3" t="str">
        <f t="shared" si="1"/>
        <v>2026-06-01</v>
      </c>
      <c r="J61" s="9">
        <f t="shared" si="6"/>
        <v>0.164596735904588</v>
      </c>
      <c r="K61" s="9">
        <f t="shared" si="2"/>
        <v>0.144632365310194</v>
      </c>
      <c r="L61" s="9">
        <f t="shared" si="3"/>
        <v>0.135527518553001</v>
      </c>
    </row>
    <row r="62" s="3" customFormat="1" spans="1:12">
      <c r="A62" s="4">
        <v>46174</v>
      </c>
      <c r="B62" s="8">
        <v>0.131317497469352</v>
      </c>
      <c r="C62" s="8">
        <v>0.0401958606079992</v>
      </c>
      <c r="D62" s="8">
        <v>0.053494546591891</v>
      </c>
      <c r="E62" s="8">
        <v>0.53431408283951</v>
      </c>
      <c r="F62" s="9">
        <f t="shared" si="4"/>
        <v>0.165442232258779</v>
      </c>
      <c r="G62" s="9">
        <f t="shared" si="5"/>
        <v>0.141324038259383</v>
      </c>
      <c r="H62" s="9">
        <f t="shared" si="0"/>
        <v>0.136323507433142</v>
      </c>
      <c r="I62" s="3" t="str">
        <f t="shared" si="1"/>
        <v>2026-06-01</v>
      </c>
      <c r="J62" s="9">
        <f t="shared" si="6"/>
        <v>0.164596735904588</v>
      </c>
      <c r="K62" s="9">
        <f t="shared" si="2"/>
        <v>0.144632365310194</v>
      </c>
      <c r="L62" s="9">
        <f t="shared" si="3"/>
        <v>0.135527518553001</v>
      </c>
    </row>
    <row r="63" s="3" customFormat="1" spans="1:12">
      <c r="A63" s="4">
        <v>46171</v>
      </c>
      <c r="B63" s="8">
        <v>0.130671210570444</v>
      </c>
      <c r="C63" s="8">
        <v>0.0383962305450952</v>
      </c>
      <c r="D63" s="8">
        <v>0.0544365000288354</v>
      </c>
      <c r="E63" s="8">
        <v>0.567330822166645</v>
      </c>
      <c r="F63" s="9">
        <f t="shared" si="4"/>
        <v>0.164960077343774</v>
      </c>
      <c r="G63" s="9">
        <f t="shared" si="5"/>
        <v>0.141194919753229</v>
      </c>
      <c r="H63" s="9">
        <f t="shared" si="0"/>
        <v>0.135937896185351</v>
      </c>
      <c r="I63" s="3" t="str">
        <f t="shared" si="1"/>
        <v>2026-05-01</v>
      </c>
      <c r="J63" s="9">
        <f t="shared" si="6"/>
        <v>0.166014520206024</v>
      </c>
      <c r="K63" s="9">
        <f t="shared" si="2"/>
        <v>0.140982951198773</v>
      </c>
      <c r="L63" s="9">
        <f t="shared" si="3"/>
        <v>0.136321266876594</v>
      </c>
    </row>
    <row r="64" s="3" customFormat="1" spans="1:12">
      <c r="A64" s="4">
        <v>46170</v>
      </c>
      <c r="B64" s="8">
        <v>0.130850758311822</v>
      </c>
      <c r="C64" s="8">
        <v>0.0356801125758086</v>
      </c>
      <c r="D64" s="8">
        <v>0.0560338467679322</v>
      </c>
      <c r="E64" s="8">
        <v>0.565000540349391</v>
      </c>
      <c r="F64" s="9">
        <f t="shared" si="4"/>
        <v>0.164296736217709</v>
      </c>
      <c r="G64" s="9">
        <f t="shared" si="5"/>
        <v>0.141204921141443</v>
      </c>
      <c r="H64" s="9">
        <f t="shared" si="0"/>
        <v>0.136032600710874</v>
      </c>
      <c r="I64" s="3" t="str">
        <f t="shared" si="1"/>
        <v>2026-05-01</v>
      </c>
      <c r="J64" s="9">
        <f t="shared" si="6"/>
        <v>0.166014520206024</v>
      </c>
      <c r="K64" s="9">
        <f t="shared" si="2"/>
        <v>0.140982951198773</v>
      </c>
      <c r="L64" s="9">
        <f t="shared" si="3"/>
        <v>0.136321266876594</v>
      </c>
    </row>
    <row r="65" s="3" customFormat="1" spans="1:12">
      <c r="A65" s="4">
        <v>46168</v>
      </c>
      <c r="B65" s="8">
        <v>0.130689486193262</v>
      </c>
      <c r="C65" s="8">
        <v>0.0324492511839185</v>
      </c>
      <c r="D65" s="8">
        <v>0.0558169088875643</v>
      </c>
      <c r="E65" s="8">
        <v>0.568127376680387</v>
      </c>
      <c r="F65" s="9">
        <f t="shared" si="4"/>
        <v>0.162608535717856</v>
      </c>
      <c r="G65" s="9">
        <f t="shared" si="5"/>
        <v>0.14070885375438</v>
      </c>
      <c r="H65" s="9">
        <f t="shared" si="0"/>
        <v>0.135704127010577</v>
      </c>
      <c r="I65" s="3" t="str">
        <f t="shared" si="1"/>
        <v>2026-05-01</v>
      </c>
      <c r="J65" s="9">
        <f t="shared" si="6"/>
        <v>0.166014520206024</v>
      </c>
      <c r="K65" s="9">
        <f t="shared" si="2"/>
        <v>0.140982951198773</v>
      </c>
      <c r="L65" s="9">
        <f t="shared" si="3"/>
        <v>0.136321266876594</v>
      </c>
    </row>
    <row r="66" s="3" customFormat="1" spans="1:12">
      <c r="A66" s="4">
        <v>46167</v>
      </c>
      <c r="B66" s="8">
        <v>0.131105332569792</v>
      </c>
      <c r="C66" s="8">
        <v>0.0308434344162257</v>
      </c>
      <c r="D66" s="8">
        <v>0.0839744293124915</v>
      </c>
      <c r="E66" s="8">
        <v>0.415962183586354</v>
      </c>
      <c r="F66" s="9">
        <f t="shared" si="4"/>
        <v>0.166963031347335</v>
      </c>
      <c r="G66" s="9">
        <f t="shared" si="5"/>
        <v>0.140656747346878</v>
      </c>
      <c r="H66" s="9">
        <f t="shared" si="0"/>
        <v>0.135881321497707</v>
      </c>
      <c r="I66" s="3" t="str">
        <f t="shared" si="1"/>
        <v>2026-05-01</v>
      </c>
      <c r="J66" s="9">
        <f t="shared" si="6"/>
        <v>0.166014520206024</v>
      </c>
      <c r="K66" s="9">
        <f t="shared" si="2"/>
        <v>0.140982951198773</v>
      </c>
      <c r="L66" s="9">
        <f t="shared" si="3"/>
        <v>0.136321266876594</v>
      </c>
    </row>
    <row r="67" s="3" customFormat="1" spans="1:12">
      <c r="A67" s="4">
        <v>46164</v>
      </c>
      <c r="B67" s="8">
        <v>0.13028930355742</v>
      </c>
      <c r="C67" s="8">
        <v>0.0305532215594106</v>
      </c>
      <c r="D67" s="8">
        <v>0.0820610361907964</v>
      </c>
      <c r="E67" s="8">
        <v>0.453714784640564</v>
      </c>
      <c r="F67" s="9">
        <f t="shared" si="4"/>
        <v>0.166689282203614</v>
      </c>
      <c r="G67" s="9">
        <f t="shared" si="5"/>
        <v>0.140506743793658</v>
      </c>
      <c r="H67" s="9">
        <f t="shared" si="0"/>
        <v>0.135398778904323</v>
      </c>
      <c r="I67" s="3" t="str">
        <f t="shared" si="1"/>
        <v>2026-05-01</v>
      </c>
      <c r="J67" s="9">
        <f t="shared" si="6"/>
        <v>0.166014520206024</v>
      </c>
      <c r="K67" s="9">
        <f t="shared" si="2"/>
        <v>0.140982951198773</v>
      </c>
      <c r="L67" s="9">
        <f t="shared" si="3"/>
        <v>0.136321266876594</v>
      </c>
    </row>
    <row r="68" s="3" customFormat="1" spans="1:12">
      <c r="A68" s="4">
        <v>46163</v>
      </c>
      <c r="B68" s="8">
        <v>0.130939511535551</v>
      </c>
      <c r="C68" s="8">
        <v>0.0301584088067775</v>
      </c>
      <c r="D68" s="8">
        <v>0.0799186863136012</v>
      </c>
      <c r="E68" s="8">
        <v>0.439191070180853</v>
      </c>
      <c r="F68" s="9">
        <f t="shared" si="4"/>
        <v>0.166124494209983</v>
      </c>
      <c r="G68" s="9">
        <f t="shared" si="5"/>
        <v>0.140607468400515</v>
      </c>
      <c r="H68" s="9">
        <f t="shared" si="0"/>
        <v>0.135773999245427</v>
      </c>
      <c r="I68" s="3" t="str">
        <f t="shared" si="1"/>
        <v>2026-05-01</v>
      </c>
      <c r="J68" s="9">
        <f t="shared" si="6"/>
        <v>0.166014520206024</v>
      </c>
      <c r="K68" s="9">
        <f t="shared" si="2"/>
        <v>0.140982951198773</v>
      </c>
      <c r="L68" s="9">
        <f t="shared" si="3"/>
        <v>0.136321266876594</v>
      </c>
    </row>
    <row r="69" s="3" customFormat="1" spans="1:12">
      <c r="A69" s="4">
        <v>46162</v>
      </c>
      <c r="B69" s="8">
        <v>0.12990639917048</v>
      </c>
      <c r="C69" s="8">
        <v>0.0323825038732388</v>
      </c>
      <c r="D69" s="8">
        <v>0.0783749654026928</v>
      </c>
      <c r="E69" s="8">
        <v>0.480733369711144</v>
      </c>
      <c r="F69" s="9">
        <f t="shared" ref="F69:F132" si="7">B69+(C69+D69)*(E69/$F$3)*(1-EXP(-$F$3/E69))-D69*EXP(-$F$3/E69)</f>
        <v>0.166710475103972</v>
      </c>
      <c r="G69" s="9">
        <f t="shared" ref="G69:G132" si="8">B69+(C69+D69)*(E69/$G$3)*(1-EXP(-$G$3/E69))-D69*EXP(-$G$3/E69)</f>
        <v>0.140552654337461</v>
      </c>
      <c r="H69" s="9">
        <f t="shared" ref="H69:H132" si="9">B69+(C69+D69)*(E69/$H$3)*(1-EXP(-$H$3/E69))-D69*EXP(-$H$3/E69)</f>
        <v>0.135230880235653</v>
      </c>
      <c r="I69" s="3" t="str">
        <f t="shared" ref="I69:I132" si="10">TEXT(A69,"yyyy-mm-01")</f>
        <v>2026-05-01</v>
      </c>
      <c r="J69" s="9">
        <f t="shared" ref="J69:J132" si="11">AVERAGEIF($I:$I,I69,$F:$F)</f>
        <v>0.166014520206024</v>
      </c>
      <c r="K69" s="9">
        <f t="shared" ref="K69:K132" si="12">AVERAGEIF($I:$I,I69,$G:$G)</f>
        <v>0.140982951198773</v>
      </c>
      <c r="L69" s="9">
        <f t="shared" ref="L69:L132" si="13">AVERAGEIF($I:$I,I69,$H:$H)</f>
        <v>0.136321266876594</v>
      </c>
    </row>
    <row r="70" s="3" customFormat="1" spans="1:12">
      <c r="A70" s="4">
        <v>46161</v>
      </c>
      <c r="B70" s="8">
        <v>0.132284168118432</v>
      </c>
      <c r="C70" s="8">
        <v>0.0299197117564218</v>
      </c>
      <c r="D70" s="8">
        <v>0.0868201725313925</v>
      </c>
      <c r="E70" s="8">
        <v>0.3790029287293</v>
      </c>
      <c r="F70" s="9">
        <f t="shared" si="7"/>
        <v>0.167161945449088</v>
      </c>
      <c r="G70" s="9">
        <f t="shared" si="8"/>
        <v>0.141132941350942</v>
      </c>
      <c r="H70" s="9">
        <f t="shared" si="9"/>
        <v>0.136708643922575</v>
      </c>
      <c r="I70" s="3" t="str">
        <f t="shared" si="10"/>
        <v>2026-05-01</v>
      </c>
      <c r="J70" s="9">
        <f t="shared" si="11"/>
        <v>0.166014520206024</v>
      </c>
      <c r="K70" s="9">
        <f t="shared" si="12"/>
        <v>0.140982951198773</v>
      </c>
      <c r="L70" s="9">
        <f t="shared" si="13"/>
        <v>0.136321266876594</v>
      </c>
    </row>
    <row r="71" s="3" customFormat="1" spans="1:12">
      <c r="A71" s="4">
        <v>46160</v>
      </c>
      <c r="B71" s="8">
        <v>0.132372511598512</v>
      </c>
      <c r="C71" s="8">
        <v>0.0290658342790183</v>
      </c>
      <c r="D71" s="8">
        <v>0.0896587515470231</v>
      </c>
      <c r="E71" s="8">
        <v>0.370152003845716</v>
      </c>
      <c r="F71" s="9">
        <f t="shared" si="7"/>
        <v>0.167353960104563</v>
      </c>
      <c r="G71" s="9">
        <f t="shared" si="8"/>
        <v>0.14116160637085</v>
      </c>
      <c r="H71" s="9">
        <f t="shared" si="9"/>
        <v>0.136767125933264</v>
      </c>
      <c r="I71" s="3" t="str">
        <f t="shared" si="10"/>
        <v>2026-05-01</v>
      </c>
      <c r="J71" s="9">
        <f t="shared" si="11"/>
        <v>0.166014520206024</v>
      </c>
      <c r="K71" s="9">
        <f t="shared" si="12"/>
        <v>0.140982951198773</v>
      </c>
      <c r="L71" s="9">
        <f t="shared" si="13"/>
        <v>0.136321266876594</v>
      </c>
    </row>
    <row r="72" s="3" customFormat="1" spans="1:12">
      <c r="A72" s="4">
        <v>46157</v>
      </c>
      <c r="B72" s="8">
        <v>0.131976254130213</v>
      </c>
      <c r="C72" s="8">
        <v>0.0303976648540451</v>
      </c>
      <c r="D72" s="8">
        <v>0.0860296599924107</v>
      </c>
      <c r="E72" s="8">
        <v>0.390811593008234</v>
      </c>
      <c r="F72" s="9">
        <f t="shared" si="7"/>
        <v>0.167297011822486</v>
      </c>
      <c r="G72" s="9">
        <f t="shared" si="8"/>
        <v>0.141076219546856</v>
      </c>
      <c r="H72" s="9">
        <f t="shared" si="9"/>
        <v>0.136526368958808</v>
      </c>
      <c r="I72" s="3" t="str">
        <f t="shared" si="10"/>
        <v>2026-05-01</v>
      </c>
      <c r="J72" s="9">
        <f t="shared" si="11"/>
        <v>0.166014520206024</v>
      </c>
      <c r="K72" s="9">
        <f t="shared" si="12"/>
        <v>0.140982951198773</v>
      </c>
      <c r="L72" s="9">
        <f t="shared" si="13"/>
        <v>0.136321266876594</v>
      </c>
    </row>
    <row r="73" s="3" customFormat="1" spans="1:12">
      <c r="A73" s="4">
        <v>46156</v>
      </c>
      <c r="B73" s="8">
        <v>0.132413999456516</v>
      </c>
      <c r="C73" s="8">
        <v>0.0300449282411866</v>
      </c>
      <c r="D73" s="8">
        <v>0.0917033851050122</v>
      </c>
      <c r="E73" s="8">
        <v>0.352903139679268</v>
      </c>
      <c r="F73" s="9">
        <f t="shared" si="7"/>
        <v>0.167461039436725</v>
      </c>
      <c r="G73" s="9">
        <f t="shared" si="8"/>
        <v>0.141007001374279</v>
      </c>
      <c r="H73" s="9">
        <f t="shared" si="9"/>
        <v>0.136710535659522</v>
      </c>
      <c r="I73" s="3" t="str">
        <f t="shared" si="10"/>
        <v>2026-05-01</v>
      </c>
      <c r="J73" s="9">
        <f t="shared" si="11"/>
        <v>0.166014520206024</v>
      </c>
      <c r="K73" s="9">
        <f t="shared" si="12"/>
        <v>0.140982951198773</v>
      </c>
      <c r="L73" s="9">
        <f t="shared" si="13"/>
        <v>0.136321266876594</v>
      </c>
    </row>
    <row r="74" s="3" customFormat="1" spans="1:12">
      <c r="A74" s="4">
        <v>46155</v>
      </c>
      <c r="B74" s="8">
        <v>0.132355968523786</v>
      </c>
      <c r="C74" s="8">
        <v>0.0294226870388388</v>
      </c>
      <c r="D74" s="8">
        <v>0.076881531070828</v>
      </c>
      <c r="E74" s="8">
        <v>0.420943083603401</v>
      </c>
      <c r="F74" s="9">
        <f t="shared" si="7"/>
        <v>0.165797673198736</v>
      </c>
      <c r="G74" s="9">
        <f t="shared" si="8"/>
        <v>0.141304977859406</v>
      </c>
      <c r="H74" s="9">
        <f t="shared" si="9"/>
        <v>0.13683077105698</v>
      </c>
      <c r="I74" s="3" t="str">
        <f t="shared" si="10"/>
        <v>2026-05-01</v>
      </c>
      <c r="J74" s="9">
        <f t="shared" si="11"/>
        <v>0.166014520206024</v>
      </c>
      <c r="K74" s="9">
        <f t="shared" si="12"/>
        <v>0.140982951198773</v>
      </c>
      <c r="L74" s="9">
        <f t="shared" si="13"/>
        <v>0.136321266876594</v>
      </c>
    </row>
    <row r="75" s="3" customFormat="1" spans="1:12">
      <c r="A75" s="4">
        <v>46154</v>
      </c>
      <c r="B75" s="8">
        <v>0.132226849772095</v>
      </c>
      <c r="C75" s="8">
        <v>0.030232077925608</v>
      </c>
      <c r="D75" s="8">
        <v>0.0797949255935073</v>
      </c>
      <c r="E75" s="8">
        <v>0.40670848423131</v>
      </c>
      <c r="F75" s="9">
        <f t="shared" si="7"/>
        <v>0.166322204248743</v>
      </c>
      <c r="G75" s="9">
        <f t="shared" si="8"/>
        <v>0.141176226489017</v>
      </c>
      <c r="H75" s="9">
        <f t="shared" si="9"/>
        <v>0.136701741352905</v>
      </c>
      <c r="I75" s="3" t="str">
        <f t="shared" si="10"/>
        <v>2026-05-01</v>
      </c>
      <c r="J75" s="9">
        <f t="shared" si="11"/>
        <v>0.166014520206024</v>
      </c>
      <c r="K75" s="9">
        <f t="shared" si="12"/>
        <v>0.140982951198773</v>
      </c>
      <c r="L75" s="9">
        <f t="shared" si="13"/>
        <v>0.136321266876594</v>
      </c>
    </row>
    <row r="76" s="3" customFormat="1" spans="1:12">
      <c r="A76" s="4">
        <v>46150</v>
      </c>
      <c r="B76" s="8">
        <v>0.132245694596064</v>
      </c>
      <c r="C76" s="8">
        <v>0.0288522257462639</v>
      </c>
      <c r="D76" s="8">
        <v>0.0819878616326496</v>
      </c>
      <c r="E76" s="8">
        <v>0.402673460171103</v>
      </c>
      <c r="F76" s="9">
        <f t="shared" si="7"/>
        <v>0.166310480300004</v>
      </c>
      <c r="G76" s="9">
        <f t="shared" si="8"/>
        <v>0.141171798774412</v>
      </c>
      <c r="H76" s="9">
        <f t="shared" si="9"/>
        <v>0.1367089307457</v>
      </c>
      <c r="I76" s="3" t="str">
        <f t="shared" si="10"/>
        <v>2026-05-01</v>
      </c>
      <c r="J76" s="9">
        <f t="shared" si="11"/>
        <v>0.166014520206024</v>
      </c>
      <c r="K76" s="9">
        <f t="shared" si="12"/>
        <v>0.140982951198773</v>
      </c>
      <c r="L76" s="9">
        <f t="shared" si="13"/>
        <v>0.136321266876594</v>
      </c>
    </row>
    <row r="77" s="3" customFormat="1" spans="1:12">
      <c r="A77" s="4">
        <v>46148</v>
      </c>
      <c r="B77" s="8">
        <v>0.132414799680079</v>
      </c>
      <c r="C77" s="8">
        <v>0.0300441280176239</v>
      </c>
      <c r="D77" s="8">
        <v>0.0921153942081983</v>
      </c>
      <c r="E77" s="8">
        <v>0.356136599903789</v>
      </c>
      <c r="F77" s="9">
        <f t="shared" si="7"/>
        <v>0.167738151273937</v>
      </c>
      <c r="G77" s="9">
        <f t="shared" si="8"/>
        <v>0.141115814477929</v>
      </c>
      <c r="H77" s="9">
        <f t="shared" si="9"/>
        <v>0.136765347369155</v>
      </c>
      <c r="I77" s="3" t="str">
        <f t="shared" si="10"/>
        <v>2026-05-01</v>
      </c>
      <c r="J77" s="9">
        <f t="shared" si="11"/>
        <v>0.166014520206024</v>
      </c>
      <c r="K77" s="9">
        <f t="shared" si="12"/>
        <v>0.140982951198773</v>
      </c>
      <c r="L77" s="9">
        <f t="shared" si="13"/>
        <v>0.136321266876594</v>
      </c>
    </row>
    <row r="78" s="3" customFormat="1" spans="1:12">
      <c r="A78" s="4">
        <v>46147</v>
      </c>
      <c r="B78" s="8">
        <v>0.132365487908573</v>
      </c>
      <c r="C78" s="8">
        <v>0.0317072338285853</v>
      </c>
      <c r="D78" s="8">
        <v>0.0716584781188817</v>
      </c>
      <c r="E78" s="8">
        <v>0.409400640640282</v>
      </c>
      <c r="F78" s="9">
        <f t="shared" si="7"/>
        <v>0.164774937778973</v>
      </c>
      <c r="G78" s="9">
        <f t="shared" si="8"/>
        <v>0.140828687792338</v>
      </c>
      <c r="H78" s="9">
        <f t="shared" si="9"/>
        <v>0.136597286775855</v>
      </c>
      <c r="I78" s="3" t="str">
        <f t="shared" si="10"/>
        <v>2026-05-01</v>
      </c>
      <c r="J78" s="9">
        <f t="shared" si="11"/>
        <v>0.166014520206024</v>
      </c>
      <c r="K78" s="9">
        <f t="shared" si="12"/>
        <v>0.140982951198773</v>
      </c>
      <c r="L78" s="9">
        <f t="shared" si="13"/>
        <v>0.136321266876594</v>
      </c>
    </row>
    <row r="79" s="3" customFormat="1" spans="1:12">
      <c r="A79" s="4">
        <v>46146</v>
      </c>
      <c r="B79" s="8">
        <v>0.13306687056284</v>
      </c>
      <c r="C79" s="8">
        <v>0.0340564424732177</v>
      </c>
      <c r="D79" s="8">
        <v>0.0582358556703368</v>
      </c>
      <c r="E79" s="8">
        <v>0.446224752115752</v>
      </c>
      <c r="F79" s="9">
        <f t="shared" si="7"/>
        <v>0.163676807744903</v>
      </c>
      <c r="G79" s="9">
        <f t="shared" si="8"/>
        <v>0.141302587815544</v>
      </c>
      <c r="H79" s="9">
        <f t="shared" si="9"/>
        <v>0.13718518133743</v>
      </c>
      <c r="I79" s="3" t="str">
        <f t="shared" si="10"/>
        <v>2026-05-01</v>
      </c>
      <c r="J79" s="9">
        <f t="shared" si="11"/>
        <v>0.166014520206024</v>
      </c>
      <c r="K79" s="9">
        <f t="shared" si="12"/>
        <v>0.140982951198773</v>
      </c>
      <c r="L79" s="9">
        <f t="shared" si="13"/>
        <v>0.136321266876594</v>
      </c>
    </row>
    <row r="80" s="3" customFormat="1" spans="1:12">
      <c r="A80" s="4">
        <v>46142</v>
      </c>
      <c r="B80" s="8">
        <v>0.132935503184676</v>
      </c>
      <c r="C80" s="8">
        <v>0.036047489170098</v>
      </c>
      <c r="D80" s="8">
        <v>0.0607692720541042</v>
      </c>
      <c r="E80" s="8">
        <v>0.432082515517129</v>
      </c>
      <c r="F80" s="9">
        <f t="shared" si="7"/>
        <v>0.164628356556476</v>
      </c>
      <c r="G80" s="9">
        <f t="shared" si="8"/>
        <v>0.141301417343025</v>
      </c>
      <c r="H80" s="9">
        <f t="shared" si="9"/>
        <v>0.1371187861523</v>
      </c>
      <c r="I80" s="3" t="str">
        <f t="shared" si="10"/>
        <v>2026-04-01</v>
      </c>
      <c r="J80" s="9">
        <f t="shared" si="11"/>
        <v>0.159616260995543</v>
      </c>
      <c r="K80" s="9">
        <f t="shared" si="12"/>
        <v>0.141994846587846</v>
      </c>
      <c r="L80" s="9">
        <f t="shared" si="13"/>
        <v>0.137356899713909</v>
      </c>
    </row>
    <row r="81" s="3" customFormat="1" spans="1:12">
      <c r="A81" s="4">
        <v>46141</v>
      </c>
      <c r="B81" s="8">
        <v>0.132517654877072</v>
      </c>
      <c r="C81" s="8">
        <v>0.0329967836005012</v>
      </c>
      <c r="D81" s="8">
        <v>0.0594674233319196</v>
      </c>
      <c r="E81" s="8">
        <v>0.488089760049238</v>
      </c>
      <c r="F81" s="9">
        <f t="shared" si="7"/>
        <v>0.164166919772771</v>
      </c>
      <c r="G81" s="9">
        <f t="shared" si="8"/>
        <v>0.141541385098035</v>
      </c>
      <c r="H81" s="9">
        <f t="shared" si="9"/>
        <v>0.137030738053603</v>
      </c>
      <c r="I81" s="3" t="str">
        <f t="shared" si="10"/>
        <v>2026-04-01</v>
      </c>
      <c r="J81" s="9">
        <f t="shared" si="11"/>
        <v>0.159616260995543</v>
      </c>
      <c r="K81" s="9">
        <f t="shared" si="12"/>
        <v>0.141994846587846</v>
      </c>
      <c r="L81" s="9">
        <f t="shared" si="13"/>
        <v>0.137356899713909</v>
      </c>
    </row>
    <row r="82" s="3" customFormat="1" spans="1:12">
      <c r="A82" s="4">
        <v>46140</v>
      </c>
      <c r="B82" s="8">
        <v>0.132676373703608</v>
      </c>
      <c r="C82" s="8">
        <v>0.0317357625467788</v>
      </c>
      <c r="D82" s="8">
        <v>0.0361183668045356</v>
      </c>
      <c r="E82" s="8">
        <v>0.658016073329006</v>
      </c>
      <c r="F82" s="9">
        <f t="shared" si="7"/>
        <v>0.159655722834398</v>
      </c>
      <c r="G82" s="9">
        <f t="shared" si="8"/>
        <v>0.141583619207775</v>
      </c>
      <c r="H82" s="9">
        <f t="shared" si="9"/>
        <v>0.137141274286422</v>
      </c>
      <c r="I82" s="3" t="str">
        <f t="shared" si="10"/>
        <v>2026-04-01</v>
      </c>
      <c r="J82" s="9">
        <f t="shared" si="11"/>
        <v>0.159616260995543</v>
      </c>
      <c r="K82" s="9">
        <f t="shared" si="12"/>
        <v>0.141994846587846</v>
      </c>
      <c r="L82" s="9">
        <f t="shared" si="13"/>
        <v>0.137356899713909</v>
      </c>
    </row>
    <row r="83" s="3" customFormat="1" spans="1:12">
      <c r="A83" s="4">
        <v>46139</v>
      </c>
      <c r="B83" s="8">
        <v>0.133179724812106</v>
      </c>
      <c r="C83" s="8">
        <v>0.0298740616241923</v>
      </c>
      <c r="D83" s="8">
        <v>0.0414826646927592</v>
      </c>
      <c r="E83" s="8">
        <v>0.582019576071377</v>
      </c>
      <c r="F83" s="9">
        <f t="shared" si="7"/>
        <v>0.159818350019392</v>
      </c>
      <c r="G83" s="9">
        <f t="shared" si="8"/>
        <v>0.141476675774285</v>
      </c>
      <c r="H83" s="9">
        <f t="shared" si="9"/>
        <v>0.137332824396568</v>
      </c>
      <c r="I83" s="3" t="str">
        <f t="shared" si="10"/>
        <v>2026-04-01</v>
      </c>
      <c r="J83" s="9">
        <f t="shared" si="11"/>
        <v>0.159616260995543</v>
      </c>
      <c r="K83" s="9">
        <f t="shared" si="12"/>
        <v>0.141994846587846</v>
      </c>
      <c r="L83" s="9">
        <f t="shared" si="13"/>
        <v>0.137356899713909</v>
      </c>
    </row>
    <row r="84" s="3" customFormat="1" spans="1:12">
      <c r="A84" s="4">
        <v>46136</v>
      </c>
      <c r="B84" s="8">
        <v>0.128750278621858</v>
      </c>
      <c r="C84" s="8">
        <v>0.033963631865888</v>
      </c>
      <c r="D84" s="8">
        <v>0.0530378249176823</v>
      </c>
      <c r="E84" s="8">
        <v>0.775610013006905</v>
      </c>
      <c r="F84" s="9">
        <f t="shared" si="7"/>
        <v>0.163031690292669</v>
      </c>
      <c r="G84" s="9">
        <f t="shared" si="8"/>
        <v>0.142140596285629</v>
      </c>
      <c r="H84" s="9">
        <f t="shared" si="9"/>
        <v>0.135498048339363</v>
      </c>
      <c r="I84" s="3" t="str">
        <f t="shared" si="10"/>
        <v>2026-04-01</v>
      </c>
      <c r="J84" s="9">
        <f t="shared" si="11"/>
        <v>0.159616260995543</v>
      </c>
      <c r="K84" s="9">
        <f t="shared" si="12"/>
        <v>0.141994846587846</v>
      </c>
      <c r="L84" s="9">
        <f t="shared" si="13"/>
        <v>0.137356899713909</v>
      </c>
    </row>
    <row r="85" s="3" customFormat="1" spans="1:12">
      <c r="A85" s="4">
        <v>46135</v>
      </c>
      <c r="B85" s="8">
        <v>0.13001258877047</v>
      </c>
      <c r="C85" s="8">
        <v>0.0327013217172764</v>
      </c>
      <c r="D85" s="8">
        <v>0.109894929006266</v>
      </c>
      <c r="E85" s="8">
        <v>0.400110533705558</v>
      </c>
      <c r="F85" s="9">
        <f t="shared" si="7"/>
        <v>0.173353358757156</v>
      </c>
      <c r="G85" s="9">
        <f t="shared" si="8"/>
        <v>0.141422987538398</v>
      </c>
      <c r="H85" s="9">
        <f t="shared" si="9"/>
        <v>0.135718014966994</v>
      </c>
      <c r="I85" s="3" t="str">
        <f t="shared" si="10"/>
        <v>2026-04-01</v>
      </c>
      <c r="J85" s="9">
        <f t="shared" si="11"/>
        <v>0.159616260995543</v>
      </c>
      <c r="K85" s="9">
        <f t="shared" si="12"/>
        <v>0.141994846587846</v>
      </c>
      <c r="L85" s="9">
        <f t="shared" si="13"/>
        <v>0.137356899713909</v>
      </c>
    </row>
    <row r="86" s="3" customFormat="1" spans="1:12">
      <c r="A86" s="4">
        <v>46134</v>
      </c>
      <c r="B86" s="8">
        <v>0.133149432583815</v>
      </c>
      <c r="C86" s="8">
        <v>0.0307535386861214</v>
      </c>
      <c r="D86" s="8">
        <v>0.0607130720842257</v>
      </c>
      <c r="E86" s="8">
        <v>0.449168374485421</v>
      </c>
      <c r="F86" s="9">
        <f t="shared" si="7"/>
        <v>0.163247098739308</v>
      </c>
      <c r="G86" s="9">
        <f t="shared" si="8"/>
        <v>0.141365205156038</v>
      </c>
      <c r="H86" s="9">
        <f t="shared" si="9"/>
        <v>0.137257823457861</v>
      </c>
      <c r="I86" s="3" t="str">
        <f t="shared" si="10"/>
        <v>2026-04-01</v>
      </c>
      <c r="J86" s="9">
        <f t="shared" si="11"/>
        <v>0.159616260995543</v>
      </c>
      <c r="K86" s="9">
        <f t="shared" si="12"/>
        <v>0.141994846587846</v>
      </c>
      <c r="L86" s="9">
        <f t="shared" si="13"/>
        <v>0.137356899713909</v>
      </c>
    </row>
    <row r="87" s="3" customFormat="1" spans="1:12">
      <c r="A87" s="4">
        <v>46133</v>
      </c>
      <c r="B87" s="8">
        <v>0.133165917408274</v>
      </c>
      <c r="C87" s="8">
        <v>0.0320942514573854</v>
      </c>
      <c r="D87" s="8">
        <v>0.0141424375949995</v>
      </c>
      <c r="E87" s="8">
        <v>0.999999999999842</v>
      </c>
      <c r="F87" s="9">
        <f t="shared" si="7"/>
        <v>0.157190367091199</v>
      </c>
      <c r="G87" s="9">
        <f t="shared" si="8"/>
        <v>0.142255656151747</v>
      </c>
      <c r="H87" s="9">
        <f t="shared" si="9"/>
        <v>0.137788734333595</v>
      </c>
      <c r="I87" s="3" t="str">
        <f t="shared" si="10"/>
        <v>2026-04-01</v>
      </c>
      <c r="J87" s="9">
        <f t="shared" si="11"/>
        <v>0.159616260995543</v>
      </c>
      <c r="K87" s="9">
        <f t="shared" si="12"/>
        <v>0.141994846587846</v>
      </c>
      <c r="L87" s="9">
        <f t="shared" si="13"/>
        <v>0.137356899713909</v>
      </c>
    </row>
    <row r="88" s="3" customFormat="1" spans="1:12">
      <c r="A88" s="4">
        <v>46132</v>
      </c>
      <c r="B88" s="8">
        <v>0.133058503839343</v>
      </c>
      <c r="C88" s="8">
        <v>0.0329642799851089</v>
      </c>
      <c r="D88" s="8">
        <v>0.0138064474362466</v>
      </c>
      <c r="E88" s="8">
        <v>0.999999999999558</v>
      </c>
      <c r="F88" s="9">
        <f t="shared" si="7"/>
        <v>0.157544134026336</v>
      </c>
      <c r="G88" s="9">
        <f t="shared" si="8"/>
        <v>0.142256594476045</v>
      </c>
      <c r="H88" s="9">
        <f t="shared" si="9"/>
        <v>0.137734737430959</v>
      </c>
      <c r="I88" s="3" t="str">
        <f t="shared" si="10"/>
        <v>2026-04-01</v>
      </c>
      <c r="J88" s="9">
        <f t="shared" si="11"/>
        <v>0.159616260995543</v>
      </c>
      <c r="K88" s="9">
        <f t="shared" si="12"/>
        <v>0.141994846587846</v>
      </c>
      <c r="L88" s="9">
        <f t="shared" si="13"/>
        <v>0.137356899713909</v>
      </c>
    </row>
    <row r="89" s="3" customFormat="1" spans="1:12">
      <c r="A89" s="4">
        <v>46129</v>
      </c>
      <c r="B89" s="8">
        <v>0.133506585809285</v>
      </c>
      <c r="C89" s="8">
        <v>0.0368267316726026</v>
      </c>
      <c r="D89" s="8">
        <v>0.0066771304947923</v>
      </c>
      <c r="E89" s="8">
        <v>0.999999999998826</v>
      </c>
      <c r="F89" s="9">
        <f t="shared" si="7"/>
        <v>0.158549892438676</v>
      </c>
      <c r="G89" s="9">
        <f t="shared" si="8"/>
        <v>0.142103742747867</v>
      </c>
      <c r="H89" s="9">
        <f t="shared" si="9"/>
        <v>0.137856471377535</v>
      </c>
      <c r="I89" s="3" t="str">
        <f t="shared" si="10"/>
        <v>2026-04-01</v>
      </c>
      <c r="J89" s="9">
        <f t="shared" si="11"/>
        <v>0.159616260995543</v>
      </c>
      <c r="K89" s="9">
        <f t="shared" si="12"/>
        <v>0.141994846587846</v>
      </c>
      <c r="L89" s="9">
        <f t="shared" si="13"/>
        <v>0.137356899713909</v>
      </c>
    </row>
    <row r="90" s="3" customFormat="1" spans="1:12">
      <c r="A90" s="4">
        <v>46128</v>
      </c>
      <c r="B90" s="8">
        <v>0.134018959250891</v>
      </c>
      <c r="C90" s="8">
        <v>0.036230016308794</v>
      </c>
      <c r="D90" s="8">
        <v>0.00473364571803698</v>
      </c>
      <c r="E90" s="8">
        <v>0.99999999999861</v>
      </c>
      <c r="F90" s="9">
        <f t="shared" si="7"/>
        <v>0.158171521241488</v>
      </c>
      <c r="G90" s="9">
        <f t="shared" si="8"/>
        <v>0.142124594405561</v>
      </c>
      <c r="H90" s="9">
        <f t="shared" si="9"/>
        <v>0.138114924571648</v>
      </c>
      <c r="I90" s="3" t="str">
        <f t="shared" si="10"/>
        <v>2026-04-01</v>
      </c>
      <c r="J90" s="9">
        <f t="shared" si="11"/>
        <v>0.159616260995543</v>
      </c>
      <c r="K90" s="9">
        <f t="shared" si="12"/>
        <v>0.141994846587846</v>
      </c>
      <c r="L90" s="9">
        <f t="shared" si="13"/>
        <v>0.137356899713909</v>
      </c>
    </row>
    <row r="91" s="3" customFormat="1" spans="1:12">
      <c r="A91" s="4">
        <v>46127</v>
      </c>
      <c r="B91" s="8">
        <v>0.133449990470712</v>
      </c>
      <c r="C91" s="8">
        <v>0.0334194617643205</v>
      </c>
      <c r="D91" s="8">
        <v>0.010990159947099</v>
      </c>
      <c r="E91" s="8">
        <v>0.999999999993939</v>
      </c>
      <c r="F91" s="9">
        <f t="shared" si="7"/>
        <v>0.15747917146453</v>
      </c>
      <c r="G91" s="9">
        <f t="shared" si="8"/>
        <v>0.142198017762244</v>
      </c>
      <c r="H91" s="9">
        <f t="shared" si="9"/>
        <v>0.137890252069967</v>
      </c>
      <c r="I91" s="3" t="str">
        <f t="shared" si="10"/>
        <v>2026-04-01</v>
      </c>
      <c r="J91" s="9">
        <f t="shared" si="11"/>
        <v>0.159616260995543</v>
      </c>
      <c r="K91" s="9">
        <f t="shared" si="12"/>
        <v>0.141994846587846</v>
      </c>
      <c r="L91" s="9">
        <f t="shared" si="13"/>
        <v>0.137356899713909</v>
      </c>
    </row>
    <row r="92" s="3" customFormat="1" spans="1:12">
      <c r="A92" s="4">
        <v>46126</v>
      </c>
      <c r="B92" s="8">
        <v>0.133144379632864</v>
      </c>
      <c r="C92" s="8">
        <v>0.0327089844537835</v>
      </c>
      <c r="D92" s="8">
        <v>0.0128444438641763</v>
      </c>
      <c r="E92" s="8">
        <v>0.999999999999881</v>
      </c>
      <c r="F92" s="9">
        <f t="shared" si="7"/>
        <v>0.157214431366857</v>
      </c>
      <c r="G92" s="9">
        <f t="shared" si="8"/>
        <v>0.142107132797339</v>
      </c>
      <c r="H92" s="9">
        <f t="shared" si="9"/>
        <v>0.137698932515565</v>
      </c>
      <c r="I92" s="3" t="str">
        <f t="shared" si="10"/>
        <v>2026-04-01</v>
      </c>
      <c r="J92" s="9">
        <f t="shared" si="11"/>
        <v>0.159616260995543</v>
      </c>
      <c r="K92" s="9">
        <f t="shared" si="12"/>
        <v>0.141994846587846</v>
      </c>
      <c r="L92" s="9">
        <f t="shared" si="13"/>
        <v>0.137356899713909</v>
      </c>
    </row>
    <row r="93" s="3" customFormat="1" spans="1:12">
      <c r="A93" s="4">
        <v>46125</v>
      </c>
      <c r="B93" s="8">
        <v>0.133591632689225</v>
      </c>
      <c r="C93" s="8">
        <v>0.0307356607324509</v>
      </c>
      <c r="D93" s="8">
        <v>0.0155719857988303</v>
      </c>
      <c r="E93" s="8">
        <v>0.999999999999766</v>
      </c>
      <c r="F93" s="9">
        <f t="shared" si="7"/>
        <v>0.157135034659009</v>
      </c>
      <c r="G93" s="9">
        <f t="shared" si="8"/>
        <v>0.1426858350869</v>
      </c>
      <c r="H93" s="9">
        <f t="shared" si="9"/>
        <v>0.1382214801389</v>
      </c>
      <c r="I93" s="3" t="str">
        <f t="shared" si="10"/>
        <v>2026-04-01</v>
      </c>
      <c r="J93" s="9">
        <f t="shared" si="11"/>
        <v>0.159616260995543</v>
      </c>
      <c r="K93" s="9">
        <f t="shared" si="12"/>
        <v>0.141994846587846</v>
      </c>
      <c r="L93" s="9">
        <f t="shared" si="13"/>
        <v>0.137356899713909</v>
      </c>
    </row>
    <row r="94" s="3" customFormat="1" spans="1:12">
      <c r="A94" s="4">
        <v>46122</v>
      </c>
      <c r="B94" s="8">
        <v>0.133065986594628</v>
      </c>
      <c r="C94" s="8">
        <v>0.0327873774920193</v>
      </c>
      <c r="D94" s="8">
        <v>0.01318483775514</v>
      </c>
      <c r="E94" s="8">
        <v>0.999999999999493</v>
      </c>
      <c r="F94" s="9">
        <f t="shared" si="7"/>
        <v>0.157275538241948</v>
      </c>
      <c r="G94" s="9">
        <f t="shared" si="8"/>
        <v>0.142109639236117</v>
      </c>
      <c r="H94" s="9">
        <f t="shared" si="9"/>
        <v>0.137662400815099</v>
      </c>
      <c r="I94" s="3" t="str">
        <f t="shared" si="10"/>
        <v>2026-04-01</v>
      </c>
      <c r="J94" s="9">
        <f t="shared" si="11"/>
        <v>0.159616260995543</v>
      </c>
      <c r="K94" s="9">
        <f t="shared" si="12"/>
        <v>0.141994846587846</v>
      </c>
      <c r="L94" s="9">
        <f t="shared" si="13"/>
        <v>0.137356899713909</v>
      </c>
    </row>
    <row r="95" s="3" customFormat="1" spans="1:12">
      <c r="A95" s="4">
        <v>46121</v>
      </c>
      <c r="B95" s="8">
        <v>0.13260658602573</v>
      </c>
      <c r="C95" s="8">
        <v>0.0300223374224886</v>
      </c>
      <c r="D95" s="8">
        <v>0.019051104832787</v>
      </c>
      <c r="E95" s="8">
        <v>0.999999999999531</v>
      </c>
      <c r="F95" s="9">
        <f t="shared" si="7"/>
        <v>0.156618407968189</v>
      </c>
      <c r="G95" s="9">
        <f t="shared" si="8"/>
        <v>0.142226778291548</v>
      </c>
      <c r="H95" s="9">
        <f t="shared" si="9"/>
        <v>0.137512842539351</v>
      </c>
      <c r="I95" s="3" t="str">
        <f t="shared" si="10"/>
        <v>2026-04-01</v>
      </c>
      <c r="J95" s="9">
        <f t="shared" si="11"/>
        <v>0.159616260995543</v>
      </c>
      <c r="K95" s="9">
        <f t="shared" si="12"/>
        <v>0.141994846587846</v>
      </c>
      <c r="L95" s="9">
        <f t="shared" si="13"/>
        <v>0.137356899713909</v>
      </c>
    </row>
    <row r="96" s="3" customFormat="1" spans="1:12">
      <c r="A96" s="4">
        <v>46120</v>
      </c>
      <c r="B96" s="8">
        <v>0.132898773726776</v>
      </c>
      <c r="C96" s="8">
        <v>0.0295601539709267</v>
      </c>
      <c r="D96" s="8">
        <v>0.0177569632697911</v>
      </c>
      <c r="E96" s="8">
        <v>0.999999999999456</v>
      </c>
      <c r="F96" s="9">
        <f t="shared" si="7"/>
        <v>0.156276474594539</v>
      </c>
      <c r="G96" s="9">
        <f t="shared" si="8"/>
        <v>0.142178787651915</v>
      </c>
      <c r="H96" s="9">
        <f t="shared" si="9"/>
        <v>0.13762946446658</v>
      </c>
      <c r="I96" s="3" t="str">
        <f t="shared" si="10"/>
        <v>2026-04-01</v>
      </c>
      <c r="J96" s="9">
        <f t="shared" si="11"/>
        <v>0.159616260995543</v>
      </c>
      <c r="K96" s="9">
        <f t="shared" si="12"/>
        <v>0.141994846587846</v>
      </c>
      <c r="L96" s="9">
        <f t="shared" si="13"/>
        <v>0.137356899713909</v>
      </c>
    </row>
    <row r="97" s="3" customFormat="1" spans="1:12">
      <c r="A97" s="4">
        <v>46119</v>
      </c>
      <c r="B97" s="8">
        <v>0.131662965429086</v>
      </c>
      <c r="C97" s="8">
        <v>0.0326643279925896</v>
      </c>
      <c r="D97" s="8">
        <v>0.0209786385026863</v>
      </c>
      <c r="E97" s="8">
        <v>0.999999999999861</v>
      </c>
      <c r="F97" s="9">
        <f t="shared" si="7"/>
        <v>0.157854177578395</v>
      </c>
      <c r="G97" s="9">
        <f t="shared" si="8"/>
        <v>0.142177917080772</v>
      </c>
      <c r="H97" s="9">
        <f t="shared" si="9"/>
        <v>0.137026066111207</v>
      </c>
      <c r="I97" s="3" t="str">
        <f t="shared" si="10"/>
        <v>2026-04-01</v>
      </c>
      <c r="J97" s="9">
        <f t="shared" si="11"/>
        <v>0.159616260995543</v>
      </c>
      <c r="K97" s="9">
        <f t="shared" si="12"/>
        <v>0.141994846587846</v>
      </c>
      <c r="L97" s="9">
        <f t="shared" si="13"/>
        <v>0.137356899713909</v>
      </c>
    </row>
    <row r="98" s="3" customFormat="1" spans="1:12">
      <c r="A98" s="4">
        <v>46118</v>
      </c>
      <c r="B98" s="8">
        <v>0.132049450597699</v>
      </c>
      <c r="C98" s="8">
        <v>0.0326171709575352</v>
      </c>
      <c r="D98" s="8">
        <v>0.018538083217334</v>
      </c>
      <c r="E98" s="8">
        <v>0.999999999999879</v>
      </c>
      <c r="F98" s="9">
        <f t="shared" si="7"/>
        <v>0.157565958759351</v>
      </c>
      <c r="G98" s="9">
        <f t="shared" si="8"/>
        <v>0.142086656532217</v>
      </c>
      <c r="H98" s="9">
        <f t="shared" si="9"/>
        <v>0.137163902143014</v>
      </c>
      <c r="I98" s="3" t="str">
        <f t="shared" si="10"/>
        <v>2026-04-01</v>
      </c>
      <c r="J98" s="9">
        <f t="shared" si="11"/>
        <v>0.159616260995543</v>
      </c>
      <c r="K98" s="9">
        <f t="shared" si="12"/>
        <v>0.141994846587846</v>
      </c>
      <c r="L98" s="9">
        <f t="shared" si="13"/>
        <v>0.137356899713909</v>
      </c>
    </row>
    <row r="99" s="3" customFormat="1" spans="1:12">
      <c r="A99" s="4">
        <v>46115</v>
      </c>
      <c r="B99" s="8">
        <v>0.134590314128225</v>
      </c>
      <c r="C99" s="8">
        <v>0.0316018607358464</v>
      </c>
      <c r="D99" s="8">
        <v>0.0119465396176147</v>
      </c>
      <c r="E99" s="8">
        <v>0.999999999999508</v>
      </c>
      <c r="F99" s="9">
        <f t="shared" si="7"/>
        <v>0.15772326697728</v>
      </c>
      <c r="G99" s="9">
        <f t="shared" si="8"/>
        <v>0.143160813685452</v>
      </c>
      <c r="H99" s="9">
        <f t="shared" si="9"/>
        <v>0.138944414082077</v>
      </c>
      <c r="I99" s="3" t="str">
        <f t="shared" si="10"/>
        <v>2026-04-01</v>
      </c>
      <c r="J99" s="9">
        <f t="shared" si="11"/>
        <v>0.159616260995543</v>
      </c>
      <c r="K99" s="9">
        <f t="shared" si="12"/>
        <v>0.141994846587846</v>
      </c>
      <c r="L99" s="9">
        <f t="shared" si="13"/>
        <v>0.137356899713909</v>
      </c>
    </row>
    <row r="100" s="3" customFormat="1" spans="1:12">
      <c r="A100" s="4">
        <v>46114</v>
      </c>
      <c r="B100" s="8">
        <v>0.132101748119563</v>
      </c>
      <c r="C100" s="8">
        <v>0.0363744018523381</v>
      </c>
      <c r="D100" s="8">
        <v>0.0142589259867059</v>
      </c>
      <c r="E100" s="8">
        <v>0.999999999999191</v>
      </c>
      <c r="F100" s="9">
        <f t="shared" si="7"/>
        <v>0.158862549884829</v>
      </c>
      <c r="G100" s="9">
        <f t="shared" si="8"/>
        <v>0.142064104863929</v>
      </c>
      <c r="H100" s="9">
        <f t="shared" si="9"/>
        <v>0.137164203674273</v>
      </c>
      <c r="I100" s="3" t="str">
        <f t="shared" si="10"/>
        <v>2026-04-01</v>
      </c>
      <c r="J100" s="9">
        <f t="shared" si="11"/>
        <v>0.159616260995543</v>
      </c>
      <c r="K100" s="9">
        <f t="shared" si="12"/>
        <v>0.141994846587846</v>
      </c>
      <c r="L100" s="9">
        <f t="shared" si="13"/>
        <v>0.137356899713909</v>
      </c>
    </row>
    <row r="101" s="3" customFormat="1" spans="1:12">
      <c r="A101" s="4">
        <v>46113</v>
      </c>
      <c r="B101" s="8">
        <v>0.131204190401421</v>
      </c>
      <c r="C101" s="8">
        <v>0.0364266509825298</v>
      </c>
      <c r="D101" s="8">
        <v>0.0150208715860239</v>
      </c>
      <c r="E101" s="8">
        <v>0.999499675628449</v>
      </c>
      <c r="F101" s="9">
        <f t="shared" si="7"/>
        <v>0.158195318637139</v>
      </c>
      <c r="G101" s="9">
        <f t="shared" si="8"/>
        <v>0.141318467759776</v>
      </c>
      <c r="H101" s="9">
        <f t="shared" si="9"/>
        <v>0.13634545778311</v>
      </c>
      <c r="I101" s="3" t="str">
        <f t="shared" si="10"/>
        <v>2026-04-01</v>
      </c>
      <c r="J101" s="9">
        <f t="shared" si="11"/>
        <v>0.159616260995543</v>
      </c>
      <c r="K101" s="9">
        <f t="shared" si="12"/>
        <v>0.141994846587846</v>
      </c>
      <c r="L101" s="9">
        <f t="shared" si="13"/>
        <v>0.137356899713909</v>
      </c>
    </row>
    <row r="102" s="3" customFormat="1" spans="1:12">
      <c r="A102" s="4">
        <v>46112</v>
      </c>
      <c r="B102" s="8">
        <v>0.13098210166894</v>
      </c>
      <c r="C102" s="8">
        <v>0.0327510903136616</v>
      </c>
      <c r="D102" s="8">
        <v>0.0205942793854033</v>
      </c>
      <c r="E102" s="8">
        <v>0.999999999996677</v>
      </c>
      <c r="F102" s="9">
        <f t="shared" si="7"/>
        <v>0.157126594582377</v>
      </c>
      <c r="G102" s="9">
        <f t="shared" si="8"/>
        <v>0.141440524791002</v>
      </c>
      <c r="H102" s="9">
        <f t="shared" si="9"/>
        <v>0.136315461472388</v>
      </c>
      <c r="I102" s="3" t="str">
        <f t="shared" si="10"/>
        <v>2026-03-01</v>
      </c>
      <c r="J102" s="9">
        <f t="shared" si="11"/>
        <v>0.157308268009133</v>
      </c>
      <c r="K102" s="9">
        <f t="shared" si="12"/>
        <v>0.142007880398106</v>
      </c>
      <c r="L102" s="9">
        <f t="shared" si="13"/>
        <v>0.137566160883752</v>
      </c>
    </row>
    <row r="103" s="3" customFormat="1" spans="1:12">
      <c r="A103" s="4">
        <v>46111</v>
      </c>
      <c r="B103" s="8">
        <v>0.131255522141446</v>
      </c>
      <c r="C103" s="8">
        <v>0.0326474491284909</v>
      </c>
      <c r="D103" s="8">
        <v>0.0249260573650028</v>
      </c>
      <c r="E103" s="8">
        <v>0.885527558120482</v>
      </c>
      <c r="F103" s="9">
        <f t="shared" si="7"/>
        <v>0.157699423673339</v>
      </c>
      <c r="G103" s="9">
        <f t="shared" si="8"/>
        <v>0.141328111424946</v>
      </c>
      <c r="H103" s="9">
        <f t="shared" si="9"/>
        <v>0.136353440593651</v>
      </c>
      <c r="I103" s="3" t="str">
        <f t="shared" si="10"/>
        <v>2026-03-01</v>
      </c>
      <c r="J103" s="9">
        <f t="shared" si="11"/>
        <v>0.157308268009133</v>
      </c>
      <c r="K103" s="9">
        <f t="shared" si="12"/>
        <v>0.142007880398106</v>
      </c>
      <c r="L103" s="9">
        <f t="shared" si="13"/>
        <v>0.137566160883752</v>
      </c>
    </row>
    <row r="104" s="3" customFormat="1" spans="1:12">
      <c r="A104" s="4">
        <v>46108</v>
      </c>
      <c r="B104" s="8">
        <v>0.131277286766271</v>
      </c>
      <c r="C104" s="8">
        <v>0.0322860970990944</v>
      </c>
      <c r="D104" s="8">
        <v>0.0193312681902392</v>
      </c>
      <c r="E104" s="8">
        <v>0.999999999999837</v>
      </c>
      <c r="F104" s="9">
        <f t="shared" si="7"/>
        <v>0.156794108419261</v>
      </c>
      <c r="G104" s="9">
        <f t="shared" si="8"/>
        <v>0.141400947749335</v>
      </c>
      <c r="H104" s="9">
        <f t="shared" si="9"/>
        <v>0.13643791131451</v>
      </c>
      <c r="I104" s="3" t="str">
        <f t="shared" si="10"/>
        <v>2026-03-01</v>
      </c>
      <c r="J104" s="9">
        <f t="shared" si="11"/>
        <v>0.157308268009133</v>
      </c>
      <c r="K104" s="9">
        <f t="shared" si="12"/>
        <v>0.142007880398106</v>
      </c>
      <c r="L104" s="9">
        <f t="shared" si="13"/>
        <v>0.137566160883752</v>
      </c>
    </row>
    <row r="105" s="3" customFormat="1" spans="1:12">
      <c r="A105" s="4">
        <v>46107</v>
      </c>
      <c r="B105" s="8">
        <v>0.133145478399657</v>
      </c>
      <c r="C105" s="8">
        <v>0.0304179054657086</v>
      </c>
      <c r="D105" s="8">
        <v>0.012743402373369</v>
      </c>
      <c r="E105" s="8">
        <v>0.999999999994739</v>
      </c>
      <c r="F105" s="9">
        <f t="shared" si="7"/>
        <v>0.155740592686893</v>
      </c>
      <c r="G105" s="9">
        <f t="shared" si="8"/>
        <v>0.141633711876725</v>
      </c>
      <c r="H105" s="9">
        <f t="shared" si="9"/>
        <v>0.137460834681935</v>
      </c>
      <c r="I105" s="3" t="str">
        <f t="shared" si="10"/>
        <v>2026-03-01</v>
      </c>
      <c r="J105" s="9">
        <f t="shared" si="11"/>
        <v>0.157308268009133</v>
      </c>
      <c r="K105" s="9">
        <f t="shared" si="12"/>
        <v>0.142007880398106</v>
      </c>
      <c r="L105" s="9">
        <f t="shared" si="13"/>
        <v>0.137566160883752</v>
      </c>
    </row>
    <row r="106" s="3" customFormat="1" spans="1:12">
      <c r="A106" s="4">
        <v>46101</v>
      </c>
      <c r="B106" s="8">
        <v>0.133064282895195</v>
      </c>
      <c r="C106" s="8">
        <v>0.0301593982068194</v>
      </c>
      <c r="D106" s="8">
        <v>0.0196032089719585</v>
      </c>
      <c r="E106" s="8">
        <v>0.865968841656573</v>
      </c>
      <c r="F106" s="9">
        <f t="shared" si="7"/>
        <v>0.156399852889555</v>
      </c>
      <c r="G106" s="9">
        <f t="shared" si="8"/>
        <v>0.141595152172085</v>
      </c>
      <c r="H106" s="9">
        <f t="shared" si="9"/>
        <v>0.13737333868618</v>
      </c>
      <c r="I106" s="3" t="str">
        <f t="shared" si="10"/>
        <v>2026-03-01</v>
      </c>
      <c r="J106" s="9">
        <f t="shared" si="11"/>
        <v>0.157308268009133</v>
      </c>
      <c r="K106" s="9">
        <f t="shared" si="12"/>
        <v>0.142007880398106</v>
      </c>
      <c r="L106" s="9">
        <f t="shared" si="13"/>
        <v>0.137566160883752</v>
      </c>
    </row>
    <row r="107" s="3" customFormat="1" spans="1:12">
      <c r="A107" s="4">
        <v>46100</v>
      </c>
      <c r="B107" s="8">
        <v>0.133304800340919</v>
      </c>
      <c r="C107" s="8">
        <v>0.0310224930807566</v>
      </c>
      <c r="D107" s="8">
        <v>0.0114665306947779</v>
      </c>
      <c r="E107" s="8">
        <v>0.999999999993868</v>
      </c>
      <c r="F107" s="9">
        <f t="shared" si="7"/>
        <v>0.155944684889777</v>
      </c>
      <c r="G107" s="9">
        <f t="shared" si="8"/>
        <v>0.141668086461845</v>
      </c>
      <c r="H107" s="9">
        <f t="shared" si="9"/>
        <v>0.137552989238889</v>
      </c>
      <c r="I107" s="3" t="str">
        <f t="shared" si="10"/>
        <v>2026-03-01</v>
      </c>
      <c r="J107" s="9">
        <f t="shared" si="11"/>
        <v>0.157308268009133</v>
      </c>
      <c r="K107" s="9">
        <f t="shared" si="12"/>
        <v>0.142007880398106</v>
      </c>
      <c r="L107" s="9">
        <f t="shared" si="13"/>
        <v>0.137566160883752</v>
      </c>
    </row>
    <row r="108" s="3" customFormat="1" spans="1:12">
      <c r="A108" s="4">
        <v>46099</v>
      </c>
      <c r="B108" s="8">
        <v>0.133244846454518</v>
      </c>
      <c r="C108" s="8">
        <v>0.033116690760707</v>
      </c>
      <c r="D108" s="8">
        <v>0.014190639232758</v>
      </c>
      <c r="E108" s="8">
        <v>0.891082647457945</v>
      </c>
      <c r="F108" s="9">
        <f t="shared" si="7"/>
        <v>0.157056186307743</v>
      </c>
      <c r="G108" s="9">
        <f t="shared" si="8"/>
        <v>0.141593070761126</v>
      </c>
      <c r="H108" s="9">
        <f t="shared" si="9"/>
        <v>0.137460074402617</v>
      </c>
      <c r="I108" s="3" t="str">
        <f t="shared" si="10"/>
        <v>2026-03-01</v>
      </c>
      <c r="J108" s="9">
        <f t="shared" si="11"/>
        <v>0.157308268009133</v>
      </c>
      <c r="K108" s="9">
        <f t="shared" si="12"/>
        <v>0.142007880398106</v>
      </c>
      <c r="L108" s="9">
        <f t="shared" si="13"/>
        <v>0.137566160883752</v>
      </c>
    </row>
    <row r="109" s="3" customFormat="1" spans="1:12">
      <c r="A109" s="4">
        <v>46098</v>
      </c>
      <c r="B109" s="8">
        <v>0.133653255460251</v>
      </c>
      <c r="C109" s="8">
        <v>0.0291456348448402</v>
      </c>
      <c r="D109" s="8">
        <v>0.0147548362183673</v>
      </c>
      <c r="E109" s="8">
        <v>0.99999999999859</v>
      </c>
      <c r="F109" s="9">
        <f t="shared" si="7"/>
        <v>0.155975644858964</v>
      </c>
      <c r="G109" s="9">
        <f t="shared" si="8"/>
        <v>0.14227477255901</v>
      </c>
      <c r="H109" s="9">
        <f t="shared" si="9"/>
        <v>0.138042433390207</v>
      </c>
      <c r="I109" s="3" t="str">
        <f t="shared" si="10"/>
        <v>2026-03-01</v>
      </c>
      <c r="J109" s="9">
        <f t="shared" si="11"/>
        <v>0.157308268009133</v>
      </c>
      <c r="K109" s="9">
        <f t="shared" si="12"/>
        <v>0.142007880398106</v>
      </c>
      <c r="L109" s="9">
        <f t="shared" si="13"/>
        <v>0.137566160883752</v>
      </c>
    </row>
    <row r="110" s="3" customFormat="1" spans="1:12">
      <c r="A110" s="4">
        <v>46097</v>
      </c>
      <c r="B110" s="8">
        <v>0.132996875050717</v>
      </c>
      <c r="C110" s="8">
        <v>0.0275050216033122</v>
      </c>
      <c r="D110" s="8">
        <v>0.0200322516805758</v>
      </c>
      <c r="E110" s="8">
        <v>0.999999999998788</v>
      </c>
      <c r="F110" s="9">
        <f t="shared" si="7"/>
        <v>0.155676709250452</v>
      </c>
      <c r="G110" s="9">
        <f t="shared" si="8"/>
        <v>0.142305292731815</v>
      </c>
      <c r="H110" s="9">
        <f t="shared" si="9"/>
        <v>0.137749477097394</v>
      </c>
      <c r="I110" s="3" t="str">
        <f t="shared" si="10"/>
        <v>2026-03-01</v>
      </c>
      <c r="J110" s="9">
        <f t="shared" si="11"/>
        <v>0.157308268009133</v>
      </c>
      <c r="K110" s="9">
        <f t="shared" si="12"/>
        <v>0.142007880398106</v>
      </c>
      <c r="L110" s="9">
        <f t="shared" si="13"/>
        <v>0.137566160883752</v>
      </c>
    </row>
    <row r="111" s="3" customFormat="1" spans="1:12">
      <c r="A111" s="4">
        <v>46094</v>
      </c>
      <c r="B111" s="8">
        <v>0.132632381745474</v>
      </c>
      <c r="C111" s="8">
        <v>0.0286357658506479</v>
      </c>
      <c r="D111" s="8">
        <v>0.0254087373424925</v>
      </c>
      <c r="E111" s="8">
        <v>0.916586658903724</v>
      </c>
      <c r="F111" s="9">
        <f t="shared" si="7"/>
        <v>0.15699633116193</v>
      </c>
      <c r="G111" s="9">
        <f t="shared" si="8"/>
        <v>0.142388707442556</v>
      </c>
      <c r="H111" s="9">
        <f t="shared" si="9"/>
        <v>0.137585473971243</v>
      </c>
      <c r="I111" s="3" t="str">
        <f t="shared" si="10"/>
        <v>2026-03-01</v>
      </c>
      <c r="J111" s="9">
        <f t="shared" si="11"/>
        <v>0.157308268009133</v>
      </c>
      <c r="K111" s="9">
        <f t="shared" si="12"/>
        <v>0.142007880398106</v>
      </c>
      <c r="L111" s="9">
        <f t="shared" si="13"/>
        <v>0.137566160883752</v>
      </c>
    </row>
    <row r="112" s="3" customFormat="1" spans="1:12">
      <c r="A112" s="4">
        <v>46093</v>
      </c>
      <c r="B112" s="8">
        <v>0.133129834058513</v>
      </c>
      <c r="C112" s="8">
        <v>0.0289890154179222</v>
      </c>
      <c r="D112" s="8">
        <v>0.0209849906387214</v>
      </c>
      <c r="E112" s="8">
        <v>0.940778242328059</v>
      </c>
      <c r="F112" s="9">
        <f t="shared" si="7"/>
        <v>0.156654877956394</v>
      </c>
      <c r="G112" s="9">
        <f t="shared" si="8"/>
        <v>0.14238326234126</v>
      </c>
      <c r="H112" s="9">
        <f t="shared" si="9"/>
        <v>0.137830658415823</v>
      </c>
      <c r="I112" s="3" t="str">
        <f t="shared" si="10"/>
        <v>2026-03-01</v>
      </c>
      <c r="J112" s="9">
        <f t="shared" si="11"/>
        <v>0.157308268009133</v>
      </c>
      <c r="K112" s="9">
        <f t="shared" si="12"/>
        <v>0.142007880398106</v>
      </c>
      <c r="L112" s="9">
        <f t="shared" si="13"/>
        <v>0.137566160883752</v>
      </c>
    </row>
    <row r="113" s="3" customFormat="1" spans="1:12">
      <c r="A113" s="4">
        <v>46092</v>
      </c>
      <c r="B113" s="8">
        <v>0.132932323955878</v>
      </c>
      <c r="C113" s="8">
        <v>0.0292715559189759</v>
      </c>
      <c r="D113" s="8">
        <v>0.0268313342989038</v>
      </c>
      <c r="E113" s="8">
        <v>0.832989882677747</v>
      </c>
      <c r="F113" s="9">
        <f t="shared" si="7"/>
        <v>0.157519230119662</v>
      </c>
      <c r="G113" s="9">
        <f t="shared" si="8"/>
        <v>0.14218949731378</v>
      </c>
      <c r="H113" s="9">
        <f t="shared" si="9"/>
        <v>0.137605445334049</v>
      </c>
      <c r="I113" s="3" t="str">
        <f t="shared" si="10"/>
        <v>2026-03-01</v>
      </c>
      <c r="J113" s="9">
        <f t="shared" si="11"/>
        <v>0.157308268009133</v>
      </c>
      <c r="K113" s="9">
        <f t="shared" si="12"/>
        <v>0.142007880398106</v>
      </c>
      <c r="L113" s="9">
        <f t="shared" si="13"/>
        <v>0.137566160883752</v>
      </c>
    </row>
    <row r="114" s="3" customFormat="1" spans="1:12">
      <c r="A114" s="4">
        <v>46091</v>
      </c>
      <c r="B114" s="8">
        <v>0.133074900133106</v>
      </c>
      <c r="C114" s="8">
        <v>0.0329478836913459</v>
      </c>
      <c r="D114" s="8">
        <v>0.0173869684257587</v>
      </c>
      <c r="E114" s="8">
        <v>0.911878490895683</v>
      </c>
      <c r="F114" s="9">
        <f t="shared" si="7"/>
        <v>0.157837053063851</v>
      </c>
      <c r="G114" s="9">
        <f t="shared" si="8"/>
        <v>0.142144340503907</v>
      </c>
      <c r="H114" s="9">
        <f t="shared" si="9"/>
        <v>0.137664447427803</v>
      </c>
      <c r="I114" s="3" t="str">
        <f t="shared" si="10"/>
        <v>2026-03-01</v>
      </c>
      <c r="J114" s="9">
        <f t="shared" si="11"/>
        <v>0.157308268009133</v>
      </c>
      <c r="K114" s="9">
        <f t="shared" si="12"/>
        <v>0.142007880398106</v>
      </c>
      <c r="L114" s="9">
        <f t="shared" si="13"/>
        <v>0.137566160883752</v>
      </c>
    </row>
    <row r="115" s="3" customFormat="1" spans="1:12">
      <c r="A115" s="4">
        <v>46087</v>
      </c>
      <c r="B115" s="8">
        <v>0.133083681240957</v>
      </c>
      <c r="C115" s="8">
        <v>0.0340396317951012</v>
      </c>
      <c r="D115" s="8">
        <v>0.0120729071835691</v>
      </c>
      <c r="E115" s="8">
        <v>0.999999999999428</v>
      </c>
      <c r="F115" s="9">
        <f t="shared" si="7"/>
        <v>0.157790990801147</v>
      </c>
      <c r="G115" s="9">
        <f t="shared" si="8"/>
        <v>0.142162701659232</v>
      </c>
      <c r="H115" s="9">
        <f t="shared" si="9"/>
        <v>0.13769417767908</v>
      </c>
      <c r="I115" s="3" t="str">
        <f t="shared" si="10"/>
        <v>2026-03-01</v>
      </c>
      <c r="J115" s="9">
        <f t="shared" si="11"/>
        <v>0.157308268009133</v>
      </c>
      <c r="K115" s="9">
        <f t="shared" si="12"/>
        <v>0.142007880398106</v>
      </c>
      <c r="L115" s="9">
        <f t="shared" si="13"/>
        <v>0.137566160883752</v>
      </c>
    </row>
    <row r="116" s="3" customFormat="1" spans="1:12">
      <c r="A116" s="4">
        <v>46086</v>
      </c>
      <c r="B116" s="8">
        <v>0.133025548720337</v>
      </c>
      <c r="C116" s="8">
        <v>0.0327430947325497</v>
      </c>
      <c r="D116" s="8">
        <v>0.0154015229397242</v>
      </c>
      <c r="E116" s="8">
        <v>0.999999999999787</v>
      </c>
      <c r="F116" s="9">
        <f t="shared" si="7"/>
        <v>0.157792847695665</v>
      </c>
      <c r="G116" s="9">
        <f t="shared" si="8"/>
        <v>0.142485818433083</v>
      </c>
      <c r="H116" s="9">
        <f t="shared" si="9"/>
        <v>0.137839092683277</v>
      </c>
      <c r="I116" s="3" t="str">
        <f t="shared" si="10"/>
        <v>2026-03-01</v>
      </c>
      <c r="J116" s="9">
        <f t="shared" si="11"/>
        <v>0.157308268009133</v>
      </c>
      <c r="K116" s="9">
        <f t="shared" si="12"/>
        <v>0.142007880398106</v>
      </c>
      <c r="L116" s="9">
        <f t="shared" si="13"/>
        <v>0.137566160883752</v>
      </c>
    </row>
    <row r="117" s="3" customFormat="1" spans="1:12">
      <c r="A117" s="4">
        <v>46085</v>
      </c>
      <c r="B117" s="8">
        <v>0.133864254629626</v>
      </c>
      <c r="C117" s="8">
        <v>0.0294443629823982</v>
      </c>
      <c r="D117" s="8">
        <v>0.0337082373312576</v>
      </c>
      <c r="E117" s="8">
        <v>0.644104149472471</v>
      </c>
      <c r="F117" s="9">
        <f t="shared" si="7"/>
        <v>0.158793135109294</v>
      </c>
      <c r="G117" s="9">
        <f t="shared" si="8"/>
        <v>0.141981828996688</v>
      </c>
      <c r="H117" s="9">
        <f t="shared" si="9"/>
        <v>0.137931932987968</v>
      </c>
      <c r="I117" s="3" t="str">
        <f t="shared" si="10"/>
        <v>2026-03-01</v>
      </c>
      <c r="J117" s="9">
        <f t="shared" si="11"/>
        <v>0.157308268009133</v>
      </c>
      <c r="K117" s="9">
        <f t="shared" si="12"/>
        <v>0.142007880398106</v>
      </c>
      <c r="L117" s="9">
        <f t="shared" si="13"/>
        <v>0.137566160883752</v>
      </c>
    </row>
    <row r="118" s="3" customFormat="1" spans="1:12">
      <c r="A118" s="4">
        <v>46084</v>
      </c>
      <c r="B118" s="8">
        <v>0.134815865517428</v>
      </c>
      <c r="C118" s="8">
        <v>0.0265373848403304</v>
      </c>
      <c r="D118" s="8">
        <v>0.051210072450132</v>
      </c>
      <c r="E118" s="8">
        <v>0.491544434698062</v>
      </c>
      <c r="F118" s="9">
        <f t="shared" si="7"/>
        <v>0.161338943798407</v>
      </c>
      <c r="G118" s="9">
        <f t="shared" si="8"/>
        <v>0.142456881836184</v>
      </c>
      <c r="H118" s="9">
        <f t="shared" si="9"/>
        <v>0.138637498431323</v>
      </c>
      <c r="I118" s="3" t="str">
        <f t="shared" si="10"/>
        <v>2026-03-01</v>
      </c>
      <c r="J118" s="9">
        <f t="shared" si="11"/>
        <v>0.157308268009133</v>
      </c>
      <c r="K118" s="9">
        <f t="shared" si="12"/>
        <v>0.142007880398106</v>
      </c>
      <c r="L118" s="9">
        <f t="shared" si="13"/>
        <v>0.137566160883752</v>
      </c>
    </row>
    <row r="119" s="3" customFormat="1" spans="1:12">
      <c r="A119" s="4">
        <v>46083</v>
      </c>
      <c r="B119" s="8">
        <v>0.134562524834961</v>
      </c>
      <c r="C119" s="8">
        <v>0.0306976440306984</v>
      </c>
      <c r="D119" s="8">
        <v>0.0238781312971208</v>
      </c>
      <c r="E119" s="8">
        <v>0.750099952468569</v>
      </c>
      <c r="F119" s="9">
        <f t="shared" si="7"/>
        <v>0.15841161689968</v>
      </c>
      <c r="G119" s="9">
        <f t="shared" si="8"/>
        <v>0.142709138111333</v>
      </c>
      <c r="H119" s="9">
        <f t="shared" si="9"/>
        <v>0.138656208099198</v>
      </c>
      <c r="I119" s="3" t="str">
        <f t="shared" si="10"/>
        <v>2026-03-01</v>
      </c>
      <c r="J119" s="9">
        <f t="shared" si="11"/>
        <v>0.157308268009133</v>
      </c>
      <c r="K119" s="9">
        <f t="shared" si="12"/>
        <v>0.142007880398106</v>
      </c>
      <c r="L119" s="9">
        <f t="shared" si="13"/>
        <v>0.137566160883752</v>
      </c>
    </row>
    <row r="120" s="3" customFormat="1" spans="1:12">
      <c r="A120" s="4">
        <v>46080</v>
      </c>
      <c r="B120" s="8">
        <v>0.134814019447017</v>
      </c>
      <c r="C120" s="8">
        <v>0.0290040657823784</v>
      </c>
      <c r="D120" s="8">
        <v>0.0223606151129502</v>
      </c>
      <c r="E120" s="8">
        <v>0.795700452867553</v>
      </c>
      <c r="F120" s="9">
        <f t="shared" si="7"/>
        <v>0.157690737211386</v>
      </c>
      <c r="G120" s="9">
        <f t="shared" si="8"/>
        <v>0.142931210864217</v>
      </c>
      <c r="H120" s="9">
        <f t="shared" si="9"/>
        <v>0.138901017307903</v>
      </c>
      <c r="I120" s="3" t="str">
        <f t="shared" si="10"/>
        <v>2026-02-01</v>
      </c>
      <c r="J120" s="9">
        <f t="shared" si="11"/>
        <v>0.158111177155417</v>
      </c>
      <c r="K120" s="9">
        <f t="shared" si="12"/>
        <v>0.144298654261698</v>
      </c>
      <c r="L120" s="9">
        <f t="shared" si="13"/>
        <v>0.139598175498477</v>
      </c>
    </row>
    <row r="121" s="3" customFormat="1" spans="1:12">
      <c r="A121" s="4">
        <v>46079</v>
      </c>
      <c r="B121" s="8">
        <v>0.1350448053811</v>
      </c>
      <c r="C121" s="8">
        <v>0.024860712128522</v>
      </c>
      <c r="D121" s="8">
        <v>0.0726516603705889</v>
      </c>
      <c r="E121" s="8">
        <v>0.371640910011039</v>
      </c>
      <c r="F121" s="9">
        <f t="shared" si="7"/>
        <v>0.163898437253393</v>
      </c>
      <c r="G121" s="9">
        <f t="shared" si="8"/>
        <v>0.142292608038611</v>
      </c>
      <c r="H121" s="9">
        <f t="shared" si="9"/>
        <v>0.138668764066234</v>
      </c>
      <c r="I121" s="3" t="str">
        <f t="shared" si="10"/>
        <v>2026-02-01</v>
      </c>
      <c r="J121" s="9">
        <f t="shared" si="11"/>
        <v>0.158111177155417</v>
      </c>
      <c r="K121" s="9">
        <f t="shared" si="12"/>
        <v>0.144298654261698</v>
      </c>
      <c r="L121" s="9">
        <f t="shared" si="13"/>
        <v>0.139598175498477</v>
      </c>
    </row>
    <row r="122" s="3" customFormat="1" spans="1:12">
      <c r="A122" s="4">
        <v>46078</v>
      </c>
      <c r="B122" s="8">
        <v>0.135052505415462</v>
      </c>
      <c r="C122" s="8">
        <v>0.0245120642558769</v>
      </c>
      <c r="D122" s="8">
        <v>0.0738247336553452</v>
      </c>
      <c r="E122" s="8">
        <v>0.367918706358641</v>
      </c>
      <c r="F122" s="9">
        <f t="shared" si="7"/>
        <v>0.163971353897131</v>
      </c>
      <c r="G122" s="9">
        <f t="shared" si="8"/>
        <v>0.142288393340223</v>
      </c>
      <c r="H122" s="9">
        <f t="shared" si="9"/>
        <v>0.138670500162835</v>
      </c>
      <c r="I122" s="3" t="str">
        <f t="shared" si="10"/>
        <v>2026-02-01</v>
      </c>
      <c r="J122" s="9">
        <f t="shared" si="11"/>
        <v>0.158111177155417</v>
      </c>
      <c r="K122" s="9">
        <f t="shared" si="12"/>
        <v>0.144298654261698</v>
      </c>
      <c r="L122" s="9">
        <f t="shared" si="13"/>
        <v>0.139598175498477</v>
      </c>
    </row>
    <row r="123" s="3" customFormat="1" spans="1:12">
      <c r="A123" s="4">
        <v>46077</v>
      </c>
      <c r="B123" s="8">
        <v>0.132637833736725</v>
      </c>
      <c r="C123" s="8">
        <v>0.0259031943918262</v>
      </c>
      <c r="D123" s="8">
        <v>0.0331465924540353</v>
      </c>
      <c r="E123" s="8">
        <v>0.999999999999801</v>
      </c>
      <c r="F123" s="9">
        <f t="shared" si="7"/>
        <v>0.157770468087709</v>
      </c>
      <c r="G123" s="9">
        <f t="shared" si="8"/>
        <v>0.144144876255925</v>
      </c>
      <c r="H123" s="9">
        <f t="shared" si="9"/>
        <v>0.138541039482723</v>
      </c>
      <c r="I123" s="3" t="str">
        <f t="shared" si="10"/>
        <v>2026-02-01</v>
      </c>
      <c r="J123" s="9">
        <f t="shared" si="11"/>
        <v>0.158111177155417</v>
      </c>
      <c r="K123" s="9">
        <f t="shared" si="12"/>
        <v>0.144298654261698</v>
      </c>
      <c r="L123" s="9">
        <f t="shared" si="13"/>
        <v>0.139598175498477</v>
      </c>
    </row>
    <row r="124" s="3" customFormat="1" spans="1:12">
      <c r="A124" s="4">
        <v>46076</v>
      </c>
      <c r="B124" s="8">
        <v>0.13191587150876</v>
      </c>
      <c r="C124" s="8">
        <v>0.0256859889947295</v>
      </c>
      <c r="D124" s="8">
        <v>0.036016864352908</v>
      </c>
      <c r="E124" s="8">
        <v>0.999999999999374</v>
      </c>
      <c r="F124" s="9">
        <f t="shared" si="7"/>
        <v>0.157669649717288</v>
      </c>
      <c r="G124" s="9">
        <f t="shared" si="8"/>
        <v>0.143930612344088</v>
      </c>
      <c r="H124" s="9">
        <f t="shared" si="9"/>
        <v>0.138084241549887</v>
      </c>
      <c r="I124" s="3" t="str">
        <f t="shared" si="10"/>
        <v>2026-02-01</v>
      </c>
      <c r="J124" s="9">
        <f t="shared" si="11"/>
        <v>0.158111177155417</v>
      </c>
      <c r="K124" s="9">
        <f t="shared" si="12"/>
        <v>0.144298654261698</v>
      </c>
      <c r="L124" s="9">
        <f t="shared" si="13"/>
        <v>0.139598175498477</v>
      </c>
    </row>
    <row r="125" s="3" customFormat="1" spans="1:12">
      <c r="A125" s="4">
        <v>46073</v>
      </c>
      <c r="B125" s="8">
        <v>0.132576395739338</v>
      </c>
      <c r="C125" s="8">
        <v>0.0247691749844397</v>
      </c>
      <c r="D125" s="8">
        <v>0.034268337848461</v>
      </c>
      <c r="E125" s="8">
        <v>0.99999999999952</v>
      </c>
      <c r="F125" s="9">
        <f t="shared" si="7"/>
        <v>0.157288604365552</v>
      </c>
      <c r="G125" s="9">
        <f t="shared" si="8"/>
        <v>0.144073441735258</v>
      </c>
      <c r="H125" s="9">
        <f t="shared" si="9"/>
        <v>0.1384783232126</v>
      </c>
      <c r="I125" s="3" t="str">
        <f t="shared" si="10"/>
        <v>2026-02-01</v>
      </c>
      <c r="J125" s="9">
        <f t="shared" si="11"/>
        <v>0.158111177155417</v>
      </c>
      <c r="K125" s="9">
        <f t="shared" si="12"/>
        <v>0.144298654261698</v>
      </c>
      <c r="L125" s="9">
        <f t="shared" si="13"/>
        <v>0.139598175498477</v>
      </c>
    </row>
    <row r="126" s="3" customFormat="1" spans="1:12">
      <c r="A126" s="4">
        <v>46072</v>
      </c>
      <c r="B126" s="8">
        <v>0.133201208768886</v>
      </c>
      <c r="C126" s="8">
        <v>0.0241443619548918</v>
      </c>
      <c r="D126" s="8">
        <v>0.0305352768258635</v>
      </c>
      <c r="E126" s="8">
        <v>0.999999999999822</v>
      </c>
      <c r="F126" s="9">
        <f t="shared" si="7"/>
        <v>0.156532032016806</v>
      </c>
      <c r="G126" s="9">
        <f t="shared" si="8"/>
        <v>0.143857705746573</v>
      </c>
      <c r="H126" s="9">
        <f t="shared" si="9"/>
        <v>0.138667538102361</v>
      </c>
      <c r="I126" s="3" t="str">
        <f t="shared" si="10"/>
        <v>2026-02-01</v>
      </c>
      <c r="J126" s="9">
        <f t="shared" si="11"/>
        <v>0.158111177155417</v>
      </c>
      <c r="K126" s="9">
        <f t="shared" si="12"/>
        <v>0.144298654261698</v>
      </c>
      <c r="L126" s="9">
        <f t="shared" si="13"/>
        <v>0.139598175498477</v>
      </c>
    </row>
    <row r="127" s="3" customFormat="1" spans="1:12">
      <c r="A127" s="4">
        <v>46071</v>
      </c>
      <c r="B127" s="8">
        <v>0.133536256835083</v>
      </c>
      <c r="C127" s="8">
        <v>0.0235529584076928</v>
      </c>
      <c r="D127" s="8">
        <v>0.0309640390546397</v>
      </c>
      <c r="E127" s="8">
        <v>0.999999999999383</v>
      </c>
      <c r="F127" s="9">
        <f t="shared" si="7"/>
        <v>0.156606538352794</v>
      </c>
      <c r="G127" s="9">
        <f t="shared" si="8"/>
        <v>0.144157555745625</v>
      </c>
      <c r="H127" s="9">
        <f t="shared" si="9"/>
        <v>0.138986303309329</v>
      </c>
      <c r="I127" s="3" t="str">
        <f t="shared" si="10"/>
        <v>2026-02-01</v>
      </c>
      <c r="J127" s="9">
        <f t="shared" si="11"/>
        <v>0.158111177155417</v>
      </c>
      <c r="K127" s="9">
        <f t="shared" si="12"/>
        <v>0.144298654261698</v>
      </c>
      <c r="L127" s="9">
        <f t="shared" si="13"/>
        <v>0.139598175498477</v>
      </c>
    </row>
    <row r="128" s="3" customFormat="1" spans="1:12">
      <c r="A128" s="4">
        <v>46070</v>
      </c>
      <c r="B128" s="8">
        <v>0.134736340309936</v>
      </c>
      <c r="C128" s="8">
        <v>0.0222674084997286</v>
      </c>
      <c r="D128" s="8">
        <v>0.028054911402948</v>
      </c>
      <c r="E128" s="8">
        <v>0.999999999999981</v>
      </c>
      <c r="F128" s="9">
        <f t="shared" si="7"/>
        <v>0.156225288159335</v>
      </c>
      <c r="G128" s="9">
        <f t="shared" si="8"/>
        <v>0.144543957959499</v>
      </c>
      <c r="H128" s="9">
        <f t="shared" si="9"/>
        <v>0.139767070146218</v>
      </c>
      <c r="I128" s="3" t="str">
        <f t="shared" si="10"/>
        <v>2026-02-01</v>
      </c>
      <c r="J128" s="9">
        <f t="shared" si="11"/>
        <v>0.158111177155417</v>
      </c>
      <c r="K128" s="9">
        <f t="shared" si="12"/>
        <v>0.144298654261698</v>
      </c>
      <c r="L128" s="9">
        <f t="shared" si="13"/>
        <v>0.139598175498477</v>
      </c>
    </row>
    <row r="129" s="3" customFormat="1" spans="1:12">
      <c r="A129" s="4">
        <v>46069</v>
      </c>
      <c r="B129" s="8">
        <v>0.133929014574555</v>
      </c>
      <c r="C129" s="8">
        <v>0.0231602006682203</v>
      </c>
      <c r="D129" s="8">
        <v>0.0317841456554837</v>
      </c>
      <c r="E129" s="8">
        <v>0.999999999999654</v>
      </c>
      <c r="F129" s="9">
        <f t="shared" si="7"/>
        <v>0.156967731735313</v>
      </c>
      <c r="G129" s="9">
        <f t="shared" si="8"/>
        <v>0.144629681531769</v>
      </c>
      <c r="H129" s="9">
        <f t="shared" si="9"/>
        <v>0.139421756761997</v>
      </c>
      <c r="I129" s="3" t="str">
        <f t="shared" si="10"/>
        <v>2026-02-01</v>
      </c>
      <c r="J129" s="9">
        <f t="shared" si="11"/>
        <v>0.158111177155417</v>
      </c>
      <c r="K129" s="9">
        <f t="shared" si="12"/>
        <v>0.144298654261698</v>
      </c>
      <c r="L129" s="9">
        <f t="shared" si="13"/>
        <v>0.139598175498477</v>
      </c>
    </row>
    <row r="130" s="3" customFormat="1" spans="1:12">
      <c r="A130" s="4">
        <v>46066</v>
      </c>
      <c r="B130" s="8">
        <v>0.134129262508023</v>
      </c>
      <c r="C130" s="8">
        <v>0.023216308215754</v>
      </c>
      <c r="D130" s="8">
        <v>0.0308224811211291</v>
      </c>
      <c r="E130" s="8">
        <v>0.999999999999478</v>
      </c>
      <c r="F130" s="9">
        <f t="shared" si="7"/>
        <v>0.156949335091713</v>
      </c>
      <c r="G130" s="9">
        <f t="shared" si="8"/>
        <v>0.144656518031531</v>
      </c>
      <c r="H130" s="9">
        <f t="shared" si="9"/>
        <v>0.139531496767507</v>
      </c>
      <c r="I130" s="3" t="str">
        <f t="shared" si="10"/>
        <v>2026-02-01</v>
      </c>
      <c r="J130" s="9">
        <f t="shared" si="11"/>
        <v>0.158111177155417</v>
      </c>
      <c r="K130" s="9">
        <f t="shared" si="12"/>
        <v>0.144298654261698</v>
      </c>
      <c r="L130" s="9">
        <f t="shared" si="13"/>
        <v>0.139598175498477</v>
      </c>
    </row>
    <row r="131" s="3" customFormat="1" spans="1:12">
      <c r="A131" s="4">
        <v>46065</v>
      </c>
      <c r="B131" s="8">
        <v>0.134160502094799</v>
      </c>
      <c r="C131" s="8">
        <v>0.0236975825207817</v>
      </c>
      <c r="D131" s="8">
        <v>0.0300764968221462</v>
      </c>
      <c r="E131" s="8">
        <v>0.999999999999687</v>
      </c>
      <c r="F131" s="9">
        <f t="shared" si="7"/>
        <v>0.157087678336215</v>
      </c>
      <c r="G131" s="9">
        <f t="shared" si="8"/>
        <v>0.144640198742568</v>
      </c>
      <c r="H131" s="9">
        <f t="shared" si="9"/>
        <v>0.139536300424304</v>
      </c>
      <c r="I131" s="3" t="str">
        <f t="shared" si="10"/>
        <v>2026-02-01</v>
      </c>
      <c r="J131" s="9">
        <f t="shared" si="11"/>
        <v>0.158111177155417</v>
      </c>
      <c r="K131" s="9">
        <f t="shared" si="12"/>
        <v>0.144298654261698</v>
      </c>
      <c r="L131" s="9">
        <f t="shared" si="13"/>
        <v>0.139598175498477</v>
      </c>
    </row>
    <row r="132" s="3" customFormat="1" spans="1:12">
      <c r="A132" s="4">
        <v>46064</v>
      </c>
      <c r="B132" s="8">
        <v>0.134176115973633</v>
      </c>
      <c r="C132" s="8">
        <v>0.0239381271200589</v>
      </c>
      <c r="D132" s="8">
        <v>0.0297036519429849</v>
      </c>
      <c r="E132" s="8">
        <v>0.999999999999818</v>
      </c>
      <c r="F132" s="9">
        <f t="shared" si="7"/>
        <v>0.157156824453985</v>
      </c>
      <c r="G132" s="9">
        <f t="shared" si="8"/>
        <v>0.144632043060916</v>
      </c>
      <c r="H132" s="9">
        <f t="shared" si="9"/>
        <v>0.139538701802924</v>
      </c>
      <c r="I132" s="3" t="str">
        <f t="shared" si="10"/>
        <v>2026-02-01</v>
      </c>
      <c r="J132" s="9">
        <f t="shared" si="11"/>
        <v>0.158111177155417</v>
      </c>
      <c r="K132" s="9">
        <f t="shared" si="12"/>
        <v>0.144298654261698</v>
      </c>
      <c r="L132" s="9">
        <f t="shared" si="13"/>
        <v>0.139598175498477</v>
      </c>
    </row>
    <row r="133" s="3" customFormat="1" spans="1:12">
      <c r="A133" s="4">
        <v>46063</v>
      </c>
      <c r="B133" s="8">
        <v>0.136400214074483</v>
      </c>
      <c r="C133" s="8">
        <v>0.0223114770803378</v>
      </c>
      <c r="D133" s="8">
        <v>0.0305639791868767</v>
      </c>
      <c r="E133" s="8">
        <v>0.807099061753525</v>
      </c>
      <c r="F133" s="9">
        <f t="shared" ref="F133:F196" si="14">B133+(C133+D133)*(E133/$F$3)*(1-EXP(-$F$3/E133))-D133*EXP(-$F$3/E133)</f>
        <v>0.157860435949178</v>
      </c>
      <c r="G133" s="9">
        <f t="shared" ref="G133:G196" si="15">B133+(C133+D133)*(E133/$G$3)*(1-EXP(-$G$3/E133))-D133*EXP(-$G$3/E133)</f>
        <v>0.144855615707573</v>
      </c>
      <c r="H133" s="9">
        <f t="shared" ref="H133:H196" si="16">B133+(C133+D133)*(E133/$H$3)*(1-EXP(-$H$3/E133))-D133*EXP(-$H$3/E133)</f>
        <v>0.140667642297838</v>
      </c>
      <c r="I133" s="3" t="str">
        <f t="shared" ref="I133:I196" si="17">TEXT(A133,"yyyy-mm-01")</f>
        <v>2026-02-01</v>
      </c>
      <c r="J133" s="9">
        <f t="shared" ref="J133:J196" si="18">AVERAGEIF($I:$I,I133,$F:$F)</f>
        <v>0.158111177155417</v>
      </c>
      <c r="K133" s="9">
        <f t="shared" ref="K133:K196" si="19">AVERAGEIF($I:$I,I133,$G:$G)</f>
        <v>0.144298654261698</v>
      </c>
      <c r="L133" s="9">
        <f t="shared" ref="L133:L196" si="20">AVERAGEIF($I:$I,I133,$H:$H)</f>
        <v>0.139598175498477</v>
      </c>
    </row>
    <row r="134" s="3" customFormat="1" spans="1:12">
      <c r="A134" s="4">
        <v>46062</v>
      </c>
      <c r="B134" s="8">
        <v>0.136259438019345</v>
      </c>
      <c r="C134" s="8">
        <v>0.0234756201018136</v>
      </c>
      <c r="D134" s="8">
        <v>0.0231357639075448</v>
      </c>
      <c r="E134" s="8">
        <v>0.999999999999828</v>
      </c>
      <c r="F134" s="9">
        <f t="shared" si="14"/>
        <v>0.157212280229731</v>
      </c>
      <c r="G134" s="9">
        <f t="shared" si="15"/>
        <v>0.145363014263221</v>
      </c>
      <c r="H134" s="9">
        <f t="shared" si="16"/>
        <v>0.140919314442868</v>
      </c>
      <c r="I134" s="3" t="str">
        <f t="shared" si="17"/>
        <v>2026-02-01</v>
      </c>
      <c r="J134" s="9">
        <f t="shared" si="18"/>
        <v>0.158111177155417</v>
      </c>
      <c r="K134" s="9">
        <f t="shared" si="19"/>
        <v>0.144298654261698</v>
      </c>
      <c r="L134" s="9">
        <f t="shared" si="20"/>
        <v>0.139598175498477</v>
      </c>
    </row>
    <row r="135" s="3" customFormat="1" spans="1:12">
      <c r="A135" s="4">
        <v>46059</v>
      </c>
      <c r="B135" s="8">
        <v>0.136368821921862</v>
      </c>
      <c r="C135" s="8">
        <v>0.0239627169804772</v>
      </c>
      <c r="D135" s="8">
        <v>0.0272558554770717</v>
      </c>
      <c r="E135" s="8">
        <v>0.837326733263208</v>
      </c>
      <c r="F135" s="9">
        <f t="shared" si="14"/>
        <v>0.158007720957345</v>
      </c>
      <c r="G135" s="9">
        <f t="shared" si="15"/>
        <v>0.144854757936109</v>
      </c>
      <c r="H135" s="9">
        <f t="shared" si="16"/>
        <v>0.140657284685648</v>
      </c>
      <c r="I135" s="3" t="str">
        <f t="shared" si="17"/>
        <v>2026-02-01</v>
      </c>
      <c r="J135" s="9">
        <f t="shared" si="18"/>
        <v>0.158111177155417</v>
      </c>
      <c r="K135" s="9">
        <f t="shared" si="19"/>
        <v>0.144298654261698</v>
      </c>
      <c r="L135" s="9">
        <f t="shared" si="20"/>
        <v>0.139598175498477</v>
      </c>
    </row>
    <row r="136" s="3" customFormat="1" spans="1:12">
      <c r="A136" s="4">
        <v>46058</v>
      </c>
      <c r="B136" s="8">
        <v>0.136362611048934</v>
      </c>
      <c r="C136" s="8">
        <v>0.024309614339964</v>
      </c>
      <c r="D136" s="8">
        <v>0.0265399260278441</v>
      </c>
      <c r="E136" s="8">
        <v>0.844239728319455</v>
      </c>
      <c r="F136" s="9">
        <f t="shared" si="14"/>
        <v>0.158041220756285</v>
      </c>
      <c r="G136" s="9">
        <f t="shared" si="15"/>
        <v>0.144854366177331</v>
      </c>
      <c r="H136" s="9">
        <f t="shared" si="16"/>
        <v>0.140655310053057</v>
      </c>
      <c r="I136" s="3" t="str">
        <f t="shared" si="17"/>
        <v>2026-02-01</v>
      </c>
      <c r="J136" s="9">
        <f t="shared" si="18"/>
        <v>0.158111177155417</v>
      </c>
      <c r="K136" s="9">
        <f t="shared" si="19"/>
        <v>0.144298654261698</v>
      </c>
      <c r="L136" s="9">
        <f t="shared" si="20"/>
        <v>0.139598175498477</v>
      </c>
    </row>
    <row r="137" s="3" customFormat="1" spans="1:12">
      <c r="A137" s="4">
        <v>46057</v>
      </c>
      <c r="B137" s="8">
        <v>0.136069389135895</v>
      </c>
      <c r="C137" s="8">
        <v>0.0240065587107395</v>
      </c>
      <c r="D137" s="8">
        <v>0.0233612605006819</v>
      </c>
      <c r="E137" s="8">
        <v>0.999999999999931</v>
      </c>
      <c r="F137" s="9">
        <f t="shared" si="14"/>
        <v>0.157417434028258</v>
      </c>
      <c r="G137" s="9">
        <f t="shared" si="15"/>
        <v>0.145321713672032</v>
      </c>
      <c r="H137" s="9">
        <f t="shared" si="16"/>
        <v>0.140804895407885</v>
      </c>
      <c r="I137" s="3" t="str">
        <f t="shared" si="17"/>
        <v>2026-02-01</v>
      </c>
      <c r="J137" s="9">
        <f t="shared" si="18"/>
        <v>0.158111177155417</v>
      </c>
      <c r="K137" s="9">
        <f t="shared" si="19"/>
        <v>0.144298654261698</v>
      </c>
      <c r="L137" s="9">
        <f t="shared" si="20"/>
        <v>0.139598175498477</v>
      </c>
    </row>
    <row r="138" s="3" customFormat="1" spans="1:12">
      <c r="A138" s="4">
        <v>46056</v>
      </c>
      <c r="B138" s="8">
        <v>0.135922405350337</v>
      </c>
      <c r="C138" s="8">
        <v>0.0258562502122884</v>
      </c>
      <c r="D138" s="8">
        <v>0.0219867883428158</v>
      </c>
      <c r="E138" s="8">
        <v>0.999999999998504</v>
      </c>
      <c r="F138" s="9">
        <f t="shared" si="14"/>
        <v>0.158076486209129</v>
      </c>
      <c r="G138" s="9">
        <f t="shared" si="15"/>
        <v>0.145278394475199</v>
      </c>
      <c r="H138" s="9">
        <f t="shared" si="16"/>
        <v>0.140705493800135</v>
      </c>
      <c r="I138" s="3" t="str">
        <f t="shared" si="17"/>
        <v>2026-02-01</v>
      </c>
      <c r="J138" s="9">
        <f t="shared" si="18"/>
        <v>0.158111177155417</v>
      </c>
      <c r="K138" s="9">
        <f t="shared" si="19"/>
        <v>0.144298654261698</v>
      </c>
      <c r="L138" s="9">
        <f t="shared" si="20"/>
        <v>0.139598175498477</v>
      </c>
    </row>
    <row r="139" s="3" customFormat="1" spans="1:12">
      <c r="A139" s="4">
        <v>46055</v>
      </c>
      <c r="B139" s="8">
        <v>0.13682151691755</v>
      </c>
      <c r="C139" s="8">
        <v>0.0282691029480423</v>
      </c>
      <c r="D139" s="8">
        <v>0.0264176339077298</v>
      </c>
      <c r="E139" s="8">
        <v>0.720289390253718</v>
      </c>
      <c r="F139" s="9">
        <f t="shared" si="14"/>
        <v>0.159793286299788</v>
      </c>
      <c r="G139" s="9">
        <f t="shared" si="15"/>
        <v>0.144666419605696</v>
      </c>
      <c r="H139" s="9">
        <f t="shared" si="16"/>
        <v>0.140760516185278</v>
      </c>
      <c r="I139" s="3" t="str">
        <f t="shared" si="17"/>
        <v>2026-02-01</v>
      </c>
      <c r="J139" s="9">
        <f t="shared" si="18"/>
        <v>0.158111177155417</v>
      </c>
      <c r="K139" s="9">
        <f t="shared" si="19"/>
        <v>0.144298654261698</v>
      </c>
      <c r="L139" s="9">
        <f t="shared" si="20"/>
        <v>0.139598175498477</v>
      </c>
    </row>
    <row r="140" s="3" customFormat="1" spans="1:12">
      <c r="A140" s="4">
        <v>46052</v>
      </c>
      <c r="B140" s="8">
        <v>0.136278841410418</v>
      </c>
      <c r="C140" s="8">
        <v>0.0296592361330122</v>
      </c>
      <c r="D140" s="8">
        <v>0.0153049022160249</v>
      </c>
      <c r="E140" s="8">
        <v>0.999999999999919</v>
      </c>
      <c r="F140" s="9">
        <f t="shared" si="14"/>
        <v>0.159071238796441</v>
      </c>
      <c r="G140" s="9">
        <f t="shared" si="15"/>
        <v>0.145107952264056</v>
      </c>
      <c r="H140" s="9">
        <f t="shared" si="16"/>
        <v>0.140774356266964</v>
      </c>
      <c r="I140" s="3" t="str">
        <f t="shared" si="17"/>
        <v>2026-01-01</v>
      </c>
      <c r="J140" s="9">
        <f t="shared" si="18"/>
        <v>0.15773741016872</v>
      </c>
      <c r="K140" s="9">
        <f t="shared" si="19"/>
        <v>0.145110745718886</v>
      </c>
      <c r="L140" s="9">
        <f t="shared" si="20"/>
        <v>0.14130090919093</v>
      </c>
    </row>
    <row r="141" s="3" customFormat="1" spans="1:12">
      <c r="A141" s="4">
        <v>46051</v>
      </c>
      <c r="B141" s="8">
        <v>0.136637465604094</v>
      </c>
      <c r="C141" s="8">
        <v>0.0293853182203583</v>
      </c>
      <c r="D141" s="8">
        <v>0.0139818677189001</v>
      </c>
      <c r="E141" s="8">
        <v>0.999999999998862</v>
      </c>
      <c r="F141" s="9">
        <f t="shared" si="14"/>
        <v>0.158907113731871</v>
      </c>
      <c r="G141" s="9">
        <f t="shared" si="15"/>
        <v>0.145158252548227</v>
      </c>
      <c r="H141" s="9">
        <f t="shared" si="16"/>
        <v>0.140973352535483</v>
      </c>
      <c r="I141" s="3" t="str">
        <f t="shared" si="17"/>
        <v>2026-01-01</v>
      </c>
      <c r="J141" s="9">
        <f t="shared" si="18"/>
        <v>0.15773741016872</v>
      </c>
      <c r="K141" s="9">
        <f t="shared" si="19"/>
        <v>0.145110745718886</v>
      </c>
      <c r="L141" s="9">
        <f t="shared" si="20"/>
        <v>0.14130090919093</v>
      </c>
    </row>
    <row r="142" s="3" customFormat="1" spans="1:12">
      <c r="A142" s="4">
        <v>46050</v>
      </c>
      <c r="B142" s="8">
        <v>0.138253725381322</v>
      </c>
      <c r="C142" s="8">
        <v>0.0266673167324652</v>
      </c>
      <c r="D142" s="8">
        <v>0.0564440173321496</v>
      </c>
      <c r="E142" s="8">
        <v>0.363926986254204</v>
      </c>
      <c r="F142" s="9">
        <f t="shared" si="14"/>
        <v>0.162946062177979</v>
      </c>
      <c r="G142" s="9">
        <f t="shared" si="15"/>
        <v>0.144302949386209</v>
      </c>
      <c r="H142" s="9">
        <f t="shared" si="16"/>
        <v>0.141278371114223</v>
      </c>
      <c r="I142" s="3" t="str">
        <f t="shared" si="17"/>
        <v>2026-01-01</v>
      </c>
      <c r="J142" s="9">
        <f t="shared" si="18"/>
        <v>0.15773741016872</v>
      </c>
      <c r="K142" s="9">
        <f t="shared" si="19"/>
        <v>0.145110745718886</v>
      </c>
      <c r="L142" s="9">
        <f t="shared" si="20"/>
        <v>0.14130090919093</v>
      </c>
    </row>
    <row r="143" s="3" customFormat="1" spans="1:12">
      <c r="A143" s="4">
        <v>46049</v>
      </c>
      <c r="B143" s="8">
        <v>0.133370928936475</v>
      </c>
      <c r="C143" s="8">
        <v>0.0304471562929203</v>
      </c>
      <c r="D143" s="8">
        <v>0.0350169591281959</v>
      </c>
      <c r="E143" s="8">
        <v>0.999999999999791</v>
      </c>
      <c r="F143" s="9">
        <f t="shared" si="14"/>
        <v>0.161870122804083</v>
      </c>
      <c r="G143" s="9">
        <f t="shared" si="15"/>
        <v>0.146139590858011</v>
      </c>
      <c r="H143" s="9">
        <f t="shared" si="16"/>
        <v>0.139915453504476</v>
      </c>
      <c r="I143" s="3" t="str">
        <f t="shared" si="17"/>
        <v>2026-01-01</v>
      </c>
      <c r="J143" s="9">
        <f t="shared" si="18"/>
        <v>0.15773741016872</v>
      </c>
      <c r="K143" s="9">
        <f t="shared" si="19"/>
        <v>0.145110745718886</v>
      </c>
      <c r="L143" s="9">
        <f t="shared" si="20"/>
        <v>0.14130090919093</v>
      </c>
    </row>
    <row r="144" s="3" customFormat="1" spans="1:12">
      <c r="A144" s="4">
        <v>46048</v>
      </c>
      <c r="B144" s="8">
        <v>0.138374509943219</v>
      </c>
      <c r="C144" s="8">
        <v>0.0236593019040138</v>
      </c>
      <c r="D144" s="8">
        <v>0.026324097765948</v>
      </c>
      <c r="E144" s="8">
        <v>0.73</v>
      </c>
      <c r="F144" s="9">
        <f t="shared" si="14"/>
        <v>0.1588992439789</v>
      </c>
      <c r="G144" s="9">
        <f t="shared" si="15"/>
        <v>0.145636441214905</v>
      </c>
      <c r="H144" s="9">
        <f t="shared" si="16"/>
        <v>0.142023264430052</v>
      </c>
      <c r="I144" s="3" t="str">
        <f t="shared" si="17"/>
        <v>2026-01-01</v>
      </c>
      <c r="J144" s="9">
        <f t="shared" si="18"/>
        <v>0.15773741016872</v>
      </c>
      <c r="K144" s="9">
        <f t="shared" si="19"/>
        <v>0.145110745718886</v>
      </c>
      <c r="L144" s="9">
        <f t="shared" si="20"/>
        <v>0.14130090919093</v>
      </c>
    </row>
    <row r="145" s="3" customFormat="1" spans="1:12">
      <c r="A145" s="4">
        <v>46045</v>
      </c>
      <c r="B145" s="8">
        <v>0.137986059597387</v>
      </c>
      <c r="C145" s="8">
        <v>0.0236224555990255</v>
      </c>
      <c r="D145" s="8">
        <v>0.0165219590816447</v>
      </c>
      <c r="E145" s="8">
        <v>1</v>
      </c>
      <c r="F145" s="9">
        <f t="shared" si="14"/>
        <v>0.157284080365165</v>
      </c>
      <c r="G145" s="9">
        <f t="shared" si="15"/>
        <v>0.145849520261222</v>
      </c>
      <c r="H145" s="9">
        <f t="shared" si="16"/>
        <v>0.141999568714311</v>
      </c>
      <c r="I145" s="3" t="str">
        <f t="shared" si="17"/>
        <v>2026-01-01</v>
      </c>
      <c r="J145" s="9">
        <f t="shared" si="18"/>
        <v>0.15773741016872</v>
      </c>
      <c r="K145" s="9">
        <f t="shared" si="19"/>
        <v>0.145110745718886</v>
      </c>
      <c r="L145" s="9">
        <f t="shared" si="20"/>
        <v>0.14130090919093</v>
      </c>
    </row>
    <row r="146" s="3" customFormat="1" spans="1:12">
      <c r="A146" s="4">
        <v>46044</v>
      </c>
      <c r="B146" s="8">
        <v>0.138074472884049</v>
      </c>
      <c r="C146" s="8">
        <v>0.0246394376036968</v>
      </c>
      <c r="D146" s="8">
        <v>0.0148046980524439</v>
      </c>
      <c r="E146" s="8">
        <v>1</v>
      </c>
      <c r="F146" s="9">
        <f t="shared" si="14"/>
        <v>0.157561577911273</v>
      </c>
      <c r="G146" s="9">
        <f t="shared" si="15"/>
        <v>0.145810392245367</v>
      </c>
      <c r="H146" s="9">
        <f t="shared" si="16"/>
        <v>0.142018035241312</v>
      </c>
      <c r="I146" s="3" t="str">
        <f t="shared" si="17"/>
        <v>2026-01-01</v>
      </c>
      <c r="J146" s="9">
        <f t="shared" si="18"/>
        <v>0.15773741016872</v>
      </c>
      <c r="K146" s="9">
        <f t="shared" si="19"/>
        <v>0.145110745718886</v>
      </c>
      <c r="L146" s="9">
        <f t="shared" si="20"/>
        <v>0.14130090919093</v>
      </c>
    </row>
    <row r="147" s="3" customFormat="1" spans="1:12">
      <c r="A147" s="4">
        <v>46043</v>
      </c>
      <c r="B147" s="8">
        <v>0.138420408337367</v>
      </c>
      <c r="C147" s="8">
        <v>0.0238684947063518</v>
      </c>
      <c r="D147" s="8">
        <v>0.0120713846077803</v>
      </c>
      <c r="E147" s="8">
        <v>1</v>
      </c>
      <c r="F147" s="9">
        <f t="shared" si="14"/>
        <v>0.156697930709971</v>
      </c>
      <c r="G147" s="9">
        <f t="shared" si="15"/>
        <v>0.145478615650106</v>
      </c>
      <c r="H147" s="9">
        <f t="shared" si="16"/>
        <v>0.142013685061967</v>
      </c>
      <c r="I147" s="3" t="str">
        <f t="shared" si="17"/>
        <v>2026-01-01</v>
      </c>
      <c r="J147" s="9">
        <f t="shared" si="18"/>
        <v>0.15773741016872</v>
      </c>
      <c r="K147" s="9">
        <f t="shared" si="19"/>
        <v>0.145110745718886</v>
      </c>
      <c r="L147" s="9">
        <f t="shared" si="20"/>
        <v>0.14130090919093</v>
      </c>
    </row>
    <row r="148" s="3" customFormat="1" spans="1:12">
      <c r="A148" s="4">
        <v>46042</v>
      </c>
      <c r="B148" s="8">
        <v>0.137290701131788</v>
      </c>
      <c r="C148" s="8">
        <v>0.0236369629744938</v>
      </c>
      <c r="D148" s="8">
        <v>0.0205218809952854</v>
      </c>
      <c r="E148" s="8">
        <v>0.83</v>
      </c>
      <c r="F148" s="9">
        <f t="shared" si="14"/>
        <v>0.156804937836228</v>
      </c>
      <c r="G148" s="9">
        <f t="shared" si="15"/>
        <v>0.14455367411062</v>
      </c>
      <c r="H148" s="9">
        <f t="shared" si="16"/>
        <v>0.140955743562928</v>
      </c>
      <c r="I148" s="3" t="str">
        <f t="shared" si="17"/>
        <v>2026-01-01</v>
      </c>
      <c r="J148" s="9">
        <f t="shared" si="18"/>
        <v>0.15773741016872</v>
      </c>
      <c r="K148" s="9">
        <f t="shared" si="19"/>
        <v>0.145110745718886</v>
      </c>
      <c r="L148" s="9">
        <f t="shared" si="20"/>
        <v>0.14130090919093</v>
      </c>
    </row>
    <row r="149" s="3" customFormat="1" spans="1:12">
      <c r="A149" s="4">
        <v>46041</v>
      </c>
      <c r="B149" s="8">
        <v>0.136412008553322</v>
      </c>
      <c r="C149" s="8">
        <v>0.0220436771386511</v>
      </c>
      <c r="D149" s="8">
        <v>0.0263053312615154</v>
      </c>
      <c r="E149" s="8">
        <v>0.82</v>
      </c>
      <c r="F149" s="9">
        <f t="shared" si="14"/>
        <v>0.156577817423157</v>
      </c>
      <c r="G149" s="9">
        <f t="shared" si="15"/>
        <v>0.144264274816391</v>
      </c>
      <c r="H149" s="9">
        <f t="shared" si="16"/>
        <v>0.140376474225893</v>
      </c>
      <c r="I149" s="3" t="str">
        <f t="shared" si="17"/>
        <v>2026-01-01</v>
      </c>
      <c r="J149" s="9">
        <f t="shared" si="18"/>
        <v>0.15773741016872</v>
      </c>
      <c r="K149" s="9">
        <f t="shared" si="19"/>
        <v>0.145110745718886</v>
      </c>
      <c r="L149" s="9">
        <f t="shared" si="20"/>
        <v>0.14130090919093</v>
      </c>
    </row>
    <row r="150" s="3" customFormat="1" spans="1:12">
      <c r="A150" s="4">
        <v>46038</v>
      </c>
      <c r="B150" s="8">
        <v>0.136365669466665</v>
      </c>
      <c r="C150" s="8">
        <v>0.0207235457761105</v>
      </c>
      <c r="D150" s="8">
        <v>0.0285754336535933</v>
      </c>
      <c r="E150" s="8">
        <v>0.81</v>
      </c>
      <c r="F150" s="9">
        <f t="shared" si="14"/>
        <v>0.156364838038738</v>
      </c>
      <c r="G150" s="9">
        <f t="shared" si="15"/>
        <v>0.144275861438259</v>
      </c>
      <c r="H150" s="9">
        <f t="shared" si="16"/>
        <v>0.140358745175609</v>
      </c>
      <c r="I150" s="3" t="str">
        <f t="shared" si="17"/>
        <v>2026-01-01</v>
      </c>
      <c r="J150" s="9">
        <f t="shared" si="18"/>
        <v>0.15773741016872</v>
      </c>
      <c r="K150" s="9">
        <f t="shared" si="19"/>
        <v>0.145110745718886</v>
      </c>
      <c r="L150" s="9">
        <f t="shared" si="20"/>
        <v>0.14130090919093</v>
      </c>
    </row>
    <row r="151" s="3" customFormat="1" spans="1:12">
      <c r="A151" s="4">
        <v>46037</v>
      </c>
      <c r="B151" s="8">
        <v>0.136353232927858</v>
      </c>
      <c r="C151" s="8">
        <v>0.020650515881807</v>
      </c>
      <c r="D151" s="8">
        <v>0.0287092747866598</v>
      </c>
      <c r="E151" s="8">
        <v>0.81</v>
      </c>
      <c r="F151" s="9">
        <f t="shared" si="14"/>
        <v>0.15634838425643</v>
      </c>
      <c r="G151" s="9">
        <f t="shared" si="15"/>
        <v>0.144272976677138</v>
      </c>
      <c r="H151" s="9">
        <f t="shared" si="16"/>
        <v>0.140351233743714</v>
      </c>
      <c r="I151" s="3" t="str">
        <f t="shared" si="17"/>
        <v>2026-01-01</v>
      </c>
      <c r="J151" s="9">
        <f t="shared" si="18"/>
        <v>0.15773741016872</v>
      </c>
      <c r="K151" s="9">
        <f t="shared" si="19"/>
        <v>0.145110745718886</v>
      </c>
      <c r="L151" s="9">
        <f t="shared" si="20"/>
        <v>0.14130090919093</v>
      </c>
    </row>
    <row r="152" s="3" customFormat="1" spans="1:12">
      <c r="A152" s="4">
        <v>46036</v>
      </c>
      <c r="B152" s="8">
        <v>0.13729416449509</v>
      </c>
      <c r="C152" s="8">
        <v>0.0197095843145748</v>
      </c>
      <c r="D152" s="8">
        <v>0.025602065050766</v>
      </c>
      <c r="E152" s="8">
        <v>0.84</v>
      </c>
      <c r="F152" s="9">
        <f t="shared" si="14"/>
        <v>0.155997273494717</v>
      </c>
      <c r="G152" s="9">
        <f t="shared" si="15"/>
        <v>0.144820175931285</v>
      </c>
      <c r="H152" s="9">
        <f t="shared" si="16"/>
        <v>0.141100144296563</v>
      </c>
      <c r="I152" s="3" t="str">
        <f t="shared" si="17"/>
        <v>2026-01-01</v>
      </c>
      <c r="J152" s="9">
        <f t="shared" si="18"/>
        <v>0.15773741016872</v>
      </c>
      <c r="K152" s="9">
        <f t="shared" si="19"/>
        <v>0.145110745718886</v>
      </c>
      <c r="L152" s="9">
        <f t="shared" si="20"/>
        <v>0.14130090919093</v>
      </c>
    </row>
    <row r="153" s="3" customFormat="1" spans="1:12">
      <c r="A153" s="4">
        <v>46035</v>
      </c>
      <c r="B153" s="8">
        <v>0.138030900825927</v>
      </c>
      <c r="C153" s="8">
        <v>0.0190583144168486</v>
      </c>
      <c r="D153" s="8">
        <v>0.0226872772637521</v>
      </c>
      <c r="E153" s="8">
        <v>0.88</v>
      </c>
      <c r="F153" s="9">
        <f t="shared" si="14"/>
        <v>0.155693054578245</v>
      </c>
      <c r="G153" s="9">
        <f t="shared" si="15"/>
        <v>0.145275786674737</v>
      </c>
      <c r="H153" s="9">
        <f t="shared" si="16"/>
        <v>0.14170420684163</v>
      </c>
      <c r="I153" s="3" t="str">
        <f t="shared" si="17"/>
        <v>2026-01-01</v>
      </c>
      <c r="J153" s="9">
        <f t="shared" si="18"/>
        <v>0.15773741016872</v>
      </c>
      <c r="K153" s="9">
        <f t="shared" si="19"/>
        <v>0.145110745718886</v>
      </c>
      <c r="L153" s="9">
        <f t="shared" si="20"/>
        <v>0.14130090919093</v>
      </c>
    </row>
    <row r="154" s="3" customFormat="1" spans="1:12">
      <c r="A154" s="4">
        <v>46034</v>
      </c>
      <c r="B154" s="8">
        <v>0.13878142645649</v>
      </c>
      <c r="C154" s="8">
        <v>0.0182223223531748</v>
      </c>
      <c r="D154" s="8">
        <v>0.0262544696345654</v>
      </c>
      <c r="E154" s="8">
        <v>0.69</v>
      </c>
      <c r="F154" s="9">
        <f t="shared" si="14"/>
        <v>0.156103487354851</v>
      </c>
      <c r="G154" s="9">
        <f t="shared" si="15"/>
        <v>0.144896136092853</v>
      </c>
      <c r="H154" s="9">
        <f t="shared" si="16"/>
        <v>0.141850310206915</v>
      </c>
      <c r="I154" s="3" t="str">
        <f t="shared" si="17"/>
        <v>2026-01-01</v>
      </c>
      <c r="J154" s="9">
        <f t="shared" si="18"/>
        <v>0.15773741016872</v>
      </c>
      <c r="K154" s="9">
        <f t="shared" si="19"/>
        <v>0.145110745718886</v>
      </c>
      <c r="L154" s="9">
        <f t="shared" si="20"/>
        <v>0.14130090919093</v>
      </c>
    </row>
    <row r="155" s="3" customFormat="1" spans="1:12">
      <c r="A155" s="4">
        <v>46031</v>
      </c>
      <c r="B155" s="8">
        <v>0.139481939605751</v>
      </c>
      <c r="C155" s="8">
        <v>0.0175218092039133</v>
      </c>
      <c r="D155" s="8">
        <v>0.0323245360938188</v>
      </c>
      <c r="E155" s="8">
        <v>0.51</v>
      </c>
      <c r="F155" s="9">
        <f t="shared" si="14"/>
        <v>0.156775918211719</v>
      </c>
      <c r="G155" s="9">
        <f t="shared" si="15"/>
        <v>0.144564200563715</v>
      </c>
      <c r="H155" s="9">
        <f t="shared" si="16"/>
        <v>0.142024103109562</v>
      </c>
      <c r="I155" s="3" t="str">
        <f t="shared" si="17"/>
        <v>2026-01-01</v>
      </c>
      <c r="J155" s="9">
        <f t="shared" si="18"/>
        <v>0.15773741016872</v>
      </c>
      <c r="K155" s="9">
        <f t="shared" si="19"/>
        <v>0.145110745718886</v>
      </c>
      <c r="L155" s="9">
        <f t="shared" si="20"/>
        <v>0.14130090919093</v>
      </c>
    </row>
    <row r="156" s="3" customFormat="1" spans="1:12">
      <c r="A156" s="4">
        <v>46030</v>
      </c>
      <c r="B156" s="8">
        <v>0.13787200275314</v>
      </c>
      <c r="C156" s="8">
        <v>0.0191317460565242</v>
      </c>
      <c r="D156" s="8">
        <v>0.048931729941121</v>
      </c>
      <c r="E156" s="8">
        <v>0.5</v>
      </c>
      <c r="F156" s="9">
        <f t="shared" si="14"/>
        <v>0.160675856320019</v>
      </c>
      <c r="G156" s="9">
        <f t="shared" si="15"/>
        <v>0.144675819848099</v>
      </c>
      <c r="H156" s="9">
        <f t="shared" si="16"/>
        <v>0.141275176445152</v>
      </c>
      <c r="I156" s="3" t="str">
        <f t="shared" si="17"/>
        <v>2026-01-01</v>
      </c>
      <c r="J156" s="9">
        <f t="shared" si="18"/>
        <v>0.15773741016872</v>
      </c>
      <c r="K156" s="9">
        <f t="shared" si="19"/>
        <v>0.145110745718886</v>
      </c>
      <c r="L156" s="9">
        <f t="shared" si="20"/>
        <v>0.14130090919093</v>
      </c>
    </row>
    <row r="157" s="3" customFormat="1" spans="1:12">
      <c r="A157" s="4">
        <v>46028</v>
      </c>
      <c r="B157" s="8">
        <v>0.137799734717964</v>
      </c>
      <c r="C157" s="8">
        <v>0.0192040140917002</v>
      </c>
      <c r="D157" s="8">
        <v>0.0229832720886111</v>
      </c>
      <c r="E157" s="8">
        <v>1</v>
      </c>
      <c r="F157" s="9">
        <f t="shared" si="14"/>
        <v>0.156012112341473</v>
      </c>
      <c r="G157" s="9">
        <f t="shared" si="15"/>
        <v>0.146025480745164</v>
      </c>
      <c r="H157" s="9">
        <f t="shared" si="16"/>
        <v>0.142017228367074</v>
      </c>
      <c r="I157" s="3" t="str">
        <f t="shared" si="17"/>
        <v>2026-01-01</v>
      </c>
      <c r="J157" s="9">
        <f t="shared" si="18"/>
        <v>0.15773741016872</v>
      </c>
      <c r="K157" s="9">
        <f t="shared" si="19"/>
        <v>0.145110745718886</v>
      </c>
      <c r="L157" s="9">
        <f t="shared" si="20"/>
        <v>0.14130090919093</v>
      </c>
    </row>
    <row r="158" s="3" customFormat="1" spans="1:12">
      <c r="A158" s="4">
        <v>46027</v>
      </c>
      <c r="B158" s="8">
        <v>0.137190426235685</v>
      </c>
      <c r="C158" s="8">
        <v>0.01981332257398</v>
      </c>
      <c r="D158" s="8">
        <v>0.0253742042891472</v>
      </c>
      <c r="E158" s="8">
        <v>1</v>
      </c>
      <c r="F158" s="9">
        <f t="shared" si="14"/>
        <v>0.156419742874424</v>
      </c>
      <c r="G158" s="9">
        <f t="shared" si="15"/>
        <v>0.145996067332462</v>
      </c>
      <c r="H158" s="9">
        <f t="shared" si="16"/>
        <v>0.141707821783851</v>
      </c>
      <c r="I158" s="3" t="str">
        <f t="shared" si="17"/>
        <v>2026-01-01</v>
      </c>
      <c r="J158" s="9">
        <f t="shared" si="18"/>
        <v>0.15773741016872</v>
      </c>
      <c r="K158" s="9">
        <f t="shared" si="19"/>
        <v>0.145110745718886</v>
      </c>
      <c r="L158" s="9">
        <f t="shared" si="20"/>
        <v>0.14130090919093</v>
      </c>
    </row>
    <row r="159" s="3" customFormat="1" spans="1:12">
      <c r="A159" s="4">
        <v>46022</v>
      </c>
      <c r="B159" s="8">
        <v>0.137181411500626</v>
      </c>
      <c r="C159" s="8">
        <v>0.0198223373090385</v>
      </c>
      <c r="D159" s="8">
        <v>0.0253453298929953</v>
      </c>
      <c r="E159" s="8">
        <v>1</v>
      </c>
      <c r="F159" s="9">
        <f t="shared" si="14"/>
        <v>0.156408796736017</v>
      </c>
      <c r="G159" s="9">
        <f t="shared" si="15"/>
        <v>0.145983301982003</v>
      </c>
      <c r="H159" s="9">
        <f t="shared" si="16"/>
        <v>0.141696822483741</v>
      </c>
      <c r="I159" s="3" t="str">
        <f t="shared" si="17"/>
        <v>2025-12-01</v>
      </c>
      <c r="J159" s="9">
        <f t="shared" si="18"/>
        <v>0.158079556787061</v>
      </c>
      <c r="K159" s="9">
        <f t="shared" si="19"/>
        <v>0.148573900208988</v>
      </c>
      <c r="L159" s="9">
        <f t="shared" si="20"/>
        <v>0.144473235506037</v>
      </c>
    </row>
    <row r="160" s="3" customFormat="1" spans="1:12">
      <c r="A160" s="4">
        <v>46021</v>
      </c>
      <c r="B160" s="8">
        <v>0.137231214959208</v>
      </c>
      <c r="C160" s="8">
        <v>0.0204560608763861</v>
      </c>
      <c r="D160" s="8">
        <v>0.0242267548445693</v>
      </c>
      <c r="E160" s="8">
        <v>1</v>
      </c>
      <c r="F160" s="9">
        <f t="shared" si="14"/>
        <v>0.156563616369154</v>
      </c>
      <c r="G160" s="9">
        <f t="shared" si="15"/>
        <v>0.145944325424477</v>
      </c>
      <c r="H160" s="9">
        <f t="shared" si="16"/>
        <v>0.141698193778666</v>
      </c>
      <c r="I160" s="3" t="str">
        <f t="shared" si="17"/>
        <v>2025-12-01</v>
      </c>
      <c r="J160" s="9">
        <f t="shared" si="18"/>
        <v>0.158079556787061</v>
      </c>
      <c r="K160" s="9">
        <f t="shared" si="19"/>
        <v>0.148573900208988</v>
      </c>
      <c r="L160" s="9">
        <f t="shared" si="20"/>
        <v>0.144473235506037</v>
      </c>
    </row>
    <row r="161" s="3" customFormat="1" spans="1:12">
      <c r="A161" s="4">
        <v>46020</v>
      </c>
      <c r="B161" s="8">
        <v>0.137125444860183</v>
      </c>
      <c r="C161" s="8">
        <v>0.0200492295118155</v>
      </c>
      <c r="D161" s="8">
        <v>0.0250062156554454</v>
      </c>
      <c r="E161" s="8">
        <v>1</v>
      </c>
      <c r="F161" s="9">
        <f t="shared" si="14"/>
        <v>0.156406645396444</v>
      </c>
      <c r="G161" s="9">
        <f t="shared" si="15"/>
        <v>0.14590732709759</v>
      </c>
      <c r="H161" s="9">
        <f t="shared" si="16"/>
        <v>0.14162964954507</v>
      </c>
      <c r="I161" s="3" t="str">
        <f t="shared" si="17"/>
        <v>2025-12-01</v>
      </c>
      <c r="J161" s="9">
        <f t="shared" si="18"/>
        <v>0.158079556787061</v>
      </c>
      <c r="K161" s="9">
        <f t="shared" si="19"/>
        <v>0.148573900208988</v>
      </c>
      <c r="L161" s="9">
        <f t="shared" si="20"/>
        <v>0.144473235506037</v>
      </c>
    </row>
    <row r="162" s="3" customFormat="1" spans="1:12">
      <c r="A162" s="4">
        <v>46017</v>
      </c>
      <c r="B162" s="8">
        <v>0.137766583906784</v>
      </c>
      <c r="C162" s="8">
        <v>0.0197498539681996</v>
      </c>
      <c r="D162" s="8">
        <v>0.0227856094886608</v>
      </c>
      <c r="E162" s="8">
        <v>1</v>
      </c>
      <c r="F162" s="9">
        <f t="shared" si="14"/>
        <v>0.156271767551727</v>
      </c>
      <c r="G162" s="9">
        <f t="shared" si="15"/>
        <v>0.146062828029409</v>
      </c>
      <c r="H162" s="9">
        <f t="shared" si="16"/>
        <v>0.142018902676694</v>
      </c>
      <c r="I162" s="3" t="str">
        <f t="shared" si="17"/>
        <v>2025-12-01</v>
      </c>
      <c r="J162" s="9">
        <f t="shared" si="18"/>
        <v>0.158079556787061</v>
      </c>
      <c r="K162" s="9">
        <f t="shared" si="19"/>
        <v>0.148573900208988</v>
      </c>
      <c r="L162" s="9">
        <f t="shared" si="20"/>
        <v>0.144473235506037</v>
      </c>
    </row>
    <row r="163" s="3" customFormat="1" spans="1:12">
      <c r="A163" s="4">
        <v>46016</v>
      </c>
      <c r="B163" s="8">
        <v>0.137702677721096</v>
      </c>
      <c r="C163" s="8">
        <v>0.0195574484774873</v>
      </c>
      <c r="D163" s="8">
        <v>0.0232258272117321</v>
      </c>
      <c r="E163" s="8">
        <v>1</v>
      </c>
      <c r="F163" s="9">
        <f t="shared" si="14"/>
        <v>0.156202561522885</v>
      </c>
      <c r="G163" s="9">
        <f t="shared" si="15"/>
        <v>0.146045184177369</v>
      </c>
      <c r="H163" s="9">
        <f t="shared" si="16"/>
        <v>0.141979756603323</v>
      </c>
      <c r="I163" s="3" t="str">
        <f t="shared" si="17"/>
        <v>2025-12-01</v>
      </c>
      <c r="J163" s="9">
        <f t="shared" si="18"/>
        <v>0.158079556787061</v>
      </c>
      <c r="K163" s="9">
        <f t="shared" si="19"/>
        <v>0.148573900208988</v>
      </c>
      <c r="L163" s="9">
        <f t="shared" si="20"/>
        <v>0.144473235506037</v>
      </c>
    </row>
    <row r="164" s="3" customFormat="1" spans="1:12">
      <c r="A164" s="4">
        <v>46015</v>
      </c>
      <c r="B164" s="8">
        <v>0.137744930468754</v>
      </c>
      <c r="C164" s="8">
        <v>0.0194297439032446</v>
      </c>
      <c r="D164" s="8">
        <v>0.0200918084446472</v>
      </c>
      <c r="E164" s="8">
        <v>1</v>
      </c>
      <c r="F164" s="9">
        <f t="shared" si="14"/>
        <v>0.155335952961935</v>
      </c>
      <c r="G164" s="9">
        <f t="shared" si="15"/>
        <v>0.145460604572908</v>
      </c>
      <c r="H164" s="9">
        <f t="shared" si="16"/>
        <v>0.141695994109281</v>
      </c>
      <c r="I164" s="3" t="str">
        <f t="shared" si="17"/>
        <v>2025-12-01</v>
      </c>
      <c r="J164" s="9">
        <f t="shared" si="18"/>
        <v>0.158079556787061</v>
      </c>
      <c r="K164" s="9">
        <f t="shared" si="19"/>
        <v>0.148573900208988</v>
      </c>
      <c r="L164" s="9">
        <f t="shared" si="20"/>
        <v>0.144473235506037</v>
      </c>
    </row>
    <row r="165" s="3" customFormat="1" spans="1:12">
      <c r="A165" s="4">
        <v>46014</v>
      </c>
      <c r="B165" s="8">
        <v>0.137603008654179</v>
      </c>
      <c r="C165" s="8">
        <v>0.0194007401554861</v>
      </c>
      <c r="D165" s="8">
        <v>0.0272340613868382</v>
      </c>
      <c r="E165" s="8">
        <v>1</v>
      </c>
      <c r="F165" s="9">
        <f t="shared" si="14"/>
        <v>0.157062974182153</v>
      </c>
      <c r="G165" s="9">
        <f t="shared" si="15"/>
        <v>0.146683622736228</v>
      </c>
      <c r="H165" s="9">
        <f t="shared" si="16"/>
        <v>0.142265040662266</v>
      </c>
      <c r="I165" s="3" t="str">
        <f t="shared" si="17"/>
        <v>2025-12-01</v>
      </c>
      <c r="J165" s="9">
        <f t="shared" si="18"/>
        <v>0.158079556787061</v>
      </c>
      <c r="K165" s="9">
        <f t="shared" si="19"/>
        <v>0.148573900208988</v>
      </c>
      <c r="L165" s="9">
        <f t="shared" si="20"/>
        <v>0.144473235506037</v>
      </c>
    </row>
    <row r="166" s="3" customFormat="1" spans="1:12">
      <c r="A166" s="4">
        <v>46013</v>
      </c>
      <c r="B166" s="8">
        <v>0.137408222520454</v>
      </c>
      <c r="C166" s="8">
        <v>0.0195955262892103</v>
      </c>
      <c r="D166" s="8">
        <v>0.0283530692847586</v>
      </c>
      <c r="E166" s="8">
        <v>1</v>
      </c>
      <c r="F166" s="9">
        <f t="shared" si="14"/>
        <v>0.157287004265744</v>
      </c>
      <c r="G166" s="9">
        <f t="shared" si="15"/>
        <v>0.146742285138014</v>
      </c>
      <c r="H166" s="9">
        <f t="shared" si="16"/>
        <v>0.14220157716421</v>
      </c>
      <c r="I166" s="3" t="str">
        <f t="shared" si="17"/>
        <v>2025-12-01</v>
      </c>
      <c r="J166" s="9">
        <f t="shared" si="18"/>
        <v>0.158079556787061</v>
      </c>
      <c r="K166" s="9">
        <f t="shared" si="19"/>
        <v>0.148573900208988</v>
      </c>
      <c r="L166" s="9">
        <f t="shared" si="20"/>
        <v>0.144473235506037</v>
      </c>
    </row>
    <row r="167" s="3" customFormat="1" spans="1:12">
      <c r="A167" s="4">
        <v>46010</v>
      </c>
      <c r="B167" s="8">
        <v>0.137280203420359</v>
      </c>
      <c r="C167" s="8">
        <v>0.0197235453893056</v>
      </c>
      <c r="D167" s="8">
        <v>0.0290760224834743</v>
      </c>
      <c r="E167" s="8">
        <v>1</v>
      </c>
      <c r="F167" s="9">
        <f t="shared" si="14"/>
        <v>0.157430942631984</v>
      </c>
      <c r="G167" s="9">
        <f t="shared" si="15"/>
        <v>0.146778442516096</v>
      </c>
      <c r="H167" s="9">
        <f t="shared" si="16"/>
        <v>0.142158618608563</v>
      </c>
      <c r="I167" s="3" t="str">
        <f t="shared" si="17"/>
        <v>2025-12-01</v>
      </c>
      <c r="J167" s="9">
        <f t="shared" si="18"/>
        <v>0.158079556787061</v>
      </c>
      <c r="K167" s="9">
        <f t="shared" si="19"/>
        <v>0.148573900208988</v>
      </c>
      <c r="L167" s="9">
        <f t="shared" si="20"/>
        <v>0.144473235506037</v>
      </c>
    </row>
    <row r="168" s="3" customFormat="1" spans="1:12">
      <c r="A168" s="4">
        <v>46009</v>
      </c>
      <c r="B168" s="8">
        <v>0.139109765734633</v>
      </c>
      <c r="C168" s="8">
        <v>0.0179794495081425</v>
      </c>
      <c r="D168" s="8">
        <v>0.027264859268006</v>
      </c>
      <c r="E168" s="8">
        <v>1</v>
      </c>
      <c r="F168" s="9">
        <f t="shared" si="14"/>
        <v>0.157679442290892</v>
      </c>
      <c r="G168" s="9">
        <f t="shared" si="15"/>
        <v>0.147913947562269</v>
      </c>
      <c r="H168" s="9">
        <f t="shared" si="16"/>
        <v>0.143632753380708</v>
      </c>
      <c r="I168" s="3" t="str">
        <f t="shared" si="17"/>
        <v>2025-12-01</v>
      </c>
      <c r="J168" s="9">
        <f t="shared" si="18"/>
        <v>0.158079556787061</v>
      </c>
      <c r="K168" s="9">
        <f t="shared" si="19"/>
        <v>0.148573900208988</v>
      </c>
      <c r="L168" s="9">
        <f t="shared" si="20"/>
        <v>0.144473235506037</v>
      </c>
    </row>
    <row r="169" s="3" customFormat="1" spans="1:12">
      <c r="A169" s="4">
        <v>46008</v>
      </c>
      <c r="B169" s="8">
        <v>0.13949682886787</v>
      </c>
      <c r="C169" s="8">
        <v>0.0175923863749053</v>
      </c>
      <c r="D169" s="8">
        <v>0.0211370346784587</v>
      </c>
      <c r="E169" s="8">
        <v>1</v>
      </c>
      <c r="F169" s="9">
        <f t="shared" si="14"/>
        <v>0.156202611641696</v>
      </c>
      <c r="G169" s="9">
        <f t="shared" si="15"/>
        <v>0.147048101501889</v>
      </c>
      <c r="H169" s="9">
        <f t="shared" si="16"/>
        <v>0.143368635522017</v>
      </c>
      <c r="I169" s="3" t="str">
        <f t="shared" si="17"/>
        <v>2025-12-01</v>
      </c>
      <c r="J169" s="9">
        <f t="shared" si="18"/>
        <v>0.158079556787061</v>
      </c>
      <c r="K169" s="9">
        <f t="shared" si="19"/>
        <v>0.148573900208988</v>
      </c>
      <c r="L169" s="9">
        <f t="shared" si="20"/>
        <v>0.144473235506037</v>
      </c>
    </row>
    <row r="170" s="3" customFormat="1" spans="1:12">
      <c r="A170" s="4">
        <v>46006</v>
      </c>
      <c r="B170" s="8">
        <v>0.136111077272642</v>
      </c>
      <c r="C170" s="8">
        <v>0.0209781379701332</v>
      </c>
      <c r="D170" s="8">
        <v>0.0424730058505128</v>
      </c>
      <c r="E170" s="8">
        <v>1</v>
      </c>
      <c r="F170" s="9">
        <f t="shared" si="14"/>
        <v>0.160594904105702</v>
      </c>
      <c r="G170" s="9">
        <f t="shared" si="15"/>
        <v>0.14842961908564</v>
      </c>
      <c r="H170" s="9">
        <f t="shared" si="16"/>
        <v>0.142453975315477</v>
      </c>
      <c r="I170" s="3" t="str">
        <f t="shared" si="17"/>
        <v>2025-12-01</v>
      </c>
      <c r="J170" s="9">
        <f t="shared" si="18"/>
        <v>0.158079556787061</v>
      </c>
      <c r="K170" s="9">
        <f t="shared" si="19"/>
        <v>0.148573900208988</v>
      </c>
      <c r="L170" s="9">
        <f t="shared" si="20"/>
        <v>0.144473235506037</v>
      </c>
    </row>
    <row r="171" s="3" customFormat="1" spans="1:12">
      <c r="A171" s="4">
        <v>46003</v>
      </c>
      <c r="B171" s="8">
        <v>0.136082312904101</v>
      </c>
      <c r="C171" s="8">
        <v>0.0212632578196761</v>
      </c>
      <c r="D171" s="8">
        <v>0.0420381321736278</v>
      </c>
      <c r="E171" s="8">
        <v>1</v>
      </c>
      <c r="F171" s="9">
        <f t="shared" si="14"/>
        <v>0.160631458349367</v>
      </c>
      <c r="G171" s="9">
        <f t="shared" si="15"/>
        <v>0.148374035914087</v>
      </c>
      <c r="H171" s="9">
        <f t="shared" si="16"/>
        <v>0.142410255987317</v>
      </c>
      <c r="I171" s="3" t="str">
        <f t="shared" si="17"/>
        <v>2025-12-01</v>
      </c>
      <c r="J171" s="9">
        <f t="shared" si="18"/>
        <v>0.158079556787061</v>
      </c>
      <c r="K171" s="9">
        <f t="shared" si="19"/>
        <v>0.148573900208988</v>
      </c>
      <c r="L171" s="9">
        <f t="shared" si="20"/>
        <v>0.144473235506037</v>
      </c>
    </row>
    <row r="172" s="3" customFormat="1" spans="1:12">
      <c r="A172" s="4">
        <v>46002</v>
      </c>
      <c r="B172" s="8">
        <v>0.136039454965145</v>
      </c>
      <c r="C172" s="8">
        <v>0.0214769829098381</v>
      </c>
      <c r="D172" s="8">
        <v>0.0417424640123212</v>
      </c>
      <c r="E172" s="8">
        <v>1</v>
      </c>
      <c r="F172" s="9">
        <f t="shared" si="14"/>
        <v>0.160645572748441</v>
      </c>
      <c r="G172" s="9">
        <f t="shared" si="15"/>
        <v>0.148316891982916</v>
      </c>
      <c r="H172" s="9">
        <f t="shared" si="16"/>
        <v>0.142359217536582</v>
      </c>
      <c r="I172" s="3" t="str">
        <f t="shared" si="17"/>
        <v>2025-12-01</v>
      </c>
      <c r="J172" s="9">
        <f t="shared" si="18"/>
        <v>0.158079556787061</v>
      </c>
      <c r="K172" s="9">
        <f t="shared" si="19"/>
        <v>0.148573900208988</v>
      </c>
      <c r="L172" s="9">
        <f t="shared" si="20"/>
        <v>0.144473235506037</v>
      </c>
    </row>
    <row r="173" s="3" customFormat="1" spans="1:12">
      <c r="A173" s="4">
        <v>46001</v>
      </c>
      <c r="B173" s="8">
        <v>0.136848523839383</v>
      </c>
      <c r="C173" s="8">
        <v>0.0207533366641072</v>
      </c>
      <c r="D173" s="8">
        <v>0.0402342765822755</v>
      </c>
      <c r="E173" s="8">
        <v>1</v>
      </c>
      <c r="F173" s="9">
        <f t="shared" si="14"/>
        <v>0.160598684821282</v>
      </c>
      <c r="G173" s="9">
        <f t="shared" si="15"/>
        <v>0.148692763804371</v>
      </c>
      <c r="H173" s="9">
        <f t="shared" si="16"/>
        <v>0.142945181647355</v>
      </c>
      <c r="I173" s="3" t="str">
        <f t="shared" si="17"/>
        <v>2025-12-01</v>
      </c>
      <c r="J173" s="9">
        <f t="shared" si="18"/>
        <v>0.158079556787061</v>
      </c>
      <c r="K173" s="9">
        <f t="shared" si="19"/>
        <v>0.148573900208988</v>
      </c>
      <c r="L173" s="9">
        <f t="shared" si="20"/>
        <v>0.144473235506037</v>
      </c>
    </row>
    <row r="174" s="3" customFormat="1" spans="1:12">
      <c r="A174" s="4">
        <v>46000</v>
      </c>
      <c r="B174" s="8">
        <v>0.142500913496921</v>
      </c>
      <c r="C174" s="8">
        <v>0.0158694224745199</v>
      </c>
      <c r="D174" s="8">
        <v>0.0274907274497357</v>
      </c>
      <c r="E174" s="8">
        <v>1</v>
      </c>
      <c r="F174" s="9">
        <f t="shared" si="14"/>
        <v>0.159796482246326</v>
      </c>
      <c r="G174" s="9">
        <f t="shared" si="15"/>
        <v>0.150929280738837</v>
      </c>
      <c r="H174" s="9">
        <f t="shared" si="16"/>
        <v>0.146835483557475</v>
      </c>
      <c r="I174" s="3" t="str">
        <f t="shared" si="17"/>
        <v>2025-12-01</v>
      </c>
      <c r="J174" s="9">
        <f t="shared" si="18"/>
        <v>0.158079556787061</v>
      </c>
      <c r="K174" s="9">
        <f t="shared" si="19"/>
        <v>0.148573900208988</v>
      </c>
      <c r="L174" s="9">
        <f t="shared" si="20"/>
        <v>0.144473235506037</v>
      </c>
    </row>
    <row r="175" s="3" customFormat="1" spans="1:12">
      <c r="A175" s="4">
        <v>45999</v>
      </c>
      <c r="B175" s="8">
        <v>0.142437992475582</v>
      </c>
      <c r="C175" s="8">
        <v>0.0150784453994013</v>
      </c>
      <c r="D175" s="8">
        <v>0.0287840595136694</v>
      </c>
      <c r="E175" s="8">
        <v>1</v>
      </c>
      <c r="F175" s="9">
        <f t="shared" si="14"/>
        <v>0.159575319864318</v>
      </c>
      <c r="G175" s="9">
        <f t="shared" si="15"/>
        <v>0.150957439344104</v>
      </c>
      <c r="H175" s="9">
        <f t="shared" si="16"/>
        <v>0.146822737037145</v>
      </c>
      <c r="I175" s="3" t="str">
        <f t="shared" si="17"/>
        <v>2025-12-01</v>
      </c>
      <c r="J175" s="9">
        <f t="shared" si="18"/>
        <v>0.158079556787061</v>
      </c>
      <c r="K175" s="9">
        <f t="shared" si="19"/>
        <v>0.148573900208988</v>
      </c>
      <c r="L175" s="9">
        <f t="shared" si="20"/>
        <v>0.144473235506037</v>
      </c>
    </row>
    <row r="176" s="3" customFormat="1" spans="1:12">
      <c r="A176" s="4">
        <v>45996</v>
      </c>
      <c r="B176" s="8">
        <v>0.142565955313422</v>
      </c>
      <c r="C176" s="8">
        <v>0.0158897303785506</v>
      </c>
      <c r="D176" s="8">
        <v>0.0270501507432505</v>
      </c>
      <c r="E176" s="8">
        <v>1</v>
      </c>
      <c r="F176" s="9">
        <f t="shared" si="14"/>
        <v>0.159757942625136</v>
      </c>
      <c r="G176" s="9">
        <f t="shared" si="15"/>
        <v>0.150913803727128</v>
      </c>
      <c r="H176" s="9">
        <f t="shared" si="16"/>
        <v>0.1468585204039</v>
      </c>
      <c r="I176" s="3" t="str">
        <f t="shared" si="17"/>
        <v>2025-12-01</v>
      </c>
      <c r="J176" s="9">
        <f t="shared" si="18"/>
        <v>0.158079556787061</v>
      </c>
      <c r="K176" s="9">
        <f t="shared" si="19"/>
        <v>0.148573900208988</v>
      </c>
      <c r="L176" s="9">
        <f t="shared" si="20"/>
        <v>0.144473235506037</v>
      </c>
    </row>
    <row r="177" s="3" customFormat="1" spans="1:12">
      <c r="A177" s="4">
        <v>45995</v>
      </c>
      <c r="B177" s="8">
        <v>0.143088534167618</v>
      </c>
      <c r="C177" s="8">
        <v>0.0145133263358717</v>
      </c>
      <c r="D177" s="8">
        <v>0.0305365332661717</v>
      </c>
      <c r="E177" s="8">
        <v>1</v>
      </c>
      <c r="F177" s="9">
        <f t="shared" si="14"/>
        <v>0.160331713801137</v>
      </c>
      <c r="G177" s="9">
        <f t="shared" si="15"/>
        <v>0.15183204383208</v>
      </c>
      <c r="H177" s="9">
        <f t="shared" si="16"/>
        <v>0.147591929245311</v>
      </c>
      <c r="I177" s="3" t="str">
        <f t="shared" si="17"/>
        <v>2025-12-01</v>
      </c>
      <c r="J177" s="9">
        <f t="shared" si="18"/>
        <v>0.158079556787061</v>
      </c>
      <c r="K177" s="9">
        <f t="shared" si="19"/>
        <v>0.148573900208988</v>
      </c>
      <c r="L177" s="9">
        <f t="shared" si="20"/>
        <v>0.144473235506037</v>
      </c>
    </row>
    <row r="178" s="3" customFormat="1" spans="1:12">
      <c r="A178" s="4">
        <v>45994</v>
      </c>
      <c r="B178" s="8">
        <v>0.144613785796841</v>
      </c>
      <c r="C178" s="8">
        <v>0.0128172221519878</v>
      </c>
      <c r="D178" s="8">
        <v>0.0270162210006298</v>
      </c>
      <c r="E178" s="8">
        <v>1</v>
      </c>
      <c r="F178" s="9">
        <f t="shared" si="14"/>
        <v>0.159854611858263</v>
      </c>
      <c r="G178" s="9">
        <f t="shared" si="15"/>
        <v>0.152344761436396</v>
      </c>
      <c r="H178" s="9">
        <f t="shared" si="16"/>
        <v>0.148595722734015</v>
      </c>
      <c r="I178" s="3" t="str">
        <f t="shared" si="17"/>
        <v>2025-12-01</v>
      </c>
      <c r="J178" s="9">
        <f t="shared" si="18"/>
        <v>0.158079556787061</v>
      </c>
      <c r="K178" s="9">
        <f t="shared" si="19"/>
        <v>0.148573900208988</v>
      </c>
      <c r="L178" s="9">
        <f t="shared" si="20"/>
        <v>0.144473235506037</v>
      </c>
    </row>
    <row r="179" s="3" customFormat="1" spans="1:12">
      <c r="A179" s="4">
        <v>45993</v>
      </c>
      <c r="B179" s="8">
        <v>0.153074193112237</v>
      </c>
      <c r="C179" s="8">
        <v>0.00555217017018304</v>
      </c>
      <c r="D179" s="8">
        <v>0.0361801486355395</v>
      </c>
      <c r="E179" s="8">
        <v>0.106</v>
      </c>
      <c r="F179" s="9">
        <f t="shared" si="14"/>
        <v>0.157494572157113</v>
      </c>
      <c r="G179" s="9">
        <f t="shared" si="15"/>
        <v>0.153958918270918</v>
      </c>
      <c r="H179" s="9">
        <f t="shared" si="16"/>
        <v>0.153516555691578</v>
      </c>
      <c r="I179" s="3" t="str">
        <f t="shared" si="17"/>
        <v>2025-12-01</v>
      </c>
      <c r="J179" s="9">
        <f t="shared" si="18"/>
        <v>0.158079556787061</v>
      </c>
      <c r="K179" s="9">
        <f t="shared" si="19"/>
        <v>0.148573900208988</v>
      </c>
      <c r="L179" s="9">
        <f t="shared" si="20"/>
        <v>0.144473235506037</v>
      </c>
    </row>
    <row r="180" s="3" customFormat="1" spans="1:12">
      <c r="A180" s="4">
        <v>45992</v>
      </c>
      <c r="B180" s="8">
        <v>0.154129941393064</v>
      </c>
      <c r="C180" s="8">
        <v>0.00730840448446698</v>
      </c>
      <c r="D180" s="8">
        <v>-0.0118568334863701</v>
      </c>
      <c r="E180" s="8">
        <v>1</v>
      </c>
      <c r="F180" s="9">
        <f t="shared" si="14"/>
        <v>0.155616671187618</v>
      </c>
      <c r="G180" s="9">
        <f t="shared" si="15"/>
        <v>0.153306275723</v>
      </c>
      <c r="H180" s="9">
        <f t="shared" si="16"/>
        <v>0.153675657442117</v>
      </c>
      <c r="I180" s="3" t="str">
        <f t="shared" si="17"/>
        <v>2025-12-01</v>
      </c>
      <c r="J180" s="9">
        <f t="shared" si="18"/>
        <v>0.158079556787061</v>
      </c>
      <c r="K180" s="9">
        <f t="shared" si="19"/>
        <v>0.148573900208988</v>
      </c>
      <c r="L180" s="9">
        <f t="shared" si="20"/>
        <v>0.144473235506037</v>
      </c>
    </row>
    <row r="181" s="3" customFormat="1" spans="1:12">
      <c r="A181" s="4">
        <v>45989</v>
      </c>
      <c r="B181" s="8">
        <v>0.15396597966122</v>
      </c>
      <c r="C181" s="8">
        <v>0.00696168444506237</v>
      </c>
      <c r="D181" s="8">
        <v>-0.0106670617853342</v>
      </c>
      <c r="E181" s="8">
        <v>1</v>
      </c>
      <c r="F181" s="9">
        <f t="shared" si="14"/>
        <v>0.155547927194747</v>
      </c>
      <c r="G181" s="9">
        <f t="shared" si="15"/>
        <v>0.153301771617337</v>
      </c>
      <c r="H181" s="9">
        <f t="shared" si="16"/>
        <v>0.153595943033436</v>
      </c>
      <c r="I181" s="3" t="str">
        <f t="shared" si="17"/>
        <v>2025-11-01</v>
      </c>
      <c r="J181" s="9">
        <f t="shared" si="18"/>
        <v>0.160060932919815</v>
      </c>
      <c r="K181" s="9">
        <f t="shared" si="19"/>
        <v>0.156609522513301</v>
      </c>
      <c r="L181" s="9">
        <f t="shared" si="20"/>
        <v>0.15540248882757</v>
      </c>
    </row>
    <row r="182" s="3" customFormat="1" spans="1:12">
      <c r="A182" s="4">
        <v>45988</v>
      </c>
      <c r="B182" s="8">
        <v>0.154498633775792</v>
      </c>
      <c r="C182" s="8">
        <v>0.00762021570064275</v>
      </c>
      <c r="D182" s="8">
        <v>-0.0153004214422317</v>
      </c>
      <c r="E182" s="8">
        <v>1</v>
      </c>
      <c r="F182" s="9">
        <f t="shared" si="14"/>
        <v>0.155272528320356</v>
      </c>
      <c r="G182" s="9">
        <f t="shared" si="15"/>
        <v>0.153076035820061</v>
      </c>
      <c r="H182" s="9">
        <f t="shared" si="16"/>
        <v>0.153731342707772</v>
      </c>
      <c r="I182" s="3" t="str">
        <f t="shared" si="17"/>
        <v>2025-11-01</v>
      </c>
      <c r="J182" s="9">
        <f t="shared" si="18"/>
        <v>0.160060932919815</v>
      </c>
      <c r="K182" s="9">
        <f t="shared" si="19"/>
        <v>0.156609522513301</v>
      </c>
      <c r="L182" s="9">
        <f t="shared" si="20"/>
        <v>0.15540248882757</v>
      </c>
    </row>
    <row r="183" s="3" customFormat="1" spans="1:12">
      <c r="A183" s="4">
        <v>45987</v>
      </c>
      <c r="B183" s="8">
        <v>0.152494874300866</v>
      </c>
      <c r="C183" s="8">
        <v>0.00741064320875633</v>
      </c>
      <c r="D183" s="8">
        <v>0.0390915149347956</v>
      </c>
      <c r="E183" s="8">
        <v>0.096</v>
      </c>
      <c r="F183" s="9">
        <f t="shared" si="14"/>
        <v>0.156957777882607</v>
      </c>
      <c r="G183" s="9">
        <f t="shared" si="15"/>
        <v>0.153387715737222</v>
      </c>
      <c r="H183" s="9">
        <f t="shared" si="16"/>
        <v>0.152941295019044</v>
      </c>
      <c r="I183" s="3" t="str">
        <f t="shared" si="17"/>
        <v>2025-11-01</v>
      </c>
      <c r="J183" s="9">
        <f t="shared" si="18"/>
        <v>0.160060932919815</v>
      </c>
      <c r="K183" s="9">
        <f t="shared" si="19"/>
        <v>0.156609522513301</v>
      </c>
      <c r="L183" s="9">
        <f t="shared" si="20"/>
        <v>0.15540248882757</v>
      </c>
    </row>
    <row r="184" s="3" customFormat="1" spans="1:12">
      <c r="A184" s="4">
        <v>45986</v>
      </c>
      <c r="B184" s="8">
        <v>0.154433190383891</v>
      </c>
      <c r="C184" s="8">
        <v>0.00385178858182196</v>
      </c>
      <c r="D184" s="8">
        <v>0.021352360596333</v>
      </c>
      <c r="E184" s="8">
        <v>0.256</v>
      </c>
      <c r="F184" s="9">
        <f t="shared" si="14"/>
        <v>0.160326140508545</v>
      </c>
      <c r="G184" s="9">
        <f t="shared" si="15"/>
        <v>0.155723642747234</v>
      </c>
      <c r="H184" s="9">
        <f t="shared" si="16"/>
        <v>0.155078416602852</v>
      </c>
      <c r="I184" s="3" t="str">
        <f t="shared" si="17"/>
        <v>2025-11-01</v>
      </c>
      <c r="J184" s="9">
        <f t="shared" si="18"/>
        <v>0.160060932919815</v>
      </c>
      <c r="K184" s="9">
        <f t="shared" si="19"/>
        <v>0.156609522513301</v>
      </c>
      <c r="L184" s="9">
        <f t="shared" si="20"/>
        <v>0.15540248882757</v>
      </c>
    </row>
    <row r="185" s="3" customFormat="1" spans="1:12">
      <c r="A185" s="4">
        <v>45985</v>
      </c>
      <c r="B185" s="8">
        <v>0.154230371502806</v>
      </c>
      <c r="C185" s="8">
        <v>0.00320063644602226</v>
      </c>
      <c r="D185" s="8">
        <v>0.0222720330442703</v>
      </c>
      <c r="E185" s="8">
        <v>0.286</v>
      </c>
      <c r="F185" s="9">
        <f t="shared" si="14"/>
        <v>0.160619878108311</v>
      </c>
      <c r="G185" s="9">
        <f t="shared" si="15"/>
        <v>0.155687407591306</v>
      </c>
      <c r="H185" s="9">
        <f t="shared" si="16"/>
        <v>0.154958889850228</v>
      </c>
      <c r="I185" s="3" t="str">
        <f t="shared" si="17"/>
        <v>2025-11-01</v>
      </c>
      <c r="J185" s="9">
        <f t="shared" si="18"/>
        <v>0.160060932919815</v>
      </c>
      <c r="K185" s="9">
        <f t="shared" si="19"/>
        <v>0.156609522513301</v>
      </c>
      <c r="L185" s="9">
        <f t="shared" si="20"/>
        <v>0.15540248882757</v>
      </c>
    </row>
    <row r="186" s="3" customFormat="1" spans="1:12">
      <c r="A186" s="4">
        <v>45982</v>
      </c>
      <c r="B186" s="8">
        <v>0.153988041065709</v>
      </c>
      <c r="C186" s="8">
        <v>0.00301570774395569</v>
      </c>
      <c r="D186" s="8">
        <v>0.0235259957400719</v>
      </c>
      <c r="E186" s="8">
        <v>0.456</v>
      </c>
      <c r="F186" s="9">
        <f t="shared" si="14"/>
        <v>0.162115449392824</v>
      </c>
      <c r="G186" s="9">
        <f t="shared" si="15"/>
        <v>0.156408195595865</v>
      </c>
      <c r="H186" s="9">
        <f t="shared" si="16"/>
        <v>0.155198342737179</v>
      </c>
      <c r="I186" s="3" t="str">
        <f t="shared" si="17"/>
        <v>2025-11-01</v>
      </c>
      <c r="J186" s="9">
        <f t="shared" si="18"/>
        <v>0.160060932919815</v>
      </c>
      <c r="K186" s="9">
        <f t="shared" si="19"/>
        <v>0.156609522513301</v>
      </c>
      <c r="L186" s="9">
        <f t="shared" si="20"/>
        <v>0.15540248882757</v>
      </c>
    </row>
    <row r="187" s="3" customFormat="1" spans="1:12">
      <c r="A187" s="4">
        <v>45981</v>
      </c>
      <c r="B187" s="8">
        <v>0.152354963270038</v>
      </c>
      <c r="C187" s="8">
        <v>0.00464878553962692</v>
      </c>
      <c r="D187" s="8">
        <v>0.019457821312872</v>
      </c>
      <c r="E187" s="8">
        <v>1</v>
      </c>
      <c r="F187" s="9">
        <f t="shared" si="14"/>
        <v>0.160435112634107</v>
      </c>
      <c r="G187" s="9">
        <f t="shared" si="15"/>
        <v>0.157012693063954</v>
      </c>
      <c r="H187" s="9">
        <f t="shared" si="16"/>
        <v>0.154764631127741</v>
      </c>
      <c r="I187" s="3" t="str">
        <f t="shared" si="17"/>
        <v>2025-11-01</v>
      </c>
      <c r="J187" s="9">
        <f t="shared" si="18"/>
        <v>0.160060932919815</v>
      </c>
      <c r="K187" s="9">
        <f t="shared" si="19"/>
        <v>0.156609522513301</v>
      </c>
      <c r="L187" s="9">
        <f t="shared" si="20"/>
        <v>0.15540248882757</v>
      </c>
    </row>
    <row r="188" s="3" customFormat="1" spans="1:12">
      <c r="A188" s="4">
        <v>45980</v>
      </c>
      <c r="B188" s="8">
        <v>0.152263354472778</v>
      </c>
      <c r="C188" s="8">
        <v>0.00474039433688693</v>
      </c>
      <c r="D188" s="8">
        <v>0.0221835679789062</v>
      </c>
      <c r="E188" s="8">
        <v>1</v>
      </c>
      <c r="F188" s="9">
        <f t="shared" si="14"/>
        <v>0.161121665986447</v>
      </c>
      <c r="G188" s="9">
        <f t="shared" si="15"/>
        <v>0.157462392784426</v>
      </c>
      <c r="H188" s="9">
        <f t="shared" si="16"/>
        <v>0.154954621337329</v>
      </c>
      <c r="I188" s="3" t="str">
        <f t="shared" si="17"/>
        <v>2025-11-01</v>
      </c>
      <c r="J188" s="9">
        <f t="shared" si="18"/>
        <v>0.160060932919815</v>
      </c>
      <c r="K188" s="9">
        <f t="shared" si="19"/>
        <v>0.156609522513301</v>
      </c>
      <c r="L188" s="9">
        <f t="shared" si="20"/>
        <v>0.15540248882757</v>
      </c>
    </row>
    <row r="189" s="3" customFormat="1" spans="1:12">
      <c r="A189" s="4">
        <v>45979</v>
      </c>
      <c r="B189" s="8">
        <v>0.155729135568699</v>
      </c>
      <c r="C189" s="8">
        <v>0.00127461324096547</v>
      </c>
      <c r="D189" s="8">
        <v>0.0243860905499466</v>
      </c>
      <c r="E189" s="8">
        <v>0.136</v>
      </c>
      <c r="F189" s="9">
        <f t="shared" si="14"/>
        <v>0.159201131021665</v>
      </c>
      <c r="G189" s="9">
        <f t="shared" si="15"/>
        <v>0.156427106711812</v>
      </c>
      <c r="H189" s="9">
        <f t="shared" si="16"/>
        <v>0.156078121140255</v>
      </c>
      <c r="I189" s="3" t="str">
        <f t="shared" si="17"/>
        <v>2025-11-01</v>
      </c>
      <c r="J189" s="9">
        <f t="shared" si="18"/>
        <v>0.160060932919815</v>
      </c>
      <c r="K189" s="9">
        <f t="shared" si="19"/>
        <v>0.156609522513301</v>
      </c>
      <c r="L189" s="9">
        <f t="shared" si="20"/>
        <v>0.15540248882757</v>
      </c>
    </row>
    <row r="190" s="3" customFormat="1" spans="1:12">
      <c r="A190" s="4">
        <v>45978</v>
      </c>
      <c r="B190" s="8">
        <v>0.1537948506595</v>
      </c>
      <c r="C190" s="8">
        <v>0.00320889815016472</v>
      </c>
      <c r="D190" s="8">
        <v>0.0145265835508855</v>
      </c>
      <c r="E190" s="8">
        <v>1</v>
      </c>
      <c r="F190" s="9">
        <f t="shared" si="14"/>
        <v>0.159661781824631</v>
      </c>
      <c r="G190" s="9">
        <f t="shared" si="15"/>
        <v>0.157220167502525</v>
      </c>
      <c r="H190" s="9">
        <f t="shared" si="16"/>
        <v>0.15556765880477</v>
      </c>
      <c r="I190" s="3" t="str">
        <f t="shared" si="17"/>
        <v>2025-11-01</v>
      </c>
      <c r="J190" s="9">
        <f t="shared" si="18"/>
        <v>0.160060932919815</v>
      </c>
      <c r="K190" s="9">
        <f t="shared" si="19"/>
        <v>0.156609522513301</v>
      </c>
      <c r="L190" s="9">
        <f t="shared" si="20"/>
        <v>0.15540248882757</v>
      </c>
    </row>
    <row r="191" s="3" customFormat="1" spans="1:12">
      <c r="A191" s="4">
        <v>45975</v>
      </c>
      <c r="B191" s="8">
        <v>0.155725610939502</v>
      </c>
      <c r="C191" s="8">
        <v>0.00127813787016275</v>
      </c>
      <c r="D191" s="8">
        <v>0.0281080872982169</v>
      </c>
      <c r="E191" s="8">
        <v>0.206</v>
      </c>
      <c r="F191" s="9">
        <f t="shared" si="14"/>
        <v>0.16151290886895</v>
      </c>
      <c r="G191" s="9">
        <f t="shared" si="15"/>
        <v>0.156936323415596</v>
      </c>
      <c r="H191" s="9">
        <f t="shared" si="16"/>
        <v>0.156330967177971</v>
      </c>
      <c r="I191" s="3" t="str">
        <f t="shared" si="17"/>
        <v>2025-11-01</v>
      </c>
      <c r="J191" s="9">
        <f t="shared" si="18"/>
        <v>0.160060932919815</v>
      </c>
      <c r="K191" s="9">
        <f t="shared" si="19"/>
        <v>0.156609522513301</v>
      </c>
      <c r="L191" s="9">
        <f t="shared" si="20"/>
        <v>0.15540248882757</v>
      </c>
    </row>
    <row r="192" s="3" customFormat="1" spans="1:12">
      <c r="A192" s="4">
        <v>45974</v>
      </c>
      <c r="B192" s="8">
        <v>0.155750597398354</v>
      </c>
      <c r="C192" s="8">
        <v>0.00125315141131077</v>
      </c>
      <c r="D192" s="8">
        <v>0.0284170674940937</v>
      </c>
      <c r="E192" s="8">
        <v>0.196</v>
      </c>
      <c r="F192" s="9">
        <f t="shared" si="14"/>
        <v>0.161357679348553</v>
      </c>
      <c r="G192" s="9">
        <f t="shared" si="15"/>
        <v>0.156913669979199</v>
      </c>
      <c r="H192" s="9">
        <f t="shared" si="16"/>
        <v>0.1563321336889</v>
      </c>
      <c r="I192" s="3" t="str">
        <f t="shared" si="17"/>
        <v>2025-11-01</v>
      </c>
      <c r="J192" s="9">
        <f t="shared" si="18"/>
        <v>0.160060932919815</v>
      </c>
      <c r="K192" s="9">
        <f t="shared" si="19"/>
        <v>0.156609522513301</v>
      </c>
      <c r="L192" s="9">
        <f t="shared" si="20"/>
        <v>0.15540248882757</v>
      </c>
    </row>
    <row r="193" s="3" customFormat="1" spans="1:12">
      <c r="A193" s="4">
        <v>45973</v>
      </c>
      <c r="B193" s="8">
        <v>0.155692952719072</v>
      </c>
      <c r="C193" s="8">
        <v>0.001310796090593</v>
      </c>
      <c r="D193" s="8">
        <v>0.0342616137944013</v>
      </c>
      <c r="E193" s="8">
        <v>0.166</v>
      </c>
      <c r="F193" s="9">
        <f t="shared" si="14"/>
        <v>0.161500780066341</v>
      </c>
      <c r="G193" s="9">
        <f t="shared" si="15"/>
        <v>0.156873956727251</v>
      </c>
      <c r="H193" s="9">
        <f t="shared" si="16"/>
        <v>0.156283454723163</v>
      </c>
      <c r="I193" s="3" t="str">
        <f t="shared" si="17"/>
        <v>2025-11-01</v>
      </c>
      <c r="J193" s="9">
        <f t="shared" si="18"/>
        <v>0.160060932919815</v>
      </c>
      <c r="K193" s="9">
        <f t="shared" si="19"/>
        <v>0.156609522513301</v>
      </c>
      <c r="L193" s="9">
        <f t="shared" si="20"/>
        <v>0.15540248882757</v>
      </c>
    </row>
    <row r="194" s="3" customFormat="1" spans="1:12">
      <c r="A194" s="4">
        <v>45972</v>
      </c>
      <c r="B194" s="8">
        <v>0.153608819180776</v>
      </c>
      <c r="C194" s="8">
        <v>0.00356585519122303</v>
      </c>
      <c r="D194" s="8">
        <v>0.0171257409173885</v>
      </c>
      <c r="E194" s="8">
        <v>1</v>
      </c>
      <c r="F194" s="9">
        <f t="shared" si="14"/>
        <v>0.160388194477671</v>
      </c>
      <c r="G194" s="9">
        <f t="shared" si="15"/>
        <v>0.157603862292296</v>
      </c>
      <c r="H194" s="9">
        <f t="shared" si="16"/>
        <v>0.155677107344501</v>
      </c>
      <c r="I194" s="3" t="str">
        <f t="shared" si="17"/>
        <v>2025-11-01</v>
      </c>
      <c r="J194" s="9">
        <f t="shared" si="18"/>
        <v>0.160060932919815</v>
      </c>
      <c r="K194" s="9">
        <f t="shared" si="19"/>
        <v>0.156609522513301</v>
      </c>
      <c r="L194" s="9">
        <f t="shared" si="20"/>
        <v>0.15540248882757</v>
      </c>
    </row>
    <row r="195" s="3" customFormat="1" spans="1:12">
      <c r="A195" s="4">
        <v>45971</v>
      </c>
      <c r="B195" s="8">
        <v>0.153576015356704</v>
      </c>
      <c r="C195" s="8">
        <v>0.00342773345296093</v>
      </c>
      <c r="D195" s="8">
        <v>0.0173082691354041</v>
      </c>
      <c r="E195" s="8">
        <v>1</v>
      </c>
      <c r="F195" s="9">
        <f t="shared" si="14"/>
        <v>0.160316312523554</v>
      </c>
      <c r="G195" s="9">
        <f t="shared" si="15"/>
        <v>0.157578650057014</v>
      </c>
      <c r="H195" s="9">
        <f t="shared" si="16"/>
        <v>0.155648735680031</v>
      </c>
      <c r="I195" s="3" t="str">
        <f t="shared" si="17"/>
        <v>2025-11-01</v>
      </c>
      <c r="J195" s="9">
        <f t="shared" si="18"/>
        <v>0.160060932919815</v>
      </c>
      <c r="K195" s="9">
        <f t="shared" si="19"/>
        <v>0.156609522513301</v>
      </c>
      <c r="L195" s="9">
        <f t="shared" si="20"/>
        <v>0.15540248882757</v>
      </c>
    </row>
    <row r="196" s="3" customFormat="1" spans="1:12">
      <c r="A196" s="4">
        <v>45968</v>
      </c>
      <c r="B196" s="8">
        <v>0.153352687383556</v>
      </c>
      <c r="C196" s="8">
        <v>0.00399288334022131</v>
      </c>
      <c r="D196" s="8">
        <v>0.023497320442181</v>
      </c>
      <c r="E196" s="8">
        <v>1</v>
      </c>
      <c r="F196" s="9">
        <f t="shared" si="14"/>
        <v>0.162085629247503</v>
      </c>
      <c r="G196" s="9">
        <f t="shared" si="15"/>
        <v>0.158655358933061</v>
      </c>
      <c r="H196" s="9">
        <f t="shared" si="16"/>
        <v>0.156100516179766</v>
      </c>
      <c r="I196" s="3" t="str">
        <f t="shared" si="17"/>
        <v>2025-11-01</v>
      </c>
      <c r="J196" s="9">
        <f t="shared" si="18"/>
        <v>0.160060932919815</v>
      </c>
      <c r="K196" s="9">
        <f t="shared" si="19"/>
        <v>0.156609522513301</v>
      </c>
      <c r="L196" s="9">
        <f t="shared" si="20"/>
        <v>0.15540248882757</v>
      </c>
    </row>
    <row r="197" s="3" customFormat="1" spans="1:12">
      <c r="A197" s="4">
        <v>45967</v>
      </c>
      <c r="B197" s="8">
        <v>0.15331122600093</v>
      </c>
      <c r="C197" s="8">
        <v>0.00394890019765319</v>
      </c>
      <c r="D197" s="8">
        <v>0.0238190128247909</v>
      </c>
      <c r="E197" s="8">
        <v>1</v>
      </c>
      <c r="F197" s="9">
        <f t="shared" ref="F197:F260" si="21">B197+(C197+D197)*(E197/$F$3)*(1-EXP(-$F$3/E197))-D197*EXP(-$F$3/E197)</f>
        <v>0.162101369570941</v>
      </c>
      <c r="G197" s="9">
        <f t="shared" ref="G197:G260" si="22">B197+(C197+D197)*(E197/$G$3)*(1-EXP(-$G$3/E197))-D197*EXP(-$G$3/E197)</f>
        <v>0.158666897614191</v>
      </c>
      <c r="H197" s="9">
        <f t="shared" ref="H197:H260" si="23">B197+(C197+D197)*(E197/$H$3)*(1-EXP(-$H$3/E197))-D197*EXP(-$H$3/E197)</f>
        <v>0.156086809855535</v>
      </c>
      <c r="I197" s="3" t="str">
        <f t="shared" ref="I197:I260" si="24">TEXT(A197,"yyyy-mm-01")</f>
        <v>2025-11-01</v>
      </c>
      <c r="J197" s="9">
        <f t="shared" ref="J197:J260" si="25">AVERAGEIF($I:$I,I197,$F:$F)</f>
        <v>0.160060932919815</v>
      </c>
      <c r="K197" s="9">
        <f t="shared" ref="K197:K260" si="26">AVERAGEIF($I:$I,I197,$G:$G)</f>
        <v>0.156609522513301</v>
      </c>
      <c r="L197" s="9">
        <f t="shared" ref="L197:L260" si="27">AVERAGEIF($I:$I,I197,$H:$H)</f>
        <v>0.15540248882757</v>
      </c>
    </row>
    <row r="198" s="3" customFormat="1" spans="1:12">
      <c r="A198" s="4">
        <v>45966</v>
      </c>
      <c r="B198" s="8">
        <v>0.153261557918512</v>
      </c>
      <c r="C198" s="8">
        <v>0.0039131164534865</v>
      </c>
      <c r="D198" s="8">
        <v>0.0241810999103882</v>
      </c>
      <c r="E198" s="8">
        <v>1</v>
      </c>
      <c r="F198" s="9">
        <f t="shared" si="21"/>
        <v>0.16212476014435</v>
      </c>
      <c r="G198" s="9">
        <f t="shared" si="22"/>
        <v>0.158679610753543</v>
      </c>
      <c r="H198" s="9">
        <f t="shared" si="23"/>
        <v>0.156069754187117</v>
      </c>
      <c r="I198" s="3" t="str">
        <f t="shared" si="24"/>
        <v>2025-11-01</v>
      </c>
      <c r="J198" s="9">
        <f t="shared" si="25"/>
        <v>0.160060932919815</v>
      </c>
      <c r="K198" s="9">
        <f t="shared" si="26"/>
        <v>0.156609522513301</v>
      </c>
      <c r="L198" s="9">
        <f t="shared" si="27"/>
        <v>0.15540248882757</v>
      </c>
    </row>
    <row r="199" s="3" customFormat="1" spans="1:12">
      <c r="A199" s="4">
        <v>45965</v>
      </c>
      <c r="B199" s="8">
        <v>0.155107513630159</v>
      </c>
      <c r="C199" s="8">
        <v>0.00223805709361883</v>
      </c>
      <c r="D199" s="8">
        <v>0.00994738451582306</v>
      </c>
      <c r="E199" s="8">
        <v>0.95</v>
      </c>
      <c r="F199" s="9">
        <f t="shared" si="21"/>
        <v>0.159171573846829</v>
      </c>
      <c r="G199" s="9">
        <f t="shared" si="22"/>
        <v>0.157359240362562</v>
      </c>
      <c r="H199" s="9">
        <f t="shared" si="23"/>
        <v>0.156264832732951</v>
      </c>
      <c r="I199" s="3" t="str">
        <f t="shared" si="24"/>
        <v>2025-11-01</v>
      </c>
      <c r="J199" s="9">
        <f t="shared" si="25"/>
        <v>0.160060932919815</v>
      </c>
      <c r="K199" s="9">
        <f t="shared" si="26"/>
        <v>0.156609522513301</v>
      </c>
      <c r="L199" s="9">
        <f t="shared" si="27"/>
        <v>0.15540248882757</v>
      </c>
    </row>
    <row r="200" s="3" customFormat="1" spans="1:12">
      <c r="A200" s="4">
        <v>45964</v>
      </c>
      <c r="B200" s="8">
        <v>0.155515735679408</v>
      </c>
      <c r="C200" s="8">
        <v>0.00430455576803324</v>
      </c>
      <c r="D200" s="8">
        <v>0.00440250768191088</v>
      </c>
      <c r="E200" s="8">
        <v>1</v>
      </c>
      <c r="F200" s="9">
        <f t="shared" si="21"/>
        <v>0.159400057427368</v>
      </c>
      <c r="G200" s="9">
        <f t="shared" si="22"/>
        <v>0.157215750959564</v>
      </c>
      <c r="H200" s="9">
        <f t="shared" si="23"/>
        <v>0.156386202620856</v>
      </c>
      <c r="I200" s="3" t="str">
        <f t="shared" si="24"/>
        <v>2025-11-01</v>
      </c>
      <c r="J200" s="9">
        <f t="shared" si="25"/>
        <v>0.160060932919815</v>
      </c>
      <c r="K200" s="9">
        <f t="shared" si="26"/>
        <v>0.156609522513301</v>
      </c>
      <c r="L200" s="9">
        <f t="shared" si="27"/>
        <v>0.15540248882757</v>
      </c>
    </row>
    <row r="201" s="3" customFormat="1" spans="1:12">
      <c r="A201" s="4">
        <v>45961</v>
      </c>
      <c r="B201" s="8">
        <v>0.15585550339069</v>
      </c>
      <c r="C201" s="8">
        <v>0.00600821150086856</v>
      </c>
      <c r="D201" s="8">
        <v>0.000182574006339461</v>
      </c>
      <c r="E201" s="8">
        <v>1</v>
      </c>
      <c r="F201" s="9">
        <f t="shared" si="21"/>
        <v>0.159701660961669</v>
      </c>
      <c r="G201" s="9">
        <f t="shared" si="22"/>
        <v>0.157084087681227</v>
      </c>
      <c r="H201" s="9">
        <f t="shared" si="23"/>
        <v>0.156474545546441</v>
      </c>
      <c r="I201" s="3" t="str">
        <f t="shared" si="24"/>
        <v>2025-10-01</v>
      </c>
      <c r="J201" s="9">
        <f t="shared" si="25"/>
        <v>0.158727672100424</v>
      </c>
      <c r="K201" s="9">
        <f t="shared" si="26"/>
        <v>0.156644066384116</v>
      </c>
      <c r="L201" s="9">
        <f t="shared" si="27"/>
        <v>0.155998422102907</v>
      </c>
    </row>
    <row r="202" s="3" customFormat="1" spans="1:12">
      <c r="A202" s="4">
        <v>45960</v>
      </c>
      <c r="B202" s="8">
        <v>0.156197255226446</v>
      </c>
      <c r="C202" s="8">
        <v>0.00234377290210545</v>
      </c>
      <c r="D202" s="8">
        <v>0.0143230319621912</v>
      </c>
      <c r="E202" s="8">
        <v>0.236</v>
      </c>
      <c r="F202" s="9">
        <f t="shared" si="21"/>
        <v>0.159866876173065</v>
      </c>
      <c r="G202" s="9">
        <f t="shared" si="22"/>
        <v>0.156983928406533</v>
      </c>
      <c r="H202" s="9">
        <f t="shared" si="23"/>
        <v>0.156590591821243</v>
      </c>
      <c r="I202" s="3" t="str">
        <f t="shared" si="24"/>
        <v>2025-10-01</v>
      </c>
      <c r="J202" s="9">
        <f t="shared" si="25"/>
        <v>0.158727672100424</v>
      </c>
      <c r="K202" s="9">
        <f t="shared" si="26"/>
        <v>0.156644066384116</v>
      </c>
      <c r="L202" s="9">
        <f t="shared" si="27"/>
        <v>0.155998422102907</v>
      </c>
    </row>
    <row r="203" s="3" customFormat="1" spans="1:12">
      <c r="A203" s="4">
        <v>45959</v>
      </c>
      <c r="B203" s="8">
        <v>0.155481988831082</v>
      </c>
      <c r="C203" s="8">
        <v>0.00263225426260952</v>
      </c>
      <c r="D203" s="8">
        <v>0.00657032455640208</v>
      </c>
      <c r="E203" s="8">
        <v>1</v>
      </c>
      <c r="F203" s="9">
        <f t="shared" si="21"/>
        <v>0.158882040770695</v>
      </c>
      <c r="G203" s="9">
        <f t="shared" si="22"/>
        <v>0.157265832798589</v>
      </c>
      <c r="H203" s="9">
        <f t="shared" si="23"/>
        <v>0.156401906641067</v>
      </c>
      <c r="I203" s="3" t="str">
        <f t="shared" si="24"/>
        <v>2025-10-01</v>
      </c>
      <c r="J203" s="9">
        <f t="shared" si="25"/>
        <v>0.158727672100424</v>
      </c>
      <c r="K203" s="9">
        <f t="shared" si="26"/>
        <v>0.156644066384116</v>
      </c>
      <c r="L203" s="9">
        <f t="shared" si="27"/>
        <v>0.155998422102907</v>
      </c>
    </row>
    <row r="204" s="3" customFormat="1" spans="1:12">
      <c r="A204" s="4">
        <v>45958</v>
      </c>
      <c r="B204" s="8">
        <v>0.151013776101272</v>
      </c>
      <c r="C204" s="8">
        <v>0.00607543914150339</v>
      </c>
      <c r="D204" s="8">
        <v>0.0263350589527167</v>
      </c>
      <c r="E204" s="8">
        <v>1</v>
      </c>
      <c r="F204" s="9">
        <f t="shared" si="21"/>
        <v>0.16181299149776</v>
      </c>
      <c r="G204" s="9">
        <f t="shared" si="22"/>
        <v>0.157274755445</v>
      </c>
      <c r="H204" s="9">
        <f t="shared" si="23"/>
        <v>0.154253483157434</v>
      </c>
      <c r="I204" s="3" t="str">
        <f t="shared" si="24"/>
        <v>2025-10-01</v>
      </c>
      <c r="J204" s="9">
        <f t="shared" si="25"/>
        <v>0.158727672100424</v>
      </c>
      <c r="K204" s="9">
        <f t="shared" si="26"/>
        <v>0.156644066384116</v>
      </c>
      <c r="L204" s="9">
        <f t="shared" si="27"/>
        <v>0.155998422102907</v>
      </c>
    </row>
    <row r="205" s="3" customFormat="1" spans="1:12">
      <c r="A205" s="4">
        <v>45954</v>
      </c>
      <c r="B205" s="8">
        <v>0.151445341931679</v>
      </c>
      <c r="C205" s="8">
        <v>0.00615651857181051</v>
      </c>
      <c r="D205" s="8">
        <v>0.0263400922789973</v>
      </c>
      <c r="E205" s="8">
        <v>1</v>
      </c>
      <c r="F205" s="9">
        <f t="shared" si="21"/>
        <v>0.162297139314724</v>
      </c>
      <c r="G205" s="9">
        <f t="shared" si="22"/>
        <v>0.157723393867801</v>
      </c>
      <c r="H205" s="9">
        <f t="shared" si="23"/>
        <v>0.154693659644035</v>
      </c>
      <c r="I205" s="3" t="str">
        <f t="shared" si="24"/>
        <v>2025-10-01</v>
      </c>
      <c r="J205" s="9">
        <f t="shared" si="25"/>
        <v>0.158727672100424</v>
      </c>
      <c r="K205" s="9">
        <f t="shared" si="26"/>
        <v>0.156644066384116</v>
      </c>
      <c r="L205" s="9">
        <f t="shared" si="27"/>
        <v>0.155998422102907</v>
      </c>
    </row>
    <row r="206" s="3" customFormat="1" spans="1:12">
      <c r="A206" s="4">
        <v>45953</v>
      </c>
      <c r="B206" s="8">
        <v>0.151438791972025</v>
      </c>
      <c r="C206" s="8">
        <v>0.00701689371994749</v>
      </c>
      <c r="D206" s="8">
        <v>0.0255761162640421</v>
      </c>
      <c r="E206" s="8">
        <v>1</v>
      </c>
      <c r="F206" s="9">
        <f t="shared" si="21"/>
        <v>0.162632576298458</v>
      </c>
      <c r="G206" s="9">
        <f t="shared" si="22"/>
        <v>0.157741141458231</v>
      </c>
      <c r="H206" s="9">
        <f t="shared" si="23"/>
        <v>0.154696783844506</v>
      </c>
      <c r="I206" s="3" t="str">
        <f t="shared" si="24"/>
        <v>2025-10-01</v>
      </c>
      <c r="J206" s="9">
        <f t="shared" si="25"/>
        <v>0.158727672100424</v>
      </c>
      <c r="K206" s="9">
        <f t="shared" si="26"/>
        <v>0.156644066384116</v>
      </c>
      <c r="L206" s="9">
        <f t="shared" si="27"/>
        <v>0.155998422102907</v>
      </c>
    </row>
    <row r="207" s="3" customFormat="1" spans="1:12">
      <c r="A207" s="4">
        <v>45952</v>
      </c>
      <c r="B207" s="8">
        <v>0.151293953475796</v>
      </c>
      <c r="C207" s="8">
        <v>0.00673491074911416</v>
      </c>
      <c r="D207" s="8">
        <v>0.0270404456046713</v>
      </c>
      <c r="E207" s="8">
        <v>1</v>
      </c>
      <c r="F207" s="9">
        <f t="shared" si="21"/>
        <v>0.162696426590711</v>
      </c>
      <c r="G207" s="9">
        <f t="shared" si="22"/>
        <v>0.15782131234504</v>
      </c>
      <c r="H207" s="9">
        <f t="shared" si="23"/>
        <v>0.154670108136963</v>
      </c>
      <c r="I207" s="3" t="str">
        <f t="shared" si="24"/>
        <v>2025-10-01</v>
      </c>
      <c r="J207" s="9">
        <f t="shared" si="25"/>
        <v>0.158727672100424</v>
      </c>
      <c r="K207" s="9">
        <f t="shared" si="26"/>
        <v>0.156644066384116</v>
      </c>
      <c r="L207" s="9">
        <f t="shared" si="27"/>
        <v>0.155998422102907</v>
      </c>
    </row>
    <row r="208" s="3" customFormat="1" spans="1:12">
      <c r="A208" s="4">
        <v>45951</v>
      </c>
      <c r="B208" s="8">
        <v>0.158590038676715</v>
      </c>
      <c r="C208" s="8">
        <v>-0.00158628986705023</v>
      </c>
      <c r="D208" s="8">
        <v>-0.0113799942007604</v>
      </c>
      <c r="E208" s="8">
        <v>1</v>
      </c>
      <c r="F208" s="9">
        <f t="shared" si="21"/>
        <v>0.154580249852951</v>
      </c>
      <c r="G208" s="9">
        <f t="shared" si="22"/>
        <v>0.156090932887892</v>
      </c>
      <c r="H208" s="9">
        <f t="shared" si="23"/>
        <v>0.15729398578771</v>
      </c>
      <c r="I208" s="3" t="str">
        <f t="shared" si="24"/>
        <v>2025-10-01</v>
      </c>
      <c r="J208" s="9">
        <f t="shared" si="25"/>
        <v>0.158727672100424</v>
      </c>
      <c r="K208" s="9">
        <f t="shared" si="26"/>
        <v>0.156644066384116</v>
      </c>
      <c r="L208" s="9">
        <f t="shared" si="27"/>
        <v>0.155998422102907</v>
      </c>
    </row>
    <row r="209" s="3" customFormat="1" spans="1:12">
      <c r="A209" s="4">
        <v>45950</v>
      </c>
      <c r="B209" s="8">
        <v>0.15914151800784</v>
      </c>
      <c r="C209" s="8">
        <v>-0.002052302765065</v>
      </c>
      <c r="D209" s="8">
        <v>-0.00958283320856185</v>
      </c>
      <c r="E209" s="8">
        <v>1</v>
      </c>
      <c r="F209" s="9">
        <f t="shared" si="21"/>
        <v>0.15531203667975</v>
      </c>
      <c r="G209" s="9">
        <f t="shared" si="22"/>
        <v>0.156894738821278</v>
      </c>
      <c r="H209" s="9">
        <f t="shared" si="23"/>
        <v>0.157978492293867</v>
      </c>
      <c r="I209" s="3" t="str">
        <f t="shared" si="24"/>
        <v>2025-10-01</v>
      </c>
      <c r="J209" s="9">
        <f t="shared" si="25"/>
        <v>0.158727672100424</v>
      </c>
      <c r="K209" s="9">
        <f t="shared" si="26"/>
        <v>0.156644066384116</v>
      </c>
      <c r="L209" s="9">
        <f t="shared" si="27"/>
        <v>0.155998422102907</v>
      </c>
    </row>
    <row r="210" s="3" customFormat="1" spans="1:12">
      <c r="A210" s="4">
        <v>45947</v>
      </c>
      <c r="B210" s="8">
        <v>0.158147449888251</v>
      </c>
      <c r="C210" s="8">
        <v>-0.000545589384761702</v>
      </c>
      <c r="D210" s="8">
        <v>-0.00368870561238733</v>
      </c>
      <c r="E210" s="8">
        <v>1</v>
      </c>
      <c r="F210" s="9">
        <f t="shared" si="21"/>
        <v>0.156827863927739</v>
      </c>
      <c r="G210" s="9">
        <f t="shared" si="22"/>
        <v>0.157331151282787</v>
      </c>
      <c r="H210" s="9">
        <f t="shared" si="23"/>
        <v>0.157724207079181</v>
      </c>
      <c r="I210" s="3" t="str">
        <f t="shared" si="24"/>
        <v>2025-10-01</v>
      </c>
      <c r="J210" s="9">
        <f t="shared" si="25"/>
        <v>0.158727672100424</v>
      </c>
      <c r="K210" s="9">
        <f t="shared" si="26"/>
        <v>0.156644066384116</v>
      </c>
      <c r="L210" s="9">
        <f t="shared" si="27"/>
        <v>0.155998422102907</v>
      </c>
    </row>
    <row r="211" s="3" customFormat="1" spans="1:12">
      <c r="A211" s="4">
        <v>45946</v>
      </c>
      <c r="B211" s="8">
        <v>0.158042871951805</v>
      </c>
      <c r="C211" s="8">
        <v>-0.000868197579806672</v>
      </c>
      <c r="D211" s="8">
        <v>-0.00257908873506659</v>
      </c>
      <c r="E211" s="8">
        <v>1</v>
      </c>
      <c r="F211" s="9">
        <f t="shared" si="21"/>
        <v>0.156812565122593</v>
      </c>
      <c r="G211" s="9">
        <f t="shared" si="22"/>
        <v>0.157375437978529</v>
      </c>
      <c r="H211" s="9">
        <f t="shared" si="23"/>
        <v>0.157698276061421</v>
      </c>
      <c r="I211" s="3" t="str">
        <f t="shared" si="24"/>
        <v>2025-10-01</v>
      </c>
      <c r="J211" s="9">
        <f t="shared" si="25"/>
        <v>0.158727672100424</v>
      </c>
      <c r="K211" s="9">
        <f t="shared" si="26"/>
        <v>0.156644066384116</v>
      </c>
      <c r="L211" s="9">
        <f t="shared" si="27"/>
        <v>0.155998422102907</v>
      </c>
    </row>
    <row r="212" s="3" customFormat="1" spans="1:12">
      <c r="A212" s="4">
        <v>45945</v>
      </c>
      <c r="B212" s="8">
        <v>0.157519596102944</v>
      </c>
      <c r="C212" s="8">
        <v>-0.00179872110616796</v>
      </c>
      <c r="D212" s="8">
        <v>0.00199087722038862</v>
      </c>
      <c r="E212" s="8">
        <v>0.076</v>
      </c>
      <c r="F212" s="9">
        <f t="shared" si="21"/>
        <v>0.157534196096675</v>
      </c>
      <c r="G212" s="9">
        <f t="shared" si="22"/>
        <v>0.15752251687588</v>
      </c>
      <c r="H212" s="9">
        <f t="shared" si="23"/>
        <v>0.157521056489412</v>
      </c>
      <c r="I212" s="3" t="str">
        <f t="shared" si="24"/>
        <v>2025-10-01</v>
      </c>
      <c r="J212" s="9">
        <f t="shared" si="25"/>
        <v>0.158727672100424</v>
      </c>
      <c r="K212" s="9">
        <f t="shared" si="26"/>
        <v>0.156644066384116</v>
      </c>
      <c r="L212" s="9">
        <f t="shared" si="27"/>
        <v>0.155998422102907</v>
      </c>
    </row>
    <row r="213" s="3" customFormat="1" spans="1:12">
      <c r="A213" s="4">
        <v>45944</v>
      </c>
      <c r="B213" s="8">
        <v>0.15565732443359</v>
      </c>
      <c r="C213" s="8">
        <v>0.00100448557978741</v>
      </c>
      <c r="D213" s="8">
        <v>0.0166631694813454</v>
      </c>
      <c r="E213" s="8">
        <v>0.076</v>
      </c>
      <c r="F213" s="9">
        <f t="shared" si="21"/>
        <v>0.157000031463497</v>
      </c>
      <c r="G213" s="9">
        <f t="shared" si="22"/>
        <v>0.155925872790519</v>
      </c>
      <c r="H213" s="9">
        <f t="shared" si="23"/>
        <v>0.155791598612055</v>
      </c>
      <c r="I213" s="3" t="str">
        <f t="shared" si="24"/>
        <v>2025-10-01</v>
      </c>
      <c r="J213" s="9">
        <f t="shared" si="25"/>
        <v>0.158727672100424</v>
      </c>
      <c r="K213" s="9">
        <f t="shared" si="26"/>
        <v>0.156644066384116</v>
      </c>
      <c r="L213" s="9">
        <f t="shared" si="27"/>
        <v>0.155998422102907</v>
      </c>
    </row>
    <row r="214" s="3" customFormat="1" spans="1:12">
      <c r="A214" s="4">
        <v>45943</v>
      </c>
      <c r="B214" s="8">
        <v>0.155321243039896</v>
      </c>
      <c r="C214" s="8">
        <v>-0.0107015534299526</v>
      </c>
      <c r="D214" s="8">
        <v>0.03039491955899</v>
      </c>
      <c r="E214" s="8">
        <v>0.166</v>
      </c>
      <c r="F214" s="9">
        <f t="shared" si="21"/>
        <v>0.158508883743576</v>
      </c>
      <c r="G214" s="9">
        <f t="shared" si="22"/>
        <v>0.155975062795377</v>
      </c>
      <c r="H214" s="9">
        <f t="shared" si="23"/>
        <v>0.155648152917638</v>
      </c>
      <c r="I214" s="3" t="str">
        <f t="shared" si="24"/>
        <v>2025-10-01</v>
      </c>
      <c r="J214" s="9">
        <f t="shared" si="25"/>
        <v>0.158727672100424</v>
      </c>
      <c r="K214" s="9">
        <f t="shared" si="26"/>
        <v>0.156644066384116</v>
      </c>
      <c r="L214" s="9">
        <f t="shared" si="27"/>
        <v>0.155998422102907</v>
      </c>
    </row>
    <row r="215" s="3" customFormat="1" spans="1:12">
      <c r="A215" s="4">
        <v>45940</v>
      </c>
      <c r="B215" s="8">
        <v>0.155282811619616</v>
      </c>
      <c r="C215" s="8">
        <v>-0.0104035503015312</v>
      </c>
      <c r="D215" s="8">
        <v>0.0283402166240142</v>
      </c>
      <c r="E215" s="8">
        <v>0.176</v>
      </c>
      <c r="F215" s="9">
        <f t="shared" si="21"/>
        <v>0.158332343111494</v>
      </c>
      <c r="G215" s="9">
        <f t="shared" si="22"/>
        <v>0.155914182274154</v>
      </c>
      <c r="H215" s="9">
        <f t="shared" si="23"/>
        <v>0.155598496946892</v>
      </c>
      <c r="I215" s="3" t="str">
        <f t="shared" si="24"/>
        <v>2025-10-01</v>
      </c>
      <c r="J215" s="9">
        <f t="shared" si="25"/>
        <v>0.158727672100424</v>
      </c>
      <c r="K215" s="9">
        <f t="shared" si="26"/>
        <v>0.156644066384116</v>
      </c>
      <c r="L215" s="9">
        <f t="shared" si="27"/>
        <v>0.155998422102907</v>
      </c>
    </row>
    <row r="216" s="3" customFormat="1" spans="1:12">
      <c r="A216" s="4">
        <v>45939</v>
      </c>
      <c r="B216" s="8">
        <v>0.15527900246012</v>
      </c>
      <c r="C216" s="8">
        <v>-0.0109189519532839</v>
      </c>
      <c r="D216" s="8">
        <v>0.0289556543350835</v>
      </c>
      <c r="E216" s="8">
        <v>0.176</v>
      </c>
      <c r="F216" s="9">
        <f t="shared" si="21"/>
        <v>0.15834398329095</v>
      </c>
      <c r="G216" s="9">
        <f t="shared" si="22"/>
        <v>0.155913894383946</v>
      </c>
      <c r="H216" s="9">
        <f t="shared" si="23"/>
        <v>0.15559644842204</v>
      </c>
      <c r="I216" s="3" t="str">
        <f t="shared" si="24"/>
        <v>2025-10-01</v>
      </c>
      <c r="J216" s="9">
        <f t="shared" si="25"/>
        <v>0.158727672100424</v>
      </c>
      <c r="K216" s="9">
        <f t="shared" si="26"/>
        <v>0.156644066384116</v>
      </c>
      <c r="L216" s="9">
        <f t="shared" si="27"/>
        <v>0.155998422102907</v>
      </c>
    </row>
    <row r="217" s="3" customFormat="1" spans="1:12">
      <c r="A217" s="4">
        <v>45938</v>
      </c>
      <c r="B217" s="8">
        <v>0.155277402774966</v>
      </c>
      <c r="C217" s="8">
        <v>-0.011003913618541</v>
      </c>
      <c r="D217" s="8">
        <v>0.0290913497163415</v>
      </c>
      <c r="E217" s="8">
        <v>0.176</v>
      </c>
      <c r="F217" s="9">
        <f t="shared" si="21"/>
        <v>0.158350819952369</v>
      </c>
      <c r="G217" s="9">
        <f t="shared" si="22"/>
        <v>0.155914080525595</v>
      </c>
      <c r="H217" s="9">
        <f t="shared" si="23"/>
        <v>0.155595741650287</v>
      </c>
      <c r="I217" s="3" t="str">
        <f t="shared" si="24"/>
        <v>2025-10-01</v>
      </c>
      <c r="J217" s="9">
        <f t="shared" si="25"/>
        <v>0.158727672100424</v>
      </c>
      <c r="K217" s="9">
        <f t="shared" si="26"/>
        <v>0.156644066384116</v>
      </c>
      <c r="L217" s="9">
        <f t="shared" si="27"/>
        <v>0.155998422102907</v>
      </c>
    </row>
    <row r="218" s="3" customFormat="1" spans="1:12">
      <c r="A218" s="4">
        <v>45937</v>
      </c>
      <c r="B218" s="8">
        <v>0.155321243039896</v>
      </c>
      <c r="C218" s="8">
        <v>-0.0107015534299526</v>
      </c>
      <c r="D218" s="8">
        <v>0.03039491955899</v>
      </c>
      <c r="E218" s="8">
        <v>0.166</v>
      </c>
      <c r="F218" s="9">
        <f t="shared" si="21"/>
        <v>0.158508883743576</v>
      </c>
      <c r="G218" s="9">
        <f t="shared" si="22"/>
        <v>0.155975062795377</v>
      </c>
      <c r="H218" s="9">
        <f t="shared" si="23"/>
        <v>0.155648152917638</v>
      </c>
      <c r="I218" s="3" t="str">
        <f t="shared" si="24"/>
        <v>2025-10-01</v>
      </c>
      <c r="J218" s="9">
        <f t="shared" si="25"/>
        <v>0.158727672100424</v>
      </c>
      <c r="K218" s="9">
        <f t="shared" si="26"/>
        <v>0.156644066384116</v>
      </c>
      <c r="L218" s="9">
        <f t="shared" si="27"/>
        <v>0.155998422102907</v>
      </c>
    </row>
    <row r="219" s="3" customFormat="1" spans="1:12">
      <c r="A219" s="4">
        <v>45936</v>
      </c>
      <c r="B219" s="8">
        <v>0.155310861206591</v>
      </c>
      <c r="C219" s="8">
        <v>-0.00930756708674774</v>
      </c>
      <c r="D219" s="8">
        <v>0.0285116672277642</v>
      </c>
      <c r="E219" s="8">
        <v>0.176</v>
      </c>
      <c r="F219" s="9">
        <f t="shared" si="21"/>
        <v>0.158582116783364</v>
      </c>
      <c r="G219" s="9">
        <f t="shared" si="22"/>
        <v>0.155986845531541</v>
      </c>
      <c r="H219" s="9">
        <f t="shared" si="23"/>
        <v>0.155648853369073</v>
      </c>
      <c r="I219" s="3" t="str">
        <f t="shared" si="24"/>
        <v>2025-10-01</v>
      </c>
      <c r="J219" s="9">
        <f t="shared" si="25"/>
        <v>0.158727672100424</v>
      </c>
      <c r="K219" s="9">
        <f t="shared" si="26"/>
        <v>0.156644066384116</v>
      </c>
      <c r="L219" s="9">
        <f t="shared" si="27"/>
        <v>0.155998422102907</v>
      </c>
    </row>
    <row r="220" s="3" customFormat="1" spans="1:12">
      <c r="A220" s="4">
        <v>45933</v>
      </c>
      <c r="B220" s="8">
        <v>0.155310823768686</v>
      </c>
      <c r="C220" s="8">
        <v>-0.00922111789679105</v>
      </c>
      <c r="D220" s="8">
        <v>0.028544257640632</v>
      </c>
      <c r="E220" s="8">
        <v>0.176</v>
      </c>
      <c r="F220" s="9">
        <f t="shared" si="21"/>
        <v>0.158602847880917</v>
      </c>
      <c r="G220" s="9">
        <f t="shared" si="22"/>
        <v>0.155990998287656</v>
      </c>
      <c r="H220" s="9">
        <f t="shared" si="23"/>
        <v>0.155650911028178</v>
      </c>
      <c r="I220" s="3" t="str">
        <f t="shared" si="24"/>
        <v>2025-10-01</v>
      </c>
      <c r="J220" s="9">
        <f t="shared" si="25"/>
        <v>0.158727672100424</v>
      </c>
      <c r="K220" s="9">
        <f t="shared" si="26"/>
        <v>0.156644066384116</v>
      </c>
      <c r="L220" s="9">
        <f t="shared" si="27"/>
        <v>0.155998422102907</v>
      </c>
    </row>
    <row r="221" s="3" customFormat="1" spans="1:12">
      <c r="A221" s="4">
        <v>45932</v>
      </c>
      <c r="B221" s="8">
        <v>0.155057316974609</v>
      </c>
      <c r="C221" s="8">
        <v>-0.00784493729422179</v>
      </c>
      <c r="D221" s="8">
        <v>0.0326886507972703</v>
      </c>
      <c r="E221" s="8">
        <v>0.136</v>
      </c>
      <c r="F221" s="9">
        <f t="shared" si="21"/>
        <v>0.158412953444424</v>
      </c>
      <c r="G221" s="9">
        <f t="shared" si="22"/>
        <v>0.155733065981892</v>
      </c>
      <c r="H221" s="9">
        <f t="shared" si="23"/>
        <v>0.15539519147825</v>
      </c>
      <c r="I221" s="3" t="str">
        <f t="shared" si="24"/>
        <v>2025-10-01</v>
      </c>
      <c r="J221" s="9">
        <f t="shared" si="25"/>
        <v>0.158727672100424</v>
      </c>
      <c r="K221" s="9">
        <f t="shared" si="26"/>
        <v>0.156644066384116</v>
      </c>
      <c r="L221" s="9">
        <f t="shared" si="27"/>
        <v>0.155998422102907</v>
      </c>
    </row>
    <row r="222" s="3" customFormat="1" spans="1:12">
      <c r="A222" s="4">
        <v>45931</v>
      </c>
      <c r="B222" s="8">
        <v>0.155058119601547</v>
      </c>
      <c r="C222" s="8">
        <v>-0.00922767139000731</v>
      </c>
      <c r="D222" s="8">
        <v>0.0359358314752905</v>
      </c>
      <c r="E222" s="8">
        <v>0.126</v>
      </c>
      <c r="F222" s="9">
        <f t="shared" si="21"/>
        <v>0.158409299508369</v>
      </c>
      <c r="G222" s="9">
        <f t="shared" si="22"/>
        <v>0.155731165235696</v>
      </c>
      <c r="H222" s="9">
        <f t="shared" si="23"/>
        <v>0.155394642418622</v>
      </c>
      <c r="I222" s="3" t="str">
        <f t="shared" si="24"/>
        <v>2025-10-01</v>
      </c>
      <c r="J222" s="9">
        <f t="shared" si="25"/>
        <v>0.158727672100424</v>
      </c>
      <c r="K222" s="9">
        <f t="shared" si="26"/>
        <v>0.156644066384116</v>
      </c>
      <c r="L222" s="9">
        <f t="shared" si="27"/>
        <v>0.155998422102907</v>
      </c>
    </row>
    <row r="223" s="3" customFormat="1" spans="1:12">
      <c r="A223" s="4">
        <v>45930</v>
      </c>
      <c r="B223" s="8">
        <v>0.155046021379985</v>
      </c>
      <c r="C223" s="8">
        <v>-0.00886991122238383</v>
      </c>
      <c r="D223" s="8">
        <v>0.0340577911067801</v>
      </c>
      <c r="E223" s="8">
        <v>0.136</v>
      </c>
      <c r="F223" s="9">
        <f t="shared" si="21"/>
        <v>0.158447557273155</v>
      </c>
      <c r="G223" s="9">
        <f t="shared" si="22"/>
        <v>0.155731131712841</v>
      </c>
      <c r="H223" s="9">
        <f t="shared" si="23"/>
        <v>0.155388576546413</v>
      </c>
      <c r="I223" s="3" t="str">
        <f t="shared" si="24"/>
        <v>2025-09-01</v>
      </c>
      <c r="J223" s="9">
        <f t="shared" si="25"/>
        <v>0.159270502147931</v>
      </c>
      <c r="K223" s="9">
        <f t="shared" si="26"/>
        <v>0.156150817126568</v>
      </c>
      <c r="L223" s="9">
        <f t="shared" si="27"/>
        <v>0.154890682696136</v>
      </c>
    </row>
    <row r="224" s="3" customFormat="1" spans="1:12">
      <c r="A224" s="4">
        <v>45929</v>
      </c>
      <c r="B224" s="8">
        <v>0.154045414069911</v>
      </c>
      <c r="C224" s="8">
        <v>-0.00640157215734904</v>
      </c>
      <c r="D224" s="8">
        <v>0.0309013578754699</v>
      </c>
      <c r="E224" s="8">
        <v>0.426</v>
      </c>
      <c r="F224" s="9">
        <f t="shared" si="21"/>
        <v>0.160529733883796</v>
      </c>
      <c r="G224" s="9">
        <f t="shared" si="22"/>
        <v>0.156132532172278</v>
      </c>
      <c r="H224" s="9">
        <f t="shared" si="23"/>
        <v>0.155089104939463</v>
      </c>
      <c r="I224" s="3" t="str">
        <f t="shared" si="24"/>
        <v>2025-09-01</v>
      </c>
      <c r="J224" s="9">
        <f t="shared" si="25"/>
        <v>0.159270502147931</v>
      </c>
      <c r="K224" s="9">
        <f t="shared" si="26"/>
        <v>0.156150817126568</v>
      </c>
      <c r="L224" s="9">
        <f t="shared" si="27"/>
        <v>0.154890682696136</v>
      </c>
    </row>
    <row r="225" s="3" customFormat="1" spans="1:12">
      <c r="A225" s="4">
        <v>45926</v>
      </c>
      <c r="B225" s="8">
        <v>0.149774940562929</v>
      </c>
      <c r="C225" s="8">
        <v>-0.000751669170488767</v>
      </c>
      <c r="D225" s="8">
        <v>0.0460842176445418</v>
      </c>
      <c r="E225" s="8">
        <v>0.73</v>
      </c>
      <c r="F225" s="9">
        <f t="shared" si="21"/>
        <v>0.162745523521182</v>
      </c>
      <c r="G225" s="9">
        <f t="shared" si="22"/>
        <v>0.15633761813362</v>
      </c>
      <c r="H225" s="9">
        <f t="shared" si="23"/>
        <v>0.153084161083988</v>
      </c>
      <c r="I225" s="3" t="str">
        <f t="shared" si="24"/>
        <v>2025-09-01</v>
      </c>
      <c r="J225" s="9">
        <f t="shared" si="25"/>
        <v>0.159270502147931</v>
      </c>
      <c r="K225" s="9">
        <f t="shared" si="26"/>
        <v>0.156150817126568</v>
      </c>
      <c r="L225" s="9">
        <f t="shared" si="27"/>
        <v>0.154890682696136</v>
      </c>
    </row>
    <row r="226" s="3" customFormat="1" spans="1:12">
      <c r="A226" s="4">
        <v>45925</v>
      </c>
      <c r="B226" s="8">
        <v>0.150767996646273</v>
      </c>
      <c r="C226" s="8">
        <v>-0.00364193175597871</v>
      </c>
      <c r="D226" s="8">
        <v>0.0453533045899766</v>
      </c>
      <c r="E226" s="8">
        <v>0.68</v>
      </c>
      <c r="F226" s="9">
        <f t="shared" si="21"/>
        <v>0.162192271736383</v>
      </c>
      <c r="G226" s="9">
        <f t="shared" si="22"/>
        <v>0.156408050697364</v>
      </c>
      <c r="H226" s="9">
        <f t="shared" si="23"/>
        <v>0.153604350216973</v>
      </c>
      <c r="I226" s="3" t="str">
        <f t="shared" si="24"/>
        <v>2025-09-01</v>
      </c>
      <c r="J226" s="9">
        <f t="shared" si="25"/>
        <v>0.159270502147931</v>
      </c>
      <c r="K226" s="9">
        <f t="shared" si="26"/>
        <v>0.156150817126568</v>
      </c>
      <c r="L226" s="9">
        <f t="shared" si="27"/>
        <v>0.154890682696136</v>
      </c>
    </row>
    <row r="227" s="3" customFormat="1" spans="1:12">
      <c r="A227" s="4">
        <v>45924</v>
      </c>
      <c r="B227" s="8">
        <v>0.150573615207177</v>
      </c>
      <c r="C227" s="8">
        <v>-0.00413833697763102</v>
      </c>
      <c r="D227" s="8">
        <v>0.0472157235023948</v>
      </c>
      <c r="E227" s="8">
        <v>0.68</v>
      </c>
      <c r="F227" s="9">
        <f t="shared" si="21"/>
        <v>0.162285364123945</v>
      </c>
      <c r="G227" s="9">
        <f t="shared" si="22"/>
        <v>0.156398134829971</v>
      </c>
      <c r="H227" s="9">
        <f t="shared" si="23"/>
        <v>0.153502856906189</v>
      </c>
      <c r="I227" s="3" t="str">
        <f t="shared" si="24"/>
        <v>2025-09-01</v>
      </c>
      <c r="J227" s="9">
        <f t="shared" si="25"/>
        <v>0.159270502147931</v>
      </c>
      <c r="K227" s="9">
        <f t="shared" si="26"/>
        <v>0.156150817126568</v>
      </c>
      <c r="L227" s="9">
        <f t="shared" si="27"/>
        <v>0.154890682696136</v>
      </c>
    </row>
    <row r="228" s="3" customFormat="1" spans="1:12">
      <c r="A228" s="4">
        <v>45923</v>
      </c>
      <c r="B228" s="8">
        <v>0.156278354194245</v>
      </c>
      <c r="C228" s="8">
        <v>-0.00984307596469968</v>
      </c>
      <c r="D228" s="8">
        <v>0.00877989962712815</v>
      </c>
      <c r="E228" s="8">
        <v>0.106</v>
      </c>
      <c r="F228" s="9">
        <f t="shared" si="21"/>
        <v>0.156164964457818</v>
      </c>
      <c r="G228" s="9">
        <f t="shared" si="22"/>
        <v>0.156255814855888</v>
      </c>
      <c r="H228" s="9">
        <f t="shared" si="23"/>
        <v>0.156267084525067</v>
      </c>
      <c r="I228" s="3" t="str">
        <f t="shared" si="24"/>
        <v>2025-09-01</v>
      </c>
      <c r="J228" s="9">
        <f t="shared" si="25"/>
        <v>0.159270502147931</v>
      </c>
      <c r="K228" s="9">
        <f t="shared" si="26"/>
        <v>0.156150817126568</v>
      </c>
      <c r="L228" s="9">
        <f t="shared" si="27"/>
        <v>0.154890682696136</v>
      </c>
    </row>
    <row r="229" s="3" customFormat="1" spans="1:12">
      <c r="A229" s="4">
        <v>45922</v>
      </c>
      <c r="B229" s="8">
        <v>0.156452005340906</v>
      </c>
      <c r="C229" s="8">
        <v>-0.0104487112210633</v>
      </c>
      <c r="D229" s="8">
        <v>-9.26244048279326e-5</v>
      </c>
      <c r="E229" s="8">
        <v>0.096</v>
      </c>
      <c r="F229" s="9">
        <f t="shared" si="21"/>
        <v>0.155440070180701</v>
      </c>
      <c r="G229" s="9">
        <f t="shared" si="22"/>
        <v>0.156249611696889</v>
      </c>
      <c r="H229" s="9">
        <f t="shared" si="23"/>
        <v>0.156350808518897</v>
      </c>
      <c r="I229" s="3" t="str">
        <f t="shared" si="24"/>
        <v>2025-09-01</v>
      </c>
      <c r="J229" s="9">
        <f t="shared" si="25"/>
        <v>0.159270502147931</v>
      </c>
      <c r="K229" s="9">
        <f t="shared" si="26"/>
        <v>0.156150817126568</v>
      </c>
      <c r="L229" s="9">
        <f t="shared" si="27"/>
        <v>0.154890682696136</v>
      </c>
    </row>
    <row r="230" s="3" customFormat="1" spans="1:12">
      <c r="A230" s="4">
        <v>45919</v>
      </c>
      <c r="B230" s="8">
        <v>0.156470042916362</v>
      </c>
      <c r="C230" s="8">
        <v>-0.0112447907635827</v>
      </c>
      <c r="D230" s="8">
        <v>7.52030205445508e-5</v>
      </c>
      <c r="E230" s="8">
        <v>0.096</v>
      </c>
      <c r="F230" s="9">
        <f t="shared" si="21"/>
        <v>0.155397792335037</v>
      </c>
      <c r="G230" s="9">
        <f t="shared" si="22"/>
        <v>0.156255586831696</v>
      </c>
      <c r="H230" s="9">
        <f t="shared" si="23"/>
        <v>0.156362814874029</v>
      </c>
      <c r="I230" s="3" t="str">
        <f t="shared" si="24"/>
        <v>2025-09-01</v>
      </c>
      <c r="J230" s="9">
        <f t="shared" si="25"/>
        <v>0.159270502147931</v>
      </c>
      <c r="K230" s="9">
        <f t="shared" si="26"/>
        <v>0.156150817126568</v>
      </c>
      <c r="L230" s="9">
        <f t="shared" si="27"/>
        <v>0.154890682696136</v>
      </c>
    </row>
    <row r="231" s="3" customFormat="1" spans="1:12">
      <c r="A231" s="4">
        <v>45918</v>
      </c>
      <c r="B231" s="8">
        <v>0.156551693194356</v>
      </c>
      <c r="C231" s="8">
        <v>-0.0116724318762715</v>
      </c>
      <c r="D231" s="8">
        <v>0.0078443141499612</v>
      </c>
      <c r="E231" s="8">
        <v>0.116</v>
      </c>
      <c r="F231" s="9">
        <f t="shared" si="21"/>
        <v>0.156106297007338</v>
      </c>
      <c r="G231" s="9">
        <f t="shared" si="22"/>
        <v>0.156462880863106</v>
      </c>
      <c r="H231" s="9">
        <f t="shared" si="23"/>
        <v>0.156507287028731</v>
      </c>
      <c r="I231" s="3" t="str">
        <f t="shared" si="24"/>
        <v>2025-09-01</v>
      </c>
      <c r="J231" s="9">
        <f t="shared" si="25"/>
        <v>0.159270502147931</v>
      </c>
      <c r="K231" s="9">
        <f t="shared" si="26"/>
        <v>0.156150817126568</v>
      </c>
      <c r="L231" s="9">
        <f t="shared" si="27"/>
        <v>0.154890682696136</v>
      </c>
    </row>
    <row r="232" s="3" customFormat="1" spans="1:12">
      <c r="A232" s="4">
        <v>45917</v>
      </c>
      <c r="B232" s="8">
        <v>0.156146492464711</v>
      </c>
      <c r="C232" s="8">
        <v>-0.00962483980194377</v>
      </c>
      <c r="D232" s="8">
        <v>0.0132490315146712</v>
      </c>
      <c r="E232" s="8">
        <v>0.116</v>
      </c>
      <c r="F232" s="9">
        <f t="shared" si="21"/>
        <v>0.156564433613817</v>
      </c>
      <c r="G232" s="9">
        <f t="shared" si="22"/>
        <v>0.156230573712446</v>
      </c>
      <c r="H232" s="9">
        <f t="shared" si="23"/>
        <v>0.156188533088579</v>
      </c>
      <c r="I232" s="3" t="str">
        <f t="shared" si="24"/>
        <v>2025-09-01</v>
      </c>
      <c r="J232" s="9">
        <f t="shared" si="25"/>
        <v>0.159270502147931</v>
      </c>
      <c r="K232" s="9">
        <f t="shared" si="26"/>
        <v>0.156150817126568</v>
      </c>
      <c r="L232" s="9">
        <f t="shared" si="27"/>
        <v>0.154890682696136</v>
      </c>
    </row>
    <row r="233" s="3" customFormat="1" spans="1:12">
      <c r="A233" s="4">
        <v>45916</v>
      </c>
      <c r="B233" s="8">
        <v>0.152723737722365</v>
      </c>
      <c r="C233" s="8">
        <v>-0.00646123074411334</v>
      </c>
      <c r="D233" s="8">
        <v>0.0392342515803554</v>
      </c>
      <c r="E233" s="8">
        <v>0.61</v>
      </c>
      <c r="F233" s="9">
        <f t="shared" si="21"/>
        <v>0.161219122358073</v>
      </c>
      <c r="G233" s="9">
        <f t="shared" si="22"/>
        <v>0.156710133292447</v>
      </c>
      <c r="H233" s="9">
        <f t="shared" si="23"/>
        <v>0.154722888862488</v>
      </c>
      <c r="I233" s="3" t="str">
        <f t="shared" si="24"/>
        <v>2025-09-01</v>
      </c>
      <c r="J233" s="9">
        <f t="shared" si="25"/>
        <v>0.159270502147931</v>
      </c>
      <c r="K233" s="9">
        <f t="shared" si="26"/>
        <v>0.156150817126568</v>
      </c>
      <c r="L233" s="9">
        <f t="shared" si="27"/>
        <v>0.154890682696136</v>
      </c>
    </row>
    <row r="234" s="3" customFormat="1" spans="1:12">
      <c r="A234" s="4">
        <v>45915</v>
      </c>
      <c r="B234" s="8">
        <v>0.152702336690501</v>
      </c>
      <c r="C234" s="8">
        <v>-0.00600795753969715</v>
      </c>
      <c r="D234" s="8">
        <v>0.0384426384212394</v>
      </c>
      <c r="E234" s="8">
        <v>0.62</v>
      </c>
      <c r="F234" s="9">
        <f t="shared" si="21"/>
        <v>0.161141920796049</v>
      </c>
      <c r="G234" s="9">
        <f t="shared" si="22"/>
        <v>0.15671088188408</v>
      </c>
      <c r="H234" s="9">
        <f t="shared" si="23"/>
        <v>0.154713282903799</v>
      </c>
      <c r="I234" s="3" t="str">
        <f t="shared" si="24"/>
        <v>2025-09-01</v>
      </c>
      <c r="J234" s="9">
        <f t="shared" si="25"/>
        <v>0.159270502147931</v>
      </c>
      <c r="K234" s="9">
        <f t="shared" si="26"/>
        <v>0.156150817126568</v>
      </c>
      <c r="L234" s="9">
        <f t="shared" si="27"/>
        <v>0.154890682696136</v>
      </c>
    </row>
    <row r="235" s="3" customFormat="1" spans="1:12">
      <c r="A235" s="4">
        <v>45912</v>
      </c>
      <c r="B235" s="8">
        <v>0.153001967320399</v>
      </c>
      <c r="C235" s="8">
        <v>-0.00174117347981493</v>
      </c>
      <c r="D235" s="8">
        <v>0.0295664522461111</v>
      </c>
      <c r="E235" s="8">
        <v>0.69</v>
      </c>
      <c r="F235" s="9">
        <f t="shared" si="21"/>
        <v>0.160754087568701</v>
      </c>
      <c r="G235" s="9">
        <f t="shared" si="22"/>
        <v>0.156818045348929</v>
      </c>
      <c r="H235" s="9">
        <f t="shared" si="23"/>
        <v>0.154921895559692</v>
      </c>
      <c r="I235" s="3" t="str">
        <f t="shared" si="24"/>
        <v>2025-09-01</v>
      </c>
      <c r="J235" s="9">
        <f t="shared" si="25"/>
        <v>0.159270502147931</v>
      </c>
      <c r="K235" s="9">
        <f t="shared" si="26"/>
        <v>0.156150817126568</v>
      </c>
      <c r="L235" s="9">
        <f t="shared" si="27"/>
        <v>0.154890682696136</v>
      </c>
    </row>
    <row r="236" s="3" customFormat="1" spans="1:12">
      <c r="A236" s="4">
        <v>45911</v>
      </c>
      <c r="B236" s="8">
        <v>0.153022175641067</v>
      </c>
      <c r="C236" s="8">
        <v>-0.00107391936900871</v>
      </c>
      <c r="D236" s="8">
        <v>0.0283588864619825</v>
      </c>
      <c r="E236" s="8">
        <v>0.7</v>
      </c>
      <c r="F236" s="9">
        <f t="shared" si="21"/>
        <v>0.160748206623022</v>
      </c>
      <c r="G236" s="9">
        <f t="shared" si="22"/>
        <v>0.156816634018417</v>
      </c>
      <c r="H236" s="9">
        <f t="shared" si="23"/>
        <v>0.154932104423339</v>
      </c>
      <c r="I236" s="3" t="str">
        <f t="shared" si="24"/>
        <v>2025-09-01</v>
      </c>
      <c r="J236" s="9">
        <f t="shared" si="25"/>
        <v>0.159270502147931</v>
      </c>
      <c r="K236" s="9">
        <f t="shared" si="26"/>
        <v>0.156150817126568</v>
      </c>
      <c r="L236" s="9">
        <f t="shared" si="27"/>
        <v>0.154890682696136</v>
      </c>
    </row>
    <row r="237" s="3" customFormat="1" spans="1:12">
      <c r="A237" s="4">
        <v>45910</v>
      </c>
      <c r="B237" s="8">
        <v>0.151798779233316</v>
      </c>
      <c r="C237" s="8">
        <v>-0.00243094758249287</v>
      </c>
      <c r="D237" s="8">
        <v>0.0357007930295228</v>
      </c>
      <c r="E237" s="8">
        <v>0.65</v>
      </c>
      <c r="F237" s="9">
        <f t="shared" si="21"/>
        <v>0.161115604761275</v>
      </c>
      <c r="G237" s="9">
        <f t="shared" si="22"/>
        <v>0.156105594378967</v>
      </c>
      <c r="H237" s="9">
        <f t="shared" si="23"/>
        <v>0.153961311303034</v>
      </c>
      <c r="I237" s="3" t="str">
        <f t="shared" si="24"/>
        <v>2025-09-01</v>
      </c>
      <c r="J237" s="9">
        <f t="shared" si="25"/>
        <v>0.159270502147931</v>
      </c>
      <c r="K237" s="9">
        <f t="shared" si="26"/>
        <v>0.156150817126568</v>
      </c>
      <c r="L237" s="9">
        <f t="shared" si="27"/>
        <v>0.154890682696136</v>
      </c>
    </row>
    <row r="238" s="3" customFormat="1" spans="1:12">
      <c r="A238" s="4">
        <v>45909</v>
      </c>
      <c r="B238" s="8">
        <v>0.15464047912312</v>
      </c>
      <c r="C238" s="8">
        <v>-0.00708291476550525</v>
      </c>
      <c r="D238" s="8">
        <v>0.0166498910858327</v>
      </c>
      <c r="E238" s="8">
        <v>0.166</v>
      </c>
      <c r="F238" s="9">
        <f t="shared" si="21"/>
        <v>0.156184466005109</v>
      </c>
      <c r="G238" s="9">
        <f t="shared" si="22"/>
        <v>0.154958102736953</v>
      </c>
      <c r="H238" s="9">
        <f t="shared" si="23"/>
        <v>0.154799290930037</v>
      </c>
      <c r="I238" s="3" t="str">
        <f t="shared" si="24"/>
        <v>2025-09-01</v>
      </c>
      <c r="J238" s="9">
        <f t="shared" si="25"/>
        <v>0.159270502147931</v>
      </c>
      <c r="K238" s="9">
        <f t="shared" si="26"/>
        <v>0.156150817126568</v>
      </c>
      <c r="L238" s="9">
        <f t="shared" si="27"/>
        <v>0.154890682696136</v>
      </c>
    </row>
    <row r="239" s="3" customFormat="1" spans="1:12">
      <c r="A239" s="4">
        <v>45908</v>
      </c>
      <c r="B239" s="8">
        <v>0.154388611558005</v>
      </c>
      <c r="C239" s="8">
        <v>-0.00734886890868982</v>
      </c>
      <c r="D239" s="8">
        <v>0.027797198265584</v>
      </c>
      <c r="E239" s="8">
        <v>0.226</v>
      </c>
      <c r="F239" s="9">
        <f t="shared" si="21"/>
        <v>0.158621661884332</v>
      </c>
      <c r="G239" s="9">
        <f t="shared" si="22"/>
        <v>0.155312876037858</v>
      </c>
      <c r="H239" s="9">
        <f t="shared" si="23"/>
        <v>0.154850743801471</v>
      </c>
      <c r="I239" s="3" t="str">
        <f t="shared" si="24"/>
        <v>2025-09-01</v>
      </c>
      <c r="J239" s="9">
        <f t="shared" si="25"/>
        <v>0.159270502147931</v>
      </c>
      <c r="K239" s="9">
        <f t="shared" si="26"/>
        <v>0.156150817126568</v>
      </c>
      <c r="L239" s="9">
        <f t="shared" si="27"/>
        <v>0.154890682696136</v>
      </c>
    </row>
    <row r="240" s="3" customFormat="1" spans="1:12">
      <c r="A240" s="4">
        <v>45905</v>
      </c>
      <c r="B240" s="8">
        <v>0.154053878765649</v>
      </c>
      <c r="C240" s="8">
        <v>-0.00710046580948577</v>
      </c>
      <c r="D240" s="8">
        <v>0.029339345086422</v>
      </c>
      <c r="E240" s="8">
        <v>0.346</v>
      </c>
      <c r="F240" s="9">
        <f t="shared" si="21"/>
        <v>0.159690678570733</v>
      </c>
      <c r="G240" s="9">
        <f t="shared" si="22"/>
        <v>0.155592792853951</v>
      </c>
      <c r="H240" s="9">
        <f t="shared" si="23"/>
        <v>0.154823343988623</v>
      </c>
      <c r="I240" s="3" t="str">
        <f t="shared" si="24"/>
        <v>2025-09-01</v>
      </c>
      <c r="J240" s="9">
        <f t="shared" si="25"/>
        <v>0.159270502147931</v>
      </c>
      <c r="K240" s="9">
        <f t="shared" si="26"/>
        <v>0.156150817126568</v>
      </c>
      <c r="L240" s="9">
        <f t="shared" si="27"/>
        <v>0.154890682696136</v>
      </c>
    </row>
    <row r="241" s="3" customFormat="1" spans="1:12">
      <c r="A241" s="4">
        <v>45904</v>
      </c>
      <c r="B241" s="8">
        <v>0.154143613516641</v>
      </c>
      <c r="C241" s="8">
        <v>-0.00874541082728447</v>
      </c>
      <c r="D241" s="8">
        <v>0.0315015829228448</v>
      </c>
      <c r="E241" s="8">
        <v>0.316</v>
      </c>
      <c r="F241" s="9">
        <f t="shared" si="21"/>
        <v>0.159700468004565</v>
      </c>
      <c r="G241" s="9">
        <f t="shared" si="22"/>
        <v>0.155581799167477</v>
      </c>
      <c r="H241" s="9">
        <f t="shared" si="23"/>
        <v>0.15486270855486</v>
      </c>
      <c r="I241" s="3" t="str">
        <f t="shared" si="24"/>
        <v>2025-09-01</v>
      </c>
      <c r="J241" s="9">
        <f t="shared" si="25"/>
        <v>0.159270502147931</v>
      </c>
      <c r="K241" s="9">
        <f t="shared" si="26"/>
        <v>0.156150817126568</v>
      </c>
      <c r="L241" s="9">
        <f t="shared" si="27"/>
        <v>0.154890682696136</v>
      </c>
    </row>
    <row r="242" s="3" customFormat="1" spans="1:12">
      <c r="A242" s="4">
        <v>45903</v>
      </c>
      <c r="B242" s="8">
        <v>0.152021783519454</v>
      </c>
      <c r="C242" s="8">
        <v>-0.00627776946674799</v>
      </c>
      <c r="D242" s="8">
        <v>0.040151799649229</v>
      </c>
      <c r="E242" s="8">
        <v>0.62</v>
      </c>
      <c r="F242" s="9">
        <f t="shared" si="21"/>
        <v>0.160835252554825</v>
      </c>
      <c r="G242" s="9">
        <f t="shared" si="22"/>
        <v>0.156208214357254</v>
      </c>
      <c r="H242" s="9">
        <f t="shared" si="23"/>
        <v>0.154121969211526</v>
      </c>
      <c r="I242" s="3" t="str">
        <f t="shared" si="24"/>
        <v>2025-09-01</v>
      </c>
      <c r="J242" s="9">
        <f t="shared" si="25"/>
        <v>0.159270502147931</v>
      </c>
      <c r="K242" s="9">
        <f t="shared" si="26"/>
        <v>0.156150817126568</v>
      </c>
      <c r="L242" s="9">
        <f t="shared" si="27"/>
        <v>0.154890682696136</v>
      </c>
    </row>
    <row r="243" s="3" customFormat="1" spans="1:12">
      <c r="A243" s="4">
        <v>45902</v>
      </c>
      <c r="B243" s="8">
        <v>0.151360262472738</v>
      </c>
      <c r="C243" s="8">
        <v>-0.00587559573075679</v>
      </c>
      <c r="D243" s="8">
        <v>0.0368081600562304</v>
      </c>
      <c r="E243" s="8">
        <v>0.74</v>
      </c>
      <c r="F243" s="9">
        <f t="shared" si="21"/>
        <v>0.158795067846701</v>
      </c>
      <c r="G243" s="9">
        <f t="shared" si="22"/>
        <v>0.155890150075498</v>
      </c>
      <c r="H243" s="9">
        <f t="shared" si="23"/>
        <v>0.153649219351663</v>
      </c>
      <c r="I243" s="3" t="str">
        <f t="shared" si="24"/>
        <v>2025-09-01</v>
      </c>
      <c r="J243" s="9">
        <f t="shared" si="25"/>
        <v>0.159270502147931</v>
      </c>
      <c r="K243" s="9">
        <f t="shared" si="26"/>
        <v>0.156150817126568</v>
      </c>
      <c r="L243" s="9">
        <f t="shared" si="27"/>
        <v>0.154890682696136</v>
      </c>
    </row>
    <row r="244" s="3" customFormat="1" spans="1:12">
      <c r="A244" s="4">
        <v>45898</v>
      </c>
      <c r="B244" s="8">
        <v>0.151348860577053</v>
      </c>
      <c r="C244" s="8">
        <v>-0.0039638736639948</v>
      </c>
      <c r="D244" s="8">
        <v>0.0344691838383602</v>
      </c>
      <c r="E244" s="8">
        <v>0.75</v>
      </c>
      <c r="F244" s="9">
        <f t="shared" si="21"/>
        <v>0.159111030650379</v>
      </c>
      <c r="G244" s="9">
        <f t="shared" si="22"/>
        <v>0.155874967141423</v>
      </c>
      <c r="H244" s="9">
        <f t="shared" si="23"/>
        <v>0.153636699308478</v>
      </c>
      <c r="I244" s="3" t="str">
        <f t="shared" si="24"/>
        <v>2025-08-01</v>
      </c>
      <c r="J244" s="9">
        <f t="shared" si="25"/>
        <v>0.15668234319644</v>
      </c>
      <c r="K244" s="9">
        <f t="shared" si="26"/>
        <v>0.154696113610114</v>
      </c>
      <c r="L244" s="9">
        <f t="shared" si="27"/>
        <v>0.153057276731508</v>
      </c>
    </row>
    <row r="245" s="3" customFormat="1" spans="1:12">
      <c r="A245" s="4">
        <v>45897</v>
      </c>
      <c r="B245" s="8">
        <v>0.151238803301259</v>
      </c>
      <c r="C245" s="8">
        <v>-0.00540835508971927</v>
      </c>
      <c r="D245" s="8">
        <v>0.0371844447634748</v>
      </c>
      <c r="E245" s="8">
        <v>0.74</v>
      </c>
      <c r="F245" s="9">
        <f t="shared" si="21"/>
        <v>0.15903879950715</v>
      </c>
      <c r="G245" s="9">
        <f t="shared" si="22"/>
        <v>0.155892949848029</v>
      </c>
      <c r="H245" s="9">
        <f t="shared" si="23"/>
        <v>0.153590180462583</v>
      </c>
      <c r="I245" s="3" t="str">
        <f t="shared" si="24"/>
        <v>2025-08-01</v>
      </c>
      <c r="J245" s="9">
        <f t="shared" si="25"/>
        <v>0.15668234319644</v>
      </c>
      <c r="K245" s="9">
        <f t="shared" si="26"/>
        <v>0.154696113610114</v>
      </c>
      <c r="L245" s="9">
        <f t="shared" si="27"/>
        <v>0.153057276731508</v>
      </c>
    </row>
    <row r="246" s="3" customFormat="1" spans="1:12">
      <c r="A246" s="4">
        <v>45896</v>
      </c>
      <c r="B246" s="8">
        <v>0.153212264041459</v>
      </c>
      <c r="C246" s="8">
        <v>-0.00867911330916089</v>
      </c>
      <c r="D246" s="8">
        <v>0.0262475044602506</v>
      </c>
      <c r="E246" s="8">
        <v>1</v>
      </c>
      <c r="F246" s="9">
        <f t="shared" si="21"/>
        <v>0.154661688000623</v>
      </c>
      <c r="G246" s="9">
        <f t="shared" si="22"/>
        <v>0.156525413000078</v>
      </c>
      <c r="H246" s="9">
        <f t="shared" si="23"/>
        <v>0.154967831761337</v>
      </c>
      <c r="I246" s="3" t="str">
        <f t="shared" si="24"/>
        <v>2025-08-01</v>
      </c>
      <c r="J246" s="9">
        <f t="shared" si="25"/>
        <v>0.15668234319644</v>
      </c>
      <c r="K246" s="9">
        <f t="shared" si="26"/>
        <v>0.154696113610114</v>
      </c>
      <c r="L246" s="9">
        <f t="shared" si="27"/>
        <v>0.153057276731508</v>
      </c>
    </row>
    <row r="247" s="3" customFormat="1" spans="1:12">
      <c r="A247" s="4">
        <v>45895</v>
      </c>
      <c r="B247" s="8">
        <v>0.155230784432752</v>
      </c>
      <c r="C247" s="8">
        <v>-0.0110438641202544</v>
      </c>
      <c r="D247" s="8">
        <v>-0.000145169183842976</v>
      </c>
      <c r="E247" s="8">
        <v>0.166</v>
      </c>
      <c r="F247" s="9">
        <f t="shared" si="21"/>
        <v>0.153378250545664</v>
      </c>
      <c r="G247" s="9">
        <f t="shared" si="22"/>
        <v>0.154859308527056</v>
      </c>
      <c r="H247" s="9">
        <f t="shared" si="23"/>
        <v>0.155045046479904</v>
      </c>
      <c r="I247" s="3" t="str">
        <f t="shared" si="24"/>
        <v>2025-08-01</v>
      </c>
      <c r="J247" s="9">
        <f t="shared" si="25"/>
        <v>0.15668234319644</v>
      </c>
      <c r="K247" s="9">
        <f t="shared" si="26"/>
        <v>0.154696113610114</v>
      </c>
      <c r="L247" s="9">
        <f t="shared" si="27"/>
        <v>0.153057276731508</v>
      </c>
    </row>
    <row r="248" s="3" customFormat="1" spans="1:12">
      <c r="A248" s="4">
        <v>45894</v>
      </c>
      <c r="B248" s="8">
        <v>0.155220593262144</v>
      </c>
      <c r="C248" s="8">
        <v>-0.0111202492883868</v>
      </c>
      <c r="D248" s="8">
        <v>-2.14804350884352e-5</v>
      </c>
      <c r="E248" s="8">
        <v>0.166</v>
      </c>
      <c r="F248" s="9">
        <f t="shared" si="21"/>
        <v>0.153375593474456</v>
      </c>
      <c r="G248" s="9">
        <f t="shared" si="22"/>
        <v>0.154850687835325</v>
      </c>
      <c r="H248" s="9">
        <f t="shared" si="23"/>
        <v>0.155035640548734</v>
      </c>
      <c r="I248" s="3" t="str">
        <f t="shared" si="24"/>
        <v>2025-08-01</v>
      </c>
      <c r="J248" s="9">
        <f t="shared" si="25"/>
        <v>0.15668234319644</v>
      </c>
      <c r="K248" s="9">
        <f t="shared" si="26"/>
        <v>0.154696113610114</v>
      </c>
      <c r="L248" s="9">
        <f t="shared" si="27"/>
        <v>0.153057276731508</v>
      </c>
    </row>
    <row r="249" s="3" customFormat="1" spans="1:12">
      <c r="A249" s="4">
        <v>45891</v>
      </c>
      <c r="B249" s="8">
        <v>0.155253693763045</v>
      </c>
      <c r="C249" s="8">
        <v>-0.0111533497892877</v>
      </c>
      <c r="D249" s="8">
        <v>0.000273848109630607</v>
      </c>
      <c r="E249" s="8">
        <v>0.186</v>
      </c>
      <c r="F249" s="9">
        <f t="shared" si="21"/>
        <v>0.153238198467003</v>
      </c>
      <c r="G249" s="9">
        <f t="shared" si="22"/>
        <v>0.154848976300562</v>
      </c>
      <c r="H249" s="9">
        <f t="shared" si="23"/>
        <v>0.155051335031803</v>
      </c>
      <c r="I249" s="3" t="str">
        <f t="shared" si="24"/>
        <v>2025-08-01</v>
      </c>
      <c r="J249" s="9">
        <f t="shared" si="25"/>
        <v>0.15668234319644</v>
      </c>
      <c r="K249" s="9">
        <f t="shared" si="26"/>
        <v>0.154696113610114</v>
      </c>
      <c r="L249" s="9">
        <f t="shared" si="27"/>
        <v>0.153057276731508</v>
      </c>
    </row>
    <row r="250" s="3" customFormat="1" spans="1:12">
      <c r="A250" s="4">
        <v>45890</v>
      </c>
      <c r="B250" s="8">
        <v>0.152607859089973</v>
      </c>
      <c r="C250" s="8">
        <v>-0.00850751511621593</v>
      </c>
      <c r="D250" s="8">
        <v>0.0298414919481496</v>
      </c>
      <c r="E250" s="8">
        <v>0.76</v>
      </c>
      <c r="F250" s="9">
        <f t="shared" si="21"/>
        <v>0.156466769861951</v>
      </c>
      <c r="G250" s="9">
        <f t="shared" si="22"/>
        <v>0.155804659248436</v>
      </c>
      <c r="H250" s="9">
        <f t="shared" si="23"/>
        <v>0.154229180600034</v>
      </c>
      <c r="I250" s="3" t="str">
        <f t="shared" si="24"/>
        <v>2025-08-01</v>
      </c>
      <c r="J250" s="9">
        <f t="shared" si="25"/>
        <v>0.15668234319644</v>
      </c>
      <c r="K250" s="9">
        <f t="shared" si="26"/>
        <v>0.154696113610114</v>
      </c>
      <c r="L250" s="9">
        <f t="shared" si="27"/>
        <v>0.153057276731508</v>
      </c>
    </row>
    <row r="251" s="3" customFormat="1" spans="1:12">
      <c r="A251" s="4">
        <v>45889</v>
      </c>
      <c r="B251" s="8">
        <v>0.152600440070644</v>
      </c>
      <c r="C251" s="8">
        <v>-0.00850009609688717</v>
      </c>
      <c r="D251" s="8">
        <v>0.0309325278804648</v>
      </c>
      <c r="E251" s="8">
        <v>0.71</v>
      </c>
      <c r="F251" s="9">
        <f t="shared" si="21"/>
        <v>0.157069282795964</v>
      </c>
      <c r="G251" s="9">
        <f t="shared" si="22"/>
        <v>0.155756021041963</v>
      </c>
      <c r="H251" s="9">
        <f t="shared" si="23"/>
        <v>0.154193117873255</v>
      </c>
      <c r="I251" s="3" t="str">
        <f t="shared" si="24"/>
        <v>2025-08-01</v>
      </c>
      <c r="J251" s="9">
        <f t="shared" si="25"/>
        <v>0.15668234319644</v>
      </c>
      <c r="K251" s="9">
        <f t="shared" si="26"/>
        <v>0.154696113610114</v>
      </c>
      <c r="L251" s="9">
        <f t="shared" si="27"/>
        <v>0.153057276731508</v>
      </c>
    </row>
    <row r="252" s="3" customFormat="1" spans="1:12">
      <c r="A252" s="4">
        <v>45888</v>
      </c>
      <c r="B252" s="8">
        <v>0.150893540404056</v>
      </c>
      <c r="C252" s="8">
        <v>-0.00679319643029981</v>
      </c>
      <c r="D252" s="8">
        <v>0.0406086919207439</v>
      </c>
      <c r="E252" s="8">
        <v>0.75</v>
      </c>
      <c r="F252" s="9">
        <f t="shared" si="21"/>
        <v>0.158865576172523</v>
      </c>
      <c r="G252" s="9">
        <f t="shared" si="22"/>
        <v>0.155907729522271</v>
      </c>
      <c r="H252" s="9">
        <f t="shared" si="23"/>
        <v>0.153429632688572</v>
      </c>
      <c r="I252" s="3" t="str">
        <f t="shared" si="24"/>
        <v>2025-08-01</v>
      </c>
      <c r="J252" s="9">
        <f t="shared" si="25"/>
        <v>0.15668234319644</v>
      </c>
      <c r="K252" s="9">
        <f t="shared" si="26"/>
        <v>0.154696113610114</v>
      </c>
      <c r="L252" s="9">
        <f t="shared" si="27"/>
        <v>0.153057276731508</v>
      </c>
    </row>
    <row r="253" s="3" customFormat="1" spans="1:12">
      <c r="A253" s="4">
        <v>45887</v>
      </c>
      <c r="B253" s="8">
        <v>0.15078993352252</v>
      </c>
      <c r="C253" s="8">
        <v>-0.00668958954876325</v>
      </c>
      <c r="D253" s="8">
        <v>0.0403489464426667</v>
      </c>
      <c r="E253" s="8">
        <v>0.73</v>
      </c>
      <c r="F253" s="9">
        <f t="shared" si="21"/>
        <v>0.15886230988366</v>
      </c>
      <c r="G253" s="9">
        <f t="shared" si="22"/>
        <v>0.155656212404107</v>
      </c>
      <c r="H253" s="9">
        <f t="shared" si="23"/>
        <v>0.153247018462383</v>
      </c>
      <c r="I253" s="3" t="str">
        <f t="shared" si="24"/>
        <v>2025-08-01</v>
      </c>
      <c r="J253" s="9">
        <f t="shared" si="25"/>
        <v>0.15668234319644</v>
      </c>
      <c r="K253" s="9">
        <f t="shared" si="26"/>
        <v>0.154696113610114</v>
      </c>
      <c r="L253" s="9">
        <f t="shared" si="27"/>
        <v>0.153057276731508</v>
      </c>
    </row>
    <row r="254" s="3" customFormat="1" spans="1:12">
      <c r="A254" s="4">
        <v>45884</v>
      </c>
      <c r="B254" s="8">
        <v>0.150694849443544</v>
      </c>
      <c r="C254" s="8">
        <v>-0.00659450546978684</v>
      </c>
      <c r="D254" s="8">
        <v>0.0405181296417691</v>
      </c>
      <c r="E254" s="8">
        <v>0.73</v>
      </c>
      <c r="F254" s="9">
        <f t="shared" si="21"/>
        <v>0.158868116611328</v>
      </c>
      <c r="G254" s="9">
        <f t="shared" si="22"/>
        <v>0.155599491077806</v>
      </c>
      <c r="H254" s="9">
        <f t="shared" si="23"/>
        <v>0.153171225682864</v>
      </c>
      <c r="I254" s="3" t="str">
        <f t="shared" si="24"/>
        <v>2025-08-01</v>
      </c>
      <c r="J254" s="9">
        <f t="shared" si="25"/>
        <v>0.15668234319644</v>
      </c>
      <c r="K254" s="9">
        <f t="shared" si="26"/>
        <v>0.154696113610114</v>
      </c>
      <c r="L254" s="9">
        <f t="shared" si="27"/>
        <v>0.153057276731508</v>
      </c>
    </row>
    <row r="255" s="3" customFormat="1" spans="1:12">
      <c r="A255" s="4">
        <v>45883</v>
      </c>
      <c r="B255" s="8">
        <v>0.150477186917758</v>
      </c>
      <c r="C255" s="8">
        <v>-0.00637684294400084</v>
      </c>
      <c r="D255" s="8">
        <v>0.0422566297031523</v>
      </c>
      <c r="E255" s="8">
        <v>0.72</v>
      </c>
      <c r="F255" s="9">
        <f t="shared" si="21"/>
        <v>0.159332222495608</v>
      </c>
      <c r="G255" s="9">
        <f t="shared" si="22"/>
        <v>0.155598161282729</v>
      </c>
      <c r="H255" s="9">
        <f t="shared" si="23"/>
        <v>0.153060489896907</v>
      </c>
      <c r="I255" s="3" t="str">
        <f t="shared" si="24"/>
        <v>2025-08-01</v>
      </c>
      <c r="J255" s="9">
        <f t="shared" si="25"/>
        <v>0.15668234319644</v>
      </c>
      <c r="K255" s="9">
        <f t="shared" si="26"/>
        <v>0.154696113610114</v>
      </c>
      <c r="L255" s="9">
        <f t="shared" si="27"/>
        <v>0.153057276731508</v>
      </c>
    </row>
    <row r="256" s="3" customFormat="1" spans="1:12">
      <c r="A256" s="4">
        <v>45882</v>
      </c>
      <c r="B256" s="8">
        <v>0.151321679269125</v>
      </c>
      <c r="C256" s="8">
        <v>-0.00722133530459489</v>
      </c>
      <c r="D256" s="8">
        <v>0.0383275377961776</v>
      </c>
      <c r="E256" s="8">
        <v>0.74</v>
      </c>
      <c r="F256" s="9">
        <f t="shared" si="21"/>
        <v>0.158458359541773</v>
      </c>
      <c r="G256" s="9">
        <f t="shared" si="22"/>
        <v>0.155875468404681</v>
      </c>
      <c r="H256" s="9">
        <f t="shared" si="23"/>
        <v>0.153623483299918</v>
      </c>
      <c r="I256" s="3" t="str">
        <f t="shared" si="24"/>
        <v>2025-08-01</v>
      </c>
      <c r="J256" s="9">
        <f t="shared" si="25"/>
        <v>0.15668234319644</v>
      </c>
      <c r="K256" s="9">
        <f t="shared" si="26"/>
        <v>0.154696113610114</v>
      </c>
      <c r="L256" s="9">
        <f t="shared" si="27"/>
        <v>0.153057276731508</v>
      </c>
    </row>
    <row r="257" s="3" customFormat="1" spans="1:12">
      <c r="A257" s="4">
        <v>45881</v>
      </c>
      <c r="B257" s="8">
        <v>0.152754169019485</v>
      </c>
      <c r="C257" s="8">
        <v>-0.00865382504572847</v>
      </c>
      <c r="D257" s="8">
        <v>0.0530157954755913</v>
      </c>
      <c r="E257" s="8">
        <v>0.076</v>
      </c>
      <c r="F257" s="9">
        <f t="shared" si="21"/>
        <v>0.156125569934227</v>
      </c>
      <c r="G257" s="9">
        <f t="shared" si="22"/>
        <v>0.153428470970019</v>
      </c>
      <c r="H257" s="9">
        <f t="shared" si="23"/>
        <v>0.153091319994752</v>
      </c>
      <c r="I257" s="3" t="str">
        <f t="shared" si="24"/>
        <v>2025-08-01</v>
      </c>
      <c r="J257" s="9">
        <f t="shared" si="25"/>
        <v>0.15668234319644</v>
      </c>
      <c r="K257" s="9">
        <f t="shared" si="26"/>
        <v>0.154696113610114</v>
      </c>
      <c r="L257" s="9">
        <f t="shared" si="27"/>
        <v>0.153057276731508</v>
      </c>
    </row>
    <row r="258" s="3" customFormat="1" spans="1:12">
      <c r="A258" s="4">
        <v>45880</v>
      </c>
      <c r="B258" s="8">
        <v>0.152940235570524</v>
      </c>
      <c r="C258" s="8">
        <v>-0.00875331525802678</v>
      </c>
      <c r="D258" s="8">
        <v>0.047115575558344</v>
      </c>
      <c r="E258" s="8">
        <v>0.076</v>
      </c>
      <c r="F258" s="9">
        <f t="shared" si="21"/>
        <v>0.155855670784058</v>
      </c>
      <c r="G258" s="9">
        <f t="shared" si="22"/>
        <v>0.153523341927089</v>
      </c>
      <c r="H258" s="9">
        <f t="shared" si="23"/>
        <v>0.153231788748806</v>
      </c>
      <c r="I258" s="3" t="str">
        <f t="shared" si="24"/>
        <v>2025-08-01</v>
      </c>
      <c r="J258" s="9">
        <f t="shared" si="25"/>
        <v>0.15668234319644</v>
      </c>
      <c r="K258" s="9">
        <f t="shared" si="26"/>
        <v>0.154696113610114</v>
      </c>
      <c r="L258" s="9">
        <f t="shared" si="27"/>
        <v>0.153057276731508</v>
      </c>
    </row>
    <row r="259" s="3" customFormat="1" spans="1:12">
      <c r="A259" s="4">
        <v>45877</v>
      </c>
      <c r="B259" s="8">
        <v>0.152742989612303</v>
      </c>
      <c r="C259" s="8">
        <v>-0.00855606937654865</v>
      </c>
      <c r="D259" s="8">
        <v>0.0279876686169056</v>
      </c>
      <c r="E259" s="8">
        <v>0.206</v>
      </c>
      <c r="F259" s="9">
        <f t="shared" si="21"/>
        <v>0.156496556476665</v>
      </c>
      <c r="G259" s="9">
        <f t="shared" si="22"/>
        <v>0.153543571500178</v>
      </c>
      <c r="H259" s="9">
        <f t="shared" si="23"/>
        <v>0.153143280556654</v>
      </c>
      <c r="I259" s="3" t="str">
        <f t="shared" si="24"/>
        <v>2025-08-01</v>
      </c>
      <c r="J259" s="9">
        <f t="shared" si="25"/>
        <v>0.15668234319644</v>
      </c>
      <c r="K259" s="9">
        <f t="shared" si="26"/>
        <v>0.154696113610114</v>
      </c>
      <c r="L259" s="9">
        <f t="shared" si="27"/>
        <v>0.153057276731508</v>
      </c>
    </row>
    <row r="260" s="3" customFormat="1" spans="1:12">
      <c r="A260" s="4">
        <v>45876</v>
      </c>
      <c r="B260" s="8">
        <v>0.15259577578935</v>
      </c>
      <c r="C260" s="8">
        <v>-0.00840885547685262</v>
      </c>
      <c r="D260" s="8">
        <v>0.0281682815825609</v>
      </c>
      <c r="E260" s="8">
        <v>0.286</v>
      </c>
      <c r="F260" s="9">
        <f t="shared" si="21"/>
        <v>0.157222134839704</v>
      </c>
      <c r="G260" s="9">
        <f t="shared" si="22"/>
        <v>0.153726014213936</v>
      </c>
      <c r="H260" s="9">
        <f t="shared" si="23"/>
        <v>0.153160895375973</v>
      </c>
      <c r="I260" s="3" t="str">
        <f t="shared" si="24"/>
        <v>2025-08-01</v>
      </c>
      <c r="J260" s="9">
        <f t="shared" si="25"/>
        <v>0.15668234319644</v>
      </c>
      <c r="K260" s="9">
        <f t="shared" si="26"/>
        <v>0.154696113610114</v>
      </c>
      <c r="L260" s="9">
        <f t="shared" si="27"/>
        <v>0.153057276731508</v>
      </c>
    </row>
    <row r="261" s="3" customFormat="1" spans="1:12">
      <c r="A261" s="4">
        <v>45875</v>
      </c>
      <c r="B261" s="8">
        <v>0.152572972221234</v>
      </c>
      <c r="C261" s="8">
        <v>-0.00829948306480917</v>
      </c>
      <c r="D261" s="8">
        <v>0.0283020487824485</v>
      </c>
      <c r="E261" s="8">
        <v>0.296</v>
      </c>
      <c r="F261" s="9">
        <f t="shared" ref="F261:F324" si="28">B261+(C261+D261)*(E261/$F$3)*(1-EXP(-$F$3/E261))-D261*EXP(-$F$3/E261)</f>
        <v>0.157326641113796</v>
      </c>
      <c r="G261" s="9">
        <f t="shared" ref="G261:G324" si="29">B261+(C261+D261)*(E261/$G$3)*(1-EXP(-$G$3/E261))-D261*EXP(-$G$3/E261)</f>
        <v>0.153757122751642</v>
      </c>
      <c r="H261" s="9">
        <f t="shared" ref="H261:H324" si="30">B261+(C261+D261)*(E261/$H$3)*(1-EXP(-$H$3/E261))-D261*EXP(-$H$3/E261)</f>
        <v>0.153165048166476</v>
      </c>
      <c r="I261" s="3" t="str">
        <f t="shared" ref="I261:I324" si="31">TEXT(A261,"yyyy-mm-01")</f>
        <v>2025-08-01</v>
      </c>
      <c r="J261" s="9">
        <f t="shared" ref="J261:J324" si="32">AVERAGEIF($I:$I,I261,$F:$F)</f>
        <v>0.15668234319644</v>
      </c>
      <c r="K261" s="9">
        <f t="shared" ref="K261:K324" si="33">AVERAGEIF($I:$I,I261,$G:$G)</f>
        <v>0.154696113610114</v>
      </c>
      <c r="L261" s="9">
        <f t="shared" ref="L261:L324" si="34">AVERAGEIF($I:$I,I261,$H:$H)</f>
        <v>0.153057276731508</v>
      </c>
    </row>
    <row r="262" s="3" customFormat="1" spans="1:12">
      <c r="A262" s="4">
        <v>45874</v>
      </c>
      <c r="B262" s="8">
        <v>0.14406356438982</v>
      </c>
      <c r="C262" s="8">
        <v>0.000383039975208203</v>
      </c>
      <c r="D262" s="8">
        <v>0.04309635546578</v>
      </c>
      <c r="E262" s="8">
        <v>1</v>
      </c>
      <c r="F262" s="9">
        <f t="shared" si="28"/>
        <v>0.155693520968228</v>
      </c>
      <c r="G262" s="9">
        <f t="shared" si="29"/>
        <v>0.152410470146629</v>
      </c>
      <c r="H262" s="9">
        <f t="shared" si="30"/>
        <v>0.148409349966258</v>
      </c>
      <c r="I262" s="3" t="str">
        <f t="shared" si="31"/>
        <v>2025-08-01</v>
      </c>
      <c r="J262" s="9">
        <f t="shared" si="32"/>
        <v>0.15668234319644</v>
      </c>
      <c r="K262" s="9">
        <f t="shared" si="33"/>
        <v>0.154696113610114</v>
      </c>
      <c r="L262" s="9">
        <f t="shared" si="34"/>
        <v>0.153057276731508</v>
      </c>
    </row>
    <row r="263" s="3" customFormat="1" spans="1:12">
      <c r="A263" s="4">
        <v>45873</v>
      </c>
      <c r="B263" s="8">
        <v>0.144670312284766</v>
      </c>
      <c r="C263" s="8">
        <v>-0.000223707919738198</v>
      </c>
      <c r="D263" s="8">
        <v>0.0413864907689572</v>
      </c>
      <c r="E263" s="8">
        <v>1</v>
      </c>
      <c r="F263" s="9">
        <f t="shared" si="28"/>
        <v>0.155464914486222</v>
      </c>
      <c r="G263" s="9">
        <f t="shared" si="29"/>
        <v>0.152568538343496</v>
      </c>
      <c r="H263" s="9">
        <f t="shared" si="30"/>
        <v>0.148784524747169</v>
      </c>
      <c r="I263" s="3" t="str">
        <f t="shared" si="31"/>
        <v>2025-08-01</v>
      </c>
      <c r="J263" s="9">
        <f t="shared" si="32"/>
        <v>0.15668234319644</v>
      </c>
      <c r="K263" s="9">
        <f t="shared" si="33"/>
        <v>0.154696113610114</v>
      </c>
      <c r="L263" s="9">
        <f t="shared" si="34"/>
        <v>0.153057276731508</v>
      </c>
    </row>
    <row r="264" s="3" customFormat="1" spans="1:12">
      <c r="A264" s="4">
        <v>45870</v>
      </c>
      <c r="B264" s="8">
        <v>0.144939821137667</v>
      </c>
      <c r="C264" s="8">
        <v>-0.000233600138408836</v>
      </c>
      <c r="D264" s="8">
        <v>0.0402126774244655</v>
      </c>
      <c r="E264" s="8">
        <v>1</v>
      </c>
      <c r="F264" s="9">
        <f t="shared" si="28"/>
        <v>0.155418000514259</v>
      </c>
      <c r="G264" s="9">
        <f t="shared" si="29"/>
        <v>0.152610810324936</v>
      </c>
      <c r="H264" s="9">
        <f t="shared" si="30"/>
        <v>0.148935721708812</v>
      </c>
      <c r="I264" s="3" t="str">
        <f t="shared" si="31"/>
        <v>2025-08-01</v>
      </c>
      <c r="J264" s="9">
        <f t="shared" si="32"/>
        <v>0.15668234319644</v>
      </c>
      <c r="K264" s="9">
        <f t="shared" si="33"/>
        <v>0.154696113610114</v>
      </c>
      <c r="L264" s="9">
        <f t="shared" si="34"/>
        <v>0.153057276731508</v>
      </c>
    </row>
    <row r="265" s="3" customFormat="1" spans="1:12">
      <c r="A265" s="4">
        <v>45869</v>
      </c>
      <c r="B265" s="8">
        <v>0.145304123700306</v>
      </c>
      <c r="C265" s="8">
        <v>9.40789890512392e-5</v>
      </c>
      <c r="D265" s="8">
        <v>0.0396413474792791</v>
      </c>
      <c r="E265" s="8">
        <v>1</v>
      </c>
      <c r="F265" s="9">
        <f t="shared" si="28"/>
        <v>0.155838466926798</v>
      </c>
      <c r="G265" s="9">
        <f t="shared" si="29"/>
        <v>0.152930560656178</v>
      </c>
      <c r="H265" s="9">
        <f t="shared" si="30"/>
        <v>0.149275686234191</v>
      </c>
      <c r="I265" s="3" t="str">
        <f t="shared" si="31"/>
        <v>2025-07-01</v>
      </c>
      <c r="J265" s="9">
        <f t="shared" si="32"/>
        <v>0.160213039439589</v>
      </c>
      <c r="K265" s="9">
        <f t="shared" si="33"/>
        <v>0.149857745389966</v>
      </c>
      <c r="L265" s="9">
        <f t="shared" si="34"/>
        <v>0.141883893331176</v>
      </c>
    </row>
    <row r="266" s="3" customFormat="1" spans="1:12">
      <c r="A266" s="4">
        <v>45868</v>
      </c>
      <c r="B266" s="8">
        <v>0.144527835747552</v>
      </c>
      <c r="C266" s="8">
        <v>0.000351425570532831</v>
      </c>
      <c r="D266" s="8">
        <v>0.0448486940870905</v>
      </c>
      <c r="E266" s="8">
        <v>1</v>
      </c>
      <c r="F266" s="9">
        <f t="shared" si="28"/>
        <v>0.156600848126619</v>
      </c>
      <c r="G266" s="9">
        <f t="shared" si="29"/>
        <v>0.153204760353219</v>
      </c>
      <c r="H266" s="9">
        <f t="shared" si="30"/>
        <v>0.149045606377527</v>
      </c>
      <c r="I266" s="3" t="str">
        <f t="shared" si="31"/>
        <v>2025-07-01</v>
      </c>
      <c r="J266" s="9">
        <f t="shared" si="32"/>
        <v>0.160213039439589</v>
      </c>
      <c r="K266" s="9">
        <f t="shared" si="33"/>
        <v>0.149857745389966</v>
      </c>
      <c r="L266" s="9">
        <f t="shared" si="34"/>
        <v>0.141883893331176</v>
      </c>
    </row>
    <row r="267" s="3" customFormat="1" spans="1:12">
      <c r="A267" s="4">
        <v>45867</v>
      </c>
      <c r="B267" s="8">
        <v>0.145777182734898</v>
      </c>
      <c r="C267" s="8">
        <v>-0.00046545157484395</v>
      </c>
      <c r="D267" s="8">
        <v>0.0385834133722574</v>
      </c>
      <c r="E267" s="8">
        <v>1</v>
      </c>
      <c r="F267" s="9">
        <f t="shared" si="28"/>
        <v>0.155678285497812</v>
      </c>
      <c r="G267" s="9">
        <f t="shared" si="29"/>
        <v>0.153089434738774</v>
      </c>
      <c r="H267" s="9">
        <f t="shared" si="30"/>
        <v>0.149587054175103</v>
      </c>
      <c r="I267" s="3" t="str">
        <f t="shared" si="31"/>
        <v>2025-07-01</v>
      </c>
      <c r="J267" s="9">
        <f t="shared" si="32"/>
        <v>0.160213039439589</v>
      </c>
      <c r="K267" s="9">
        <f t="shared" si="33"/>
        <v>0.149857745389966</v>
      </c>
      <c r="L267" s="9">
        <f t="shared" si="34"/>
        <v>0.141883893331176</v>
      </c>
    </row>
    <row r="268" s="3" customFormat="1" spans="1:12">
      <c r="A268" s="4">
        <v>45866</v>
      </c>
      <c r="B268" s="8">
        <v>0.146381386230789</v>
      </c>
      <c r="C268" s="8">
        <v>-0.000983183541431745</v>
      </c>
      <c r="D268" s="8">
        <v>0.0375048199270948</v>
      </c>
      <c r="E268" s="8">
        <v>1</v>
      </c>
      <c r="F268" s="9">
        <f t="shared" si="28"/>
        <v>0.155670211236212</v>
      </c>
      <c r="G268" s="9">
        <f t="shared" si="29"/>
        <v>0.153383791848985</v>
      </c>
      <c r="H268" s="9">
        <f t="shared" si="30"/>
        <v>0.150031681345192</v>
      </c>
      <c r="I268" s="3" t="str">
        <f t="shared" si="31"/>
        <v>2025-07-01</v>
      </c>
      <c r="J268" s="9">
        <f t="shared" si="32"/>
        <v>0.160213039439589</v>
      </c>
      <c r="K268" s="9">
        <f t="shared" si="33"/>
        <v>0.149857745389966</v>
      </c>
      <c r="L268" s="9">
        <f t="shared" si="34"/>
        <v>0.141883893331176</v>
      </c>
    </row>
    <row r="269" s="3" customFormat="1" spans="1:12">
      <c r="A269" s="4">
        <v>45863</v>
      </c>
      <c r="B269" s="8">
        <v>0.146196866744333</v>
      </c>
      <c r="C269" s="8">
        <v>-0.00105810107809435</v>
      </c>
      <c r="D269" s="8">
        <v>0.0393414496026659</v>
      </c>
      <c r="E269" s="8">
        <v>1</v>
      </c>
      <c r="F269" s="9">
        <f t="shared" si="28"/>
        <v>0.15592364791281</v>
      </c>
      <c r="G269" s="9">
        <f t="shared" si="29"/>
        <v>0.153536865612296</v>
      </c>
      <c r="H269" s="9">
        <f t="shared" si="30"/>
        <v>0.150023241691608</v>
      </c>
      <c r="I269" s="3" t="str">
        <f t="shared" si="31"/>
        <v>2025-07-01</v>
      </c>
      <c r="J269" s="9">
        <f t="shared" si="32"/>
        <v>0.160213039439589</v>
      </c>
      <c r="K269" s="9">
        <f t="shared" si="33"/>
        <v>0.149857745389966</v>
      </c>
      <c r="L269" s="9">
        <f t="shared" si="34"/>
        <v>0.141883893331176</v>
      </c>
    </row>
    <row r="270" s="3" customFormat="1" spans="1:12">
      <c r="A270" s="4">
        <v>45862</v>
      </c>
      <c r="B270" s="8">
        <v>0.146468329412841</v>
      </c>
      <c r="C270" s="8">
        <v>-0.00124307726006239</v>
      </c>
      <c r="D270" s="8">
        <v>0.0384758386664088</v>
      </c>
      <c r="E270" s="8">
        <v>1</v>
      </c>
      <c r="F270" s="9">
        <f t="shared" si="28"/>
        <v>0.15584945333255</v>
      </c>
      <c r="G270" s="9">
        <f t="shared" si="29"/>
        <v>0.153605459057834</v>
      </c>
      <c r="H270" s="9">
        <f t="shared" si="30"/>
        <v>0.150189689716627</v>
      </c>
      <c r="I270" s="3" t="str">
        <f t="shared" si="31"/>
        <v>2025-07-01</v>
      </c>
      <c r="J270" s="9">
        <f t="shared" si="32"/>
        <v>0.160213039439589</v>
      </c>
      <c r="K270" s="9">
        <f t="shared" si="33"/>
        <v>0.149857745389966</v>
      </c>
      <c r="L270" s="9">
        <f t="shared" si="34"/>
        <v>0.141883893331176</v>
      </c>
    </row>
    <row r="271" s="3" customFormat="1" spans="1:12">
      <c r="A271" s="4">
        <v>45861</v>
      </c>
      <c r="B271" s="8">
        <v>0.146926818984739</v>
      </c>
      <c r="C271" s="8">
        <v>-0.00161508782468508</v>
      </c>
      <c r="D271" s="8">
        <v>0.036712128198073</v>
      </c>
      <c r="E271" s="8">
        <v>1</v>
      </c>
      <c r="F271" s="9">
        <f t="shared" si="28"/>
        <v>0.155606742553072</v>
      </c>
      <c r="G271" s="9">
        <f t="shared" si="29"/>
        <v>0.153651566285822</v>
      </c>
      <c r="H271" s="9">
        <f t="shared" si="30"/>
        <v>0.150434696953719</v>
      </c>
      <c r="I271" s="3" t="str">
        <f t="shared" si="31"/>
        <v>2025-07-01</v>
      </c>
      <c r="J271" s="9">
        <f t="shared" si="32"/>
        <v>0.160213039439589</v>
      </c>
      <c r="K271" s="9">
        <f t="shared" si="33"/>
        <v>0.149857745389966</v>
      </c>
      <c r="L271" s="9">
        <f t="shared" si="34"/>
        <v>0.141883893331176</v>
      </c>
    </row>
    <row r="272" s="3" customFormat="1" spans="1:12">
      <c r="A272" s="4">
        <v>45860</v>
      </c>
      <c r="B272" s="8">
        <v>0.127533615125957</v>
      </c>
      <c r="C272" s="8">
        <v>0.0178645875634003</v>
      </c>
      <c r="D272" s="8">
        <v>0.0990153743225124</v>
      </c>
      <c r="E272" s="8">
        <v>1</v>
      </c>
      <c r="F272" s="9">
        <f t="shared" si="28"/>
        <v>0.164990121375994</v>
      </c>
      <c r="G272" s="9">
        <f t="shared" si="29"/>
        <v>0.150084940961171</v>
      </c>
      <c r="H272" s="9">
        <f t="shared" si="30"/>
        <v>0.139216585389303</v>
      </c>
      <c r="I272" s="3" t="str">
        <f t="shared" si="31"/>
        <v>2025-07-01</v>
      </c>
      <c r="J272" s="9">
        <f t="shared" si="32"/>
        <v>0.160213039439589</v>
      </c>
      <c r="K272" s="9">
        <f t="shared" si="33"/>
        <v>0.149857745389966</v>
      </c>
      <c r="L272" s="9">
        <f t="shared" si="34"/>
        <v>0.141883893331176</v>
      </c>
    </row>
    <row r="273" s="3" customFormat="1" spans="1:12">
      <c r="A273" s="4">
        <v>45859</v>
      </c>
      <c r="B273" s="8">
        <v>0.128493555962475</v>
      </c>
      <c r="C273" s="8">
        <v>0.0171640164598886</v>
      </c>
      <c r="D273" s="8">
        <v>0.0959346634054367</v>
      </c>
      <c r="E273" s="8">
        <v>1</v>
      </c>
      <c r="F273" s="9">
        <f t="shared" si="28"/>
        <v>0.164693166319154</v>
      </c>
      <c r="G273" s="9">
        <f t="shared" si="29"/>
        <v>0.150314478676019</v>
      </c>
      <c r="H273" s="9">
        <f t="shared" si="30"/>
        <v>0.139798555054815</v>
      </c>
      <c r="I273" s="3" t="str">
        <f t="shared" si="31"/>
        <v>2025-07-01</v>
      </c>
      <c r="J273" s="9">
        <f t="shared" si="32"/>
        <v>0.160213039439589</v>
      </c>
      <c r="K273" s="9">
        <f t="shared" si="33"/>
        <v>0.149857745389966</v>
      </c>
      <c r="L273" s="9">
        <f t="shared" si="34"/>
        <v>0.141883893331176</v>
      </c>
    </row>
    <row r="274" s="3" customFormat="1" spans="1:12">
      <c r="A274" s="4">
        <v>45856</v>
      </c>
      <c r="B274" s="8">
        <v>0.129563646582171</v>
      </c>
      <c r="C274" s="8">
        <v>0.0162668016293682</v>
      </c>
      <c r="D274" s="8">
        <v>0.090722638521214</v>
      </c>
      <c r="E274" s="8">
        <v>1</v>
      </c>
      <c r="F274" s="9">
        <f t="shared" si="28"/>
        <v>0.163818877718129</v>
      </c>
      <c r="G274" s="9">
        <f t="shared" si="29"/>
        <v>0.150206072446875</v>
      </c>
      <c r="H274" s="9">
        <f t="shared" si="30"/>
        <v>0.140257986064506</v>
      </c>
      <c r="I274" s="3" t="str">
        <f t="shared" si="31"/>
        <v>2025-07-01</v>
      </c>
      <c r="J274" s="9">
        <f t="shared" si="32"/>
        <v>0.160213039439589</v>
      </c>
      <c r="K274" s="9">
        <f t="shared" si="33"/>
        <v>0.149857745389966</v>
      </c>
      <c r="L274" s="9">
        <f t="shared" si="34"/>
        <v>0.141883893331176</v>
      </c>
    </row>
    <row r="275" s="3" customFormat="1" spans="1:12">
      <c r="A275" s="4">
        <v>45855</v>
      </c>
      <c r="B275" s="8">
        <v>0.129783490740323</v>
      </c>
      <c r="C275" s="8">
        <v>0.0148361988696202</v>
      </c>
      <c r="D275" s="8">
        <v>0.0917378561432755</v>
      </c>
      <c r="E275" s="8">
        <v>1</v>
      </c>
      <c r="F275" s="9">
        <f t="shared" si="28"/>
        <v>0.163402670699446</v>
      </c>
      <c r="G275" s="9">
        <f t="shared" si="29"/>
        <v>0.150336558863568</v>
      </c>
      <c r="H275" s="9">
        <f t="shared" si="30"/>
        <v>0.140436247503926</v>
      </c>
      <c r="I275" s="3" t="str">
        <f t="shared" si="31"/>
        <v>2025-07-01</v>
      </c>
      <c r="J275" s="9">
        <f t="shared" si="32"/>
        <v>0.160213039439589</v>
      </c>
      <c r="K275" s="9">
        <f t="shared" si="33"/>
        <v>0.149857745389966</v>
      </c>
      <c r="L275" s="9">
        <f t="shared" si="34"/>
        <v>0.141883893331176</v>
      </c>
    </row>
    <row r="276" s="3" customFormat="1" spans="1:12">
      <c r="A276" s="4">
        <v>45854</v>
      </c>
      <c r="B276" s="8">
        <v>0.130103726081461</v>
      </c>
      <c r="C276" s="8">
        <v>0.0140831942310361</v>
      </c>
      <c r="D276" s="8">
        <v>0.0914169224674423</v>
      </c>
      <c r="E276" s="8">
        <v>1</v>
      </c>
      <c r="F276" s="9">
        <f t="shared" si="28"/>
        <v>0.163162112454445</v>
      </c>
      <c r="G276" s="9">
        <f t="shared" si="29"/>
        <v>0.150445616203809</v>
      </c>
      <c r="H276" s="9">
        <f t="shared" si="30"/>
        <v>0.140649108459661</v>
      </c>
      <c r="I276" s="3" t="str">
        <f t="shared" si="31"/>
        <v>2025-07-01</v>
      </c>
      <c r="J276" s="9">
        <f t="shared" si="32"/>
        <v>0.160213039439589</v>
      </c>
      <c r="K276" s="9">
        <f t="shared" si="33"/>
        <v>0.149857745389966</v>
      </c>
      <c r="L276" s="9">
        <f t="shared" si="34"/>
        <v>0.141883893331176</v>
      </c>
    </row>
    <row r="277" s="3" customFormat="1" spans="1:12">
      <c r="A277" s="4">
        <v>45853</v>
      </c>
      <c r="B277" s="8">
        <v>0.130817339764828</v>
      </c>
      <c r="C277" s="8">
        <v>0.0133695805476701</v>
      </c>
      <c r="D277" s="8">
        <v>0.0889346093018443</v>
      </c>
      <c r="E277" s="8">
        <v>1</v>
      </c>
      <c r="F277" s="9">
        <f t="shared" si="28"/>
        <v>0.162768707052243</v>
      </c>
      <c r="G277" s="9">
        <f t="shared" si="29"/>
        <v>0.150541077009073</v>
      </c>
      <c r="H277" s="9">
        <f t="shared" si="30"/>
        <v>0.14104325666446</v>
      </c>
      <c r="I277" s="3" t="str">
        <f t="shared" si="31"/>
        <v>2025-07-01</v>
      </c>
      <c r="J277" s="9">
        <f t="shared" si="32"/>
        <v>0.160213039439589</v>
      </c>
      <c r="K277" s="9">
        <f t="shared" si="33"/>
        <v>0.149857745389966</v>
      </c>
      <c r="L277" s="9">
        <f t="shared" si="34"/>
        <v>0.141883893331176</v>
      </c>
    </row>
    <row r="278" s="3" customFormat="1" spans="1:12">
      <c r="A278" s="4">
        <v>45852</v>
      </c>
      <c r="B278" s="8">
        <v>0.133672496983908</v>
      </c>
      <c r="C278" s="8">
        <v>0.01051442332859</v>
      </c>
      <c r="D278" s="8">
        <v>0.0776228717931636</v>
      </c>
      <c r="E278" s="8">
        <v>1</v>
      </c>
      <c r="F278" s="9">
        <f t="shared" si="28"/>
        <v>0.160830034532517</v>
      </c>
      <c r="G278" s="9">
        <f t="shared" si="29"/>
        <v>0.150658164327565</v>
      </c>
      <c r="H278" s="9">
        <f t="shared" si="30"/>
        <v>0.142482302280455</v>
      </c>
      <c r="I278" s="3" t="str">
        <f t="shared" si="31"/>
        <v>2025-07-01</v>
      </c>
      <c r="J278" s="9">
        <f t="shared" si="32"/>
        <v>0.160213039439589</v>
      </c>
      <c r="K278" s="9">
        <f t="shared" si="33"/>
        <v>0.149857745389966</v>
      </c>
      <c r="L278" s="9">
        <f t="shared" si="34"/>
        <v>0.141883893331176</v>
      </c>
    </row>
    <row r="279" s="3" customFormat="1" spans="1:12">
      <c r="A279" s="4">
        <v>45849</v>
      </c>
      <c r="B279" s="8">
        <v>0.134132484620319</v>
      </c>
      <c r="C279" s="8">
        <v>0.0104006661119789</v>
      </c>
      <c r="D279" s="8">
        <v>0.0759101240119533</v>
      </c>
      <c r="E279" s="8">
        <v>1</v>
      </c>
      <c r="F279" s="9">
        <f t="shared" si="28"/>
        <v>0.160765535505621</v>
      </c>
      <c r="G279" s="9">
        <f t="shared" si="29"/>
        <v>0.150766852746958</v>
      </c>
      <c r="H279" s="9">
        <f t="shared" si="30"/>
        <v>0.142759725468033</v>
      </c>
      <c r="I279" s="3" t="str">
        <f t="shared" si="31"/>
        <v>2025-07-01</v>
      </c>
      <c r="J279" s="9">
        <f t="shared" si="32"/>
        <v>0.160213039439589</v>
      </c>
      <c r="K279" s="9">
        <f t="shared" si="33"/>
        <v>0.149857745389966</v>
      </c>
      <c r="L279" s="9">
        <f t="shared" si="34"/>
        <v>0.141883893331176</v>
      </c>
    </row>
    <row r="280" s="3" customFormat="1" spans="1:12">
      <c r="A280" s="4">
        <v>45848</v>
      </c>
      <c r="B280" s="8">
        <v>0.134550670796743</v>
      </c>
      <c r="C280" s="8">
        <v>0.0098093797100932</v>
      </c>
      <c r="D280" s="8">
        <v>0.0750309106543468</v>
      </c>
      <c r="E280" s="8">
        <v>1</v>
      </c>
      <c r="F280" s="9">
        <f t="shared" si="28"/>
        <v>0.160577633070984</v>
      </c>
      <c r="G280" s="9">
        <f t="shared" si="29"/>
        <v>0.150898844694376</v>
      </c>
      <c r="H280" s="9">
        <f t="shared" si="30"/>
        <v>0.143030908260791</v>
      </c>
      <c r="I280" s="3" t="str">
        <f t="shared" si="31"/>
        <v>2025-07-01</v>
      </c>
      <c r="J280" s="9">
        <f t="shared" si="32"/>
        <v>0.160213039439589</v>
      </c>
      <c r="K280" s="9">
        <f t="shared" si="33"/>
        <v>0.149857745389966</v>
      </c>
      <c r="L280" s="9">
        <f t="shared" si="34"/>
        <v>0.141883893331176</v>
      </c>
    </row>
    <row r="281" s="3" customFormat="1" spans="1:12">
      <c r="A281" s="4">
        <v>45847</v>
      </c>
      <c r="B281" s="8">
        <v>0.134991678111995</v>
      </c>
      <c r="C281" s="8">
        <v>0.00919524220050274</v>
      </c>
      <c r="D281" s="8">
        <v>0.0740817875267998</v>
      </c>
      <c r="E281" s="8">
        <v>1</v>
      </c>
      <c r="F281" s="9">
        <f t="shared" si="28"/>
        <v>0.160379634084459</v>
      </c>
      <c r="G281" s="9">
        <f t="shared" si="29"/>
        <v>0.151035701656994</v>
      </c>
      <c r="H281" s="9">
        <f t="shared" si="30"/>
        <v>0.143315639699645</v>
      </c>
      <c r="I281" s="3" t="str">
        <f t="shared" si="31"/>
        <v>2025-07-01</v>
      </c>
      <c r="J281" s="9">
        <f t="shared" si="32"/>
        <v>0.160213039439589</v>
      </c>
      <c r="K281" s="9">
        <f t="shared" si="33"/>
        <v>0.149857745389966</v>
      </c>
      <c r="L281" s="9">
        <f t="shared" si="34"/>
        <v>0.141883893331176</v>
      </c>
    </row>
    <row r="282" s="3" customFormat="1" spans="1:12">
      <c r="A282" s="4">
        <v>45846</v>
      </c>
      <c r="B282" s="8">
        <v>0.120437752033539</v>
      </c>
      <c r="C282" s="8">
        <v>0.0238357371228856</v>
      </c>
      <c r="D282" s="8">
        <v>0.0978247468799753</v>
      </c>
      <c r="E282" s="8">
        <v>1</v>
      </c>
      <c r="F282" s="9">
        <f t="shared" si="28"/>
        <v>0.161354131953837</v>
      </c>
      <c r="G282" s="9">
        <f t="shared" si="29"/>
        <v>0.143946762495816</v>
      </c>
      <c r="H282" s="9">
        <f t="shared" si="30"/>
        <v>0.132598806859445</v>
      </c>
      <c r="I282" s="3" t="str">
        <f t="shared" si="31"/>
        <v>2025-07-01</v>
      </c>
      <c r="J282" s="9">
        <f t="shared" si="32"/>
        <v>0.160213039439589</v>
      </c>
      <c r="K282" s="9">
        <f t="shared" si="33"/>
        <v>0.149857745389966</v>
      </c>
      <c r="L282" s="9">
        <f t="shared" si="34"/>
        <v>0.141883893331176</v>
      </c>
    </row>
    <row r="283" s="3" customFormat="1" spans="1:12">
      <c r="A283" s="4">
        <v>45842</v>
      </c>
      <c r="B283" s="8">
        <v>0.120693117719288</v>
      </c>
      <c r="C283" s="8">
        <v>0.0234938025932094</v>
      </c>
      <c r="D283" s="8">
        <v>0.0974180861855515</v>
      </c>
      <c r="E283" s="8">
        <v>1</v>
      </c>
      <c r="F283" s="9">
        <f t="shared" si="28"/>
        <v>0.161285897317203</v>
      </c>
      <c r="G283" s="9">
        <f t="shared" si="29"/>
        <v>0.144056157993939</v>
      </c>
      <c r="H283" s="9">
        <f t="shared" si="30"/>
        <v>0.132779334883768</v>
      </c>
      <c r="I283" s="3" t="str">
        <f t="shared" si="31"/>
        <v>2025-07-01</v>
      </c>
      <c r="J283" s="9">
        <f t="shared" si="32"/>
        <v>0.160213039439589</v>
      </c>
      <c r="K283" s="9">
        <f t="shared" si="33"/>
        <v>0.149857745389966</v>
      </c>
      <c r="L283" s="9">
        <f t="shared" si="34"/>
        <v>0.141883893331176</v>
      </c>
    </row>
    <row r="284" s="3" customFormat="1" spans="1:12">
      <c r="A284" s="4">
        <v>45841</v>
      </c>
      <c r="B284" s="8">
        <v>0.12042574226755</v>
      </c>
      <c r="C284" s="8">
        <v>0.0238477468888747</v>
      </c>
      <c r="D284" s="8">
        <v>0.0995255590845816</v>
      </c>
      <c r="E284" s="8">
        <v>1</v>
      </c>
      <c r="F284" s="9">
        <f t="shared" si="28"/>
        <v>0.161799138325707</v>
      </c>
      <c r="G284" s="9">
        <f t="shared" si="29"/>
        <v>0.144263548960725</v>
      </c>
      <c r="H284" s="9">
        <f t="shared" si="30"/>
        <v>0.132757994297561</v>
      </c>
      <c r="I284" s="3" t="str">
        <f t="shared" si="31"/>
        <v>2025-07-01</v>
      </c>
      <c r="J284" s="9">
        <f t="shared" si="32"/>
        <v>0.160213039439589</v>
      </c>
      <c r="K284" s="9">
        <f t="shared" si="33"/>
        <v>0.149857745389966</v>
      </c>
      <c r="L284" s="9">
        <f t="shared" si="34"/>
        <v>0.141883893331176</v>
      </c>
    </row>
    <row r="285" s="3" customFormat="1" spans="1:12">
      <c r="A285" s="4">
        <v>45840</v>
      </c>
      <c r="B285" s="8">
        <v>0.123354698595896</v>
      </c>
      <c r="C285" s="8">
        <v>0.0210919057691316</v>
      </c>
      <c r="D285" s="8">
        <v>0.0927935826330411</v>
      </c>
      <c r="E285" s="8">
        <v>1</v>
      </c>
      <c r="F285" s="9">
        <f t="shared" si="28"/>
        <v>0.161207205843801</v>
      </c>
      <c r="G285" s="9">
        <f t="shared" si="29"/>
        <v>0.14535308715773</v>
      </c>
      <c r="H285" s="9">
        <f t="shared" si="30"/>
        <v>0.134738517574662</v>
      </c>
      <c r="I285" s="3" t="str">
        <f t="shared" si="31"/>
        <v>2025-07-01</v>
      </c>
      <c r="J285" s="9">
        <f t="shared" si="32"/>
        <v>0.160213039439589</v>
      </c>
      <c r="K285" s="9">
        <f t="shared" si="33"/>
        <v>0.149857745389966</v>
      </c>
      <c r="L285" s="9">
        <f t="shared" si="34"/>
        <v>0.141883893331176</v>
      </c>
    </row>
    <row r="286" s="3" customFormat="1" spans="1:12">
      <c r="A286" s="4">
        <v>45839</v>
      </c>
      <c r="B286" s="8">
        <v>0.112476461774502</v>
      </c>
      <c r="C286" s="8">
        <v>0.0316238821992554</v>
      </c>
      <c r="D286" s="8">
        <v>0.113599950814141</v>
      </c>
      <c r="E286" s="8">
        <v>1</v>
      </c>
      <c r="F286" s="9">
        <f t="shared" si="28"/>
        <v>0.162484345831546</v>
      </c>
      <c r="G286" s="9">
        <f t="shared" si="29"/>
        <v>0.140560095831527</v>
      </c>
      <c r="H286" s="9">
        <f t="shared" si="30"/>
        <v>0.126993028330872</v>
      </c>
      <c r="I286" s="3" t="str">
        <f t="shared" si="31"/>
        <v>2025-07-01</v>
      </c>
      <c r="J286" s="9">
        <f t="shared" si="32"/>
        <v>0.160213039439589</v>
      </c>
      <c r="K286" s="9">
        <f t="shared" si="33"/>
        <v>0.149857745389966</v>
      </c>
      <c r="L286" s="9">
        <f t="shared" si="34"/>
        <v>0.141883893331176</v>
      </c>
    </row>
    <row r="287" s="3" customFormat="1" spans="1:12">
      <c r="A287" s="4">
        <v>45838</v>
      </c>
      <c r="B287" s="8">
        <v>0.112412542460748</v>
      </c>
      <c r="C287" s="8">
        <v>0.0316878015130088</v>
      </c>
      <c r="D287" s="8">
        <v>0.113648755869265</v>
      </c>
      <c r="E287" s="8">
        <v>1</v>
      </c>
      <c r="F287" s="9">
        <f t="shared" si="28"/>
        <v>0.162473727532435</v>
      </c>
      <c r="G287" s="9">
        <f t="shared" si="29"/>
        <v>0.140518240639509</v>
      </c>
      <c r="H287" s="9">
        <f t="shared" si="30"/>
        <v>0.126940378726492</v>
      </c>
      <c r="I287" s="3" t="str">
        <f t="shared" si="31"/>
        <v>2025-06-01</v>
      </c>
      <c r="J287" s="9">
        <f t="shared" si="32"/>
        <v>0.161805569918883</v>
      </c>
      <c r="K287" s="9">
        <f t="shared" si="33"/>
        <v>0.140376166494265</v>
      </c>
      <c r="L287" s="9">
        <f t="shared" si="34"/>
        <v>0.127056595947308</v>
      </c>
    </row>
    <row r="288" s="3" customFormat="1" spans="1:12">
      <c r="A288" s="4">
        <v>45835</v>
      </c>
      <c r="B288" s="8">
        <v>0.112455331728364</v>
      </c>
      <c r="C288" s="8">
        <v>0.0317315885841336</v>
      </c>
      <c r="D288" s="8">
        <v>0.113210707791082</v>
      </c>
      <c r="E288" s="8">
        <v>1</v>
      </c>
      <c r="F288" s="9">
        <f t="shared" si="28"/>
        <v>0.162428445194153</v>
      </c>
      <c r="G288" s="9">
        <f t="shared" si="29"/>
        <v>0.140485660552401</v>
      </c>
      <c r="H288" s="9">
        <f t="shared" si="30"/>
        <v>0.126943763570696</v>
      </c>
      <c r="I288" s="3" t="str">
        <f t="shared" si="31"/>
        <v>2025-06-01</v>
      </c>
      <c r="J288" s="9">
        <f t="shared" si="32"/>
        <v>0.161805569918883</v>
      </c>
      <c r="K288" s="9">
        <f t="shared" si="33"/>
        <v>0.140376166494265</v>
      </c>
      <c r="L288" s="9">
        <f t="shared" si="34"/>
        <v>0.127056595947308</v>
      </c>
    </row>
    <row r="289" s="3" customFormat="1" spans="1:12">
      <c r="A289" s="4">
        <v>45834</v>
      </c>
      <c r="B289" s="8">
        <v>0.110203357340516</v>
      </c>
      <c r="C289" s="8">
        <v>0.0340701318159086</v>
      </c>
      <c r="D289" s="8">
        <v>0.127776706385722</v>
      </c>
      <c r="E289" s="8">
        <v>1</v>
      </c>
      <c r="F289" s="9">
        <f t="shared" si="28"/>
        <v>0.165503647809259</v>
      </c>
      <c r="G289" s="9">
        <f t="shared" si="29"/>
        <v>0.141493669221943</v>
      </c>
      <c r="H289" s="9">
        <f t="shared" si="30"/>
        <v>0.126381505323675</v>
      </c>
      <c r="I289" s="3" t="str">
        <f t="shared" si="31"/>
        <v>2025-06-01</v>
      </c>
      <c r="J289" s="9">
        <f t="shared" si="32"/>
        <v>0.161805569918883</v>
      </c>
      <c r="K289" s="9">
        <f t="shared" si="33"/>
        <v>0.140376166494265</v>
      </c>
      <c r="L289" s="9">
        <f t="shared" si="34"/>
        <v>0.127056595947308</v>
      </c>
    </row>
    <row r="290" s="3" customFormat="1" spans="1:12">
      <c r="A290" s="4">
        <v>45833</v>
      </c>
      <c r="B290" s="8">
        <v>0.107798107156021</v>
      </c>
      <c r="C290" s="8">
        <v>0.0363888131564761</v>
      </c>
      <c r="D290" s="8">
        <v>0.143038522906772</v>
      </c>
      <c r="E290" s="8">
        <v>1</v>
      </c>
      <c r="F290" s="9">
        <f t="shared" si="28"/>
        <v>0.168596883224509</v>
      </c>
      <c r="G290" s="9">
        <f t="shared" si="29"/>
        <v>0.142477994006381</v>
      </c>
      <c r="H290" s="9">
        <f t="shared" si="30"/>
        <v>0.125733532224607</v>
      </c>
      <c r="I290" s="3" t="str">
        <f t="shared" si="31"/>
        <v>2025-06-01</v>
      </c>
      <c r="J290" s="9">
        <f t="shared" si="32"/>
        <v>0.161805569918883</v>
      </c>
      <c r="K290" s="9">
        <f t="shared" si="33"/>
        <v>0.140376166494265</v>
      </c>
      <c r="L290" s="9">
        <f t="shared" si="34"/>
        <v>0.127056595947308</v>
      </c>
    </row>
    <row r="291" s="3" customFormat="1" spans="1:12">
      <c r="A291" s="4">
        <v>45832</v>
      </c>
      <c r="B291" s="8">
        <v>0.108841287494909</v>
      </c>
      <c r="C291" s="8">
        <v>0.0353456328175881</v>
      </c>
      <c r="D291" s="8">
        <v>0.136269844740216</v>
      </c>
      <c r="E291" s="8">
        <v>1</v>
      </c>
      <c r="F291" s="9">
        <f t="shared" si="28"/>
        <v>0.167192084740828</v>
      </c>
      <c r="G291" s="9">
        <f t="shared" si="29"/>
        <v>0.142014936816635</v>
      </c>
      <c r="H291" s="9">
        <f t="shared" si="30"/>
        <v>0.125995869476247</v>
      </c>
      <c r="I291" s="3" t="str">
        <f t="shared" si="31"/>
        <v>2025-06-01</v>
      </c>
      <c r="J291" s="9">
        <f t="shared" si="32"/>
        <v>0.161805569918883</v>
      </c>
      <c r="K291" s="9">
        <f t="shared" si="33"/>
        <v>0.140376166494265</v>
      </c>
      <c r="L291" s="9">
        <f t="shared" si="34"/>
        <v>0.127056595947308</v>
      </c>
    </row>
    <row r="292" s="3" customFormat="1" spans="1:12">
      <c r="A292" s="4">
        <v>45831</v>
      </c>
      <c r="B292" s="8">
        <v>0.111588514153303</v>
      </c>
      <c r="C292" s="8">
        <v>0.0326849750031215</v>
      </c>
      <c r="D292" s="8">
        <v>0.115974207369909</v>
      </c>
      <c r="E292" s="8">
        <v>1</v>
      </c>
      <c r="F292" s="9">
        <f t="shared" si="28"/>
        <v>0.162894512992396</v>
      </c>
      <c r="G292" s="9">
        <f t="shared" si="29"/>
        <v>0.140338591027038</v>
      </c>
      <c r="H292" s="9">
        <f t="shared" si="30"/>
        <v>0.126448492258093</v>
      </c>
      <c r="I292" s="3" t="str">
        <f t="shared" si="31"/>
        <v>2025-06-01</v>
      </c>
      <c r="J292" s="9">
        <f t="shared" si="32"/>
        <v>0.161805569918883</v>
      </c>
      <c r="K292" s="9">
        <f t="shared" si="33"/>
        <v>0.140376166494265</v>
      </c>
      <c r="L292" s="9">
        <f t="shared" si="34"/>
        <v>0.127056595947308</v>
      </c>
    </row>
    <row r="293" s="3" customFormat="1" spans="1:12">
      <c r="A293" s="4">
        <v>45828</v>
      </c>
      <c r="B293" s="8">
        <v>0.111851186999914</v>
      </c>
      <c r="C293" s="8">
        <v>0.032422302156511</v>
      </c>
      <c r="D293" s="8">
        <v>0.112310831637745</v>
      </c>
      <c r="E293" s="8">
        <v>1</v>
      </c>
      <c r="F293" s="9">
        <f t="shared" si="28"/>
        <v>0.162023130434554</v>
      </c>
      <c r="G293" s="9">
        <f t="shared" si="29"/>
        <v>0.139846028490863</v>
      </c>
      <c r="H293" s="9">
        <f t="shared" si="30"/>
        <v>0.126318744388061</v>
      </c>
      <c r="I293" s="3" t="str">
        <f t="shared" si="31"/>
        <v>2025-06-01</v>
      </c>
      <c r="J293" s="9">
        <f t="shared" si="32"/>
        <v>0.161805569918883</v>
      </c>
      <c r="K293" s="9">
        <f t="shared" si="33"/>
        <v>0.140376166494265</v>
      </c>
      <c r="L293" s="9">
        <f t="shared" si="34"/>
        <v>0.127056595947308</v>
      </c>
    </row>
    <row r="294" s="3" customFormat="1" spans="1:12">
      <c r="A294" s="4">
        <v>45827</v>
      </c>
      <c r="B294" s="8">
        <v>0.111404148954051</v>
      </c>
      <c r="C294" s="8">
        <v>0.0334751123640336</v>
      </c>
      <c r="D294" s="8">
        <v>0.113939215840906</v>
      </c>
      <c r="E294" s="8">
        <v>1</v>
      </c>
      <c r="F294" s="9">
        <f t="shared" si="28"/>
        <v>0.162671881427229</v>
      </c>
      <c r="G294" s="9">
        <f t="shared" si="29"/>
        <v>0.139920644211515</v>
      </c>
      <c r="H294" s="9">
        <f t="shared" si="30"/>
        <v>0.126139739682134</v>
      </c>
      <c r="I294" s="3" t="str">
        <f t="shared" si="31"/>
        <v>2025-06-01</v>
      </c>
      <c r="J294" s="9">
        <f t="shared" si="32"/>
        <v>0.161805569918883</v>
      </c>
      <c r="K294" s="9">
        <f t="shared" si="33"/>
        <v>0.140376166494265</v>
      </c>
      <c r="L294" s="9">
        <f t="shared" si="34"/>
        <v>0.127056595947308</v>
      </c>
    </row>
    <row r="295" s="3" customFormat="1" spans="1:12">
      <c r="A295" s="4">
        <v>45826</v>
      </c>
      <c r="B295" s="8">
        <v>0.111358001265858</v>
      </c>
      <c r="C295" s="8">
        <v>0.0342131220533608</v>
      </c>
      <c r="D295" s="8">
        <v>0.113290968654313</v>
      </c>
      <c r="E295" s="8">
        <v>1</v>
      </c>
      <c r="F295" s="9">
        <f t="shared" si="28"/>
        <v>0.162920951275171</v>
      </c>
      <c r="G295" s="9">
        <f t="shared" si="29"/>
        <v>0.139896695916058</v>
      </c>
      <c r="H295" s="9">
        <f t="shared" si="30"/>
        <v>0.12610259726707</v>
      </c>
      <c r="I295" s="3" t="str">
        <f t="shared" si="31"/>
        <v>2025-06-01</v>
      </c>
      <c r="J295" s="9">
        <f t="shared" si="32"/>
        <v>0.161805569918883</v>
      </c>
      <c r="K295" s="9">
        <f t="shared" si="33"/>
        <v>0.140376166494265</v>
      </c>
      <c r="L295" s="9">
        <f t="shared" si="34"/>
        <v>0.127056595947308</v>
      </c>
    </row>
    <row r="296" s="3" customFormat="1" spans="1:12">
      <c r="A296" s="4">
        <v>45825</v>
      </c>
      <c r="B296" s="8">
        <v>0.114152338048344</v>
      </c>
      <c r="C296" s="8">
        <v>0.0309864276178945</v>
      </c>
      <c r="D296" s="8">
        <v>0.101869298143578</v>
      </c>
      <c r="E296" s="8">
        <v>1</v>
      </c>
      <c r="F296" s="9">
        <f t="shared" si="28"/>
        <v>0.160657553186673</v>
      </c>
      <c r="G296" s="9">
        <f t="shared" si="29"/>
        <v>0.139858058301172</v>
      </c>
      <c r="H296" s="9">
        <f t="shared" si="30"/>
        <v>0.127432682601449</v>
      </c>
      <c r="I296" s="3" t="str">
        <f t="shared" si="31"/>
        <v>2025-06-01</v>
      </c>
      <c r="J296" s="9">
        <f t="shared" si="32"/>
        <v>0.161805569918883</v>
      </c>
      <c r="K296" s="9">
        <f t="shared" si="33"/>
        <v>0.140376166494265</v>
      </c>
      <c r="L296" s="9">
        <f t="shared" si="34"/>
        <v>0.127056595947308</v>
      </c>
    </row>
    <row r="297" s="3" customFormat="1" spans="1:12">
      <c r="A297" s="4">
        <v>45824</v>
      </c>
      <c r="B297" s="8">
        <v>0.114001909447828</v>
      </c>
      <c r="C297" s="8">
        <v>0.0307043115514301</v>
      </c>
      <c r="D297" s="8">
        <v>0.102705631615354</v>
      </c>
      <c r="E297" s="8">
        <v>1</v>
      </c>
      <c r="F297" s="9">
        <f t="shared" si="28"/>
        <v>0.160549786911885</v>
      </c>
      <c r="G297" s="9">
        <f t="shared" si="29"/>
        <v>0.139812091153611</v>
      </c>
      <c r="H297" s="9">
        <f t="shared" si="30"/>
        <v>0.12733763525584</v>
      </c>
      <c r="I297" s="3" t="str">
        <f t="shared" si="31"/>
        <v>2025-06-01</v>
      </c>
      <c r="J297" s="9">
        <f t="shared" si="32"/>
        <v>0.161805569918883</v>
      </c>
      <c r="K297" s="9">
        <f t="shared" si="33"/>
        <v>0.140376166494265</v>
      </c>
      <c r="L297" s="9">
        <f t="shared" si="34"/>
        <v>0.127056595947308</v>
      </c>
    </row>
    <row r="298" s="3" customFormat="1" spans="1:12">
      <c r="A298" s="4">
        <v>45821</v>
      </c>
      <c r="B298" s="8">
        <v>0.113936679837386</v>
      </c>
      <c r="C298" s="8">
        <v>0.0305964708949122</v>
      </c>
      <c r="D298" s="8">
        <v>0.10306494638184</v>
      </c>
      <c r="E298" s="8">
        <v>1</v>
      </c>
      <c r="F298" s="9">
        <f t="shared" si="28"/>
        <v>0.160511334740868</v>
      </c>
      <c r="G298" s="9">
        <f t="shared" si="29"/>
        <v>0.139794396437465</v>
      </c>
      <c r="H298" s="9">
        <f t="shared" si="30"/>
        <v>0.127297535601839</v>
      </c>
      <c r="I298" s="3" t="str">
        <f t="shared" si="31"/>
        <v>2025-06-01</v>
      </c>
      <c r="J298" s="9">
        <f t="shared" si="32"/>
        <v>0.161805569918883</v>
      </c>
      <c r="K298" s="9">
        <f t="shared" si="33"/>
        <v>0.140376166494265</v>
      </c>
      <c r="L298" s="9">
        <f t="shared" si="34"/>
        <v>0.127056595947308</v>
      </c>
    </row>
    <row r="299" s="3" customFormat="1" spans="1:12">
      <c r="A299" s="4">
        <v>45820</v>
      </c>
      <c r="B299" s="8">
        <v>0.114416318082526</v>
      </c>
      <c r="C299" s="8">
        <v>0.0318461888957256</v>
      </c>
      <c r="D299" s="8">
        <v>0.0981884731593853</v>
      </c>
      <c r="E299" s="8">
        <v>1</v>
      </c>
      <c r="F299" s="9">
        <f t="shared" si="28"/>
        <v>0.160492380692534</v>
      </c>
      <c r="G299" s="9">
        <f t="shared" si="29"/>
        <v>0.139586428433285</v>
      </c>
      <c r="H299" s="9">
        <f t="shared" si="30"/>
        <v>0.1274147361818</v>
      </c>
      <c r="I299" s="3" t="str">
        <f t="shared" si="31"/>
        <v>2025-06-01</v>
      </c>
      <c r="J299" s="9">
        <f t="shared" si="32"/>
        <v>0.161805569918883</v>
      </c>
      <c r="K299" s="9">
        <f t="shared" si="33"/>
        <v>0.140376166494265</v>
      </c>
      <c r="L299" s="9">
        <f t="shared" si="34"/>
        <v>0.127056595947308</v>
      </c>
    </row>
    <row r="300" s="3" customFormat="1" spans="1:12">
      <c r="A300" s="4">
        <v>45819</v>
      </c>
      <c r="B300" s="8">
        <v>0.112987536492138</v>
      </c>
      <c r="C300" s="8">
        <v>0.0303332829520837</v>
      </c>
      <c r="D300" s="8">
        <v>0.110575739390867</v>
      </c>
      <c r="E300" s="8">
        <v>1</v>
      </c>
      <c r="F300" s="9">
        <f t="shared" si="28"/>
        <v>0.161380485225319</v>
      </c>
      <c r="G300" s="9">
        <f t="shared" si="29"/>
        <v>0.14023439998448</v>
      </c>
      <c r="H300" s="9">
        <f t="shared" si="30"/>
        <v>0.12707277886966</v>
      </c>
      <c r="I300" s="3" t="str">
        <f t="shared" si="31"/>
        <v>2025-06-01</v>
      </c>
      <c r="J300" s="9">
        <f t="shared" si="32"/>
        <v>0.161805569918883</v>
      </c>
      <c r="K300" s="9">
        <f t="shared" si="33"/>
        <v>0.140376166494265</v>
      </c>
      <c r="L300" s="9">
        <f t="shared" si="34"/>
        <v>0.127056595947308</v>
      </c>
    </row>
    <row r="301" s="3" customFormat="1" spans="1:12">
      <c r="A301" s="4">
        <v>45818</v>
      </c>
      <c r="B301" s="8">
        <v>0.114402576854646</v>
      </c>
      <c r="C301" s="8">
        <v>0.0250114789280317</v>
      </c>
      <c r="D301" s="8">
        <v>0.11047988579608</v>
      </c>
      <c r="E301" s="8">
        <v>1</v>
      </c>
      <c r="F301" s="9">
        <f t="shared" si="28"/>
        <v>0.159406175393149</v>
      </c>
      <c r="G301" s="9">
        <f t="shared" si="29"/>
        <v>0.14057385545764</v>
      </c>
      <c r="H301" s="9">
        <f t="shared" si="30"/>
        <v>0.127946082418158</v>
      </c>
      <c r="I301" s="3" t="str">
        <f t="shared" si="31"/>
        <v>2025-06-01</v>
      </c>
      <c r="J301" s="9">
        <f t="shared" si="32"/>
        <v>0.161805569918883</v>
      </c>
      <c r="K301" s="9">
        <f t="shared" si="33"/>
        <v>0.140376166494265</v>
      </c>
      <c r="L301" s="9">
        <f t="shared" si="34"/>
        <v>0.127056595947308</v>
      </c>
    </row>
    <row r="302" s="3" customFormat="1" spans="1:12">
      <c r="A302" s="4">
        <v>45817</v>
      </c>
      <c r="B302" s="8">
        <v>0.113680323855462</v>
      </c>
      <c r="C302" s="8">
        <v>0.0264293841291836</v>
      </c>
      <c r="D302" s="8">
        <v>0.113968970734435</v>
      </c>
      <c r="E302" s="8">
        <v>1</v>
      </c>
      <c r="F302" s="9">
        <f t="shared" si="28"/>
        <v>0.160502169125794</v>
      </c>
      <c r="G302" s="9">
        <f t="shared" si="29"/>
        <v>0.140802878609071</v>
      </c>
      <c r="H302" s="9">
        <f t="shared" si="30"/>
        <v>0.127714347751012</v>
      </c>
      <c r="I302" s="3" t="str">
        <f t="shared" si="31"/>
        <v>2025-06-01</v>
      </c>
      <c r="J302" s="9">
        <f t="shared" si="32"/>
        <v>0.161805569918883</v>
      </c>
      <c r="K302" s="9">
        <f t="shared" si="33"/>
        <v>0.140376166494265</v>
      </c>
      <c r="L302" s="9">
        <f t="shared" si="34"/>
        <v>0.127056595947308</v>
      </c>
    </row>
    <row r="303" s="3" customFormat="1" spans="1:12">
      <c r="A303" s="4">
        <v>45813</v>
      </c>
      <c r="B303" s="8">
        <v>0.113677581277155</v>
      </c>
      <c r="C303" s="8">
        <v>0.0258234575004023</v>
      </c>
      <c r="D303" s="8">
        <v>0.114644650459498</v>
      </c>
      <c r="E303" s="8">
        <v>1</v>
      </c>
      <c r="F303" s="9">
        <f t="shared" si="28"/>
        <v>0.160294950234022</v>
      </c>
      <c r="G303" s="9">
        <f t="shared" si="29"/>
        <v>0.140809439957311</v>
      </c>
      <c r="H303" s="9">
        <f t="shared" si="30"/>
        <v>0.127718549489843</v>
      </c>
      <c r="I303" s="3" t="str">
        <f t="shared" si="31"/>
        <v>2025-06-01</v>
      </c>
      <c r="J303" s="9">
        <f t="shared" si="32"/>
        <v>0.161805569918883</v>
      </c>
      <c r="K303" s="9">
        <f t="shared" si="33"/>
        <v>0.140376166494265</v>
      </c>
      <c r="L303" s="9">
        <f t="shared" si="34"/>
        <v>0.127056595947308</v>
      </c>
    </row>
    <row r="304" s="3" customFormat="1" spans="1:12">
      <c r="A304" s="4">
        <v>45812</v>
      </c>
      <c r="B304" s="8">
        <v>0.115186231974321</v>
      </c>
      <c r="C304" s="8">
        <v>0.0260528797184034</v>
      </c>
      <c r="D304" s="8">
        <v>0.102311647926129</v>
      </c>
      <c r="E304" s="8">
        <v>1</v>
      </c>
      <c r="F304" s="9">
        <f t="shared" si="28"/>
        <v>0.158689737058353</v>
      </c>
      <c r="G304" s="9">
        <f t="shared" si="29"/>
        <v>0.139996784365346</v>
      </c>
      <c r="H304" s="9">
        <f t="shared" si="30"/>
        <v>0.128017457023091</v>
      </c>
      <c r="I304" s="3" t="str">
        <f t="shared" si="31"/>
        <v>2025-06-01</v>
      </c>
      <c r="J304" s="9">
        <f t="shared" si="32"/>
        <v>0.161805569918883</v>
      </c>
      <c r="K304" s="9">
        <f t="shared" si="33"/>
        <v>0.140376166494265</v>
      </c>
      <c r="L304" s="9">
        <f t="shared" si="34"/>
        <v>0.127056595947308</v>
      </c>
    </row>
    <row r="305" s="3" customFormat="1" spans="1:12">
      <c r="A305" s="4">
        <v>45811</v>
      </c>
      <c r="B305" s="8">
        <v>0.11536761507318</v>
      </c>
      <c r="C305" s="8">
        <v>0.0287327289005766</v>
      </c>
      <c r="D305" s="8">
        <v>0.0977809295133845</v>
      </c>
      <c r="E305" s="8">
        <v>1</v>
      </c>
      <c r="F305" s="9">
        <f t="shared" si="28"/>
        <v>0.15936790582265</v>
      </c>
      <c r="G305" s="9">
        <f t="shared" si="29"/>
        <v>0.139841015570379</v>
      </c>
      <c r="H305" s="9">
        <f t="shared" si="30"/>
        <v>0.128013967296123</v>
      </c>
      <c r="I305" s="3" t="str">
        <f t="shared" si="31"/>
        <v>2025-06-01</v>
      </c>
      <c r="J305" s="9">
        <f t="shared" si="32"/>
        <v>0.161805569918883</v>
      </c>
      <c r="K305" s="9">
        <f t="shared" si="33"/>
        <v>0.140376166494265</v>
      </c>
      <c r="L305" s="9">
        <f t="shared" si="34"/>
        <v>0.127056595947308</v>
      </c>
    </row>
    <row r="306" s="3" customFormat="1" spans="1:12">
      <c r="A306" s="4">
        <v>45810</v>
      </c>
      <c r="B306" s="8">
        <v>0.116336814678282</v>
      </c>
      <c r="C306" s="8">
        <v>0.027070648616447</v>
      </c>
      <c r="D306" s="8">
        <v>0.0912232258175447</v>
      </c>
      <c r="E306" s="8">
        <v>1</v>
      </c>
      <c r="F306" s="9">
        <f t="shared" si="28"/>
        <v>0.157553655355877</v>
      </c>
      <c r="G306" s="9">
        <f t="shared" si="29"/>
        <v>0.139221520733186</v>
      </c>
      <c r="H306" s="9">
        <f t="shared" si="30"/>
        <v>0.128161523540277</v>
      </c>
      <c r="I306" s="3" t="str">
        <f t="shared" si="31"/>
        <v>2025-06-01</v>
      </c>
      <c r="J306" s="9">
        <f t="shared" si="32"/>
        <v>0.161805569918883</v>
      </c>
      <c r="K306" s="9">
        <f t="shared" si="33"/>
        <v>0.140376166494265</v>
      </c>
      <c r="L306" s="9">
        <f t="shared" si="34"/>
        <v>0.127056595947308</v>
      </c>
    </row>
    <row r="307" s="3" customFormat="1" spans="1:12">
      <c r="A307" s="4">
        <v>45807</v>
      </c>
      <c r="B307" s="8">
        <v>0.116614228934592</v>
      </c>
      <c r="C307" s="8">
        <v>0.0271397347101039</v>
      </c>
      <c r="D307" s="8">
        <v>0.0892561437550642</v>
      </c>
      <c r="E307" s="8">
        <v>1</v>
      </c>
      <c r="F307" s="9">
        <f t="shared" si="28"/>
        <v>0.157354956389604</v>
      </c>
      <c r="G307" s="9">
        <f t="shared" si="29"/>
        <v>0.139135147609659</v>
      </c>
      <c r="H307" s="9">
        <f t="shared" si="30"/>
        <v>0.128249236121981</v>
      </c>
      <c r="I307" s="3" t="str">
        <f t="shared" si="31"/>
        <v>2025-05-01</v>
      </c>
      <c r="J307" s="9">
        <f t="shared" si="32"/>
        <v>0.153537176184259</v>
      </c>
      <c r="K307" s="9">
        <f t="shared" si="33"/>
        <v>0.137740251846784</v>
      </c>
      <c r="L307" s="9">
        <f t="shared" si="34"/>
        <v>0.129273313981321</v>
      </c>
    </row>
    <row r="308" s="3" customFormat="1" spans="1:12">
      <c r="A308" s="4">
        <v>45806</v>
      </c>
      <c r="B308" s="8">
        <v>0.118798585445554</v>
      </c>
      <c r="C308" s="8">
        <v>0.0246955141931758</v>
      </c>
      <c r="D308" s="8">
        <v>0.0754068312218748</v>
      </c>
      <c r="E308" s="8">
        <v>1</v>
      </c>
      <c r="F308" s="9">
        <f t="shared" si="28"/>
        <v>0.154334713038953</v>
      </c>
      <c r="G308" s="9">
        <f t="shared" si="29"/>
        <v>0.138176070436844</v>
      </c>
      <c r="H308" s="9">
        <f t="shared" si="30"/>
        <v>0.128804942058273</v>
      </c>
      <c r="I308" s="3" t="str">
        <f t="shared" si="31"/>
        <v>2025-05-01</v>
      </c>
      <c r="J308" s="9">
        <f t="shared" si="32"/>
        <v>0.153537176184259</v>
      </c>
      <c r="K308" s="9">
        <f t="shared" si="33"/>
        <v>0.137740251846784</v>
      </c>
      <c r="L308" s="9">
        <f t="shared" si="34"/>
        <v>0.129273313981321</v>
      </c>
    </row>
    <row r="309" s="3" customFormat="1" spans="1:12">
      <c r="A309" s="4">
        <v>45805</v>
      </c>
      <c r="B309" s="8">
        <v>0.120450797028944</v>
      </c>
      <c r="C309" s="8">
        <v>0.0252932170237624</v>
      </c>
      <c r="D309" s="8">
        <v>0.0642767335718072</v>
      </c>
      <c r="E309" s="8">
        <v>1</v>
      </c>
      <c r="F309" s="9">
        <f t="shared" si="28"/>
        <v>0.15342371542694</v>
      </c>
      <c r="G309" s="9">
        <f t="shared" si="29"/>
        <v>0.137810990408012</v>
      </c>
      <c r="H309" s="9">
        <f t="shared" si="30"/>
        <v>0.129404467282365</v>
      </c>
      <c r="I309" s="3" t="str">
        <f t="shared" si="31"/>
        <v>2025-05-01</v>
      </c>
      <c r="J309" s="9">
        <f t="shared" si="32"/>
        <v>0.153537176184259</v>
      </c>
      <c r="K309" s="9">
        <f t="shared" si="33"/>
        <v>0.137740251846784</v>
      </c>
      <c r="L309" s="9">
        <f t="shared" si="34"/>
        <v>0.129273313981321</v>
      </c>
    </row>
    <row r="310" s="3" customFormat="1" spans="1:12">
      <c r="A310" s="4">
        <v>45804</v>
      </c>
      <c r="B310" s="8">
        <v>0.120956215473404</v>
      </c>
      <c r="C310" s="8">
        <v>0.0275499928258196</v>
      </c>
      <c r="D310" s="8">
        <v>0.0609443898690167</v>
      </c>
      <c r="E310" s="8">
        <v>1</v>
      </c>
      <c r="F310" s="9">
        <f t="shared" si="28"/>
        <v>0.154475146028104</v>
      </c>
      <c r="G310" s="9">
        <f t="shared" si="29"/>
        <v>0.138125197851479</v>
      </c>
      <c r="H310" s="9">
        <f t="shared" si="30"/>
        <v>0.129802485107992</v>
      </c>
      <c r="I310" s="3" t="str">
        <f t="shared" si="31"/>
        <v>2025-05-01</v>
      </c>
      <c r="J310" s="9">
        <f t="shared" si="32"/>
        <v>0.153537176184259</v>
      </c>
      <c r="K310" s="9">
        <f t="shared" si="33"/>
        <v>0.137740251846784</v>
      </c>
      <c r="L310" s="9">
        <f t="shared" si="34"/>
        <v>0.129273313981321</v>
      </c>
    </row>
    <row r="311" s="3" customFormat="1" spans="1:12">
      <c r="A311" s="4">
        <v>45803</v>
      </c>
      <c r="B311" s="8">
        <v>0.122321211744963</v>
      </c>
      <c r="C311" s="8">
        <v>0.0260987933733101</v>
      </c>
      <c r="D311" s="8">
        <v>0.0556474400808697</v>
      </c>
      <c r="E311" s="8">
        <v>1</v>
      </c>
      <c r="F311" s="9">
        <f t="shared" si="28"/>
        <v>0.153523137358577</v>
      </c>
      <c r="G311" s="9">
        <f t="shared" si="29"/>
        <v>0.138185348576221</v>
      </c>
      <c r="H311" s="9">
        <f t="shared" si="30"/>
        <v>0.130492937573184</v>
      </c>
      <c r="I311" s="3" t="str">
        <f t="shared" si="31"/>
        <v>2025-05-01</v>
      </c>
      <c r="J311" s="9">
        <f t="shared" si="32"/>
        <v>0.153537176184259</v>
      </c>
      <c r="K311" s="9">
        <f t="shared" si="33"/>
        <v>0.137740251846784</v>
      </c>
      <c r="L311" s="9">
        <f t="shared" si="34"/>
        <v>0.129273313981321</v>
      </c>
    </row>
    <row r="312" s="3" customFormat="1" spans="1:12">
      <c r="A312" s="4">
        <v>45800</v>
      </c>
      <c r="B312" s="8">
        <v>0.118971451861053</v>
      </c>
      <c r="C312" s="8">
        <v>0.027118254010842</v>
      </c>
      <c r="D312" s="8">
        <v>0.0746018114740299</v>
      </c>
      <c r="E312" s="8">
        <v>1</v>
      </c>
      <c r="F312" s="9">
        <f t="shared" si="28"/>
        <v>0.155826323783984</v>
      </c>
      <c r="G312" s="9">
        <f t="shared" si="29"/>
        <v>0.138675725024283</v>
      </c>
      <c r="H312" s="9">
        <f t="shared" si="30"/>
        <v>0.129139609684156</v>
      </c>
      <c r="I312" s="3" t="str">
        <f t="shared" si="31"/>
        <v>2025-05-01</v>
      </c>
      <c r="J312" s="9">
        <f t="shared" si="32"/>
        <v>0.153537176184259</v>
      </c>
      <c r="K312" s="9">
        <f t="shared" si="33"/>
        <v>0.137740251846784</v>
      </c>
      <c r="L312" s="9">
        <f t="shared" si="34"/>
        <v>0.129273313981321</v>
      </c>
    </row>
    <row r="313" s="3" customFormat="1" spans="1:12">
      <c r="A313" s="4">
        <v>45799</v>
      </c>
      <c r="B313" s="8">
        <v>0.11928066567964</v>
      </c>
      <c r="C313" s="8">
        <v>0.0261175370097173</v>
      </c>
      <c r="D313" s="8">
        <v>0.07384829812584</v>
      </c>
      <c r="E313" s="8">
        <v>1</v>
      </c>
      <c r="F313" s="9">
        <f t="shared" si="28"/>
        <v>0.155303854603296</v>
      </c>
      <c r="G313" s="9">
        <f t="shared" si="29"/>
        <v>0.138641533888234</v>
      </c>
      <c r="H313" s="9">
        <f t="shared" si="30"/>
        <v>0.129273442641458</v>
      </c>
      <c r="I313" s="3" t="str">
        <f t="shared" si="31"/>
        <v>2025-05-01</v>
      </c>
      <c r="J313" s="9">
        <f t="shared" si="32"/>
        <v>0.153537176184259</v>
      </c>
      <c r="K313" s="9">
        <f t="shared" si="33"/>
        <v>0.137740251846784</v>
      </c>
      <c r="L313" s="9">
        <f t="shared" si="34"/>
        <v>0.129273313981321</v>
      </c>
    </row>
    <row r="314" s="3" customFormat="1" spans="1:12">
      <c r="A314" s="4">
        <v>45798</v>
      </c>
      <c r="B314" s="8">
        <v>0.119843281672802</v>
      </c>
      <c r="C314" s="8">
        <v>0.025208990026337</v>
      </c>
      <c r="D314" s="8">
        <v>0.0711952151183956</v>
      </c>
      <c r="E314" s="8">
        <v>1</v>
      </c>
      <c r="F314" s="9">
        <f t="shared" si="28"/>
        <v>0.154591105750477</v>
      </c>
      <c r="G314" s="9">
        <f t="shared" si="29"/>
        <v>0.138514499830741</v>
      </c>
      <c r="H314" s="9">
        <f t="shared" si="30"/>
        <v>0.129480032255095</v>
      </c>
      <c r="I314" s="3" t="str">
        <f t="shared" si="31"/>
        <v>2025-05-01</v>
      </c>
      <c r="J314" s="9">
        <f t="shared" si="32"/>
        <v>0.153537176184259</v>
      </c>
      <c r="K314" s="9">
        <f t="shared" si="33"/>
        <v>0.137740251846784</v>
      </c>
      <c r="L314" s="9">
        <f t="shared" si="34"/>
        <v>0.129273313981321</v>
      </c>
    </row>
    <row r="315" s="3" customFormat="1" spans="1:12">
      <c r="A315" s="4">
        <v>45797</v>
      </c>
      <c r="B315" s="8">
        <v>0.120393784409088</v>
      </c>
      <c r="C315" s="8">
        <v>0.0264732914004647</v>
      </c>
      <c r="D315" s="8">
        <v>0.0597074959202721</v>
      </c>
      <c r="E315" s="8">
        <v>1</v>
      </c>
      <c r="F315" s="9">
        <f t="shared" si="28"/>
        <v>0.152905271617661</v>
      </c>
      <c r="G315" s="9">
        <f t="shared" si="29"/>
        <v>0.137111499614815</v>
      </c>
      <c r="H315" s="9">
        <f t="shared" si="30"/>
        <v>0.129008761164872</v>
      </c>
      <c r="I315" s="3" t="str">
        <f t="shared" si="31"/>
        <v>2025-05-01</v>
      </c>
      <c r="J315" s="9">
        <f t="shared" si="32"/>
        <v>0.153537176184259</v>
      </c>
      <c r="K315" s="9">
        <f t="shared" si="33"/>
        <v>0.137740251846784</v>
      </c>
      <c r="L315" s="9">
        <f t="shared" si="34"/>
        <v>0.129273313981321</v>
      </c>
    </row>
    <row r="316" s="3" customFormat="1" spans="1:12">
      <c r="A316" s="4">
        <v>45796</v>
      </c>
      <c r="B316" s="8">
        <v>0.120767848282228</v>
      </c>
      <c r="C316" s="8">
        <v>0.0275659462234651</v>
      </c>
      <c r="D316" s="8">
        <v>0.0560581270293876</v>
      </c>
      <c r="E316" s="8">
        <v>1</v>
      </c>
      <c r="F316" s="9">
        <f t="shared" si="28"/>
        <v>0.153005711753653</v>
      </c>
      <c r="G316" s="9">
        <f t="shared" si="29"/>
        <v>0.137002255329321</v>
      </c>
      <c r="H316" s="9">
        <f t="shared" si="30"/>
        <v>0.129127330919778</v>
      </c>
      <c r="I316" s="3" t="str">
        <f t="shared" si="31"/>
        <v>2025-05-01</v>
      </c>
      <c r="J316" s="9">
        <f t="shared" si="32"/>
        <v>0.153537176184259</v>
      </c>
      <c r="K316" s="9">
        <f t="shared" si="33"/>
        <v>0.137740251846784</v>
      </c>
      <c r="L316" s="9">
        <f t="shared" si="34"/>
        <v>0.129273313981321</v>
      </c>
    </row>
    <row r="317" s="3" customFormat="1" spans="1:12">
      <c r="A317" s="4">
        <v>45793</v>
      </c>
      <c r="B317" s="8">
        <v>0.1193047223248</v>
      </c>
      <c r="C317" s="8">
        <v>0.026957784653452</v>
      </c>
      <c r="D317" s="8">
        <v>0.0669899573869752</v>
      </c>
      <c r="E317" s="8">
        <v>1</v>
      </c>
      <c r="F317" s="9">
        <f t="shared" si="28"/>
        <v>0.154046793436457</v>
      </c>
      <c r="G317" s="9">
        <f t="shared" si="29"/>
        <v>0.137516292969231</v>
      </c>
      <c r="H317" s="9">
        <f t="shared" si="30"/>
        <v>0.128696028667394</v>
      </c>
      <c r="I317" s="3" t="str">
        <f t="shared" si="31"/>
        <v>2025-05-01</v>
      </c>
      <c r="J317" s="9">
        <f t="shared" si="32"/>
        <v>0.153537176184259</v>
      </c>
      <c r="K317" s="9">
        <f t="shared" si="33"/>
        <v>0.137740251846784</v>
      </c>
      <c r="L317" s="9">
        <f t="shared" si="34"/>
        <v>0.129273313981321</v>
      </c>
    </row>
    <row r="318" s="3" customFormat="1" spans="1:12">
      <c r="A318" s="4">
        <v>45792</v>
      </c>
      <c r="B318" s="8">
        <v>0.119536581391783</v>
      </c>
      <c r="C318" s="8">
        <v>0.0262074326609233</v>
      </c>
      <c r="D318" s="8">
        <v>0.0663911570157504</v>
      </c>
      <c r="E318" s="8">
        <v>1</v>
      </c>
      <c r="F318" s="9">
        <f t="shared" si="28"/>
        <v>0.153646111903259</v>
      </c>
      <c r="G318" s="9">
        <f t="shared" si="29"/>
        <v>0.137484174352051</v>
      </c>
      <c r="H318" s="9">
        <f t="shared" si="30"/>
        <v>0.128793005808638</v>
      </c>
      <c r="I318" s="3" t="str">
        <f t="shared" si="31"/>
        <v>2025-05-01</v>
      </c>
      <c r="J318" s="9">
        <f t="shared" si="32"/>
        <v>0.153537176184259</v>
      </c>
      <c r="K318" s="9">
        <f t="shared" si="33"/>
        <v>0.137740251846784</v>
      </c>
      <c r="L318" s="9">
        <f t="shared" si="34"/>
        <v>0.129273313981321</v>
      </c>
    </row>
    <row r="319" s="3" customFormat="1" spans="1:12">
      <c r="A319" s="4">
        <v>45791</v>
      </c>
      <c r="B319" s="8">
        <v>0.119458579420344</v>
      </c>
      <c r="C319" s="8">
        <v>0.024901471086492</v>
      </c>
      <c r="D319" s="8">
        <v>0.0684053349161054</v>
      </c>
      <c r="E319" s="8">
        <v>1</v>
      </c>
      <c r="F319" s="9">
        <f t="shared" si="28"/>
        <v>0.153274813391131</v>
      </c>
      <c r="G319" s="9">
        <f t="shared" si="29"/>
        <v>0.137533289837044</v>
      </c>
      <c r="H319" s="9">
        <f t="shared" si="30"/>
        <v>0.128785730810959</v>
      </c>
      <c r="I319" s="3" t="str">
        <f t="shared" si="31"/>
        <v>2025-05-01</v>
      </c>
      <c r="J319" s="9">
        <f t="shared" si="32"/>
        <v>0.153537176184259</v>
      </c>
      <c r="K319" s="9">
        <f t="shared" si="33"/>
        <v>0.137740251846784</v>
      </c>
      <c r="L319" s="9">
        <f t="shared" si="34"/>
        <v>0.129273313981321</v>
      </c>
    </row>
    <row r="320" s="3" customFormat="1" spans="1:12">
      <c r="A320" s="4">
        <v>45790</v>
      </c>
      <c r="B320" s="8">
        <v>0.121759843568698</v>
      </c>
      <c r="C320" s="8">
        <v>0.0233789220975412</v>
      </c>
      <c r="D320" s="8">
        <v>0.051746702307444</v>
      </c>
      <c r="E320" s="8">
        <v>1</v>
      </c>
      <c r="F320" s="9">
        <f t="shared" si="28"/>
        <v>0.150211747322594</v>
      </c>
      <c r="G320" s="9">
        <f t="shared" si="29"/>
        <v>0.136335063417067</v>
      </c>
      <c r="H320" s="9">
        <f t="shared" si="30"/>
        <v>0.129269715642739</v>
      </c>
      <c r="I320" s="3" t="str">
        <f t="shared" si="31"/>
        <v>2025-05-01</v>
      </c>
      <c r="J320" s="9">
        <f t="shared" si="32"/>
        <v>0.153537176184259</v>
      </c>
      <c r="K320" s="9">
        <f t="shared" si="33"/>
        <v>0.137740251846784</v>
      </c>
      <c r="L320" s="9">
        <f t="shared" si="34"/>
        <v>0.129273313981321</v>
      </c>
    </row>
    <row r="321" s="3" customFormat="1" spans="1:12">
      <c r="A321" s="4">
        <v>45789</v>
      </c>
      <c r="B321" s="8">
        <v>0.120605627454009</v>
      </c>
      <c r="C321" s="8">
        <v>0.0261751037541856</v>
      </c>
      <c r="D321" s="8">
        <v>0.0593562538598278</v>
      </c>
      <c r="E321" s="8">
        <v>1</v>
      </c>
      <c r="F321" s="9">
        <f t="shared" si="28"/>
        <v>0.152835811526361</v>
      </c>
      <c r="G321" s="9">
        <f t="shared" si="29"/>
        <v>0.137196698533367</v>
      </c>
      <c r="H321" s="9">
        <f t="shared" si="30"/>
        <v>0.129155680133891</v>
      </c>
      <c r="I321" s="3" t="str">
        <f t="shared" si="31"/>
        <v>2025-05-01</v>
      </c>
      <c r="J321" s="9">
        <f t="shared" si="32"/>
        <v>0.153537176184259</v>
      </c>
      <c r="K321" s="9">
        <f t="shared" si="33"/>
        <v>0.137740251846784</v>
      </c>
      <c r="L321" s="9">
        <f t="shared" si="34"/>
        <v>0.129273313981321</v>
      </c>
    </row>
    <row r="322" s="3" customFormat="1" spans="1:12">
      <c r="A322" s="4">
        <v>45785</v>
      </c>
      <c r="B322" s="8">
        <v>0.121770254511235</v>
      </c>
      <c r="C322" s="8">
        <v>0.0247513981515318</v>
      </c>
      <c r="D322" s="8">
        <v>0.0534392203639223</v>
      </c>
      <c r="E322" s="8">
        <v>1</v>
      </c>
      <c r="F322" s="9">
        <f t="shared" si="28"/>
        <v>0.151536961458257</v>
      </c>
      <c r="G322" s="9">
        <f t="shared" si="29"/>
        <v>0.136942938731165</v>
      </c>
      <c r="H322" s="9">
        <f t="shared" si="30"/>
        <v>0.12958653524107</v>
      </c>
      <c r="I322" s="3" t="str">
        <f t="shared" si="31"/>
        <v>2025-05-01</v>
      </c>
      <c r="J322" s="9">
        <f t="shared" si="32"/>
        <v>0.153537176184259</v>
      </c>
      <c r="K322" s="9">
        <f t="shared" si="33"/>
        <v>0.137740251846784</v>
      </c>
      <c r="L322" s="9">
        <f t="shared" si="34"/>
        <v>0.129273313981321</v>
      </c>
    </row>
    <row r="323" s="3" customFormat="1" spans="1:12">
      <c r="A323" s="4">
        <v>45783</v>
      </c>
      <c r="B323" s="8">
        <v>0.119744750701625</v>
      </c>
      <c r="C323" s="8">
        <v>0.0267769019611425</v>
      </c>
      <c r="D323" s="8">
        <v>0.0701567863649647</v>
      </c>
      <c r="E323" s="8">
        <v>1</v>
      </c>
      <c r="F323" s="9">
        <f t="shared" si="28"/>
        <v>0.15520928857331</v>
      </c>
      <c r="G323" s="9">
        <f t="shared" si="29"/>
        <v>0.13852814884782</v>
      </c>
      <c r="H323" s="9">
        <f t="shared" si="30"/>
        <v>0.129434494342798</v>
      </c>
      <c r="I323" s="3" t="str">
        <f t="shared" si="31"/>
        <v>2025-05-01</v>
      </c>
      <c r="J323" s="9">
        <f t="shared" si="32"/>
        <v>0.153537176184259</v>
      </c>
      <c r="K323" s="9">
        <f t="shared" si="33"/>
        <v>0.137740251846784</v>
      </c>
      <c r="L323" s="9">
        <f t="shared" si="34"/>
        <v>0.129273313981321</v>
      </c>
    </row>
    <row r="324" s="3" customFormat="1" spans="1:12">
      <c r="A324" s="4">
        <v>45782</v>
      </c>
      <c r="B324" s="8">
        <v>0.122122719818518</v>
      </c>
      <c r="C324" s="8">
        <v>0.0231890113415358</v>
      </c>
      <c r="D324" s="8">
        <v>0.0539300775305655</v>
      </c>
      <c r="E324" s="8">
        <v>1</v>
      </c>
      <c r="F324" s="9">
        <f t="shared" si="28"/>
        <v>0.151031514588423</v>
      </c>
      <c r="G324" s="9">
        <f t="shared" si="29"/>
        <v>0.137079234722193</v>
      </c>
      <c r="H324" s="9">
        <f t="shared" si="30"/>
        <v>0.129831830163874</v>
      </c>
      <c r="I324" s="3" t="str">
        <f t="shared" si="31"/>
        <v>2025-05-01</v>
      </c>
      <c r="J324" s="9">
        <f t="shared" si="32"/>
        <v>0.153537176184259</v>
      </c>
      <c r="K324" s="9">
        <f t="shared" si="33"/>
        <v>0.137740251846784</v>
      </c>
      <c r="L324" s="9">
        <f t="shared" si="34"/>
        <v>0.129273313981321</v>
      </c>
    </row>
    <row r="325" s="3" customFormat="1" spans="1:12">
      <c r="A325" s="4">
        <v>45779</v>
      </c>
      <c r="B325" s="8">
        <v>0.122177274252911</v>
      </c>
      <c r="C325" s="8">
        <v>0.0222693301121176</v>
      </c>
      <c r="D325" s="8">
        <v>0.0545531824478291</v>
      </c>
      <c r="E325" s="8">
        <v>1</v>
      </c>
      <c r="F325" s="9">
        <f t="shared" ref="F325:F388" si="35">B325+(C325+D325)*(E325/$F$3)*(1-EXP(-$F$3/E325))-D325*EXP(-$F$3/E325)</f>
        <v>0.150669369549887</v>
      </c>
      <c r="G325" s="9">
        <f t="shared" ref="G325:G388" si="36">B325+(C325+D325)*(E325/$G$3)*(1-EXP(-$G$3/E325))-D325*EXP(-$G$3/E325)</f>
        <v>0.137070675109342</v>
      </c>
      <c r="H325" s="9">
        <f t="shared" ref="H325:H388" si="37">B325+(C325+D325)*(E325/$H$3)*(1-EXP(-$H$3/E325))-D325*EXP(-$H$3/E325)</f>
        <v>0.129856700024587</v>
      </c>
      <c r="I325" s="3" t="str">
        <f t="shared" ref="I325:I388" si="38">TEXT(A325,"yyyy-mm-01")</f>
        <v>2025-05-01</v>
      </c>
      <c r="J325" s="9">
        <f t="shared" ref="J325:J388" si="39">AVERAGEIF($I:$I,I325,$F:$F)</f>
        <v>0.153537176184259</v>
      </c>
      <c r="K325" s="9">
        <f t="shared" ref="K325:K388" si="40">AVERAGEIF($I:$I,I325,$G:$G)</f>
        <v>0.137740251846784</v>
      </c>
      <c r="L325" s="9">
        <f t="shared" ref="L325:L388" si="41">AVERAGEIF($I:$I,I325,$H:$H)</f>
        <v>0.129273313981321</v>
      </c>
    </row>
    <row r="326" s="3" customFormat="1" spans="1:12">
      <c r="A326" s="4">
        <v>45777</v>
      </c>
      <c r="B326" s="8">
        <v>0.132616886046161</v>
      </c>
      <c r="C326" s="8">
        <v>0.0123488842040245</v>
      </c>
      <c r="D326" s="8">
        <v>0.0541101603162855</v>
      </c>
      <c r="E326" s="8">
        <v>0.21</v>
      </c>
      <c r="F326" s="9">
        <f t="shared" si="35"/>
        <v>0.145991363311628</v>
      </c>
      <c r="G326" s="9">
        <f t="shared" si="36"/>
        <v>0.135408165913415</v>
      </c>
      <c r="H326" s="9">
        <f t="shared" si="37"/>
        <v>0.134012525981088</v>
      </c>
      <c r="I326" s="3" t="str">
        <f t="shared" si="38"/>
        <v>2025-04-01</v>
      </c>
      <c r="J326" s="9">
        <f t="shared" si="39"/>
        <v>0.142852759539024</v>
      </c>
      <c r="K326" s="9">
        <f t="shared" si="40"/>
        <v>0.135030215596446</v>
      </c>
      <c r="L326" s="9">
        <f t="shared" si="41"/>
        <v>0.13400191992036</v>
      </c>
    </row>
    <row r="327" s="3" customFormat="1" spans="1:12">
      <c r="A327" s="4">
        <v>45776</v>
      </c>
      <c r="B327" s="8">
        <v>0.132933468155825</v>
      </c>
      <c r="C327" s="8">
        <v>0.01315623771607</v>
      </c>
      <c r="D327" s="8">
        <v>0.0511059690693843</v>
      </c>
      <c r="E327" s="8">
        <v>0.21</v>
      </c>
      <c r="F327" s="9">
        <f t="shared" si="35"/>
        <v>0.145876237361269</v>
      </c>
      <c r="G327" s="9">
        <f t="shared" si="36"/>
        <v>0.135632480838357</v>
      </c>
      <c r="H327" s="9">
        <f t="shared" si="37"/>
        <v>0.13428297449832</v>
      </c>
      <c r="I327" s="3" t="str">
        <f t="shared" si="38"/>
        <v>2025-04-01</v>
      </c>
      <c r="J327" s="9">
        <f t="shared" si="39"/>
        <v>0.142852759539024</v>
      </c>
      <c r="K327" s="9">
        <f t="shared" si="40"/>
        <v>0.135030215596446</v>
      </c>
      <c r="L327" s="9">
        <f t="shared" si="41"/>
        <v>0.13400191992036</v>
      </c>
    </row>
    <row r="328" s="3" customFormat="1" spans="1:12">
      <c r="A328" s="4">
        <v>45775</v>
      </c>
      <c r="B328" s="8">
        <v>0.133687752160641</v>
      </c>
      <c r="C328" s="8">
        <v>0.0134383127296534</v>
      </c>
      <c r="D328" s="8">
        <v>0.0479490730346888</v>
      </c>
      <c r="E328" s="8">
        <v>0.21</v>
      </c>
      <c r="F328" s="9">
        <f t="shared" si="35"/>
        <v>0.146058959557115</v>
      </c>
      <c r="G328" s="9">
        <f t="shared" si="36"/>
        <v>0.136266022360436</v>
      </c>
      <c r="H328" s="9">
        <f t="shared" si="37"/>
        <v>0.134976887261692</v>
      </c>
      <c r="I328" s="3" t="str">
        <f t="shared" si="38"/>
        <v>2025-04-01</v>
      </c>
      <c r="J328" s="9">
        <f t="shared" si="39"/>
        <v>0.142852759539024</v>
      </c>
      <c r="K328" s="9">
        <f t="shared" si="40"/>
        <v>0.135030215596446</v>
      </c>
      <c r="L328" s="9">
        <f t="shared" si="41"/>
        <v>0.13400191992036</v>
      </c>
    </row>
    <row r="329" s="3" customFormat="1" spans="1:12">
      <c r="A329" s="4">
        <v>45772</v>
      </c>
      <c r="B329" s="8">
        <v>0.135231706029535</v>
      </c>
      <c r="C329" s="8">
        <v>0.0139638603323179</v>
      </c>
      <c r="D329" s="8">
        <v>0.0376911921887284</v>
      </c>
      <c r="E329" s="8">
        <v>0.21</v>
      </c>
      <c r="F329" s="9">
        <f t="shared" si="35"/>
        <v>0.145664294235935</v>
      </c>
      <c r="G329" s="9">
        <f t="shared" si="36"/>
        <v>0.137401218233598</v>
      </c>
      <c r="H329" s="9">
        <f t="shared" si="37"/>
        <v>0.136316462132477</v>
      </c>
      <c r="I329" s="3" t="str">
        <f t="shared" si="38"/>
        <v>2025-04-01</v>
      </c>
      <c r="J329" s="9">
        <f t="shared" si="39"/>
        <v>0.142852759539024</v>
      </c>
      <c r="K329" s="9">
        <f t="shared" si="40"/>
        <v>0.135030215596446</v>
      </c>
      <c r="L329" s="9">
        <f t="shared" si="41"/>
        <v>0.13400191992036</v>
      </c>
    </row>
    <row r="330" s="3" customFormat="1" spans="1:12">
      <c r="A330" s="4">
        <v>45771</v>
      </c>
      <c r="B330" s="8">
        <v>0.134745153444976</v>
      </c>
      <c r="C330" s="8">
        <v>0.0137610548542482</v>
      </c>
      <c r="D330" s="8">
        <v>0.0404494322698983</v>
      </c>
      <c r="E330" s="8">
        <v>0.21</v>
      </c>
      <c r="F330" s="9">
        <f t="shared" si="35"/>
        <v>0.145686213957685</v>
      </c>
      <c r="G330" s="9">
        <f t="shared" si="36"/>
        <v>0.137021993902239</v>
      </c>
      <c r="H330" s="9">
        <f t="shared" si="37"/>
        <v>0.135883573674583</v>
      </c>
      <c r="I330" s="3" t="str">
        <f t="shared" si="38"/>
        <v>2025-04-01</v>
      </c>
      <c r="J330" s="9">
        <f t="shared" si="39"/>
        <v>0.142852759539024</v>
      </c>
      <c r="K330" s="9">
        <f t="shared" si="40"/>
        <v>0.135030215596446</v>
      </c>
      <c r="L330" s="9">
        <f t="shared" si="41"/>
        <v>0.13400191992036</v>
      </c>
    </row>
    <row r="331" s="3" customFormat="1" spans="1:12">
      <c r="A331" s="4">
        <v>45770</v>
      </c>
      <c r="B331" s="8">
        <v>0.134609171476194</v>
      </c>
      <c r="C331" s="8">
        <v>0.0148447816921439</v>
      </c>
      <c r="D331" s="8">
        <v>0.0378745152409189</v>
      </c>
      <c r="E331" s="8">
        <v>0.21</v>
      </c>
      <c r="F331" s="9">
        <f t="shared" si="35"/>
        <v>0.145261773027093</v>
      </c>
      <c r="G331" s="9">
        <f t="shared" si="36"/>
        <v>0.136823381945552</v>
      </c>
      <c r="H331" s="9">
        <f t="shared" si="37"/>
        <v>0.135716276711788</v>
      </c>
      <c r="I331" s="3" t="str">
        <f t="shared" si="38"/>
        <v>2025-04-01</v>
      </c>
      <c r="J331" s="9">
        <f t="shared" si="39"/>
        <v>0.142852759539024</v>
      </c>
      <c r="K331" s="9">
        <f t="shared" si="40"/>
        <v>0.135030215596446</v>
      </c>
      <c r="L331" s="9">
        <f t="shared" si="41"/>
        <v>0.13400191992036</v>
      </c>
    </row>
    <row r="332" s="3" customFormat="1" spans="1:12">
      <c r="A332" s="4">
        <v>45769</v>
      </c>
      <c r="B332" s="8">
        <v>0.133662956462357</v>
      </c>
      <c r="C332" s="8">
        <v>0.0142396734611384</v>
      </c>
      <c r="D332" s="8">
        <v>0.0436575176847648</v>
      </c>
      <c r="E332" s="8">
        <v>0.21</v>
      </c>
      <c r="F332" s="9">
        <f t="shared" si="35"/>
        <v>0.145344178962121</v>
      </c>
      <c r="G332" s="9">
        <f t="shared" si="36"/>
        <v>0.13609463848838</v>
      </c>
      <c r="H332" s="9">
        <f t="shared" si="37"/>
        <v>0.134878797476421</v>
      </c>
      <c r="I332" s="3" t="str">
        <f t="shared" si="38"/>
        <v>2025-04-01</v>
      </c>
      <c r="J332" s="9">
        <f t="shared" si="39"/>
        <v>0.142852759539024</v>
      </c>
      <c r="K332" s="9">
        <f t="shared" si="40"/>
        <v>0.135030215596446</v>
      </c>
      <c r="L332" s="9">
        <f t="shared" si="41"/>
        <v>0.13400191992036</v>
      </c>
    </row>
    <row r="333" s="3" customFormat="1" spans="1:12">
      <c r="A333" s="4">
        <v>45768</v>
      </c>
      <c r="B333" s="8">
        <v>0.132445788708121</v>
      </c>
      <c r="C333" s="8">
        <v>0.0127794634446578</v>
      </c>
      <c r="D333" s="8">
        <v>0.0609670775312376</v>
      </c>
      <c r="E333" s="8">
        <v>0.21</v>
      </c>
      <c r="F333" s="9">
        <f t="shared" si="35"/>
        <v>0.147278934678782</v>
      </c>
      <c r="G333" s="9">
        <f t="shared" si="36"/>
        <v>0.135543143426183</v>
      </c>
      <c r="H333" s="9">
        <f t="shared" si="37"/>
        <v>0.133994466068615</v>
      </c>
      <c r="I333" s="3" t="str">
        <f t="shared" si="38"/>
        <v>2025-04-01</v>
      </c>
      <c r="J333" s="9">
        <f t="shared" si="39"/>
        <v>0.142852759539024</v>
      </c>
      <c r="K333" s="9">
        <f t="shared" si="40"/>
        <v>0.135030215596446</v>
      </c>
      <c r="L333" s="9">
        <f t="shared" si="41"/>
        <v>0.13400191992036</v>
      </c>
    </row>
    <row r="334" s="3" customFormat="1" spans="1:12">
      <c r="A334" s="4">
        <v>45765</v>
      </c>
      <c r="B334" s="8">
        <v>0.132152032786046</v>
      </c>
      <c r="C334" s="8">
        <v>0.0120348875264516</v>
      </c>
      <c r="D334" s="8">
        <v>0.0678961539334586</v>
      </c>
      <c r="E334" s="8">
        <v>0.21</v>
      </c>
      <c r="F334" s="9">
        <f t="shared" si="35"/>
        <v>0.14821358166597</v>
      </c>
      <c r="G334" s="9">
        <f t="shared" si="36"/>
        <v>0.135509136524108</v>
      </c>
      <c r="H334" s="9">
        <f t="shared" si="37"/>
        <v>0.133830584656704</v>
      </c>
      <c r="I334" s="3" t="str">
        <f t="shared" si="38"/>
        <v>2025-04-01</v>
      </c>
      <c r="J334" s="9">
        <f t="shared" si="39"/>
        <v>0.142852759539024</v>
      </c>
      <c r="K334" s="9">
        <f t="shared" si="40"/>
        <v>0.135030215596446</v>
      </c>
      <c r="L334" s="9">
        <f t="shared" si="41"/>
        <v>0.13400191992036</v>
      </c>
    </row>
    <row r="335" s="3" customFormat="1" spans="1:12">
      <c r="A335" s="4">
        <v>45764</v>
      </c>
      <c r="B335" s="8">
        <v>0.132386065482146</v>
      </c>
      <c r="C335" s="8">
        <v>0.012925665677908</v>
      </c>
      <c r="D335" s="8">
        <v>0.0594090151090206</v>
      </c>
      <c r="E335" s="8">
        <v>0.21</v>
      </c>
      <c r="F335" s="9">
        <f t="shared" si="35"/>
        <v>0.146938575961197</v>
      </c>
      <c r="G335" s="9">
        <f t="shared" si="36"/>
        <v>0.135424122072345</v>
      </c>
      <c r="H335" s="9">
        <f t="shared" si="37"/>
        <v>0.133905093778671</v>
      </c>
      <c r="I335" s="3" t="str">
        <f t="shared" si="38"/>
        <v>2025-04-01</v>
      </c>
      <c r="J335" s="9">
        <f t="shared" si="39"/>
        <v>0.142852759539024</v>
      </c>
      <c r="K335" s="9">
        <f t="shared" si="40"/>
        <v>0.135030215596446</v>
      </c>
      <c r="L335" s="9">
        <f t="shared" si="41"/>
        <v>0.13400191992036</v>
      </c>
    </row>
    <row r="336" s="3" customFormat="1" spans="1:12">
      <c r="A336" s="4">
        <v>45763</v>
      </c>
      <c r="B336" s="8">
        <v>0.132176602816885</v>
      </c>
      <c r="C336" s="8">
        <v>0.013135128343169</v>
      </c>
      <c r="D336" s="8">
        <v>0.0624336861399385</v>
      </c>
      <c r="E336" s="8">
        <v>0.21</v>
      </c>
      <c r="F336" s="9">
        <f t="shared" si="35"/>
        <v>0.147376616105344</v>
      </c>
      <c r="G336" s="9">
        <f t="shared" si="36"/>
        <v>0.135350493022179</v>
      </c>
      <c r="H336" s="9">
        <f t="shared" si="37"/>
        <v>0.13376354792103</v>
      </c>
      <c r="I336" s="3" t="str">
        <f t="shared" si="38"/>
        <v>2025-04-01</v>
      </c>
      <c r="J336" s="9">
        <f t="shared" si="39"/>
        <v>0.142852759539024</v>
      </c>
      <c r="K336" s="9">
        <f t="shared" si="40"/>
        <v>0.135030215596446</v>
      </c>
      <c r="L336" s="9">
        <f t="shared" si="41"/>
        <v>0.13400191992036</v>
      </c>
    </row>
    <row r="337" s="3" customFormat="1" spans="1:12">
      <c r="A337" s="4">
        <v>45762</v>
      </c>
      <c r="B337" s="8">
        <v>0.130723201024308</v>
      </c>
      <c r="C337" s="8">
        <v>0.0155393059539437</v>
      </c>
      <c r="D337" s="8">
        <v>0.0521684118650877</v>
      </c>
      <c r="E337" s="8">
        <v>0.21</v>
      </c>
      <c r="F337" s="9">
        <f t="shared" si="35"/>
        <v>0.144374258479109</v>
      </c>
      <c r="G337" s="9">
        <f t="shared" si="36"/>
        <v>0.133566925170195</v>
      </c>
      <c r="H337" s="9">
        <f t="shared" si="37"/>
        <v>0.132145063098508</v>
      </c>
      <c r="I337" s="3" t="str">
        <f t="shared" si="38"/>
        <v>2025-04-01</v>
      </c>
      <c r="J337" s="9">
        <f t="shared" si="39"/>
        <v>0.142852759539024</v>
      </c>
      <c r="K337" s="9">
        <f t="shared" si="40"/>
        <v>0.135030215596446</v>
      </c>
      <c r="L337" s="9">
        <f t="shared" si="41"/>
        <v>0.13400191992036</v>
      </c>
    </row>
    <row r="338" s="3" customFormat="1" spans="1:12">
      <c r="A338" s="4">
        <v>45761</v>
      </c>
      <c r="B338" s="8">
        <v>0.131977227156487</v>
      </c>
      <c r="C338" s="8">
        <v>0.0156666147560756</v>
      </c>
      <c r="D338" s="8">
        <v>0.033404426379885</v>
      </c>
      <c r="E338" s="8">
        <v>0.21</v>
      </c>
      <c r="F338" s="9">
        <f t="shared" si="35"/>
        <v>0.141908461077322</v>
      </c>
      <c r="G338" s="9">
        <f t="shared" si="36"/>
        <v>0.134038210882578</v>
      </c>
      <c r="H338" s="9">
        <f t="shared" si="37"/>
        <v>0.133007719020342</v>
      </c>
      <c r="I338" s="3" t="str">
        <f t="shared" si="38"/>
        <v>2025-04-01</v>
      </c>
      <c r="J338" s="9">
        <f t="shared" si="39"/>
        <v>0.142852759539024</v>
      </c>
      <c r="K338" s="9">
        <f t="shared" si="40"/>
        <v>0.135030215596446</v>
      </c>
      <c r="L338" s="9">
        <f t="shared" si="41"/>
        <v>0.13400191992036</v>
      </c>
    </row>
    <row r="339" s="3" customFormat="1" spans="1:12">
      <c r="A339" s="4">
        <v>45758</v>
      </c>
      <c r="B339" s="8">
        <v>0.131606125379426</v>
      </c>
      <c r="C339" s="8">
        <v>0.0159514389781891</v>
      </c>
      <c r="D339" s="8">
        <v>0.0400276686334109</v>
      </c>
      <c r="E339" s="8">
        <v>0.21</v>
      </c>
      <c r="F339" s="9">
        <f t="shared" si="35"/>
        <v>0.142919026680737</v>
      </c>
      <c r="G339" s="9">
        <f t="shared" si="36"/>
        <v>0.133957247897178</v>
      </c>
      <c r="H339" s="9">
        <f t="shared" si="37"/>
        <v>0.13278168663927</v>
      </c>
      <c r="I339" s="3" t="str">
        <f t="shared" si="38"/>
        <v>2025-04-01</v>
      </c>
      <c r="J339" s="9">
        <f t="shared" si="39"/>
        <v>0.142852759539024</v>
      </c>
      <c r="K339" s="9">
        <f t="shared" si="40"/>
        <v>0.135030215596446</v>
      </c>
      <c r="L339" s="9">
        <f t="shared" si="41"/>
        <v>0.13400191992036</v>
      </c>
    </row>
    <row r="340" s="3" customFormat="1" spans="1:12">
      <c r="A340" s="4">
        <v>45757</v>
      </c>
      <c r="B340" s="8">
        <v>0.133153421838577</v>
      </c>
      <c r="C340" s="8">
        <v>0.0205114257055731</v>
      </c>
      <c r="D340" s="8">
        <v>0.00618006817685793</v>
      </c>
      <c r="E340" s="8">
        <v>0.21</v>
      </c>
      <c r="F340" s="9">
        <f t="shared" si="35"/>
        <v>0.138657879531686</v>
      </c>
      <c r="G340" s="9">
        <f t="shared" si="36"/>
        <v>0.134274464581306</v>
      </c>
      <c r="H340" s="9">
        <f t="shared" si="37"/>
        <v>0.133713943210108</v>
      </c>
      <c r="I340" s="3" t="str">
        <f t="shared" si="38"/>
        <v>2025-04-01</v>
      </c>
      <c r="J340" s="9">
        <f t="shared" si="39"/>
        <v>0.142852759539024</v>
      </c>
      <c r="K340" s="9">
        <f t="shared" si="40"/>
        <v>0.135030215596446</v>
      </c>
      <c r="L340" s="9">
        <f t="shared" si="41"/>
        <v>0.13400191992036</v>
      </c>
    </row>
    <row r="341" s="3" customFormat="1" spans="1:12">
      <c r="A341" s="4">
        <v>45756</v>
      </c>
      <c r="B341" s="8">
        <v>0.134773230335671</v>
      </c>
      <c r="C341" s="8">
        <v>0.0207764704052947</v>
      </c>
      <c r="D341" s="8">
        <v>-0.00415332753766638</v>
      </c>
      <c r="E341" s="8">
        <v>0.076</v>
      </c>
      <c r="F341" s="9">
        <f t="shared" si="35"/>
        <v>0.136036594771785</v>
      </c>
      <c r="G341" s="9">
        <f t="shared" si="36"/>
        <v>0.135025902107259</v>
      </c>
      <c r="H341" s="9">
        <f t="shared" si="37"/>
        <v>0.134899566221465</v>
      </c>
      <c r="I341" s="3" t="str">
        <f t="shared" si="38"/>
        <v>2025-04-01</v>
      </c>
      <c r="J341" s="9">
        <f t="shared" si="39"/>
        <v>0.142852759539024</v>
      </c>
      <c r="K341" s="9">
        <f t="shared" si="40"/>
        <v>0.135030215596446</v>
      </c>
      <c r="L341" s="9">
        <f t="shared" si="41"/>
        <v>0.13400191992036</v>
      </c>
    </row>
    <row r="342" s="3" customFormat="1" spans="1:12">
      <c r="A342" s="4">
        <v>45755</v>
      </c>
      <c r="B342" s="8">
        <v>0.131184585766333</v>
      </c>
      <c r="C342" s="8">
        <v>0.0186137793220615</v>
      </c>
      <c r="D342" s="8">
        <v>0.0325412230250176</v>
      </c>
      <c r="E342" s="8">
        <v>0.21</v>
      </c>
      <c r="F342" s="9">
        <f t="shared" si="35"/>
        <v>0.141557089883966</v>
      </c>
      <c r="G342" s="9">
        <f t="shared" si="36"/>
        <v>0.133333095863326</v>
      </c>
      <c r="H342" s="9">
        <f t="shared" si="37"/>
        <v>0.132258840815622</v>
      </c>
      <c r="I342" s="3" t="str">
        <f t="shared" si="38"/>
        <v>2025-04-01</v>
      </c>
      <c r="J342" s="9">
        <f t="shared" si="39"/>
        <v>0.142852759539024</v>
      </c>
      <c r="K342" s="9">
        <f t="shared" si="40"/>
        <v>0.135030215596446</v>
      </c>
      <c r="L342" s="9">
        <f t="shared" si="41"/>
        <v>0.13400191992036</v>
      </c>
    </row>
    <row r="343" s="3" customFormat="1" spans="1:12">
      <c r="A343" s="4">
        <v>45754</v>
      </c>
      <c r="B343" s="8">
        <v>0.131296520256927</v>
      </c>
      <c r="C343" s="8">
        <v>0.0157432223923884</v>
      </c>
      <c r="D343" s="8">
        <v>0.0358402284449701</v>
      </c>
      <c r="E343" s="8">
        <v>0.21</v>
      </c>
      <c r="F343" s="9">
        <f t="shared" si="35"/>
        <v>0.141730025122073</v>
      </c>
      <c r="G343" s="9">
        <f t="shared" si="36"/>
        <v>0.13346302519036</v>
      </c>
      <c r="H343" s="9">
        <f t="shared" si="37"/>
        <v>0.132379772724512</v>
      </c>
      <c r="I343" s="3" t="str">
        <f t="shared" si="38"/>
        <v>2025-04-01</v>
      </c>
      <c r="J343" s="9">
        <f t="shared" si="39"/>
        <v>0.142852759539024</v>
      </c>
      <c r="K343" s="9">
        <f t="shared" si="40"/>
        <v>0.135030215596446</v>
      </c>
      <c r="L343" s="9">
        <f t="shared" si="41"/>
        <v>0.13400191992036</v>
      </c>
    </row>
    <row r="344" s="3" customFormat="1" spans="1:12">
      <c r="A344" s="4">
        <v>45751</v>
      </c>
      <c r="B344" s="8">
        <v>0.130790220939022</v>
      </c>
      <c r="C344" s="8">
        <v>0.0152994849328728</v>
      </c>
      <c r="D344" s="8">
        <v>0.0340810996824147</v>
      </c>
      <c r="E344" s="8">
        <v>0.21</v>
      </c>
      <c r="F344" s="9">
        <f t="shared" si="35"/>
        <v>0.140780118160605</v>
      </c>
      <c r="G344" s="9">
        <f t="shared" si="36"/>
        <v>0.132864205491213</v>
      </c>
      <c r="H344" s="9">
        <f t="shared" si="37"/>
        <v>0.131827213215943</v>
      </c>
      <c r="I344" s="3" t="str">
        <f t="shared" si="38"/>
        <v>2025-04-01</v>
      </c>
      <c r="J344" s="9">
        <f t="shared" si="39"/>
        <v>0.142852759539024</v>
      </c>
      <c r="K344" s="9">
        <f t="shared" si="40"/>
        <v>0.135030215596446</v>
      </c>
      <c r="L344" s="9">
        <f t="shared" si="41"/>
        <v>0.13400191992036</v>
      </c>
    </row>
    <row r="345" s="3" customFormat="1" spans="1:12">
      <c r="A345" s="4">
        <v>45750</v>
      </c>
      <c r="B345" s="8">
        <v>0.132112428130346</v>
      </c>
      <c r="C345" s="8">
        <v>0.0164799759194809</v>
      </c>
      <c r="D345" s="8">
        <v>0.012368518635124</v>
      </c>
      <c r="E345" s="8">
        <v>0.21</v>
      </c>
      <c r="F345" s="9">
        <f t="shared" si="35"/>
        <v>0.138013076404522</v>
      </c>
      <c r="G345" s="9">
        <f t="shared" si="36"/>
        <v>0.133324064901019</v>
      </c>
      <c r="H345" s="9">
        <f t="shared" si="37"/>
        <v>0.132718246515993</v>
      </c>
      <c r="I345" s="3" t="str">
        <f t="shared" si="38"/>
        <v>2025-04-01</v>
      </c>
      <c r="J345" s="9">
        <f t="shared" si="39"/>
        <v>0.142852759539024</v>
      </c>
      <c r="K345" s="9">
        <f t="shared" si="40"/>
        <v>0.135030215596446</v>
      </c>
      <c r="L345" s="9">
        <f t="shared" si="41"/>
        <v>0.13400191992036</v>
      </c>
    </row>
    <row r="346" s="3" customFormat="1" spans="1:12">
      <c r="A346" s="4">
        <v>45749</v>
      </c>
      <c r="B346" s="8">
        <v>0.136186204361867</v>
      </c>
      <c r="C346" s="8">
        <v>0.0192778982622054</v>
      </c>
      <c r="D346" s="8">
        <v>-0.0474202565702216</v>
      </c>
      <c r="E346" s="8">
        <v>0.076</v>
      </c>
      <c r="F346" s="9">
        <f t="shared" si="35"/>
        <v>0.134047480788639</v>
      </c>
      <c r="G346" s="9">
        <f t="shared" si="36"/>
        <v>0.135758440515585</v>
      </c>
      <c r="H346" s="9">
        <f t="shared" si="37"/>
        <v>0.135972322438726</v>
      </c>
      <c r="I346" s="3" t="str">
        <f t="shared" si="38"/>
        <v>2025-04-01</v>
      </c>
      <c r="J346" s="9">
        <f t="shared" si="39"/>
        <v>0.142852759539024</v>
      </c>
      <c r="K346" s="9">
        <f t="shared" si="40"/>
        <v>0.135030215596446</v>
      </c>
      <c r="L346" s="9">
        <f t="shared" si="41"/>
        <v>0.13400191992036</v>
      </c>
    </row>
    <row r="347" s="3" customFormat="1" spans="1:12">
      <c r="A347" s="4">
        <v>45748</v>
      </c>
      <c r="B347" s="8">
        <v>0.134968984577077</v>
      </c>
      <c r="C347" s="8">
        <v>0.0191245507603237</v>
      </c>
      <c r="D347" s="8">
        <v>-0.0444285495814138</v>
      </c>
      <c r="E347" s="8">
        <v>0.076</v>
      </c>
      <c r="F347" s="9">
        <f t="shared" si="35"/>
        <v>0.133045970133938</v>
      </c>
      <c r="G347" s="9">
        <f t="shared" si="36"/>
        <v>0.134584363794996</v>
      </c>
      <c r="H347" s="9">
        <f t="shared" si="37"/>
        <v>0.134776674186037</v>
      </c>
      <c r="I347" s="3" t="str">
        <f t="shared" si="38"/>
        <v>2025-04-01</v>
      </c>
      <c r="J347" s="9">
        <f t="shared" si="39"/>
        <v>0.142852759539024</v>
      </c>
      <c r="K347" s="9">
        <f t="shared" si="40"/>
        <v>0.135030215596446</v>
      </c>
      <c r="L347" s="9">
        <f t="shared" si="41"/>
        <v>0.13400191992036</v>
      </c>
    </row>
    <row r="348" s="3" customFormat="1" spans="1:12">
      <c r="A348" s="4">
        <v>45747</v>
      </c>
      <c r="B348" s="8">
        <v>0.137644584771019</v>
      </c>
      <c r="C348" s="8">
        <v>0.0122398647662729</v>
      </c>
      <c r="D348" s="8">
        <v>-0.040657646376646</v>
      </c>
      <c r="E348" s="8">
        <v>0.076</v>
      </c>
      <c r="F348" s="9">
        <f t="shared" si="35"/>
        <v>0.135484916014127</v>
      </c>
      <c r="G348" s="9">
        <f t="shared" si="36"/>
        <v>0.137212634490541</v>
      </c>
      <c r="H348" s="9">
        <f t="shared" si="37"/>
        <v>0.13742860963078</v>
      </c>
      <c r="I348" s="3" t="str">
        <f t="shared" si="38"/>
        <v>2025-03-01</v>
      </c>
      <c r="J348" s="9">
        <f t="shared" si="39"/>
        <v>0.134806812711819</v>
      </c>
      <c r="K348" s="9">
        <f t="shared" si="40"/>
        <v>0.128137478907829</v>
      </c>
      <c r="L348" s="9">
        <f t="shared" si="41"/>
        <v>0.125890512199773</v>
      </c>
    </row>
    <row r="349" s="3" customFormat="1" spans="1:12">
      <c r="A349" s="4">
        <v>45744</v>
      </c>
      <c r="B349" s="8">
        <v>0.137442305770444</v>
      </c>
      <c r="C349" s="8">
        <v>0.00942477003910855</v>
      </c>
      <c r="D349" s="8">
        <v>-0.0344879607559775</v>
      </c>
      <c r="E349" s="8">
        <v>0.076</v>
      </c>
      <c r="F349" s="9">
        <f t="shared" si="35"/>
        <v>0.135537573520725</v>
      </c>
      <c r="G349" s="9">
        <f t="shared" si="36"/>
        <v>0.137061345271548</v>
      </c>
      <c r="H349" s="9">
        <f t="shared" si="37"/>
        <v>0.137251825520996</v>
      </c>
      <c r="I349" s="3" t="str">
        <f t="shared" si="38"/>
        <v>2025-03-01</v>
      </c>
      <c r="J349" s="9">
        <f t="shared" si="39"/>
        <v>0.134806812711819</v>
      </c>
      <c r="K349" s="9">
        <f t="shared" si="40"/>
        <v>0.128137478907829</v>
      </c>
      <c r="L349" s="9">
        <f t="shared" si="41"/>
        <v>0.125890512199773</v>
      </c>
    </row>
    <row r="350" s="3" customFormat="1" spans="1:12">
      <c r="A350" s="4">
        <v>45743</v>
      </c>
      <c r="B350" s="8">
        <v>0.137047481147792</v>
      </c>
      <c r="C350" s="8">
        <v>0.00947417151497476</v>
      </c>
      <c r="D350" s="8">
        <v>-0.0342056211355618</v>
      </c>
      <c r="E350" s="8">
        <v>0.076</v>
      </c>
      <c r="F350" s="9">
        <f t="shared" si="35"/>
        <v>0.135167960627759</v>
      </c>
      <c r="G350" s="9">
        <f t="shared" si="36"/>
        <v>0.136671563113559</v>
      </c>
      <c r="H350" s="9">
        <f t="shared" si="37"/>
        <v>0.136859522130676</v>
      </c>
      <c r="I350" s="3" t="str">
        <f t="shared" si="38"/>
        <v>2025-03-01</v>
      </c>
      <c r="J350" s="9">
        <f t="shared" si="39"/>
        <v>0.134806812711819</v>
      </c>
      <c r="K350" s="9">
        <f t="shared" si="40"/>
        <v>0.128137478907829</v>
      </c>
      <c r="L350" s="9">
        <f t="shared" si="41"/>
        <v>0.125890512199773</v>
      </c>
    </row>
    <row r="351" s="3" customFormat="1" spans="1:12">
      <c r="A351" s="4">
        <v>45742</v>
      </c>
      <c r="B351" s="8">
        <v>0.136732154813103</v>
      </c>
      <c r="C351" s="8">
        <v>0.0122911165793371</v>
      </c>
      <c r="D351" s="8">
        <v>-0.0265798219032008</v>
      </c>
      <c r="E351" s="8">
        <v>0.076</v>
      </c>
      <c r="F351" s="9">
        <f t="shared" si="35"/>
        <v>0.135646266608529</v>
      </c>
      <c r="G351" s="9">
        <f t="shared" si="36"/>
        <v>0.13651496649218</v>
      </c>
      <c r="H351" s="9">
        <f t="shared" si="37"/>
        <v>0.136623560652642</v>
      </c>
      <c r="I351" s="3" t="str">
        <f t="shared" si="38"/>
        <v>2025-03-01</v>
      </c>
      <c r="J351" s="9">
        <f t="shared" si="39"/>
        <v>0.134806812711819</v>
      </c>
      <c r="K351" s="9">
        <f t="shared" si="40"/>
        <v>0.128137478907829</v>
      </c>
      <c r="L351" s="9">
        <f t="shared" si="41"/>
        <v>0.125890512199773</v>
      </c>
    </row>
    <row r="352" s="3" customFormat="1" spans="1:12">
      <c r="A352" s="4">
        <v>45736</v>
      </c>
      <c r="B352" s="8">
        <v>0.137912234673708</v>
      </c>
      <c r="C352" s="8">
        <v>0.0110248781006625</v>
      </c>
      <c r="D352" s="8">
        <v>-0.0287283871752163</v>
      </c>
      <c r="E352" s="8">
        <v>0.076</v>
      </c>
      <c r="F352" s="9">
        <f t="shared" si="35"/>
        <v>0.136566826032142</v>
      </c>
      <c r="G352" s="9">
        <f t="shared" si="36"/>
        <v>0.137643141335775</v>
      </c>
      <c r="H352" s="9">
        <f t="shared" si="37"/>
        <v>0.137777688004741</v>
      </c>
      <c r="I352" s="3" t="str">
        <f t="shared" si="38"/>
        <v>2025-03-01</v>
      </c>
      <c r="J352" s="9">
        <f t="shared" si="39"/>
        <v>0.134806812711819</v>
      </c>
      <c r="K352" s="9">
        <f t="shared" si="40"/>
        <v>0.128137478907829</v>
      </c>
      <c r="L352" s="9">
        <f t="shared" si="41"/>
        <v>0.125890512199773</v>
      </c>
    </row>
    <row r="353" s="3" customFormat="1" spans="1:12">
      <c r="A353" s="4">
        <v>45735</v>
      </c>
      <c r="B353" s="8">
        <v>0.136744169466293</v>
      </c>
      <c r="C353" s="8">
        <v>0.00925912465355012</v>
      </c>
      <c r="D353" s="8">
        <v>-0.0197893011969657</v>
      </c>
      <c r="E353" s="8">
        <v>0.076</v>
      </c>
      <c r="F353" s="9">
        <f t="shared" si="35"/>
        <v>0.135943915790719</v>
      </c>
      <c r="G353" s="9">
        <f t="shared" si="36"/>
        <v>0.136584110782833</v>
      </c>
      <c r="H353" s="9">
        <f t="shared" si="37"/>
        <v>0.136664140124563</v>
      </c>
      <c r="I353" s="3" t="str">
        <f t="shared" si="38"/>
        <v>2025-03-01</v>
      </c>
      <c r="J353" s="9">
        <f t="shared" si="39"/>
        <v>0.134806812711819</v>
      </c>
      <c r="K353" s="9">
        <f t="shared" si="40"/>
        <v>0.128137478907829</v>
      </c>
      <c r="L353" s="9">
        <f t="shared" si="41"/>
        <v>0.125890512199773</v>
      </c>
    </row>
    <row r="354" s="3" customFormat="1" spans="1:12">
      <c r="A354" s="4">
        <v>45734</v>
      </c>
      <c r="B354" s="8">
        <v>0.120783334503578</v>
      </c>
      <c r="C354" s="8">
        <v>0.0244419176492008</v>
      </c>
      <c r="D354" s="8">
        <v>0.0202389984584165</v>
      </c>
      <c r="E354" s="8">
        <v>1</v>
      </c>
      <c r="F354" s="9">
        <f t="shared" si="35"/>
        <v>0.141581548719745</v>
      </c>
      <c r="G354" s="9">
        <f t="shared" si="36"/>
        <v>0.129522936897253</v>
      </c>
      <c r="H354" s="9">
        <f t="shared" si="37"/>
        <v>0.125250304414186</v>
      </c>
      <c r="I354" s="3" t="str">
        <f t="shared" si="38"/>
        <v>2025-03-01</v>
      </c>
      <c r="J354" s="9">
        <f t="shared" si="39"/>
        <v>0.134806812711819</v>
      </c>
      <c r="K354" s="9">
        <f t="shared" si="40"/>
        <v>0.128137478907829</v>
      </c>
      <c r="L354" s="9">
        <f t="shared" si="41"/>
        <v>0.125890512199773</v>
      </c>
    </row>
    <row r="355" s="3" customFormat="1" spans="1:12">
      <c r="A355" s="4">
        <v>45733</v>
      </c>
      <c r="B355" s="8">
        <v>0.120411169094349</v>
      </c>
      <c r="C355" s="8">
        <v>0.0249005620657047</v>
      </c>
      <c r="D355" s="8">
        <v>0.0253260039730876</v>
      </c>
      <c r="E355" s="8">
        <v>1</v>
      </c>
      <c r="F355" s="9">
        <f t="shared" si="35"/>
        <v>0.142843497898105</v>
      </c>
      <c r="G355" s="9">
        <f t="shared" si="36"/>
        <v>0.130218152241655</v>
      </c>
      <c r="H355" s="9">
        <f t="shared" si="37"/>
        <v>0.12543244787117</v>
      </c>
      <c r="I355" s="3" t="str">
        <f t="shared" si="38"/>
        <v>2025-03-01</v>
      </c>
      <c r="J355" s="9">
        <f t="shared" si="39"/>
        <v>0.134806812711819</v>
      </c>
      <c r="K355" s="9">
        <f t="shared" si="40"/>
        <v>0.128137478907829</v>
      </c>
      <c r="L355" s="9">
        <f t="shared" si="41"/>
        <v>0.125890512199773</v>
      </c>
    </row>
    <row r="356" s="3" customFormat="1" spans="1:12">
      <c r="A356" s="4">
        <v>45730</v>
      </c>
      <c r="B356" s="8">
        <v>0.1196971998996</v>
      </c>
      <c r="C356" s="8">
        <v>0.0274288649906943</v>
      </c>
      <c r="D356" s="8">
        <v>0.0225192930465571</v>
      </c>
      <c r="E356" s="8">
        <v>1</v>
      </c>
      <c r="F356" s="9">
        <f t="shared" si="35"/>
        <v>0.142986072529021</v>
      </c>
      <c r="G356" s="9">
        <f t="shared" si="36"/>
        <v>0.129467788095734</v>
      </c>
      <c r="H356" s="9">
        <f t="shared" si="37"/>
        <v>0.124690766564716</v>
      </c>
      <c r="I356" s="3" t="str">
        <f t="shared" si="38"/>
        <v>2025-03-01</v>
      </c>
      <c r="J356" s="9">
        <f t="shared" si="39"/>
        <v>0.134806812711819</v>
      </c>
      <c r="K356" s="9">
        <f t="shared" si="40"/>
        <v>0.128137478907829</v>
      </c>
      <c r="L356" s="9">
        <f t="shared" si="41"/>
        <v>0.125890512199773</v>
      </c>
    </row>
    <row r="357" s="3" customFormat="1" spans="1:12">
      <c r="A357" s="4">
        <v>45729</v>
      </c>
      <c r="B357" s="8">
        <v>0.118276035492195</v>
      </c>
      <c r="C357" s="8">
        <v>0.0259108848203025</v>
      </c>
      <c r="D357" s="8">
        <v>0.0330352796791559</v>
      </c>
      <c r="E357" s="8">
        <v>1</v>
      </c>
      <c r="F357" s="9">
        <f t="shared" si="35"/>
        <v>0.143384117709083</v>
      </c>
      <c r="G357" s="9">
        <f t="shared" si="36"/>
        <v>0.129763243202069</v>
      </c>
      <c r="H357" s="9">
        <f t="shared" si="37"/>
        <v>0.124168884527591</v>
      </c>
      <c r="I357" s="3" t="str">
        <f t="shared" si="38"/>
        <v>2025-03-01</v>
      </c>
      <c r="J357" s="9">
        <f t="shared" si="39"/>
        <v>0.134806812711819</v>
      </c>
      <c r="K357" s="9">
        <f t="shared" si="40"/>
        <v>0.128137478907829</v>
      </c>
      <c r="L357" s="9">
        <f t="shared" si="41"/>
        <v>0.125890512199773</v>
      </c>
    </row>
    <row r="358" s="3" customFormat="1" spans="1:12">
      <c r="A358" s="4">
        <v>45728</v>
      </c>
      <c r="B358" s="8">
        <v>0.114503656712878</v>
      </c>
      <c r="C358" s="8">
        <v>0.0302890881886622</v>
      </c>
      <c r="D358" s="8">
        <v>3.29577747520687e-5</v>
      </c>
      <c r="E358" s="8">
        <v>0.89</v>
      </c>
      <c r="F358" s="9">
        <f t="shared" si="35"/>
        <v>0.132705975891654</v>
      </c>
      <c r="G358" s="9">
        <f t="shared" si="36"/>
        <v>0.119881258222914</v>
      </c>
      <c r="H358" s="9">
        <f t="shared" si="37"/>
        <v>0.117202282770078</v>
      </c>
      <c r="I358" s="3" t="str">
        <f t="shared" si="38"/>
        <v>2025-03-01</v>
      </c>
      <c r="J358" s="9">
        <f t="shared" si="39"/>
        <v>0.134806812711819</v>
      </c>
      <c r="K358" s="9">
        <f t="shared" si="40"/>
        <v>0.128137478907829</v>
      </c>
      <c r="L358" s="9">
        <f t="shared" si="41"/>
        <v>0.125890512199773</v>
      </c>
    </row>
    <row r="359" s="3" customFormat="1" spans="1:12">
      <c r="A359" s="4">
        <v>45727</v>
      </c>
      <c r="B359" s="8">
        <v>0.110862634248351</v>
      </c>
      <c r="C359" s="8">
        <v>0.0258511890674707</v>
      </c>
      <c r="D359" s="8">
        <v>0.0228707374336406</v>
      </c>
      <c r="E359" s="8">
        <v>1</v>
      </c>
      <c r="F359" s="9">
        <f t="shared" si="35"/>
        <v>0.133247091549171</v>
      </c>
      <c r="G359" s="9">
        <f t="shared" si="36"/>
        <v>0.120387260580224</v>
      </c>
      <c r="H359" s="9">
        <f t="shared" si="37"/>
        <v>0.115733567371385</v>
      </c>
      <c r="I359" s="3" t="str">
        <f t="shared" si="38"/>
        <v>2025-03-01</v>
      </c>
      <c r="J359" s="9">
        <f t="shared" si="39"/>
        <v>0.134806812711819</v>
      </c>
      <c r="K359" s="9">
        <f t="shared" si="40"/>
        <v>0.128137478907829</v>
      </c>
      <c r="L359" s="9">
        <f t="shared" si="41"/>
        <v>0.125890512199773</v>
      </c>
    </row>
    <row r="360" s="3" customFormat="1" spans="1:12">
      <c r="A360" s="4">
        <v>45723</v>
      </c>
      <c r="B360" s="8">
        <v>0.108096385514483</v>
      </c>
      <c r="C360" s="8">
        <v>0.0266093173378086</v>
      </c>
      <c r="D360" s="8">
        <v>0.0379545499987295</v>
      </c>
      <c r="E360" s="8">
        <v>1</v>
      </c>
      <c r="F360" s="9">
        <f t="shared" si="35"/>
        <v>0.134945834771942</v>
      </c>
      <c r="G360" s="9">
        <f t="shared" si="36"/>
        <v>0.120666417652291</v>
      </c>
      <c r="H360" s="9">
        <f t="shared" si="37"/>
        <v>0.114550755994728</v>
      </c>
      <c r="I360" s="3" t="str">
        <f t="shared" si="38"/>
        <v>2025-03-01</v>
      </c>
      <c r="J360" s="9">
        <f t="shared" si="39"/>
        <v>0.134806812711819</v>
      </c>
      <c r="K360" s="9">
        <f t="shared" si="40"/>
        <v>0.128137478907829</v>
      </c>
      <c r="L360" s="9">
        <f t="shared" si="41"/>
        <v>0.125890512199773</v>
      </c>
    </row>
    <row r="361" s="3" customFormat="1" spans="1:12">
      <c r="A361" s="4">
        <v>45722</v>
      </c>
      <c r="B361" s="8">
        <v>0.114305650543585</v>
      </c>
      <c r="C361" s="8">
        <v>0.0227569998447549</v>
      </c>
      <c r="D361" s="8">
        <v>0.0142582831627228</v>
      </c>
      <c r="E361" s="8">
        <v>1</v>
      </c>
      <c r="F361" s="9">
        <f t="shared" si="35"/>
        <v>0.132458442681502</v>
      </c>
      <c r="G361" s="9">
        <f t="shared" si="36"/>
        <v>0.12156275418582</v>
      </c>
      <c r="H361" s="9">
        <f t="shared" si="37"/>
        <v>0.118006363470154</v>
      </c>
      <c r="I361" s="3" t="str">
        <f t="shared" si="38"/>
        <v>2025-03-01</v>
      </c>
      <c r="J361" s="9">
        <f t="shared" si="39"/>
        <v>0.134806812711819</v>
      </c>
      <c r="K361" s="9">
        <f t="shared" si="40"/>
        <v>0.128137478907829</v>
      </c>
      <c r="L361" s="9">
        <f t="shared" si="41"/>
        <v>0.125890512199773</v>
      </c>
    </row>
    <row r="362" s="3" customFormat="1" spans="1:12">
      <c r="A362" s="4">
        <v>45721</v>
      </c>
      <c r="B362" s="8">
        <v>0.117656653145488</v>
      </c>
      <c r="C362" s="8">
        <v>0.0180099582760452</v>
      </c>
      <c r="D362" s="8">
        <v>-3.06610043256791e-6</v>
      </c>
      <c r="E362" s="8">
        <v>0.626</v>
      </c>
      <c r="F362" s="9">
        <f t="shared" si="35"/>
        <v>0.126647922932829</v>
      </c>
      <c r="G362" s="9">
        <f t="shared" si="36"/>
        <v>0.119910351072572</v>
      </c>
      <c r="H362" s="9">
        <f t="shared" si="37"/>
        <v>0.118783884465898</v>
      </c>
      <c r="I362" s="3" t="str">
        <f t="shared" si="38"/>
        <v>2025-03-01</v>
      </c>
      <c r="J362" s="9">
        <f t="shared" si="39"/>
        <v>0.134806812711819</v>
      </c>
      <c r="K362" s="9">
        <f t="shared" si="40"/>
        <v>0.128137478907829</v>
      </c>
      <c r="L362" s="9">
        <f t="shared" si="41"/>
        <v>0.125890512199773</v>
      </c>
    </row>
    <row r="363" s="3" customFormat="1" spans="1:12">
      <c r="A363" s="4">
        <v>45720</v>
      </c>
      <c r="B363" s="8">
        <v>0.116196908721611</v>
      </c>
      <c r="C363" s="8">
        <v>0.019557012256009</v>
      </c>
      <c r="D363" s="8">
        <v>4.03117621804693e-5</v>
      </c>
      <c r="E363" s="8">
        <v>0.406</v>
      </c>
      <c r="F363" s="9">
        <f t="shared" si="35"/>
        <v>0.123472297357454</v>
      </c>
      <c r="G363" s="9">
        <f t="shared" si="36"/>
        <v>0.117788204117747</v>
      </c>
      <c r="H363" s="9">
        <f t="shared" si="37"/>
        <v>0.116992560076733</v>
      </c>
      <c r="I363" s="3" t="str">
        <f t="shared" si="38"/>
        <v>2025-03-01</v>
      </c>
      <c r="J363" s="9">
        <f t="shared" si="39"/>
        <v>0.134806812711819</v>
      </c>
      <c r="K363" s="9">
        <f t="shared" si="40"/>
        <v>0.128137478907829</v>
      </c>
      <c r="L363" s="9">
        <f t="shared" si="41"/>
        <v>0.125890512199773</v>
      </c>
    </row>
    <row r="364" s="3" customFormat="1" spans="1:12">
      <c r="A364" s="4">
        <v>45719</v>
      </c>
      <c r="B364" s="8">
        <v>0.115962072677791</v>
      </c>
      <c r="C364" s="8">
        <v>0.0212749456272937</v>
      </c>
      <c r="D364" s="8">
        <v>5.85130051741494e-5</v>
      </c>
      <c r="E364" s="8">
        <v>0.356</v>
      </c>
      <c r="F364" s="9">
        <f t="shared" si="35"/>
        <v>0.123095555466415</v>
      </c>
      <c r="G364" s="9">
        <f t="shared" si="36"/>
        <v>0.117481013678371</v>
      </c>
      <c r="H364" s="9">
        <f t="shared" si="37"/>
        <v>0.116721543805106</v>
      </c>
      <c r="I364" s="3" t="str">
        <f t="shared" si="38"/>
        <v>2025-03-01</v>
      </c>
      <c r="J364" s="9">
        <f t="shared" si="39"/>
        <v>0.134806812711819</v>
      </c>
      <c r="K364" s="9">
        <f t="shared" si="40"/>
        <v>0.128137478907829</v>
      </c>
      <c r="L364" s="9">
        <f t="shared" si="41"/>
        <v>0.125890512199773</v>
      </c>
    </row>
    <row r="365" s="3" customFormat="1" spans="1:12">
      <c r="A365" s="4">
        <v>45716</v>
      </c>
      <c r="B365" s="8">
        <v>0.11721856948001</v>
      </c>
      <c r="C365" s="8">
        <v>0.0232387832152456</v>
      </c>
      <c r="D365" s="8">
        <v>-0.00015145062283413</v>
      </c>
      <c r="E365" s="8">
        <v>0.326</v>
      </c>
      <c r="F365" s="9">
        <f t="shared" si="35"/>
        <v>0.124401820741662</v>
      </c>
      <c r="G365" s="9">
        <f t="shared" si="36"/>
        <v>0.118723863269499</v>
      </c>
      <c r="H365" s="9">
        <f t="shared" si="37"/>
        <v>0.117971216522523</v>
      </c>
      <c r="I365" s="3" t="str">
        <f t="shared" si="38"/>
        <v>2025-02-01</v>
      </c>
      <c r="J365" s="9">
        <f t="shared" si="39"/>
        <v>0.121255331548431</v>
      </c>
      <c r="K365" s="9">
        <f t="shared" si="40"/>
        <v>0.119342095886203</v>
      </c>
      <c r="L365" s="9">
        <f t="shared" si="41"/>
        <v>0.11907965269352</v>
      </c>
    </row>
    <row r="366" s="3" customFormat="1" spans="1:12">
      <c r="A366" s="4">
        <v>45715</v>
      </c>
      <c r="B366" s="8">
        <v>0.118825660568325</v>
      </c>
      <c r="C366" s="8">
        <v>0.0270912143318302</v>
      </c>
      <c r="D366" s="8">
        <v>-2.67639829205958e-5</v>
      </c>
      <c r="E366" s="8">
        <v>0.186</v>
      </c>
      <c r="F366" s="9">
        <f t="shared" si="35"/>
        <v>0.1238364914326</v>
      </c>
      <c r="G366" s="9">
        <f t="shared" si="36"/>
        <v>0.119832458121302</v>
      </c>
      <c r="H366" s="9">
        <f t="shared" si="37"/>
        <v>0.119329059344815</v>
      </c>
      <c r="I366" s="3" t="str">
        <f t="shared" si="38"/>
        <v>2025-02-01</v>
      </c>
      <c r="J366" s="9">
        <f t="shared" si="39"/>
        <v>0.121255331548431</v>
      </c>
      <c r="K366" s="9">
        <f t="shared" si="40"/>
        <v>0.119342095886203</v>
      </c>
      <c r="L366" s="9">
        <f t="shared" si="41"/>
        <v>0.11907965269352</v>
      </c>
    </row>
    <row r="367" s="3" customFormat="1" spans="1:12">
      <c r="A367" s="4">
        <v>45714</v>
      </c>
      <c r="B367" s="8">
        <v>0.122363844457971</v>
      </c>
      <c r="C367" s="8">
        <v>0.0236394496618718</v>
      </c>
      <c r="D367" s="8">
        <v>0.0050903921059548</v>
      </c>
      <c r="E367" s="8">
        <v>0.076</v>
      </c>
      <c r="F367" s="9">
        <f t="shared" si="35"/>
        <v>0.124547298392431</v>
      </c>
      <c r="G367" s="9">
        <f t="shared" si="36"/>
        <v>0.122800538052842</v>
      </c>
      <c r="H367" s="9">
        <f t="shared" si="37"/>
        <v>0.122582191255406</v>
      </c>
      <c r="I367" s="3" t="str">
        <f t="shared" si="38"/>
        <v>2025-02-01</v>
      </c>
      <c r="J367" s="9">
        <f t="shared" si="39"/>
        <v>0.121255331548431</v>
      </c>
      <c r="K367" s="9">
        <f t="shared" si="40"/>
        <v>0.119342095886203</v>
      </c>
      <c r="L367" s="9">
        <f t="shared" si="41"/>
        <v>0.11907965269352</v>
      </c>
    </row>
    <row r="368" s="3" customFormat="1" spans="1:12">
      <c r="A368" s="4">
        <v>45713</v>
      </c>
      <c r="B368" s="8">
        <v>0.121072752230966</v>
      </c>
      <c r="C368" s="8">
        <v>0.019123878262318</v>
      </c>
      <c r="D368" s="8">
        <v>-0.0308262289909537</v>
      </c>
      <c r="E368" s="8">
        <v>0.366</v>
      </c>
      <c r="F368" s="9">
        <f t="shared" si="35"/>
        <v>0.119074370360022</v>
      </c>
      <c r="G368" s="9">
        <f t="shared" si="36"/>
        <v>0.120216177126774</v>
      </c>
      <c r="H368" s="9">
        <f t="shared" si="37"/>
        <v>0.12064444619434</v>
      </c>
      <c r="I368" s="3" t="str">
        <f t="shared" si="38"/>
        <v>2025-02-01</v>
      </c>
      <c r="J368" s="9">
        <f t="shared" si="39"/>
        <v>0.121255331548431</v>
      </c>
      <c r="K368" s="9">
        <f t="shared" si="40"/>
        <v>0.119342095886203</v>
      </c>
      <c r="L368" s="9">
        <f t="shared" si="41"/>
        <v>0.11907965269352</v>
      </c>
    </row>
    <row r="369" s="3" customFormat="1" spans="1:12">
      <c r="A369" s="4">
        <v>45712</v>
      </c>
      <c r="B369" s="8">
        <v>0.122518005160543</v>
      </c>
      <c r="C369" s="8">
        <v>0.0151547999645294</v>
      </c>
      <c r="D369" s="8">
        <v>-0.0340716673821801</v>
      </c>
      <c r="E369" s="8">
        <v>0.386</v>
      </c>
      <c r="F369" s="9">
        <f t="shared" si="35"/>
        <v>0.118317851862248</v>
      </c>
      <c r="G369" s="9">
        <f t="shared" si="36"/>
        <v>0.121057707143953</v>
      </c>
      <c r="H369" s="9">
        <f t="shared" si="37"/>
        <v>0.121787814078417</v>
      </c>
      <c r="I369" s="3" t="str">
        <f t="shared" si="38"/>
        <v>2025-02-01</v>
      </c>
      <c r="J369" s="9">
        <f t="shared" si="39"/>
        <v>0.121255331548431</v>
      </c>
      <c r="K369" s="9">
        <f t="shared" si="40"/>
        <v>0.119342095886203</v>
      </c>
      <c r="L369" s="9">
        <f t="shared" si="41"/>
        <v>0.11907965269352</v>
      </c>
    </row>
    <row r="370" s="3" customFormat="1" spans="1:12">
      <c r="A370" s="4">
        <v>45709</v>
      </c>
      <c r="B370" s="8">
        <v>0.121263108565354</v>
      </c>
      <c r="C370" s="8">
        <v>0.0169323901860456</v>
      </c>
      <c r="D370" s="8">
        <v>-0.0302961795441298</v>
      </c>
      <c r="E370" s="8">
        <v>0.346</v>
      </c>
      <c r="F370" s="9">
        <f t="shared" si="35"/>
        <v>0.11857962509487</v>
      </c>
      <c r="G370" s="9">
        <f t="shared" si="36"/>
        <v>0.120338350880969</v>
      </c>
      <c r="H370" s="9">
        <f t="shared" si="37"/>
        <v>0.120800721453573</v>
      </c>
      <c r="I370" s="3" t="str">
        <f t="shared" si="38"/>
        <v>2025-02-01</v>
      </c>
      <c r="J370" s="9">
        <f t="shared" si="39"/>
        <v>0.121255331548431</v>
      </c>
      <c r="K370" s="9">
        <f t="shared" si="40"/>
        <v>0.119342095886203</v>
      </c>
      <c r="L370" s="9">
        <f t="shared" si="41"/>
        <v>0.11907965269352</v>
      </c>
    </row>
    <row r="371" s="3" customFormat="1" spans="1:12">
      <c r="A371" s="4">
        <v>45708</v>
      </c>
      <c r="B371" s="8">
        <v>0.123477564768173</v>
      </c>
      <c r="C371" s="8">
        <v>0.015501462513278</v>
      </c>
      <c r="D371" s="8">
        <v>-0.0388940637368193</v>
      </c>
      <c r="E371" s="8">
        <v>0.366</v>
      </c>
      <c r="F371" s="9">
        <f t="shared" si="35"/>
        <v>0.118003976943592</v>
      </c>
      <c r="G371" s="9">
        <f t="shared" si="36"/>
        <v>0.121765273740217</v>
      </c>
      <c r="H371" s="9">
        <f t="shared" si="37"/>
        <v>0.122621395563446</v>
      </c>
      <c r="I371" s="3" t="str">
        <f t="shared" si="38"/>
        <v>2025-02-01</v>
      </c>
      <c r="J371" s="9">
        <f t="shared" si="39"/>
        <v>0.121255331548431</v>
      </c>
      <c r="K371" s="9">
        <f t="shared" si="40"/>
        <v>0.119342095886203</v>
      </c>
      <c r="L371" s="9">
        <f t="shared" si="41"/>
        <v>0.11907965269352</v>
      </c>
    </row>
    <row r="372" s="3" customFormat="1" spans="1:12">
      <c r="A372" s="4">
        <v>45707</v>
      </c>
      <c r="B372" s="8">
        <v>0.123302570736946</v>
      </c>
      <c r="C372" s="8">
        <v>0.0174154362019338</v>
      </c>
      <c r="D372" s="8">
        <v>-0.0340755730781165</v>
      </c>
      <c r="E372" s="8">
        <v>0.336</v>
      </c>
      <c r="F372" s="9">
        <f t="shared" si="35"/>
        <v>0.119727579399619</v>
      </c>
      <c r="G372" s="9">
        <f t="shared" si="36"/>
        <v>0.12218302166625</v>
      </c>
      <c r="H372" s="9">
        <f t="shared" si="37"/>
        <v>0.12274279013791</v>
      </c>
      <c r="I372" s="3" t="str">
        <f t="shared" si="38"/>
        <v>2025-02-01</v>
      </c>
      <c r="J372" s="9">
        <f t="shared" si="39"/>
        <v>0.121255331548431</v>
      </c>
      <c r="K372" s="9">
        <f t="shared" si="40"/>
        <v>0.119342095886203</v>
      </c>
      <c r="L372" s="9">
        <f t="shared" si="41"/>
        <v>0.11907965269352</v>
      </c>
    </row>
    <row r="373" s="3" customFormat="1" spans="1:12">
      <c r="A373" s="4">
        <v>45706</v>
      </c>
      <c r="B373" s="8">
        <v>0.117069678090712</v>
      </c>
      <c r="C373" s="8">
        <v>0.0196441452251099</v>
      </c>
      <c r="D373" s="8">
        <v>0.0342948602778793</v>
      </c>
      <c r="E373" s="8">
        <v>0.076</v>
      </c>
      <c r="F373" s="9">
        <f t="shared" si="35"/>
        <v>0.121168968400985</v>
      </c>
      <c r="G373" s="9">
        <f t="shared" si="36"/>
        <v>0.117889550974357</v>
      </c>
      <c r="H373" s="9">
        <f t="shared" si="37"/>
        <v>0.117479614532535</v>
      </c>
      <c r="I373" s="3" t="str">
        <f t="shared" si="38"/>
        <v>2025-02-01</v>
      </c>
      <c r="J373" s="9">
        <f t="shared" si="39"/>
        <v>0.121255331548431</v>
      </c>
      <c r="K373" s="9">
        <f t="shared" si="40"/>
        <v>0.119342095886203</v>
      </c>
      <c r="L373" s="9">
        <f t="shared" si="41"/>
        <v>0.11907965269352</v>
      </c>
    </row>
    <row r="374" s="3" customFormat="1" spans="1:12">
      <c r="A374" s="4">
        <v>45705</v>
      </c>
      <c r="B374" s="8">
        <v>0.117582079707939</v>
      </c>
      <c r="C374" s="8">
        <v>0.0200035832446243</v>
      </c>
      <c r="D374" s="8">
        <v>0.0313011672205314</v>
      </c>
      <c r="E374" s="8">
        <v>0.076</v>
      </c>
      <c r="F374" s="9">
        <f t="shared" si="35"/>
        <v>0.121481172800147</v>
      </c>
      <c r="G374" s="9">
        <f t="shared" si="36"/>
        <v>0.118361911915009</v>
      </c>
      <c r="H374" s="9">
        <f t="shared" si="37"/>
        <v>0.117971995811474</v>
      </c>
      <c r="I374" s="3" t="str">
        <f t="shared" si="38"/>
        <v>2025-02-01</v>
      </c>
      <c r="J374" s="9">
        <f t="shared" si="39"/>
        <v>0.121255331548431</v>
      </c>
      <c r="K374" s="9">
        <f t="shared" si="40"/>
        <v>0.119342095886203</v>
      </c>
      <c r="L374" s="9">
        <f t="shared" si="41"/>
        <v>0.11907965269352</v>
      </c>
    </row>
    <row r="375" s="3" customFormat="1" spans="1:12">
      <c r="A375" s="4">
        <v>45702</v>
      </c>
      <c r="B375" s="8">
        <v>0.118997397958577</v>
      </c>
      <c r="C375" s="8">
        <v>0.01754196618025</v>
      </c>
      <c r="D375" s="8">
        <v>0.0150178143248368</v>
      </c>
      <c r="E375" s="8">
        <v>0.076</v>
      </c>
      <c r="F375" s="9">
        <f t="shared" si="35"/>
        <v>0.121471907513478</v>
      </c>
      <c r="G375" s="9">
        <f t="shared" si="36"/>
        <v>0.119492306622254</v>
      </c>
      <c r="H375" s="9">
        <f t="shared" si="37"/>
        <v>0.119244852290416</v>
      </c>
      <c r="I375" s="3" t="str">
        <f t="shared" si="38"/>
        <v>2025-02-01</v>
      </c>
      <c r="J375" s="9">
        <f t="shared" si="39"/>
        <v>0.121255331548431</v>
      </c>
      <c r="K375" s="9">
        <f t="shared" si="40"/>
        <v>0.119342095886203</v>
      </c>
      <c r="L375" s="9">
        <f t="shared" si="41"/>
        <v>0.11907965269352</v>
      </c>
    </row>
    <row r="376" s="3" customFormat="1" spans="1:12">
      <c r="A376" s="4">
        <v>45701</v>
      </c>
      <c r="B376" s="8">
        <v>0.120264856813429</v>
      </c>
      <c r="C376" s="8">
        <v>0.0161872663220707</v>
      </c>
      <c r="D376" s="8">
        <v>0.0162666647545983</v>
      </c>
      <c r="E376" s="8">
        <v>0.076</v>
      </c>
      <c r="F376" s="9">
        <f t="shared" si="35"/>
        <v>0.122731319416786</v>
      </c>
      <c r="G376" s="9">
        <f t="shared" si="36"/>
        <v>0.120758156565794</v>
      </c>
      <c r="H376" s="9">
        <f t="shared" si="37"/>
        <v>0.120511506689612</v>
      </c>
      <c r="I376" s="3" t="str">
        <f t="shared" si="38"/>
        <v>2025-02-01</v>
      </c>
      <c r="J376" s="9">
        <f t="shared" si="39"/>
        <v>0.121255331548431</v>
      </c>
      <c r="K376" s="9">
        <f t="shared" si="40"/>
        <v>0.119342095886203</v>
      </c>
      <c r="L376" s="9">
        <f t="shared" si="41"/>
        <v>0.11907965269352</v>
      </c>
    </row>
    <row r="377" s="3" customFormat="1" spans="1:12">
      <c r="A377" s="4">
        <v>45700</v>
      </c>
      <c r="B377" s="8">
        <v>0.11792245317422</v>
      </c>
      <c r="C377" s="8">
        <v>0.0186169109646069</v>
      </c>
      <c r="D377" s="8">
        <v>0.0448731280437388</v>
      </c>
      <c r="E377" s="8">
        <v>0.086</v>
      </c>
      <c r="F377" s="9">
        <f t="shared" si="35"/>
        <v>0.123382147866902</v>
      </c>
      <c r="G377" s="9">
        <f t="shared" si="36"/>
        <v>0.119014481845164</v>
      </c>
      <c r="H377" s="9">
        <f t="shared" si="37"/>
        <v>0.118468467509692</v>
      </c>
      <c r="I377" s="3" t="str">
        <f t="shared" si="38"/>
        <v>2025-02-01</v>
      </c>
      <c r="J377" s="9">
        <f t="shared" si="39"/>
        <v>0.121255331548431</v>
      </c>
      <c r="K377" s="9">
        <f t="shared" si="40"/>
        <v>0.119342095886203</v>
      </c>
      <c r="L377" s="9">
        <f t="shared" si="41"/>
        <v>0.11907965269352</v>
      </c>
    </row>
    <row r="378" s="3" customFormat="1" spans="1:12">
      <c r="A378" s="4">
        <v>45699</v>
      </c>
      <c r="B378" s="8">
        <v>0.114082914045038</v>
      </c>
      <c r="C378" s="8">
        <v>0.0228925409820397</v>
      </c>
      <c r="D378" s="8">
        <v>0.0497545148783733</v>
      </c>
      <c r="E378" s="8">
        <v>0.096</v>
      </c>
      <c r="F378" s="9">
        <f t="shared" si="35"/>
        <v>0.12105533354927</v>
      </c>
      <c r="G378" s="9">
        <f t="shared" si="36"/>
        <v>0.115477737517558</v>
      </c>
      <c r="H378" s="9">
        <f t="shared" si="37"/>
        <v>0.114780325781298</v>
      </c>
      <c r="I378" s="3" t="str">
        <f t="shared" si="38"/>
        <v>2025-02-01</v>
      </c>
      <c r="J378" s="9">
        <f t="shared" si="39"/>
        <v>0.121255331548431</v>
      </c>
      <c r="K378" s="9">
        <f t="shared" si="40"/>
        <v>0.119342095886203</v>
      </c>
      <c r="L378" s="9">
        <f t="shared" si="41"/>
        <v>0.11907965269352</v>
      </c>
    </row>
    <row r="379" s="3" customFormat="1" spans="1:12">
      <c r="A379" s="4">
        <v>45698</v>
      </c>
      <c r="B379" s="8">
        <v>0.117729747708064</v>
      </c>
      <c r="C379" s="8">
        <v>0.0209011204611575</v>
      </c>
      <c r="D379" s="8">
        <v>0.0408253710703326</v>
      </c>
      <c r="E379" s="8">
        <v>0.076</v>
      </c>
      <c r="F379" s="9">
        <f t="shared" si="35"/>
        <v>0.122420873209032</v>
      </c>
      <c r="G379" s="9">
        <f t="shared" si="36"/>
        <v>0.118667990379343</v>
      </c>
      <c r="H379" s="9">
        <f t="shared" si="37"/>
        <v>0.118198869043703</v>
      </c>
      <c r="I379" s="3" t="str">
        <f t="shared" si="38"/>
        <v>2025-02-01</v>
      </c>
      <c r="J379" s="9">
        <f t="shared" si="39"/>
        <v>0.121255331548431</v>
      </c>
      <c r="K379" s="9">
        <f t="shared" si="40"/>
        <v>0.119342095886203</v>
      </c>
      <c r="L379" s="9">
        <f t="shared" si="41"/>
        <v>0.11907965269352</v>
      </c>
    </row>
    <row r="380" s="3" customFormat="1" spans="1:12">
      <c r="A380" s="4">
        <v>45695</v>
      </c>
      <c r="B380" s="8">
        <v>0.117942522353858</v>
      </c>
      <c r="C380" s="8">
        <v>0.0199916637354562</v>
      </c>
      <c r="D380" s="8">
        <v>0.0359771707985844</v>
      </c>
      <c r="E380" s="8">
        <v>0.116</v>
      </c>
      <c r="F380" s="9">
        <f t="shared" si="35"/>
        <v>0.124427248376726</v>
      </c>
      <c r="G380" s="9">
        <f t="shared" si="36"/>
        <v>0.119240999315048</v>
      </c>
      <c r="H380" s="9">
        <f t="shared" si="37"/>
        <v>0.118591760834453</v>
      </c>
      <c r="I380" s="3" t="str">
        <f t="shared" si="38"/>
        <v>2025-02-01</v>
      </c>
      <c r="J380" s="9">
        <f t="shared" si="39"/>
        <v>0.121255331548431</v>
      </c>
      <c r="K380" s="9">
        <f t="shared" si="40"/>
        <v>0.119342095886203</v>
      </c>
      <c r="L380" s="9">
        <f t="shared" si="41"/>
        <v>0.11907965269352</v>
      </c>
    </row>
    <row r="381" s="3" customFormat="1" spans="1:12">
      <c r="A381" s="4">
        <v>45694</v>
      </c>
      <c r="B381" s="8">
        <v>0.118851629070826</v>
      </c>
      <c r="C381" s="8">
        <v>0.0193438696805736</v>
      </c>
      <c r="D381" s="8">
        <v>0.0208089936236907</v>
      </c>
      <c r="E381" s="8">
        <v>0.256</v>
      </c>
      <c r="F381" s="9">
        <f t="shared" si="35"/>
        <v>0.12850539972476</v>
      </c>
      <c r="G381" s="9">
        <f t="shared" si="36"/>
        <v>0.120907455596694</v>
      </c>
      <c r="H381" s="9">
        <f t="shared" si="37"/>
        <v>0.119879542371415</v>
      </c>
      <c r="I381" s="3" t="str">
        <f t="shared" si="38"/>
        <v>2025-02-01</v>
      </c>
      <c r="J381" s="9">
        <f t="shared" si="39"/>
        <v>0.121255331548431</v>
      </c>
      <c r="K381" s="9">
        <f t="shared" si="40"/>
        <v>0.119342095886203</v>
      </c>
      <c r="L381" s="9">
        <f t="shared" si="41"/>
        <v>0.11907965269352</v>
      </c>
    </row>
    <row r="382" s="3" customFormat="1" spans="1:12">
      <c r="A382" s="4">
        <v>45693</v>
      </c>
      <c r="B382" s="8">
        <v>0.109667536703374</v>
      </c>
      <c r="C382" s="8">
        <v>0.0281795299887515</v>
      </c>
      <c r="D382" s="8">
        <v>0.00774030719159779</v>
      </c>
      <c r="E382" s="8">
        <v>1</v>
      </c>
      <c r="F382" s="9">
        <f t="shared" si="35"/>
        <v>0.129525704370707</v>
      </c>
      <c r="G382" s="9">
        <f t="shared" si="36"/>
        <v>0.116750945168003</v>
      </c>
      <c r="H382" s="9">
        <f t="shared" si="37"/>
        <v>0.113259005936198</v>
      </c>
      <c r="I382" s="3" t="str">
        <f t="shared" si="38"/>
        <v>2025-02-01</v>
      </c>
      <c r="J382" s="9">
        <f t="shared" si="39"/>
        <v>0.121255331548431</v>
      </c>
      <c r="K382" s="9">
        <f t="shared" si="40"/>
        <v>0.119342095886203</v>
      </c>
      <c r="L382" s="9">
        <f t="shared" si="41"/>
        <v>0.11907965269352</v>
      </c>
    </row>
    <row r="383" s="3" customFormat="1" spans="1:12">
      <c r="A383" s="4">
        <v>45692</v>
      </c>
      <c r="B383" s="8">
        <v>0.117172943260387</v>
      </c>
      <c r="C383" s="8">
        <v>0.019279179875113</v>
      </c>
      <c r="D383" s="8">
        <v>-0.104013305809725</v>
      </c>
      <c r="E383" s="8">
        <v>0.076</v>
      </c>
      <c r="F383" s="9">
        <f t="shared" si="35"/>
        <v>0.110733362884265</v>
      </c>
      <c r="G383" s="9">
        <f t="shared" si="36"/>
        <v>0.115884984546181</v>
      </c>
      <c r="H383" s="9">
        <f t="shared" si="37"/>
        <v>0.116528963903284</v>
      </c>
      <c r="I383" s="3" t="str">
        <f t="shared" si="38"/>
        <v>2025-02-01</v>
      </c>
      <c r="J383" s="9">
        <f t="shared" si="39"/>
        <v>0.121255331548431</v>
      </c>
      <c r="K383" s="9">
        <f t="shared" si="40"/>
        <v>0.119342095886203</v>
      </c>
      <c r="L383" s="9">
        <f t="shared" si="41"/>
        <v>0.11907965269352</v>
      </c>
    </row>
    <row r="384" s="3" customFormat="1" spans="1:12">
      <c r="A384" s="4">
        <v>45691</v>
      </c>
      <c r="B384" s="8">
        <v>0.11891902195494</v>
      </c>
      <c r="C384" s="8">
        <v>0.0171840610374004</v>
      </c>
      <c r="D384" s="8">
        <v>-0.111987658280091</v>
      </c>
      <c r="E384" s="8">
        <v>0.076</v>
      </c>
      <c r="F384" s="9">
        <f t="shared" si="35"/>
        <v>0.111714178628511</v>
      </c>
      <c r="G384" s="9">
        <f t="shared" si="36"/>
        <v>0.117478007276851</v>
      </c>
      <c r="H384" s="9">
        <f t="shared" si="37"/>
        <v>0.118198514615896</v>
      </c>
      <c r="I384" s="3" t="str">
        <f t="shared" si="38"/>
        <v>2025-02-01</v>
      </c>
      <c r="J384" s="9">
        <f t="shared" si="39"/>
        <v>0.121255331548431</v>
      </c>
      <c r="K384" s="9">
        <f t="shared" si="40"/>
        <v>0.119342095886203</v>
      </c>
      <c r="L384" s="9">
        <f t="shared" si="41"/>
        <v>0.11907965269352</v>
      </c>
    </row>
    <row r="385" s="3" customFormat="1" spans="1:12">
      <c r="A385" s="4">
        <v>45688</v>
      </c>
      <c r="B385" s="8">
        <v>0.117159514694709</v>
      </c>
      <c r="C385" s="8">
        <v>0.0174587870300516</v>
      </c>
      <c r="D385" s="8">
        <v>-0.0747432479752731</v>
      </c>
      <c r="E385" s="8">
        <v>0.096</v>
      </c>
      <c r="F385" s="9">
        <f t="shared" si="35"/>
        <v>0.111662608061814</v>
      </c>
      <c r="G385" s="9">
        <f t="shared" si="36"/>
        <v>0.116059653044561</v>
      </c>
      <c r="H385" s="9">
        <f t="shared" si="37"/>
        <v>0.116609583869635</v>
      </c>
      <c r="I385" s="3" t="str">
        <f t="shared" si="38"/>
        <v>2025-01-01</v>
      </c>
      <c r="J385" s="9">
        <f t="shared" si="39"/>
        <v>0.115114796900461</v>
      </c>
      <c r="K385" s="9">
        <f t="shared" si="40"/>
        <v>0.116300601545854</v>
      </c>
      <c r="L385" s="9">
        <f t="shared" si="41"/>
        <v>0.116515683090469</v>
      </c>
    </row>
    <row r="386" s="3" customFormat="1" spans="1:12">
      <c r="A386" s="4">
        <v>45687</v>
      </c>
      <c r="B386" s="8">
        <v>0.117067674171443</v>
      </c>
      <c r="C386" s="8">
        <v>0.0179875568214216</v>
      </c>
      <c r="D386" s="8">
        <v>-0.0831831463961944</v>
      </c>
      <c r="E386" s="8">
        <v>0.076</v>
      </c>
      <c r="F386" s="9">
        <f t="shared" si="35"/>
        <v>0.112112979486422</v>
      </c>
      <c r="G386" s="9">
        <f t="shared" si="36"/>
        <v>0.116076701209906</v>
      </c>
      <c r="H386" s="9">
        <f t="shared" si="37"/>
        <v>0.116572187690675</v>
      </c>
      <c r="I386" s="3" t="str">
        <f t="shared" si="38"/>
        <v>2025-01-01</v>
      </c>
      <c r="J386" s="9">
        <f t="shared" si="39"/>
        <v>0.115114796900461</v>
      </c>
      <c r="K386" s="9">
        <f t="shared" si="40"/>
        <v>0.116300601545854</v>
      </c>
      <c r="L386" s="9">
        <f t="shared" si="41"/>
        <v>0.116515683090469</v>
      </c>
    </row>
    <row r="387" s="3" customFormat="1" spans="1:12">
      <c r="A387" s="4">
        <v>45686</v>
      </c>
      <c r="B387" s="8">
        <v>0.119761372518065</v>
      </c>
      <c r="C387" s="8">
        <v>0.0184341262333348</v>
      </c>
      <c r="D387" s="8">
        <v>-0.113788390876356</v>
      </c>
      <c r="E387" s="8">
        <v>0.086</v>
      </c>
      <c r="F387" s="9">
        <f t="shared" si="35"/>
        <v>0.111561993146245</v>
      </c>
      <c r="G387" s="9">
        <f t="shared" si="36"/>
        <v>0.118121279166205</v>
      </c>
      <c r="H387" s="9">
        <f t="shared" si="37"/>
        <v>0.118941325842135</v>
      </c>
      <c r="I387" s="3" t="str">
        <f t="shared" si="38"/>
        <v>2025-01-01</v>
      </c>
      <c r="J387" s="9">
        <f t="shared" si="39"/>
        <v>0.115114796900461</v>
      </c>
      <c r="K387" s="9">
        <f t="shared" si="40"/>
        <v>0.116300601545854</v>
      </c>
      <c r="L387" s="9">
        <f t="shared" si="41"/>
        <v>0.116515683090469</v>
      </c>
    </row>
    <row r="388" s="3" customFormat="1" spans="1:12">
      <c r="A388" s="4">
        <v>45685</v>
      </c>
      <c r="B388" s="8">
        <v>0.116469253363077</v>
      </c>
      <c r="C388" s="8">
        <v>0.0230317854144809</v>
      </c>
      <c r="D388" s="8">
        <v>-0.0699532749546214</v>
      </c>
      <c r="E388" s="8">
        <v>0.086</v>
      </c>
      <c r="F388" s="9">
        <f t="shared" si="35"/>
        <v>0.112434664783463</v>
      </c>
      <c r="G388" s="9">
        <f t="shared" si="36"/>
        <v>0.115662203742987</v>
      </c>
      <c r="H388" s="9">
        <f t="shared" si="37"/>
        <v>0.116065728553032</v>
      </c>
      <c r="I388" s="3" t="str">
        <f t="shared" si="38"/>
        <v>2025-01-01</v>
      </c>
      <c r="J388" s="9">
        <f t="shared" si="39"/>
        <v>0.115114796900461</v>
      </c>
      <c r="K388" s="9">
        <f t="shared" si="40"/>
        <v>0.116300601545854</v>
      </c>
      <c r="L388" s="9">
        <f t="shared" si="41"/>
        <v>0.116515683090469</v>
      </c>
    </row>
    <row r="389" s="3" customFormat="1" spans="1:12">
      <c r="A389" s="4">
        <v>45684</v>
      </c>
      <c r="B389" s="8">
        <v>0.121346008976329</v>
      </c>
      <c r="C389" s="8">
        <v>0.0189375364707273</v>
      </c>
      <c r="D389" s="8">
        <v>-0.0974274334423859</v>
      </c>
      <c r="E389" s="8">
        <v>0.106</v>
      </c>
      <c r="F389" s="9">
        <f t="shared" ref="F389:F452" si="42">B389+(C389+D389)*(E389/$F$3)*(1-EXP(-$F$3/E389))-D389*EXP(-$F$3/E389)</f>
        <v>0.11303453564064</v>
      </c>
      <c r="G389" s="9">
        <f t="shared" ref="G389:G452" si="43">B389+(C389+D389)*(E389/$G$3)*(1-EXP(-$G$3/E389))-D389*EXP(-$G$3/E389)</f>
        <v>0.11968202316053</v>
      </c>
      <c r="H389" s="9">
        <f t="shared" ref="H389:H452" si="44">B389+(C389+D389)*(E389/$H$3)*(1-EXP(-$H$3/E389))-D389*EXP(-$H$3/E389)</f>
        <v>0.120514016068429</v>
      </c>
      <c r="I389" s="3" t="str">
        <f t="shared" ref="I389:I452" si="45">TEXT(A389,"yyyy-mm-01")</f>
        <v>2025-01-01</v>
      </c>
      <c r="J389" s="9">
        <f t="shared" ref="J389:J452" si="46">AVERAGEIF($I:$I,I389,$F:$F)</f>
        <v>0.115114796900461</v>
      </c>
      <c r="K389" s="9">
        <f t="shared" ref="K389:K452" si="47">AVERAGEIF($I:$I,I389,$G:$G)</f>
        <v>0.116300601545854</v>
      </c>
      <c r="L389" s="9">
        <f t="shared" ref="L389:L452" si="48">AVERAGEIF($I:$I,I389,$H:$H)</f>
        <v>0.116515683090469</v>
      </c>
    </row>
    <row r="390" s="3" customFormat="1" spans="1:12">
      <c r="A390" s="4">
        <v>45681</v>
      </c>
      <c r="B390" s="8">
        <v>0.123223074831463</v>
      </c>
      <c r="C390" s="8">
        <v>0.0163649393755909</v>
      </c>
      <c r="D390" s="8">
        <v>-0.100687590551386</v>
      </c>
      <c r="E390" s="8">
        <v>0.126</v>
      </c>
      <c r="F390" s="9">
        <f t="shared" si="42"/>
        <v>0.112638209628808</v>
      </c>
      <c r="G390" s="9">
        <f t="shared" si="43"/>
        <v>0.121098144021833</v>
      </c>
      <c r="H390" s="9">
        <f t="shared" si="44"/>
        <v>0.122160609426648</v>
      </c>
      <c r="I390" s="3" t="str">
        <f t="shared" si="45"/>
        <v>2025-01-01</v>
      </c>
      <c r="J390" s="9">
        <f t="shared" si="46"/>
        <v>0.115114796900461</v>
      </c>
      <c r="K390" s="9">
        <f t="shared" si="47"/>
        <v>0.116300601545854</v>
      </c>
      <c r="L390" s="9">
        <f t="shared" si="48"/>
        <v>0.116515683090469</v>
      </c>
    </row>
    <row r="391" s="3" customFormat="1" spans="1:12">
      <c r="A391" s="4">
        <v>45680</v>
      </c>
      <c r="B391" s="8">
        <v>0.122582755765093</v>
      </c>
      <c r="C391" s="8">
        <v>0.0157869134996793</v>
      </c>
      <c r="D391" s="8">
        <v>-0.0942169897438966</v>
      </c>
      <c r="E391" s="8">
        <v>0.126</v>
      </c>
      <c r="F391" s="9">
        <f t="shared" si="42"/>
        <v>0.112737776675262</v>
      </c>
      <c r="G391" s="9">
        <f t="shared" si="43"/>
        <v>0.120606317843739</v>
      </c>
      <c r="H391" s="9">
        <f t="shared" si="44"/>
        <v>0.121594536804416</v>
      </c>
      <c r="I391" s="3" t="str">
        <f t="shared" si="45"/>
        <v>2025-01-01</v>
      </c>
      <c r="J391" s="9">
        <f t="shared" si="46"/>
        <v>0.115114796900461</v>
      </c>
      <c r="K391" s="9">
        <f t="shared" si="47"/>
        <v>0.116300601545854</v>
      </c>
      <c r="L391" s="9">
        <f t="shared" si="48"/>
        <v>0.116515683090469</v>
      </c>
    </row>
    <row r="392" s="3" customFormat="1" spans="1:12">
      <c r="A392" s="4">
        <v>45679</v>
      </c>
      <c r="B392" s="8">
        <v>0.12323785868406</v>
      </c>
      <c r="C392" s="8">
        <v>0.014434946441013</v>
      </c>
      <c r="D392" s="8">
        <v>-0.0698110663408299</v>
      </c>
      <c r="E392" s="8">
        <v>0.176</v>
      </c>
      <c r="F392" s="9">
        <f t="shared" si="42"/>
        <v>0.113762741628901</v>
      </c>
      <c r="G392" s="9">
        <f t="shared" si="43"/>
        <v>0.121288619263619</v>
      </c>
      <c r="H392" s="9">
        <f t="shared" si="44"/>
        <v>0.122263238973823</v>
      </c>
      <c r="I392" s="3" t="str">
        <f t="shared" si="45"/>
        <v>2025-01-01</v>
      </c>
      <c r="J392" s="9">
        <f t="shared" si="46"/>
        <v>0.115114796900461</v>
      </c>
      <c r="K392" s="9">
        <f t="shared" si="47"/>
        <v>0.116300601545854</v>
      </c>
      <c r="L392" s="9">
        <f t="shared" si="48"/>
        <v>0.116515683090469</v>
      </c>
    </row>
    <row r="393" s="3" customFormat="1" spans="1:12">
      <c r="A393" s="4">
        <v>45678</v>
      </c>
      <c r="B393" s="8">
        <v>0.118432533414416</v>
      </c>
      <c r="C393" s="8">
        <v>0.0198500543855907</v>
      </c>
      <c r="D393" s="8">
        <v>-0.0663378265354005</v>
      </c>
      <c r="E393" s="8">
        <v>0.106</v>
      </c>
      <c r="F393" s="9">
        <f t="shared" si="42"/>
        <v>0.113510528082482</v>
      </c>
      <c r="G393" s="9">
        <f t="shared" si="43"/>
        <v>0.11744699264484</v>
      </c>
      <c r="H393" s="9">
        <f t="shared" si="44"/>
        <v>0.117939763029628</v>
      </c>
      <c r="I393" s="3" t="str">
        <f t="shared" si="45"/>
        <v>2025-01-01</v>
      </c>
      <c r="J393" s="9">
        <f t="shared" si="46"/>
        <v>0.115114796900461</v>
      </c>
      <c r="K393" s="9">
        <f t="shared" si="47"/>
        <v>0.116300601545854</v>
      </c>
      <c r="L393" s="9">
        <f t="shared" si="48"/>
        <v>0.116515683090469</v>
      </c>
    </row>
    <row r="394" s="3" customFormat="1" spans="1:12">
      <c r="A394" s="4">
        <v>45677</v>
      </c>
      <c r="B394" s="8">
        <v>0.12080111106519</v>
      </c>
      <c r="C394" s="8">
        <v>0.0188738710072918</v>
      </c>
      <c r="D394" s="8">
        <v>-0.0199252287897985</v>
      </c>
      <c r="E394" s="8">
        <v>0.076</v>
      </c>
      <c r="F394" s="9">
        <f t="shared" si="42"/>
        <v>0.120721246487324</v>
      </c>
      <c r="G394" s="9">
        <f t="shared" si="43"/>
        <v>0.120785130426896</v>
      </c>
      <c r="H394" s="9">
        <f t="shared" si="44"/>
        <v>0.120793120746043</v>
      </c>
      <c r="I394" s="3" t="str">
        <f t="shared" si="45"/>
        <v>2025-01-01</v>
      </c>
      <c r="J394" s="9">
        <f t="shared" si="46"/>
        <v>0.115114796900461</v>
      </c>
      <c r="K394" s="9">
        <f t="shared" si="47"/>
        <v>0.116300601545854</v>
      </c>
      <c r="L394" s="9">
        <f t="shared" si="48"/>
        <v>0.116515683090469</v>
      </c>
    </row>
    <row r="395" s="3" customFormat="1" spans="1:12">
      <c r="A395" s="4">
        <v>45674</v>
      </c>
      <c r="B395" s="8">
        <v>0.122608812211532</v>
      </c>
      <c r="C395" s="8">
        <v>0.0146282060935527</v>
      </c>
      <c r="D395" s="8">
        <v>-0.0485284367394665</v>
      </c>
      <c r="E395" s="8">
        <v>0.286</v>
      </c>
      <c r="F395" s="9">
        <f t="shared" si="42"/>
        <v>0.114677714106882</v>
      </c>
      <c r="G395" s="9">
        <f t="shared" si="43"/>
        <v>0.120669720308174</v>
      </c>
      <c r="H395" s="9">
        <f t="shared" si="44"/>
        <v>0.121639265615059</v>
      </c>
      <c r="I395" s="3" t="str">
        <f t="shared" si="45"/>
        <v>2025-01-01</v>
      </c>
      <c r="J395" s="9">
        <f t="shared" si="46"/>
        <v>0.115114796900461</v>
      </c>
      <c r="K395" s="9">
        <f t="shared" si="47"/>
        <v>0.116300601545854</v>
      </c>
      <c r="L395" s="9">
        <f t="shared" si="48"/>
        <v>0.116515683090469</v>
      </c>
    </row>
    <row r="396" s="3" customFormat="1" spans="1:12">
      <c r="A396" s="4">
        <v>45673</v>
      </c>
      <c r="B396" s="8">
        <v>0.120881054291868</v>
      </c>
      <c r="C396" s="8">
        <v>0.016791750833205</v>
      </c>
      <c r="D396" s="8">
        <v>-0.0354399235356628</v>
      </c>
      <c r="E396" s="8">
        <v>0.396</v>
      </c>
      <c r="F396" s="9">
        <f t="shared" si="42"/>
        <v>0.116923977452785</v>
      </c>
      <c r="G396" s="9">
        <f t="shared" si="43"/>
        <v>0.119404240271318</v>
      </c>
      <c r="H396" s="9">
        <f t="shared" si="44"/>
        <v>0.120142586653241</v>
      </c>
      <c r="I396" s="3" t="str">
        <f t="shared" si="45"/>
        <v>2025-01-01</v>
      </c>
      <c r="J396" s="9">
        <f t="shared" si="46"/>
        <v>0.115114796900461</v>
      </c>
      <c r="K396" s="9">
        <f t="shared" si="47"/>
        <v>0.116300601545854</v>
      </c>
      <c r="L396" s="9">
        <f t="shared" si="48"/>
        <v>0.116515683090469</v>
      </c>
    </row>
    <row r="397" s="3" customFormat="1" spans="1:12">
      <c r="A397" s="4">
        <v>45672</v>
      </c>
      <c r="B397" s="8">
        <v>0.116668315010288</v>
      </c>
      <c r="C397" s="8">
        <v>0.0198710491285388</v>
      </c>
      <c r="D397" s="8">
        <v>0.0205771673662007</v>
      </c>
      <c r="E397" s="8">
        <v>0.106</v>
      </c>
      <c r="F397" s="9">
        <f t="shared" si="42"/>
        <v>0.120953837735741</v>
      </c>
      <c r="G397" s="9">
        <f t="shared" si="43"/>
        <v>0.117525817199976</v>
      </c>
      <c r="H397" s="9">
        <f t="shared" si="44"/>
        <v>0.117097066105132</v>
      </c>
      <c r="I397" s="3" t="str">
        <f t="shared" si="45"/>
        <v>2025-01-01</v>
      </c>
      <c r="J397" s="9">
        <f t="shared" si="46"/>
        <v>0.115114796900461</v>
      </c>
      <c r="K397" s="9">
        <f t="shared" si="47"/>
        <v>0.116300601545854</v>
      </c>
      <c r="L397" s="9">
        <f t="shared" si="48"/>
        <v>0.116515683090469</v>
      </c>
    </row>
    <row r="398" s="3" customFormat="1" spans="1:12">
      <c r="A398" s="4">
        <v>45671</v>
      </c>
      <c r="B398" s="8">
        <v>0.11327132283181</v>
      </c>
      <c r="C398" s="8">
        <v>0.0250112649681964</v>
      </c>
      <c r="D398" s="8">
        <v>0.0324148478357168</v>
      </c>
      <c r="E398" s="8">
        <v>0.106</v>
      </c>
      <c r="F398" s="9">
        <f t="shared" si="42"/>
        <v>0.119355412100776</v>
      </c>
      <c r="G398" s="9">
        <f t="shared" si="43"/>
        <v>0.114488756423253</v>
      </c>
      <c r="H398" s="9">
        <f t="shared" si="44"/>
        <v>0.113880039627531</v>
      </c>
      <c r="I398" s="3" t="str">
        <f t="shared" si="45"/>
        <v>2025-01-01</v>
      </c>
      <c r="J398" s="9">
        <f t="shared" si="46"/>
        <v>0.115114796900461</v>
      </c>
      <c r="K398" s="9">
        <f t="shared" si="47"/>
        <v>0.116300601545854</v>
      </c>
      <c r="L398" s="9">
        <f t="shared" si="48"/>
        <v>0.116515683090469</v>
      </c>
    </row>
    <row r="399" s="3" customFormat="1" spans="1:12">
      <c r="A399" s="4">
        <v>45670</v>
      </c>
      <c r="B399" s="8">
        <v>0.114316829590405</v>
      </c>
      <c r="C399" s="8">
        <v>0.0334995451038141</v>
      </c>
      <c r="D399" s="8">
        <v>-0.00131469353384914</v>
      </c>
      <c r="E399" s="8">
        <v>0.106</v>
      </c>
      <c r="F399" s="9">
        <f t="shared" si="42"/>
        <v>0.117728256184986</v>
      </c>
      <c r="G399" s="9">
        <f t="shared" si="43"/>
        <v>0.114999148443688</v>
      </c>
      <c r="H399" s="9">
        <f t="shared" si="44"/>
        <v>0.114657989017047</v>
      </c>
      <c r="I399" s="3" t="str">
        <f t="shared" si="45"/>
        <v>2025-01-01</v>
      </c>
      <c r="J399" s="9">
        <f t="shared" si="46"/>
        <v>0.115114796900461</v>
      </c>
      <c r="K399" s="9">
        <f t="shared" si="47"/>
        <v>0.116300601545854</v>
      </c>
      <c r="L399" s="9">
        <f t="shared" si="48"/>
        <v>0.116515683090469</v>
      </c>
    </row>
    <row r="400" s="3" customFormat="1" spans="1:12">
      <c r="A400" s="4">
        <v>45667</v>
      </c>
      <c r="B400" s="8">
        <v>0.110162052413201</v>
      </c>
      <c r="C400" s="8">
        <v>0.0268134026138767</v>
      </c>
      <c r="D400" s="8">
        <v>-0.0001824315460238</v>
      </c>
      <c r="E400" s="8">
        <v>0.576</v>
      </c>
      <c r="F400" s="9">
        <f t="shared" si="42"/>
        <v>0.122830761665632</v>
      </c>
      <c r="G400" s="9">
        <f t="shared" si="43"/>
        <v>0.113229450166197</v>
      </c>
      <c r="H400" s="9">
        <f t="shared" si="44"/>
        <v>0.111695996307716</v>
      </c>
      <c r="I400" s="3" t="str">
        <f t="shared" si="45"/>
        <v>2025-01-01</v>
      </c>
      <c r="J400" s="9">
        <f t="shared" si="46"/>
        <v>0.115114796900461</v>
      </c>
      <c r="K400" s="9">
        <f t="shared" si="47"/>
        <v>0.116300601545854</v>
      </c>
      <c r="L400" s="9">
        <f t="shared" si="48"/>
        <v>0.116515683090469</v>
      </c>
    </row>
    <row r="401" s="3" customFormat="1" spans="1:12">
      <c r="A401" s="4">
        <v>45666</v>
      </c>
      <c r="B401" s="8">
        <v>0.110626134077109</v>
      </c>
      <c r="C401" s="8">
        <v>0.023117735972487</v>
      </c>
      <c r="D401" s="8">
        <v>0.0484274060674079</v>
      </c>
      <c r="E401" s="8">
        <v>0.136</v>
      </c>
      <c r="F401" s="9">
        <f t="shared" si="42"/>
        <v>0.120319011555144</v>
      </c>
      <c r="G401" s="9">
        <f t="shared" si="43"/>
        <v>0.112572161940594</v>
      </c>
      <c r="H401" s="9">
        <f t="shared" si="44"/>
        <v>0.111599148008852</v>
      </c>
      <c r="I401" s="3" t="str">
        <f t="shared" si="45"/>
        <v>2025-01-01</v>
      </c>
      <c r="J401" s="9">
        <f t="shared" si="46"/>
        <v>0.115114796900461</v>
      </c>
      <c r="K401" s="9">
        <f t="shared" si="47"/>
        <v>0.116300601545854</v>
      </c>
      <c r="L401" s="9">
        <f t="shared" si="48"/>
        <v>0.116515683090469</v>
      </c>
    </row>
    <row r="402" s="3" customFormat="1" spans="1:12">
      <c r="A402" s="4">
        <v>45665</v>
      </c>
      <c r="B402" s="8">
        <v>0.108910898699452</v>
      </c>
      <c r="C402" s="8">
        <v>0.0247454861132221</v>
      </c>
      <c r="D402" s="8">
        <v>-0.0247902807143756</v>
      </c>
      <c r="E402" s="8">
        <v>0.466</v>
      </c>
      <c r="F402" s="9">
        <f t="shared" si="42"/>
        <v>0.111791938659945</v>
      </c>
      <c r="G402" s="9">
        <f t="shared" si="43"/>
        <v>0.108907266521028</v>
      </c>
      <c r="H402" s="9">
        <f t="shared" si="44"/>
        <v>0.108908811282915</v>
      </c>
      <c r="I402" s="3" t="str">
        <f t="shared" si="45"/>
        <v>2025-01-01</v>
      </c>
      <c r="J402" s="9">
        <f t="shared" si="46"/>
        <v>0.115114796900461</v>
      </c>
      <c r="K402" s="9">
        <f t="shared" si="47"/>
        <v>0.116300601545854</v>
      </c>
      <c r="L402" s="9">
        <f t="shared" si="48"/>
        <v>0.116515683090469</v>
      </c>
    </row>
    <row r="403" s="3" customFormat="1" spans="1:12">
      <c r="A403" s="4">
        <v>45663</v>
      </c>
      <c r="B403" s="8">
        <v>0.108736311058628</v>
      </c>
      <c r="C403" s="8">
        <v>0.0260567852829037</v>
      </c>
      <c r="D403" s="8">
        <v>-0.0254699751872323</v>
      </c>
      <c r="E403" s="8">
        <v>0.456</v>
      </c>
      <c r="F403" s="9">
        <f t="shared" si="42"/>
        <v>0.111816066291416</v>
      </c>
      <c r="G403" s="9">
        <f t="shared" si="43"/>
        <v>0.108790267796494</v>
      </c>
      <c r="H403" s="9">
        <f t="shared" si="44"/>
        <v>0.108763069606604</v>
      </c>
      <c r="I403" s="3" t="str">
        <f t="shared" si="45"/>
        <v>2025-01-01</v>
      </c>
      <c r="J403" s="9">
        <f t="shared" si="46"/>
        <v>0.115114796900461</v>
      </c>
      <c r="K403" s="9">
        <f t="shared" si="47"/>
        <v>0.116300601545854</v>
      </c>
      <c r="L403" s="9">
        <f t="shared" si="48"/>
        <v>0.116515683090469</v>
      </c>
    </row>
    <row r="404" s="3" customFormat="1" spans="1:12">
      <c r="A404" s="4">
        <v>45662</v>
      </c>
      <c r="B404" s="8">
        <v>0.108353206926113</v>
      </c>
      <c r="C404" s="8">
        <v>0.0265272752677054</v>
      </c>
      <c r="D404" s="8">
        <v>-0.0236547012486542</v>
      </c>
      <c r="E404" s="8">
        <v>0.426</v>
      </c>
      <c r="F404" s="9">
        <f t="shared" si="42"/>
        <v>0.111721678634556</v>
      </c>
      <c r="G404" s="9">
        <f t="shared" si="43"/>
        <v>0.108598137321237</v>
      </c>
      <c r="H404" s="9">
        <f t="shared" si="44"/>
        <v>0.108475578580828</v>
      </c>
      <c r="I404" s="3" t="str">
        <f t="shared" si="45"/>
        <v>2025-01-01</v>
      </c>
      <c r="J404" s="9">
        <f t="shared" si="46"/>
        <v>0.115114796900461</v>
      </c>
      <c r="K404" s="9">
        <f t="shared" si="47"/>
        <v>0.116300601545854</v>
      </c>
      <c r="L404" s="9">
        <f t="shared" si="48"/>
        <v>0.116515683090469</v>
      </c>
    </row>
    <row r="405" s="3" customFormat="1" spans="1:12">
      <c r="A405" s="4">
        <v>45657</v>
      </c>
      <c r="B405" s="8">
        <v>0.108249439422768</v>
      </c>
      <c r="C405" s="8">
        <v>0.0316864008747488</v>
      </c>
      <c r="D405" s="8">
        <v>0.000172208009584143</v>
      </c>
      <c r="E405" s="8">
        <v>0.096</v>
      </c>
      <c r="F405" s="9">
        <f t="shared" si="42"/>
        <v>0.11130776918446</v>
      </c>
      <c r="G405" s="9">
        <f t="shared" si="43"/>
        <v>0.108861124713347</v>
      </c>
      <c r="H405" s="9">
        <f t="shared" si="44"/>
        <v>0.108555282068058</v>
      </c>
      <c r="I405" s="3" t="str">
        <f t="shared" si="45"/>
        <v>2024-12-01</v>
      </c>
      <c r="J405" s="9">
        <f t="shared" si="46"/>
        <v>0.113539983457724</v>
      </c>
      <c r="K405" s="9">
        <f t="shared" si="47"/>
        <v>0.111579591100683</v>
      </c>
      <c r="L405" s="9">
        <f t="shared" si="48"/>
        <v>0.111514901154618</v>
      </c>
    </row>
    <row r="406" s="3" customFormat="1" spans="1:12">
      <c r="A406" s="4">
        <v>45656</v>
      </c>
      <c r="B406" s="8">
        <v>0.108316606197083</v>
      </c>
      <c r="C406" s="8">
        <v>0.0318800242962009</v>
      </c>
      <c r="D406" s="8">
        <v>-0.000840878360338081</v>
      </c>
      <c r="E406" s="8">
        <v>0.106</v>
      </c>
      <c r="F406" s="9">
        <f t="shared" si="42"/>
        <v>0.1116065598183</v>
      </c>
      <c r="G406" s="9">
        <f t="shared" si="43"/>
        <v>0.108974636090923</v>
      </c>
      <c r="H406" s="9">
        <f t="shared" si="44"/>
        <v>0.108645621144003</v>
      </c>
      <c r="I406" s="3" t="str">
        <f t="shared" si="45"/>
        <v>2024-12-01</v>
      </c>
      <c r="J406" s="9">
        <f t="shared" si="46"/>
        <v>0.113539983457724</v>
      </c>
      <c r="K406" s="9">
        <f t="shared" si="47"/>
        <v>0.111579591100683</v>
      </c>
      <c r="L406" s="9">
        <f t="shared" si="48"/>
        <v>0.111514901154618</v>
      </c>
    </row>
    <row r="407" s="3" customFormat="1" spans="1:12">
      <c r="A407" s="4">
        <v>45653</v>
      </c>
      <c r="B407" s="8">
        <v>0.107611797429331</v>
      </c>
      <c r="C407" s="8">
        <v>0.0328455552659247</v>
      </c>
      <c r="D407" s="8">
        <v>0.000102548755457623</v>
      </c>
      <c r="E407" s="8">
        <v>0.136</v>
      </c>
      <c r="F407" s="9">
        <f t="shared" si="42"/>
        <v>0.112089802909969</v>
      </c>
      <c r="G407" s="9">
        <f t="shared" si="43"/>
        <v>0.108507985858713</v>
      </c>
      <c r="H407" s="9">
        <f t="shared" si="44"/>
        <v>0.108059891644022</v>
      </c>
      <c r="I407" s="3" t="str">
        <f t="shared" si="45"/>
        <v>2024-12-01</v>
      </c>
      <c r="J407" s="9">
        <f t="shared" si="46"/>
        <v>0.113539983457724</v>
      </c>
      <c r="K407" s="9">
        <f t="shared" si="47"/>
        <v>0.111579591100683</v>
      </c>
      <c r="L407" s="9">
        <f t="shared" si="48"/>
        <v>0.111514901154618</v>
      </c>
    </row>
    <row r="408" s="3" customFormat="1" spans="1:12">
      <c r="A408" s="4">
        <v>45652</v>
      </c>
      <c r="B408" s="8">
        <v>0.109868327110659</v>
      </c>
      <c r="C408" s="8">
        <v>0.027107127916419</v>
      </c>
      <c r="D408" s="8">
        <v>-0.0380943284936114</v>
      </c>
      <c r="E408" s="8">
        <v>0.726</v>
      </c>
      <c r="F408" s="9">
        <f t="shared" si="42"/>
        <v>0.113512156916447</v>
      </c>
      <c r="G408" s="9">
        <f t="shared" si="43"/>
        <v>0.108313505514351</v>
      </c>
      <c r="H408" s="9">
        <f t="shared" si="44"/>
        <v>0.109070696884915</v>
      </c>
      <c r="I408" s="3" t="str">
        <f t="shared" si="45"/>
        <v>2024-12-01</v>
      </c>
      <c r="J408" s="9">
        <f t="shared" si="46"/>
        <v>0.113539983457724</v>
      </c>
      <c r="K408" s="9">
        <f t="shared" si="47"/>
        <v>0.111579591100683</v>
      </c>
      <c r="L408" s="9">
        <f t="shared" si="48"/>
        <v>0.111514901154618</v>
      </c>
    </row>
    <row r="409" s="3" customFormat="1" spans="1:12">
      <c r="A409" s="4">
        <v>45651</v>
      </c>
      <c r="B409" s="8">
        <v>0.107555388302731</v>
      </c>
      <c r="C409" s="8">
        <v>0.0310754798664906</v>
      </c>
      <c r="D409" s="8">
        <v>-4.47732221468594e-5</v>
      </c>
      <c r="E409" s="8">
        <v>0.156</v>
      </c>
      <c r="F409" s="9">
        <f t="shared" si="42"/>
        <v>0.112388290996454</v>
      </c>
      <c r="G409" s="9">
        <f t="shared" si="43"/>
        <v>0.108523546350035</v>
      </c>
      <c r="H409" s="9">
        <f t="shared" si="44"/>
        <v>0.108039467326383</v>
      </c>
      <c r="I409" s="3" t="str">
        <f t="shared" si="45"/>
        <v>2024-12-01</v>
      </c>
      <c r="J409" s="9">
        <f t="shared" si="46"/>
        <v>0.113539983457724</v>
      </c>
      <c r="K409" s="9">
        <f t="shared" si="47"/>
        <v>0.111579591100683</v>
      </c>
      <c r="L409" s="9">
        <f t="shared" si="48"/>
        <v>0.111514901154618</v>
      </c>
    </row>
    <row r="410" s="3" customFormat="1" spans="1:12">
      <c r="A410" s="4">
        <v>45650</v>
      </c>
      <c r="B410" s="8">
        <v>0.108294207890315</v>
      </c>
      <c r="C410" s="8">
        <v>0.030771840232682</v>
      </c>
      <c r="D410" s="8">
        <v>0.00105617696122914</v>
      </c>
      <c r="E410" s="8">
        <v>0.096</v>
      </c>
      <c r="F410" s="9">
        <f t="shared" si="42"/>
        <v>0.111349574480894</v>
      </c>
      <c r="G410" s="9">
        <f t="shared" si="43"/>
        <v>0.108905305820438</v>
      </c>
      <c r="H410" s="9">
        <f t="shared" si="44"/>
        <v>0.108599756855377</v>
      </c>
      <c r="I410" s="3" t="str">
        <f t="shared" si="45"/>
        <v>2024-12-01</v>
      </c>
      <c r="J410" s="9">
        <f t="shared" si="46"/>
        <v>0.113539983457724</v>
      </c>
      <c r="K410" s="9">
        <f t="shared" si="47"/>
        <v>0.111579591100683</v>
      </c>
      <c r="L410" s="9">
        <f t="shared" si="48"/>
        <v>0.111514901154618</v>
      </c>
    </row>
    <row r="411" s="3" customFormat="1" spans="1:12">
      <c r="A411" s="4">
        <v>45649</v>
      </c>
      <c r="B411" s="8">
        <v>0.108520744235105</v>
      </c>
      <c r="C411" s="8">
        <v>0.0304582830463463</v>
      </c>
      <c r="D411" s="8">
        <v>-0.0106153219358568</v>
      </c>
      <c r="E411" s="8">
        <v>0.146</v>
      </c>
      <c r="F411" s="9">
        <f t="shared" si="42"/>
        <v>0.111425999303431</v>
      </c>
      <c r="G411" s="9">
        <f t="shared" si="43"/>
        <v>0.109100158699531</v>
      </c>
      <c r="H411" s="9">
        <f t="shared" si="44"/>
        <v>0.108810451467318</v>
      </c>
      <c r="I411" s="3" t="str">
        <f t="shared" si="45"/>
        <v>2024-12-01</v>
      </c>
      <c r="J411" s="9">
        <f t="shared" si="46"/>
        <v>0.113539983457724</v>
      </c>
      <c r="K411" s="9">
        <f t="shared" si="47"/>
        <v>0.111579591100683</v>
      </c>
      <c r="L411" s="9">
        <f t="shared" si="48"/>
        <v>0.111514901154618</v>
      </c>
    </row>
    <row r="412" s="3" customFormat="1" spans="1:12">
      <c r="A412" s="4">
        <v>45646</v>
      </c>
      <c r="B412" s="8">
        <v>0.107891536644272</v>
      </c>
      <c r="C412" s="8">
        <v>0.0299555300478534</v>
      </c>
      <c r="D412" s="8">
        <v>0.0277487722085837</v>
      </c>
      <c r="E412" s="8">
        <v>0.076</v>
      </c>
      <c r="F412" s="9">
        <f t="shared" si="42"/>
        <v>0.112277001590621</v>
      </c>
      <c r="G412" s="9">
        <f t="shared" si="43"/>
        <v>0.10876864203857</v>
      </c>
      <c r="H412" s="9">
        <f t="shared" si="44"/>
        <v>0.108330089341421</v>
      </c>
      <c r="I412" s="3" t="str">
        <f t="shared" si="45"/>
        <v>2024-12-01</v>
      </c>
      <c r="J412" s="9">
        <f t="shared" si="46"/>
        <v>0.113539983457724</v>
      </c>
      <c r="K412" s="9">
        <f t="shared" si="47"/>
        <v>0.111579591100683</v>
      </c>
      <c r="L412" s="9">
        <f t="shared" si="48"/>
        <v>0.111514901154618</v>
      </c>
    </row>
    <row r="413" s="3" customFormat="1" spans="1:12">
      <c r="A413" s="4">
        <v>45645</v>
      </c>
      <c r="B413" s="8">
        <v>0.109692631118228</v>
      </c>
      <c r="C413" s="8">
        <v>0.0277187247047325</v>
      </c>
      <c r="D413" s="8">
        <v>0.0374452268217589</v>
      </c>
      <c r="E413" s="8">
        <v>0.076</v>
      </c>
      <c r="F413" s="9">
        <f t="shared" si="42"/>
        <v>0.114645009598864</v>
      </c>
      <c r="G413" s="9">
        <f t="shared" si="43"/>
        <v>0.110683123181431</v>
      </c>
      <c r="H413" s="9">
        <f t="shared" si="44"/>
        <v>0.110187877149829</v>
      </c>
      <c r="I413" s="3" t="str">
        <f t="shared" si="45"/>
        <v>2024-12-01</v>
      </c>
      <c r="J413" s="9">
        <f t="shared" si="46"/>
        <v>0.113539983457724</v>
      </c>
      <c r="K413" s="9">
        <f t="shared" si="47"/>
        <v>0.111579591100683</v>
      </c>
      <c r="L413" s="9">
        <f t="shared" si="48"/>
        <v>0.111514901154618</v>
      </c>
    </row>
    <row r="414" s="3" customFormat="1" spans="1:12">
      <c r="A414" s="4">
        <v>45644</v>
      </c>
      <c r="B414" s="8">
        <v>0.110368344111947</v>
      </c>
      <c r="C414" s="8">
        <v>0.0275658419773667</v>
      </c>
      <c r="D414" s="8">
        <v>0.040886351741016</v>
      </c>
      <c r="E414" s="8">
        <v>0.076</v>
      </c>
      <c r="F414" s="9">
        <f t="shared" si="42"/>
        <v>0.115570621874794</v>
      </c>
      <c r="G414" s="9">
        <f t="shared" si="43"/>
        <v>0.111408817456466</v>
      </c>
      <c r="H414" s="9">
        <f t="shared" si="44"/>
        <v>0.110888580784207</v>
      </c>
      <c r="I414" s="3" t="str">
        <f t="shared" si="45"/>
        <v>2024-12-01</v>
      </c>
      <c r="J414" s="9">
        <f t="shared" si="46"/>
        <v>0.113539983457724</v>
      </c>
      <c r="K414" s="9">
        <f t="shared" si="47"/>
        <v>0.111579591100683</v>
      </c>
      <c r="L414" s="9">
        <f t="shared" si="48"/>
        <v>0.111514901154618</v>
      </c>
    </row>
    <row r="415" s="3" customFormat="1" spans="1:12">
      <c r="A415" s="4">
        <v>45643</v>
      </c>
      <c r="B415" s="8">
        <v>0.107680978792286</v>
      </c>
      <c r="C415" s="8">
        <v>0.030340319105089</v>
      </c>
      <c r="D415" s="8">
        <v>0.0412271647073133</v>
      </c>
      <c r="E415" s="8">
        <v>0.076</v>
      </c>
      <c r="F415" s="9">
        <f t="shared" si="42"/>
        <v>0.113120017487452</v>
      </c>
      <c r="G415" s="9">
        <f t="shared" si="43"/>
        <v>0.108768804546235</v>
      </c>
      <c r="H415" s="9">
        <f t="shared" si="44"/>
        <v>0.10822489166926</v>
      </c>
      <c r="I415" s="3" t="str">
        <f t="shared" si="45"/>
        <v>2024-12-01</v>
      </c>
      <c r="J415" s="9">
        <f t="shared" si="46"/>
        <v>0.113539983457724</v>
      </c>
      <c r="K415" s="9">
        <f t="shared" si="47"/>
        <v>0.111579591100683</v>
      </c>
      <c r="L415" s="9">
        <f t="shared" si="48"/>
        <v>0.111514901154618</v>
      </c>
    </row>
    <row r="416" s="3" customFormat="1" spans="1:12">
      <c r="A416" s="4">
        <v>45639</v>
      </c>
      <c r="B416" s="8">
        <v>0.108002222446214</v>
      </c>
      <c r="C416" s="8">
        <v>0.0292347958588711</v>
      </c>
      <c r="D416" s="8">
        <v>0.0410677068132618</v>
      </c>
      <c r="E416" s="8">
        <v>0.076</v>
      </c>
      <c r="F416" s="9">
        <f t="shared" si="42"/>
        <v>0.113345123068068</v>
      </c>
      <c r="G416" s="9">
        <f t="shared" si="43"/>
        <v>0.10907082048683</v>
      </c>
      <c r="H416" s="9">
        <f t="shared" si="44"/>
        <v>0.108536521466522</v>
      </c>
      <c r="I416" s="3" t="str">
        <f t="shared" si="45"/>
        <v>2024-12-01</v>
      </c>
      <c r="J416" s="9">
        <f t="shared" si="46"/>
        <v>0.113539983457724</v>
      </c>
      <c r="K416" s="9">
        <f t="shared" si="47"/>
        <v>0.111579591100683</v>
      </c>
      <c r="L416" s="9">
        <f t="shared" si="48"/>
        <v>0.111514901154618</v>
      </c>
    </row>
    <row r="417" s="3" customFormat="1" spans="1:12">
      <c r="A417" s="4">
        <v>45638</v>
      </c>
      <c r="B417" s="8">
        <v>0.115296269467224</v>
      </c>
      <c r="C417" s="8">
        <v>0.0225507972249011</v>
      </c>
      <c r="D417" s="8">
        <v>-0.0437672389989469</v>
      </c>
      <c r="E417" s="8">
        <v>0.606</v>
      </c>
      <c r="F417" s="9">
        <f t="shared" si="42"/>
        <v>0.113312022760312</v>
      </c>
      <c r="G417" s="9">
        <f t="shared" si="43"/>
        <v>0.112736933114098</v>
      </c>
      <c r="H417" s="9">
        <f t="shared" si="44"/>
        <v>0.114010556165783</v>
      </c>
      <c r="I417" s="3" t="str">
        <f t="shared" si="45"/>
        <v>2024-12-01</v>
      </c>
      <c r="J417" s="9">
        <f t="shared" si="46"/>
        <v>0.113539983457724</v>
      </c>
      <c r="K417" s="9">
        <f t="shared" si="47"/>
        <v>0.111579591100683</v>
      </c>
      <c r="L417" s="9">
        <f t="shared" si="48"/>
        <v>0.111514901154618</v>
      </c>
    </row>
    <row r="418" s="3" customFormat="1" spans="1:12">
      <c r="A418" s="4">
        <v>45637</v>
      </c>
      <c r="B418" s="8">
        <v>0.11534191403088</v>
      </c>
      <c r="C418" s="8">
        <v>0.0234630488463022</v>
      </c>
      <c r="D418" s="8">
        <v>-0.0414675211439753</v>
      </c>
      <c r="E418" s="8">
        <v>0.366</v>
      </c>
      <c r="F418" s="9">
        <f t="shared" si="42"/>
        <v>0.111879516640423</v>
      </c>
      <c r="G418" s="9">
        <f t="shared" si="43"/>
        <v>0.114024036582919</v>
      </c>
      <c r="H418" s="9">
        <f t="shared" si="44"/>
        <v>0.114682950344843</v>
      </c>
      <c r="I418" s="3" t="str">
        <f t="shared" si="45"/>
        <v>2024-12-01</v>
      </c>
      <c r="J418" s="9">
        <f t="shared" si="46"/>
        <v>0.113539983457724</v>
      </c>
      <c r="K418" s="9">
        <f t="shared" si="47"/>
        <v>0.111579591100683</v>
      </c>
      <c r="L418" s="9">
        <f t="shared" si="48"/>
        <v>0.111514901154618</v>
      </c>
    </row>
    <row r="419" s="3" customFormat="1" spans="1:12">
      <c r="A419" s="4">
        <v>45636</v>
      </c>
      <c r="B419" s="8">
        <v>0.115182629554897</v>
      </c>
      <c r="C419" s="8">
        <v>0.0247532107426198</v>
      </c>
      <c r="D419" s="8">
        <v>-0.0358855688475115</v>
      </c>
      <c r="E419" s="8">
        <v>0.286</v>
      </c>
      <c r="F419" s="9">
        <f t="shared" si="42"/>
        <v>0.113182701866643</v>
      </c>
      <c r="G419" s="9">
        <f t="shared" si="43"/>
        <v>0.114545859604547</v>
      </c>
      <c r="H419" s="9">
        <f t="shared" si="44"/>
        <v>0.114864244113097</v>
      </c>
      <c r="I419" s="3" t="str">
        <f t="shared" si="45"/>
        <v>2024-12-01</v>
      </c>
      <c r="J419" s="9">
        <f t="shared" si="46"/>
        <v>0.113539983457724</v>
      </c>
      <c r="K419" s="9">
        <f t="shared" si="47"/>
        <v>0.111579591100683</v>
      </c>
      <c r="L419" s="9">
        <f t="shared" si="48"/>
        <v>0.111514901154618</v>
      </c>
    </row>
    <row r="420" s="3" customFormat="1" spans="1:12">
      <c r="A420" s="4">
        <v>45635</v>
      </c>
      <c r="B420" s="8">
        <v>0.115269456466404</v>
      </c>
      <c r="C420" s="8">
        <v>0.0229260422849952</v>
      </c>
      <c r="D420" s="8">
        <v>-0.0289694058336803</v>
      </c>
      <c r="E420" s="8">
        <v>0.276</v>
      </c>
      <c r="F420" s="9">
        <f t="shared" si="42"/>
        <v>0.114419426925246</v>
      </c>
      <c r="G420" s="9">
        <f t="shared" si="43"/>
        <v>0.114935863195945</v>
      </c>
      <c r="H420" s="9">
        <f t="shared" si="44"/>
        <v>0.11510265963246</v>
      </c>
      <c r="I420" s="3" t="str">
        <f t="shared" si="45"/>
        <v>2024-12-01</v>
      </c>
      <c r="J420" s="9">
        <f t="shared" si="46"/>
        <v>0.113539983457724</v>
      </c>
      <c r="K420" s="9">
        <f t="shared" si="47"/>
        <v>0.111579591100683</v>
      </c>
      <c r="L420" s="9">
        <f t="shared" si="48"/>
        <v>0.111514901154618</v>
      </c>
    </row>
    <row r="421" s="3" customFormat="1" spans="1:12">
      <c r="A421" s="4">
        <v>45632</v>
      </c>
      <c r="B421" s="8">
        <v>0.115773083977913</v>
      </c>
      <c r="C421" s="8">
        <v>0.0202427199395305</v>
      </c>
      <c r="D421" s="8">
        <v>-0.0227462052488401</v>
      </c>
      <c r="E421" s="8">
        <v>0.296</v>
      </c>
      <c r="F421" s="9">
        <f t="shared" si="42"/>
        <v>0.115833030792984</v>
      </c>
      <c r="G421" s="9">
        <f t="shared" si="43"/>
        <v>0.115624878703627</v>
      </c>
      <c r="H421" s="9">
        <f t="shared" si="44"/>
        <v>0.115698980812757</v>
      </c>
      <c r="I421" s="3" t="str">
        <f t="shared" si="45"/>
        <v>2024-12-01</v>
      </c>
      <c r="J421" s="9">
        <f t="shared" si="46"/>
        <v>0.113539983457724</v>
      </c>
      <c r="K421" s="9">
        <f t="shared" si="47"/>
        <v>0.111579591100683</v>
      </c>
      <c r="L421" s="9">
        <f t="shared" si="48"/>
        <v>0.111514901154618</v>
      </c>
    </row>
    <row r="422" s="3" customFormat="1" spans="1:12">
      <c r="A422" s="4">
        <v>45631</v>
      </c>
      <c r="B422" s="8">
        <v>0.117282621042336</v>
      </c>
      <c r="C422" s="8">
        <v>0.0191695020931644</v>
      </c>
      <c r="D422" s="8">
        <v>-0.0427036587691509</v>
      </c>
      <c r="E422" s="8">
        <v>0.126</v>
      </c>
      <c r="F422" s="9">
        <f t="shared" si="42"/>
        <v>0.114333641788192</v>
      </c>
      <c r="G422" s="9">
        <f t="shared" si="43"/>
        <v>0.116689560294101</v>
      </c>
      <c r="H422" s="9">
        <f t="shared" si="44"/>
        <v>0.116986090668219</v>
      </c>
      <c r="I422" s="3" t="str">
        <f t="shared" si="45"/>
        <v>2024-12-01</v>
      </c>
      <c r="J422" s="9">
        <f t="shared" si="46"/>
        <v>0.113539983457724</v>
      </c>
      <c r="K422" s="9">
        <f t="shared" si="47"/>
        <v>0.111579591100683</v>
      </c>
      <c r="L422" s="9">
        <f t="shared" si="48"/>
        <v>0.111514901154618</v>
      </c>
    </row>
    <row r="423" s="3" customFormat="1" spans="1:12">
      <c r="A423" s="4">
        <v>45630</v>
      </c>
      <c r="B423" s="8">
        <v>0.116445252126728</v>
      </c>
      <c r="C423" s="8">
        <v>0.0214018145653971</v>
      </c>
      <c r="D423" s="8">
        <v>-0.00428519917389325</v>
      </c>
      <c r="E423" s="8">
        <v>0.076</v>
      </c>
      <c r="F423" s="9">
        <f t="shared" si="42"/>
        <v>0.117746120656803</v>
      </c>
      <c r="G423" s="9">
        <f t="shared" si="43"/>
        <v>0.116705424680679</v>
      </c>
      <c r="H423" s="9">
        <f t="shared" si="44"/>
        <v>0.116575338403703</v>
      </c>
      <c r="I423" s="3" t="str">
        <f t="shared" si="45"/>
        <v>2024-12-01</v>
      </c>
      <c r="J423" s="9">
        <f t="shared" si="46"/>
        <v>0.113539983457724</v>
      </c>
      <c r="K423" s="9">
        <f t="shared" si="47"/>
        <v>0.111579591100683</v>
      </c>
      <c r="L423" s="9">
        <f t="shared" si="48"/>
        <v>0.111514901154618</v>
      </c>
    </row>
    <row r="424" s="3" customFormat="1" spans="1:12">
      <c r="A424" s="4">
        <v>45629</v>
      </c>
      <c r="B424" s="8">
        <v>0.115006068605236</v>
      </c>
      <c r="C424" s="8">
        <v>0.0238859302613822</v>
      </c>
      <c r="D424" s="8">
        <v>-0.0264261258119734</v>
      </c>
      <c r="E424" s="8">
        <v>0.406</v>
      </c>
      <c r="F424" s="9">
        <f t="shared" si="42"/>
        <v>0.116313421036236</v>
      </c>
      <c r="G424" s="9">
        <f t="shared" si="43"/>
        <v>0.114799924113222</v>
      </c>
      <c r="H424" s="9">
        <f t="shared" si="44"/>
        <v>0.114902936666415</v>
      </c>
      <c r="I424" s="3" t="str">
        <f t="shared" si="45"/>
        <v>2024-12-01</v>
      </c>
      <c r="J424" s="9">
        <f t="shared" si="46"/>
        <v>0.113539983457724</v>
      </c>
      <c r="K424" s="9">
        <f t="shared" si="47"/>
        <v>0.111579591100683</v>
      </c>
      <c r="L424" s="9">
        <f t="shared" si="48"/>
        <v>0.111514901154618</v>
      </c>
    </row>
    <row r="425" s="3" customFormat="1" spans="1:12">
      <c r="A425" s="4">
        <v>45628</v>
      </c>
      <c r="B425" s="8">
        <v>0.112857617208418</v>
      </c>
      <c r="C425" s="8">
        <v>0.0265564385742605</v>
      </c>
      <c r="D425" s="8">
        <v>-0.00255348726393715</v>
      </c>
      <c r="E425" s="8">
        <v>0.076</v>
      </c>
      <c r="F425" s="9">
        <f t="shared" si="42"/>
        <v>0.114681842915615</v>
      </c>
      <c r="G425" s="9">
        <f t="shared" si="43"/>
        <v>0.113222462068335</v>
      </c>
      <c r="H425" s="9">
        <f t="shared" si="44"/>
        <v>0.113040039638376</v>
      </c>
      <c r="I425" s="3" t="str">
        <f t="shared" si="45"/>
        <v>2024-12-01</v>
      </c>
      <c r="J425" s="9">
        <f t="shared" si="46"/>
        <v>0.113539983457724</v>
      </c>
      <c r="K425" s="9">
        <f t="shared" si="47"/>
        <v>0.111579591100683</v>
      </c>
      <c r="L425" s="9">
        <f t="shared" si="48"/>
        <v>0.111514901154618</v>
      </c>
    </row>
    <row r="426" s="3" customFormat="1" spans="1:12">
      <c r="A426" s="4">
        <v>45625</v>
      </c>
      <c r="B426" s="8">
        <v>0.114016663428122</v>
      </c>
      <c r="C426" s="8">
        <v>0.0171870221872227</v>
      </c>
      <c r="D426" s="8">
        <v>-0.00106558494309831</v>
      </c>
      <c r="E426" s="8">
        <v>0.076</v>
      </c>
      <c r="F426" s="9">
        <f t="shared" si="42"/>
        <v>0.115241892350532</v>
      </c>
      <c r="G426" s="9">
        <f t="shared" si="43"/>
        <v>0.114261709274233</v>
      </c>
      <c r="H426" s="9">
        <f t="shared" si="44"/>
        <v>0.114139186351177</v>
      </c>
      <c r="I426" s="3" t="str">
        <f t="shared" si="45"/>
        <v>2024-11-01</v>
      </c>
      <c r="J426" s="9">
        <f t="shared" si="46"/>
        <v>0.117206545952491</v>
      </c>
      <c r="K426" s="9">
        <f t="shared" si="47"/>
        <v>0.114016633831034</v>
      </c>
      <c r="L426" s="9">
        <f t="shared" si="48"/>
        <v>0.113402202141568</v>
      </c>
    </row>
    <row r="427" s="3" customFormat="1" spans="1:12">
      <c r="A427" s="4">
        <v>45624</v>
      </c>
      <c r="B427" s="8">
        <v>0.114642830406541</v>
      </c>
      <c r="C427" s="8">
        <v>0.0138383312419987</v>
      </c>
      <c r="D427" s="8">
        <v>0.000202003783663131</v>
      </c>
      <c r="E427" s="8">
        <v>0.086</v>
      </c>
      <c r="F427" s="9">
        <f t="shared" si="42"/>
        <v>0.115850286654954</v>
      </c>
      <c r="G427" s="9">
        <f t="shared" si="43"/>
        <v>0.114884324168982</v>
      </c>
      <c r="H427" s="9">
        <f t="shared" si="44"/>
        <v>0.114763577287762</v>
      </c>
      <c r="I427" s="3" t="str">
        <f t="shared" si="45"/>
        <v>2024-11-01</v>
      </c>
      <c r="J427" s="9">
        <f t="shared" si="46"/>
        <v>0.117206545952491</v>
      </c>
      <c r="K427" s="9">
        <f t="shared" si="47"/>
        <v>0.114016633831034</v>
      </c>
      <c r="L427" s="9">
        <f t="shared" si="48"/>
        <v>0.113402202141568</v>
      </c>
    </row>
    <row r="428" s="3" customFormat="1" spans="1:12">
      <c r="A428" s="4">
        <v>45623</v>
      </c>
      <c r="B428" s="8">
        <v>0.114101006543538</v>
      </c>
      <c r="C428" s="8">
        <v>0.0142042536093857</v>
      </c>
      <c r="D428" s="8">
        <v>0.0126678989796725</v>
      </c>
      <c r="E428" s="8">
        <v>0.076</v>
      </c>
      <c r="F428" s="9">
        <f t="shared" si="42"/>
        <v>0.116143261746934</v>
      </c>
      <c r="G428" s="9">
        <f t="shared" si="43"/>
        <v>0.114509463262892</v>
      </c>
      <c r="H428" s="9">
        <f t="shared" si="44"/>
        <v>0.114305234903215</v>
      </c>
      <c r="I428" s="3" t="str">
        <f t="shared" si="45"/>
        <v>2024-11-01</v>
      </c>
      <c r="J428" s="9">
        <f t="shared" si="46"/>
        <v>0.117206545952491</v>
      </c>
      <c r="K428" s="9">
        <f t="shared" si="47"/>
        <v>0.114016633831034</v>
      </c>
      <c r="L428" s="9">
        <f t="shared" si="48"/>
        <v>0.113402202141568</v>
      </c>
    </row>
    <row r="429" s="3" customFormat="1" spans="1:12">
      <c r="A429" s="4">
        <v>45622</v>
      </c>
      <c r="B429" s="8">
        <v>0.114274246458592</v>
      </c>
      <c r="C429" s="8">
        <v>0.0142069151899484</v>
      </c>
      <c r="D429" s="8">
        <v>0.0106921235602129</v>
      </c>
      <c r="E429" s="8">
        <v>0.076</v>
      </c>
      <c r="F429" s="9">
        <f t="shared" si="42"/>
        <v>0.116166549113287</v>
      </c>
      <c r="G429" s="9">
        <f t="shared" si="43"/>
        <v>0.114652711847594</v>
      </c>
      <c r="H429" s="9">
        <f t="shared" si="44"/>
        <v>0.114463479153093</v>
      </c>
      <c r="I429" s="3" t="str">
        <f t="shared" si="45"/>
        <v>2024-11-01</v>
      </c>
      <c r="J429" s="9">
        <f t="shared" si="46"/>
        <v>0.117206545952491</v>
      </c>
      <c r="K429" s="9">
        <f t="shared" si="47"/>
        <v>0.114016633831034</v>
      </c>
      <c r="L429" s="9">
        <f t="shared" si="48"/>
        <v>0.113402202141568</v>
      </c>
    </row>
    <row r="430" s="3" customFormat="1" spans="1:12">
      <c r="A430" s="4">
        <v>45621</v>
      </c>
      <c r="B430" s="8">
        <v>0.115985655433843</v>
      </c>
      <c r="C430" s="8">
        <v>0.0131109179005666</v>
      </c>
      <c r="D430" s="8">
        <v>-0.01522053211675</v>
      </c>
      <c r="E430" s="8">
        <v>0.256</v>
      </c>
      <c r="F430" s="9">
        <f t="shared" si="42"/>
        <v>0.11576263104419</v>
      </c>
      <c r="G430" s="9">
        <f t="shared" si="43"/>
        <v>0.115877643236462</v>
      </c>
      <c r="H430" s="9">
        <f t="shared" si="44"/>
        <v>0.115931649309909</v>
      </c>
      <c r="I430" s="3" t="str">
        <f t="shared" si="45"/>
        <v>2024-11-01</v>
      </c>
      <c r="J430" s="9">
        <f t="shared" si="46"/>
        <v>0.117206545952491</v>
      </c>
      <c r="K430" s="9">
        <f t="shared" si="47"/>
        <v>0.114016633831034</v>
      </c>
      <c r="L430" s="9">
        <f t="shared" si="48"/>
        <v>0.113402202141568</v>
      </c>
    </row>
    <row r="431" s="3" customFormat="1" spans="1:12">
      <c r="A431" s="4">
        <v>45618</v>
      </c>
      <c r="B431" s="8">
        <v>0.114438259923088</v>
      </c>
      <c r="C431" s="8">
        <v>0.0145704206404453</v>
      </c>
      <c r="D431" s="8">
        <v>0.00822235552773011</v>
      </c>
      <c r="E431" s="8">
        <v>0.076</v>
      </c>
      <c r="F431" s="9">
        <f t="shared" si="42"/>
        <v>0.116170491697638</v>
      </c>
      <c r="G431" s="9">
        <f t="shared" si="43"/>
        <v>0.114784710120844</v>
      </c>
      <c r="H431" s="9">
        <f t="shared" si="44"/>
        <v>0.114611485021966</v>
      </c>
      <c r="I431" s="3" t="str">
        <f t="shared" si="45"/>
        <v>2024-11-01</v>
      </c>
      <c r="J431" s="9">
        <f t="shared" si="46"/>
        <v>0.117206545952491</v>
      </c>
      <c r="K431" s="9">
        <f t="shared" si="47"/>
        <v>0.114016633831034</v>
      </c>
      <c r="L431" s="9">
        <f t="shared" si="48"/>
        <v>0.113402202141568</v>
      </c>
    </row>
    <row r="432" s="3" customFormat="1" spans="1:12">
      <c r="A432" s="4">
        <v>45617</v>
      </c>
      <c r="B432" s="8">
        <v>0.11436637832697</v>
      </c>
      <c r="C432" s="8">
        <v>0.0132349662667518</v>
      </c>
      <c r="D432" s="8">
        <v>0.0145790611052063</v>
      </c>
      <c r="E432" s="8">
        <v>0.076</v>
      </c>
      <c r="F432" s="9">
        <f t="shared" si="42"/>
        <v>0.116480212186802</v>
      </c>
      <c r="G432" s="9">
        <f t="shared" si="43"/>
        <v>0.114789151543024</v>
      </c>
      <c r="H432" s="9">
        <f t="shared" si="44"/>
        <v>0.114577764934997</v>
      </c>
      <c r="I432" s="3" t="str">
        <f t="shared" si="45"/>
        <v>2024-11-01</v>
      </c>
      <c r="J432" s="9">
        <f t="shared" si="46"/>
        <v>0.117206545952491</v>
      </c>
      <c r="K432" s="9">
        <f t="shared" si="47"/>
        <v>0.114016633831034</v>
      </c>
      <c r="L432" s="9">
        <f t="shared" si="48"/>
        <v>0.113402202141568</v>
      </c>
    </row>
    <row r="433" s="3" customFormat="1" spans="1:12">
      <c r="A433" s="4">
        <v>45616</v>
      </c>
      <c r="B433" s="8">
        <v>0.115010233380011</v>
      </c>
      <c r="C433" s="8">
        <v>0.0123270150811839</v>
      </c>
      <c r="D433" s="8">
        <v>0.0138379225906669</v>
      </c>
      <c r="E433" s="8">
        <v>0.076</v>
      </c>
      <c r="F433" s="9">
        <f t="shared" si="42"/>
        <v>0.116998738095081</v>
      </c>
      <c r="G433" s="9">
        <f t="shared" si="43"/>
        <v>0.115407940432623</v>
      </c>
      <c r="H433" s="9">
        <f t="shared" si="44"/>
        <v>0.115209086906317</v>
      </c>
      <c r="I433" s="3" t="str">
        <f t="shared" si="45"/>
        <v>2024-11-01</v>
      </c>
      <c r="J433" s="9">
        <f t="shared" si="46"/>
        <v>0.117206545952491</v>
      </c>
      <c r="K433" s="9">
        <f t="shared" si="47"/>
        <v>0.114016633831034</v>
      </c>
      <c r="L433" s="9">
        <f t="shared" si="48"/>
        <v>0.113402202141568</v>
      </c>
    </row>
    <row r="434" s="3" customFormat="1" spans="1:12">
      <c r="A434" s="4">
        <v>45615</v>
      </c>
      <c r="B434" s="8">
        <v>0.113397172190697</v>
      </c>
      <c r="C434" s="8">
        <v>0.0145561921197577</v>
      </c>
      <c r="D434" s="8">
        <v>0.0238218971440696</v>
      </c>
      <c r="E434" s="8">
        <v>0.076</v>
      </c>
      <c r="F434" s="9">
        <f t="shared" si="42"/>
        <v>0.116313855364243</v>
      </c>
      <c r="G434" s="9">
        <f t="shared" si="43"/>
        <v>0.113980519147507</v>
      </c>
      <c r="H434" s="9">
        <f t="shared" si="44"/>
        <v>0.113688845669102</v>
      </c>
      <c r="I434" s="3" t="str">
        <f t="shared" si="45"/>
        <v>2024-11-01</v>
      </c>
      <c r="J434" s="9">
        <f t="shared" si="46"/>
        <v>0.117206545952491</v>
      </c>
      <c r="K434" s="9">
        <f t="shared" si="47"/>
        <v>0.114016633831034</v>
      </c>
      <c r="L434" s="9">
        <f t="shared" si="48"/>
        <v>0.113402202141568</v>
      </c>
    </row>
    <row r="435" s="3" customFormat="1" spans="1:12">
      <c r="A435" s="4">
        <v>45614</v>
      </c>
      <c r="B435" s="8">
        <v>0.108529417400719</v>
      </c>
      <c r="C435" s="8">
        <v>0.0194239469097416</v>
      </c>
      <c r="D435" s="8">
        <v>0.00128718394407752</v>
      </c>
      <c r="E435" s="8">
        <v>1</v>
      </c>
      <c r="F435" s="9">
        <f t="shared" si="42"/>
        <v>0.121147820499974</v>
      </c>
      <c r="G435" s="9">
        <f t="shared" si="43"/>
        <v>0.112635060493893</v>
      </c>
      <c r="H435" s="9">
        <f t="shared" si="44"/>
        <v>0.110600378019652</v>
      </c>
      <c r="I435" s="3" t="str">
        <f t="shared" si="45"/>
        <v>2024-11-01</v>
      </c>
      <c r="J435" s="9">
        <f t="shared" si="46"/>
        <v>0.117206545952491</v>
      </c>
      <c r="K435" s="9">
        <f t="shared" si="47"/>
        <v>0.114016633831034</v>
      </c>
      <c r="L435" s="9">
        <f t="shared" si="48"/>
        <v>0.113402202141568</v>
      </c>
    </row>
    <row r="436" s="3" customFormat="1" spans="1:12">
      <c r="A436" s="4">
        <v>45611</v>
      </c>
      <c r="B436" s="8">
        <v>0.107930985350854</v>
      </c>
      <c r="C436" s="8">
        <v>0.0201983423596736</v>
      </c>
      <c r="D436" s="8">
        <v>0.00249956634179733</v>
      </c>
      <c r="E436" s="8">
        <v>1</v>
      </c>
      <c r="F436" s="9">
        <f t="shared" si="42"/>
        <v>0.121359261014476</v>
      </c>
      <c r="G436" s="9">
        <f t="shared" si="43"/>
        <v>0.112423137684452</v>
      </c>
      <c r="H436" s="9">
        <f t="shared" si="44"/>
        <v>0.110200559692519</v>
      </c>
      <c r="I436" s="3" t="str">
        <f t="shared" si="45"/>
        <v>2024-11-01</v>
      </c>
      <c r="J436" s="9">
        <f t="shared" si="46"/>
        <v>0.117206545952491</v>
      </c>
      <c r="K436" s="9">
        <f t="shared" si="47"/>
        <v>0.114016633831034</v>
      </c>
      <c r="L436" s="9">
        <f t="shared" si="48"/>
        <v>0.113402202141568</v>
      </c>
    </row>
    <row r="437" s="3" customFormat="1" spans="1:12">
      <c r="A437" s="4">
        <v>45610</v>
      </c>
      <c r="B437" s="8">
        <v>0.110428869669713</v>
      </c>
      <c r="C437" s="8">
        <v>0.0190191975171737</v>
      </c>
      <c r="D437" s="8">
        <v>2.62636068956629e-5</v>
      </c>
      <c r="E437" s="8">
        <v>0.616</v>
      </c>
      <c r="F437" s="9">
        <f t="shared" si="42"/>
        <v>0.119841771818197</v>
      </c>
      <c r="G437" s="9">
        <f t="shared" si="43"/>
        <v>0.112774562340781</v>
      </c>
      <c r="H437" s="9">
        <f t="shared" si="44"/>
        <v>0.111602069968111</v>
      </c>
      <c r="I437" s="3" t="str">
        <f t="shared" si="45"/>
        <v>2024-11-01</v>
      </c>
      <c r="J437" s="9">
        <f t="shared" si="46"/>
        <v>0.117206545952491</v>
      </c>
      <c r="K437" s="9">
        <f t="shared" si="47"/>
        <v>0.114016633831034</v>
      </c>
      <c r="L437" s="9">
        <f t="shared" si="48"/>
        <v>0.113402202141568</v>
      </c>
    </row>
    <row r="438" s="3" customFormat="1" spans="1:12">
      <c r="A438" s="4">
        <v>45609</v>
      </c>
      <c r="B438" s="8">
        <v>0.113950708673716</v>
      </c>
      <c r="C438" s="8">
        <v>0.015409496631991</v>
      </c>
      <c r="D438" s="8">
        <v>0.000488839762683751</v>
      </c>
      <c r="E438" s="8">
        <v>0.096</v>
      </c>
      <c r="F438" s="9">
        <f t="shared" si="42"/>
        <v>0.11547688865731</v>
      </c>
      <c r="G438" s="9">
        <f t="shared" si="43"/>
        <v>0.114255956732494</v>
      </c>
      <c r="H438" s="9">
        <f t="shared" si="44"/>
        <v>0.114103332703105</v>
      </c>
      <c r="I438" s="3" t="str">
        <f t="shared" si="45"/>
        <v>2024-11-01</v>
      </c>
      <c r="J438" s="9">
        <f t="shared" si="46"/>
        <v>0.117206545952491</v>
      </c>
      <c r="K438" s="9">
        <f t="shared" si="47"/>
        <v>0.114016633831034</v>
      </c>
      <c r="L438" s="9">
        <f t="shared" si="48"/>
        <v>0.113402202141568</v>
      </c>
    </row>
    <row r="439" s="3" customFormat="1" spans="1:12">
      <c r="A439" s="4">
        <v>45608</v>
      </c>
      <c r="B439" s="8">
        <v>0.114111559699368</v>
      </c>
      <c r="C439" s="8">
        <v>0.0145454725088934</v>
      </c>
      <c r="D439" s="8">
        <v>-1.67912713565064e-5</v>
      </c>
      <c r="E439" s="8">
        <v>0.086</v>
      </c>
      <c r="F439" s="9">
        <f t="shared" si="42"/>
        <v>0.115361015297943</v>
      </c>
      <c r="G439" s="9">
        <f t="shared" si="43"/>
        <v>0.114361453016654</v>
      </c>
      <c r="H439" s="9">
        <f t="shared" si="44"/>
        <v>0.114236506358011</v>
      </c>
      <c r="I439" s="3" t="str">
        <f t="shared" si="45"/>
        <v>2024-11-01</v>
      </c>
      <c r="J439" s="9">
        <f t="shared" si="46"/>
        <v>0.117206545952491</v>
      </c>
      <c r="K439" s="9">
        <f t="shared" si="47"/>
        <v>0.114016633831034</v>
      </c>
      <c r="L439" s="9">
        <f t="shared" si="48"/>
        <v>0.113402202141568</v>
      </c>
    </row>
    <row r="440" s="3" customFormat="1" spans="1:12">
      <c r="A440" s="4">
        <v>45607</v>
      </c>
      <c r="B440" s="8">
        <v>0.114038663398442</v>
      </c>
      <c r="C440" s="8">
        <v>0.0134746569005173</v>
      </c>
      <c r="D440" s="8">
        <v>0.000483200729489034</v>
      </c>
      <c r="E440" s="8">
        <v>0.096</v>
      </c>
      <c r="F440" s="9">
        <f t="shared" si="42"/>
        <v>0.115378563164843</v>
      </c>
      <c r="G440" s="9">
        <f t="shared" si="43"/>
        <v>0.114306654264938</v>
      </c>
      <c r="H440" s="9">
        <f t="shared" si="44"/>
        <v>0.11417265883169</v>
      </c>
      <c r="I440" s="3" t="str">
        <f t="shared" si="45"/>
        <v>2024-11-01</v>
      </c>
      <c r="J440" s="9">
        <f t="shared" si="46"/>
        <v>0.117206545952491</v>
      </c>
      <c r="K440" s="9">
        <f t="shared" si="47"/>
        <v>0.114016633831034</v>
      </c>
      <c r="L440" s="9">
        <f t="shared" si="48"/>
        <v>0.113402202141568</v>
      </c>
    </row>
    <row r="441" s="3" customFormat="1" spans="1:12">
      <c r="A441" s="4">
        <v>45604</v>
      </c>
      <c r="B441" s="8">
        <v>0.11425366248142</v>
      </c>
      <c r="C441" s="8">
        <v>0.0137876873994644</v>
      </c>
      <c r="D441" s="8">
        <v>0.0001636311161238</v>
      </c>
      <c r="E441" s="8">
        <v>0.086</v>
      </c>
      <c r="F441" s="9">
        <f t="shared" si="42"/>
        <v>0.115453463720253</v>
      </c>
      <c r="G441" s="9">
        <f t="shared" si="43"/>
        <v>0.114493625159888</v>
      </c>
      <c r="H441" s="9">
        <f t="shared" si="44"/>
        <v>0.114373643820654</v>
      </c>
      <c r="I441" s="3" t="str">
        <f t="shared" si="45"/>
        <v>2024-11-01</v>
      </c>
      <c r="J441" s="9">
        <f t="shared" si="46"/>
        <v>0.117206545952491</v>
      </c>
      <c r="K441" s="9">
        <f t="shared" si="47"/>
        <v>0.114016633831034</v>
      </c>
      <c r="L441" s="9">
        <f t="shared" si="48"/>
        <v>0.113402202141568</v>
      </c>
    </row>
    <row r="442" s="4" customFormat="1" ht="12" customHeight="1" spans="1:12">
      <c r="A442" s="4">
        <v>45603</v>
      </c>
      <c r="B442" s="8">
        <v>0.11343738165464</v>
      </c>
      <c r="C442" s="8">
        <v>0.0154833984121994</v>
      </c>
      <c r="D442" s="8">
        <v>0.000127233124535881</v>
      </c>
      <c r="E442" s="8">
        <v>0.116</v>
      </c>
      <c r="F442" s="9">
        <f t="shared" si="42"/>
        <v>0.115247865410068</v>
      </c>
      <c r="G442" s="9">
        <f t="shared" si="43"/>
        <v>0.113799548306292</v>
      </c>
      <c r="H442" s="9">
        <f t="shared" si="44"/>
        <v>0.113618464980466</v>
      </c>
      <c r="I442" s="3" t="str">
        <f t="shared" si="45"/>
        <v>2024-11-01</v>
      </c>
      <c r="J442" s="9">
        <f t="shared" si="46"/>
        <v>0.117206545952491</v>
      </c>
      <c r="K442" s="9">
        <f t="shared" si="47"/>
        <v>0.114016633831034</v>
      </c>
      <c r="L442" s="9">
        <f t="shared" si="48"/>
        <v>0.113402202141568</v>
      </c>
    </row>
    <row r="443" s="4" customFormat="1" ht="12" customHeight="1" spans="1:12">
      <c r="A443" s="4">
        <v>45602</v>
      </c>
      <c r="B443" s="8">
        <v>0.113433102493151</v>
      </c>
      <c r="C443" s="8">
        <v>0.0146082473877335</v>
      </c>
      <c r="D443" s="8">
        <v>2.70624654198034e-5</v>
      </c>
      <c r="E443" s="8">
        <v>0.126</v>
      </c>
      <c r="F443" s="9">
        <f t="shared" si="42"/>
        <v>0.115276482701072</v>
      </c>
      <c r="G443" s="9">
        <f t="shared" si="43"/>
        <v>0.11380191230145</v>
      </c>
      <c r="H443" s="9">
        <f t="shared" si="44"/>
        <v>0.113617507397301</v>
      </c>
      <c r="I443" s="3" t="str">
        <f t="shared" si="45"/>
        <v>2024-11-01</v>
      </c>
      <c r="J443" s="9">
        <f t="shared" si="46"/>
        <v>0.117206545952491</v>
      </c>
      <c r="K443" s="9">
        <f t="shared" si="47"/>
        <v>0.114016633831034</v>
      </c>
      <c r="L443" s="9">
        <f t="shared" si="48"/>
        <v>0.113402202141568</v>
      </c>
    </row>
    <row r="444" s="4" customFormat="1" ht="12" customHeight="1" spans="1:12">
      <c r="A444" s="4">
        <v>45601</v>
      </c>
      <c r="B444" s="8">
        <v>0.110282613101963</v>
      </c>
      <c r="C444" s="8">
        <v>0.0174947568398632</v>
      </c>
      <c r="D444" s="8">
        <v>-2.82171722610534e-5</v>
      </c>
      <c r="E444" s="8">
        <v>0.746</v>
      </c>
      <c r="F444" s="9">
        <f t="shared" si="42"/>
        <v>0.119909823583299</v>
      </c>
      <c r="G444" s="9">
        <f t="shared" si="43"/>
        <v>0.112885455434186</v>
      </c>
      <c r="H444" s="9">
        <f t="shared" si="44"/>
        <v>0.111585615038979</v>
      </c>
      <c r="I444" s="3" t="str">
        <f t="shared" si="45"/>
        <v>2024-11-01</v>
      </c>
      <c r="J444" s="9">
        <f t="shared" si="46"/>
        <v>0.117206545952491</v>
      </c>
      <c r="K444" s="9">
        <f t="shared" si="47"/>
        <v>0.114016633831034</v>
      </c>
      <c r="L444" s="9">
        <f t="shared" si="48"/>
        <v>0.113402202141568</v>
      </c>
    </row>
    <row r="445" s="4" customFormat="1" ht="12" customHeight="1" spans="1:12">
      <c r="A445" s="4">
        <v>45600</v>
      </c>
      <c r="B445" s="8">
        <v>0.110168947138495</v>
      </c>
      <c r="C445" s="8">
        <v>0.0175204140023948</v>
      </c>
      <c r="D445" s="8">
        <v>6.31564077346445e-5</v>
      </c>
      <c r="E445" s="8">
        <v>0.726</v>
      </c>
      <c r="F445" s="9">
        <f t="shared" si="42"/>
        <v>0.119698792702823</v>
      </c>
      <c r="G445" s="9">
        <f t="shared" si="43"/>
        <v>0.112719410541734</v>
      </c>
      <c r="H445" s="9">
        <f t="shared" si="44"/>
        <v>0.11144551295391</v>
      </c>
      <c r="I445" s="3" t="str">
        <f t="shared" si="45"/>
        <v>2024-11-01</v>
      </c>
      <c r="J445" s="9">
        <f t="shared" si="46"/>
        <v>0.117206545952491</v>
      </c>
      <c r="K445" s="9">
        <f t="shared" si="47"/>
        <v>0.114016633831034</v>
      </c>
      <c r="L445" s="9">
        <f t="shared" si="48"/>
        <v>0.113402202141568</v>
      </c>
    </row>
    <row r="446" s="4" customFormat="1" ht="12" customHeight="1" spans="1:12">
      <c r="A446" s="4">
        <v>45597</v>
      </c>
      <c r="B446" s="8">
        <v>0.107582563266242</v>
      </c>
      <c r="C446" s="8">
        <v>0.0205467644442863</v>
      </c>
      <c r="D446" s="8">
        <v>0.00562820314527185</v>
      </c>
      <c r="E446" s="8">
        <v>1</v>
      </c>
      <c r="F446" s="9">
        <f t="shared" si="42"/>
        <v>0.122057798178391</v>
      </c>
      <c r="G446" s="9">
        <f t="shared" si="43"/>
        <v>0.112744361140796</v>
      </c>
      <c r="H446" s="9">
        <f t="shared" si="44"/>
        <v>0.110199685671001</v>
      </c>
      <c r="I446" s="3" t="str">
        <f t="shared" si="45"/>
        <v>2024-11-01</v>
      </c>
      <c r="J446" s="9">
        <f t="shared" si="46"/>
        <v>0.117206545952491</v>
      </c>
      <c r="K446" s="9">
        <f t="shared" si="47"/>
        <v>0.114016633831034</v>
      </c>
      <c r="L446" s="9">
        <f t="shared" si="48"/>
        <v>0.113402202141568</v>
      </c>
    </row>
    <row r="447" s="4" customFormat="1" ht="12" customHeight="1" spans="1:12">
      <c r="A447" s="4">
        <v>45596</v>
      </c>
      <c r="B447" s="8">
        <v>0.106524386324988</v>
      </c>
      <c r="C447" s="8">
        <v>0.0208128621362069</v>
      </c>
      <c r="D447" s="8">
        <v>0.0209654556180077</v>
      </c>
      <c r="E447" s="8">
        <v>1</v>
      </c>
      <c r="F447" s="9">
        <f t="shared" si="42"/>
        <v>0.125220559794042</v>
      </c>
      <c r="G447" s="9">
        <f t="shared" si="43"/>
        <v>0.114682485728917</v>
      </c>
      <c r="H447" s="9">
        <f t="shared" si="44"/>
        <v>0.110701076596928</v>
      </c>
      <c r="I447" s="3" t="str">
        <f t="shared" si="45"/>
        <v>2024-10-01</v>
      </c>
      <c r="J447" s="9">
        <f t="shared" si="46"/>
        <v>0.120952680001657</v>
      </c>
      <c r="K447" s="9">
        <f t="shared" si="47"/>
        <v>0.116283529622904</v>
      </c>
      <c r="L447" s="9">
        <f t="shared" si="48"/>
        <v>0.11505750965945</v>
      </c>
    </row>
    <row r="448" s="4" customFormat="1" ht="12" customHeight="1" spans="1:12">
      <c r="A448" s="4">
        <v>45595</v>
      </c>
      <c r="B448" s="8">
        <v>0.107902268739162</v>
      </c>
      <c r="C448" s="8">
        <v>0.018730382194204</v>
      </c>
      <c r="D448" s="8">
        <v>0.0195592434470953</v>
      </c>
      <c r="E448" s="8">
        <v>1</v>
      </c>
      <c r="F448" s="9">
        <f t="shared" si="42"/>
        <v>0.124910484747823</v>
      </c>
      <c r="G448" s="9">
        <f t="shared" si="43"/>
        <v>0.115376806028096</v>
      </c>
      <c r="H448" s="9">
        <f t="shared" si="44"/>
        <v>0.111730169480382</v>
      </c>
      <c r="I448" s="3" t="str">
        <f t="shared" si="45"/>
        <v>2024-10-01</v>
      </c>
      <c r="J448" s="9">
        <f t="shared" si="46"/>
        <v>0.120952680001657</v>
      </c>
      <c r="K448" s="9">
        <f t="shared" si="47"/>
        <v>0.116283529622904</v>
      </c>
      <c r="L448" s="9">
        <f t="shared" si="48"/>
        <v>0.11505750965945</v>
      </c>
    </row>
    <row r="449" s="4" customFormat="1" ht="12" customHeight="1" spans="1:12">
      <c r="A449" s="4">
        <v>45594</v>
      </c>
      <c r="B449" s="8">
        <v>0.108296872656598</v>
      </c>
      <c r="C449" s="8">
        <v>0.0207118079069362</v>
      </c>
      <c r="D449" s="8">
        <v>0.0148397584931001</v>
      </c>
      <c r="E449" s="8">
        <v>1</v>
      </c>
      <c r="F449" s="9">
        <f t="shared" si="42"/>
        <v>0.125310506615059</v>
      </c>
      <c r="G449" s="9">
        <f t="shared" si="43"/>
        <v>0.115259287516372</v>
      </c>
      <c r="H449" s="9">
        <f t="shared" si="44"/>
        <v>0.111851194168747</v>
      </c>
      <c r="I449" s="3" t="str">
        <f t="shared" si="45"/>
        <v>2024-10-01</v>
      </c>
      <c r="J449" s="9">
        <f t="shared" si="46"/>
        <v>0.120952680001657</v>
      </c>
      <c r="K449" s="9">
        <f t="shared" si="47"/>
        <v>0.116283529622904</v>
      </c>
      <c r="L449" s="9">
        <f t="shared" si="48"/>
        <v>0.11505750965945</v>
      </c>
    </row>
    <row r="450" s="4" customFormat="1" ht="12" customHeight="1" spans="1:12">
      <c r="A450" s="4">
        <v>45593</v>
      </c>
      <c r="B450" s="8">
        <v>0.110667713665744</v>
      </c>
      <c r="C450" s="8">
        <v>0.018692491639963</v>
      </c>
      <c r="D450" s="8">
        <v>0.00973753509308531</v>
      </c>
      <c r="E450" s="8">
        <v>1</v>
      </c>
      <c r="F450" s="9">
        <f t="shared" si="42"/>
        <v>0.125056679083318</v>
      </c>
      <c r="G450" s="9">
        <f t="shared" si="43"/>
        <v>0.116249796014333</v>
      </c>
      <c r="H450" s="9">
        <f t="shared" si="44"/>
        <v>0.113510145183518</v>
      </c>
      <c r="I450" s="3" t="str">
        <f t="shared" si="45"/>
        <v>2024-10-01</v>
      </c>
      <c r="J450" s="9">
        <f t="shared" si="46"/>
        <v>0.120952680001657</v>
      </c>
      <c r="K450" s="9">
        <f t="shared" si="47"/>
        <v>0.116283529622904</v>
      </c>
      <c r="L450" s="9">
        <f t="shared" si="48"/>
        <v>0.11505750965945</v>
      </c>
    </row>
    <row r="451" s="4" customFormat="1" ht="12" customHeight="1" spans="1:12">
      <c r="A451" s="4">
        <v>45589</v>
      </c>
      <c r="B451" s="8">
        <v>0.111990717845373</v>
      </c>
      <c r="C451" s="8">
        <v>0.0171937405354523</v>
      </c>
      <c r="D451" s="8">
        <v>0.00801940317205355</v>
      </c>
      <c r="E451" s="8">
        <v>1</v>
      </c>
      <c r="F451" s="9">
        <f t="shared" si="42"/>
        <v>0.124978290778123</v>
      </c>
      <c r="G451" s="9">
        <f t="shared" si="43"/>
        <v>0.11694533530814</v>
      </c>
      <c r="H451" s="9">
        <f t="shared" si="44"/>
        <v>0.114511553668287</v>
      </c>
      <c r="I451" s="3" t="str">
        <f t="shared" si="45"/>
        <v>2024-10-01</v>
      </c>
      <c r="J451" s="9">
        <f t="shared" si="46"/>
        <v>0.120952680001657</v>
      </c>
      <c r="K451" s="9">
        <f t="shared" si="47"/>
        <v>0.116283529622904</v>
      </c>
      <c r="L451" s="9">
        <f t="shared" si="48"/>
        <v>0.11505750965945</v>
      </c>
    </row>
    <row r="452" s="4" customFormat="1" ht="12" customHeight="1" spans="1:12">
      <c r="A452" s="4">
        <v>45588</v>
      </c>
      <c r="B452" s="8">
        <v>0.115495819910898</v>
      </c>
      <c r="C452" s="8">
        <v>0.0200834743309248</v>
      </c>
      <c r="D452" s="8">
        <v>-9.84584275030206e-5</v>
      </c>
      <c r="E452" s="8">
        <v>0.536</v>
      </c>
      <c r="F452" s="9">
        <f t="shared" si="42"/>
        <v>0.12456489975091</v>
      </c>
      <c r="G452" s="9">
        <f t="shared" si="43"/>
        <v>0.117638031975263</v>
      </c>
      <c r="H452" s="9">
        <f t="shared" si="44"/>
        <v>0.116567016755639</v>
      </c>
      <c r="I452" s="3" t="str">
        <f t="shared" si="45"/>
        <v>2024-10-01</v>
      </c>
      <c r="J452" s="9">
        <f t="shared" si="46"/>
        <v>0.120952680001657</v>
      </c>
      <c r="K452" s="9">
        <f t="shared" si="47"/>
        <v>0.116283529622904</v>
      </c>
      <c r="L452" s="9">
        <f t="shared" si="48"/>
        <v>0.11505750965945</v>
      </c>
    </row>
    <row r="453" s="4" customFormat="1" ht="12" customHeight="1" spans="1:12">
      <c r="A453" s="4">
        <v>45587</v>
      </c>
      <c r="B453" s="8">
        <v>0.112713903352063</v>
      </c>
      <c r="C453" s="8">
        <v>0.0185774823291132</v>
      </c>
      <c r="D453" s="8">
        <v>0.00330078963705236</v>
      </c>
      <c r="E453" s="8">
        <v>1</v>
      </c>
      <c r="F453" s="9">
        <f t="shared" ref="F453:F516" si="49">B453+(C453+D453)*(E453/$F$3)*(1-EXP(-$F$3/E453))-D453*EXP(-$F$3/E453)</f>
        <v>0.125329316206415</v>
      </c>
      <c r="G453" s="9">
        <f t="shared" ref="G453:G516" si="50">B453+(C453+D453)*(E453/$G$3)*(1-EXP(-$G$3/E453))-D453*EXP(-$G$3/E453)</f>
        <v>0.117037834272279</v>
      </c>
      <c r="H453" s="9">
        <f t="shared" ref="H453:H516" si="51">B453+(C453+D453)*(E453/$H$3)*(1-EXP(-$H$3/E453))-D453*EXP(-$H$3/E453)</f>
        <v>0.114901481365861</v>
      </c>
      <c r="I453" s="3" t="str">
        <f t="shared" ref="I453:I516" si="52">TEXT(A453,"yyyy-mm-01")</f>
        <v>2024-10-01</v>
      </c>
      <c r="J453" s="9">
        <f t="shared" ref="J453:J516" si="53">AVERAGEIF($I:$I,I453,$F:$F)</f>
        <v>0.120952680001657</v>
      </c>
      <c r="K453" s="9">
        <f t="shared" ref="K453:K516" si="54">AVERAGEIF($I:$I,I453,$G:$G)</f>
        <v>0.116283529622904</v>
      </c>
      <c r="L453" s="9">
        <f t="shared" ref="L453:L516" si="55">AVERAGEIF($I:$I,I453,$H:$H)</f>
        <v>0.11505750965945</v>
      </c>
    </row>
    <row r="454" s="4" customFormat="1" ht="12" customHeight="1" spans="1:12">
      <c r="A454" s="4">
        <v>45586</v>
      </c>
      <c r="B454" s="8">
        <v>0.112328432061759</v>
      </c>
      <c r="C454" s="8">
        <v>0.0166802485017745</v>
      </c>
      <c r="D454" s="8">
        <v>0.00945065046343852</v>
      </c>
      <c r="E454" s="8">
        <v>1</v>
      </c>
      <c r="F454" s="9">
        <f t="shared" si="49"/>
        <v>0.125369610507146</v>
      </c>
      <c r="G454" s="9">
        <f t="shared" si="50"/>
        <v>0.117455720150419</v>
      </c>
      <c r="H454" s="9">
        <f t="shared" si="51"/>
        <v>0.114940974265315</v>
      </c>
      <c r="I454" s="3" t="str">
        <f t="shared" si="52"/>
        <v>2024-10-01</v>
      </c>
      <c r="J454" s="9">
        <f t="shared" si="53"/>
        <v>0.120952680001657</v>
      </c>
      <c r="K454" s="9">
        <f t="shared" si="54"/>
        <v>0.116283529622904</v>
      </c>
      <c r="L454" s="9">
        <f t="shared" si="55"/>
        <v>0.11505750965945</v>
      </c>
    </row>
    <row r="455" s="4" customFormat="1" ht="12" customHeight="1" spans="1:12">
      <c r="A455" s="4">
        <v>45583</v>
      </c>
      <c r="B455" s="8">
        <v>0.113679946562831</v>
      </c>
      <c r="C455" s="8">
        <v>0.0159438212306746</v>
      </c>
      <c r="D455" s="8">
        <v>0.00401045275465509</v>
      </c>
      <c r="E455" s="8">
        <v>1</v>
      </c>
      <c r="F455" s="9">
        <f t="shared" si="49"/>
        <v>0.124818090267229</v>
      </c>
      <c r="G455" s="9">
        <f t="shared" si="50"/>
        <v>0.11761688897369</v>
      </c>
      <c r="H455" s="9">
        <f t="shared" si="51"/>
        <v>0.115675101294827</v>
      </c>
      <c r="I455" s="3" t="str">
        <f t="shared" si="52"/>
        <v>2024-10-01</v>
      </c>
      <c r="J455" s="9">
        <f t="shared" si="53"/>
        <v>0.120952680001657</v>
      </c>
      <c r="K455" s="9">
        <f t="shared" si="54"/>
        <v>0.116283529622904</v>
      </c>
      <c r="L455" s="9">
        <f t="shared" si="55"/>
        <v>0.11505750965945</v>
      </c>
    </row>
    <row r="456" s="4" customFormat="1" ht="12" customHeight="1" spans="1:12">
      <c r="A456" s="4">
        <v>45582</v>
      </c>
      <c r="B456" s="8">
        <v>0.117441633943202</v>
      </c>
      <c r="C456" s="8">
        <v>0.0130601741209565</v>
      </c>
      <c r="D456" s="8">
        <v>0.014424575797578</v>
      </c>
      <c r="E456" s="8">
        <v>0.076</v>
      </c>
      <c r="F456" s="9">
        <f t="shared" si="49"/>
        <v>0.119530443063062</v>
      </c>
      <c r="G456" s="9">
        <f t="shared" si="50"/>
        <v>0.117859402141964</v>
      </c>
      <c r="H456" s="9">
        <f t="shared" si="51"/>
        <v>0.117650518042583</v>
      </c>
      <c r="I456" s="3" t="str">
        <f t="shared" si="52"/>
        <v>2024-10-01</v>
      </c>
      <c r="J456" s="9">
        <f t="shared" si="53"/>
        <v>0.120952680001657</v>
      </c>
      <c r="K456" s="9">
        <f t="shared" si="54"/>
        <v>0.116283529622904</v>
      </c>
      <c r="L456" s="9">
        <f t="shared" si="55"/>
        <v>0.11505750965945</v>
      </c>
    </row>
    <row r="457" s="4" customFormat="1" ht="12" customHeight="1" spans="1:12">
      <c r="A457" s="4">
        <v>45581</v>
      </c>
      <c r="B457" s="8">
        <v>0.117456422149265</v>
      </c>
      <c r="C457" s="8">
        <v>0.0118159135548743</v>
      </c>
      <c r="D457" s="8">
        <v>-0.0125509610078491</v>
      </c>
      <c r="E457" s="8">
        <v>0.336</v>
      </c>
      <c r="F457" s="9">
        <f t="shared" si="49"/>
        <v>0.117861970769483</v>
      </c>
      <c r="G457" s="9">
        <f t="shared" si="50"/>
        <v>0.1174070313022</v>
      </c>
      <c r="H457" s="9">
        <f t="shared" si="51"/>
        <v>0.117431724554847</v>
      </c>
      <c r="I457" s="3" t="str">
        <f t="shared" si="52"/>
        <v>2024-10-01</v>
      </c>
      <c r="J457" s="9">
        <f t="shared" si="53"/>
        <v>0.120952680001657</v>
      </c>
      <c r="K457" s="9">
        <f t="shared" si="54"/>
        <v>0.116283529622904</v>
      </c>
      <c r="L457" s="9">
        <f t="shared" si="55"/>
        <v>0.11505750965945</v>
      </c>
    </row>
    <row r="458" s="4" customFormat="1" ht="12" customHeight="1" spans="1:12">
      <c r="A458" s="4">
        <v>45580</v>
      </c>
      <c r="B458" s="8">
        <v>0.115553884938321</v>
      </c>
      <c r="C458" s="8">
        <v>0.0136305734425049</v>
      </c>
      <c r="D458" s="8">
        <v>0.00021274211550522</v>
      </c>
      <c r="E458" s="8">
        <v>0.186</v>
      </c>
      <c r="F458" s="9">
        <f t="shared" si="49"/>
        <v>0.118115849827907</v>
      </c>
      <c r="G458" s="9">
        <f t="shared" si="50"/>
        <v>0.116068856277077</v>
      </c>
      <c r="H458" s="9">
        <f t="shared" si="51"/>
        <v>0.1158113706077</v>
      </c>
      <c r="I458" s="3" t="str">
        <f t="shared" si="52"/>
        <v>2024-10-01</v>
      </c>
      <c r="J458" s="9">
        <f t="shared" si="53"/>
        <v>0.120952680001657</v>
      </c>
      <c r="K458" s="9">
        <f t="shared" si="54"/>
        <v>0.116283529622904</v>
      </c>
      <c r="L458" s="9">
        <f t="shared" si="55"/>
        <v>0.11505750965945</v>
      </c>
    </row>
    <row r="459" s="4" customFormat="1" ht="12" customHeight="1" spans="1:12">
      <c r="A459" s="4">
        <v>45579</v>
      </c>
      <c r="B459" s="8">
        <v>0.115567042995615</v>
      </c>
      <c r="C459" s="8">
        <v>0.0139688783534186</v>
      </c>
      <c r="D459" s="8">
        <v>6.01113116280212e-5</v>
      </c>
      <c r="E459" s="8">
        <v>0.166</v>
      </c>
      <c r="F459" s="9">
        <f t="shared" si="49"/>
        <v>0.117890074712984</v>
      </c>
      <c r="G459" s="9">
        <f t="shared" si="50"/>
        <v>0.116032805452495</v>
      </c>
      <c r="H459" s="9">
        <f t="shared" si="51"/>
        <v>0.115799924224055</v>
      </c>
      <c r="I459" s="3" t="str">
        <f t="shared" si="52"/>
        <v>2024-10-01</v>
      </c>
      <c r="J459" s="9">
        <f t="shared" si="53"/>
        <v>0.120952680001657</v>
      </c>
      <c r="K459" s="9">
        <f t="shared" si="54"/>
        <v>0.116283529622904</v>
      </c>
      <c r="L459" s="9">
        <f t="shared" si="55"/>
        <v>0.11505750965945</v>
      </c>
    </row>
    <row r="460" s="4" customFormat="1" ht="12" customHeight="1" spans="1:12">
      <c r="A460" s="4">
        <v>45576</v>
      </c>
      <c r="B460" s="8">
        <v>0.116154813397791</v>
      </c>
      <c r="C460" s="8">
        <v>0.0147857258628047</v>
      </c>
      <c r="D460" s="8">
        <v>-0.003394212114224</v>
      </c>
      <c r="E460" s="8">
        <v>0.076</v>
      </c>
      <c r="F460" s="9">
        <f t="shared" si="49"/>
        <v>0.117020573323073</v>
      </c>
      <c r="G460" s="9">
        <f t="shared" si="50"/>
        <v>0.116327964406769</v>
      </c>
      <c r="H460" s="9">
        <f t="shared" si="51"/>
        <v>0.11624138890228</v>
      </c>
      <c r="I460" s="3" t="str">
        <f t="shared" si="52"/>
        <v>2024-10-01</v>
      </c>
      <c r="J460" s="9">
        <f t="shared" si="53"/>
        <v>0.120952680001657</v>
      </c>
      <c r="K460" s="9">
        <f t="shared" si="54"/>
        <v>0.116283529622904</v>
      </c>
      <c r="L460" s="9">
        <f t="shared" si="55"/>
        <v>0.11505750965945</v>
      </c>
    </row>
    <row r="461" s="4" customFormat="1" ht="12" customHeight="1" spans="1:12">
      <c r="A461" s="4">
        <v>45575</v>
      </c>
      <c r="B461" s="8">
        <v>0.114879205946479</v>
      </c>
      <c r="C461" s="8">
        <v>0.0143052524343465</v>
      </c>
      <c r="D461" s="8">
        <v>0.0214998366863486</v>
      </c>
      <c r="E461" s="8">
        <v>0.076</v>
      </c>
      <c r="F461" s="9">
        <f t="shared" si="49"/>
        <v>0.117600345968597</v>
      </c>
      <c r="G461" s="9">
        <f t="shared" si="50"/>
        <v>0.115423443301114</v>
      </c>
      <c r="H461" s="9">
        <f t="shared" si="51"/>
        <v>0.115151324623796</v>
      </c>
      <c r="I461" s="3" t="str">
        <f t="shared" si="52"/>
        <v>2024-10-01</v>
      </c>
      <c r="J461" s="9">
        <f t="shared" si="53"/>
        <v>0.120952680001657</v>
      </c>
      <c r="K461" s="9">
        <f t="shared" si="54"/>
        <v>0.116283529622904</v>
      </c>
      <c r="L461" s="9">
        <f t="shared" si="55"/>
        <v>0.11505750965945</v>
      </c>
    </row>
    <row r="462" s="4" customFormat="1" ht="12" customHeight="1" spans="1:12">
      <c r="A462" s="4">
        <v>45574</v>
      </c>
      <c r="B462" s="8">
        <v>0.115263939792272</v>
      </c>
      <c r="C462" s="8">
        <v>0.0166411310876664</v>
      </c>
      <c r="D462" s="8">
        <v>0.0147731635174733</v>
      </c>
      <c r="E462" s="8">
        <v>0.076</v>
      </c>
      <c r="F462" s="9">
        <f t="shared" si="49"/>
        <v>0.117651393059035</v>
      </c>
      <c r="G462" s="9">
        <f t="shared" si="50"/>
        <v>0.11574143707027</v>
      </c>
      <c r="H462" s="9">
        <f t="shared" si="51"/>
        <v>0.115502688431271</v>
      </c>
      <c r="I462" s="3" t="str">
        <f t="shared" si="52"/>
        <v>2024-10-01</v>
      </c>
      <c r="J462" s="9">
        <f t="shared" si="53"/>
        <v>0.120952680001657</v>
      </c>
      <c r="K462" s="9">
        <f t="shared" si="54"/>
        <v>0.116283529622904</v>
      </c>
      <c r="L462" s="9">
        <f t="shared" si="55"/>
        <v>0.11505750965945</v>
      </c>
    </row>
    <row r="463" s="4" customFormat="1" ht="12" customHeight="1" spans="1:12">
      <c r="A463" s="4">
        <v>45573</v>
      </c>
      <c r="B463" s="8">
        <v>0.115452811536683</v>
      </c>
      <c r="C463" s="8">
        <v>0.0142587949849746</v>
      </c>
      <c r="D463" s="8">
        <v>0.0189764692208777</v>
      </c>
      <c r="E463" s="8">
        <v>0.076</v>
      </c>
      <c r="F463" s="9">
        <f t="shared" si="49"/>
        <v>0.117978650112817</v>
      </c>
      <c r="G463" s="9">
        <f t="shared" si="50"/>
        <v>0.115957987552612</v>
      </c>
      <c r="H463" s="9">
        <f t="shared" si="51"/>
        <v>0.115705399544647</v>
      </c>
      <c r="I463" s="3" t="str">
        <f t="shared" si="52"/>
        <v>2024-10-01</v>
      </c>
      <c r="J463" s="9">
        <f t="shared" si="53"/>
        <v>0.120952680001657</v>
      </c>
      <c r="K463" s="9">
        <f t="shared" si="54"/>
        <v>0.116283529622904</v>
      </c>
      <c r="L463" s="9">
        <f t="shared" si="55"/>
        <v>0.11505750965945</v>
      </c>
    </row>
    <row r="464" s="4" customFormat="1" ht="12" customHeight="1" spans="1:12">
      <c r="A464" s="4">
        <v>45572</v>
      </c>
      <c r="B464" s="8">
        <v>0.115371591625762</v>
      </c>
      <c r="C464" s="8">
        <v>0.0114372552379333</v>
      </c>
      <c r="D464" s="8">
        <v>0.0250984119177796</v>
      </c>
      <c r="E464" s="8">
        <v>0.076</v>
      </c>
      <c r="F464" s="9">
        <f t="shared" si="49"/>
        <v>0.118148248525454</v>
      </c>
      <c r="G464" s="9">
        <f t="shared" si="50"/>
        <v>0.115926933766529</v>
      </c>
      <c r="H464" s="9">
        <f t="shared" si="51"/>
        <v>0.115649262696145</v>
      </c>
      <c r="I464" s="3" t="str">
        <f t="shared" si="52"/>
        <v>2024-10-01</v>
      </c>
      <c r="J464" s="9">
        <f t="shared" si="53"/>
        <v>0.120952680001657</v>
      </c>
      <c r="K464" s="9">
        <f t="shared" si="54"/>
        <v>0.116283529622904</v>
      </c>
      <c r="L464" s="9">
        <f t="shared" si="55"/>
        <v>0.11505750965945</v>
      </c>
    </row>
    <row r="465" s="4" customFormat="1" ht="12" customHeight="1" spans="1:12">
      <c r="A465" s="4">
        <v>45569</v>
      </c>
      <c r="B465" s="8">
        <v>0.115096333072056</v>
      </c>
      <c r="C465" s="8">
        <v>0.0100373976847101</v>
      </c>
      <c r="D465" s="8">
        <v>0.031998020575165</v>
      </c>
      <c r="E465" s="8">
        <v>0.076</v>
      </c>
      <c r="F465" s="9">
        <f t="shared" si="49"/>
        <v>0.118290956931363</v>
      </c>
      <c r="G465" s="9">
        <f t="shared" si="50"/>
        <v>0.115735271429606</v>
      </c>
      <c r="H465" s="9">
        <f t="shared" si="51"/>
        <v>0.115415802250831</v>
      </c>
      <c r="I465" s="3" t="str">
        <f t="shared" si="52"/>
        <v>2024-10-01</v>
      </c>
      <c r="J465" s="9">
        <f t="shared" si="53"/>
        <v>0.120952680001657</v>
      </c>
      <c r="K465" s="9">
        <f t="shared" si="54"/>
        <v>0.116283529622904</v>
      </c>
      <c r="L465" s="9">
        <f t="shared" si="55"/>
        <v>0.11505750965945</v>
      </c>
    </row>
    <row r="466" s="4" customFormat="1" ht="12" customHeight="1" spans="1:12">
      <c r="A466" s="4">
        <v>45568</v>
      </c>
      <c r="B466" s="8">
        <v>0.115133510350308</v>
      </c>
      <c r="C466" s="8">
        <v>0.00955893360701039</v>
      </c>
      <c r="D466" s="8">
        <v>0.0327614740214994</v>
      </c>
      <c r="E466" s="8">
        <v>0.076</v>
      </c>
      <c r="F466" s="9">
        <f t="shared" si="49"/>
        <v>0.118349791886219</v>
      </c>
      <c r="G466" s="9">
        <f t="shared" si="50"/>
        <v>0.115776780546261</v>
      </c>
      <c r="H466" s="9">
        <f t="shared" si="51"/>
        <v>0.115455145448285</v>
      </c>
      <c r="I466" s="3" t="str">
        <f t="shared" si="52"/>
        <v>2024-10-01</v>
      </c>
      <c r="J466" s="9">
        <f t="shared" si="53"/>
        <v>0.120952680001657</v>
      </c>
      <c r="K466" s="9">
        <f t="shared" si="54"/>
        <v>0.116283529622904</v>
      </c>
      <c r="L466" s="9">
        <f t="shared" si="55"/>
        <v>0.11505750965945</v>
      </c>
    </row>
    <row r="467" s="4" customFormat="1" ht="12" customHeight="1" spans="1:12">
      <c r="A467" s="4">
        <v>45567</v>
      </c>
      <c r="B467" s="8">
        <v>0.115186455591175</v>
      </c>
      <c r="C467" s="8">
        <v>0.00906450674668237</v>
      </c>
      <c r="D467" s="8">
        <v>0.0334420950743605</v>
      </c>
      <c r="E467" s="8">
        <v>0.076</v>
      </c>
      <c r="F467" s="9">
        <f t="shared" si="49"/>
        <v>0.11841688654468</v>
      </c>
      <c r="G467" s="9">
        <f t="shared" si="50"/>
        <v>0.115832555938855</v>
      </c>
      <c r="H467" s="9">
        <f t="shared" si="51"/>
        <v>0.115509505765015</v>
      </c>
      <c r="I467" s="3" t="str">
        <f t="shared" si="52"/>
        <v>2024-10-01</v>
      </c>
      <c r="J467" s="9">
        <f t="shared" si="53"/>
        <v>0.120952680001657</v>
      </c>
      <c r="K467" s="9">
        <f t="shared" si="54"/>
        <v>0.116283529622904</v>
      </c>
      <c r="L467" s="9">
        <f t="shared" si="55"/>
        <v>0.11505750965945</v>
      </c>
    </row>
    <row r="468" s="4" customFormat="1" ht="12" customHeight="1" spans="1:12">
      <c r="A468" s="4">
        <v>45566</v>
      </c>
      <c r="B468" s="8">
        <v>0.115219892723231</v>
      </c>
      <c r="C468" s="8">
        <v>0.00858939300305496</v>
      </c>
      <c r="D468" s="8">
        <v>0.0351674377469605</v>
      </c>
      <c r="E468" s="8">
        <v>0.076</v>
      </c>
      <c r="F468" s="9">
        <f t="shared" si="49"/>
        <v>0.118545337561707</v>
      </c>
      <c r="G468" s="9">
        <f t="shared" si="50"/>
        <v>0.115884996550631</v>
      </c>
      <c r="H468" s="9">
        <f t="shared" si="51"/>
        <v>0.115552444636931</v>
      </c>
      <c r="I468" s="3" t="str">
        <f t="shared" si="52"/>
        <v>2024-10-01</v>
      </c>
      <c r="J468" s="9">
        <f t="shared" si="53"/>
        <v>0.120952680001657</v>
      </c>
      <c r="K468" s="9">
        <f t="shared" si="54"/>
        <v>0.116283529622904</v>
      </c>
      <c r="L468" s="9">
        <f t="shared" si="55"/>
        <v>0.11505750965945</v>
      </c>
    </row>
    <row r="469" s="4" customFormat="1" ht="12" customHeight="1" spans="1:12">
      <c r="A469" s="4">
        <v>45565</v>
      </c>
      <c r="B469" s="8">
        <v>0.11498734112849</v>
      </c>
      <c r="C469" s="8">
        <v>0.0106756768671671</v>
      </c>
      <c r="D469" s="8">
        <v>0.0497793508303642</v>
      </c>
      <c r="E469" s="8">
        <v>0.176</v>
      </c>
      <c r="F469" s="9">
        <f t="shared" si="49"/>
        <v>0.125421555379073</v>
      </c>
      <c r="G469" s="9">
        <f t="shared" si="50"/>
        <v>0.117115358103419</v>
      </c>
      <c r="H469" s="9">
        <f t="shared" si="51"/>
        <v>0.116051349615967</v>
      </c>
      <c r="I469" s="3" t="str">
        <f t="shared" si="52"/>
        <v>2024-09-01</v>
      </c>
      <c r="J469" s="9">
        <f t="shared" si="53"/>
        <v>0.126261118817147</v>
      </c>
      <c r="K469" s="9">
        <f t="shared" si="54"/>
        <v>0.118394867672996</v>
      </c>
      <c r="L469" s="9">
        <f t="shared" si="55"/>
        <v>0.115095505910667</v>
      </c>
    </row>
    <row r="470" s="4" customFormat="1" ht="12" customHeight="1" spans="1:12">
      <c r="A470" s="4">
        <v>45562</v>
      </c>
      <c r="B470" s="8">
        <v>0.117047602599834</v>
      </c>
      <c r="C470" s="8">
        <v>0.014506837140467</v>
      </c>
      <c r="D470" s="8">
        <v>0.0145421871174829</v>
      </c>
      <c r="E470" s="8">
        <v>0.086</v>
      </c>
      <c r="F470" s="9">
        <f t="shared" si="49"/>
        <v>0.119545666790824</v>
      </c>
      <c r="G470" s="9">
        <f t="shared" si="50"/>
        <v>0.117547245817071</v>
      </c>
      <c r="H470" s="9">
        <f t="shared" si="51"/>
        <v>0.117297424208452</v>
      </c>
      <c r="I470" s="3" t="str">
        <f t="shared" si="52"/>
        <v>2024-09-01</v>
      </c>
      <c r="J470" s="9">
        <f t="shared" si="53"/>
        <v>0.126261118817147</v>
      </c>
      <c r="K470" s="9">
        <f t="shared" si="54"/>
        <v>0.118394867672996</v>
      </c>
      <c r="L470" s="9">
        <f t="shared" si="55"/>
        <v>0.115095505910667</v>
      </c>
    </row>
    <row r="471" s="4" customFormat="1" ht="12" customHeight="1" spans="1:12">
      <c r="A471" s="4">
        <v>45561</v>
      </c>
      <c r="B471" s="8">
        <v>0.118414402919148</v>
      </c>
      <c r="C471" s="8">
        <v>0.0164660792746701</v>
      </c>
      <c r="D471" s="8">
        <v>-0.000210678819938422</v>
      </c>
      <c r="E471" s="8">
        <v>0.136</v>
      </c>
      <c r="F471" s="9">
        <f t="shared" si="49"/>
        <v>0.120623855935022</v>
      </c>
      <c r="G471" s="9">
        <f t="shared" si="50"/>
        <v>0.118856549811517</v>
      </c>
      <c r="H471" s="9">
        <f t="shared" si="51"/>
        <v>0.118635476365332</v>
      </c>
      <c r="I471" s="3" t="str">
        <f t="shared" si="52"/>
        <v>2024-09-01</v>
      </c>
      <c r="J471" s="9">
        <f t="shared" si="53"/>
        <v>0.126261118817147</v>
      </c>
      <c r="K471" s="9">
        <f t="shared" si="54"/>
        <v>0.118394867672996</v>
      </c>
      <c r="L471" s="9">
        <f t="shared" si="55"/>
        <v>0.115095505910667</v>
      </c>
    </row>
    <row r="472" s="4" customFormat="1" ht="12" customHeight="1" spans="1:12">
      <c r="A472" s="4">
        <v>45560</v>
      </c>
      <c r="B472" s="8">
        <v>0.1131182728424</v>
      </c>
      <c r="C472" s="8">
        <v>0.019400106857744</v>
      </c>
      <c r="D472" s="8">
        <v>0.00647264979846037</v>
      </c>
      <c r="E472" s="8">
        <v>1</v>
      </c>
      <c r="F472" s="9">
        <f t="shared" si="49"/>
        <v>0.127091819447599</v>
      </c>
      <c r="G472" s="9">
        <f t="shared" si="50"/>
        <v>0.118214345949741</v>
      </c>
      <c r="H472" s="9">
        <f t="shared" si="51"/>
        <v>0.115705137188041</v>
      </c>
      <c r="I472" s="3" t="str">
        <f t="shared" si="52"/>
        <v>2024-09-01</v>
      </c>
      <c r="J472" s="9">
        <f t="shared" si="53"/>
        <v>0.126261118817147</v>
      </c>
      <c r="K472" s="9">
        <f t="shared" si="54"/>
        <v>0.118394867672996</v>
      </c>
      <c r="L472" s="9">
        <f t="shared" si="55"/>
        <v>0.115095505910667</v>
      </c>
    </row>
    <row r="473" s="4" customFormat="1" ht="12" customHeight="1" spans="1:12">
      <c r="A473" s="4">
        <v>45559</v>
      </c>
      <c r="B473" s="8">
        <v>0.11898211612077</v>
      </c>
      <c r="C473" s="8">
        <v>0.00659270678729639</v>
      </c>
      <c r="D473" s="8">
        <v>0.0375180285877865</v>
      </c>
      <c r="E473" s="8">
        <v>0.116</v>
      </c>
      <c r="F473" s="9">
        <f t="shared" si="49"/>
        <v>0.124091272828387</v>
      </c>
      <c r="G473" s="9">
        <f t="shared" si="50"/>
        <v>0.120005485181472</v>
      </c>
      <c r="H473" s="9">
        <f t="shared" si="51"/>
        <v>0.119493800651121</v>
      </c>
      <c r="I473" s="3" t="str">
        <f t="shared" si="52"/>
        <v>2024-09-01</v>
      </c>
      <c r="J473" s="9">
        <f t="shared" si="53"/>
        <v>0.126261118817147</v>
      </c>
      <c r="K473" s="9">
        <f t="shared" si="54"/>
        <v>0.118394867672996</v>
      </c>
      <c r="L473" s="9">
        <f t="shared" si="55"/>
        <v>0.115095505910667</v>
      </c>
    </row>
    <row r="474" s="4" customFormat="1" ht="12" customHeight="1" spans="1:12">
      <c r="A474" s="4">
        <v>45558</v>
      </c>
      <c r="B474" s="8">
        <v>0.118626311577751</v>
      </c>
      <c r="C474" s="8">
        <v>0.00588956311981662</v>
      </c>
      <c r="D474" s="8">
        <v>0.0416007435105601</v>
      </c>
      <c r="E474" s="8">
        <v>0.116</v>
      </c>
      <c r="F474" s="9">
        <f t="shared" si="49"/>
        <v>0.124126691594039</v>
      </c>
      <c r="G474" s="9">
        <f t="shared" si="50"/>
        <v>0.119728086691576</v>
      </c>
      <c r="H474" s="9">
        <f t="shared" si="51"/>
        <v>0.119177199134663</v>
      </c>
      <c r="I474" s="3" t="str">
        <f t="shared" si="52"/>
        <v>2024-09-01</v>
      </c>
      <c r="J474" s="9">
        <f t="shared" si="53"/>
        <v>0.126261118817147</v>
      </c>
      <c r="K474" s="9">
        <f t="shared" si="54"/>
        <v>0.118394867672996</v>
      </c>
      <c r="L474" s="9">
        <f t="shared" si="55"/>
        <v>0.115095505910667</v>
      </c>
    </row>
    <row r="475" s="4" customFormat="1" ht="10.5" customHeight="1" spans="1:12">
      <c r="A475" s="4">
        <v>45555</v>
      </c>
      <c r="B475" s="8">
        <v>0.118539492260951</v>
      </c>
      <c r="C475" s="8">
        <v>0.00597638243661705</v>
      </c>
      <c r="D475" s="8">
        <v>0.0417746870229078</v>
      </c>
      <c r="E475" s="8">
        <v>0.116</v>
      </c>
      <c r="F475" s="9">
        <f t="shared" si="49"/>
        <v>0.124070083942284</v>
      </c>
      <c r="G475" s="9">
        <f t="shared" si="50"/>
        <v>0.119647317072412</v>
      </c>
      <c r="H475" s="9">
        <f t="shared" si="51"/>
        <v>0.119093404666681</v>
      </c>
      <c r="I475" s="3" t="str">
        <f t="shared" si="52"/>
        <v>2024-09-01</v>
      </c>
      <c r="J475" s="9">
        <f t="shared" si="53"/>
        <v>0.126261118817147</v>
      </c>
      <c r="K475" s="9">
        <f t="shared" si="54"/>
        <v>0.118394867672996</v>
      </c>
      <c r="L475" s="9">
        <f t="shared" si="55"/>
        <v>0.115095505910667</v>
      </c>
    </row>
    <row r="476" s="4" customFormat="1" ht="12" customHeight="1" spans="1:12">
      <c r="A476" s="4">
        <v>45554</v>
      </c>
      <c r="B476" s="8">
        <v>0.118623710300475</v>
      </c>
      <c r="C476" s="8">
        <v>0.00615700659683135</v>
      </c>
      <c r="D476" s="8">
        <v>0.0374268889845897</v>
      </c>
      <c r="E476" s="8">
        <v>0.126</v>
      </c>
      <c r="F476" s="9">
        <f t="shared" si="49"/>
        <v>0.124099939830897</v>
      </c>
      <c r="G476" s="9">
        <f t="shared" si="50"/>
        <v>0.119722024469127</v>
      </c>
      <c r="H476" s="9">
        <f t="shared" si="51"/>
        <v>0.119172867384801</v>
      </c>
      <c r="I476" s="3" t="str">
        <f t="shared" si="52"/>
        <v>2024-09-01</v>
      </c>
      <c r="J476" s="9">
        <f t="shared" si="53"/>
        <v>0.126261118817147</v>
      </c>
      <c r="K476" s="9">
        <f t="shared" si="54"/>
        <v>0.118394867672996</v>
      </c>
      <c r="L476" s="9">
        <f t="shared" si="55"/>
        <v>0.115095505910667</v>
      </c>
    </row>
    <row r="477" s="4" customFormat="1" ht="12" customHeight="1" spans="1:12">
      <c r="A477" s="4">
        <v>45553</v>
      </c>
      <c r="B477" s="8">
        <v>0.113903775360306</v>
      </c>
      <c r="C477" s="8">
        <v>0.0114064156051404</v>
      </c>
      <c r="D477" s="8">
        <v>0.0160365067397433</v>
      </c>
      <c r="E477" s="8">
        <v>1</v>
      </c>
      <c r="F477" s="9">
        <f t="shared" si="49"/>
        <v>0.125351509631084</v>
      </c>
      <c r="G477" s="9">
        <f t="shared" si="50"/>
        <v>0.119247324905568</v>
      </c>
      <c r="H477" s="9">
        <f t="shared" si="51"/>
        <v>0.11664721494784</v>
      </c>
      <c r="I477" s="3" t="str">
        <f t="shared" si="52"/>
        <v>2024-09-01</v>
      </c>
      <c r="J477" s="9">
        <f t="shared" si="53"/>
        <v>0.126261118817147</v>
      </c>
      <c r="K477" s="9">
        <f t="shared" si="54"/>
        <v>0.118394867672996</v>
      </c>
      <c r="L477" s="9">
        <f t="shared" si="55"/>
        <v>0.115095505910667</v>
      </c>
    </row>
    <row r="478" s="4" customFormat="1" ht="12" customHeight="1" spans="1:12">
      <c r="A478" s="4">
        <v>45552</v>
      </c>
      <c r="B478" s="8">
        <v>0.106528738204373</v>
      </c>
      <c r="C478" s="8">
        <v>0.0186932265490086</v>
      </c>
      <c r="D478" s="8">
        <v>0.0364966166738487</v>
      </c>
      <c r="E478" s="8">
        <v>1</v>
      </c>
      <c r="F478" s="9">
        <f t="shared" si="49"/>
        <v>0.127989017797442</v>
      </c>
      <c r="G478" s="9">
        <f t="shared" si="50"/>
        <v>0.117246421332445</v>
      </c>
      <c r="H478" s="9">
        <f t="shared" si="51"/>
        <v>0.112045815021325</v>
      </c>
      <c r="I478" s="3" t="str">
        <f t="shared" si="52"/>
        <v>2024-09-01</v>
      </c>
      <c r="J478" s="9">
        <f t="shared" si="53"/>
        <v>0.126261118817147</v>
      </c>
      <c r="K478" s="9">
        <f t="shared" si="54"/>
        <v>0.118394867672996</v>
      </c>
      <c r="L478" s="9">
        <f t="shared" si="55"/>
        <v>0.115095505910667</v>
      </c>
    </row>
    <row r="479" s="4" customFormat="1" ht="12" customHeight="1" spans="1:12">
      <c r="A479" s="4">
        <v>45551</v>
      </c>
      <c r="B479" s="8">
        <v>0.106248797356745</v>
      </c>
      <c r="C479" s="8">
        <v>0.0179138452636779</v>
      </c>
      <c r="D479" s="8">
        <v>0.0389131616376617</v>
      </c>
      <c r="E479" s="8">
        <v>1</v>
      </c>
      <c r="F479" s="9">
        <f t="shared" si="49"/>
        <v>0.127854964558297</v>
      </c>
      <c r="G479" s="9">
        <f t="shared" si="50"/>
        <v>0.117275424444208</v>
      </c>
      <c r="H479" s="9">
        <f t="shared" si="51"/>
        <v>0.111929473397862</v>
      </c>
      <c r="I479" s="3" t="str">
        <f t="shared" si="52"/>
        <v>2024-09-01</v>
      </c>
      <c r="J479" s="9">
        <f t="shared" si="53"/>
        <v>0.126261118817147</v>
      </c>
      <c r="K479" s="9">
        <f t="shared" si="54"/>
        <v>0.118394867672996</v>
      </c>
      <c r="L479" s="9">
        <f t="shared" si="55"/>
        <v>0.115095505910667</v>
      </c>
    </row>
    <row r="480" s="4" customFormat="1" ht="12" customHeight="1" spans="1:12">
      <c r="A480" s="4">
        <v>45548</v>
      </c>
      <c r="B480" s="8">
        <v>0.106405006309359</v>
      </c>
      <c r="C480" s="8">
        <v>0.0180225720656928</v>
      </c>
      <c r="D480" s="8">
        <v>0.0379440991708452</v>
      </c>
      <c r="E480" s="8">
        <v>1</v>
      </c>
      <c r="F480" s="9">
        <f t="shared" si="49"/>
        <v>0.127823835808449</v>
      </c>
      <c r="G480" s="9">
        <f t="shared" si="50"/>
        <v>0.117267255134624</v>
      </c>
      <c r="H480" s="9">
        <f t="shared" si="51"/>
        <v>0.111999696685281</v>
      </c>
      <c r="I480" s="3" t="str">
        <f t="shared" si="52"/>
        <v>2024-09-01</v>
      </c>
      <c r="J480" s="9">
        <f t="shared" si="53"/>
        <v>0.126261118817147</v>
      </c>
      <c r="K480" s="9">
        <f t="shared" si="54"/>
        <v>0.118394867672996</v>
      </c>
      <c r="L480" s="9">
        <f t="shared" si="55"/>
        <v>0.115095505910667</v>
      </c>
    </row>
    <row r="481" s="4" customFormat="1" ht="12" customHeight="1" spans="1:12">
      <c r="A481" s="4">
        <v>45547</v>
      </c>
      <c r="B481" s="8">
        <v>0.110128104750456</v>
      </c>
      <c r="C481" s="8">
        <v>0.0175612563904332</v>
      </c>
      <c r="D481" s="8">
        <v>0.0238012006302162</v>
      </c>
      <c r="E481" s="8">
        <v>1</v>
      </c>
      <c r="F481" s="9">
        <f t="shared" si="49"/>
        <v>0.127518191809818</v>
      </c>
      <c r="G481" s="9">
        <f t="shared" si="50"/>
        <v>0.118184485317593</v>
      </c>
      <c r="H481" s="9">
        <f t="shared" si="51"/>
        <v>0.11426308209442</v>
      </c>
      <c r="I481" s="3" t="str">
        <f t="shared" si="52"/>
        <v>2024-09-01</v>
      </c>
      <c r="J481" s="9">
        <f t="shared" si="53"/>
        <v>0.126261118817147</v>
      </c>
      <c r="K481" s="9">
        <f t="shared" si="54"/>
        <v>0.118394867672996</v>
      </c>
      <c r="L481" s="9">
        <f t="shared" si="55"/>
        <v>0.115095505910667</v>
      </c>
    </row>
    <row r="482" s="4" customFormat="1" ht="12" customHeight="1" spans="1:12">
      <c r="A482" s="4">
        <v>45546</v>
      </c>
      <c r="B482" s="8">
        <v>0.110995269682317</v>
      </c>
      <c r="C482" s="8">
        <v>0.0179255103845224</v>
      </c>
      <c r="D482" s="8">
        <v>0.0194604177383132</v>
      </c>
      <c r="E482" s="8">
        <v>1</v>
      </c>
      <c r="F482" s="9">
        <f t="shared" si="49"/>
        <v>0.127468595857115</v>
      </c>
      <c r="G482" s="9">
        <f t="shared" si="50"/>
        <v>0.118290951163143</v>
      </c>
      <c r="H482" s="9">
        <f t="shared" si="51"/>
        <v>0.114732809261151</v>
      </c>
      <c r="I482" s="3" t="str">
        <f t="shared" si="52"/>
        <v>2024-09-01</v>
      </c>
      <c r="J482" s="9">
        <f t="shared" si="53"/>
        <v>0.126261118817147</v>
      </c>
      <c r="K482" s="9">
        <f t="shared" si="54"/>
        <v>0.118394867672996</v>
      </c>
      <c r="L482" s="9">
        <f t="shared" si="55"/>
        <v>0.115095505910667</v>
      </c>
    </row>
    <row r="483" s="4" customFormat="1" ht="12" customHeight="1" spans="1:12">
      <c r="A483" s="4">
        <v>45545</v>
      </c>
      <c r="B483" s="8">
        <v>0.110588822185953</v>
      </c>
      <c r="C483" s="8">
        <v>0.0160438287474131</v>
      </c>
      <c r="D483" s="8">
        <v>0.0254488800003592</v>
      </c>
      <c r="E483" s="8">
        <v>1</v>
      </c>
      <c r="F483" s="9">
        <f t="shared" si="49"/>
        <v>0.127455096673934</v>
      </c>
      <c r="G483" s="9">
        <f t="shared" si="50"/>
        <v>0.118659975596401</v>
      </c>
      <c r="H483" s="9">
        <f t="shared" si="51"/>
        <v>0.114736749306759</v>
      </c>
      <c r="I483" s="3" t="str">
        <f t="shared" si="52"/>
        <v>2024-09-01</v>
      </c>
      <c r="J483" s="9">
        <f t="shared" si="53"/>
        <v>0.126261118817147</v>
      </c>
      <c r="K483" s="9">
        <f t="shared" si="54"/>
        <v>0.118394867672996</v>
      </c>
      <c r="L483" s="9">
        <f t="shared" si="55"/>
        <v>0.115095505910667</v>
      </c>
    </row>
    <row r="484" s="4" customFormat="1" ht="12" customHeight="1" spans="1:12">
      <c r="A484" s="4">
        <v>45544</v>
      </c>
      <c r="B484" s="8">
        <v>0.110005106789943</v>
      </c>
      <c r="C484" s="8">
        <v>0.0144224715851094</v>
      </c>
      <c r="D484" s="8">
        <v>0.0314786770129208</v>
      </c>
      <c r="E484" s="8">
        <v>1</v>
      </c>
      <c r="F484" s="9">
        <f t="shared" si="49"/>
        <v>0.127439808384273</v>
      </c>
      <c r="G484" s="9">
        <f t="shared" si="50"/>
        <v>0.118911378950945</v>
      </c>
      <c r="H484" s="9">
        <f t="shared" si="51"/>
        <v>0.114593584129128</v>
      </c>
      <c r="I484" s="3" t="str">
        <f t="shared" si="52"/>
        <v>2024-09-01</v>
      </c>
      <c r="J484" s="9">
        <f t="shared" si="53"/>
        <v>0.126261118817147</v>
      </c>
      <c r="K484" s="9">
        <f t="shared" si="54"/>
        <v>0.118394867672996</v>
      </c>
      <c r="L484" s="9">
        <f t="shared" si="55"/>
        <v>0.115095505910667</v>
      </c>
    </row>
    <row r="485" s="4" customFormat="1" ht="12" customHeight="1" spans="1:12">
      <c r="A485" s="4">
        <v>45541</v>
      </c>
      <c r="B485" s="8">
        <v>0.108143720694384</v>
      </c>
      <c r="C485" s="8">
        <v>0.0156655650319021</v>
      </c>
      <c r="D485" s="8">
        <v>0.0390168476823422</v>
      </c>
      <c r="E485" s="8">
        <v>1</v>
      </c>
      <c r="F485" s="9">
        <f t="shared" si="49"/>
        <v>0.128356101855755</v>
      </c>
      <c r="G485" s="9">
        <f t="shared" si="50"/>
        <v>0.118743620345748</v>
      </c>
      <c r="H485" s="9">
        <f t="shared" si="51"/>
        <v>0.113609942345894</v>
      </c>
      <c r="I485" s="3" t="str">
        <f t="shared" si="52"/>
        <v>2024-09-01</v>
      </c>
      <c r="J485" s="9">
        <f t="shared" si="53"/>
        <v>0.126261118817147</v>
      </c>
      <c r="K485" s="9">
        <f t="shared" si="54"/>
        <v>0.118394867672996</v>
      </c>
      <c r="L485" s="9">
        <f t="shared" si="55"/>
        <v>0.115095505910667</v>
      </c>
    </row>
    <row r="486" s="4" customFormat="1" ht="12" customHeight="1" spans="1:12">
      <c r="A486" s="4">
        <v>45540</v>
      </c>
      <c r="B486" s="8">
        <v>0.108337396992471</v>
      </c>
      <c r="C486" s="8">
        <v>0.0142341553957098</v>
      </c>
      <c r="D486" s="8">
        <v>0.04172624506255</v>
      </c>
      <c r="E486" s="8">
        <v>1</v>
      </c>
      <c r="F486" s="9">
        <f t="shared" si="49"/>
        <v>0.128360888886623</v>
      </c>
      <c r="G486" s="9">
        <f t="shared" si="50"/>
        <v>0.119172916213954</v>
      </c>
      <c r="H486" s="9">
        <f t="shared" si="51"/>
        <v>0.113931288609877</v>
      </c>
      <c r="I486" s="3" t="str">
        <f t="shared" si="52"/>
        <v>2024-09-01</v>
      </c>
      <c r="J486" s="9">
        <f t="shared" si="53"/>
        <v>0.126261118817147</v>
      </c>
      <c r="K486" s="9">
        <f t="shared" si="54"/>
        <v>0.118394867672996</v>
      </c>
      <c r="L486" s="9">
        <f t="shared" si="55"/>
        <v>0.115095505910667</v>
      </c>
    </row>
    <row r="487" s="4" customFormat="1" ht="12" customHeight="1" spans="1:12">
      <c r="A487" s="4">
        <v>45539</v>
      </c>
      <c r="B487" s="8">
        <v>0.108615441274729</v>
      </c>
      <c r="C487" s="8">
        <v>0.0133366694760174</v>
      </c>
      <c r="D487" s="8">
        <v>0.0425625372842954</v>
      </c>
      <c r="E487" s="8">
        <v>1</v>
      </c>
      <c r="F487" s="9">
        <f t="shared" si="49"/>
        <v>0.128292596659146</v>
      </c>
      <c r="G487" s="9">
        <f t="shared" si="50"/>
        <v>0.119433169327935</v>
      </c>
      <c r="H487" s="9">
        <f t="shared" si="51"/>
        <v>0.114203175832551</v>
      </c>
      <c r="I487" s="3" t="str">
        <f t="shared" si="52"/>
        <v>2024-09-01</v>
      </c>
      <c r="J487" s="9">
        <f t="shared" si="53"/>
        <v>0.126261118817147</v>
      </c>
      <c r="K487" s="9">
        <f t="shared" si="54"/>
        <v>0.118394867672996</v>
      </c>
      <c r="L487" s="9">
        <f t="shared" si="55"/>
        <v>0.115095505910667</v>
      </c>
    </row>
    <row r="488" s="4" customFormat="1" ht="12" customHeight="1" spans="1:12">
      <c r="A488" s="4">
        <v>45538</v>
      </c>
      <c r="B488" s="8">
        <v>0.102443578983123</v>
      </c>
      <c r="C488" s="8">
        <v>0.020393330975939</v>
      </c>
      <c r="D488" s="8">
        <v>0.0524013693133182</v>
      </c>
      <c r="E488" s="8">
        <v>1</v>
      </c>
      <c r="F488" s="9">
        <f t="shared" si="49"/>
        <v>0.129181219150124</v>
      </c>
      <c r="G488" s="9">
        <f t="shared" si="50"/>
        <v>0.116551344025389</v>
      </c>
      <c r="H488" s="9">
        <f t="shared" si="51"/>
        <v>0.109720339506134</v>
      </c>
      <c r="I488" s="3" t="str">
        <f t="shared" si="52"/>
        <v>2024-09-01</v>
      </c>
      <c r="J488" s="9">
        <f t="shared" si="53"/>
        <v>0.126261118817147</v>
      </c>
      <c r="K488" s="9">
        <f t="shared" si="54"/>
        <v>0.118394867672996</v>
      </c>
      <c r="L488" s="9">
        <f t="shared" si="55"/>
        <v>0.115095505910667</v>
      </c>
    </row>
    <row r="489" s="4" customFormat="1" ht="12" customHeight="1" spans="1:12">
      <c r="A489" s="4">
        <v>45537</v>
      </c>
      <c r="B489" s="8">
        <v>0.103052184914514</v>
      </c>
      <c r="C489" s="8">
        <v>0.0217285319827921</v>
      </c>
      <c r="D489" s="8">
        <v>0.0474322306725831</v>
      </c>
      <c r="E489" s="8">
        <v>1</v>
      </c>
      <c r="F489" s="9">
        <f t="shared" si="49"/>
        <v>0.129320782339894</v>
      </c>
      <c r="G489" s="9">
        <f t="shared" si="50"/>
        <v>0.116471541278631</v>
      </c>
      <c r="H489" s="9">
        <f t="shared" si="51"/>
        <v>0.109965793770734</v>
      </c>
      <c r="I489" s="3" t="str">
        <f t="shared" si="52"/>
        <v>2024-09-01</v>
      </c>
      <c r="J489" s="9">
        <f t="shared" si="53"/>
        <v>0.126261118817147</v>
      </c>
      <c r="K489" s="9">
        <f t="shared" si="54"/>
        <v>0.118394867672996</v>
      </c>
      <c r="L489" s="9">
        <f t="shared" si="55"/>
        <v>0.115095505910667</v>
      </c>
    </row>
    <row r="490" s="4" customFormat="1" ht="12" customHeight="1" spans="1:12">
      <c r="A490" s="4">
        <v>45533</v>
      </c>
      <c r="B490" s="8">
        <v>0.111214572656641</v>
      </c>
      <c r="C490" s="8">
        <v>0.0131247015989665</v>
      </c>
      <c r="D490" s="8">
        <v>0.028647836200686</v>
      </c>
      <c r="E490" s="8">
        <v>1</v>
      </c>
      <c r="F490" s="9">
        <f t="shared" si="49"/>
        <v>0.127080902621965</v>
      </c>
      <c r="G490" s="9">
        <f t="shared" si="50"/>
        <v>0.119319760385471</v>
      </c>
      <c r="H490" s="9">
        <f t="shared" si="51"/>
        <v>0.115390336179827</v>
      </c>
      <c r="I490" s="3" t="str">
        <f t="shared" si="52"/>
        <v>2024-08-01</v>
      </c>
      <c r="J490" s="9">
        <f t="shared" si="53"/>
        <v>0.124690149870692</v>
      </c>
      <c r="K490" s="9">
        <f t="shared" si="54"/>
        <v>0.118337990613334</v>
      </c>
      <c r="L490" s="9">
        <f t="shared" si="55"/>
        <v>0.115679844936076</v>
      </c>
    </row>
    <row r="491" s="4" customFormat="1" ht="12" customHeight="1" spans="1:12">
      <c r="A491" s="4">
        <v>45532</v>
      </c>
      <c r="B491" s="8">
        <v>0.112741366593184</v>
      </c>
      <c r="C491" s="8">
        <v>0.0111562700630531</v>
      </c>
      <c r="D491" s="8">
        <v>0.0270527407861206</v>
      </c>
      <c r="E491" s="8">
        <v>0.96</v>
      </c>
      <c r="F491" s="9">
        <f t="shared" si="49"/>
        <v>0.126932664997094</v>
      </c>
      <c r="G491" s="9">
        <f t="shared" si="50"/>
        <v>0.119889362589392</v>
      </c>
      <c r="H491" s="9">
        <f t="shared" si="51"/>
        <v>0.116408512177013</v>
      </c>
      <c r="I491" s="3" t="str">
        <f t="shared" si="52"/>
        <v>2024-08-01</v>
      </c>
      <c r="J491" s="9">
        <f t="shared" si="53"/>
        <v>0.124690149870692</v>
      </c>
      <c r="K491" s="9">
        <f t="shared" si="54"/>
        <v>0.118337990613334</v>
      </c>
      <c r="L491" s="9">
        <f t="shared" si="55"/>
        <v>0.115679844936076</v>
      </c>
    </row>
    <row r="492" s="4" customFormat="1" ht="12" customHeight="1" spans="1:12">
      <c r="A492" s="4">
        <v>45531</v>
      </c>
      <c r="B492" s="8">
        <v>0.102843343512829</v>
      </c>
      <c r="C492" s="8">
        <v>0.0206124604140891</v>
      </c>
      <c r="D492" s="8">
        <v>0.0488377791493414</v>
      </c>
      <c r="E492" s="8">
        <v>1</v>
      </c>
      <c r="F492" s="9">
        <f t="shared" si="49"/>
        <v>0.128777852854928</v>
      </c>
      <c r="G492" s="9">
        <f t="shared" si="50"/>
        <v>0.116310734651403</v>
      </c>
      <c r="H492" s="9">
        <f t="shared" si="51"/>
        <v>0.109785834933829</v>
      </c>
      <c r="I492" s="3" t="str">
        <f t="shared" si="52"/>
        <v>2024-08-01</v>
      </c>
      <c r="J492" s="9">
        <f t="shared" si="53"/>
        <v>0.124690149870692</v>
      </c>
      <c r="K492" s="9">
        <f t="shared" si="54"/>
        <v>0.118337990613334</v>
      </c>
      <c r="L492" s="9">
        <f t="shared" si="55"/>
        <v>0.115679844936076</v>
      </c>
    </row>
    <row r="493" s="4" customFormat="1" ht="12" customHeight="1" spans="1:12">
      <c r="A493" s="4">
        <v>45530</v>
      </c>
      <c r="B493" s="8">
        <v>0.104348248895927</v>
      </c>
      <c r="C493" s="8">
        <v>0.0190191650543569</v>
      </c>
      <c r="D493" s="8">
        <v>0.0471390523141818</v>
      </c>
      <c r="E493" s="8">
        <v>1</v>
      </c>
      <c r="F493" s="9">
        <f t="shared" si="49"/>
        <v>0.128826730007336</v>
      </c>
      <c r="G493" s="9">
        <f t="shared" si="50"/>
        <v>0.117173117821118</v>
      </c>
      <c r="H493" s="9">
        <f t="shared" si="51"/>
        <v>0.110961630165275</v>
      </c>
      <c r="I493" s="3" t="str">
        <f t="shared" si="52"/>
        <v>2024-08-01</v>
      </c>
      <c r="J493" s="9">
        <f t="shared" si="53"/>
        <v>0.124690149870692</v>
      </c>
      <c r="K493" s="9">
        <f t="shared" si="54"/>
        <v>0.118337990613334</v>
      </c>
      <c r="L493" s="9">
        <f t="shared" si="55"/>
        <v>0.115679844936076</v>
      </c>
    </row>
    <row r="494" s="4" customFormat="1" ht="12" customHeight="1" spans="1:12">
      <c r="A494" s="4">
        <v>45527</v>
      </c>
      <c r="B494" s="8">
        <v>0.118755027339165</v>
      </c>
      <c r="C494" s="8">
        <v>0.0045239888210067</v>
      </c>
      <c r="D494" s="8">
        <v>0.0356257449535013</v>
      </c>
      <c r="E494" s="8">
        <v>0.096</v>
      </c>
      <c r="F494" s="9">
        <f t="shared" si="49"/>
        <v>0.122608220162141</v>
      </c>
      <c r="G494" s="9">
        <f t="shared" si="50"/>
        <v>0.119525902227636</v>
      </c>
      <c r="H494" s="9">
        <f t="shared" si="51"/>
        <v>0.1191404647834</v>
      </c>
      <c r="I494" s="3" t="str">
        <f t="shared" si="52"/>
        <v>2024-08-01</v>
      </c>
      <c r="J494" s="9">
        <f t="shared" si="53"/>
        <v>0.124690149870692</v>
      </c>
      <c r="K494" s="9">
        <f t="shared" si="54"/>
        <v>0.118337990613334</v>
      </c>
      <c r="L494" s="9">
        <f t="shared" si="55"/>
        <v>0.115679844936076</v>
      </c>
    </row>
    <row r="495" s="4" customFormat="1" ht="12" customHeight="1" spans="1:12">
      <c r="A495" s="4">
        <v>45526</v>
      </c>
      <c r="B495" s="8">
        <v>0.119816053490418</v>
      </c>
      <c r="C495" s="8">
        <v>0.00355136045986643</v>
      </c>
      <c r="D495" s="8">
        <v>0.0362545712507962</v>
      </c>
      <c r="E495" s="8">
        <v>0.076</v>
      </c>
      <c r="F495" s="9">
        <f t="shared" si="49"/>
        <v>0.122841228483107</v>
      </c>
      <c r="G495" s="9">
        <f t="shared" si="50"/>
        <v>0.12042110365242</v>
      </c>
      <c r="H495" s="9">
        <f t="shared" si="51"/>
        <v>0.120118578571419</v>
      </c>
      <c r="I495" s="3" t="str">
        <f t="shared" si="52"/>
        <v>2024-08-01</v>
      </c>
      <c r="J495" s="9">
        <f t="shared" si="53"/>
        <v>0.124690149870692</v>
      </c>
      <c r="K495" s="9">
        <f t="shared" si="54"/>
        <v>0.118337990613334</v>
      </c>
      <c r="L495" s="9">
        <f t="shared" si="55"/>
        <v>0.115679844936076</v>
      </c>
    </row>
    <row r="496" s="4" customFormat="1" ht="12" customHeight="1" spans="1:12">
      <c r="A496" s="4">
        <v>45525</v>
      </c>
      <c r="B496" s="8">
        <v>0.114580451299944</v>
      </c>
      <c r="C496" s="8">
        <v>0.00922883442634279</v>
      </c>
      <c r="D496" s="8">
        <v>0.0174116038798431</v>
      </c>
      <c r="E496" s="8">
        <v>0.97</v>
      </c>
      <c r="F496" s="9">
        <f t="shared" si="49"/>
        <v>0.124994436003465</v>
      </c>
      <c r="G496" s="9">
        <f t="shared" si="50"/>
        <v>0.119618352740394</v>
      </c>
      <c r="H496" s="9">
        <f t="shared" si="51"/>
        <v>0.117163907508476</v>
      </c>
      <c r="I496" s="3" t="str">
        <f t="shared" si="52"/>
        <v>2024-08-01</v>
      </c>
      <c r="J496" s="9">
        <f t="shared" si="53"/>
        <v>0.124690149870692</v>
      </c>
      <c r="K496" s="9">
        <f t="shared" si="54"/>
        <v>0.118337990613334</v>
      </c>
      <c r="L496" s="9">
        <f t="shared" si="55"/>
        <v>0.115679844936076</v>
      </c>
    </row>
    <row r="497" s="4" customFormat="1" ht="12" customHeight="1" spans="1:12">
      <c r="A497" s="4">
        <v>45524</v>
      </c>
      <c r="B497" s="8">
        <v>0.107815109152</v>
      </c>
      <c r="C497" s="8">
        <v>0.0161708706289913</v>
      </c>
      <c r="D497" s="8">
        <v>0.0317929836946477</v>
      </c>
      <c r="E497" s="8">
        <v>1</v>
      </c>
      <c r="F497" s="9">
        <f t="shared" si="49"/>
        <v>0.12643806247587</v>
      </c>
      <c r="G497" s="9">
        <f t="shared" si="50"/>
        <v>0.11712902499599</v>
      </c>
      <c r="H497" s="9">
        <f t="shared" si="51"/>
        <v>0.112609833429575</v>
      </c>
      <c r="I497" s="3" t="str">
        <f t="shared" si="52"/>
        <v>2024-08-01</v>
      </c>
      <c r="J497" s="9">
        <f t="shared" si="53"/>
        <v>0.124690149870692</v>
      </c>
      <c r="K497" s="9">
        <f t="shared" si="54"/>
        <v>0.118337990613334</v>
      </c>
      <c r="L497" s="9">
        <f t="shared" si="55"/>
        <v>0.115679844936076</v>
      </c>
    </row>
    <row r="498" s="4" customFormat="1" ht="12" customHeight="1" spans="1:12">
      <c r="A498" s="4">
        <v>45523</v>
      </c>
      <c r="B498" s="8">
        <v>0.108486187077174</v>
      </c>
      <c r="C498" s="8">
        <v>0.0149696168497447</v>
      </c>
      <c r="D498" s="8">
        <v>0.0300103413920082</v>
      </c>
      <c r="E498" s="8">
        <v>1</v>
      </c>
      <c r="F498" s="9">
        <f t="shared" si="49"/>
        <v>0.12587875579638</v>
      </c>
      <c r="G498" s="9">
        <f t="shared" si="50"/>
        <v>0.11721935612087</v>
      </c>
      <c r="H498" s="9">
        <f t="shared" si="51"/>
        <v>0.112982616225263</v>
      </c>
      <c r="I498" s="3" t="str">
        <f t="shared" si="52"/>
        <v>2024-08-01</v>
      </c>
      <c r="J498" s="9">
        <f t="shared" si="53"/>
        <v>0.124690149870692</v>
      </c>
      <c r="K498" s="9">
        <f t="shared" si="54"/>
        <v>0.118337990613334</v>
      </c>
      <c r="L498" s="9">
        <f t="shared" si="55"/>
        <v>0.115679844936076</v>
      </c>
    </row>
    <row r="499" s="4" customFormat="1" ht="12" customHeight="1" spans="1:12">
      <c r="A499" s="4">
        <v>45520</v>
      </c>
      <c r="B499" s="8">
        <v>0.109071899751735</v>
      </c>
      <c r="C499" s="8">
        <v>0.0134111844628134</v>
      </c>
      <c r="D499" s="8">
        <v>0.0306129815960229</v>
      </c>
      <c r="E499" s="8">
        <v>1</v>
      </c>
      <c r="F499" s="9">
        <f t="shared" si="49"/>
        <v>0.125638593640671</v>
      </c>
      <c r="G499" s="9">
        <f t="shared" si="50"/>
        <v>0.117611137816508</v>
      </c>
      <c r="H499" s="9">
        <f t="shared" si="51"/>
        <v>0.113472726661</v>
      </c>
      <c r="I499" s="3" t="str">
        <f t="shared" si="52"/>
        <v>2024-08-01</v>
      </c>
      <c r="J499" s="9">
        <f t="shared" si="53"/>
        <v>0.124690149870692</v>
      </c>
      <c r="K499" s="9">
        <f t="shared" si="54"/>
        <v>0.118337990613334</v>
      </c>
      <c r="L499" s="9">
        <f t="shared" si="55"/>
        <v>0.115679844936076</v>
      </c>
    </row>
    <row r="500" s="4" customFormat="1" ht="12" customHeight="1" spans="1:12">
      <c r="A500" s="4">
        <v>45519</v>
      </c>
      <c r="B500" s="8">
        <v>0.109924223487925</v>
      </c>
      <c r="C500" s="8">
        <v>0.0135315804389936</v>
      </c>
      <c r="D500" s="8">
        <v>0.0268159549679407</v>
      </c>
      <c r="E500" s="8">
        <v>1</v>
      </c>
      <c r="F500" s="9">
        <f t="shared" si="49"/>
        <v>0.125563691588627</v>
      </c>
      <c r="G500" s="9">
        <f t="shared" si="50"/>
        <v>0.117758674174985</v>
      </c>
      <c r="H500" s="9">
        <f t="shared" si="51"/>
        <v>0.113957576408619</v>
      </c>
      <c r="I500" s="3" t="str">
        <f t="shared" si="52"/>
        <v>2024-08-01</v>
      </c>
      <c r="J500" s="9">
        <f t="shared" si="53"/>
        <v>0.124690149870692</v>
      </c>
      <c r="K500" s="9">
        <f t="shared" si="54"/>
        <v>0.118337990613334</v>
      </c>
      <c r="L500" s="9">
        <f t="shared" si="55"/>
        <v>0.115679844936076</v>
      </c>
    </row>
    <row r="501" s="4" customFormat="1" ht="12" customHeight="1" spans="1:12">
      <c r="A501" s="4">
        <v>45518</v>
      </c>
      <c r="B501" s="8">
        <v>0.109479231328796</v>
      </c>
      <c r="C501" s="8">
        <v>0.0131807814070911</v>
      </c>
      <c r="D501" s="8">
        <v>0.0294050603655992</v>
      </c>
      <c r="E501" s="8">
        <v>1</v>
      </c>
      <c r="F501" s="9">
        <f t="shared" si="49"/>
        <v>0.125581100253424</v>
      </c>
      <c r="G501" s="9">
        <f t="shared" si="50"/>
        <v>0.117740881716131</v>
      </c>
      <c r="H501" s="9">
        <f t="shared" si="51"/>
        <v>0.113736287178967</v>
      </c>
      <c r="I501" s="3" t="str">
        <f t="shared" si="52"/>
        <v>2024-08-01</v>
      </c>
      <c r="J501" s="9">
        <f t="shared" si="53"/>
        <v>0.124690149870692</v>
      </c>
      <c r="K501" s="9">
        <f t="shared" si="54"/>
        <v>0.118337990613334</v>
      </c>
      <c r="L501" s="9">
        <f t="shared" si="55"/>
        <v>0.115679844936076</v>
      </c>
    </row>
    <row r="502" s="4" customFormat="1" ht="12" customHeight="1" spans="1:12">
      <c r="A502" s="4">
        <v>45517</v>
      </c>
      <c r="B502" s="8">
        <v>0.11125802106176</v>
      </c>
      <c r="C502" s="8">
        <v>0.010871112171303</v>
      </c>
      <c r="D502" s="8">
        <v>0.0257179674642569</v>
      </c>
      <c r="E502" s="8">
        <v>1</v>
      </c>
      <c r="F502" s="9">
        <f t="shared" si="49"/>
        <v>0.124925619029197</v>
      </c>
      <c r="G502" s="9">
        <f t="shared" si="50"/>
        <v>0.118353243631308</v>
      </c>
      <c r="H502" s="9">
        <f t="shared" si="51"/>
        <v>0.114915595317235</v>
      </c>
      <c r="I502" s="3" t="str">
        <f t="shared" si="52"/>
        <v>2024-08-01</v>
      </c>
      <c r="J502" s="9">
        <f t="shared" si="53"/>
        <v>0.124690149870692</v>
      </c>
      <c r="K502" s="9">
        <f t="shared" si="54"/>
        <v>0.118337990613334</v>
      </c>
      <c r="L502" s="9">
        <f t="shared" si="55"/>
        <v>0.115679844936076</v>
      </c>
    </row>
    <row r="503" s="4" customFormat="1" ht="12" customHeight="1" spans="1:12">
      <c r="A503" s="4">
        <v>45516</v>
      </c>
      <c r="B503" s="8">
        <v>0.110634319932789</v>
      </c>
      <c r="C503" s="8">
        <v>0.0115833127914604</v>
      </c>
      <c r="D503" s="8">
        <v>0.0290297548062116</v>
      </c>
      <c r="E503" s="8">
        <v>1</v>
      </c>
      <c r="F503" s="9">
        <f t="shared" si="49"/>
        <v>0.125627224942918</v>
      </c>
      <c r="G503" s="9">
        <f t="shared" si="50"/>
        <v>0.118506602763654</v>
      </c>
      <c r="H503" s="9">
        <f t="shared" si="51"/>
        <v>0.114694124360685</v>
      </c>
      <c r="I503" s="3" t="str">
        <f t="shared" si="52"/>
        <v>2024-08-01</v>
      </c>
      <c r="J503" s="9">
        <f t="shared" si="53"/>
        <v>0.124690149870692</v>
      </c>
      <c r="K503" s="9">
        <f t="shared" si="54"/>
        <v>0.118337990613334</v>
      </c>
      <c r="L503" s="9">
        <f t="shared" si="55"/>
        <v>0.115679844936076</v>
      </c>
    </row>
    <row r="504" s="4" customFormat="1" ht="12" customHeight="1" spans="1:12">
      <c r="A504" s="4">
        <v>45513</v>
      </c>
      <c r="B504" s="8">
        <v>0.11758991027056</v>
      </c>
      <c r="C504" s="8">
        <v>0.00453922296250352</v>
      </c>
      <c r="D504" s="8">
        <v>0.047475492591051</v>
      </c>
      <c r="E504" s="8">
        <v>0.106</v>
      </c>
      <c r="F504" s="9">
        <f t="shared" si="49"/>
        <v>0.123099233022303</v>
      </c>
      <c r="G504" s="9">
        <f t="shared" si="50"/>
        <v>0.118692622240295</v>
      </c>
      <c r="H504" s="9">
        <f t="shared" si="51"/>
        <v>0.118141266255428</v>
      </c>
      <c r="I504" s="3" t="str">
        <f t="shared" si="52"/>
        <v>2024-08-01</v>
      </c>
      <c r="J504" s="9">
        <f t="shared" si="53"/>
        <v>0.124690149870692</v>
      </c>
      <c r="K504" s="9">
        <f t="shared" si="54"/>
        <v>0.118337990613334</v>
      </c>
      <c r="L504" s="9">
        <f t="shared" si="55"/>
        <v>0.115679844936076</v>
      </c>
    </row>
    <row r="505" s="4" customFormat="1" ht="12" customHeight="1" spans="1:12">
      <c r="A505" s="4">
        <v>45512</v>
      </c>
      <c r="B505" s="8">
        <v>0.117698267324988</v>
      </c>
      <c r="C505" s="8">
        <v>0.00451936539926071</v>
      </c>
      <c r="D505" s="8">
        <v>0.0428176775337639</v>
      </c>
      <c r="E505" s="8">
        <v>0.116</v>
      </c>
      <c r="F505" s="9">
        <f t="shared" si="49"/>
        <v>0.123180652501678</v>
      </c>
      <c r="G505" s="9">
        <f t="shared" si="50"/>
        <v>0.118796486721034</v>
      </c>
      <c r="H505" s="9">
        <f t="shared" si="51"/>
        <v>0.118247377023011</v>
      </c>
      <c r="I505" s="3" t="str">
        <f t="shared" si="52"/>
        <v>2024-08-01</v>
      </c>
      <c r="J505" s="9">
        <f t="shared" si="53"/>
        <v>0.124690149870692</v>
      </c>
      <c r="K505" s="9">
        <f t="shared" si="54"/>
        <v>0.118337990613334</v>
      </c>
      <c r="L505" s="9">
        <f t="shared" si="55"/>
        <v>0.115679844936076</v>
      </c>
    </row>
    <row r="506" s="4" customFormat="1" ht="12" customHeight="1" spans="1:12">
      <c r="A506" s="4">
        <v>45511</v>
      </c>
      <c r="B506" s="8">
        <v>0.117867324976783</v>
      </c>
      <c r="C506" s="8">
        <v>0.00426180825628084</v>
      </c>
      <c r="D506" s="8">
        <v>0.0424741432519008</v>
      </c>
      <c r="E506" s="8">
        <v>0.116</v>
      </c>
      <c r="F506" s="9">
        <f t="shared" si="49"/>
        <v>0.123280058073942</v>
      </c>
      <c r="G506" s="9">
        <f t="shared" si="50"/>
        <v>0.118951599051773</v>
      </c>
      <c r="H506" s="9">
        <f t="shared" si="51"/>
        <v>0.118409462014278</v>
      </c>
      <c r="I506" s="3" t="str">
        <f t="shared" si="52"/>
        <v>2024-08-01</v>
      </c>
      <c r="J506" s="9">
        <f t="shared" si="53"/>
        <v>0.124690149870692</v>
      </c>
      <c r="K506" s="9">
        <f t="shared" si="54"/>
        <v>0.118337990613334</v>
      </c>
      <c r="L506" s="9">
        <f t="shared" si="55"/>
        <v>0.115679844936076</v>
      </c>
    </row>
    <row r="507" s="4" customFormat="1" ht="12" customHeight="1" spans="1:12">
      <c r="A507" s="4">
        <v>45510</v>
      </c>
      <c r="B507" s="8">
        <v>0.117368576541634</v>
      </c>
      <c r="C507" s="8">
        <v>0.00511450767291424</v>
      </c>
      <c r="D507" s="8">
        <v>0.0392947793037696</v>
      </c>
      <c r="E507" s="8">
        <v>0.086</v>
      </c>
      <c r="F507" s="9">
        <f t="shared" si="49"/>
        <v>0.121187390911121</v>
      </c>
      <c r="G507" s="9">
        <f t="shared" si="50"/>
        <v>0.118132416277633</v>
      </c>
      <c r="H507" s="9">
        <f t="shared" si="51"/>
        <v>0.117750496409633</v>
      </c>
      <c r="I507" s="3" t="str">
        <f t="shared" si="52"/>
        <v>2024-08-01</v>
      </c>
      <c r="J507" s="9">
        <f t="shared" si="53"/>
        <v>0.124690149870692</v>
      </c>
      <c r="K507" s="9">
        <f t="shared" si="54"/>
        <v>0.118337990613334</v>
      </c>
      <c r="L507" s="9">
        <f t="shared" si="55"/>
        <v>0.115679844936076</v>
      </c>
    </row>
    <row r="508" s="4" customFormat="1" ht="12" customHeight="1" spans="1:12">
      <c r="A508" s="4">
        <v>45509</v>
      </c>
      <c r="B508" s="8">
        <v>0.117736077942379</v>
      </c>
      <c r="C508" s="8">
        <v>0.00465853027122664</v>
      </c>
      <c r="D508" s="8">
        <v>0.0368821831345497</v>
      </c>
      <c r="E508" s="8">
        <v>0.076</v>
      </c>
      <c r="F508" s="9">
        <f t="shared" si="49"/>
        <v>0.120893094878008</v>
      </c>
      <c r="G508" s="9">
        <f t="shared" si="50"/>
        <v>0.118367496786147</v>
      </c>
      <c r="H508" s="9">
        <f t="shared" si="51"/>
        <v>0.118051787364263</v>
      </c>
      <c r="I508" s="3" t="str">
        <f t="shared" si="52"/>
        <v>2024-08-01</v>
      </c>
      <c r="J508" s="9">
        <f t="shared" si="53"/>
        <v>0.124690149870692</v>
      </c>
      <c r="K508" s="9">
        <f t="shared" si="54"/>
        <v>0.118337990613334</v>
      </c>
      <c r="L508" s="9">
        <f t="shared" si="55"/>
        <v>0.115679844936076</v>
      </c>
    </row>
    <row r="509" s="4" customFormat="1" ht="12" customHeight="1" spans="1:12">
      <c r="A509" s="4">
        <v>45506</v>
      </c>
      <c r="B509" s="8">
        <v>0.117789953464476</v>
      </c>
      <c r="C509" s="8">
        <v>0.00813760313331447</v>
      </c>
      <c r="D509" s="8">
        <v>0.0281331588748794</v>
      </c>
      <c r="E509" s="8">
        <v>0.086</v>
      </c>
      <c r="F509" s="9">
        <f t="shared" si="49"/>
        <v>0.120908960418322</v>
      </c>
      <c r="G509" s="9">
        <f t="shared" si="50"/>
        <v>0.118413810571017</v>
      </c>
      <c r="H509" s="9">
        <f t="shared" si="51"/>
        <v>0.118101882017746</v>
      </c>
      <c r="I509" s="3" t="str">
        <f t="shared" si="52"/>
        <v>2024-08-01</v>
      </c>
      <c r="J509" s="9">
        <f t="shared" si="53"/>
        <v>0.124690149870692</v>
      </c>
      <c r="K509" s="9">
        <f t="shared" si="54"/>
        <v>0.118337990613334</v>
      </c>
      <c r="L509" s="9">
        <f t="shared" si="55"/>
        <v>0.115679844936076</v>
      </c>
    </row>
    <row r="510" s="4" customFormat="1" ht="12" customHeight="1" spans="1:12">
      <c r="A510" s="4">
        <v>45505</v>
      </c>
      <c r="B510" s="8">
        <v>0.113251844434632</v>
      </c>
      <c r="C510" s="8">
        <v>0.0155810274083368</v>
      </c>
      <c r="D510" s="8">
        <v>0.0042678537122261</v>
      </c>
      <c r="E510" s="8">
        <v>1</v>
      </c>
      <c r="F510" s="9">
        <f t="shared" si="49"/>
        <v>0.124228674622029</v>
      </c>
      <c r="G510" s="9">
        <f t="shared" si="50"/>
        <v>0.117166115944835</v>
      </c>
      <c r="H510" s="9">
        <f t="shared" si="51"/>
        <v>0.115236448672649</v>
      </c>
      <c r="I510" s="3" t="str">
        <f t="shared" si="52"/>
        <v>2024-08-01</v>
      </c>
      <c r="J510" s="9">
        <f t="shared" si="53"/>
        <v>0.124690149870692</v>
      </c>
      <c r="K510" s="9">
        <f t="shared" si="54"/>
        <v>0.118337990613334</v>
      </c>
      <c r="L510" s="9">
        <f t="shared" si="55"/>
        <v>0.115679844936076</v>
      </c>
    </row>
    <row r="511" s="4" customFormat="1" ht="12" customHeight="1" spans="1:12">
      <c r="A511" s="4">
        <v>45504</v>
      </c>
      <c r="B511" s="8">
        <v>0.118740717754462</v>
      </c>
      <c r="C511" s="8">
        <v>0.00718683884332832</v>
      </c>
      <c r="D511" s="8">
        <v>0.0288880236720134</v>
      </c>
      <c r="E511" s="8">
        <v>0.106</v>
      </c>
      <c r="F511" s="9">
        <f t="shared" si="49"/>
        <v>0.122562037475858</v>
      </c>
      <c r="G511" s="9">
        <f t="shared" si="50"/>
        <v>0.119505504839787</v>
      </c>
      <c r="H511" s="9">
        <f t="shared" si="51"/>
        <v>0.119123111297125</v>
      </c>
      <c r="I511" s="3" t="str">
        <f t="shared" si="52"/>
        <v>2024-07-01</v>
      </c>
      <c r="J511" s="9">
        <f t="shared" si="53"/>
        <v>0.124741486177562</v>
      </c>
      <c r="K511" s="9">
        <f t="shared" si="54"/>
        <v>0.121565903949726</v>
      </c>
      <c r="L511" s="9">
        <f t="shared" si="55"/>
        <v>0.120151173929994</v>
      </c>
    </row>
    <row r="512" s="4" customFormat="1" ht="12" customHeight="1" spans="1:12">
      <c r="A512" s="4">
        <v>45503</v>
      </c>
      <c r="B512" s="8">
        <v>0.119396414464631</v>
      </c>
      <c r="C512" s="8">
        <v>0.00829294667625816</v>
      </c>
      <c r="D512" s="8">
        <v>0.0344211846426785</v>
      </c>
      <c r="E512" s="8">
        <v>0.106</v>
      </c>
      <c r="F512" s="9">
        <f t="shared" si="49"/>
        <v>0.123920997963944</v>
      </c>
      <c r="G512" s="9">
        <f t="shared" si="50"/>
        <v>0.120301954048592</v>
      </c>
      <c r="H512" s="9">
        <f t="shared" si="51"/>
        <v>0.119849184256612</v>
      </c>
      <c r="I512" s="3" t="str">
        <f t="shared" si="52"/>
        <v>2024-07-01</v>
      </c>
      <c r="J512" s="9">
        <f t="shared" si="53"/>
        <v>0.124741486177562</v>
      </c>
      <c r="K512" s="9">
        <f t="shared" si="54"/>
        <v>0.121565903949726</v>
      </c>
      <c r="L512" s="9">
        <f t="shared" si="55"/>
        <v>0.120151173929994</v>
      </c>
    </row>
    <row r="513" s="4" customFormat="1" ht="12" customHeight="1" spans="1:12">
      <c r="A513" s="4">
        <v>45502</v>
      </c>
      <c r="B513" s="8">
        <v>0.120847241203805</v>
      </c>
      <c r="C513" s="8">
        <v>0.0121089860448201</v>
      </c>
      <c r="D513" s="8">
        <v>0.015422094292861</v>
      </c>
      <c r="E513" s="8">
        <v>0.116</v>
      </c>
      <c r="F513" s="9">
        <f t="shared" si="49"/>
        <v>0.124037489445107</v>
      </c>
      <c r="G513" s="9">
        <f t="shared" si="50"/>
        <v>0.121485962267639</v>
      </c>
      <c r="H513" s="9">
        <f t="shared" si="51"/>
        <v>0.121166601735722</v>
      </c>
      <c r="I513" s="3" t="str">
        <f t="shared" si="52"/>
        <v>2024-07-01</v>
      </c>
      <c r="J513" s="9">
        <f t="shared" si="53"/>
        <v>0.124741486177562</v>
      </c>
      <c r="K513" s="9">
        <f t="shared" si="54"/>
        <v>0.121565903949726</v>
      </c>
      <c r="L513" s="9">
        <f t="shared" si="55"/>
        <v>0.120151173929994</v>
      </c>
    </row>
    <row r="514" s="4" customFormat="1" ht="12" customHeight="1" spans="1:12">
      <c r="A514" s="4">
        <v>45499</v>
      </c>
      <c r="B514" s="8">
        <v>0.121614695832043</v>
      </c>
      <c r="C514" s="8">
        <v>0.0104656445251651</v>
      </c>
      <c r="D514" s="8">
        <v>0.0181980753367652</v>
      </c>
      <c r="E514" s="8">
        <v>0.076</v>
      </c>
      <c r="F514" s="9">
        <f t="shared" si="49"/>
        <v>0.123793099211101</v>
      </c>
      <c r="G514" s="9">
        <f t="shared" si="50"/>
        <v>0.122050384373944</v>
      </c>
      <c r="H514" s="9">
        <f t="shared" si="51"/>
        <v>0.121832540102994</v>
      </c>
      <c r="I514" s="3" t="str">
        <f t="shared" si="52"/>
        <v>2024-07-01</v>
      </c>
      <c r="J514" s="9">
        <f t="shared" si="53"/>
        <v>0.124741486177562</v>
      </c>
      <c r="K514" s="9">
        <f t="shared" si="54"/>
        <v>0.121565903949726</v>
      </c>
      <c r="L514" s="9">
        <f t="shared" si="55"/>
        <v>0.120151173929994</v>
      </c>
    </row>
    <row r="515" s="4" customFormat="1" ht="12" customHeight="1" spans="1:12">
      <c r="A515" s="4">
        <v>45498</v>
      </c>
      <c r="B515" s="8">
        <v>0.121794052424141</v>
      </c>
      <c r="C515" s="8">
        <v>0.00413350417364966</v>
      </c>
      <c r="D515" s="8">
        <v>2.80967631886482e-5</v>
      </c>
      <c r="E515" s="8">
        <v>0.92</v>
      </c>
      <c r="F515" s="9">
        <f t="shared" si="49"/>
        <v>0.124322063206644</v>
      </c>
      <c r="G515" s="9">
        <f t="shared" si="50"/>
        <v>0.122556324158789</v>
      </c>
      <c r="H515" s="9">
        <f t="shared" si="51"/>
        <v>0.122176911890242</v>
      </c>
      <c r="I515" s="3" t="str">
        <f t="shared" si="52"/>
        <v>2024-07-01</v>
      </c>
      <c r="J515" s="9">
        <f t="shared" si="53"/>
        <v>0.124741486177562</v>
      </c>
      <c r="K515" s="9">
        <f t="shared" si="54"/>
        <v>0.121565903949726</v>
      </c>
      <c r="L515" s="9">
        <f t="shared" si="55"/>
        <v>0.120151173929994</v>
      </c>
    </row>
    <row r="516" s="4" customFormat="1" ht="12" customHeight="1" spans="1:12">
      <c r="A516" s="4">
        <v>45497</v>
      </c>
      <c r="B516" s="8">
        <v>0.120882802666981</v>
      </c>
      <c r="C516" s="8">
        <v>0.00248461128330319</v>
      </c>
      <c r="D516" s="8">
        <v>0.00631271549077775</v>
      </c>
      <c r="E516" s="8">
        <v>1</v>
      </c>
      <c r="F516" s="9">
        <f t="shared" si="49"/>
        <v>0.124121455536589</v>
      </c>
      <c r="G516" s="9">
        <f t="shared" si="50"/>
        <v>0.122587878095093</v>
      </c>
      <c r="H516" s="9">
        <f t="shared" si="51"/>
        <v>0.121762208807747</v>
      </c>
      <c r="I516" s="3" t="str">
        <f t="shared" si="52"/>
        <v>2024-07-01</v>
      </c>
      <c r="J516" s="9">
        <f t="shared" si="53"/>
        <v>0.124741486177562</v>
      </c>
      <c r="K516" s="9">
        <f t="shared" si="54"/>
        <v>0.121565903949726</v>
      </c>
      <c r="L516" s="9">
        <f t="shared" si="55"/>
        <v>0.120151173929994</v>
      </c>
    </row>
    <row r="517" s="4" customFormat="1" ht="12" customHeight="1" spans="1:12">
      <c r="A517" s="4">
        <v>45496</v>
      </c>
      <c r="B517" s="8">
        <v>0.116564858388917</v>
      </c>
      <c r="C517" s="8">
        <v>0.00706770205635841</v>
      </c>
      <c r="D517" s="8">
        <v>0.0161316185956937</v>
      </c>
      <c r="E517" s="8">
        <v>1</v>
      </c>
      <c r="F517" s="9">
        <f t="shared" ref="F517:F580" si="56">B517+(C517+D517)*(E517/$F$3)*(1-EXP(-$F$3/E517))-D517*EXP(-$F$3/E517)</f>
        <v>0.12529513508976</v>
      </c>
      <c r="G517" s="9">
        <f t="shared" ref="G517:G580" si="57">B517+(C517+D517)*(E517/$G$3)*(1-EXP(-$G$3/E517))-D517*EXP(-$G$3/E517)</f>
        <v>0.121064765369627</v>
      </c>
      <c r="H517" s="9">
        <f t="shared" ref="H517:H580" si="58">B517+(C517+D517)*(E517/$H$3)*(1-EXP(-$H$3/E517))-D517*EXP(-$H$3/E517)</f>
        <v>0.118883952755018</v>
      </c>
      <c r="I517" s="3" t="str">
        <f t="shared" ref="I517:I580" si="59">TEXT(A517,"yyyy-mm-01")</f>
        <v>2024-07-01</v>
      </c>
      <c r="J517" s="9">
        <f t="shared" ref="J517:J580" si="60">AVERAGEIF($I:$I,I517,$F:$F)</f>
        <v>0.124741486177562</v>
      </c>
      <c r="K517" s="9">
        <f t="shared" ref="K517:K580" si="61">AVERAGEIF($I:$I,I517,$G:$G)</f>
        <v>0.121565903949726</v>
      </c>
      <c r="L517" s="9">
        <f t="shared" ref="L517:L580" si="62">AVERAGEIF($I:$I,I517,$H:$H)</f>
        <v>0.120151173929994</v>
      </c>
    </row>
    <row r="518" s="4" customFormat="1" ht="12" customHeight="1" spans="1:12">
      <c r="A518" s="4">
        <v>45495</v>
      </c>
      <c r="B518" s="8">
        <v>0.117978390503449</v>
      </c>
      <c r="C518" s="8">
        <v>0.00538902344683465</v>
      </c>
      <c r="D518" s="8">
        <v>0.0143951117245295</v>
      </c>
      <c r="E518" s="8">
        <v>1</v>
      </c>
      <c r="F518" s="9">
        <f t="shared" si="56"/>
        <v>0.125188683427091</v>
      </c>
      <c r="G518" s="9">
        <f t="shared" si="57"/>
        <v>0.121811563147035</v>
      </c>
      <c r="H518" s="9">
        <f t="shared" si="58"/>
        <v>0.119956060663689</v>
      </c>
      <c r="I518" s="3" t="str">
        <f t="shared" si="59"/>
        <v>2024-07-01</v>
      </c>
      <c r="J518" s="9">
        <f t="shared" si="60"/>
        <v>0.124741486177562</v>
      </c>
      <c r="K518" s="9">
        <f t="shared" si="61"/>
        <v>0.121565903949726</v>
      </c>
      <c r="L518" s="9">
        <f t="shared" si="62"/>
        <v>0.120151173929994</v>
      </c>
    </row>
    <row r="519" s="4" customFormat="1" ht="12" customHeight="1" spans="1:12">
      <c r="A519" s="4">
        <v>45492</v>
      </c>
      <c r="B519" s="8">
        <v>0.119126727085943</v>
      </c>
      <c r="C519" s="8">
        <v>0.00432907684097494</v>
      </c>
      <c r="D519" s="8">
        <v>0.0123784762652028</v>
      </c>
      <c r="E519" s="8">
        <v>1</v>
      </c>
      <c r="F519" s="9">
        <f t="shared" si="56"/>
        <v>0.125134127961081</v>
      </c>
      <c r="G519" s="9">
        <f t="shared" si="57"/>
        <v>0.122362317268711</v>
      </c>
      <c r="H519" s="9">
        <f t="shared" si="58"/>
        <v>0.120796844562434</v>
      </c>
      <c r="I519" s="3" t="str">
        <f t="shared" si="59"/>
        <v>2024-07-01</v>
      </c>
      <c r="J519" s="9">
        <f t="shared" si="60"/>
        <v>0.124741486177562</v>
      </c>
      <c r="K519" s="9">
        <f t="shared" si="61"/>
        <v>0.121565903949726</v>
      </c>
      <c r="L519" s="9">
        <f t="shared" si="62"/>
        <v>0.120151173929994</v>
      </c>
    </row>
    <row r="520" s="4" customFormat="1" ht="12" customHeight="1" spans="1:12">
      <c r="A520" s="4">
        <v>45491</v>
      </c>
      <c r="B520" s="8">
        <v>0.126278997669835</v>
      </c>
      <c r="C520" s="8">
        <v>-0.00255807068007664</v>
      </c>
      <c r="D520" s="8">
        <v>-0.00637847461295398</v>
      </c>
      <c r="E520" s="8">
        <v>0.286</v>
      </c>
      <c r="F520" s="9">
        <f t="shared" si="56"/>
        <v>0.123993883985257</v>
      </c>
      <c r="G520" s="9">
        <f t="shared" si="57"/>
        <v>0.125767827455124</v>
      </c>
      <c r="H520" s="9">
        <f t="shared" si="58"/>
        <v>0.126023412474454</v>
      </c>
      <c r="I520" s="3" t="str">
        <f t="shared" si="59"/>
        <v>2024-07-01</v>
      </c>
      <c r="J520" s="9">
        <f t="shared" si="60"/>
        <v>0.124741486177562</v>
      </c>
      <c r="K520" s="9">
        <f t="shared" si="61"/>
        <v>0.121565903949726</v>
      </c>
      <c r="L520" s="9">
        <f t="shared" si="62"/>
        <v>0.120151173929994</v>
      </c>
    </row>
    <row r="521" s="4" customFormat="1" ht="12" customHeight="1" spans="1:12">
      <c r="A521" s="4">
        <v>45490</v>
      </c>
      <c r="B521" s="8">
        <v>0.121768214069008</v>
      </c>
      <c r="C521" s="8">
        <v>0.00124556182613584</v>
      </c>
      <c r="D521" s="8">
        <v>0.00820105402492591</v>
      </c>
      <c r="E521" s="8">
        <v>1</v>
      </c>
      <c r="F521" s="9">
        <f t="shared" si="56"/>
        <v>0.124722614988113</v>
      </c>
      <c r="G521" s="9">
        <f t="shared" si="57"/>
        <v>0.123589548812479</v>
      </c>
      <c r="H521" s="9">
        <f t="shared" si="58"/>
        <v>0.122712460439268</v>
      </c>
      <c r="I521" s="3" t="str">
        <f t="shared" si="59"/>
        <v>2024-07-01</v>
      </c>
      <c r="J521" s="9">
        <f t="shared" si="60"/>
        <v>0.124741486177562</v>
      </c>
      <c r="K521" s="9">
        <f t="shared" si="61"/>
        <v>0.121565903949726</v>
      </c>
      <c r="L521" s="9">
        <f t="shared" si="62"/>
        <v>0.120151173929994</v>
      </c>
    </row>
    <row r="522" s="4" customFormat="1" ht="12" customHeight="1" spans="1:12">
      <c r="A522" s="4">
        <v>45489</v>
      </c>
      <c r="B522" s="8">
        <v>0.114147810516302</v>
      </c>
      <c r="C522" s="8">
        <v>0.00833527369824661</v>
      </c>
      <c r="D522" s="8">
        <v>0.0279371148123173</v>
      </c>
      <c r="E522" s="8">
        <v>1</v>
      </c>
      <c r="F522" s="9">
        <f t="shared" si="56"/>
        <v>0.126798842826549</v>
      </c>
      <c r="G522" s="9">
        <f t="shared" si="57"/>
        <v>0.121165169133239</v>
      </c>
      <c r="H522" s="9">
        <f t="shared" si="58"/>
        <v>0.117773616347919</v>
      </c>
      <c r="I522" s="3" t="str">
        <f t="shared" si="59"/>
        <v>2024-07-01</v>
      </c>
      <c r="J522" s="9">
        <f t="shared" si="60"/>
        <v>0.124741486177562</v>
      </c>
      <c r="K522" s="9">
        <f t="shared" si="61"/>
        <v>0.121565903949726</v>
      </c>
      <c r="L522" s="9">
        <f t="shared" si="62"/>
        <v>0.120151173929994</v>
      </c>
    </row>
    <row r="523" s="4" customFormat="1" ht="12" customHeight="1" spans="1:12">
      <c r="A523" s="4">
        <v>45488</v>
      </c>
      <c r="B523" s="8">
        <v>0.114155472349727</v>
      </c>
      <c r="C523" s="8">
        <v>0.00832761186482142</v>
      </c>
      <c r="D523" s="8">
        <v>0.027724609945349</v>
      </c>
      <c r="E523" s="8">
        <v>1</v>
      </c>
      <c r="F523" s="9">
        <f t="shared" si="56"/>
        <v>0.126745508933992</v>
      </c>
      <c r="G523" s="9">
        <f t="shared" si="57"/>
        <v>0.121130526167428</v>
      </c>
      <c r="H523" s="9">
        <f t="shared" si="58"/>
        <v>0.117759272158566</v>
      </c>
      <c r="I523" s="3" t="str">
        <f t="shared" si="59"/>
        <v>2024-07-01</v>
      </c>
      <c r="J523" s="9">
        <f t="shared" si="60"/>
        <v>0.124741486177562</v>
      </c>
      <c r="K523" s="9">
        <f t="shared" si="61"/>
        <v>0.121565903949726</v>
      </c>
      <c r="L523" s="9">
        <f t="shared" si="62"/>
        <v>0.120151173929994</v>
      </c>
    </row>
    <row r="524" s="4" customFormat="1" ht="12" customHeight="1" spans="1:12">
      <c r="A524" s="4">
        <v>45485</v>
      </c>
      <c r="B524" s="8">
        <v>0.114797300132043</v>
      </c>
      <c r="C524" s="8">
        <v>0.00768578408250541</v>
      </c>
      <c r="D524" s="8">
        <v>0.0263652397225504</v>
      </c>
      <c r="E524" s="8">
        <v>1</v>
      </c>
      <c r="F524" s="9">
        <f t="shared" si="56"/>
        <v>0.126622422672896</v>
      </c>
      <c r="G524" s="9">
        <f t="shared" si="57"/>
        <v>0.121383970506453</v>
      </c>
      <c r="H524" s="9">
        <f t="shared" si="58"/>
        <v>0.118201050941108</v>
      </c>
      <c r="I524" s="3" t="str">
        <f t="shared" si="59"/>
        <v>2024-07-01</v>
      </c>
      <c r="J524" s="9">
        <f t="shared" si="60"/>
        <v>0.124741486177562</v>
      </c>
      <c r="K524" s="9">
        <f t="shared" si="61"/>
        <v>0.121565903949726</v>
      </c>
      <c r="L524" s="9">
        <f t="shared" si="62"/>
        <v>0.120151173929994</v>
      </c>
    </row>
    <row r="525" s="4" customFormat="1" ht="12" customHeight="1" spans="1:12">
      <c r="A525" s="4">
        <v>45484</v>
      </c>
      <c r="B525" s="8">
        <v>0.115880968661989</v>
      </c>
      <c r="C525" s="8">
        <v>0.00651363955161703</v>
      </c>
      <c r="D525" s="8">
        <v>0.0250103050750672</v>
      </c>
      <c r="E525" s="8">
        <v>1</v>
      </c>
      <c r="F525" s="9">
        <f t="shared" si="56"/>
        <v>0.126607125101346</v>
      </c>
      <c r="G525" s="9">
        <f t="shared" si="57"/>
        <v>0.12197475814368</v>
      </c>
      <c r="H525" s="9">
        <f t="shared" si="58"/>
        <v>0.119032084540076</v>
      </c>
      <c r="I525" s="3" t="str">
        <f t="shared" si="59"/>
        <v>2024-07-01</v>
      </c>
      <c r="J525" s="9">
        <f t="shared" si="60"/>
        <v>0.124741486177562</v>
      </c>
      <c r="K525" s="9">
        <f t="shared" si="61"/>
        <v>0.121565903949726</v>
      </c>
      <c r="L525" s="9">
        <f t="shared" si="62"/>
        <v>0.120151173929994</v>
      </c>
    </row>
    <row r="526" s="4" customFormat="1" ht="12" customHeight="1" spans="1:12">
      <c r="A526" s="4">
        <v>45483</v>
      </c>
      <c r="B526" s="8">
        <v>0.117976636155131</v>
      </c>
      <c r="C526" s="8">
        <v>0.00539077779515267</v>
      </c>
      <c r="D526" s="8">
        <v>0.0170432533792773</v>
      </c>
      <c r="E526" s="8">
        <v>1</v>
      </c>
      <c r="F526" s="9">
        <f t="shared" si="56"/>
        <v>0.125887785948977</v>
      </c>
      <c r="G526" s="9">
        <f t="shared" si="57"/>
        <v>0.12231837398945</v>
      </c>
      <c r="H526" s="9">
        <f t="shared" si="58"/>
        <v>0.120219163659724</v>
      </c>
      <c r="I526" s="3" t="str">
        <f t="shared" si="59"/>
        <v>2024-07-01</v>
      </c>
      <c r="J526" s="9">
        <f t="shared" si="60"/>
        <v>0.124741486177562</v>
      </c>
      <c r="K526" s="9">
        <f t="shared" si="61"/>
        <v>0.121565903949726</v>
      </c>
      <c r="L526" s="9">
        <f t="shared" si="62"/>
        <v>0.120151173929994</v>
      </c>
    </row>
    <row r="527" s="4" customFormat="1" ht="12" customHeight="1" spans="1:12">
      <c r="A527" s="4">
        <v>45482</v>
      </c>
      <c r="B527" s="8">
        <v>0.113644277814953</v>
      </c>
      <c r="C527" s="8">
        <v>0.00919263214410987</v>
      </c>
      <c r="D527" s="8">
        <v>0.0240288987513957</v>
      </c>
      <c r="E527" s="8">
        <v>1</v>
      </c>
      <c r="F527" s="9">
        <f t="shared" si="56"/>
        <v>0.125804552645132</v>
      </c>
      <c r="G527" s="9">
        <f t="shared" si="57"/>
        <v>0.12008190956494</v>
      </c>
      <c r="H527" s="9">
        <f t="shared" si="58"/>
        <v>0.116965189168671</v>
      </c>
      <c r="I527" s="3" t="str">
        <f t="shared" si="59"/>
        <v>2024-07-01</v>
      </c>
      <c r="J527" s="9">
        <f t="shared" si="60"/>
        <v>0.124741486177562</v>
      </c>
      <c r="K527" s="9">
        <f t="shared" si="61"/>
        <v>0.121565903949726</v>
      </c>
      <c r="L527" s="9">
        <f t="shared" si="62"/>
        <v>0.120151173929994</v>
      </c>
    </row>
    <row r="528" s="4" customFormat="1" ht="12" customHeight="1" spans="1:12">
      <c r="A528" s="4">
        <v>45478</v>
      </c>
      <c r="B528" s="8">
        <v>0.114279720169655</v>
      </c>
      <c r="C528" s="8">
        <v>0.0093528402756202</v>
      </c>
      <c r="D528" s="8">
        <v>0.0225797742501195</v>
      </c>
      <c r="E528" s="8">
        <v>1</v>
      </c>
      <c r="F528" s="9">
        <f t="shared" si="56"/>
        <v>0.126158347575611</v>
      </c>
      <c r="G528" s="9">
        <f t="shared" si="57"/>
        <v>0.120471069699811</v>
      </c>
      <c r="H528" s="9">
        <f t="shared" si="58"/>
        <v>0.117471811528218</v>
      </c>
      <c r="I528" s="3" t="str">
        <f t="shared" si="59"/>
        <v>2024-07-01</v>
      </c>
      <c r="J528" s="9">
        <f t="shared" si="60"/>
        <v>0.124741486177562</v>
      </c>
      <c r="K528" s="9">
        <f t="shared" si="61"/>
        <v>0.121565903949726</v>
      </c>
      <c r="L528" s="9">
        <f t="shared" si="62"/>
        <v>0.120151173929994</v>
      </c>
    </row>
    <row r="529" s="4" customFormat="1" ht="12" customHeight="1" spans="1:12">
      <c r="A529" s="4">
        <v>45477</v>
      </c>
      <c r="B529" s="8">
        <v>0.120666593442021</v>
      </c>
      <c r="C529" s="8">
        <v>0.00137403246700398</v>
      </c>
      <c r="D529" s="8">
        <v>0.0360008531520578</v>
      </c>
      <c r="E529" s="8">
        <v>0.096</v>
      </c>
      <c r="F529" s="9">
        <f t="shared" si="56"/>
        <v>0.124253397588058</v>
      </c>
      <c r="G529" s="9">
        <f t="shared" si="57"/>
        <v>0.121384191245907</v>
      </c>
      <c r="H529" s="9">
        <f t="shared" si="58"/>
        <v>0.121025392343964</v>
      </c>
      <c r="I529" s="3" t="str">
        <f t="shared" si="59"/>
        <v>2024-07-01</v>
      </c>
      <c r="J529" s="9">
        <f t="shared" si="60"/>
        <v>0.124741486177562</v>
      </c>
      <c r="K529" s="9">
        <f t="shared" si="61"/>
        <v>0.121565903949726</v>
      </c>
      <c r="L529" s="9">
        <f t="shared" si="62"/>
        <v>0.120151173929994</v>
      </c>
    </row>
    <row r="530" s="4" customFormat="1" ht="12" customHeight="1" spans="1:12">
      <c r="A530" s="4">
        <v>45476</v>
      </c>
      <c r="B530" s="8">
        <v>0.121709696563679</v>
      </c>
      <c r="C530" s="8">
        <v>0.000242414187067428</v>
      </c>
      <c r="D530" s="8">
        <v>0.0313731211852026</v>
      </c>
      <c r="E530" s="8">
        <v>0.076</v>
      </c>
      <c r="F530" s="9">
        <f t="shared" si="56"/>
        <v>0.124112412058234</v>
      </c>
      <c r="G530" s="9">
        <f t="shared" si="57"/>
        <v>0.122190252701338</v>
      </c>
      <c r="H530" s="9">
        <f t="shared" si="58"/>
        <v>0.121949974632508</v>
      </c>
      <c r="I530" s="3" t="str">
        <f t="shared" si="59"/>
        <v>2024-07-01</v>
      </c>
      <c r="J530" s="9">
        <f t="shared" si="60"/>
        <v>0.124741486177562</v>
      </c>
      <c r="K530" s="9">
        <f t="shared" si="61"/>
        <v>0.121565903949726</v>
      </c>
      <c r="L530" s="9">
        <f t="shared" si="62"/>
        <v>0.120151173929994</v>
      </c>
    </row>
    <row r="531" s="4" customFormat="1" ht="12" customHeight="1" spans="1:12">
      <c r="A531" s="4">
        <v>45475</v>
      </c>
      <c r="B531" s="8">
        <v>0.118912086214702</v>
      </c>
      <c r="C531" s="8">
        <v>0.00410168968044221</v>
      </c>
      <c r="D531" s="8">
        <v>0.0319049407720455</v>
      </c>
      <c r="E531" s="8">
        <v>0.076</v>
      </c>
      <c r="F531" s="9">
        <f t="shared" si="56"/>
        <v>0.121648523264696</v>
      </c>
      <c r="G531" s="9">
        <f t="shared" si="57"/>
        <v>0.11945938699758</v>
      </c>
      <c r="H531" s="9">
        <f t="shared" si="58"/>
        <v>0.119185736606141</v>
      </c>
      <c r="I531" s="3" t="str">
        <f t="shared" si="59"/>
        <v>2024-07-01</v>
      </c>
      <c r="J531" s="9">
        <f t="shared" si="60"/>
        <v>0.124741486177562</v>
      </c>
      <c r="K531" s="9">
        <f t="shared" si="61"/>
        <v>0.121565903949726</v>
      </c>
      <c r="L531" s="9">
        <f t="shared" si="62"/>
        <v>0.120151173929994</v>
      </c>
    </row>
    <row r="532" s="4" customFormat="1" ht="12" customHeight="1" spans="1:12">
      <c r="A532" s="4">
        <v>45474</v>
      </c>
      <c r="B532" s="8">
        <v>0.119112242188021</v>
      </c>
      <c r="C532" s="8">
        <v>0.00416677397215026</v>
      </c>
      <c r="D532" s="8">
        <v>0.0414915628240281</v>
      </c>
      <c r="E532" s="8">
        <v>0.076</v>
      </c>
      <c r="F532" s="9">
        <f t="shared" si="56"/>
        <v>0.122582189000334</v>
      </c>
      <c r="G532" s="9">
        <f t="shared" si="57"/>
        <v>0.119806248907323</v>
      </c>
      <c r="H532" s="9">
        <f t="shared" si="58"/>
        <v>0.119459245547672</v>
      </c>
      <c r="I532" s="3" t="str">
        <f t="shared" si="59"/>
        <v>2024-07-01</v>
      </c>
      <c r="J532" s="9">
        <f t="shared" si="60"/>
        <v>0.124741486177562</v>
      </c>
      <c r="K532" s="9">
        <f t="shared" si="61"/>
        <v>0.121565903949726</v>
      </c>
      <c r="L532" s="9">
        <f t="shared" si="62"/>
        <v>0.120151173929994</v>
      </c>
    </row>
    <row r="533" s="4" customFormat="1" ht="12" customHeight="1" spans="1:12">
      <c r="A533" s="4">
        <v>45471</v>
      </c>
      <c r="B533" s="8">
        <v>0.116976349487735</v>
      </c>
      <c r="C533" s="8">
        <v>0.00594899734956313</v>
      </c>
      <c r="D533" s="8">
        <v>0.0336606391937042</v>
      </c>
      <c r="E533" s="8">
        <v>0.5</v>
      </c>
      <c r="F533" s="9">
        <f t="shared" si="56"/>
        <v>0.129545404929922</v>
      </c>
      <c r="G533" s="9">
        <f t="shared" si="57"/>
        <v>0.120935605123935</v>
      </c>
      <c r="H533" s="9">
        <f t="shared" si="58"/>
        <v>0.118956831241437</v>
      </c>
      <c r="I533" s="3" t="str">
        <f t="shared" si="59"/>
        <v>2024-06-01</v>
      </c>
      <c r="J533" s="9">
        <f t="shared" si="60"/>
        <v>0.125071874754941</v>
      </c>
      <c r="K533" s="9">
        <f t="shared" si="61"/>
        <v>0.120191081669786</v>
      </c>
      <c r="L533" s="9">
        <f t="shared" si="62"/>
        <v>0.118997165605589</v>
      </c>
    </row>
    <row r="534" s="4" customFormat="1" ht="12" customHeight="1" spans="1:12">
      <c r="A534" s="4">
        <v>45470</v>
      </c>
      <c r="B534" s="8">
        <v>0.122972890766565</v>
      </c>
      <c r="C534" s="8">
        <v>0.00145468760848717</v>
      </c>
      <c r="D534" s="8">
        <v>0.0249729374480976</v>
      </c>
      <c r="E534" s="8">
        <v>0.5</v>
      </c>
      <c r="F534" s="9">
        <f t="shared" si="56"/>
        <v>0.131018688670917</v>
      </c>
      <c r="G534" s="9">
        <f t="shared" si="57"/>
        <v>0.125614399521385</v>
      </c>
      <c r="H534" s="9">
        <f t="shared" si="58"/>
        <v>0.124294271965198</v>
      </c>
      <c r="I534" s="3" t="str">
        <f t="shared" si="59"/>
        <v>2024-06-01</v>
      </c>
      <c r="J534" s="9">
        <f t="shared" si="60"/>
        <v>0.125071874754941</v>
      </c>
      <c r="K534" s="9">
        <f t="shared" si="61"/>
        <v>0.120191081669786</v>
      </c>
      <c r="L534" s="9">
        <f t="shared" si="62"/>
        <v>0.118997165605589</v>
      </c>
    </row>
    <row r="535" s="4" customFormat="1" ht="12" customHeight="1" spans="1:12">
      <c r="A535" s="4">
        <v>45469</v>
      </c>
      <c r="B535" s="8">
        <v>0.121808804307702</v>
      </c>
      <c r="C535" s="8">
        <v>0.0124598164973324</v>
      </c>
      <c r="D535" s="8">
        <v>-0.00935348776890624</v>
      </c>
      <c r="E535" s="8">
        <v>0.5</v>
      </c>
      <c r="F535" s="9">
        <f t="shared" si="56"/>
        <v>0.124417627649226</v>
      </c>
      <c r="G535" s="9">
        <f t="shared" si="57"/>
        <v>0.122119847725522</v>
      </c>
      <c r="H535" s="9">
        <f t="shared" si="58"/>
        <v>0.121964120763082</v>
      </c>
      <c r="I535" s="3" t="str">
        <f t="shared" si="59"/>
        <v>2024-06-01</v>
      </c>
      <c r="J535" s="9">
        <f t="shared" si="60"/>
        <v>0.125071874754941</v>
      </c>
      <c r="K535" s="9">
        <f t="shared" si="61"/>
        <v>0.120191081669786</v>
      </c>
      <c r="L535" s="9">
        <f t="shared" si="62"/>
        <v>0.118997165605589</v>
      </c>
    </row>
    <row r="536" s="4" customFormat="1" ht="12" customHeight="1" spans="1:12">
      <c r="A536" s="4">
        <v>45468</v>
      </c>
      <c r="B536" s="8">
        <v>0.118300652904197</v>
      </c>
      <c r="C536" s="8">
        <v>0.0221566997910591</v>
      </c>
      <c r="D536" s="8">
        <v>-0.0129204109807135</v>
      </c>
      <c r="E536" s="8">
        <v>0.5</v>
      </c>
      <c r="F536" s="9">
        <f t="shared" si="56"/>
        <v>0.124042386907876</v>
      </c>
      <c r="G536" s="9">
        <f t="shared" si="57"/>
        <v>0.119224826438296</v>
      </c>
      <c r="H536" s="9">
        <f t="shared" si="58"/>
        <v>0.118762467370393</v>
      </c>
      <c r="I536" s="3" t="str">
        <f t="shared" si="59"/>
        <v>2024-06-01</v>
      </c>
      <c r="J536" s="9">
        <f t="shared" si="60"/>
        <v>0.125071874754941</v>
      </c>
      <c r="K536" s="9">
        <f t="shared" si="61"/>
        <v>0.120191081669786</v>
      </c>
      <c r="L536" s="9">
        <f t="shared" si="62"/>
        <v>0.118997165605589</v>
      </c>
    </row>
    <row r="537" s="4" customFormat="1" ht="12" customHeight="1" spans="1:12">
      <c r="A537" s="4">
        <v>45467</v>
      </c>
      <c r="B537" s="8">
        <v>0.118749303949269</v>
      </c>
      <c r="C537" s="8">
        <v>0.0162185564612152</v>
      </c>
      <c r="D537" s="8">
        <v>-0.00681481536640615</v>
      </c>
      <c r="E537" s="8">
        <v>0.5</v>
      </c>
      <c r="F537" s="9">
        <f t="shared" si="56"/>
        <v>0.123737130482216</v>
      </c>
      <c r="G537" s="9">
        <f t="shared" si="57"/>
        <v>0.11968994475797</v>
      </c>
      <c r="H537" s="9">
        <f t="shared" si="58"/>
        <v>0.119219491017087</v>
      </c>
      <c r="I537" s="3" t="str">
        <f t="shared" si="59"/>
        <v>2024-06-01</v>
      </c>
      <c r="J537" s="9">
        <f t="shared" si="60"/>
        <v>0.125071874754941</v>
      </c>
      <c r="K537" s="9">
        <f t="shared" si="61"/>
        <v>0.120191081669786</v>
      </c>
      <c r="L537" s="9">
        <f t="shared" si="62"/>
        <v>0.118997165605589</v>
      </c>
    </row>
    <row r="538" s="4" customFormat="1" ht="12" customHeight="1" spans="1:12">
      <c r="A538" s="4">
        <v>45464</v>
      </c>
      <c r="B538" s="8">
        <v>0.124523081943149</v>
      </c>
      <c r="C538" s="8">
        <v>0.00219767083600787</v>
      </c>
      <c r="D538" s="8">
        <v>-0.00724774875092412</v>
      </c>
      <c r="E538" s="8">
        <v>0.51</v>
      </c>
      <c r="F538" s="9">
        <f t="shared" si="56"/>
        <v>0.123330150287287</v>
      </c>
      <c r="G538" s="9">
        <f t="shared" si="57"/>
        <v>0.124008402773864</v>
      </c>
      <c r="H538" s="9">
        <f t="shared" si="58"/>
        <v>0.124265527992386</v>
      </c>
      <c r="I538" s="3" t="str">
        <f t="shared" si="59"/>
        <v>2024-06-01</v>
      </c>
      <c r="J538" s="9">
        <f t="shared" si="60"/>
        <v>0.125071874754941</v>
      </c>
      <c r="K538" s="9">
        <f t="shared" si="61"/>
        <v>0.120191081669786</v>
      </c>
      <c r="L538" s="9">
        <f t="shared" si="62"/>
        <v>0.118997165605589</v>
      </c>
    </row>
    <row r="539" s="4" customFormat="1" ht="12" customHeight="1" spans="1:12">
      <c r="A539" s="4">
        <v>45463</v>
      </c>
      <c r="B539" s="8">
        <v>0.124497387943177</v>
      </c>
      <c r="C539" s="8">
        <v>0.00107743496488928</v>
      </c>
      <c r="D539" s="8">
        <v>-0.00510985828089037</v>
      </c>
      <c r="E539" s="8">
        <v>0.64</v>
      </c>
      <c r="F539" s="9">
        <f t="shared" si="56"/>
        <v>0.123528676284042</v>
      </c>
      <c r="G539" s="9">
        <f t="shared" si="57"/>
        <v>0.123983514295877</v>
      </c>
      <c r="H539" s="9">
        <f t="shared" si="58"/>
        <v>0.124239313729886</v>
      </c>
      <c r="I539" s="3" t="str">
        <f t="shared" si="59"/>
        <v>2024-06-01</v>
      </c>
      <c r="J539" s="9">
        <f t="shared" si="60"/>
        <v>0.125071874754941</v>
      </c>
      <c r="K539" s="9">
        <f t="shared" si="61"/>
        <v>0.120191081669786</v>
      </c>
      <c r="L539" s="9">
        <f t="shared" si="62"/>
        <v>0.118997165605589</v>
      </c>
    </row>
    <row r="540" s="4" customFormat="1" ht="12" customHeight="1" spans="1:12">
      <c r="A540" s="4">
        <v>45462</v>
      </c>
      <c r="B540" s="8">
        <v>0.120528313639301</v>
      </c>
      <c r="C540" s="8">
        <v>0.00548740694355864</v>
      </c>
      <c r="D540" s="8">
        <v>8.13453461761784e-5</v>
      </c>
      <c r="E540" s="8">
        <v>1</v>
      </c>
      <c r="F540" s="9">
        <f t="shared" si="56"/>
        <v>0.124018511168173</v>
      </c>
      <c r="G540" s="9">
        <f t="shared" si="57"/>
        <v>0.121634011605061</v>
      </c>
      <c r="H540" s="9">
        <f t="shared" si="58"/>
        <v>0.121085159893105</v>
      </c>
      <c r="I540" s="3" t="str">
        <f t="shared" si="59"/>
        <v>2024-06-01</v>
      </c>
      <c r="J540" s="9">
        <f t="shared" si="60"/>
        <v>0.125071874754941</v>
      </c>
      <c r="K540" s="9">
        <f t="shared" si="61"/>
        <v>0.120191081669786</v>
      </c>
      <c r="L540" s="9">
        <f t="shared" si="62"/>
        <v>0.118997165605589</v>
      </c>
    </row>
    <row r="541" s="4" customFormat="1" ht="12" customHeight="1" spans="1:12">
      <c r="A541" s="4">
        <v>45461</v>
      </c>
      <c r="B541" s="8">
        <v>0.114067140449476</v>
      </c>
      <c r="C541" s="8">
        <v>0.0124774008754797</v>
      </c>
      <c r="D541" s="8">
        <v>0.00997985730641091</v>
      </c>
      <c r="E541" s="8">
        <v>1</v>
      </c>
      <c r="F541" s="9">
        <f t="shared" si="56"/>
        <v>0.124591450712317</v>
      </c>
      <c r="G541" s="9">
        <f t="shared" si="57"/>
        <v>0.11846108517319</v>
      </c>
      <c r="H541" s="9">
        <f t="shared" si="58"/>
        <v>0.11631231122705</v>
      </c>
      <c r="I541" s="3" t="str">
        <f t="shared" si="59"/>
        <v>2024-06-01</v>
      </c>
      <c r="J541" s="9">
        <f t="shared" si="60"/>
        <v>0.125071874754941</v>
      </c>
      <c r="K541" s="9">
        <f t="shared" si="61"/>
        <v>0.120191081669786</v>
      </c>
      <c r="L541" s="9">
        <f t="shared" si="62"/>
        <v>0.118997165605589</v>
      </c>
    </row>
    <row r="542" s="4" customFormat="1" ht="12" customHeight="1" spans="1:12">
      <c r="A542" s="4">
        <v>45460</v>
      </c>
      <c r="B542" s="8">
        <v>0.11585430616409</v>
      </c>
      <c r="C542" s="8">
        <v>0.0111307055903986</v>
      </c>
      <c r="D542" s="8">
        <v>0.00693322119690939</v>
      </c>
      <c r="E542" s="8">
        <v>1</v>
      </c>
      <c r="F542" s="9">
        <f t="shared" si="56"/>
        <v>0.124722296120084</v>
      </c>
      <c r="G542" s="9">
        <f t="shared" si="57"/>
        <v>0.119396033088336</v>
      </c>
      <c r="H542" s="9">
        <f t="shared" si="58"/>
        <v>0.117660302064965</v>
      </c>
      <c r="I542" s="3" t="str">
        <f t="shared" si="59"/>
        <v>2024-06-01</v>
      </c>
      <c r="J542" s="9">
        <f t="shared" si="60"/>
        <v>0.125071874754941</v>
      </c>
      <c r="K542" s="9">
        <f t="shared" si="61"/>
        <v>0.120191081669786</v>
      </c>
      <c r="L542" s="9">
        <f t="shared" si="62"/>
        <v>0.118997165605589</v>
      </c>
    </row>
    <row r="543" s="4" customFormat="1" spans="1:12">
      <c r="A543" s="4">
        <v>45457</v>
      </c>
      <c r="B543" s="8">
        <v>0.122598361768756</v>
      </c>
      <c r="C543" s="8">
        <v>0.0046508391467077</v>
      </c>
      <c r="D543" s="8">
        <v>-0.00424403573868939</v>
      </c>
      <c r="E543" s="8">
        <v>0.5</v>
      </c>
      <c r="F543" s="9">
        <f t="shared" si="56"/>
        <v>0.123348603824304</v>
      </c>
      <c r="G543" s="9">
        <f t="shared" si="57"/>
        <v>0.122639232941598</v>
      </c>
      <c r="H543" s="9">
        <f t="shared" si="58"/>
        <v>0.122618701947863</v>
      </c>
      <c r="I543" s="3" t="str">
        <f t="shared" si="59"/>
        <v>2024-06-01</v>
      </c>
      <c r="J543" s="9">
        <f t="shared" si="60"/>
        <v>0.125071874754941</v>
      </c>
      <c r="K543" s="9">
        <f t="shared" si="61"/>
        <v>0.120191081669786</v>
      </c>
      <c r="L543" s="9">
        <f t="shared" si="62"/>
        <v>0.118997165605589</v>
      </c>
    </row>
    <row r="544" s="4" customFormat="1" ht="12" customHeight="1" spans="1:12">
      <c r="A544" s="4">
        <v>45456</v>
      </c>
      <c r="B544" s="8">
        <v>0.122666931740685</v>
      </c>
      <c r="C544" s="8">
        <v>0.00440615082279077</v>
      </c>
      <c r="D544" s="8">
        <v>-0.00381919805492435</v>
      </c>
      <c r="E544" s="8">
        <v>0.5</v>
      </c>
      <c r="F544" s="9">
        <f t="shared" si="56"/>
        <v>0.123437562665575</v>
      </c>
      <c r="G544" s="9">
        <f t="shared" si="57"/>
        <v>0.122725797744034</v>
      </c>
      <c r="H544" s="9">
        <f t="shared" si="58"/>
        <v>0.12269627938689</v>
      </c>
      <c r="I544" s="3" t="str">
        <f t="shared" si="59"/>
        <v>2024-06-01</v>
      </c>
      <c r="J544" s="9">
        <f t="shared" si="60"/>
        <v>0.125071874754941</v>
      </c>
      <c r="K544" s="9">
        <f t="shared" si="61"/>
        <v>0.120191081669786</v>
      </c>
      <c r="L544" s="9">
        <f t="shared" si="62"/>
        <v>0.118997165605589</v>
      </c>
    </row>
    <row r="545" s="4" customFormat="1" ht="12" customHeight="1" spans="1:12">
      <c r="A545" s="4">
        <v>45455</v>
      </c>
      <c r="B545" s="8">
        <v>0.118378191717491</v>
      </c>
      <c r="C545" s="8">
        <v>0.00922315287623089</v>
      </c>
      <c r="D545" s="8">
        <v>0.00237854165030635</v>
      </c>
      <c r="E545" s="8">
        <v>1</v>
      </c>
      <c r="F545" s="9">
        <f t="shared" si="56"/>
        <v>0.124836844771846</v>
      </c>
      <c r="G545" s="9">
        <f t="shared" si="57"/>
        <v>0.12066686981466</v>
      </c>
      <c r="H545" s="9">
        <f t="shared" si="58"/>
        <v>0.119538200512909</v>
      </c>
      <c r="I545" s="3" t="str">
        <f t="shared" si="59"/>
        <v>2024-06-01</v>
      </c>
      <c r="J545" s="9">
        <f t="shared" si="60"/>
        <v>0.125071874754941</v>
      </c>
      <c r="K545" s="9">
        <f t="shared" si="61"/>
        <v>0.120191081669786</v>
      </c>
      <c r="L545" s="9">
        <f t="shared" si="62"/>
        <v>0.118997165605589</v>
      </c>
    </row>
    <row r="546" s="4" customFormat="1" ht="12" customHeight="1" spans="1:12">
      <c r="A546" s="4">
        <v>45454</v>
      </c>
      <c r="B546" s="8">
        <v>0.111405627841283</v>
      </c>
      <c r="C546" s="8">
        <v>0.0162837332996062</v>
      </c>
      <c r="D546" s="8">
        <v>0.0118403833921418</v>
      </c>
      <c r="E546" s="8">
        <v>1</v>
      </c>
      <c r="F546" s="9">
        <f t="shared" si="56"/>
        <v>0.124827626575474</v>
      </c>
      <c r="G546" s="9">
        <f t="shared" si="57"/>
        <v>0.116912771542354</v>
      </c>
      <c r="H546" s="9">
        <f t="shared" si="58"/>
        <v>0.114217374274591</v>
      </c>
      <c r="I546" s="3" t="str">
        <f t="shared" si="59"/>
        <v>2024-06-01</v>
      </c>
      <c r="J546" s="9">
        <f t="shared" si="60"/>
        <v>0.125071874754941</v>
      </c>
      <c r="K546" s="9">
        <f t="shared" si="61"/>
        <v>0.120191081669786</v>
      </c>
      <c r="L546" s="9">
        <f t="shared" si="62"/>
        <v>0.118997165605589</v>
      </c>
    </row>
    <row r="547" s="4" customFormat="1" ht="12" customHeight="1" spans="1:12">
      <c r="A547" s="4">
        <v>45453</v>
      </c>
      <c r="B547" s="8">
        <v>0.11516165611269</v>
      </c>
      <c r="C547" s="8">
        <v>0.0153401519514679</v>
      </c>
      <c r="D547" s="8">
        <v>0.00142039093209475</v>
      </c>
      <c r="E547" s="8">
        <v>1</v>
      </c>
      <c r="F547" s="9">
        <f t="shared" si="56"/>
        <v>0.125233807224174</v>
      </c>
      <c r="G547" s="9">
        <f t="shared" si="57"/>
        <v>0.118481607840659</v>
      </c>
      <c r="H547" s="9">
        <f t="shared" si="58"/>
        <v>0.116837569822651</v>
      </c>
      <c r="I547" s="3" t="str">
        <f t="shared" si="59"/>
        <v>2024-06-01</v>
      </c>
      <c r="J547" s="9">
        <f t="shared" si="60"/>
        <v>0.125071874754941</v>
      </c>
      <c r="K547" s="9">
        <f t="shared" si="61"/>
        <v>0.120191081669786</v>
      </c>
      <c r="L547" s="9">
        <f t="shared" si="62"/>
        <v>0.118997165605589</v>
      </c>
    </row>
    <row r="548" s="4" customFormat="1" ht="12" customHeight="1" spans="1:12">
      <c r="A548" s="4">
        <v>45450</v>
      </c>
      <c r="B548" s="8">
        <v>0.114641804773416</v>
      </c>
      <c r="C548" s="8">
        <v>0.0129595398203058</v>
      </c>
      <c r="D548" s="8">
        <v>0.0083339786729894</v>
      </c>
      <c r="E548" s="8">
        <v>1</v>
      </c>
      <c r="F548" s="9">
        <f t="shared" si="56"/>
        <v>0.12503597616587</v>
      </c>
      <c r="G548" s="9">
        <f t="shared" si="57"/>
        <v>0.118815659645679</v>
      </c>
      <c r="H548" s="9">
        <f t="shared" si="58"/>
        <v>0.116770681588275</v>
      </c>
      <c r="I548" s="3" t="str">
        <f t="shared" si="59"/>
        <v>2024-06-01</v>
      </c>
      <c r="J548" s="9">
        <f t="shared" si="60"/>
        <v>0.125071874754941</v>
      </c>
      <c r="K548" s="9">
        <f t="shared" si="61"/>
        <v>0.120191081669786</v>
      </c>
      <c r="L548" s="9">
        <f t="shared" si="62"/>
        <v>0.118997165605589</v>
      </c>
    </row>
    <row r="549" s="4" customFormat="1" ht="12.6" customHeight="1" spans="1:12">
      <c r="A549" s="4">
        <v>45449</v>
      </c>
      <c r="B549" s="8">
        <v>0.115849108627425</v>
      </c>
      <c r="C549" s="8">
        <v>0.00937285612595649</v>
      </c>
      <c r="D549" s="8">
        <v>0.0105240270181429</v>
      </c>
      <c r="E549" s="8">
        <v>1</v>
      </c>
      <c r="F549" s="9">
        <f t="shared" si="56"/>
        <v>0.124554764341112</v>
      </c>
      <c r="G549" s="9">
        <f t="shared" si="57"/>
        <v>0.119730762091165</v>
      </c>
      <c r="H549" s="9">
        <f t="shared" si="58"/>
        <v>0.117838228820038</v>
      </c>
      <c r="I549" s="3" t="str">
        <f t="shared" si="59"/>
        <v>2024-06-01</v>
      </c>
      <c r="J549" s="9">
        <f t="shared" si="60"/>
        <v>0.125071874754941</v>
      </c>
      <c r="K549" s="9">
        <f t="shared" si="61"/>
        <v>0.120191081669786</v>
      </c>
      <c r="L549" s="9">
        <f t="shared" si="62"/>
        <v>0.118997165605589</v>
      </c>
    </row>
    <row r="550" s="4" customFormat="1" ht="12.6" customHeight="1" spans="1:12">
      <c r="A550" s="4">
        <v>45448</v>
      </c>
      <c r="B550" s="8">
        <v>0.116203122635911</v>
      </c>
      <c r="C550" s="8">
        <v>0.00725268129100696</v>
      </c>
      <c r="D550" s="8">
        <v>0.0188605723206661</v>
      </c>
      <c r="E550" s="8">
        <v>0.5</v>
      </c>
      <c r="F550" s="9">
        <f t="shared" si="56"/>
        <v>0.124940226257843</v>
      </c>
      <c r="G550" s="9">
        <f t="shared" si="57"/>
        <v>0.118813473174432</v>
      </c>
      <c r="H550" s="9">
        <f t="shared" si="58"/>
        <v>0.117508785274929</v>
      </c>
      <c r="I550" s="3" t="str">
        <f t="shared" si="59"/>
        <v>2024-06-01</v>
      </c>
      <c r="J550" s="9">
        <f t="shared" si="60"/>
        <v>0.125071874754941</v>
      </c>
      <c r="K550" s="9">
        <f t="shared" si="61"/>
        <v>0.120191081669786</v>
      </c>
      <c r="L550" s="9">
        <f t="shared" si="62"/>
        <v>0.118997165605589</v>
      </c>
    </row>
    <row r="551" s="4" customFormat="1" ht="12.6" customHeight="1" spans="1:12">
      <c r="A551" s="4">
        <v>45447</v>
      </c>
      <c r="B551" s="8">
        <v>0.110289092849354</v>
      </c>
      <c r="C551" s="8">
        <v>0.0119285398748953</v>
      </c>
      <c r="D551" s="8">
        <v>0.0352203482172449</v>
      </c>
      <c r="E551" s="8">
        <v>0.5</v>
      </c>
      <c r="F551" s="9">
        <f t="shared" si="56"/>
        <v>0.125906527031631</v>
      </c>
      <c r="G551" s="9">
        <f t="shared" si="57"/>
        <v>0.115002168601612</v>
      </c>
      <c r="H551" s="9">
        <f t="shared" si="58"/>
        <v>0.112646537176507</v>
      </c>
      <c r="I551" s="3" t="str">
        <f t="shared" si="59"/>
        <v>2024-06-01</v>
      </c>
      <c r="J551" s="9">
        <f t="shared" si="60"/>
        <v>0.125071874754941</v>
      </c>
      <c r="K551" s="9">
        <f t="shared" si="61"/>
        <v>0.120191081669786</v>
      </c>
      <c r="L551" s="9">
        <f t="shared" si="62"/>
        <v>0.118997165605589</v>
      </c>
    </row>
    <row r="552" s="4" customFormat="1" ht="12.6" customHeight="1" spans="1:12">
      <c r="A552" s="4">
        <v>45446</v>
      </c>
      <c r="B552" s="8">
        <v>0.110054815651027</v>
      </c>
      <c r="C552" s="8">
        <v>0.0126936496080267</v>
      </c>
      <c r="D552" s="8">
        <v>0.0364331598252523</v>
      </c>
      <c r="E552" s="8">
        <v>0.5</v>
      </c>
      <c r="F552" s="9">
        <f t="shared" si="56"/>
        <v>0.126363233028929</v>
      </c>
      <c r="G552" s="9">
        <f t="shared" si="57"/>
        <v>0.114965619496088</v>
      </c>
      <c r="H552" s="9">
        <f t="shared" si="58"/>
        <v>0.112511156042534</v>
      </c>
      <c r="I552" s="3" t="str">
        <f t="shared" si="59"/>
        <v>2024-06-01</v>
      </c>
      <c r="J552" s="9">
        <f t="shared" si="60"/>
        <v>0.125071874754941</v>
      </c>
      <c r="K552" s="9">
        <f t="shared" si="61"/>
        <v>0.120191081669786</v>
      </c>
      <c r="L552" s="9">
        <f t="shared" si="62"/>
        <v>0.118997165605589</v>
      </c>
    </row>
    <row r="553" s="4" customFormat="1" ht="12.6" customHeight="1" spans="1:12">
      <c r="A553" s="4">
        <v>45443</v>
      </c>
      <c r="B553" s="8">
        <v>0.112175961933401</v>
      </c>
      <c r="C553" s="8">
        <v>0.0113682241580544</v>
      </c>
      <c r="D553" s="8">
        <v>0.0291138333133314</v>
      </c>
      <c r="E553" s="8">
        <v>0.5</v>
      </c>
      <c r="F553" s="9">
        <f t="shared" si="56"/>
        <v>0.125737536434585</v>
      </c>
      <c r="G553" s="9">
        <f t="shared" si="57"/>
        <v>0.116222662126295</v>
      </c>
      <c r="H553" s="9">
        <f t="shared" si="58"/>
        <v>0.11420006474279</v>
      </c>
      <c r="I553" s="3" t="str">
        <f t="shared" si="59"/>
        <v>2024-05-01</v>
      </c>
      <c r="J553" s="9">
        <f t="shared" si="60"/>
        <v>0.117447224936198</v>
      </c>
      <c r="K553" s="9">
        <f t="shared" si="61"/>
        <v>0.116157316861607</v>
      </c>
      <c r="L553" s="9">
        <f t="shared" si="62"/>
        <v>0.116240549362981</v>
      </c>
    </row>
    <row r="554" s="4" customFormat="1" ht="12.6" customHeight="1" spans="1:12">
      <c r="A554" s="4">
        <v>45442</v>
      </c>
      <c r="B554" s="8">
        <v>0.114565986186496</v>
      </c>
      <c r="C554" s="8">
        <v>0.011802312628311</v>
      </c>
      <c r="D554" s="8">
        <v>0.0102843307442878</v>
      </c>
      <c r="E554" s="8">
        <v>0.5</v>
      </c>
      <c r="F554" s="9">
        <f t="shared" si="56"/>
        <v>0.12272292399033</v>
      </c>
      <c r="G554" s="9">
        <f t="shared" si="57"/>
        <v>0.116774083342657</v>
      </c>
      <c r="H554" s="9">
        <f t="shared" si="58"/>
        <v>0.115670318331652</v>
      </c>
      <c r="I554" s="3" t="str">
        <f t="shared" si="59"/>
        <v>2024-05-01</v>
      </c>
      <c r="J554" s="9">
        <f t="shared" si="60"/>
        <v>0.117447224936198</v>
      </c>
      <c r="K554" s="9">
        <f t="shared" si="61"/>
        <v>0.116157316861607</v>
      </c>
      <c r="L554" s="9">
        <f t="shared" si="62"/>
        <v>0.116240549362981</v>
      </c>
    </row>
    <row r="555" s="4" customFormat="1" ht="12.6" customHeight="1" spans="1:12">
      <c r="A555" s="4">
        <v>45441</v>
      </c>
      <c r="B555" s="8">
        <v>0.117600635997161</v>
      </c>
      <c r="C555" s="8">
        <v>0.00612029099259731</v>
      </c>
      <c r="D555" s="8">
        <v>-0.00471462374602694</v>
      </c>
      <c r="E555" s="8">
        <v>0.5</v>
      </c>
      <c r="F555" s="9">
        <f t="shared" si="56"/>
        <v>0.118846406372993</v>
      </c>
      <c r="G555" s="9">
        <f t="shared" si="57"/>
        <v>0.117741410383686</v>
      </c>
      <c r="H555" s="9">
        <f t="shared" si="58"/>
        <v>0.117670919369062</v>
      </c>
      <c r="I555" s="3" t="str">
        <f t="shared" si="59"/>
        <v>2024-05-01</v>
      </c>
      <c r="J555" s="9">
        <f t="shared" si="60"/>
        <v>0.117447224936198</v>
      </c>
      <c r="K555" s="9">
        <f t="shared" si="61"/>
        <v>0.116157316861607</v>
      </c>
      <c r="L555" s="9">
        <f t="shared" si="62"/>
        <v>0.116240549362981</v>
      </c>
    </row>
    <row r="556" s="4" customFormat="1" ht="12.6" customHeight="1" spans="1:12">
      <c r="A556" s="4">
        <v>45440</v>
      </c>
      <c r="B556" s="8">
        <v>0.115773045076261</v>
      </c>
      <c r="C556" s="8">
        <v>0.0053820764802058</v>
      </c>
      <c r="D556" s="8">
        <v>0.000812480402202533</v>
      </c>
      <c r="E556" s="8">
        <v>1</v>
      </c>
      <c r="F556" s="9">
        <f t="shared" si="56"/>
        <v>0.119389856998139</v>
      </c>
      <c r="G556" s="9">
        <f t="shared" si="57"/>
        <v>0.116998134283664</v>
      </c>
      <c r="H556" s="9">
        <f t="shared" si="58"/>
        <v>0.116392435754704</v>
      </c>
      <c r="I556" s="3" t="str">
        <f t="shared" si="59"/>
        <v>2024-05-01</v>
      </c>
      <c r="J556" s="9">
        <f t="shared" si="60"/>
        <v>0.117447224936198</v>
      </c>
      <c r="K556" s="9">
        <f t="shared" si="61"/>
        <v>0.116157316861607</v>
      </c>
      <c r="L556" s="9">
        <f t="shared" si="62"/>
        <v>0.116240549362981</v>
      </c>
    </row>
    <row r="557" s="4" customFormat="1" ht="12.6" customHeight="1" spans="1:12">
      <c r="A557" s="4">
        <v>45439</v>
      </c>
      <c r="B557" s="8">
        <v>0.118398737955153</v>
      </c>
      <c r="C557" s="8">
        <v>0.00443817200390942</v>
      </c>
      <c r="D557" s="8">
        <v>-0.00465667983723185</v>
      </c>
      <c r="E557" s="8">
        <v>0.5</v>
      </c>
      <c r="F557" s="9">
        <f t="shared" si="56"/>
        <v>0.118934483032962</v>
      </c>
      <c r="G557" s="9">
        <f t="shared" si="57"/>
        <v>0.118377099576782</v>
      </c>
      <c r="H557" s="9">
        <f t="shared" si="58"/>
        <v>0.118387812573108</v>
      </c>
      <c r="I557" s="3" t="str">
        <f t="shared" si="59"/>
        <v>2024-05-01</v>
      </c>
      <c r="J557" s="9">
        <f t="shared" si="60"/>
        <v>0.117447224936198</v>
      </c>
      <c r="K557" s="9">
        <f t="shared" si="61"/>
        <v>0.116157316861607</v>
      </c>
      <c r="L557" s="9">
        <f t="shared" si="62"/>
        <v>0.116240549362981</v>
      </c>
    </row>
    <row r="558" s="4" customFormat="1" ht="12.6" customHeight="1" spans="1:12">
      <c r="A558" s="4">
        <v>45436</v>
      </c>
      <c r="B558" s="8">
        <v>0.118398737955153</v>
      </c>
      <c r="C558" s="8">
        <v>0.00443817200390942</v>
      </c>
      <c r="D558" s="8">
        <v>-0.00465667983723185</v>
      </c>
      <c r="E558" s="8">
        <v>0.5</v>
      </c>
      <c r="F558" s="9">
        <f t="shared" si="56"/>
        <v>0.118934483032962</v>
      </c>
      <c r="G558" s="9">
        <f t="shared" si="57"/>
        <v>0.118377099576782</v>
      </c>
      <c r="H558" s="9">
        <f t="shared" si="58"/>
        <v>0.118387812573108</v>
      </c>
      <c r="I558" s="3" t="str">
        <f t="shared" si="59"/>
        <v>2024-05-01</v>
      </c>
      <c r="J558" s="9">
        <f t="shared" si="60"/>
        <v>0.117447224936198</v>
      </c>
      <c r="K558" s="9">
        <f t="shared" si="61"/>
        <v>0.116157316861607</v>
      </c>
      <c r="L558" s="9">
        <f t="shared" si="62"/>
        <v>0.116240549362981</v>
      </c>
    </row>
    <row r="559" s="4" customFormat="1" ht="12.6" customHeight="1" spans="1:12">
      <c r="A559" s="4">
        <v>45435</v>
      </c>
      <c r="B559" s="8">
        <v>0.118303381431791</v>
      </c>
      <c r="C559" s="8">
        <v>0.00426817095638954</v>
      </c>
      <c r="D559" s="8">
        <v>-0.00367127219251376</v>
      </c>
      <c r="E559" s="8">
        <v>0.5</v>
      </c>
      <c r="F559" s="9">
        <f t="shared" si="56"/>
        <v>0.119058292744105</v>
      </c>
      <c r="G559" s="9">
        <f t="shared" si="57"/>
        <v>0.118363235273762</v>
      </c>
      <c r="H559" s="9">
        <f t="shared" si="58"/>
        <v>0.11833322637749</v>
      </c>
      <c r="I559" s="3" t="str">
        <f t="shared" si="59"/>
        <v>2024-05-01</v>
      </c>
      <c r="J559" s="9">
        <f t="shared" si="60"/>
        <v>0.117447224936198</v>
      </c>
      <c r="K559" s="9">
        <f t="shared" si="61"/>
        <v>0.116157316861607</v>
      </c>
      <c r="L559" s="9">
        <f t="shared" si="62"/>
        <v>0.116240549362981</v>
      </c>
    </row>
    <row r="560" s="4" customFormat="1" ht="12.6" customHeight="1" spans="1:12">
      <c r="A560" s="4">
        <v>45434</v>
      </c>
      <c r="B560" s="8">
        <v>0.118061044190049</v>
      </c>
      <c r="C560" s="8">
        <v>0.00486430264724899</v>
      </c>
      <c r="D560" s="8">
        <v>-0.00504312779235569</v>
      </c>
      <c r="E560" s="8">
        <v>0.5</v>
      </c>
      <c r="F560" s="9">
        <f t="shared" si="56"/>
        <v>0.118666245421504</v>
      </c>
      <c r="G560" s="9">
        <f t="shared" si="57"/>
        <v>0.118043391445051</v>
      </c>
      <c r="H560" s="9">
        <f t="shared" si="58"/>
        <v>0.118052102943207</v>
      </c>
      <c r="I560" s="3" t="str">
        <f t="shared" si="59"/>
        <v>2024-05-01</v>
      </c>
      <c r="J560" s="9">
        <f t="shared" si="60"/>
        <v>0.117447224936198</v>
      </c>
      <c r="K560" s="9">
        <f t="shared" si="61"/>
        <v>0.116157316861607</v>
      </c>
      <c r="L560" s="9">
        <f t="shared" si="62"/>
        <v>0.116240549362981</v>
      </c>
    </row>
    <row r="561" s="4" customFormat="1" ht="12.6" customHeight="1" spans="1:12">
      <c r="A561" s="4">
        <v>45433</v>
      </c>
      <c r="B561" s="8">
        <v>0.117542728321654</v>
      </c>
      <c r="C561" s="8">
        <v>0.0223313009218222</v>
      </c>
      <c r="D561" s="8">
        <v>-0.0432940129297653</v>
      </c>
      <c r="E561" s="8">
        <v>0.5</v>
      </c>
      <c r="F561" s="9">
        <f t="shared" si="56"/>
        <v>0.114339077103483</v>
      </c>
      <c r="G561" s="9">
        <f t="shared" si="57"/>
        <v>0.115448517836571</v>
      </c>
      <c r="H561" s="9">
        <f t="shared" si="58"/>
        <v>0.116494592812653</v>
      </c>
      <c r="I561" s="3" t="str">
        <f t="shared" si="59"/>
        <v>2024-05-01</v>
      </c>
      <c r="J561" s="9">
        <f t="shared" si="60"/>
        <v>0.117447224936198</v>
      </c>
      <c r="K561" s="9">
        <f t="shared" si="61"/>
        <v>0.116157316861607</v>
      </c>
      <c r="L561" s="9">
        <f t="shared" si="62"/>
        <v>0.116240549362981</v>
      </c>
    </row>
    <row r="562" s="4" customFormat="1" ht="12.6" customHeight="1" spans="1:12">
      <c r="A562" s="4">
        <v>45432</v>
      </c>
      <c r="B562" s="8">
        <v>0.11856043777566</v>
      </c>
      <c r="C562" s="8">
        <v>0.0223313009218222</v>
      </c>
      <c r="D562" s="8">
        <v>-0.0432940129297653</v>
      </c>
      <c r="E562" s="8">
        <v>0.5</v>
      </c>
      <c r="F562" s="9">
        <f t="shared" si="56"/>
        <v>0.115356786557489</v>
      </c>
      <c r="G562" s="9">
        <f t="shared" si="57"/>
        <v>0.116466227290577</v>
      </c>
      <c r="H562" s="9">
        <f t="shared" si="58"/>
        <v>0.117512302266659</v>
      </c>
      <c r="I562" s="3" t="str">
        <f t="shared" si="59"/>
        <v>2024-05-01</v>
      </c>
      <c r="J562" s="9">
        <f t="shared" si="60"/>
        <v>0.117447224936198</v>
      </c>
      <c r="K562" s="9">
        <f t="shared" si="61"/>
        <v>0.116157316861607</v>
      </c>
      <c r="L562" s="9">
        <f t="shared" si="62"/>
        <v>0.116240549362981</v>
      </c>
    </row>
    <row r="563" s="4" customFormat="1" ht="12.6" customHeight="1" spans="1:12">
      <c r="A563" s="4">
        <v>45429</v>
      </c>
      <c r="B563" s="8">
        <v>0.119497332243222</v>
      </c>
      <c r="C563" s="8">
        <v>0.0230433545388884</v>
      </c>
      <c r="D563" s="8">
        <v>-0.0537560562842686</v>
      </c>
      <c r="E563" s="8">
        <v>0.5</v>
      </c>
      <c r="F563" s="9">
        <f t="shared" si="56"/>
        <v>0.113494328568283</v>
      </c>
      <c r="G563" s="9">
        <f t="shared" si="57"/>
        <v>0.116428642025314</v>
      </c>
      <c r="H563" s="9">
        <f t="shared" si="58"/>
        <v>0.117961697269918</v>
      </c>
      <c r="I563" s="3" t="str">
        <f t="shared" si="59"/>
        <v>2024-05-01</v>
      </c>
      <c r="J563" s="9">
        <f t="shared" si="60"/>
        <v>0.117447224936198</v>
      </c>
      <c r="K563" s="9">
        <f t="shared" si="61"/>
        <v>0.116157316861607</v>
      </c>
      <c r="L563" s="9">
        <f t="shared" si="62"/>
        <v>0.116240549362981</v>
      </c>
    </row>
    <row r="564" s="4" customFormat="1" ht="12.6" customHeight="1" spans="1:12">
      <c r="A564" s="4">
        <v>45428</v>
      </c>
      <c r="B564" s="8">
        <v>0.11757989725573</v>
      </c>
      <c r="C564" s="8">
        <v>0.0111650586348325</v>
      </c>
      <c r="D564" s="8">
        <v>-0.0232553594205961</v>
      </c>
      <c r="E564" s="8">
        <v>0.5</v>
      </c>
      <c r="F564" s="9">
        <f t="shared" si="56"/>
        <v>0.115500139657432</v>
      </c>
      <c r="G564" s="9">
        <f t="shared" si="57"/>
        <v>0.116371977858719</v>
      </c>
      <c r="H564" s="9">
        <f t="shared" si="58"/>
        <v>0.116975382265621</v>
      </c>
      <c r="I564" s="3" t="str">
        <f t="shared" si="59"/>
        <v>2024-05-01</v>
      </c>
      <c r="J564" s="9">
        <f t="shared" si="60"/>
        <v>0.117447224936198</v>
      </c>
      <c r="K564" s="9">
        <f t="shared" si="61"/>
        <v>0.116157316861607</v>
      </c>
      <c r="L564" s="9">
        <f t="shared" si="62"/>
        <v>0.116240549362981</v>
      </c>
    </row>
    <row r="565" s="4" customFormat="1" ht="12.6" customHeight="1" spans="1:12">
      <c r="A565" s="4">
        <v>45427</v>
      </c>
      <c r="B565" s="8">
        <v>0.11759199757823</v>
      </c>
      <c r="C565" s="8">
        <v>0.0106253002225239</v>
      </c>
      <c r="D565" s="8">
        <v>-0.0221151349228863</v>
      </c>
      <c r="E565" s="8">
        <v>0.5</v>
      </c>
      <c r="F565" s="9">
        <f t="shared" si="56"/>
        <v>0.115617528293411</v>
      </c>
      <c r="G565" s="9">
        <f t="shared" si="57"/>
        <v>0.116444070297535</v>
      </c>
      <c r="H565" s="9">
        <f t="shared" si="58"/>
        <v>0.117017505889979</v>
      </c>
      <c r="I565" s="3" t="str">
        <f t="shared" si="59"/>
        <v>2024-05-01</v>
      </c>
      <c r="J565" s="9">
        <f t="shared" si="60"/>
        <v>0.117447224936198</v>
      </c>
      <c r="K565" s="9">
        <f t="shared" si="61"/>
        <v>0.116157316861607</v>
      </c>
      <c r="L565" s="9">
        <f t="shared" si="62"/>
        <v>0.116240549362981</v>
      </c>
    </row>
    <row r="566" s="4" customFormat="1" ht="12.6" customHeight="1" spans="1:12">
      <c r="A566" s="4">
        <v>45426</v>
      </c>
      <c r="B566" s="8">
        <v>0.115634023106988</v>
      </c>
      <c r="C566" s="8">
        <v>0.0117032253542071</v>
      </c>
      <c r="D566" s="8">
        <v>-0.0202875923535285</v>
      </c>
      <c r="E566" s="8">
        <v>0.5</v>
      </c>
      <c r="F566" s="9">
        <f t="shared" si="56"/>
        <v>0.114668350534311</v>
      </c>
      <c r="G566" s="9">
        <f t="shared" si="57"/>
        <v>0.11477654643529</v>
      </c>
      <c r="H566" s="9">
        <f t="shared" si="58"/>
        <v>0.115204804799722</v>
      </c>
      <c r="I566" s="3" t="str">
        <f t="shared" si="59"/>
        <v>2024-05-01</v>
      </c>
      <c r="J566" s="9">
        <f t="shared" si="60"/>
        <v>0.117447224936198</v>
      </c>
      <c r="K566" s="9">
        <f t="shared" si="61"/>
        <v>0.116157316861607</v>
      </c>
      <c r="L566" s="9">
        <f t="shared" si="62"/>
        <v>0.116240549362981</v>
      </c>
    </row>
    <row r="567" s="4" customFormat="1" ht="12.6" customHeight="1" spans="1:12">
      <c r="A567" s="4">
        <v>45425</v>
      </c>
      <c r="B567" s="8">
        <v>0.115817279697027</v>
      </c>
      <c r="C567" s="8">
        <v>0.0121360846134343</v>
      </c>
      <c r="D567" s="8">
        <v>-0.0220396859938186</v>
      </c>
      <c r="E567" s="8">
        <v>0.5</v>
      </c>
      <c r="F567" s="9">
        <f t="shared" si="56"/>
        <v>0.114518379502193</v>
      </c>
      <c r="G567" s="9">
        <f t="shared" si="57"/>
        <v>0.114827965121465</v>
      </c>
      <c r="H567" s="9">
        <f t="shared" si="58"/>
        <v>0.115322099674456</v>
      </c>
      <c r="I567" s="3" t="str">
        <f t="shared" si="59"/>
        <v>2024-05-01</v>
      </c>
      <c r="J567" s="9">
        <f t="shared" si="60"/>
        <v>0.117447224936198</v>
      </c>
      <c r="K567" s="9">
        <f t="shared" si="61"/>
        <v>0.116157316861607</v>
      </c>
      <c r="L567" s="9">
        <f t="shared" si="62"/>
        <v>0.116240549362981</v>
      </c>
    </row>
    <row r="568" s="4" customFormat="1" ht="12.6" customHeight="1" spans="1:12">
      <c r="A568" s="4">
        <v>45422</v>
      </c>
      <c r="B568" s="8">
        <v>0.116817058326528</v>
      </c>
      <c r="C568" s="8">
        <v>0.0128945481951291</v>
      </c>
      <c r="D568" s="8">
        <v>-0.0298832553429866</v>
      </c>
      <c r="E568" s="8">
        <v>0.5</v>
      </c>
      <c r="F568" s="9">
        <f t="shared" si="56"/>
        <v>0.113516549325314</v>
      </c>
      <c r="G568" s="9">
        <f t="shared" si="57"/>
        <v>0.115119621438047</v>
      </c>
      <c r="H568" s="9">
        <f t="shared" si="58"/>
        <v>0.11596762303248</v>
      </c>
      <c r="I568" s="3" t="str">
        <f t="shared" si="59"/>
        <v>2024-05-01</v>
      </c>
      <c r="J568" s="9">
        <f t="shared" si="60"/>
        <v>0.117447224936198</v>
      </c>
      <c r="K568" s="9">
        <f t="shared" si="61"/>
        <v>0.116157316861607</v>
      </c>
      <c r="L568" s="9">
        <f t="shared" si="62"/>
        <v>0.116240549362981</v>
      </c>
    </row>
    <row r="569" s="4" customFormat="1" ht="12.6" customHeight="1" spans="1:12">
      <c r="A569" s="4">
        <v>45418</v>
      </c>
      <c r="B569" s="8">
        <v>0.111934877254504</v>
      </c>
      <c r="C569" s="8">
        <v>0.0138163280510559</v>
      </c>
      <c r="D569" s="8">
        <v>0.0051092922741232</v>
      </c>
      <c r="E569" s="8">
        <v>0.5</v>
      </c>
      <c r="F569" s="9">
        <f t="shared" si="56"/>
        <v>0.119425567806468</v>
      </c>
      <c r="G569" s="9">
        <f t="shared" si="57"/>
        <v>0.113827121403328</v>
      </c>
      <c r="H569" s="9">
        <f t="shared" si="58"/>
        <v>0.112881158258281</v>
      </c>
      <c r="I569" s="3" t="str">
        <f t="shared" si="59"/>
        <v>2024-05-01</v>
      </c>
      <c r="J569" s="9">
        <f t="shared" si="60"/>
        <v>0.117447224936198</v>
      </c>
      <c r="K569" s="9">
        <f t="shared" si="61"/>
        <v>0.116157316861607</v>
      </c>
      <c r="L569" s="9">
        <f t="shared" si="62"/>
        <v>0.116240549362981</v>
      </c>
    </row>
    <row r="570" s="4" customFormat="1" ht="12.6" customHeight="1" spans="1:12">
      <c r="A570" s="4">
        <v>45416</v>
      </c>
      <c r="B570" s="8">
        <v>0.111954159005228</v>
      </c>
      <c r="C570" s="8">
        <v>0.0127382849520904</v>
      </c>
      <c r="D570" s="8">
        <v>0.00748864295776205</v>
      </c>
      <c r="E570" s="8">
        <v>0.5</v>
      </c>
      <c r="F570" s="9">
        <f t="shared" si="56"/>
        <v>0.119685436835564</v>
      </c>
      <c r="G570" s="9">
        <f t="shared" si="57"/>
        <v>0.113976419982238</v>
      </c>
      <c r="H570" s="9">
        <f t="shared" si="58"/>
        <v>0.112965505383201</v>
      </c>
      <c r="I570" s="3" t="str">
        <f t="shared" si="59"/>
        <v>2024-05-01</v>
      </c>
      <c r="J570" s="9">
        <f t="shared" si="60"/>
        <v>0.117447224936198</v>
      </c>
      <c r="K570" s="9">
        <f t="shared" si="61"/>
        <v>0.116157316861607</v>
      </c>
      <c r="L570" s="9">
        <f t="shared" si="62"/>
        <v>0.116240549362981</v>
      </c>
    </row>
    <row r="571" s="4" customFormat="1" ht="12.6" customHeight="1" spans="1:12">
      <c r="A571" s="4">
        <v>45415</v>
      </c>
      <c r="B571" s="8">
        <v>0.113123402540333</v>
      </c>
      <c r="C571" s="8">
        <v>0.0154456982543743</v>
      </c>
      <c r="D571" s="8">
        <v>-0.0109147843888509</v>
      </c>
      <c r="E571" s="8">
        <v>0.72</v>
      </c>
      <c r="F571" s="9">
        <f t="shared" si="56"/>
        <v>0.118293834885491</v>
      </c>
      <c r="G571" s="9">
        <f t="shared" si="57"/>
        <v>0.113785746776669</v>
      </c>
      <c r="H571" s="9">
        <f t="shared" si="58"/>
        <v>0.11344963817806</v>
      </c>
      <c r="I571" s="3" t="str">
        <f t="shared" si="59"/>
        <v>2024-05-01</v>
      </c>
      <c r="J571" s="9">
        <f t="shared" si="60"/>
        <v>0.117447224936198</v>
      </c>
      <c r="K571" s="9">
        <f t="shared" si="61"/>
        <v>0.116157316861607</v>
      </c>
      <c r="L571" s="9">
        <f t="shared" si="62"/>
        <v>0.116240549362981</v>
      </c>
    </row>
    <row r="572" s="4" customFormat="1" ht="12.6" customHeight="1" spans="1:12">
      <c r="A572" s="4">
        <v>45414</v>
      </c>
      <c r="B572" s="8">
        <v>0.117153514117565</v>
      </c>
      <c r="C572" s="8">
        <v>0.015890259640199</v>
      </c>
      <c r="D572" s="8">
        <v>-0.0396808484070411</v>
      </c>
      <c r="E572" s="8">
        <v>0.5</v>
      </c>
      <c r="F572" s="9">
        <f t="shared" si="56"/>
        <v>0.112238291626943</v>
      </c>
      <c r="G572" s="9">
        <f t="shared" si="57"/>
        <v>0.114776364757717</v>
      </c>
      <c r="H572" s="9">
        <f t="shared" si="58"/>
        <v>0.115963984763463</v>
      </c>
      <c r="I572" s="3" t="str">
        <f t="shared" si="59"/>
        <v>2024-05-01</v>
      </c>
      <c r="J572" s="9">
        <f t="shared" si="60"/>
        <v>0.117447224936198</v>
      </c>
      <c r="K572" s="9">
        <f t="shared" si="61"/>
        <v>0.116157316861607</v>
      </c>
      <c r="L572" s="9">
        <f t="shared" si="62"/>
        <v>0.116240549362981</v>
      </c>
    </row>
    <row r="573" s="4" customFormat="1" ht="12.6" customHeight="1" spans="1:12">
      <c r="A573" s="4">
        <v>45412</v>
      </c>
      <c r="B573" s="8">
        <v>0.117414874145108</v>
      </c>
      <c r="C573" s="8">
        <v>0.0241714899167632</v>
      </c>
      <c r="D573" s="8">
        <v>-0.0539718804490975</v>
      </c>
      <c r="E573" s="8">
        <v>0.5</v>
      </c>
      <c r="F573" s="9">
        <f t="shared" si="56"/>
        <v>0.11183550075296</v>
      </c>
      <c r="G573" s="9">
        <f t="shared" si="57"/>
        <v>0.11443742070502</v>
      </c>
      <c r="H573" s="9">
        <f t="shared" si="58"/>
        <v>0.115924854732807</v>
      </c>
      <c r="I573" s="3" t="str">
        <f t="shared" si="59"/>
        <v>2024-04-01</v>
      </c>
      <c r="J573" s="9">
        <f t="shared" si="60"/>
        <v>0.112457827839495</v>
      </c>
      <c r="K573" s="9">
        <f t="shared" si="61"/>
        <v>0.112703867352744</v>
      </c>
      <c r="L573" s="9">
        <f t="shared" si="62"/>
        <v>0.114463928695941</v>
      </c>
    </row>
    <row r="574" s="4" customFormat="1" ht="12.6" customHeight="1" spans="1:12">
      <c r="A574" s="4">
        <v>45411</v>
      </c>
      <c r="B574" s="8">
        <v>0.11758048644617</v>
      </c>
      <c r="C574" s="8">
        <v>0.0228768662490859</v>
      </c>
      <c r="D574" s="8">
        <v>-0.0532609189030298</v>
      </c>
      <c r="E574" s="8">
        <v>0.5</v>
      </c>
      <c r="F574" s="9">
        <f t="shared" si="56"/>
        <v>0.111652558850281</v>
      </c>
      <c r="G574" s="9">
        <f t="shared" si="57"/>
        <v>0.114544637166139</v>
      </c>
      <c r="H574" s="9">
        <f t="shared" si="58"/>
        <v>0.116061283926383</v>
      </c>
      <c r="I574" s="3" t="str">
        <f t="shared" si="59"/>
        <v>2024-04-01</v>
      </c>
      <c r="J574" s="9">
        <f t="shared" si="60"/>
        <v>0.112457827839495</v>
      </c>
      <c r="K574" s="9">
        <f t="shared" si="61"/>
        <v>0.112703867352744</v>
      </c>
      <c r="L574" s="9">
        <f t="shared" si="62"/>
        <v>0.114463928695941</v>
      </c>
    </row>
    <row r="575" s="4" customFormat="1" ht="12.6" customHeight="1" spans="1:12">
      <c r="A575" s="4">
        <v>45408</v>
      </c>
      <c r="B575" s="8">
        <v>0.116231283285398</v>
      </c>
      <c r="C575" s="8">
        <v>0.016637389789026</v>
      </c>
      <c r="D575" s="8">
        <v>-0.0362897310244229</v>
      </c>
      <c r="E575" s="8">
        <v>0.5</v>
      </c>
      <c r="F575" s="9">
        <f t="shared" si="56"/>
        <v>0.112646221278148</v>
      </c>
      <c r="G575" s="9">
        <f t="shared" si="57"/>
        <v>0.114267785934589</v>
      </c>
      <c r="H575" s="9">
        <f t="shared" si="58"/>
        <v>0.115248666300452</v>
      </c>
      <c r="I575" s="3" t="str">
        <f t="shared" si="59"/>
        <v>2024-04-01</v>
      </c>
      <c r="J575" s="9">
        <f t="shared" si="60"/>
        <v>0.112457827839495</v>
      </c>
      <c r="K575" s="9">
        <f t="shared" si="61"/>
        <v>0.112703867352744</v>
      </c>
      <c r="L575" s="9">
        <f t="shared" si="62"/>
        <v>0.114463928695941</v>
      </c>
    </row>
    <row r="576" s="4" customFormat="1" ht="12.6" customHeight="1" spans="1:12">
      <c r="A576" s="4">
        <v>45407</v>
      </c>
      <c r="B576" s="8">
        <v>0.116250625887374</v>
      </c>
      <c r="C576" s="8">
        <v>0.0146021825313884</v>
      </c>
      <c r="D576" s="8">
        <v>-0.0340246293083766</v>
      </c>
      <c r="E576" s="8">
        <v>0.5</v>
      </c>
      <c r="F576" s="9">
        <f t="shared" si="56"/>
        <v>0.112458406511206</v>
      </c>
      <c r="G576" s="9">
        <f t="shared" si="57"/>
        <v>0.114310014103228</v>
      </c>
      <c r="H576" s="9">
        <f t="shared" si="58"/>
        <v>0.115279503620656</v>
      </c>
      <c r="I576" s="3" t="str">
        <f t="shared" si="59"/>
        <v>2024-04-01</v>
      </c>
      <c r="J576" s="9">
        <f t="shared" si="60"/>
        <v>0.112457827839495</v>
      </c>
      <c r="K576" s="9">
        <f t="shared" si="61"/>
        <v>0.112703867352744</v>
      </c>
      <c r="L576" s="9">
        <f t="shared" si="62"/>
        <v>0.114463928695941</v>
      </c>
    </row>
    <row r="577" s="4" customFormat="1" ht="12.6" customHeight="1" spans="1:12">
      <c r="A577" s="4">
        <v>45406</v>
      </c>
      <c r="B577" s="8">
        <v>0.11580842869613</v>
      </c>
      <c r="C577" s="8">
        <v>0.0134639070080088</v>
      </c>
      <c r="D577" s="8">
        <v>-0.0313427499745185</v>
      </c>
      <c r="E577" s="8">
        <v>0.5</v>
      </c>
      <c r="F577" s="9">
        <f t="shared" si="56"/>
        <v>0.112320606296499</v>
      </c>
      <c r="G577" s="9">
        <f t="shared" si="57"/>
        <v>0.114022048527948</v>
      </c>
      <c r="H577" s="9">
        <f t="shared" si="58"/>
        <v>0.114914486614249</v>
      </c>
      <c r="I577" s="3" t="str">
        <f t="shared" si="59"/>
        <v>2024-04-01</v>
      </c>
      <c r="J577" s="9">
        <f t="shared" si="60"/>
        <v>0.112457827839495</v>
      </c>
      <c r="K577" s="9">
        <f t="shared" si="61"/>
        <v>0.112703867352744</v>
      </c>
      <c r="L577" s="9">
        <f t="shared" si="62"/>
        <v>0.114463928695941</v>
      </c>
    </row>
    <row r="578" s="4" customFormat="1" ht="12.6" customHeight="1" spans="1:12">
      <c r="A578" s="4">
        <v>45405</v>
      </c>
      <c r="B578" s="8">
        <v>0.114796029078606</v>
      </c>
      <c r="C578" s="8">
        <v>0.014564176227101</v>
      </c>
      <c r="D578" s="8">
        <v>-0.0294654998932776</v>
      </c>
      <c r="E578" s="8">
        <v>0.5</v>
      </c>
      <c r="F578" s="9">
        <f t="shared" si="56"/>
        <v>0.112341426448764</v>
      </c>
      <c r="G578" s="9">
        <f t="shared" si="57"/>
        <v>0.113307302095519</v>
      </c>
      <c r="H578" s="9">
        <f t="shared" si="58"/>
        <v>0.114050962957566</v>
      </c>
      <c r="I578" s="3" t="str">
        <f t="shared" si="59"/>
        <v>2024-04-01</v>
      </c>
      <c r="J578" s="9">
        <f t="shared" si="60"/>
        <v>0.112457827839495</v>
      </c>
      <c r="K578" s="9">
        <f t="shared" si="61"/>
        <v>0.112703867352744</v>
      </c>
      <c r="L578" s="9">
        <f t="shared" si="62"/>
        <v>0.114463928695941</v>
      </c>
    </row>
    <row r="579" s="4" customFormat="1" ht="12.6" customHeight="1" spans="1:12">
      <c r="A579" s="4">
        <v>45404</v>
      </c>
      <c r="B579" s="8">
        <v>0.114457917739603</v>
      </c>
      <c r="C579" s="8">
        <v>0.0135834321412812</v>
      </c>
      <c r="D579" s="8">
        <v>-0.0258895059912594</v>
      </c>
      <c r="E579" s="8">
        <v>0.5</v>
      </c>
      <c r="F579" s="9">
        <f t="shared" si="56"/>
        <v>0.112641367435806</v>
      </c>
      <c r="G579" s="9">
        <f t="shared" si="57"/>
        <v>0.113228541605848</v>
      </c>
      <c r="H579" s="9">
        <f t="shared" si="58"/>
        <v>0.113842614101735</v>
      </c>
      <c r="I579" s="3" t="str">
        <f t="shared" si="59"/>
        <v>2024-04-01</v>
      </c>
      <c r="J579" s="9">
        <f t="shared" si="60"/>
        <v>0.112457827839495</v>
      </c>
      <c r="K579" s="9">
        <f t="shared" si="61"/>
        <v>0.112703867352744</v>
      </c>
      <c r="L579" s="9">
        <f t="shared" si="62"/>
        <v>0.114463928695941</v>
      </c>
    </row>
    <row r="580" s="4" customFormat="1" ht="12.6" customHeight="1" spans="1:12">
      <c r="A580" s="4">
        <v>45401</v>
      </c>
      <c r="B580" s="8">
        <v>0.113949962431829</v>
      </c>
      <c r="C580" s="8">
        <v>0.0107424815254893</v>
      </c>
      <c r="D580" s="8">
        <v>-0.0199492410905738</v>
      </c>
      <c r="E580" s="8">
        <v>0.5</v>
      </c>
      <c r="F580" s="9">
        <f t="shared" si="56"/>
        <v>0.112669418549351</v>
      </c>
      <c r="G580" s="9">
        <f t="shared" si="57"/>
        <v>0.113030233968089</v>
      </c>
      <c r="H580" s="9">
        <f t="shared" si="58"/>
        <v>0.113489624495642</v>
      </c>
      <c r="I580" s="3" t="str">
        <f t="shared" si="59"/>
        <v>2024-04-01</v>
      </c>
      <c r="J580" s="9">
        <f t="shared" si="60"/>
        <v>0.112457827839495</v>
      </c>
      <c r="K580" s="9">
        <f t="shared" si="61"/>
        <v>0.112703867352744</v>
      </c>
      <c r="L580" s="9">
        <f t="shared" si="62"/>
        <v>0.114463928695941</v>
      </c>
    </row>
    <row r="581" s="4" customFormat="1" ht="12.6" customHeight="1" spans="1:12">
      <c r="A581" s="4">
        <v>45400</v>
      </c>
      <c r="B581" s="8">
        <v>0.114522971917781</v>
      </c>
      <c r="C581" s="8">
        <v>0.0119334520347787</v>
      </c>
      <c r="D581" s="8">
        <v>-0.0253562249530222</v>
      </c>
      <c r="E581" s="8">
        <v>0.5</v>
      </c>
      <c r="F581" s="9">
        <f t="shared" ref="F581:F644" si="63">B581+(C581+D581)*(E581/$F$3)*(1-EXP(-$F$3/E581))-D581*EXP(-$F$3/E581)</f>
        <v>0.112151464731843</v>
      </c>
      <c r="G581" s="9">
        <f t="shared" ref="G581:G644" si="64">B581+(C581+D581)*(E581/$G$3)*(1-EXP(-$G$3/E581))-D581*EXP(-$G$3/E581)</f>
        <v>0.113181906736083</v>
      </c>
      <c r="H581" s="9">
        <f t="shared" ref="H581:H644" si="65">B581+(C581+D581)*(E581/$H$3)*(1-EXP(-$H$3/E581))-D581*EXP(-$H$3/E581)</f>
        <v>0.113851833325515</v>
      </c>
      <c r="I581" s="3" t="str">
        <f t="shared" ref="I581:I644" si="66">TEXT(A581,"yyyy-mm-01")</f>
        <v>2024-04-01</v>
      </c>
      <c r="J581" s="9">
        <f t="shared" ref="J581:J644" si="67">AVERAGEIF($I:$I,I581,$F:$F)</f>
        <v>0.112457827839495</v>
      </c>
      <c r="K581" s="9">
        <f t="shared" ref="K581:K644" si="68">AVERAGEIF($I:$I,I581,$G:$G)</f>
        <v>0.112703867352744</v>
      </c>
      <c r="L581" s="9">
        <f t="shared" ref="L581:L644" si="69">AVERAGEIF($I:$I,I581,$H:$H)</f>
        <v>0.114463928695941</v>
      </c>
    </row>
    <row r="582" s="4" customFormat="1" ht="12.6" customHeight="1" spans="1:12">
      <c r="A582" s="4">
        <v>45399</v>
      </c>
      <c r="B582" s="8">
        <v>0.113807505781398</v>
      </c>
      <c r="C582" s="8">
        <v>0.0122963710143277</v>
      </c>
      <c r="D582" s="8">
        <v>-0.0202720753477639</v>
      </c>
      <c r="E582" s="8">
        <v>0.5</v>
      </c>
      <c r="F582" s="9">
        <f t="shared" si="63"/>
        <v>0.113102877776152</v>
      </c>
      <c r="G582" s="9">
        <f t="shared" si="64"/>
        <v>0.113010891908493</v>
      </c>
      <c r="H582" s="9">
        <f t="shared" si="65"/>
        <v>0.113408720607332</v>
      </c>
      <c r="I582" s="3" t="str">
        <f t="shared" si="66"/>
        <v>2024-04-01</v>
      </c>
      <c r="J582" s="9">
        <f t="shared" si="67"/>
        <v>0.112457827839495</v>
      </c>
      <c r="K582" s="9">
        <f t="shared" si="68"/>
        <v>0.112703867352744</v>
      </c>
      <c r="L582" s="9">
        <f t="shared" si="69"/>
        <v>0.114463928695941</v>
      </c>
    </row>
    <row r="583" s="4" customFormat="1" ht="12.6" customHeight="1" spans="1:12">
      <c r="A583" s="4">
        <v>45398</v>
      </c>
      <c r="B583" s="8">
        <v>0.115056731593314</v>
      </c>
      <c r="C583" s="8">
        <v>0.00654124015417359</v>
      </c>
      <c r="D583" s="8">
        <v>-0.0194696127335951</v>
      </c>
      <c r="E583" s="8">
        <v>1</v>
      </c>
      <c r="F583" s="9">
        <f t="shared" si="63"/>
        <v>0.114046911745926</v>
      </c>
      <c r="G583" s="9">
        <f t="shared" si="64"/>
        <v>0.112619664433966</v>
      </c>
      <c r="H583" s="9">
        <f t="shared" si="65"/>
        <v>0.113764836949143</v>
      </c>
      <c r="I583" s="3" t="str">
        <f t="shared" si="66"/>
        <v>2024-04-01</v>
      </c>
      <c r="J583" s="9">
        <f t="shared" si="67"/>
        <v>0.112457827839495</v>
      </c>
      <c r="K583" s="9">
        <f t="shared" si="68"/>
        <v>0.112703867352744</v>
      </c>
      <c r="L583" s="9">
        <f t="shared" si="69"/>
        <v>0.114463928695941</v>
      </c>
    </row>
    <row r="584" s="4" customFormat="1" ht="12.6" customHeight="1" spans="1:12">
      <c r="A584" s="4">
        <v>45397</v>
      </c>
      <c r="B584" s="8">
        <v>0.11479113224863</v>
      </c>
      <c r="C584" s="8">
        <v>0.00671828514856745</v>
      </c>
      <c r="D584" s="8">
        <v>-0.0184930221751265</v>
      </c>
      <c r="E584" s="8">
        <v>1</v>
      </c>
      <c r="F584" s="9">
        <f t="shared" si="63"/>
        <v>0.114151281562699</v>
      </c>
      <c r="G584" s="9">
        <f t="shared" si="64"/>
        <v>0.11257665735739</v>
      </c>
      <c r="H584" s="9">
        <f t="shared" si="65"/>
        <v>0.113614551585105</v>
      </c>
      <c r="I584" s="3" t="str">
        <f t="shared" si="66"/>
        <v>2024-04-01</v>
      </c>
      <c r="J584" s="9">
        <f t="shared" si="67"/>
        <v>0.112457827839495</v>
      </c>
      <c r="K584" s="9">
        <f t="shared" si="68"/>
        <v>0.112703867352744</v>
      </c>
      <c r="L584" s="9">
        <f t="shared" si="69"/>
        <v>0.114463928695941</v>
      </c>
    </row>
    <row r="585" s="4" customFormat="1" ht="12.6" customHeight="1" spans="1:12">
      <c r="A585" s="4">
        <v>45394</v>
      </c>
      <c r="B585" s="8">
        <v>0.116918732175922</v>
      </c>
      <c r="C585" s="8">
        <v>0.0058297330831311</v>
      </c>
      <c r="D585" s="8">
        <v>-0.0309044318664739</v>
      </c>
      <c r="E585" s="8">
        <v>1</v>
      </c>
      <c r="F585" s="9">
        <f t="shared" si="63"/>
        <v>0.112437604693297</v>
      </c>
      <c r="G585" s="9">
        <f t="shared" si="64"/>
        <v>0.112145815241491</v>
      </c>
      <c r="H585" s="9">
        <f t="shared" si="65"/>
        <v>0.11441277919558</v>
      </c>
      <c r="I585" s="3" t="str">
        <f t="shared" si="66"/>
        <v>2024-04-01</v>
      </c>
      <c r="J585" s="9">
        <f t="shared" si="67"/>
        <v>0.112457827839495</v>
      </c>
      <c r="K585" s="9">
        <f t="shared" si="68"/>
        <v>0.112703867352744</v>
      </c>
      <c r="L585" s="9">
        <f t="shared" si="69"/>
        <v>0.114463928695941</v>
      </c>
    </row>
    <row r="586" s="4" customFormat="1" ht="12.6" customHeight="1" spans="1:12">
      <c r="A586" s="4">
        <v>45393</v>
      </c>
      <c r="B586" s="8">
        <v>0.120152499616595</v>
      </c>
      <c r="C586" s="8">
        <v>0.00612766629373525</v>
      </c>
      <c r="D586" s="8">
        <v>-0.0506377331261683</v>
      </c>
      <c r="E586" s="8">
        <v>1</v>
      </c>
      <c r="F586" s="9">
        <f t="shared" si="63"/>
        <v>0.110645352261624</v>
      </c>
      <c r="G586" s="9">
        <f t="shared" si="64"/>
        <v>0.111651661906315</v>
      </c>
      <c r="H586" s="9">
        <f t="shared" si="65"/>
        <v>0.11570399395827</v>
      </c>
      <c r="I586" s="3" t="str">
        <f t="shared" si="66"/>
        <v>2024-04-01</v>
      </c>
      <c r="J586" s="9">
        <f t="shared" si="67"/>
        <v>0.112457827839495</v>
      </c>
      <c r="K586" s="9">
        <f t="shared" si="68"/>
        <v>0.112703867352744</v>
      </c>
      <c r="L586" s="9">
        <f t="shared" si="69"/>
        <v>0.114463928695941</v>
      </c>
    </row>
    <row r="587" s="4" customFormat="1" ht="12.6" customHeight="1" spans="1:12">
      <c r="A587" s="4">
        <v>45392</v>
      </c>
      <c r="B587" s="8">
        <v>0.117953102288952</v>
      </c>
      <c r="C587" s="8">
        <v>0.0086795486444145</v>
      </c>
      <c r="D587" s="8">
        <v>-0.0430677588766693</v>
      </c>
      <c r="E587" s="8">
        <v>0.91</v>
      </c>
      <c r="F587" s="9">
        <f t="shared" si="63"/>
        <v>0.111439683331782</v>
      </c>
      <c r="G587" s="9">
        <f t="shared" si="64"/>
        <v>0.111897144465692</v>
      </c>
      <c r="H587" s="9">
        <f t="shared" si="65"/>
        <v>0.114824555253273</v>
      </c>
      <c r="I587" s="3" t="str">
        <f t="shared" si="66"/>
        <v>2024-04-01</v>
      </c>
      <c r="J587" s="9">
        <f t="shared" si="67"/>
        <v>0.112457827839495</v>
      </c>
      <c r="K587" s="9">
        <f t="shared" si="68"/>
        <v>0.112703867352744</v>
      </c>
      <c r="L587" s="9">
        <f t="shared" si="69"/>
        <v>0.114463928695941</v>
      </c>
    </row>
    <row r="588" s="4" customFormat="1" ht="12.6" customHeight="1" spans="1:12">
      <c r="A588" s="4">
        <v>45391</v>
      </c>
      <c r="B588" s="8">
        <v>0.115784337833974</v>
      </c>
      <c r="C588" s="8">
        <v>0.0120810331639219</v>
      </c>
      <c r="D588" s="8">
        <v>-0.0346212929164147</v>
      </c>
      <c r="E588" s="8">
        <v>1</v>
      </c>
      <c r="F588" s="9">
        <f t="shared" si="63"/>
        <v>0.114272638133811</v>
      </c>
      <c r="G588" s="9">
        <f t="shared" si="64"/>
        <v>0.111539937335298</v>
      </c>
      <c r="H588" s="9">
        <f t="shared" si="65"/>
        <v>0.113531985995612</v>
      </c>
      <c r="I588" s="3" t="str">
        <f t="shared" si="66"/>
        <v>2024-04-01</v>
      </c>
      <c r="J588" s="9">
        <f t="shared" si="67"/>
        <v>0.112457827839495</v>
      </c>
      <c r="K588" s="9">
        <f t="shared" si="68"/>
        <v>0.112703867352744</v>
      </c>
      <c r="L588" s="9">
        <f t="shared" si="69"/>
        <v>0.114463928695941</v>
      </c>
    </row>
    <row r="589" s="4" customFormat="1" ht="12.6" customHeight="1" spans="1:12">
      <c r="A589" s="4">
        <v>45390</v>
      </c>
      <c r="B589" s="8">
        <v>0.11383148649652</v>
      </c>
      <c r="C589" s="8">
        <v>0.0101544932844713</v>
      </c>
      <c r="D589" s="8">
        <v>-0.0224394989264046</v>
      </c>
      <c r="E589" s="8">
        <v>1</v>
      </c>
      <c r="F589" s="9">
        <f t="shared" si="63"/>
        <v>0.114320912190142</v>
      </c>
      <c r="G589" s="9">
        <f t="shared" si="64"/>
        <v>0.111542236665965</v>
      </c>
      <c r="H589" s="9">
        <f t="shared" si="65"/>
        <v>0.112604060457841</v>
      </c>
      <c r="I589" s="3" t="str">
        <f t="shared" si="66"/>
        <v>2024-04-01</v>
      </c>
      <c r="J589" s="9">
        <f t="shared" si="67"/>
        <v>0.112457827839495</v>
      </c>
      <c r="K589" s="9">
        <f t="shared" si="68"/>
        <v>0.112703867352744</v>
      </c>
      <c r="L589" s="9">
        <f t="shared" si="69"/>
        <v>0.114463928695941</v>
      </c>
    </row>
    <row r="590" s="4" customFormat="1" ht="12.6" customHeight="1" spans="1:12">
      <c r="A590" s="4">
        <v>45387</v>
      </c>
      <c r="B590" s="8">
        <v>0.115117905925622</v>
      </c>
      <c r="C590" s="8">
        <v>0.0092213683299855</v>
      </c>
      <c r="D590" s="8">
        <v>-0.0279260935710971</v>
      </c>
      <c r="E590" s="8">
        <v>1</v>
      </c>
      <c r="F590" s="9">
        <f t="shared" si="63"/>
        <v>0.113567700250513</v>
      </c>
      <c r="G590" s="9">
        <f t="shared" si="64"/>
        <v>0.111590331705235</v>
      </c>
      <c r="H590" s="9">
        <f t="shared" si="65"/>
        <v>0.113248786163519</v>
      </c>
      <c r="I590" s="3" t="str">
        <f t="shared" si="66"/>
        <v>2024-04-01</v>
      </c>
      <c r="J590" s="9">
        <f t="shared" si="67"/>
        <v>0.112457827839495</v>
      </c>
      <c r="K590" s="9">
        <f t="shared" si="68"/>
        <v>0.112703867352744</v>
      </c>
      <c r="L590" s="9">
        <f t="shared" si="69"/>
        <v>0.114463928695941</v>
      </c>
    </row>
    <row r="591" s="4" customFormat="1" ht="12.6" customHeight="1" spans="1:12">
      <c r="A591" s="4">
        <v>45386</v>
      </c>
      <c r="B591" s="8">
        <v>0.119278070435357</v>
      </c>
      <c r="C591" s="8">
        <v>0.0075307764283393</v>
      </c>
      <c r="D591" s="8">
        <v>-0.0488724969759621</v>
      </c>
      <c r="E591" s="8">
        <v>1</v>
      </c>
      <c r="F591" s="9">
        <f t="shared" si="63"/>
        <v>0.11112430581603</v>
      </c>
      <c r="G591" s="9">
        <f t="shared" si="64"/>
        <v>0.11139473828455</v>
      </c>
      <c r="H591" s="9">
        <f t="shared" si="65"/>
        <v>0.115146304879646</v>
      </c>
      <c r="I591" s="3" t="str">
        <f t="shared" si="66"/>
        <v>2024-04-01</v>
      </c>
      <c r="J591" s="9">
        <f t="shared" si="67"/>
        <v>0.112457827839495</v>
      </c>
      <c r="K591" s="9">
        <f t="shared" si="68"/>
        <v>0.112703867352744</v>
      </c>
      <c r="L591" s="9">
        <f t="shared" si="69"/>
        <v>0.114463928695941</v>
      </c>
    </row>
    <row r="592" s="4" customFormat="1" ht="12.6" customHeight="1" spans="1:12">
      <c r="A592" s="4">
        <v>45385</v>
      </c>
      <c r="B592" s="8">
        <v>0.120864456452968</v>
      </c>
      <c r="C592" s="8">
        <v>0.00867146489606616</v>
      </c>
      <c r="D592" s="8">
        <v>-0.0576200534352061</v>
      </c>
      <c r="E592" s="8">
        <v>1</v>
      </c>
      <c r="F592" s="9">
        <f t="shared" si="63"/>
        <v>0.11112028036975</v>
      </c>
      <c r="G592" s="9">
        <f t="shared" si="64"/>
        <v>0.111528942210322</v>
      </c>
      <c r="H592" s="9">
        <f t="shared" si="65"/>
        <v>0.115972435771681</v>
      </c>
      <c r="I592" s="3" t="str">
        <f t="shared" si="66"/>
        <v>2024-04-01</v>
      </c>
      <c r="J592" s="9">
        <f t="shared" si="67"/>
        <v>0.112457827839495</v>
      </c>
      <c r="K592" s="9">
        <f t="shared" si="68"/>
        <v>0.112703867352744</v>
      </c>
      <c r="L592" s="9">
        <f t="shared" si="69"/>
        <v>0.114463928695941</v>
      </c>
    </row>
    <row r="593" s="4" customFormat="1" ht="12.6" customHeight="1" spans="1:12">
      <c r="A593" s="4">
        <v>45384</v>
      </c>
      <c r="B593" s="8">
        <v>0.115911391291352</v>
      </c>
      <c r="C593" s="8">
        <v>0.0151168711150524</v>
      </c>
      <c r="D593" s="8">
        <v>-0.041949645817594</v>
      </c>
      <c r="E593" s="8">
        <v>0.72</v>
      </c>
      <c r="F593" s="9">
        <f t="shared" si="63"/>
        <v>0.11186941472815</v>
      </c>
      <c r="G593" s="9">
        <f t="shared" si="64"/>
        <v>0.112091634899117</v>
      </c>
      <c r="H593" s="9">
        <f t="shared" si="65"/>
        <v>0.113979472289716</v>
      </c>
      <c r="I593" s="3" t="str">
        <f t="shared" si="66"/>
        <v>2024-04-01</v>
      </c>
      <c r="J593" s="9">
        <f t="shared" si="67"/>
        <v>0.112457827839495</v>
      </c>
      <c r="K593" s="9">
        <f t="shared" si="68"/>
        <v>0.112703867352744</v>
      </c>
      <c r="L593" s="9">
        <f t="shared" si="69"/>
        <v>0.114463928695941</v>
      </c>
    </row>
    <row r="594" s="4" customFormat="1" ht="12.6" customHeight="1" spans="1:12">
      <c r="A594" s="4">
        <v>45383</v>
      </c>
      <c r="B594" s="8">
        <v>0.119381419356193</v>
      </c>
      <c r="C594" s="8">
        <v>0.0108570575675364</v>
      </c>
      <c r="D594" s="8">
        <v>-0.0544328866452995</v>
      </c>
      <c r="E594" s="8">
        <v>0.93</v>
      </c>
      <c r="F594" s="9">
        <f t="shared" si="63"/>
        <v>0.111256278754152</v>
      </c>
      <c r="G594" s="9">
        <f t="shared" si="64"/>
        <v>0.111565534504073</v>
      </c>
      <c r="H594" s="9">
        <f t="shared" si="65"/>
        <v>0.115330118128979</v>
      </c>
      <c r="I594" s="3" t="str">
        <f t="shared" si="66"/>
        <v>2024-04-01</v>
      </c>
      <c r="J594" s="9">
        <f t="shared" si="67"/>
        <v>0.112457827839495</v>
      </c>
      <c r="K594" s="9">
        <f t="shared" si="68"/>
        <v>0.112703867352744</v>
      </c>
      <c r="L594" s="9">
        <f t="shared" si="69"/>
        <v>0.114463928695941</v>
      </c>
    </row>
    <row r="595" s="4" customFormat="1" ht="12.6" customHeight="1" spans="1:12">
      <c r="A595" s="4">
        <v>45380</v>
      </c>
      <c r="B595" s="8">
        <v>0.120060636765848</v>
      </c>
      <c r="C595" s="8">
        <v>0.00912382161497765</v>
      </c>
      <c r="D595" s="8">
        <v>-0.0543532739711105</v>
      </c>
      <c r="E595" s="8">
        <v>1</v>
      </c>
      <c r="F595" s="9">
        <f t="shared" si="63"/>
        <v>0.11146562212131</v>
      </c>
      <c r="G595" s="9">
        <f t="shared" si="64"/>
        <v>0.11144192650442</v>
      </c>
      <c r="H595" s="9">
        <f t="shared" si="65"/>
        <v>0.115540364506451</v>
      </c>
      <c r="I595" s="3" t="str">
        <f t="shared" si="66"/>
        <v>2024-03-01</v>
      </c>
      <c r="J595" s="9">
        <f t="shared" si="67"/>
        <v>0.114646146324441</v>
      </c>
      <c r="K595" s="9">
        <f t="shared" si="68"/>
        <v>0.111146890278552</v>
      </c>
      <c r="L595" s="9">
        <f t="shared" si="69"/>
        <v>0.115282725456331</v>
      </c>
    </row>
    <row r="596" s="4" customFormat="1" ht="12.6" customHeight="1" spans="1:12">
      <c r="A596" s="4">
        <v>45379</v>
      </c>
      <c r="B596" s="8">
        <v>0.120170966284313</v>
      </c>
      <c r="C596" s="8">
        <v>0.00857398960624903</v>
      </c>
      <c r="D596" s="8">
        <v>-0.0538305115552179</v>
      </c>
      <c r="E596" s="8">
        <v>1.02</v>
      </c>
      <c r="F596" s="9">
        <f t="shared" si="63"/>
        <v>0.111522768778708</v>
      </c>
      <c r="G596" s="9">
        <f t="shared" si="64"/>
        <v>0.111407318611162</v>
      </c>
      <c r="H596" s="9">
        <f t="shared" si="65"/>
        <v>0.115558029322462</v>
      </c>
      <c r="I596" s="3" t="str">
        <f t="shared" si="66"/>
        <v>2024-03-01</v>
      </c>
      <c r="J596" s="9">
        <f t="shared" si="67"/>
        <v>0.114646146324441</v>
      </c>
      <c r="K596" s="9">
        <f t="shared" si="68"/>
        <v>0.111146890278552</v>
      </c>
      <c r="L596" s="9">
        <f t="shared" si="69"/>
        <v>0.115282725456331</v>
      </c>
    </row>
    <row r="597" s="4" customFormat="1" ht="12.6" customHeight="1" spans="1:12">
      <c r="A597" s="4">
        <v>45378</v>
      </c>
      <c r="B597" s="8">
        <v>0.12014087936923</v>
      </c>
      <c r="C597" s="8">
        <v>0.00904357901159559</v>
      </c>
      <c r="D597" s="8">
        <v>-0.0549840973197617</v>
      </c>
      <c r="E597" s="8">
        <v>1</v>
      </c>
      <c r="F597" s="9">
        <f t="shared" si="63"/>
        <v>0.111328452258709</v>
      </c>
      <c r="G597" s="9">
        <f t="shared" si="64"/>
        <v>0.111385164596624</v>
      </c>
      <c r="H597" s="9">
        <f t="shared" si="65"/>
        <v>0.1155495323822</v>
      </c>
      <c r="I597" s="3" t="str">
        <f t="shared" si="66"/>
        <v>2024-03-01</v>
      </c>
      <c r="J597" s="9">
        <f t="shared" si="67"/>
        <v>0.114646146324441</v>
      </c>
      <c r="K597" s="9">
        <f t="shared" si="68"/>
        <v>0.111146890278552</v>
      </c>
      <c r="L597" s="9">
        <f t="shared" si="69"/>
        <v>0.115282725456331</v>
      </c>
    </row>
    <row r="598" s="4" customFormat="1" ht="12.6" customHeight="1" spans="1:12">
      <c r="A598" s="4">
        <v>45377</v>
      </c>
      <c r="B598" s="8">
        <v>0.119762727997547</v>
      </c>
      <c r="C598" s="8">
        <v>0.00977319335148732</v>
      </c>
      <c r="D598" s="8">
        <v>-0.0557653824556522</v>
      </c>
      <c r="E598" s="8">
        <v>1</v>
      </c>
      <c r="F598" s="9">
        <f t="shared" si="63"/>
        <v>0.111205057453771</v>
      </c>
      <c r="G598" s="9">
        <f t="shared" si="64"/>
        <v>0.111002012954595</v>
      </c>
      <c r="H598" s="9">
        <f t="shared" si="65"/>
        <v>0.115166249635793</v>
      </c>
      <c r="I598" s="3" t="str">
        <f t="shared" si="66"/>
        <v>2024-03-01</v>
      </c>
      <c r="J598" s="9">
        <f t="shared" si="67"/>
        <v>0.114646146324441</v>
      </c>
      <c r="K598" s="9">
        <f t="shared" si="68"/>
        <v>0.111146890278552</v>
      </c>
      <c r="L598" s="9">
        <f t="shared" si="69"/>
        <v>0.115282725456331</v>
      </c>
    </row>
    <row r="599" s="4" customFormat="1" ht="12.6" customHeight="1" spans="1:12">
      <c r="A599" s="4">
        <v>45371</v>
      </c>
      <c r="B599" s="8">
        <v>0.119360763980655</v>
      </c>
      <c r="C599" s="8">
        <v>0.00832859716023479</v>
      </c>
      <c r="D599" s="8">
        <v>-0.0509244053277856</v>
      </c>
      <c r="E599" s="8">
        <v>1</v>
      </c>
      <c r="F599" s="9">
        <f t="shared" si="63"/>
        <v>0.111169119692003</v>
      </c>
      <c r="G599" s="9">
        <f t="shared" si="64"/>
        <v>0.111242129950767</v>
      </c>
      <c r="H599" s="9">
        <f t="shared" si="65"/>
        <v>0.115103688512995</v>
      </c>
      <c r="I599" s="3" t="str">
        <f t="shared" si="66"/>
        <v>2024-03-01</v>
      </c>
      <c r="J599" s="9">
        <f t="shared" si="67"/>
        <v>0.114646146324441</v>
      </c>
      <c r="K599" s="9">
        <f t="shared" si="68"/>
        <v>0.111146890278552</v>
      </c>
      <c r="L599" s="9">
        <f t="shared" si="69"/>
        <v>0.115282725456331</v>
      </c>
    </row>
    <row r="600" s="4" customFormat="1" ht="12.6" customHeight="1" spans="1:12">
      <c r="A600" s="4">
        <v>45370</v>
      </c>
      <c r="B600" s="8">
        <v>0.122397443189657</v>
      </c>
      <c r="C600" s="8">
        <v>0.00405898076290214</v>
      </c>
      <c r="D600" s="8">
        <v>-0.0474960435808635</v>
      </c>
      <c r="E600" s="8">
        <v>1.57</v>
      </c>
      <c r="F600" s="9">
        <f t="shared" si="63"/>
        <v>0.115391685462764</v>
      </c>
      <c r="G600" s="9">
        <f t="shared" si="64"/>
        <v>0.111288601330566</v>
      </c>
      <c r="H600" s="9">
        <f t="shared" si="65"/>
        <v>0.115670874715483</v>
      </c>
      <c r="I600" s="3" t="str">
        <f t="shared" si="66"/>
        <v>2024-03-01</v>
      </c>
      <c r="J600" s="9">
        <f t="shared" si="67"/>
        <v>0.114646146324441</v>
      </c>
      <c r="K600" s="9">
        <f t="shared" si="68"/>
        <v>0.111146890278552</v>
      </c>
      <c r="L600" s="9">
        <f t="shared" si="69"/>
        <v>0.115282725456331</v>
      </c>
    </row>
    <row r="601" s="4" customFormat="1" ht="12.6" customHeight="1" spans="1:12">
      <c r="A601" s="4">
        <v>45369</v>
      </c>
      <c r="B601" s="8">
        <v>0.117601231955468</v>
      </c>
      <c r="C601" s="8">
        <v>0.00938377979902107</v>
      </c>
      <c r="D601" s="8">
        <v>-0.0386771091117544</v>
      </c>
      <c r="E601" s="8">
        <v>1.13</v>
      </c>
      <c r="F601" s="9">
        <f t="shared" si="63"/>
        <v>0.114125114345494</v>
      </c>
      <c r="G601" s="9">
        <f t="shared" si="64"/>
        <v>0.111523460201586</v>
      </c>
      <c r="H601" s="9">
        <f t="shared" si="65"/>
        <v>0.114297108613096</v>
      </c>
      <c r="I601" s="3" t="str">
        <f t="shared" si="66"/>
        <v>2024-03-01</v>
      </c>
      <c r="J601" s="9">
        <f t="shared" si="67"/>
        <v>0.114646146324441</v>
      </c>
      <c r="K601" s="9">
        <f t="shared" si="68"/>
        <v>0.111146890278552</v>
      </c>
      <c r="L601" s="9">
        <f t="shared" si="69"/>
        <v>0.115282725456331</v>
      </c>
    </row>
    <row r="602" s="4" customFormat="1" ht="12.6" customHeight="1" spans="1:12">
      <c r="A602" s="4">
        <v>45366</v>
      </c>
      <c r="B602" s="8">
        <v>0.118469632008446</v>
      </c>
      <c r="C602" s="8">
        <v>0.00877956890701737</v>
      </c>
      <c r="D602" s="8">
        <v>-0.0411906413286576</v>
      </c>
      <c r="E602" s="8">
        <v>1.14</v>
      </c>
      <c r="F602" s="9">
        <f t="shared" si="63"/>
        <v>0.114022946420437</v>
      </c>
      <c r="G602" s="9">
        <f t="shared" si="64"/>
        <v>0.111684775235328</v>
      </c>
      <c r="H602" s="9">
        <f t="shared" si="65"/>
        <v>0.114781728088182</v>
      </c>
      <c r="I602" s="3" t="str">
        <f t="shared" si="66"/>
        <v>2024-03-01</v>
      </c>
      <c r="J602" s="9">
        <f t="shared" si="67"/>
        <v>0.114646146324441</v>
      </c>
      <c r="K602" s="9">
        <f t="shared" si="68"/>
        <v>0.111146890278552</v>
      </c>
      <c r="L602" s="9">
        <f t="shared" si="69"/>
        <v>0.115282725456331</v>
      </c>
    </row>
    <row r="603" s="4" customFormat="1" ht="12.6" customHeight="1" spans="1:12">
      <c r="A603" s="4">
        <v>45365</v>
      </c>
      <c r="B603" s="8">
        <v>0.117935165440751</v>
      </c>
      <c r="C603" s="8">
        <v>0.010633935353957</v>
      </c>
      <c r="D603" s="8">
        <v>-0.0414198671457539</v>
      </c>
      <c r="E603" s="8">
        <v>1.23</v>
      </c>
      <c r="F603" s="9">
        <f t="shared" si="63"/>
        <v>0.115233795403914</v>
      </c>
      <c r="G603" s="9">
        <f t="shared" si="64"/>
        <v>0.11120266191431</v>
      </c>
      <c r="H603" s="9">
        <f t="shared" si="65"/>
        <v>0.114161811155966</v>
      </c>
      <c r="I603" s="3" t="str">
        <f t="shared" si="66"/>
        <v>2024-03-01</v>
      </c>
      <c r="J603" s="9">
        <f t="shared" si="67"/>
        <v>0.114646146324441</v>
      </c>
      <c r="K603" s="9">
        <f t="shared" si="68"/>
        <v>0.111146890278552</v>
      </c>
      <c r="L603" s="9">
        <f t="shared" si="69"/>
        <v>0.115282725456331</v>
      </c>
    </row>
    <row r="604" s="4" customFormat="1" ht="12.6" customHeight="1" spans="1:12">
      <c r="A604" s="4">
        <v>45364</v>
      </c>
      <c r="B604" s="8">
        <v>0.124250380064325</v>
      </c>
      <c r="C604" s="8">
        <v>0.003438981076565</v>
      </c>
      <c r="D604" s="8">
        <v>-0.0529819697187038</v>
      </c>
      <c r="E604" s="8">
        <v>1.87</v>
      </c>
      <c r="F604" s="9">
        <f t="shared" si="63"/>
        <v>0.116914989643977</v>
      </c>
      <c r="G604" s="9">
        <f t="shared" si="64"/>
        <v>0.110654834286714</v>
      </c>
      <c r="H604" s="9">
        <f t="shared" si="65"/>
        <v>0.115282109097273</v>
      </c>
      <c r="I604" s="3" t="str">
        <f t="shared" si="66"/>
        <v>2024-03-01</v>
      </c>
      <c r="J604" s="9">
        <f t="shared" si="67"/>
        <v>0.114646146324441</v>
      </c>
      <c r="K604" s="9">
        <f t="shared" si="68"/>
        <v>0.111146890278552</v>
      </c>
      <c r="L604" s="9">
        <f t="shared" si="69"/>
        <v>0.115282725456331</v>
      </c>
    </row>
    <row r="605" s="4" customFormat="1" ht="12.6" customHeight="1" spans="1:12">
      <c r="A605" s="4">
        <v>45363</v>
      </c>
      <c r="B605" s="8">
        <v>0.123656922688628</v>
      </c>
      <c r="C605" s="8">
        <v>0.00368032577256747</v>
      </c>
      <c r="D605" s="8">
        <v>-0.0520788429811718</v>
      </c>
      <c r="E605" s="8">
        <v>2</v>
      </c>
      <c r="F605" s="9">
        <f t="shared" si="63"/>
        <v>0.117157672405156</v>
      </c>
      <c r="G605" s="9">
        <f t="shared" si="64"/>
        <v>0.110161524447017</v>
      </c>
      <c r="H605" s="9">
        <f t="shared" si="65"/>
        <v>0.114393345059445</v>
      </c>
      <c r="I605" s="3" t="str">
        <f t="shared" si="66"/>
        <v>2024-03-01</v>
      </c>
      <c r="J605" s="9">
        <f t="shared" si="67"/>
        <v>0.114646146324441</v>
      </c>
      <c r="K605" s="9">
        <f t="shared" si="68"/>
        <v>0.111146890278552</v>
      </c>
      <c r="L605" s="9">
        <f t="shared" si="69"/>
        <v>0.115282725456331</v>
      </c>
    </row>
    <row r="606" s="4" customFormat="1" ht="12.6" customHeight="1" spans="1:12">
      <c r="A606" s="4">
        <v>45362</v>
      </c>
      <c r="B606" s="8">
        <v>0.126708769939886</v>
      </c>
      <c r="C606" s="8">
        <v>-7.61190065202032e-5</v>
      </c>
      <c r="D606" s="8">
        <v>-0.0592397434051773</v>
      </c>
      <c r="E606" s="8">
        <v>2</v>
      </c>
      <c r="F606" s="9">
        <f t="shared" si="63"/>
        <v>0.115961544085222</v>
      </c>
      <c r="G606" s="9">
        <f t="shared" si="64"/>
        <v>0.109792696224877</v>
      </c>
      <c r="H606" s="9">
        <f t="shared" si="65"/>
        <v>0.115324685136277</v>
      </c>
      <c r="I606" s="3" t="str">
        <f t="shared" si="66"/>
        <v>2024-03-01</v>
      </c>
      <c r="J606" s="9">
        <f t="shared" si="67"/>
        <v>0.114646146324441</v>
      </c>
      <c r="K606" s="9">
        <f t="shared" si="68"/>
        <v>0.111146890278552</v>
      </c>
      <c r="L606" s="9">
        <f t="shared" si="69"/>
        <v>0.115282725456331</v>
      </c>
    </row>
    <row r="607" s="4" customFormat="1" ht="12.6" customHeight="1" spans="1:12">
      <c r="A607" s="4">
        <v>45358</v>
      </c>
      <c r="B607" s="8">
        <v>0.128419115638584</v>
      </c>
      <c r="C607" s="8">
        <v>-0.00169836285942784</v>
      </c>
      <c r="D607" s="8">
        <v>-0.0624192730307919</v>
      </c>
      <c r="E607" s="8">
        <v>2</v>
      </c>
      <c r="F607" s="9">
        <f t="shared" si="63"/>
        <v>0.115821670699713</v>
      </c>
      <c r="G607" s="9">
        <f t="shared" si="64"/>
        <v>0.11000098564486</v>
      </c>
      <c r="H607" s="9">
        <f t="shared" si="65"/>
        <v>0.11610257046041</v>
      </c>
      <c r="I607" s="3" t="str">
        <f t="shared" si="66"/>
        <v>2024-03-01</v>
      </c>
      <c r="J607" s="9">
        <f t="shared" si="67"/>
        <v>0.114646146324441</v>
      </c>
      <c r="K607" s="9">
        <f t="shared" si="68"/>
        <v>0.111146890278552</v>
      </c>
      <c r="L607" s="9">
        <f t="shared" si="69"/>
        <v>0.115282725456331</v>
      </c>
    </row>
    <row r="608" s="4" customFormat="1" ht="12.6" customHeight="1" spans="1:12">
      <c r="A608" s="4">
        <v>45357</v>
      </c>
      <c r="B608" s="8">
        <v>0.128481462353076</v>
      </c>
      <c r="C608" s="8">
        <v>-0.00140837978959954</v>
      </c>
      <c r="D608" s="8">
        <v>-0.0627320742060858</v>
      </c>
      <c r="E608" s="8">
        <v>1.93</v>
      </c>
      <c r="F608" s="9">
        <f t="shared" si="63"/>
        <v>0.115789269662572</v>
      </c>
      <c r="G608" s="9">
        <f t="shared" si="64"/>
        <v>0.110282352593635</v>
      </c>
      <c r="H608" s="9">
        <f t="shared" si="65"/>
        <v>0.116524511852711</v>
      </c>
      <c r="I608" s="3" t="str">
        <f t="shared" si="66"/>
        <v>2024-03-01</v>
      </c>
      <c r="J608" s="9">
        <f t="shared" si="67"/>
        <v>0.114646146324441</v>
      </c>
      <c r="K608" s="9">
        <f t="shared" si="68"/>
        <v>0.111146890278552</v>
      </c>
      <c r="L608" s="9">
        <f t="shared" si="69"/>
        <v>0.115282725456331</v>
      </c>
    </row>
    <row r="609" s="4" customFormat="1" ht="12.6" customHeight="1" spans="1:12">
      <c r="A609" s="4">
        <v>45356</v>
      </c>
      <c r="B609" s="8">
        <v>0.121478987653096</v>
      </c>
      <c r="C609" s="8">
        <v>0.00849608876864898</v>
      </c>
      <c r="D609" s="8">
        <v>-0.0463018045073166</v>
      </c>
      <c r="E609" s="8">
        <v>1.62</v>
      </c>
      <c r="F609" s="9">
        <f t="shared" si="63"/>
        <v>0.118245421861555</v>
      </c>
      <c r="G609" s="9">
        <f t="shared" si="64"/>
        <v>0.111903669664162</v>
      </c>
      <c r="H609" s="9">
        <f t="shared" si="65"/>
        <v>0.115463786663011</v>
      </c>
      <c r="I609" s="3" t="str">
        <f t="shared" si="66"/>
        <v>2024-03-01</v>
      </c>
      <c r="J609" s="9">
        <f t="shared" si="67"/>
        <v>0.114646146324441</v>
      </c>
      <c r="K609" s="9">
        <f t="shared" si="68"/>
        <v>0.111146890278552</v>
      </c>
      <c r="L609" s="9">
        <f t="shared" si="69"/>
        <v>0.115282725456331</v>
      </c>
    </row>
    <row r="610" s="4" customFormat="1" ht="12.6" customHeight="1" spans="1:12">
      <c r="A610" s="4">
        <v>45355</v>
      </c>
      <c r="B610" s="8">
        <v>0.118038148958028</v>
      </c>
      <c r="C610" s="8">
        <v>0.0139545605004692</v>
      </c>
      <c r="D610" s="8">
        <v>-0.0412423029339694</v>
      </c>
      <c r="E610" s="8">
        <v>1.19</v>
      </c>
      <c r="F610" s="9">
        <f t="shared" si="63"/>
        <v>0.117378459126617</v>
      </c>
      <c r="G610" s="9">
        <f t="shared" si="64"/>
        <v>0.11225830481191</v>
      </c>
      <c r="H610" s="9">
        <f t="shared" si="65"/>
        <v>0.114800878281959</v>
      </c>
      <c r="I610" s="3" t="str">
        <f t="shared" si="66"/>
        <v>2024-03-01</v>
      </c>
      <c r="J610" s="9">
        <f t="shared" si="67"/>
        <v>0.114646146324441</v>
      </c>
      <c r="K610" s="9">
        <f t="shared" si="68"/>
        <v>0.111146890278552</v>
      </c>
      <c r="L610" s="9">
        <f t="shared" si="69"/>
        <v>0.115282725456331</v>
      </c>
    </row>
    <row r="611" s="4" customFormat="1" ht="12.6" customHeight="1" spans="1:12">
      <c r="A611" s="4">
        <v>45352</v>
      </c>
      <c r="B611" s="8">
        <v>0.120379129278257</v>
      </c>
      <c r="C611" s="8">
        <v>0.0196436486415706</v>
      </c>
      <c r="D611" s="8">
        <v>-0.0626147266107831</v>
      </c>
      <c r="E611" s="8">
        <v>1</v>
      </c>
      <c r="F611" s="9">
        <f t="shared" si="63"/>
        <v>0.11625089809357</v>
      </c>
      <c r="G611" s="9">
        <f t="shared" si="64"/>
        <v>0.11226471576285</v>
      </c>
      <c r="H611" s="9">
        <f t="shared" si="65"/>
        <v>0.116085059273918</v>
      </c>
      <c r="I611" s="3" t="str">
        <f t="shared" si="66"/>
        <v>2024-03-01</v>
      </c>
      <c r="J611" s="9">
        <f t="shared" si="67"/>
        <v>0.114646146324441</v>
      </c>
      <c r="K611" s="9">
        <f t="shared" si="68"/>
        <v>0.111146890278552</v>
      </c>
      <c r="L611" s="9">
        <f t="shared" si="69"/>
        <v>0.115282725456331</v>
      </c>
    </row>
    <row r="612" s="4" customFormat="1" ht="12.6" customHeight="1" spans="1:12">
      <c r="A612" s="4">
        <v>45351</v>
      </c>
      <c r="B612" s="8">
        <v>0.121854845097114</v>
      </c>
      <c r="C612" s="8">
        <v>0.0205991226978192</v>
      </c>
      <c r="D612" s="8">
        <v>-0.0706141381130472</v>
      </c>
      <c r="E612" s="8">
        <v>1</v>
      </c>
      <c r="F612" s="9">
        <f t="shared" si="63"/>
        <v>0.116216815270852</v>
      </c>
      <c r="G612" s="9">
        <f t="shared" si="64"/>
        <v>0.112395036038665</v>
      </c>
      <c r="H612" s="9">
        <f t="shared" si="65"/>
        <v>0.11685677650032</v>
      </c>
      <c r="I612" s="3" t="str">
        <f t="shared" si="66"/>
        <v>2024-02-01</v>
      </c>
      <c r="J612" s="9">
        <f t="shared" si="67"/>
        <v>0.11959336979665</v>
      </c>
      <c r="K612" s="9">
        <f t="shared" si="68"/>
        <v>0.114487698510763</v>
      </c>
      <c r="L612" s="9">
        <f t="shared" si="69"/>
        <v>0.115941832964477</v>
      </c>
    </row>
    <row r="613" s="4" customFormat="1" ht="12.6" customHeight="1" spans="1:12">
      <c r="A613" s="4">
        <v>45350</v>
      </c>
      <c r="B613" s="8">
        <v>0.124687165807545</v>
      </c>
      <c r="C613" s="8">
        <v>0.0203651058915938</v>
      </c>
      <c r="D613" s="8">
        <v>-0.0860583126949507</v>
      </c>
      <c r="E613" s="8">
        <v>1</v>
      </c>
      <c r="F613" s="9">
        <f t="shared" si="63"/>
        <v>0.114820223194143</v>
      </c>
      <c r="G613" s="9">
        <f t="shared" si="64"/>
        <v>0.112216908265771</v>
      </c>
      <c r="H613" s="9">
        <f t="shared" si="65"/>
        <v>0.118122050415259</v>
      </c>
      <c r="I613" s="3" t="str">
        <f t="shared" si="66"/>
        <v>2024-02-01</v>
      </c>
      <c r="J613" s="9">
        <f t="shared" si="67"/>
        <v>0.11959336979665</v>
      </c>
      <c r="K613" s="9">
        <f t="shared" si="68"/>
        <v>0.114487698510763</v>
      </c>
      <c r="L613" s="9">
        <f t="shared" si="69"/>
        <v>0.115941832964477</v>
      </c>
    </row>
    <row r="614" s="4" customFormat="1" ht="12.6" customHeight="1" spans="1:12">
      <c r="A614" s="4">
        <v>45349</v>
      </c>
      <c r="B614" s="8">
        <v>0.123316304227839</v>
      </c>
      <c r="C614" s="8">
        <v>0.0200045152163825</v>
      </c>
      <c r="D614" s="8">
        <v>-0.0759176413048944</v>
      </c>
      <c r="E614" s="8">
        <v>1</v>
      </c>
      <c r="F614" s="9">
        <f t="shared" si="63"/>
        <v>0.115901007177216</v>
      </c>
      <c r="G614" s="9">
        <f t="shared" si="64"/>
        <v>0.112720555989572</v>
      </c>
      <c r="H614" s="9">
        <f t="shared" si="65"/>
        <v>0.117728692119771</v>
      </c>
      <c r="I614" s="3" t="str">
        <f t="shared" si="66"/>
        <v>2024-02-01</v>
      </c>
      <c r="J614" s="9">
        <f t="shared" si="67"/>
        <v>0.11959336979665</v>
      </c>
      <c r="K614" s="9">
        <f t="shared" si="68"/>
        <v>0.114487698510763</v>
      </c>
      <c r="L614" s="9">
        <f t="shared" si="69"/>
        <v>0.115941832964477</v>
      </c>
    </row>
    <row r="615" s="4" customFormat="1" ht="12.6" customHeight="1" spans="1:12">
      <c r="A615" s="4">
        <v>45348</v>
      </c>
      <c r="B615" s="8">
        <v>0.119184426830022</v>
      </c>
      <c r="C615" s="8">
        <v>0.018749759259292</v>
      </c>
      <c r="D615" s="8">
        <v>-0.0519226615690279</v>
      </c>
      <c r="E615" s="8">
        <v>1</v>
      </c>
      <c r="F615" s="9">
        <f t="shared" si="63"/>
        <v>0.117316433006175</v>
      </c>
      <c r="G615" s="9">
        <f t="shared" si="64"/>
        <v>0.112944401961292</v>
      </c>
      <c r="H615" s="9">
        <f t="shared" si="65"/>
        <v>0.11586964448898</v>
      </c>
      <c r="I615" s="3" t="str">
        <f t="shared" si="66"/>
        <v>2024-02-01</v>
      </c>
      <c r="J615" s="9">
        <f t="shared" si="67"/>
        <v>0.11959336979665</v>
      </c>
      <c r="K615" s="9">
        <f t="shared" si="68"/>
        <v>0.114487698510763</v>
      </c>
      <c r="L615" s="9">
        <f t="shared" si="69"/>
        <v>0.115941832964477</v>
      </c>
    </row>
    <row r="616" s="4" customFormat="1" ht="12.6" customHeight="1" spans="1:12">
      <c r="A616" s="4">
        <v>45345</v>
      </c>
      <c r="B616" s="8">
        <v>0.11749079871618</v>
      </c>
      <c r="C616" s="8">
        <v>0.0178264982314491</v>
      </c>
      <c r="D616" s="8">
        <v>-0.0409731921958861</v>
      </c>
      <c r="E616" s="8">
        <v>1</v>
      </c>
      <c r="F616" s="9">
        <f t="shared" si="63"/>
        <v>0.117932492640379</v>
      </c>
      <c r="G616" s="9">
        <f t="shared" si="64"/>
        <v>0.113168727360119</v>
      </c>
      <c r="H616" s="9">
        <f t="shared" si="65"/>
        <v>0.115178094585612</v>
      </c>
      <c r="I616" s="3" t="str">
        <f t="shared" si="66"/>
        <v>2024-02-01</v>
      </c>
      <c r="J616" s="9">
        <f t="shared" si="67"/>
        <v>0.11959336979665</v>
      </c>
      <c r="K616" s="9">
        <f t="shared" si="68"/>
        <v>0.114487698510763</v>
      </c>
      <c r="L616" s="9">
        <f t="shared" si="69"/>
        <v>0.115941832964477</v>
      </c>
    </row>
    <row r="617" s="4" customFormat="1" ht="12.6" customHeight="1" spans="1:12">
      <c r="A617" s="4">
        <v>45344</v>
      </c>
      <c r="B617" s="8">
        <v>0.117367981424501</v>
      </c>
      <c r="C617" s="8">
        <v>0.0177746125177925</v>
      </c>
      <c r="D617" s="8">
        <v>-0.0404728592839278</v>
      </c>
      <c r="E617" s="8">
        <v>1</v>
      </c>
      <c r="F617" s="9">
        <f t="shared" si="63"/>
        <v>0.117909085850245</v>
      </c>
      <c r="G617" s="9">
        <f t="shared" si="64"/>
        <v>0.113131623968767</v>
      </c>
      <c r="H617" s="9">
        <f t="shared" si="65"/>
        <v>0.115100097262737</v>
      </c>
      <c r="I617" s="3" t="str">
        <f t="shared" si="66"/>
        <v>2024-02-01</v>
      </c>
      <c r="J617" s="9">
        <f t="shared" si="67"/>
        <v>0.11959336979665</v>
      </c>
      <c r="K617" s="9">
        <f t="shared" si="68"/>
        <v>0.114487698510763</v>
      </c>
      <c r="L617" s="9">
        <f t="shared" si="69"/>
        <v>0.115941832964477</v>
      </c>
    </row>
    <row r="618" s="4" customFormat="1" ht="12.6" customHeight="1" spans="1:12">
      <c r="A618" s="4">
        <v>45343</v>
      </c>
      <c r="B618" s="8">
        <v>0.116343115134508</v>
      </c>
      <c r="C618" s="8">
        <v>0.0172257767869068</v>
      </c>
      <c r="D618" s="8">
        <v>-0.0337547960898569</v>
      </c>
      <c r="E618" s="8">
        <v>1</v>
      </c>
      <c r="F618" s="9">
        <f t="shared" si="63"/>
        <v>0.118312477738232</v>
      </c>
      <c r="G618" s="9">
        <f t="shared" si="64"/>
        <v>0.113287023632138</v>
      </c>
      <c r="H618" s="9">
        <f t="shared" si="65"/>
        <v>0.114691820711216</v>
      </c>
      <c r="I618" s="3" t="str">
        <f t="shared" si="66"/>
        <v>2024-02-01</v>
      </c>
      <c r="J618" s="9">
        <f t="shared" si="67"/>
        <v>0.11959336979665</v>
      </c>
      <c r="K618" s="9">
        <f t="shared" si="68"/>
        <v>0.114487698510763</v>
      </c>
      <c r="L618" s="9">
        <f t="shared" si="69"/>
        <v>0.115941832964477</v>
      </c>
    </row>
    <row r="619" s="4" customFormat="1" ht="12.6" customHeight="1" spans="1:12">
      <c r="A619" s="4">
        <v>45342</v>
      </c>
      <c r="B619" s="8">
        <v>0.115457160315649</v>
      </c>
      <c r="C619" s="8">
        <v>0.018286709733947</v>
      </c>
      <c r="D619" s="8">
        <v>-0.026112196242757</v>
      </c>
      <c r="E619" s="8">
        <v>1</v>
      </c>
      <c r="F619" s="9">
        <f t="shared" si="63"/>
        <v>0.120116649572139</v>
      </c>
      <c r="G619" s="9">
        <f t="shared" si="64"/>
        <v>0.114078551150868</v>
      </c>
      <c r="H619" s="9">
        <f t="shared" si="65"/>
        <v>0.114675832684297</v>
      </c>
      <c r="I619" s="3" t="str">
        <f t="shared" si="66"/>
        <v>2024-02-01</v>
      </c>
      <c r="J619" s="9">
        <f t="shared" si="67"/>
        <v>0.11959336979665</v>
      </c>
      <c r="K619" s="9">
        <f t="shared" si="68"/>
        <v>0.114487698510763</v>
      </c>
      <c r="L619" s="9">
        <f t="shared" si="69"/>
        <v>0.115941832964477</v>
      </c>
    </row>
    <row r="620" s="4" customFormat="1" ht="12.6" customHeight="1" spans="1:12">
      <c r="A620" s="4">
        <v>45341</v>
      </c>
      <c r="B620" s="8">
        <v>0.115724417167318</v>
      </c>
      <c r="C620" s="8">
        <v>0.0188938845574431</v>
      </c>
      <c r="D620" s="8">
        <v>-0.0284503677891567</v>
      </c>
      <c r="E620" s="8">
        <v>1</v>
      </c>
      <c r="F620" s="9">
        <f t="shared" si="63"/>
        <v>0.120149873049848</v>
      </c>
      <c r="G620" s="9">
        <f t="shared" si="64"/>
        <v>0.114017695806746</v>
      </c>
      <c r="H620" s="9">
        <f t="shared" si="65"/>
        <v>0.114770103875213</v>
      </c>
      <c r="I620" s="3" t="str">
        <f t="shared" si="66"/>
        <v>2024-02-01</v>
      </c>
      <c r="J620" s="9">
        <f t="shared" si="67"/>
        <v>0.11959336979665</v>
      </c>
      <c r="K620" s="9">
        <f t="shared" si="68"/>
        <v>0.114487698510763</v>
      </c>
      <c r="L620" s="9">
        <f t="shared" si="69"/>
        <v>0.115941832964477</v>
      </c>
    </row>
    <row r="621" s="4" customFormat="1" ht="12.6" customHeight="1" spans="1:12">
      <c r="A621" s="4">
        <v>45338</v>
      </c>
      <c r="B621" s="8">
        <v>0.116113963668208</v>
      </c>
      <c r="C621" s="8">
        <v>0.0191159855918962</v>
      </c>
      <c r="D621" s="8">
        <v>-0.029656974146924</v>
      </c>
      <c r="E621" s="8">
        <v>1</v>
      </c>
      <c r="F621" s="9">
        <f t="shared" si="63"/>
        <v>0.120360979168205</v>
      </c>
      <c r="G621" s="9">
        <f t="shared" si="64"/>
        <v>0.114219798001598</v>
      </c>
      <c r="H621" s="9">
        <f t="shared" si="65"/>
        <v>0.115061259093262</v>
      </c>
      <c r="I621" s="3" t="str">
        <f t="shared" si="66"/>
        <v>2024-02-01</v>
      </c>
      <c r="J621" s="9">
        <f t="shared" si="67"/>
        <v>0.11959336979665</v>
      </c>
      <c r="K621" s="9">
        <f t="shared" si="68"/>
        <v>0.114487698510763</v>
      </c>
      <c r="L621" s="9">
        <f t="shared" si="69"/>
        <v>0.115941832964477</v>
      </c>
    </row>
    <row r="622" s="4" customFormat="1" ht="12.6" customHeight="1" spans="1:12">
      <c r="A622" s="4">
        <v>45337</v>
      </c>
      <c r="B622" s="8">
        <v>0.118018951045444</v>
      </c>
      <c r="C622" s="8">
        <v>0.0215690631616091</v>
      </c>
      <c r="D622" s="8">
        <v>-0.0448001479109366</v>
      </c>
      <c r="E622" s="8">
        <v>1</v>
      </c>
      <c r="F622" s="9">
        <f t="shared" si="63"/>
        <v>0.119815158149379</v>
      </c>
      <c r="G622" s="9">
        <f t="shared" si="64"/>
        <v>0.113705901081308</v>
      </c>
      <c r="H622" s="9">
        <f t="shared" si="65"/>
        <v>0.115697981963041</v>
      </c>
      <c r="I622" s="3" t="str">
        <f t="shared" si="66"/>
        <v>2024-02-01</v>
      </c>
      <c r="J622" s="9">
        <f t="shared" si="67"/>
        <v>0.11959336979665</v>
      </c>
      <c r="K622" s="9">
        <f t="shared" si="68"/>
        <v>0.114487698510763</v>
      </c>
      <c r="L622" s="9">
        <f t="shared" si="69"/>
        <v>0.115941832964477</v>
      </c>
    </row>
    <row r="623" s="4" customFormat="1" ht="12.6" customHeight="1" spans="1:12">
      <c r="A623" s="4">
        <v>45336</v>
      </c>
      <c r="B623" s="8">
        <v>0.115962925236697</v>
      </c>
      <c r="C623" s="8">
        <v>0.0183931272623821</v>
      </c>
      <c r="D623" s="8">
        <v>-0.0265748873187978</v>
      </c>
      <c r="E623" s="8">
        <v>1</v>
      </c>
      <c r="F623" s="9">
        <f t="shared" si="63"/>
        <v>0.120567421193668</v>
      </c>
      <c r="G623" s="9">
        <f t="shared" si="64"/>
        <v>0.114516659060798</v>
      </c>
      <c r="H623" s="9">
        <f t="shared" si="65"/>
        <v>0.115145992874206</v>
      </c>
      <c r="I623" s="3" t="str">
        <f t="shared" si="66"/>
        <v>2024-02-01</v>
      </c>
      <c r="J623" s="9">
        <f t="shared" si="67"/>
        <v>0.11959336979665</v>
      </c>
      <c r="K623" s="9">
        <f t="shared" si="68"/>
        <v>0.114487698510763</v>
      </c>
      <c r="L623" s="9">
        <f t="shared" si="69"/>
        <v>0.115941832964477</v>
      </c>
    </row>
    <row r="624" s="4" customFormat="1" ht="12.6" customHeight="1" spans="1:12">
      <c r="A624" s="4">
        <v>45335</v>
      </c>
      <c r="B624" s="8">
        <v>0.115546580923046</v>
      </c>
      <c r="C624" s="8">
        <v>0.0167089981974245</v>
      </c>
      <c r="D624" s="8">
        <v>-0.0178620505368707</v>
      </c>
      <c r="E624" s="8">
        <v>1</v>
      </c>
      <c r="F624" s="9">
        <f t="shared" si="63"/>
        <v>0.121388794003557</v>
      </c>
      <c r="G624" s="9">
        <f t="shared" si="64"/>
        <v>0.115437877846079</v>
      </c>
      <c r="H624" s="9">
        <f t="shared" si="65"/>
        <v>0.115432091859791</v>
      </c>
      <c r="I624" s="3" t="str">
        <f t="shared" si="66"/>
        <v>2024-02-01</v>
      </c>
      <c r="J624" s="9">
        <f t="shared" si="67"/>
        <v>0.11959336979665</v>
      </c>
      <c r="K624" s="9">
        <f t="shared" si="68"/>
        <v>0.114487698510763</v>
      </c>
      <c r="L624" s="9">
        <f t="shared" si="69"/>
        <v>0.115941832964477</v>
      </c>
    </row>
    <row r="625" s="4" customFormat="1" ht="12.6" customHeight="1" spans="1:12">
      <c r="A625" s="4">
        <v>45334</v>
      </c>
      <c r="B625" s="8">
        <v>0.115621731426784</v>
      </c>
      <c r="C625" s="8">
        <v>0.0154942464307534</v>
      </c>
      <c r="D625" s="8">
        <v>-0.0149723045291868</v>
      </c>
      <c r="E625" s="8">
        <v>1</v>
      </c>
      <c r="F625" s="9">
        <f t="shared" si="63"/>
        <v>0.121459664656524</v>
      </c>
      <c r="G625" s="9">
        <f t="shared" si="64"/>
        <v>0.115826299038095</v>
      </c>
      <c r="H625" s="9">
        <f t="shared" si="65"/>
        <v>0.115674602988902</v>
      </c>
      <c r="I625" s="3" t="str">
        <f t="shared" si="66"/>
        <v>2024-02-01</v>
      </c>
      <c r="J625" s="9">
        <f t="shared" si="67"/>
        <v>0.11959336979665</v>
      </c>
      <c r="K625" s="9">
        <f t="shared" si="68"/>
        <v>0.114487698510763</v>
      </c>
      <c r="L625" s="9">
        <f t="shared" si="69"/>
        <v>0.115941832964477</v>
      </c>
    </row>
    <row r="626" s="4" customFormat="1" ht="12.6" customHeight="1" spans="1:12">
      <c r="A626" s="4">
        <v>45331</v>
      </c>
      <c r="B626" s="8">
        <v>0.115690507999103</v>
      </c>
      <c r="C626" s="8">
        <v>0.0156885700572765</v>
      </c>
      <c r="D626" s="8">
        <v>-0.0157655152771271</v>
      </c>
      <c r="E626" s="8">
        <v>1</v>
      </c>
      <c r="F626" s="9">
        <f t="shared" si="63"/>
        <v>0.121441678293661</v>
      </c>
      <c r="G626" s="9">
        <f t="shared" si="64"/>
        <v>0.115781449852046</v>
      </c>
      <c r="H626" s="9">
        <f t="shared" si="65"/>
        <v>0.115683529579735</v>
      </c>
      <c r="I626" s="3" t="str">
        <f t="shared" si="66"/>
        <v>2024-02-01</v>
      </c>
      <c r="J626" s="9">
        <f t="shared" si="67"/>
        <v>0.11959336979665</v>
      </c>
      <c r="K626" s="9">
        <f t="shared" si="68"/>
        <v>0.114487698510763</v>
      </c>
      <c r="L626" s="9">
        <f t="shared" si="69"/>
        <v>0.115941832964477</v>
      </c>
    </row>
    <row r="627" s="4" customFormat="1" ht="12.6" customHeight="1" spans="1:12">
      <c r="A627" s="4">
        <v>45330</v>
      </c>
      <c r="B627" s="8">
        <v>0.115484039809324</v>
      </c>
      <c r="C627" s="8">
        <v>0.0161580692423912</v>
      </c>
      <c r="D627" s="8">
        <v>-0.0153338712820003</v>
      </c>
      <c r="E627" s="8">
        <v>1</v>
      </c>
      <c r="F627" s="9">
        <f t="shared" si="63"/>
        <v>0.121646048282849</v>
      </c>
      <c r="G627" s="9">
        <f t="shared" si="64"/>
        <v>0.115751087532956</v>
      </c>
      <c r="H627" s="9">
        <f t="shared" si="65"/>
        <v>0.115567152020189</v>
      </c>
      <c r="I627" s="3" t="str">
        <f t="shared" si="66"/>
        <v>2024-02-01</v>
      </c>
      <c r="J627" s="9">
        <f t="shared" si="67"/>
        <v>0.11959336979665</v>
      </c>
      <c r="K627" s="9">
        <f t="shared" si="68"/>
        <v>0.114487698510763</v>
      </c>
      <c r="L627" s="9">
        <f t="shared" si="69"/>
        <v>0.115941832964477</v>
      </c>
    </row>
    <row r="628" s="4" customFormat="1" ht="12.6" customHeight="1" spans="1:12">
      <c r="A628" s="4">
        <v>45329</v>
      </c>
      <c r="B628" s="8">
        <v>0.11614560865024</v>
      </c>
      <c r="C628" s="8">
        <v>0.0161099704702304</v>
      </c>
      <c r="D628" s="8">
        <v>-0.0193483776827439</v>
      </c>
      <c r="E628" s="8">
        <v>1</v>
      </c>
      <c r="F628" s="9">
        <f t="shared" si="63"/>
        <v>0.121216415242853</v>
      </c>
      <c r="G628" s="9">
        <f t="shared" si="64"/>
        <v>0.115632659594314</v>
      </c>
      <c r="H628" s="9">
        <f t="shared" si="65"/>
        <v>0.115822661046322</v>
      </c>
      <c r="I628" s="3" t="str">
        <f t="shared" si="66"/>
        <v>2024-02-01</v>
      </c>
      <c r="J628" s="9">
        <f t="shared" si="67"/>
        <v>0.11959336979665</v>
      </c>
      <c r="K628" s="9">
        <f t="shared" si="68"/>
        <v>0.114487698510763</v>
      </c>
      <c r="L628" s="9">
        <f t="shared" si="69"/>
        <v>0.115941832964477</v>
      </c>
    </row>
    <row r="629" s="4" customFormat="1" ht="12.6" customHeight="1" spans="1:12">
      <c r="A629" s="4">
        <v>45328</v>
      </c>
      <c r="B629" s="8">
        <v>0.117427179943054</v>
      </c>
      <c r="C629" s="8">
        <v>0.0146531604141542</v>
      </c>
      <c r="D629" s="8">
        <v>-0.0205996301213158</v>
      </c>
      <c r="E629" s="8">
        <v>1</v>
      </c>
      <c r="F629" s="9">
        <f t="shared" si="63"/>
        <v>0.121246474606074</v>
      </c>
      <c r="G629" s="9">
        <f t="shared" si="64"/>
        <v>0.116384698617124</v>
      </c>
      <c r="H629" s="9">
        <f t="shared" si="65"/>
        <v>0.116833495191029</v>
      </c>
      <c r="I629" s="3" t="str">
        <f t="shared" si="66"/>
        <v>2024-02-01</v>
      </c>
      <c r="J629" s="9">
        <f t="shared" si="67"/>
        <v>0.11959336979665</v>
      </c>
      <c r="K629" s="9">
        <f t="shared" si="68"/>
        <v>0.114487698510763</v>
      </c>
      <c r="L629" s="9">
        <f t="shared" si="69"/>
        <v>0.115941832964477</v>
      </c>
    </row>
    <row r="630" s="4" customFormat="1" ht="12.6" customHeight="1" spans="1:12">
      <c r="A630" s="4">
        <v>45327</v>
      </c>
      <c r="B630" s="8">
        <v>0.117203428825802</v>
      </c>
      <c r="C630" s="8">
        <v>0.0144386802259131</v>
      </c>
      <c r="D630" s="8">
        <v>-0.019187384150035</v>
      </c>
      <c r="E630" s="8">
        <v>1</v>
      </c>
      <c r="F630" s="9">
        <f t="shared" si="63"/>
        <v>0.121260319606231</v>
      </c>
      <c r="G630" s="9">
        <f t="shared" si="64"/>
        <v>0.116389370921503</v>
      </c>
      <c r="H630" s="9">
        <f t="shared" si="65"/>
        <v>0.116729451098365</v>
      </c>
      <c r="I630" s="3" t="str">
        <f t="shared" si="66"/>
        <v>2024-02-01</v>
      </c>
      <c r="J630" s="9">
        <f t="shared" si="67"/>
        <v>0.11959336979665</v>
      </c>
      <c r="K630" s="9">
        <f t="shared" si="68"/>
        <v>0.114487698510763</v>
      </c>
      <c r="L630" s="9">
        <f t="shared" si="69"/>
        <v>0.115941832964477</v>
      </c>
    </row>
    <row r="631" s="4" customFormat="1" ht="12.6" customHeight="1" spans="1:12">
      <c r="A631" s="4">
        <v>45324</v>
      </c>
      <c r="B631" s="8">
        <v>0.117762570243884</v>
      </c>
      <c r="C631" s="8">
        <v>0.0151061028305405</v>
      </c>
      <c r="D631" s="8">
        <v>-0.0231196753407196</v>
      </c>
      <c r="E631" s="8">
        <v>1</v>
      </c>
      <c r="F631" s="9">
        <f t="shared" si="63"/>
        <v>0.121202279554946</v>
      </c>
      <c r="G631" s="9">
        <f t="shared" si="64"/>
        <v>0.116326433894299</v>
      </c>
      <c r="H631" s="9">
        <f t="shared" si="65"/>
        <v>0.116962299006066</v>
      </c>
      <c r="I631" s="3" t="str">
        <f t="shared" si="66"/>
        <v>2024-02-01</v>
      </c>
      <c r="J631" s="9">
        <f t="shared" si="67"/>
        <v>0.11959336979665</v>
      </c>
      <c r="K631" s="9">
        <f t="shared" si="68"/>
        <v>0.114487698510763</v>
      </c>
      <c r="L631" s="9">
        <f t="shared" si="69"/>
        <v>0.115941832964477</v>
      </c>
    </row>
    <row r="632" s="4" customFormat="1" ht="12.6" customHeight="1" spans="1:12">
      <c r="A632" s="4">
        <v>45323</v>
      </c>
      <c r="B632" s="8">
        <v>0.118228790874195</v>
      </c>
      <c r="C632" s="8">
        <v>0.0156025567593254</v>
      </c>
      <c r="D632" s="8">
        <v>-0.0261541896312793</v>
      </c>
      <c r="E632" s="8">
        <v>1</v>
      </c>
      <c r="F632" s="9">
        <f t="shared" si="63"/>
        <v>0.121180475472469</v>
      </c>
      <c r="G632" s="9">
        <f t="shared" si="64"/>
        <v>0.116308909111953</v>
      </c>
      <c r="H632" s="9">
        <f t="shared" si="65"/>
        <v>0.117174862889711</v>
      </c>
      <c r="I632" s="3" t="str">
        <f t="shared" si="66"/>
        <v>2024-02-01</v>
      </c>
      <c r="J632" s="9">
        <f t="shared" si="67"/>
        <v>0.11959336979665</v>
      </c>
      <c r="K632" s="9">
        <f t="shared" si="68"/>
        <v>0.114487698510763</v>
      </c>
      <c r="L632" s="9">
        <f t="shared" si="69"/>
        <v>0.115941832964477</v>
      </c>
    </row>
    <row r="633" s="4" customFormat="1" ht="12.6" customHeight="1" spans="1:12">
      <c r="A633" s="4">
        <v>45322</v>
      </c>
      <c r="B633" s="8">
        <v>0.118986699426592</v>
      </c>
      <c r="C633" s="8">
        <v>0.0165052700105648</v>
      </c>
      <c r="D633" s="8">
        <v>-0.0314674877134972</v>
      </c>
      <c r="E633" s="8">
        <v>1</v>
      </c>
      <c r="F633" s="9">
        <f t="shared" si="63"/>
        <v>0.12110501580601</v>
      </c>
      <c r="G633" s="9">
        <f t="shared" si="64"/>
        <v>0.116226445076388</v>
      </c>
      <c r="H633" s="9">
        <f t="shared" si="65"/>
        <v>0.117491974206394</v>
      </c>
      <c r="I633" s="3" t="str">
        <f t="shared" si="66"/>
        <v>2024-01-01</v>
      </c>
      <c r="J633" s="9">
        <f t="shared" si="67"/>
        <v>0.130089888171251</v>
      </c>
      <c r="K633" s="9">
        <f t="shared" si="68"/>
        <v>0.117731402928765</v>
      </c>
      <c r="L633" s="9">
        <f t="shared" si="69"/>
        <v>0.114132714734238</v>
      </c>
    </row>
    <row r="634" s="4" customFormat="1" ht="12.6" customHeight="1" spans="1:12">
      <c r="A634" s="4">
        <v>45321</v>
      </c>
      <c r="B634" s="8">
        <v>0.12105041036592</v>
      </c>
      <c r="C634" s="8">
        <v>0.0183636454167581</v>
      </c>
      <c r="D634" s="8">
        <v>-0.0441801049515689</v>
      </c>
      <c r="E634" s="8">
        <v>1</v>
      </c>
      <c r="F634" s="9">
        <f t="shared" si="63"/>
        <v>0.120984247858279</v>
      </c>
      <c r="G634" s="9">
        <f t="shared" si="64"/>
        <v>0.116219591651745</v>
      </c>
      <c r="H634" s="9">
        <f t="shared" si="65"/>
        <v>0.118470887392646</v>
      </c>
      <c r="I634" s="3" t="str">
        <f t="shared" si="66"/>
        <v>2024-01-01</v>
      </c>
      <c r="J634" s="9">
        <f t="shared" si="67"/>
        <v>0.130089888171251</v>
      </c>
      <c r="K634" s="9">
        <f t="shared" si="68"/>
        <v>0.117731402928765</v>
      </c>
      <c r="L634" s="9">
        <f t="shared" si="69"/>
        <v>0.114132714734238</v>
      </c>
    </row>
    <row r="635" s="4" customFormat="1" ht="12.6" customHeight="1" spans="1:12">
      <c r="A635" s="4">
        <v>45320</v>
      </c>
      <c r="B635" s="8">
        <v>0.119522510379038</v>
      </c>
      <c r="C635" s="8">
        <v>0.0203263847373606</v>
      </c>
      <c r="D635" s="8">
        <v>-0.0376444840584069</v>
      </c>
      <c r="E635" s="8">
        <v>1</v>
      </c>
      <c r="F635" s="9">
        <f t="shared" si="63"/>
        <v>0.122424015516964</v>
      </c>
      <c r="G635" s="9">
        <f t="shared" si="64"/>
        <v>0.116335874740292</v>
      </c>
      <c r="H635" s="9">
        <f t="shared" si="65"/>
        <v>0.117792488127915</v>
      </c>
      <c r="I635" s="3" t="str">
        <f t="shared" si="66"/>
        <v>2024-01-01</v>
      </c>
      <c r="J635" s="9">
        <f t="shared" si="67"/>
        <v>0.130089888171251</v>
      </c>
      <c r="K635" s="9">
        <f t="shared" si="68"/>
        <v>0.117731402928765</v>
      </c>
      <c r="L635" s="9">
        <f t="shared" si="69"/>
        <v>0.114132714734238</v>
      </c>
    </row>
    <row r="636" s="4" customFormat="1" ht="12.6" customHeight="1" spans="1:12">
      <c r="A636" s="4">
        <v>45317</v>
      </c>
      <c r="B636" s="8">
        <v>0.118567499190102</v>
      </c>
      <c r="C636" s="8">
        <v>0.0220636305496435</v>
      </c>
      <c r="D636" s="8">
        <v>-0.0324253208461001</v>
      </c>
      <c r="E636" s="8">
        <v>1</v>
      </c>
      <c r="F636" s="9">
        <f t="shared" si="63"/>
        <v>0.123946270642165</v>
      </c>
      <c r="G636" s="9">
        <f t="shared" si="64"/>
        <v>0.116727604528108</v>
      </c>
      <c r="H636" s="9">
        <f t="shared" si="65"/>
        <v>0.117532849309746</v>
      </c>
      <c r="I636" s="3" t="str">
        <f t="shared" si="66"/>
        <v>2024-01-01</v>
      </c>
      <c r="J636" s="9">
        <f t="shared" si="67"/>
        <v>0.130089888171251</v>
      </c>
      <c r="K636" s="9">
        <f t="shared" si="68"/>
        <v>0.117731402928765</v>
      </c>
      <c r="L636" s="9">
        <f t="shared" si="69"/>
        <v>0.114132714734238</v>
      </c>
    </row>
    <row r="637" s="4" customFormat="1" ht="13.5" customHeight="1" spans="1:12">
      <c r="A637" s="4">
        <v>45316</v>
      </c>
      <c r="B637" s="8">
        <v>0.117277027188316</v>
      </c>
      <c r="C637" s="8">
        <v>0.0190878473322002</v>
      </c>
      <c r="D637" s="8">
        <v>-0.0205069361507811</v>
      </c>
      <c r="E637" s="8">
        <v>1</v>
      </c>
      <c r="F637" s="9">
        <f t="shared" si="63"/>
        <v>0.123924072182575</v>
      </c>
      <c r="G637" s="9">
        <f t="shared" si="64"/>
        <v>0.117133296422547</v>
      </c>
      <c r="H637" s="9">
        <f t="shared" si="65"/>
        <v>0.117136055762572</v>
      </c>
      <c r="I637" s="3" t="str">
        <f t="shared" si="66"/>
        <v>2024-01-01</v>
      </c>
      <c r="J637" s="9">
        <f t="shared" si="67"/>
        <v>0.130089888171251</v>
      </c>
      <c r="K637" s="9">
        <f t="shared" si="68"/>
        <v>0.117731402928765</v>
      </c>
      <c r="L637" s="9">
        <f t="shared" si="69"/>
        <v>0.114132714734238</v>
      </c>
    </row>
    <row r="638" s="4" customFormat="1" ht="13.5" customHeight="1" spans="1:12">
      <c r="A638" s="4">
        <v>45315</v>
      </c>
      <c r="B638" s="8">
        <v>0.115793576470682</v>
      </c>
      <c r="C638" s="8">
        <v>0.0189121263816098</v>
      </c>
      <c r="D638" s="8">
        <v>-0.0123664983298737</v>
      </c>
      <c r="E638" s="8">
        <v>1</v>
      </c>
      <c r="F638" s="9">
        <f t="shared" si="63"/>
        <v>0.124480583027471</v>
      </c>
      <c r="G638" s="9">
        <f t="shared" si="64"/>
        <v>0.117177206072363</v>
      </c>
      <c r="H638" s="9">
        <f t="shared" si="65"/>
        <v>0.116448670996906</v>
      </c>
      <c r="I638" s="3" t="str">
        <f t="shared" si="66"/>
        <v>2024-01-01</v>
      </c>
      <c r="J638" s="9">
        <f t="shared" si="67"/>
        <v>0.130089888171251</v>
      </c>
      <c r="K638" s="9">
        <f t="shared" si="68"/>
        <v>0.117731402928765</v>
      </c>
      <c r="L638" s="9">
        <f t="shared" si="69"/>
        <v>0.114132714734238</v>
      </c>
    </row>
    <row r="639" s="4" customFormat="1" ht="13.5" customHeight="1" spans="1:12">
      <c r="A639" s="4">
        <v>45314</v>
      </c>
      <c r="B639" s="8">
        <v>0.117312134780569</v>
      </c>
      <c r="C639" s="8">
        <v>0.0225367603358298</v>
      </c>
      <c r="D639" s="8">
        <v>-0.0197140532365455</v>
      </c>
      <c r="E639" s="8">
        <v>1</v>
      </c>
      <c r="F639" s="9">
        <f t="shared" si="63"/>
        <v>0.126348820857462</v>
      </c>
      <c r="G639" s="9">
        <f t="shared" si="64"/>
        <v>0.118005704596105</v>
      </c>
      <c r="H639" s="9">
        <f t="shared" si="65"/>
        <v>0.117595287692059</v>
      </c>
      <c r="I639" s="3" t="str">
        <f t="shared" si="66"/>
        <v>2024-01-01</v>
      </c>
      <c r="J639" s="9">
        <f t="shared" si="67"/>
        <v>0.130089888171251</v>
      </c>
      <c r="K639" s="9">
        <f t="shared" si="68"/>
        <v>0.117731402928765</v>
      </c>
      <c r="L639" s="9">
        <f t="shared" si="69"/>
        <v>0.114132714734238</v>
      </c>
    </row>
    <row r="640" s="4" customFormat="1" ht="13.5" customHeight="1" spans="1:12">
      <c r="A640" s="4">
        <v>45313</v>
      </c>
      <c r="B640" s="8">
        <v>0.117568313075617</v>
      </c>
      <c r="C640" s="8">
        <v>0.0248856547193161</v>
      </c>
      <c r="D640" s="8">
        <v>-0.0250222222133687</v>
      </c>
      <c r="E640" s="8">
        <v>1</v>
      </c>
      <c r="F640" s="9">
        <f t="shared" si="63"/>
        <v>0.12668714707968</v>
      </c>
      <c r="G640" s="9">
        <f t="shared" si="64"/>
        <v>0.117709782020787</v>
      </c>
      <c r="H640" s="9">
        <f t="shared" si="65"/>
        <v>0.117555792953358</v>
      </c>
      <c r="I640" s="3" t="str">
        <f t="shared" si="66"/>
        <v>2024-01-01</v>
      </c>
      <c r="J640" s="9">
        <f t="shared" si="67"/>
        <v>0.130089888171251</v>
      </c>
      <c r="K640" s="9">
        <f t="shared" si="68"/>
        <v>0.117731402928765</v>
      </c>
      <c r="L640" s="9">
        <f t="shared" si="69"/>
        <v>0.114132714734238</v>
      </c>
    </row>
    <row r="641" s="4" customFormat="1" ht="13.5" customHeight="1" spans="1:12">
      <c r="A641" s="4">
        <v>45310</v>
      </c>
      <c r="B641" s="8">
        <v>0.113373460877521</v>
      </c>
      <c r="C641" s="8">
        <v>0.0310731434875073</v>
      </c>
      <c r="D641" s="8">
        <v>-0.0164285926431878</v>
      </c>
      <c r="E641" s="8">
        <v>1</v>
      </c>
      <c r="F641" s="9">
        <f t="shared" si="63"/>
        <v>0.128674324021835</v>
      </c>
      <c r="G641" s="9">
        <f t="shared" si="64"/>
        <v>0.116393331191401</v>
      </c>
      <c r="H641" s="9">
        <f t="shared" si="65"/>
        <v>0.114838595332747</v>
      </c>
      <c r="I641" s="3" t="str">
        <f t="shared" si="66"/>
        <v>2024-01-01</v>
      </c>
      <c r="J641" s="9">
        <f t="shared" si="67"/>
        <v>0.130089888171251</v>
      </c>
      <c r="K641" s="9">
        <f t="shared" si="68"/>
        <v>0.117731402928765</v>
      </c>
      <c r="L641" s="9">
        <f t="shared" si="69"/>
        <v>0.114132714734238</v>
      </c>
    </row>
    <row r="642" s="4" customFormat="1" ht="13.5" customHeight="1" spans="1:12">
      <c r="A642" s="4">
        <v>45309</v>
      </c>
      <c r="B642" s="8">
        <v>0.110104159629365</v>
      </c>
      <c r="C642" s="8">
        <v>0.0280913391220347</v>
      </c>
      <c r="D642" s="8">
        <v>-5.2933982771901e-5</v>
      </c>
      <c r="E642" s="8">
        <v>1.22</v>
      </c>
      <c r="F642" s="9">
        <f t="shared" si="63"/>
        <v>0.129263613514137</v>
      </c>
      <c r="G642" s="9">
        <f t="shared" si="64"/>
        <v>0.116832843340911</v>
      </c>
      <c r="H642" s="9">
        <f t="shared" si="65"/>
        <v>0.113523917053749</v>
      </c>
      <c r="I642" s="3" t="str">
        <f t="shared" si="66"/>
        <v>2024-01-01</v>
      </c>
      <c r="J642" s="9">
        <f t="shared" si="67"/>
        <v>0.130089888171251</v>
      </c>
      <c r="K642" s="9">
        <f t="shared" si="68"/>
        <v>0.117731402928765</v>
      </c>
      <c r="L642" s="9">
        <f t="shared" si="69"/>
        <v>0.114132714734238</v>
      </c>
    </row>
    <row r="643" s="4" customFormat="1" ht="13.5" customHeight="1" spans="1:12">
      <c r="A643" s="4">
        <v>45308</v>
      </c>
      <c r="B643" s="8">
        <v>0.10939568035302</v>
      </c>
      <c r="C643" s="8">
        <v>0.0281899825995427</v>
      </c>
      <c r="D643" s="8">
        <v>3.94356543987335e-5</v>
      </c>
      <c r="E643" s="8">
        <v>1.33</v>
      </c>
      <c r="F643" s="9">
        <f t="shared" si="63"/>
        <v>0.129220456927617</v>
      </c>
      <c r="G643" s="9">
        <f t="shared" si="64"/>
        <v>0.116728843454572</v>
      </c>
      <c r="H643" s="9">
        <f t="shared" si="65"/>
        <v>0.113148133682015</v>
      </c>
      <c r="I643" s="3" t="str">
        <f t="shared" si="66"/>
        <v>2024-01-01</v>
      </c>
      <c r="J643" s="9">
        <f t="shared" si="67"/>
        <v>0.130089888171251</v>
      </c>
      <c r="K643" s="9">
        <f t="shared" si="68"/>
        <v>0.117731402928765</v>
      </c>
      <c r="L643" s="9">
        <f t="shared" si="69"/>
        <v>0.114132714734238</v>
      </c>
    </row>
    <row r="644" s="4" customFormat="1" ht="13.5" customHeight="1" spans="1:12">
      <c r="A644" s="4">
        <v>45307</v>
      </c>
      <c r="B644" s="8">
        <v>0.105832648283759</v>
      </c>
      <c r="C644" s="8">
        <v>0.0317530146688039</v>
      </c>
      <c r="D644" s="8">
        <v>0.0021746848576897</v>
      </c>
      <c r="E644" s="8">
        <v>2</v>
      </c>
      <c r="F644" s="9">
        <f t="shared" si="63"/>
        <v>0.131212654342672</v>
      </c>
      <c r="G644" s="9">
        <f t="shared" si="64"/>
        <v>0.118111237023228</v>
      </c>
      <c r="H644" s="9">
        <f t="shared" si="65"/>
        <v>0.112557814669505</v>
      </c>
      <c r="I644" s="3" t="str">
        <f t="shared" si="66"/>
        <v>2024-01-01</v>
      </c>
      <c r="J644" s="9">
        <f t="shared" si="67"/>
        <v>0.130089888171251</v>
      </c>
      <c r="K644" s="9">
        <f t="shared" si="68"/>
        <v>0.117731402928765</v>
      </c>
      <c r="L644" s="9">
        <f t="shared" si="69"/>
        <v>0.114132714734238</v>
      </c>
    </row>
    <row r="645" s="4" customFormat="1" ht="13.5" customHeight="1" spans="1:12">
      <c r="A645" s="4">
        <v>45306</v>
      </c>
      <c r="B645" s="8">
        <v>0.107206192135334</v>
      </c>
      <c r="C645" s="8">
        <v>0.0303794708172294</v>
      </c>
      <c r="D645" s="8">
        <v>7.15339369935118e-6</v>
      </c>
      <c r="E645" s="8">
        <v>1.96</v>
      </c>
      <c r="F645" s="9">
        <f t="shared" ref="F645:F708" si="70">B645+(C645+D645)*(E645/$F$3)*(1-EXP(-$F$3/E645))-D645*EXP(-$F$3/E645)</f>
        <v>0.131002793305058</v>
      </c>
      <c r="G645" s="9">
        <f t="shared" ref="G645:G708" si="71">B645+(C645+D645)*(E645/$G$3)*(1-EXP(-$G$3/E645))-D645*EXP(-$G$3/E645)</f>
        <v>0.118188065226952</v>
      </c>
      <c r="H645" s="9">
        <f t="shared" ref="H645:H708" si="72">B645+(C645+D645)*(E645/$H$3)*(1-EXP(-$H$3/E645))-D645*EXP(-$H$3/E645)</f>
        <v>0.113125690114244</v>
      </c>
      <c r="I645" s="3" t="str">
        <f t="shared" ref="I645:I708" si="73">TEXT(A645,"yyyy-mm-01")</f>
        <v>2024-01-01</v>
      </c>
      <c r="J645" s="9">
        <f t="shared" ref="J645:J708" si="74">AVERAGEIF($I:$I,I645,$F:$F)</f>
        <v>0.130089888171251</v>
      </c>
      <c r="K645" s="9">
        <f t="shared" ref="K645:K708" si="75">AVERAGEIF($I:$I,I645,$G:$G)</f>
        <v>0.117731402928765</v>
      </c>
      <c r="L645" s="9">
        <f t="shared" ref="L645:L708" si="76">AVERAGEIF($I:$I,I645,$H:$H)</f>
        <v>0.114132714734238</v>
      </c>
    </row>
    <row r="646" s="4" customFormat="1" ht="13.5" customHeight="1" spans="1:12">
      <c r="A646" s="4">
        <v>45303</v>
      </c>
      <c r="B646" s="8">
        <v>0.105420109456728</v>
      </c>
      <c r="C646" s="8">
        <v>0.0321655534958352</v>
      </c>
      <c r="D646" s="8">
        <v>0.00450663168386745</v>
      </c>
      <c r="E646" s="8">
        <v>2</v>
      </c>
      <c r="F646" s="9">
        <f t="shared" si="70"/>
        <v>0.131545460187537</v>
      </c>
      <c r="G646" s="9">
        <f t="shared" si="71"/>
        <v>0.118514962165036</v>
      </c>
      <c r="H646" s="9">
        <f t="shared" si="72"/>
        <v>0.112674761999222</v>
      </c>
      <c r="I646" s="3" t="str">
        <f t="shared" si="73"/>
        <v>2024-01-01</v>
      </c>
      <c r="J646" s="9">
        <f t="shared" si="74"/>
        <v>0.130089888171251</v>
      </c>
      <c r="K646" s="9">
        <f t="shared" si="75"/>
        <v>0.117731402928765</v>
      </c>
      <c r="L646" s="9">
        <f t="shared" si="76"/>
        <v>0.114132714734238</v>
      </c>
    </row>
    <row r="647" s="4" customFormat="1" ht="13.5" customHeight="1" spans="1:12">
      <c r="A647" s="4">
        <v>45302</v>
      </c>
      <c r="B647" s="8">
        <v>0.105097342821552</v>
      </c>
      <c r="C647" s="8">
        <v>0.0316164804942699</v>
      </c>
      <c r="D647" s="8">
        <v>0.00672212703261638</v>
      </c>
      <c r="E647" s="8">
        <v>2</v>
      </c>
      <c r="F647" s="9">
        <f t="shared" si="70"/>
        <v>0.131190299900068</v>
      </c>
      <c r="G647" s="9">
        <f t="shared" si="71"/>
        <v>0.11862219022565</v>
      </c>
      <c r="H647" s="9">
        <f t="shared" si="72"/>
        <v>0.112668106290155</v>
      </c>
      <c r="I647" s="3" t="str">
        <f t="shared" si="73"/>
        <v>2024-01-01</v>
      </c>
      <c r="J647" s="9">
        <f t="shared" si="74"/>
        <v>0.130089888171251</v>
      </c>
      <c r="K647" s="9">
        <f t="shared" si="75"/>
        <v>0.117731402928765</v>
      </c>
      <c r="L647" s="9">
        <f t="shared" si="76"/>
        <v>0.114132714734238</v>
      </c>
    </row>
    <row r="648" s="4" customFormat="1" ht="13.5" customHeight="1" spans="1:12">
      <c r="A648" s="4">
        <v>45301</v>
      </c>
      <c r="B648" s="8">
        <v>0.112960985583615</v>
      </c>
      <c r="C648" s="8">
        <v>0.0246246773689477</v>
      </c>
      <c r="D648" s="8">
        <v>-3.61988004083275e-6</v>
      </c>
      <c r="E648" s="8">
        <v>1.01</v>
      </c>
      <c r="F648" s="9">
        <f t="shared" si="70"/>
        <v>0.128590416211205</v>
      </c>
      <c r="G648" s="9">
        <f t="shared" si="71"/>
        <v>0.117899253254831</v>
      </c>
      <c r="H648" s="9">
        <f t="shared" si="72"/>
        <v>0.115447587924189</v>
      </c>
      <c r="I648" s="3" t="str">
        <f t="shared" si="73"/>
        <v>2024-01-01</v>
      </c>
      <c r="J648" s="9">
        <f t="shared" si="74"/>
        <v>0.130089888171251</v>
      </c>
      <c r="K648" s="9">
        <f t="shared" si="75"/>
        <v>0.117731402928765</v>
      </c>
      <c r="L648" s="9">
        <f t="shared" si="76"/>
        <v>0.114132714734238</v>
      </c>
    </row>
    <row r="649" s="4" customFormat="1" ht="13.5" customHeight="1" spans="1:12">
      <c r="A649" s="4">
        <v>45300</v>
      </c>
      <c r="B649" s="8">
        <v>0.0980274598875399</v>
      </c>
      <c r="C649" s="8">
        <v>0.0391223782596938</v>
      </c>
      <c r="D649" s="8">
        <v>0.0699307706851644</v>
      </c>
      <c r="E649" s="8">
        <v>1</v>
      </c>
      <c r="F649" s="9">
        <f t="shared" si="70"/>
        <v>0.141236104500231</v>
      </c>
      <c r="G649" s="9">
        <f t="shared" si="71"/>
        <v>0.119219940982495</v>
      </c>
      <c r="H649" s="9">
        <f t="shared" si="72"/>
        <v>0.108929104829418</v>
      </c>
      <c r="I649" s="3" t="str">
        <f t="shared" si="73"/>
        <v>2024-01-01</v>
      </c>
      <c r="J649" s="9">
        <f t="shared" si="74"/>
        <v>0.130089888171251</v>
      </c>
      <c r="K649" s="9">
        <f t="shared" si="75"/>
        <v>0.117731402928765</v>
      </c>
      <c r="L649" s="9">
        <f t="shared" si="76"/>
        <v>0.114132714734238</v>
      </c>
    </row>
    <row r="650" s="4" customFormat="1" ht="13.5" customHeight="1" spans="1:12">
      <c r="A650" s="4">
        <v>45299</v>
      </c>
      <c r="B650" s="8">
        <v>0.0974104364195799</v>
      </c>
      <c r="C650" s="8">
        <v>0.0396522139687599</v>
      </c>
      <c r="D650" s="8">
        <v>0.0730371012615666</v>
      </c>
      <c r="E650" s="8">
        <v>1</v>
      </c>
      <c r="F650" s="9">
        <f t="shared" si="70"/>
        <v>0.141774821340094</v>
      </c>
      <c r="G650" s="9">
        <f t="shared" si="71"/>
        <v>0.119304320421701</v>
      </c>
      <c r="H650" s="9">
        <f t="shared" si="72"/>
        <v>0.108675540454646</v>
      </c>
      <c r="I650" s="3" t="str">
        <f t="shared" si="73"/>
        <v>2024-01-01</v>
      </c>
      <c r="J650" s="9">
        <f t="shared" si="74"/>
        <v>0.130089888171251</v>
      </c>
      <c r="K650" s="9">
        <f t="shared" si="75"/>
        <v>0.117731402928765</v>
      </c>
      <c r="L650" s="9">
        <f t="shared" si="76"/>
        <v>0.114132714734238</v>
      </c>
    </row>
    <row r="651" s="4" customFormat="1" ht="13.5" customHeight="1" spans="1:12">
      <c r="A651" s="4">
        <v>45296</v>
      </c>
      <c r="B651" s="8">
        <v>0.0980361735107376</v>
      </c>
      <c r="C651" s="8">
        <v>0.0406817458010851</v>
      </c>
      <c r="D651" s="8">
        <v>0.068180978632409</v>
      </c>
      <c r="E651" s="8">
        <v>1</v>
      </c>
      <c r="F651" s="9">
        <f t="shared" si="70"/>
        <v>0.141768159397424</v>
      </c>
      <c r="G651" s="9">
        <f t="shared" si="71"/>
        <v>0.119202616323584</v>
      </c>
      <c r="H651" s="9">
        <f t="shared" si="72"/>
        <v>0.108918856306442</v>
      </c>
      <c r="I651" s="3" t="str">
        <f t="shared" si="73"/>
        <v>2024-01-01</v>
      </c>
      <c r="J651" s="9">
        <f t="shared" si="74"/>
        <v>0.130089888171251</v>
      </c>
      <c r="K651" s="9">
        <f t="shared" si="75"/>
        <v>0.117731402928765</v>
      </c>
      <c r="L651" s="9">
        <f t="shared" si="76"/>
        <v>0.114132714734238</v>
      </c>
    </row>
    <row r="652" s="4" customFormat="1" ht="13.5" customHeight="1" spans="1:12">
      <c r="A652" s="4">
        <v>45295</v>
      </c>
      <c r="B652" s="8">
        <v>0.100824184254827</v>
      </c>
      <c r="C652" s="8">
        <v>0.0453519259027741</v>
      </c>
      <c r="D652" s="8">
        <v>0.00603882102178071</v>
      </c>
      <c r="E652" s="8">
        <v>2</v>
      </c>
      <c r="F652" s="9">
        <f t="shared" si="70"/>
        <v>0.137602820735159</v>
      </c>
      <c r="G652" s="9">
        <f t="shared" si="71"/>
        <v>0.119197422653153</v>
      </c>
      <c r="H652" s="9">
        <f t="shared" si="72"/>
        <v>0.110992390757952</v>
      </c>
      <c r="I652" s="3" t="str">
        <f t="shared" si="73"/>
        <v>2024-01-01</v>
      </c>
      <c r="J652" s="9">
        <f t="shared" si="74"/>
        <v>0.130089888171251</v>
      </c>
      <c r="K652" s="9">
        <f t="shared" si="75"/>
        <v>0.117731402928765</v>
      </c>
      <c r="L652" s="9">
        <f t="shared" si="76"/>
        <v>0.114132714734238</v>
      </c>
    </row>
    <row r="653" s="4" customFormat="1" ht="13.5" customHeight="1" spans="1:12">
      <c r="A653" s="4">
        <v>45294</v>
      </c>
      <c r="B653" s="8">
        <v>0.103003160751684</v>
      </c>
      <c r="C653" s="8">
        <v>0.0470534354549949</v>
      </c>
      <c r="D653" s="8">
        <v>3.57914588290143e-5</v>
      </c>
      <c r="E653" s="8">
        <v>1.76</v>
      </c>
      <c r="F653" s="9">
        <f t="shared" si="70"/>
        <v>0.138905554242622</v>
      </c>
      <c r="G653" s="9">
        <f t="shared" si="71"/>
        <v>0.118608930132218</v>
      </c>
      <c r="H653" s="9">
        <f t="shared" si="72"/>
        <v>0.111262503563119</v>
      </c>
      <c r="I653" s="3" t="str">
        <f t="shared" si="73"/>
        <v>2024-01-01</v>
      </c>
      <c r="J653" s="9">
        <f t="shared" si="74"/>
        <v>0.130089888171251</v>
      </c>
      <c r="K653" s="9">
        <f t="shared" si="75"/>
        <v>0.117731402928765</v>
      </c>
      <c r="L653" s="9">
        <f t="shared" si="76"/>
        <v>0.114132714734238</v>
      </c>
    </row>
    <row r="654" s="4" customFormat="1" ht="13.5" customHeight="1" spans="1:12">
      <c r="A654" s="4">
        <v>45289</v>
      </c>
      <c r="B654" s="8">
        <v>0.100754142973922</v>
      </c>
      <c r="C654" s="8">
        <v>0.043605907532914</v>
      </c>
      <c r="D654" s="8">
        <v>0.0100877774608147</v>
      </c>
      <c r="E654" s="8">
        <v>2</v>
      </c>
      <c r="F654" s="9">
        <f t="shared" si="70"/>
        <v>0.13688923427974</v>
      </c>
      <c r="G654" s="9">
        <f t="shared" si="71"/>
        <v>0.119640583348895</v>
      </c>
      <c r="H654" s="9">
        <f t="shared" si="72"/>
        <v>0.111352552022064</v>
      </c>
      <c r="I654" s="3" t="str">
        <f t="shared" si="73"/>
        <v>2023-12-01</v>
      </c>
      <c r="J654" s="9">
        <f t="shared" si="74"/>
        <v>0.138126030582598</v>
      </c>
      <c r="K654" s="9">
        <f t="shared" si="75"/>
        <v>0.121421071229983</v>
      </c>
      <c r="L654" s="9">
        <f t="shared" si="76"/>
        <v>0.111889493639636</v>
      </c>
    </row>
    <row r="655" s="4" customFormat="1" ht="13.5" customHeight="1" spans="1:12">
      <c r="A655" s="4">
        <v>45288</v>
      </c>
      <c r="B655" s="8">
        <v>0.0997602095610861</v>
      </c>
      <c r="C655" s="8">
        <v>0.0430405890705852</v>
      </c>
      <c r="D655" s="8">
        <v>0.0164235267066073</v>
      </c>
      <c r="E655" s="8">
        <v>2</v>
      </c>
      <c r="F655" s="9">
        <f t="shared" si="70"/>
        <v>0.136593449884167</v>
      </c>
      <c r="G655" s="9">
        <f t="shared" si="71"/>
        <v>0.120245285960155</v>
      </c>
      <c r="H655" s="9">
        <f t="shared" si="72"/>
        <v>0.111462238651947</v>
      </c>
      <c r="I655" s="3" t="str">
        <f t="shared" si="73"/>
        <v>2023-12-01</v>
      </c>
      <c r="J655" s="9">
        <f t="shared" si="74"/>
        <v>0.138126030582598</v>
      </c>
      <c r="K655" s="9">
        <f t="shared" si="75"/>
        <v>0.121421071229983</v>
      </c>
      <c r="L655" s="9">
        <f t="shared" si="76"/>
        <v>0.111889493639636</v>
      </c>
    </row>
    <row r="656" s="4" customFormat="1" ht="13.5" customHeight="1" spans="1:12">
      <c r="A656" s="4">
        <v>45287</v>
      </c>
      <c r="B656" s="8">
        <v>0.0987791375082882</v>
      </c>
      <c r="C656" s="8">
        <v>0.0422863027703146</v>
      </c>
      <c r="D656" s="8">
        <v>0.0227160080396391</v>
      </c>
      <c r="E656" s="8">
        <v>2</v>
      </c>
      <c r="F656" s="9">
        <f t="shared" si="70"/>
        <v>0.136154014869062</v>
      </c>
      <c r="G656" s="9">
        <f t="shared" si="71"/>
        <v>0.120781132506241</v>
      </c>
      <c r="H656" s="9">
        <f t="shared" si="72"/>
        <v>0.111538943987066</v>
      </c>
      <c r="I656" s="3" t="str">
        <f t="shared" si="73"/>
        <v>2023-12-01</v>
      </c>
      <c r="J656" s="9">
        <f t="shared" si="74"/>
        <v>0.138126030582598</v>
      </c>
      <c r="K656" s="9">
        <f t="shared" si="75"/>
        <v>0.121421071229983</v>
      </c>
      <c r="L656" s="9">
        <f t="shared" si="76"/>
        <v>0.111889493639636</v>
      </c>
    </row>
    <row r="657" s="4" customFormat="1" ht="13.5" customHeight="1" spans="1:12">
      <c r="A657" s="4">
        <v>45286</v>
      </c>
      <c r="B657" s="8">
        <v>0.102904249236047</v>
      </c>
      <c r="C657" s="8">
        <v>0.034768555889026</v>
      </c>
      <c r="D657" s="8">
        <v>0.0173989464729176</v>
      </c>
      <c r="E657" s="8">
        <v>2</v>
      </c>
      <c r="F657" s="9">
        <f t="shared" si="70"/>
        <v>0.133403880231111</v>
      </c>
      <c r="G657" s="9">
        <f t="shared" si="71"/>
        <v>0.120630189939701</v>
      </c>
      <c r="H657" s="9">
        <f t="shared" si="72"/>
        <v>0.113150216156063</v>
      </c>
      <c r="I657" s="3" t="str">
        <f t="shared" si="73"/>
        <v>2023-12-01</v>
      </c>
      <c r="J657" s="9">
        <f t="shared" si="74"/>
        <v>0.138126030582598</v>
      </c>
      <c r="K657" s="9">
        <f t="shared" si="75"/>
        <v>0.121421071229983</v>
      </c>
      <c r="L657" s="9">
        <f t="shared" si="76"/>
        <v>0.111889493639636</v>
      </c>
    </row>
    <row r="658" s="4" customFormat="1" ht="13.5" customHeight="1" spans="1:12">
      <c r="A658" s="4">
        <v>45285</v>
      </c>
      <c r="B658" s="8">
        <v>0.105836040303623</v>
      </c>
      <c r="C658" s="8">
        <v>0.0317496226489405</v>
      </c>
      <c r="D658" s="8">
        <v>0.0103757037402623</v>
      </c>
      <c r="E658" s="8">
        <v>2</v>
      </c>
      <c r="F658" s="9">
        <f t="shared" si="70"/>
        <v>0.132692906636558</v>
      </c>
      <c r="G658" s="9">
        <f t="shared" si="71"/>
        <v>0.120451338288587</v>
      </c>
      <c r="H658" s="9">
        <f t="shared" si="72"/>
        <v>0.114134426996278</v>
      </c>
      <c r="I658" s="3" t="str">
        <f t="shared" si="73"/>
        <v>2023-12-01</v>
      </c>
      <c r="J658" s="9">
        <f t="shared" si="74"/>
        <v>0.138126030582598</v>
      </c>
      <c r="K658" s="9">
        <f t="shared" si="75"/>
        <v>0.121421071229983</v>
      </c>
      <c r="L658" s="9">
        <f t="shared" si="76"/>
        <v>0.111889493639636</v>
      </c>
    </row>
    <row r="659" s="4" customFormat="1" ht="13.5" customHeight="1" spans="1:12">
      <c r="A659" s="4">
        <v>45282</v>
      </c>
      <c r="B659" s="8">
        <v>0.102764926581246</v>
      </c>
      <c r="C659" s="8">
        <v>0.0348207363713169</v>
      </c>
      <c r="D659" s="8">
        <v>0.0195061239208895</v>
      </c>
      <c r="E659" s="8">
        <v>2</v>
      </c>
      <c r="F659" s="9">
        <f t="shared" si="70"/>
        <v>0.133685772129189</v>
      </c>
      <c r="G659" s="9">
        <f t="shared" si="71"/>
        <v>0.121110742441994</v>
      </c>
      <c r="H659" s="9">
        <f t="shared" si="72"/>
        <v>0.113425657109496</v>
      </c>
      <c r="I659" s="3" t="str">
        <f t="shared" si="73"/>
        <v>2023-12-01</v>
      </c>
      <c r="J659" s="9">
        <f t="shared" si="74"/>
        <v>0.138126030582598</v>
      </c>
      <c r="K659" s="9">
        <f t="shared" si="75"/>
        <v>0.121421071229983</v>
      </c>
      <c r="L659" s="9">
        <f t="shared" si="76"/>
        <v>0.111889493639636</v>
      </c>
    </row>
    <row r="660" s="4" customFormat="1" ht="13.5" customHeight="1" spans="1:12">
      <c r="A660" s="4">
        <v>45281</v>
      </c>
      <c r="B660" s="8">
        <v>0.10132662867993</v>
      </c>
      <c r="C660" s="8">
        <v>0.036259034272633</v>
      </c>
      <c r="D660" s="8">
        <v>0.0241972881832957</v>
      </c>
      <c r="E660" s="8">
        <v>2</v>
      </c>
      <c r="F660" s="9">
        <f t="shared" si="70"/>
        <v>0.134225650140728</v>
      </c>
      <c r="G660" s="9">
        <f t="shared" si="71"/>
        <v>0.121537900436833</v>
      </c>
      <c r="H660" s="9">
        <f t="shared" si="72"/>
        <v>0.113173382826522</v>
      </c>
      <c r="I660" s="3" t="str">
        <f t="shared" si="73"/>
        <v>2023-12-01</v>
      </c>
      <c r="J660" s="9">
        <f t="shared" si="74"/>
        <v>0.138126030582598</v>
      </c>
      <c r="K660" s="9">
        <f t="shared" si="75"/>
        <v>0.121421071229983</v>
      </c>
      <c r="L660" s="9">
        <f t="shared" si="76"/>
        <v>0.111889493639636</v>
      </c>
    </row>
    <row r="661" s="4" customFormat="1" ht="13.5" customHeight="1" spans="1:12">
      <c r="A661" s="4">
        <v>45280</v>
      </c>
      <c r="B661" s="8">
        <v>0.099560053134119</v>
      </c>
      <c r="C661" s="8">
        <v>0.0380256098184442</v>
      </c>
      <c r="D661" s="8">
        <v>0.028239047373033</v>
      </c>
      <c r="E661" s="8">
        <v>2</v>
      </c>
      <c r="F661" s="9">
        <f t="shared" si="70"/>
        <v>0.134578427000295</v>
      </c>
      <c r="G661" s="9">
        <f t="shared" si="71"/>
        <v>0.121572180128204</v>
      </c>
      <c r="H661" s="9">
        <f t="shared" si="72"/>
        <v>0.112533413818297</v>
      </c>
      <c r="I661" s="3" t="str">
        <f t="shared" si="73"/>
        <v>2023-12-01</v>
      </c>
      <c r="J661" s="9">
        <f t="shared" si="74"/>
        <v>0.138126030582598</v>
      </c>
      <c r="K661" s="9">
        <f t="shared" si="75"/>
        <v>0.121421071229983</v>
      </c>
      <c r="L661" s="9">
        <f t="shared" si="76"/>
        <v>0.111889493639636</v>
      </c>
    </row>
    <row r="662" s="4" customFormat="1" ht="13.5" customHeight="1" spans="1:12">
      <c r="A662" s="4">
        <v>45279</v>
      </c>
      <c r="B662" s="8">
        <v>0.099540651390828</v>
      </c>
      <c r="C662" s="8">
        <v>0.0380450115617351</v>
      </c>
      <c r="D662" s="8">
        <v>0.0307764459090503</v>
      </c>
      <c r="E662" s="8">
        <v>2</v>
      </c>
      <c r="F662" s="9">
        <f t="shared" si="70"/>
        <v>0.135032060287292</v>
      </c>
      <c r="G662" s="9">
        <f t="shared" si="71"/>
        <v>0.122283266162336</v>
      </c>
      <c r="H662" s="9">
        <f t="shared" si="72"/>
        <v>0.113004829757062</v>
      </c>
      <c r="I662" s="3" t="str">
        <f t="shared" si="73"/>
        <v>2023-12-01</v>
      </c>
      <c r="J662" s="9">
        <f t="shared" si="74"/>
        <v>0.138126030582598</v>
      </c>
      <c r="K662" s="9">
        <f t="shared" si="75"/>
        <v>0.121421071229983</v>
      </c>
      <c r="L662" s="9">
        <f t="shared" si="76"/>
        <v>0.111889493639636</v>
      </c>
    </row>
    <row r="663" s="4" customFormat="1" ht="13.5" customHeight="1" spans="1:12">
      <c r="A663" s="4">
        <v>45275</v>
      </c>
      <c r="B663" s="8">
        <v>0.0961026345255475</v>
      </c>
      <c r="C663" s="8">
        <v>0.0414830284270156</v>
      </c>
      <c r="D663" s="8">
        <v>0.0407787216453347</v>
      </c>
      <c r="E663" s="8">
        <v>2</v>
      </c>
      <c r="F663" s="9">
        <f t="shared" si="70"/>
        <v>0.136104042647469</v>
      </c>
      <c r="G663" s="9">
        <f t="shared" si="71"/>
        <v>0.122959030987751</v>
      </c>
      <c r="H663" s="9">
        <f t="shared" si="72"/>
        <v>0.112169364612473</v>
      </c>
      <c r="I663" s="3" t="str">
        <f t="shared" si="73"/>
        <v>2023-12-01</v>
      </c>
      <c r="J663" s="9">
        <f t="shared" si="74"/>
        <v>0.138126030582598</v>
      </c>
      <c r="K663" s="9">
        <f t="shared" si="75"/>
        <v>0.121421071229983</v>
      </c>
      <c r="L663" s="9">
        <f t="shared" si="76"/>
        <v>0.111889493639636</v>
      </c>
    </row>
    <row r="664" s="4" customFormat="1" ht="13.5" customHeight="1" spans="1:12">
      <c r="A664" s="4">
        <v>45274</v>
      </c>
      <c r="B664" s="8">
        <v>0.0922501294778786</v>
      </c>
      <c r="C664" s="8">
        <v>0.0455098102266069</v>
      </c>
      <c r="D664" s="8">
        <v>0.0499795614880342</v>
      </c>
      <c r="E664" s="8">
        <v>2</v>
      </c>
      <c r="F664" s="9">
        <f t="shared" si="70"/>
        <v>0.137080273262423</v>
      </c>
      <c r="G664" s="9">
        <f t="shared" si="71"/>
        <v>0.123208007949449</v>
      </c>
      <c r="H664" s="9">
        <f t="shared" si="72"/>
        <v>0.110882563719345</v>
      </c>
      <c r="I664" s="3" t="str">
        <f t="shared" si="73"/>
        <v>2023-12-01</v>
      </c>
      <c r="J664" s="9">
        <f t="shared" si="74"/>
        <v>0.138126030582598</v>
      </c>
      <c r="K664" s="9">
        <f t="shared" si="75"/>
        <v>0.121421071229983</v>
      </c>
      <c r="L664" s="9">
        <f t="shared" si="76"/>
        <v>0.111889493639636</v>
      </c>
    </row>
    <row r="665" s="4" customFormat="1" ht="13.5" customHeight="1" spans="1:12">
      <c r="A665" s="4">
        <v>45273</v>
      </c>
      <c r="B665" s="8">
        <v>0.101815317974246</v>
      </c>
      <c r="C665" s="8">
        <v>0.0361188681150679</v>
      </c>
      <c r="D665" s="8">
        <v>0.0670605871833741</v>
      </c>
      <c r="E665" s="8">
        <v>1</v>
      </c>
      <c r="F665" s="9">
        <f t="shared" si="70"/>
        <v>0.142366961579475</v>
      </c>
      <c r="G665" s="9">
        <f t="shared" si="71"/>
        <v>0.121860314811526</v>
      </c>
      <c r="H665" s="9">
        <f t="shared" si="72"/>
        <v>0.11212975052414</v>
      </c>
      <c r="I665" s="3" t="str">
        <f t="shared" si="73"/>
        <v>2023-12-01</v>
      </c>
      <c r="J665" s="9">
        <f t="shared" si="74"/>
        <v>0.138126030582598</v>
      </c>
      <c r="K665" s="9">
        <f t="shared" si="75"/>
        <v>0.121421071229983</v>
      </c>
      <c r="L665" s="9">
        <f t="shared" si="76"/>
        <v>0.111889493639636</v>
      </c>
    </row>
    <row r="666" s="4" customFormat="1" ht="13.5" customHeight="1" spans="1:12">
      <c r="A666" s="4">
        <v>45272</v>
      </c>
      <c r="B666" s="8">
        <v>0.101216023994767</v>
      </c>
      <c r="C666" s="8">
        <v>0.0368052739026078</v>
      </c>
      <c r="D666" s="8">
        <v>0.0669516886502501</v>
      </c>
      <c r="E666" s="8">
        <v>1</v>
      </c>
      <c r="F666" s="9">
        <f t="shared" si="70"/>
        <v>0.142172783339895</v>
      </c>
      <c r="G666" s="9">
        <f t="shared" si="71"/>
        <v>0.12137647779282</v>
      </c>
      <c r="H666" s="9">
        <f t="shared" si="72"/>
        <v>0.111588209592209</v>
      </c>
      <c r="I666" s="3" t="str">
        <f t="shared" si="73"/>
        <v>2023-12-01</v>
      </c>
      <c r="J666" s="9">
        <f t="shared" si="74"/>
        <v>0.138126030582598</v>
      </c>
      <c r="K666" s="9">
        <f t="shared" si="75"/>
        <v>0.121421071229983</v>
      </c>
      <c r="L666" s="9">
        <f t="shared" si="76"/>
        <v>0.111889493639636</v>
      </c>
    </row>
    <row r="667" s="4" customFormat="1" ht="13.5" customHeight="1" spans="1:12">
      <c r="A667" s="4">
        <v>45271</v>
      </c>
      <c r="B667" s="8">
        <v>0.101120285880788</v>
      </c>
      <c r="C667" s="8">
        <v>0.0369010120165865</v>
      </c>
      <c r="D667" s="8">
        <v>0.0672245432530389</v>
      </c>
      <c r="E667" s="8">
        <v>1</v>
      </c>
      <c r="F667" s="9">
        <f t="shared" si="70"/>
        <v>0.142209662661224</v>
      </c>
      <c r="G667" s="9">
        <f t="shared" si="71"/>
        <v>0.121352123030705</v>
      </c>
      <c r="H667" s="9">
        <f t="shared" si="72"/>
        <v>0.111529316688919</v>
      </c>
      <c r="I667" s="3" t="str">
        <f t="shared" si="73"/>
        <v>2023-12-01</v>
      </c>
      <c r="J667" s="9">
        <f t="shared" si="74"/>
        <v>0.138126030582598</v>
      </c>
      <c r="K667" s="9">
        <f t="shared" si="75"/>
        <v>0.121421071229983</v>
      </c>
      <c r="L667" s="9">
        <f t="shared" si="76"/>
        <v>0.111889493639636</v>
      </c>
    </row>
    <row r="668" s="4" customFormat="1" ht="13.5" customHeight="1" spans="1:12">
      <c r="A668" s="4">
        <v>45268</v>
      </c>
      <c r="B668" s="8">
        <v>0.10142516770788</v>
      </c>
      <c r="C668" s="8">
        <v>0.0370315754391362</v>
      </c>
      <c r="D668" s="8">
        <v>0.0654948627866849</v>
      </c>
      <c r="E668" s="8">
        <v>1</v>
      </c>
      <c r="F668" s="9">
        <f t="shared" si="70"/>
        <v>0.142140023612322</v>
      </c>
      <c r="G668" s="9">
        <f t="shared" si="71"/>
        <v>0.121350990897521</v>
      </c>
      <c r="H668" s="9">
        <f t="shared" si="72"/>
        <v>0.111674372598982</v>
      </c>
      <c r="I668" s="3" t="str">
        <f t="shared" si="73"/>
        <v>2023-12-01</v>
      </c>
      <c r="J668" s="9">
        <f t="shared" si="74"/>
        <v>0.138126030582598</v>
      </c>
      <c r="K668" s="9">
        <f t="shared" si="75"/>
        <v>0.121421071229983</v>
      </c>
      <c r="L668" s="9">
        <f t="shared" si="76"/>
        <v>0.111889493639636</v>
      </c>
    </row>
    <row r="669" s="4" customFormat="1" ht="13.5" customHeight="1" spans="1:12">
      <c r="A669" s="4">
        <v>45267</v>
      </c>
      <c r="B669" s="8">
        <v>0.101640650534295</v>
      </c>
      <c r="C669" s="8">
        <v>0.0370772687775273</v>
      </c>
      <c r="D669" s="8">
        <v>0.0643721459143117</v>
      </c>
      <c r="E669" s="8">
        <v>1</v>
      </c>
      <c r="F669" s="9">
        <f t="shared" si="70"/>
        <v>0.142087722176167</v>
      </c>
      <c r="G669" s="9">
        <f t="shared" si="71"/>
        <v>0.121360085209418</v>
      </c>
      <c r="H669" s="9">
        <f t="shared" si="72"/>
        <v>0.111782208932946</v>
      </c>
      <c r="I669" s="3" t="str">
        <f t="shared" si="73"/>
        <v>2023-12-01</v>
      </c>
      <c r="J669" s="9">
        <f t="shared" si="74"/>
        <v>0.138126030582598</v>
      </c>
      <c r="K669" s="9">
        <f t="shared" si="75"/>
        <v>0.121421071229983</v>
      </c>
      <c r="L669" s="9">
        <f t="shared" si="76"/>
        <v>0.111889493639636</v>
      </c>
    </row>
    <row r="670" s="4" customFormat="1" ht="13.5" customHeight="1" spans="1:12">
      <c r="A670" s="4">
        <v>45266</v>
      </c>
      <c r="B670" s="8">
        <v>0.0910798030731315</v>
      </c>
      <c r="C670" s="8">
        <v>0.0497250735178895</v>
      </c>
      <c r="D670" s="8">
        <v>0.0473024813688834</v>
      </c>
      <c r="E670" s="8">
        <v>2</v>
      </c>
      <c r="F670" s="9">
        <f t="shared" si="70"/>
        <v>0.138744133864408</v>
      </c>
      <c r="G670" s="9">
        <f t="shared" si="71"/>
        <v>0.122822198226024</v>
      </c>
      <c r="H670" s="9">
        <f t="shared" si="72"/>
        <v>0.110035839133642</v>
      </c>
      <c r="I670" s="3" t="str">
        <f t="shared" si="73"/>
        <v>2023-12-01</v>
      </c>
      <c r="J670" s="9">
        <f t="shared" si="74"/>
        <v>0.138126030582598</v>
      </c>
      <c r="K670" s="9">
        <f t="shared" si="75"/>
        <v>0.121421071229983</v>
      </c>
      <c r="L670" s="9">
        <f t="shared" si="76"/>
        <v>0.111889493639636</v>
      </c>
    </row>
    <row r="671" s="4" customFormat="1" ht="13.5" customHeight="1" spans="1:12">
      <c r="A671" s="4">
        <v>45265</v>
      </c>
      <c r="B671" s="8">
        <v>0.0953087093552373</v>
      </c>
      <c r="C671" s="8">
        <v>0.052076277557821</v>
      </c>
      <c r="D671" s="8">
        <v>0.0248915003422976</v>
      </c>
      <c r="E671" s="8">
        <v>2</v>
      </c>
      <c r="F671" s="9">
        <f t="shared" si="70"/>
        <v>0.140780172818875</v>
      </c>
      <c r="G671" s="9">
        <f t="shared" si="71"/>
        <v>0.121525441766734</v>
      </c>
      <c r="H671" s="9">
        <f t="shared" si="72"/>
        <v>0.110430826363601</v>
      </c>
      <c r="I671" s="3" t="str">
        <f t="shared" si="73"/>
        <v>2023-12-01</v>
      </c>
      <c r="J671" s="9">
        <f t="shared" si="74"/>
        <v>0.138126030582598</v>
      </c>
      <c r="K671" s="9">
        <f t="shared" si="75"/>
        <v>0.121421071229983</v>
      </c>
      <c r="L671" s="9">
        <f t="shared" si="76"/>
        <v>0.111889493639636</v>
      </c>
    </row>
    <row r="672" s="4" customFormat="1" ht="13.5" customHeight="1" spans="1:12">
      <c r="A672" s="4">
        <v>45264</v>
      </c>
      <c r="B672" s="8">
        <v>0.0969378909462241</v>
      </c>
      <c r="C672" s="8">
        <v>0.0543229028943596</v>
      </c>
      <c r="D672" s="8">
        <v>0.0157599701328212</v>
      </c>
      <c r="E672" s="8">
        <v>2</v>
      </c>
      <c r="F672" s="9">
        <f t="shared" si="70"/>
        <v>0.142529909495409</v>
      </c>
      <c r="G672" s="9">
        <f t="shared" si="71"/>
        <v>0.121376282016033</v>
      </c>
      <c r="H672" s="9">
        <f t="shared" si="72"/>
        <v>0.110753832771398</v>
      </c>
      <c r="I672" s="3" t="str">
        <f t="shared" si="73"/>
        <v>2023-12-01</v>
      </c>
      <c r="J672" s="9">
        <f t="shared" si="74"/>
        <v>0.138126030582598</v>
      </c>
      <c r="K672" s="9">
        <f t="shared" si="75"/>
        <v>0.121421071229983</v>
      </c>
      <c r="L672" s="9">
        <f t="shared" si="76"/>
        <v>0.111889493639636</v>
      </c>
    </row>
    <row r="673" s="4" customFormat="1" ht="13.5" customHeight="1" spans="1:12">
      <c r="A673" s="4">
        <v>45261</v>
      </c>
      <c r="B673" s="8">
        <v>0.0986647828454962</v>
      </c>
      <c r="C673" s="8">
        <v>0.0545711930533618</v>
      </c>
      <c r="D673" s="8">
        <v>0.00798503982790397</v>
      </c>
      <c r="E673" s="8">
        <v>2</v>
      </c>
      <c r="F673" s="9">
        <f t="shared" si="70"/>
        <v>0.143049530736155</v>
      </c>
      <c r="G673" s="9">
        <f t="shared" si="71"/>
        <v>0.120977852698727</v>
      </c>
      <c r="H673" s="9">
        <f t="shared" si="72"/>
        <v>0.11103792653028</v>
      </c>
      <c r="I673" s="3" t="str">
        <f t="shared" si="73"/>
        <v>2023-12-01</v>
      </c>
      <c r="J673" s="9">
        <f t="shared" si="74"/>
        <v>0.138126030582598</v>
      </c>
      <c r="K673" s="9">
        <f t="shared" si="75"/>
        <v>0.121421071229983</v>
      </c>
      <c r="L673" s="9">
        <f t="shared" si="76"/>
        <v>0.111889493639636</v>
      </c>
    </row>
    <row r="674" s="4" customFormat="1" ht="13.5" customHeight="1" spans="1:12">
      <c r="A674" s="4">
        <v>45260</v>
      </c>
      <c r="B674" s="8">
        <v>0.0958361390985247</v>
      </c>
      <c r="C674" s="8">
        <v>0.0565415413223579</v>
      </c>
      <c r="D674" s="8">
        <v>0.0176685579944304</v>
      </c>
      <c r="E674" s="8">
        <v>2</v>
      </c>
      <c r="F674" s="9">
        <f t="shared" si="70"/>
        <v>0.143518414603665</v>
      </c>
      <c r="G674" s="9">
        <f t="shared" si="71"/>
        <v>0.121633240906462</v>
      </c>
      <c r="H674" s="9">
        <f t="shared" si="72"/>
        <v>0.110459104411367</v>
      </c>
      <c r="I674" s="3" t="str">
        <f t="shared" si="73"/>
        <v>2023-11-01</v>
      </c>
      <c r="J674" s="9">
        <f t="shared" si="74"/>
        <v>0.141137120815795</v>
      </c>
      <c r="K674" s="9">
        <f t="shared" si="75"/>
        <v>0.121869921711657</v>
      </c>
      <c r="L674" s="9">
        <f t="shared" si="76"/>
        <v>0.10941698665962</v>
      </c>
    </row>
    <row r="675" s="4" customFormat="1" ht="13.5" customHeight="1" spans="1:12">
      <c r="A675" s="4">
        <v>45259</v>
      </c>
      <c r="B675" s="8">
        <v>0.094871221151104</v>
      </c>
      <c r="C675" s="8">
        <v>0.0538073712202586</v>
      </c>
      <c r="D675" s="8">
        <v>0.0258966889564571</v>
      </c>
      <c r="E675" s="8">
        <v>2</v>
      </c>
      <c r="F675" s="9">
        <f t="shared" si="70"/>
        <v>0.141886293265885</v>
      </c>
      <c r="G675" s="9">
        <f t="shared" si="71"/>
        <v>0.122010112476466</v>
      </c>
      <c r="H675" s="9">
        <f t="shared" si="72"/>
        <v>0.11053013432219</v>
      </c>
      <c r="I675" s="3" t="str">
        <f t="shared" si="73"/>
        <v>2023-11-01</v>
      </c>
      <c r="J675" s="9">
        <f t="shared" si="74"/>
        <v>0.141137120815795</v>
      </c>
      <c r="K675" s="9">
        <f t="shared" si="75"/>
        <v>0.121869921711657</v>
      </c>
      <c r="L675" s="9">
        <f t="shared" si="76"/>
        <v>0.10941698665962</v>
      </c>
    </row>
    <row r="676" s="4" customFormat="1" ht="13.5" customHeight="1" spans="1:12">
      <c r="A676" s="4">
        <v>45258</v>
      </c>
      <c r="B676" s="8">
        <v>0.0916606213262762</v>
      </c>
      <c r="C676" s="8">
        <v>0.0515735467596315</v>
      </c>
      <c r="D676" s="8">
        <v>0.0410588251268033</v>
      </c>
      <c r="E676" s="8">
        <v>2</v>
      </c>
      <c r="F676" s="9">
        <f t="shared" si="70"/>
        <v>0.13965318154591</v>
      </c>
      <c r="G676" s="9">
        <f t="shared" si="71"/>
        <v>0.122301765229287</v>
      </c>
      <c r="H676" s="9">
        <f t="shared" si="72"/>
        <v>0.10978561311358</v>
      </c>
      <c r="I676" s="3" t="str">
        <f t="shared" si="73"/>
        <v>2023-11-01</v>
      </c>
      <c r="J676" s="9">
        <f t="shared" si="74"/>
        <v>0.141137120815795</v>
      </c>
      <c r="K676" s="9">
        <f t="shared" si="75"/>
        <v>0.121869921711657</v>
      </c>
      <c r="L676" s="9">
        <f t="shared" si="76"/>
        <v>0.10941698665962</v>
      </c>
    </row>
    <row r="677" s="4" customFormat="1" ht="13.5" customHeight="1" spans="1:12">
      <c r="A677" s="4">
        <v>45257</v>
      </c>
      <c r="B677" s="8">
        <v>0.0899164775769211</v>
      </c>
      <c r="C677" s="8">
        <v>0.0508015293619583</v>
      </c>
      <c r="D677" s="8">
        <v>0.0497032848520202</v>
      </c>
      <c r="E677" s="8">
        <v>2</v>
      </c>
      <c r="F677" s="9">
        <f t="shared" si="70"/>
        <v>0.138861037314697</v>
      </c>
      <c r="G677" s="9">
        <f t="shared" si="71"/>
        <v>0.122738534179251</v>
      </c>
      <c r="H677" s="9">
        <f t="shared" si="72"/>
        <v>0.109547103098438</v>
      </c>
      <c r="I677" s="3" t="str">
        <f t="shared" si="73"/>
        <v>2023-11-01</v>
      </c>
      <c r="J677" s="9">
        <f t="shared" si="74"/>
        <v>0.141137120815795</v>
      </c>
      <c r="K677" s="9">
        <f t="shared" si="75"/>
        <v>0.121869921711657</v>
      </c>
      <c r="L677" s="9">
        <f t="shared" si="76"/>
        <v>0.10941698665962</v>
      </c>
    </row>
    <row r="678" s="4" customFormat="1" ht="13.5" customHeight="1" spans="1:12">
      <c r="A678" s="4">
        <v>45254</v>
      </c>
      <c r="B678" s="8">
        <v>0.0901830825706145</v>
      </c>
      <c r="C678" s="8">
        <v>0.0505349243682648</v>
      </c>
      <c r="D678" s="8">
        <v>0.0481319279502874</v>
      </c>
      <c r="E678" s="8">
        <v>2</v>
      </c>
      <c r="F678" s="9">
        <f t="shared" si="70"/>
        <v>0.138634355137709</v>
      </c>
      <c r="G678" s="9">
        <f t="shared" si="71"/>
        <v>0.122459286883753</v>
      </c>
      <c r="H678" s="9">
        <f t="shared" si="72"/>
        <v>0.109459180250534</v>
      </c>
      <c r="I678" s="3" t="str">
        <f t="shared" si="73"/>
        <v>2023-11-01</v>
      </c>
      <c r="J678" s="9">
        <f t="shared" si="74"/>
        <v>0.141137120815795</v>
      </c>
      <c r="K678" s="9">
        <f t="shared" si="75"/>
        <v>0.121869921711657</v>
      </c>
      <c r="L678" s="9">
        <f t="shared" si="76"/>
        <v>0.10941698665962</v>
      </c>
    </row>
    <row r="679" s="4" customFormat="1" ht="13.5" customHeight="1" spans="1:12">
      <c r="A679" s="4">
        <v>45253</v>
      </c>
      <c r="B679" s="8">
        <v>0.090094604488212</v>
      </c>
      <c r="C679" s="8">
        <v>0.0503627482070438</v>
      </c>
      <c r="D679" s="8">
        <v>0.0487596482297556</v>
      </c>
      <c r="E679" s="8">
        <v>2</v>
      </c>
      <c r="F679" s="9">
        <f t="shared" si="70"/>
        <v>0.138523630747443</v>
      </c>
      <c r="G679" s="9">
        <f t="shared" si="71"/>
        <v>0.122486542695046</v>
      </c>
      <c r="H679" s="9">
        <f t="shared" si="72"/>
        <v>0.109456967559383</v>
      </c>
      <c r="I679" s="3" t="str">
        <f t="shared" si="73"/>
        <v>2023-11-01</v>
      </c>
      <c r="J679" s="9">
        <f t="shared" si="74"/>
        <v>0.141137120815795</v>
      </c>
      <c r="K679" s="9">
        <f t="shared" si="75"/>
        <v>0.121869921711657</v>
      </c>
      <c r="L679" s="9">
        <f t="shared" si="76"/>
        <v>0.10941698665962</v>
      </c>
    </row>
    <row r="680" s="4" customFormat="1" ht="13.5" customHeight="1" spans="1:12">
      <c r="A680" s="4">
        <v>45252</v>
      </c>
      <c r="B680" s="8">
        <v>0.088996256122237</v>
      </c>
      <c r="C680" s="8">
        <v>0.0516348736175086</v>
      </c>
      <c r="D680" s="8">
        <v>0.0506704534205678</v>
      </c>
      <c r="E680" s="8">
        <v>2</v>
      </c>
      <c r="F680" s="9">
        <f t="shared" si="70"/>
        <v>0.138771091656232</v>
      </c>
      <c r="G680" s="9">
        <f t="shared" si="71"/>
        <v>0.122400009786513</v>
      </c>
      <c r="H680" s="9">
        <f t="shared" si="72"/>
        <v>0.108978041126024</v>
      </c>
      <c r="I680" s="3" t="str">
        <f t="shared" si="73"/>
        <v>2023-11-01</v>
      </c>
      <c r="J680" s="9">
        <f t="shared" si="74"/>
        <v>0.141137120815795</v>
      </c>
      <c r="K680" s="9">
        <f t="shared" si="75"/>
        <v>0.121869921711657</v>
      </c>
      <c r="L680" s="9">
        <f t="shared" si="76"/>
        <v>0.10941698665962</v>
      </c>
    </row>
    <row r="681" s="4" customFormat="1" ht="13.5" customHeight="1" spans="1:12">
      <c r="A681" s="4">
        <v>45251</v>
      </c>
      <c r="B681" s="8">
        <v>0.0896287331200285</v>
      </c>
      <c r="C681" s="8">
        <v>0.0519576309418423</v>
      </c>
      <c r="D681" s="8">
        <v>0.047106901414393</v>
      </c>
      <c r="E681" s="8">
        <v>2</v>
      </c>
      <c r="F681" s="9">
        <f t="shared" si="70"/>
        <v>0.139014665512308</v>
      </c>
      <c r="G681" s="9">
        <f t="shared" si="71"/>
        <v>0.122135091323891</v>
      </c>
      <c r="H681" s="9">
        <f t="shared" si="72"/>
        <v>0.108990737472553</v>
      </c>
      <c r="I681" s="3" t="str">
        <f t="shared" si="73"/>
        <v>2023-11-01</v>
      </c>
      <c r="J681" s="9">
        <f t="shared" si="74"/>
        <v>0.141137120815795</v>
      </c>
      <c r="K681" s="9">
        <f t="shared" si="75"/>
        <v>0.121869921711657</v>
      </c>
      <c r="L681" s="9">
        <f t="shared" si="76"/>
        <v>0.10941698665962</v>
      </c>
    </row>
    <row r="682" s="4" customFormat="1" ht="13.5" customHeight="1" spans="1:12">
      <c r="A682" s="4">
        <v>45250</v>
      </c>
      <c r="B682" s="8">
        <v>0.0887793431871277</v>
      </c>
      <c r="C682" s="8">
        <v>0.0534144225160477</v>
      </c>
      <c r="D682" s="8">
        <v>0.0490733422781098</v>
      </c>
      <c r="E682" s="8">
        <v>2</v>
      </c>
      <c r="F682" s="9">
        <f t="shared" si="70"/>
        <v>0.13966644292305</v>
      </c>
      <c r="G682" s="9">
        <f t="shared" si="71"/>
        <v>0.122381180658584</v>
      </c>
      <c r="H682" s="9">
        <f t="shared" si="72"/>
        <v>0.108808131141174</v>
      </c>
      <c r="I682" s="3" t="str">
        <f t="shared" si="73"/>
        <v>2023-11-01</v>
      </c>
      <c r="J682" s="9">
        <f t="shared" si="74"/>
        <v>0.141137120815795</v>
      </c>
      <c r="K682" s="9">
        <f t="shared" si="75"/>
        <v>0.121869921711657</v>
      </c>
      <c r="L682" s="9">
        <f t="shared" si="76"/>
        <v>0.10941698665962</v>
      </c>
    </row>
    <row r="683" s="4" customFormat="1" ht="13.5" customHeight="1" spans="1:12">
      <c r="A683" s="4">
        <v>45247</v>
      </c>
      <c r="B683" s="8">
        <v>0.0900311561613498</v>
      </c>
      <c r="C683" s="8">
        <v>0.0527696424703214</v>
      </c>
      <c r="D683" s="8">
        <v>0.0442750633535063</v>
      </c>
      <c r="E683" s="8">
        <v>2</v>
      </c>
      <c r="F683" s="9">
        <f t="shared" si="70"/>
        <v>0.139545205534495</v>
      </c>
      <c r="G683" s="9">
        <f t="shared" si="71"/>
        <v>0.122028354158833</v>
      </c>
      <c r="H683" s="9">
        <f t="shared" si="72"/>
        <v>0.109010997878982</v>
      </c>
      <c r="I683" s="3" t="str">
        <f t="shared" si="73"/>
        <v>2023-11-01</v>
      </c>
      <c r="J683" s="9">
        <f t="shared" si="74"/>
        <v>0.141137120815795</v>
      </c>
      <c r="K683" s="9">
        <f t="shared" si="75"/>
        <v>0.121869921711657</v>
      </c>
      <c r="L683" s="9">
        <f t="shared" si="76"/>
        <v>0.10941698665962</v>
      </c>
    </row>
    <row r="684" s="4" customFormat="1" ht="13.5" customHeight="1" spans="1:12">
      <c r="A684" s="4">
        <v>45246</v>
      </c>
      <c r="B684" s="8">
        <v>0.0910201363983402</v>
      </c>
      <c r="C684" s="8">
        <v>0.0532533527580846</v>
      </c>
      <c r="D684" s="8">
        <v>0.0392933420806757</v>
      </c>
      <c r="E684" s="8">
        <v>2</v>
      </c>
      <c r="F684" s="9">
        <f t="shared" si="70"/>
        <v>0.1400160936318</v>
      </c>
      <c r="G684" s="9">
        <f t="shared" si="71"/>
        <v>0.121774742275829</v>
      </c>
      <c r="H684" s="9">
        <f t="shared" si="72"/>
        <v>0.109140003964783</v>
      </c>
      <c r="I684" s="3" t="str">
        <f t="shared" si="73"/>
        <v>2023-11-01</v>
      </c>
      <c r="J684" s="9">
        <f t="shared" si="74"/>
        <v>0.141137120815795</v>
      </c>
      <c r="K684" s="9">
        <f t="shared" si="75"/>
        <v>0.121869921711657</v>
      </c>
      <c r="L684" s="9">
        <f t="shared" si="76"/>
        <v>0.10941698665962</v>
      </c>
    </row>
    <row r="685" s="4" customFormat="1" ht="13.5" customHeight="1" spans="1:12">
      <c r="A685" s="4">
        <v>45245</v>
      </c>
      <c r="B685" s="8">
        <v>0.0927869180704664</v>
      </c>
      <c r="C685" s="8">
        <v>0.0528706543518969</v>
      </c>
      <c r="D685" s="8">
        <v>0.0316752480554024</v>
      </c>
      <c r="E685" s="8">
        <v>2</v>
      </c>
      <c r="F685" s="9">
        <f t="shared" si="70"/>
        <v>0.140107349859262</v>
      </c>
      <c r="G685" s="9">
        <f t="shared" si="71"/>
        <v>0.121229236227243</v>
      </c>
      <c r="H685" s="9">
        <f t="shared" si="72"/>
        <v>0.109368739247464</v>
      </c>
      <c r="I685" s="3" t="str">
        <f t="shared" si="73"/>
        <v>2023-11-01</v>
      </c>
      <c r="J685" s="9">
        <f t="shared" si="74"/>
        <v>0.141137120815795</v>
      </c>
      <c r="K685" s="9">
        <f t="shared" si="75"/>
        <v>0.121869921711657</v>
      </c>
      <c r="L685" s="9">
        <f t="shared" si="76"/>
        <v>0.10941698665962</v>
      </c>
    </row>
    <row r="686" s="4" customFormat="1" ht="13.5" customHeight="1" spans="1:12">
      <c r="A686" s="4">
        <v>45244</v>
      </c>
      <c r="B686" s="8">
        <v>0.0941392064085372</v>
      </c>
      <c r="C686" s="8">
        <v>0.0532457805045211</v>
      </c>
      <c r="D686" s="8">
        <v>0.0251174208531271</v>
      </c>
      <c r="E686" s="8">
        <v>2</v>
      </c>
      <c r="F686" s="9">
        <f t="shared" si="70"/>
        <v>0.14057175485021</v>
      </c>
      <c r="G686" s="9">
        <f t="shared" si="71"/>
        <v>0.120849746185189</v>
      </c>
      <c r="H686" s="9">
        <f t="shared" si="72"/>
        <v>0.109537005410119</v>
      </c>
      <c r="I686" s="3" t="str">
        <f t="shared" si="73"/>
        <v>2023-11-01</v>
      </c>
      <c r="J686" s="9">
        <f t="shared" si="74"/>
        <v>0.141137120815795</v>
      </c>
      <c r="K686" s="9">
        <f t="shared" si="75"/>
        <v>0.121869921711657</v>
      </c>
      <c r="L686" s="9">
        <f t="shared" si="76"/>
        <v>0.10941698665962</v>
      </c>
    </row>
    <row r="687" s="4" customFormat="1" ht="13.5" customHeight="1" spans="1:12">
      <c r="A687" s="4">
        <v>45243</v>
      </c>
      <c r="B687" s="8">
        <v>0.0935309606277718</v>
      </c>
      <c r="C687" s="8">
        <v>0.0528179357073652</v>
      </c>
      <c r="D687" s="8">
        <v>0.0281995293341363</v>
      </c>
      <c r="E687" s="8">
        <v>2</v>
      </c>
      <c r="F687" s="9">
        <f t="shared" si="70"/>
        <v>0.140182858540421</v>
      </c>
      <c r="G687" s="9">
        <f t="shared" si="71"/>
        <v>0.120963060915208</v>
      </c>
      <c r="H687" s="9">
        <f t="shared" si="72"/>
        <v>0.10943526842493</v>
      </c>
      <c r="I687" s="3" t="str">
        <f t="shared" si="73"/>
        <v>2023-11-01</v>
      </c>
      <c r="J687" s="9">
        <f t="shared" si="74"/>
        <v>0.141137120815795</v>
      </c>
      <c r="K687" s="9">
        <f t="shared" si="75"/>
        <v>0.121869921711657</v>
      </c>
      <c r="L687" s="9">
        <f t="shared" si="76"/>
        <v>0.10941698665962</v>
      </c>
    </row>
    <row r="688" s="4" customFormat="1" ht="13.5" customHeight="1" spans="1:12">
      <c r="A688" s="4">
        <v>45240</v>
      </c>
      <c r="B688" s="8">
        <v>0.0925219806343709</v>
      </c>
      <c r="C688" s="8">
        <v>0.0548630062786874</v>
      </c>
      <c r="D688" s="8">
        <v>0.0306941122489688</v>
      </c>
      <c r="E688" s="8">
        <v>2</v>
      </c>
      <c r="F688" s="9">
        <f t="shared" si="70"/>
        <v>0.14123326645064</v>
      </c>
      <c r="G688" s="9">
        <f t="shared" si="71"/>
        <v>0.121416119501072</v>
      </c>
      <c r="H688" s="9">
        <f t="shared" si="72"/>
        <v>0.109311293172378</v>
      </c>
      <c r="I688" s="3" t="str">
        <f t="shared" si="73"/>
        <v>2023-11-01</v>
      </c>
      <c r="J688" s="9">
        <f t="shared" si="74"/>
        <v>0.141137120815795</v>
      </c>
      <c r="K688" s="9">
        <f t="shared" si="75"/>
        <v>0.121869921711657</v>
      </c>
      <c r="L688" s="9">
        <f t="shared" si="76"/>
        <v>0.10941698665962</v>
      </c>
    </row>
    <row r="689" s="4" customFormat="1" ht="13.5" customHeight="1" spans="1:12">
      <c r="A689" s="4">
        <v>45239</v>
      </c>
      <c r="B689" s="8">
        <v>0.0917944763981659</v>
      </c>
      <c r="C689" s="8">
        <v>0.0558493655143963</v>
      </c>
      <c r="D689" s="8">
        <v>0.0331368135012466</v>
      </c>
      <c r="E689" s="8">
        <v>2</v>
      </c>
      <c r="F689" s="9">
        <f t="shared" si="70"/>
        <v>0.141722649348437</v>
      </c>
      <c r="G689" s="9">
        <f t="shared" si="71"/>
        <v>0.121747140560955</v>
      </c>
      <c r="H689" s="9">
        <f t="shared" si="72"/>
        <v>0.109248521276633</v>
      </c>
      <c r="I689" s="3" t="str">
        <f t="shared" si="73"/>
        <v>2023-11-01</v>
      </c>
      <c r="J689" s="9">
        <f t="shared" si="74"/>
        <v>0.141137120815795</v>
      </c>
      <c r="K689" s="9">
        <f t="shared" si="75"/>
        <v>0.121869921711657</v>
      </c>
      <c r="L689" s="9">
        <f t="shared" si="76"/>
        <v>0.10941698665962</v>
      </c>
    </row>
    <row r="690" s="4" customFormat="1" ht="13.5" customHeight="1" spans="1:12">
      <c r="A690" s="4">
        <v>45238</v>
      </c>
      <c r="B690" s="8">
        <v>0.0928544975273222</v>
      </c>
      <c r="C690" s="8">
        <v>0.0554792969783713</v>
      </c>
      <c r="D690" s="8">
        <v>0.0302424935540492</v>
      </c>
      <c r="E690" s="8">
        <v>2</v>
      </c>
      <c r="F690" s="9">
        <f t="shared" si="70"/>
        <v>0.141969290698716</v>
      </c>
      <c r="G690" s="9">
        <f t="shared" si="71"/>
        <v>0.121846169475366</v>
      </c>
      <c r="H690" s="9">
        <f t="shared" si="72"/>
        <v>0.109679565538864</v>
      </c>
      <c r="I690" s="3" t="str">
        <f t="shared" si="73"/>
        <v>2023-11-01</v>
      </c>
      <c r="J690" s="9">
        <f t="shared" si="74"/>
        <v>0.141137120815795</v>
      </c>
      <c r="K690" s="9">
        <f t="shared" si="75"/>
        <v>0.121869921711657</v>
      </c>
      <c r="L690" s="9">
        <f t="shared" si="76"/>
        <v>0.10941698665962</v>
      </c>
    </row>
    <row r="691" s="4" customFormat="1" ht="13.5" customHeight="1" spans="1:12">
      <c r="A691" s="4">
        <v>45237</v>
      </c>
      <c r="B691" s="8">
        <v>0.0907238997659661</v>
      </c>
      <c r="C691" s="8">
        <v>0.0574374512145544</v>
      </c>
      <c r="D691" s="8">
        <v>0.0375226584473885</v>
      </c>
      <c r="E691" s="8">
        <v>2</v>
      </c>
      <c r="F691" s="9">
        <f t="shared" si="70"/>
        <v>0.142693040388301</v>
      </c>
      <c r="G691" s="9">
        <f t="shared" si="71"/>
        <v>0.122509976075354</v>
      </c>
      <c r="H691" s="9">
        <f t="shared" si="72"/>
        <v>0.109335128777285</v>
      </c>
      <c r="I691" s="3" t="str">
        <f t="shared" si="73"/>
        <v>2023-11-01</v>
      </c>
      <c r="J691" s="9">
        <f t="shared" si="74"/>
        <v>0.141137120815795</v>
      </c>
      <c r="K691" s="9">
        <f t="shared" si="75"/>
        <v>0.121869921711657</v>
      </c>
      <c r="L691" s="9">
        <f t="shared" si="76"/>
        <v>0.10941698665962</v>
      </c>
    </row>
    <row r="692" s="4" customFormat="1" ht="13.5" customHeight="1" spans="1:12">
      <c r="A692" s="4">
        <v>45236</v>
      </c>
      <c r="B692" s="8">
        <v>0.0884159867695682</v>
      </c>
      <c r="C692" s="8">
        <v>0.0582783923812352</v>
      </c>
      <c r="D692" s="8">
        <v>0.0462481296142843</v>
      </c>
      <c r="E692" s="8">
        <v>2</v>
      </c>
      <c r="F692" s="9">
        <f t="shared" si="70"/>
        <v>0.142621041508361</v>
      </c>
      <c r="G692" s="9">
        <f t="shared" si="71"/>
        <v>0.122998294146364</v>
      </c>
      <c r="H692" s="9">
        <f t="shared" si="72"/>
        <v>0.108868814889483</v>
      </c>
      <c r="I692" s="3" t="str">
        <f t="shared" si="73"/>
        <v>2023-11-01</v>
      </c>
      <c r="J692" s="9">
        <f t="shared" si="74"/>
        <v>0.141137120815795</v>
      </c>
      <c r="K692" s="9">
        <f t="shared" si="75"/>
        <v>0.121869921711657</v>
      </c>
      <c r="L692" s="9">
        <f t="shared" si="76"/>
        <v>0.10941698665962</v>
      </c>
    </row>
    <row r="693" s="4" customFormat="1" ht="13.5" customHeight="1" spans="1:12">
      <c r="A693" s="4">
        <v>45233</v>
      </c>
      <c r="B693" s="8">
        <v>0.0959569041309399</v>
      </c>
      <c r="C693" s="8">
        <v>0.0503056028473121</v>
      </c>
      <c r="D693" s="8">
        <v>0.0785175606978276</v>
      </c>
      <c r="E693" s="8">
        <v>1</v>
      </c>
      <c r="F693" s="9">
        <f t="shared" si="70"/>
        <v>0.148503677909495</v>
      </c>
      <c r="G693" s="9">
        <f t="shared" si="71"/>
        <v>0.121018888947844</v>
      </c>
      <c r="H693" s="9">
        <f t="shared" si="72"/>
        <v>0.108835070937455</v>
      </c>
      <c r="I693" s="3" t="str">
        <f t="shared" si="73"/>
        <v>2023-11-01</v>
      </c>
      <c r="J693" s="9">
        <f t="shared" si="74"/>
        <v>0.141137120815795</v>
      </c>
      <c r="K693" s="9">
        <f t="shared" si="75"/>
        <v>0.121869921711657</v>
      </c>
      <c r="L693" s="9">
        <f t="shared" si="76"/>
        <v>0.10941698665962</v>
      </c>
    </row>
    <row r="694" s="4" customFormat="1" ht="13.5" customHeight="1" spans="1:12">
      <c r="A694" s="4">
        <v>45232</v>
      </c>
      <c r="B694" s="8">
        <v>0.0910747670312271</v>
      </c>
      <c r="C694" s="8">
        <v>0.0594980914481473</v>
      </c>
      <c r="D694" s="8">
        <v>0.0325393375148438</v>
      </c>
      <c r="E694" s="8">
        <v>2</v>
      </c>
      <c r="F694" s="9">
        <f t="shared" si="70"/>
        <v>0.143766474093364</v>
      </c>
      <c r="G694" s="9">
        <f t="shared" si="71"/>
        <v>0.122196790249385</v>
      </c>
      <c r="H694" s="9">
        <f t="shared" si="72"/>
        <v>0.109138975828608</v>
      </c>
      <c r="I694" s="3" t="str">
        <f t="shared" si="73"/>
        <v>2023-11-01</v>
      </c>
      <c r="J694" s="9">
        <f t="shared" si="74"/>
        <v>0.141137120815795</v>
      </c>
      <c r="K694" s="9">
        <f t="shared" si="75"/>
        <v>0.121869921711657</v>
      </c>
      <c r="L694" s="9">
        <f t="shared" si="76"/>
        <v>0.10941698665962</v>
      </c>
    </row>
    <row r="695" s="4" customFormat="1" ht="13.5" customHeight="1" spans="1:12">
      <c r="A695" s="4">
        <v>45231</v>
      </c>
      <c r="B695" s="8">
        <v>0.0985472679472447</v>
      </c>
      <c r="C695" s="8">
        <v>0.0566599963551379</v>
      </c>
      <c r="D695" s="8">
        <v>0.00232601469029096</v>
      </c>
      <c r="E695" s="8">
        <v>2</v>
      </c>
      <c r="F695" s="9">
        <f t="shared" si="70"/>
        <v>0.143554842427098</v>
      </c>
      <c r="G695" s="9">
        <f t="shared" si="71"/>
        <v>0.120013994798567</v>
      </c>
      <c r="H695" s="9">
        <f t="shared" si="72"/>
        <v>0.110249308669406</v>
      </c>
      <c r="I695" s="3" t="str">
        <f t="shared" si="73"/>
        <v>2023-11-01</v>
      </c>
      <c r="J695" s="9">
        <f t="shared" si="74"/>
        <v>0.141137120815795</v>
      </c>
      <c r="K695" s="9">
        <f t="shared" si="75"/>
        <v>0.121869921711657</v>
      </c>
      <c r="L695" s="9">
        <f t="shared" si="76"/>
        <v>0.10941698665962</v>
      </c>
    </row>
    <row r="696" s="4" customFormat="1" ht="13.5" customHeight="1" spans="1:12">
      <c r="A696" s="4">
        <v>45230</v>
      </c>
      <c r="B696" s="8">
        <v>0.0987603391569789</v>
      </c>
      <c r="C696" s="8">
        <v>0.0564469251454037</v>
      </c>
      <c r="D696" s="8">
        <v>0.00277019071856616</v>
      </c>
      <c r="E696" s="8">
        <v>2</v>
      </c>
      <c r="F696" s="9">
        <f t="shared" si="70"/>
        <v>0.143680372578351</v>
      </c>
      <c r="G696" s="9">
        <f t="shared" si="71"/>
        <v>0.120275459651563</v>
      </c>
      <c r="H696" s="9">
        <f t="shared" si="72"/>
        <v>0.110505296573908</v>
      </c>
      <c r="I696" s="3" t="str">
        <f t="shared" si="73"/>
        <v>2023-10-01</v>
      </c>
      <c r="J696" s="9">
        <f t="shared" si="74"/>
        <v>0.140994790457637</v>
      </c>
      <c r="K696" s="9">
        <f t="shared" si="75"/>
        <v>0.119922365517102</v>
      </c>
      <c r="L696" s="9">
        <f t="shared" si="76"/>
        <v>0.111338122324743</v>
      </c>
    </row>
    <row r="697" s="4" customFormat="1" ht="13.5" customHeight="1" spans="1:12">
      <c r="A697" s="4">
        <v>45229</v>
      </c>
      <c r="B697" s="8">
        <v>0.0998438307779967</v>
      </c>
      <c r="C697" s="8">
        <v>0.0555346664015166</v>
      </c>
      <c r="D697" s="8">
        <v>0.000710159649306219</v>
      </c>
      <c r="E697" s="8">
        <v>2</v>
      </c>
      <c r="F697" s="9">
        <f t="shared" si="70"/>
        <v>0.143674326378992</v>
      </c>
      <c r="G697" s="9">
        <f t="shared" si="71"/>
        <v>0.120436725156896</v>
      </c>
      <c r="H697" s="9">
        <f t="shared" si="72"/>
        <v>0.111012216038703</v>
      </c>
      <c r="I697" s="3" t="str">
        <f t="shared" si="73"/>
        <v>2023-10-01</v>
      </c>
      <c r="J697" s="9">
        <f t="shared" si="74"/>
        <v>0.140994790457637</v>
      </c>
      <c r="K697" s="9">
        <f t="shared" si="75"/>
        <v>0.119922365517102</v>
      </c>
      <c r="L697" s="9">
        <f t="shared" si="76"/>
        <v>0.111338122324743</v>
      </c>
    </row>
    <row r="698" s="4" customFormat="1" ht="13.5" customHeight="1" spans="1:12">
      <c r="A698" s="4">
        <v>45226</v>
      </c>
      <c r="B698" s="8">
        <v>0.0996564852675147</v>
      </c>
      <c r="C698" s="8">
        <v>0.055293874730308</v>
      </c>
      <c r="D698" s="8">
        <v>0.00242736127996119</v>
      </c>
      <c r="E698" s="8">
        <v>2</v>
      </c>
      <c r="F698" s="9">
        <f t="shared" si="70"/>
        <v>0.143607289536083</v>
      </c>
      <c r="G698" s="9">
        <f t="shared" si="71"/>
        <v>0.120650510692908</v>
      </c>
      <c r="H698" s="9">
        <f t="shared" si="72"/>
        <v>0.111106592512125</v>
      </c>
      <c r="I698" s="3" t="str">
        <f t="shared" si="73"/>
        <v>2023-10-01</v>
      </c>
      <c r="J698" s="9">
        <f t="shared" si="74"/>
        <v>0.140994790457637</v>
      </c>
      <c r="K698" s="9">
        <f t="shared" si="75"/>
        <v>0.119922365517102</v>
      </c>
      <c r="L698" s="9">
        <f t="shared" si="76"/>
        <v>0.111338122324743</v>
      </c>
    </row>
    <row r="699" s="4" customFormat="1" ht="13.5" customHeight="1" spans="1:12">
      <c r="A699" s="4">
        <v>45225</v>
      </c>
      <c r="B699" s="8">
        <v>0.105208927369327</v>
      </c>
      <c r="C699" s="8">
        <v>0.0493131120668444</v>
      </c>
      <c r="D699" s="8">
        <v>3.67545302126153e-6</v>
      </c>
      <c r="E699" s="8">
        <v>1.69</v>
      </c>
      <c r="F699" s="9">
        <f t="shared" si="70"/>
        <v>0.142430862393178</v>
      </c>
      <c r="G699" s="9">
        <f t="shared" si="71"/>
        <v>0.121012809916185</v>
      </c>
      <c r="H699" s="9">
        <f t="shared" si="72"/>
        <v>0.113521011007746</v>
      </c>
      <c r="I699" s="3" t="str">
        <f t="shared" si="73"/>
        <v>2023-10-01</v>
      </c>
      <c r="J699" s="9">
        <f t="shared" si="74"/>
        <v>0.140994790457637</v>
      </c>
      <c r="K699" s="9">
        <f t="shared" si="75"/>
        <v>0.119922365517102</v>
      </c>
      <c r="L699" s="9">
        <f t="shared" si="76"/>
        <v>0.111338122324743</v>
      </c>
    </row>
    <row r="700" s="4" customFormat="1" ht="13.5" customHeight="1" spans="1:12">
      <c r="A700" s="4">
        <v>45223</v>
      </c>
      <c r="B700" s="8">
        <v>0.102453851049099</v>
      </c>
      <c r="C700" s="8">
        <v>0.0494944052229588</v>
      </c>
      <c r="D700" s="8">
        <v>0.00170396921331215</v>
      </c>
      <c r="E700" s="8">
        <v>2</v>
      </c>
      <c r="F700" s="9">
        <f t="shared" si="70"/>
        <v>0.141710322704469</v>
      </c>
      <c r="G700" s="9">
        <f t="shared" si="71"/>
        <v>0.121112283115019</v>
      </c>
      <c r="H700" s="9">
        <f t="shared" si="72"/>
        <v>0.112613050295428</v>
      </c>
      <c r="I700" s="3" t="str">
        <f t="shared" si="73"/>
        <v>2023-10-01</v>
      </c>
      <c r="J700" s="9">
        <f t="shared" si="74"/>
        <v>0.140994790457637</v>
      </c>
      <c r="K700" s="9">
        <f t="shared" si="75"/>
        <v>0.119922365517102</v>
      </c>
      <c r="L700" s="9">
        <f t="shared" si="76"/>
        <v>0.111338122324743</v>
      </c>
    </row>
    <row r="701" s="4" customFormat="1" ht="13.5" customHeight="1" spans="1:12">
      <c r="A701" s="4">
        <v>45222</v>
      </c>
      <c r="B701" s="8">
        <v>0.102207240066784</v>
      </c>
      <c r="C701" s="8">
        <v>0.0485376466256415</v>
      </c>
      <c r="D701" s="8">
        <v>0.00414888220670017</v>
      </c>
      <c r="E701" s="8">
        <v>2</v>
      </c>
      <c r="F701" s="9">
        <f t="shared" si="70"/>
        <v>0.14115188328827</v>
      </c>
      <c r="G701" s="9">
        <f t="shared" si="71"/>
        <v>0.121211381150813</v>
      </c>
      <c r="H701" s="9">
        <f t="shared" si="72"/>
        <v>0.112645591077071</v>
      </c>
      <c r="I701" s="3" t="str">
        <f t="shared" si="73"/>
        <v>2023-10-01</v>
      </c>
      <c r="J701" s="9">
        <f t="shared" si="74"/>
        <v>0.140994790457637</v>
      </c>
      <c r="K701" s="9">
        <f t="shared" si="75"/>
        <v>0.119922365517102</v>
      </c>
      <c r="L701" s="9">
        <f t="shared" si="76"/>
        <v>0.111338122324743</v>
      </c>
    </row>
    <row r="702" s="4" customFormat="1" ht="13.5" customHeight="1" spans="1:12">
      <c r="A702" s="4">
        <v>45219</v>
      </c>
      <c r="B702" s="8">
        <v>0.102556655569259</v>
      </c>
      <c r="C702" s="8">
        <v>0.0502502646744991</v>
      </c>
      <c r="D702" s="8">
        <v>-5.37301099775752e-6</v>
      </c>
      <c r="E702" s="8">
        <v>1.92</v>
      </c>
      <c r="F702" s="9">
        <f t="shared" si="70"/>
        <v>0.141724302544701</v>
      </c>
      <c r="G702" s="9">
        <f t="shared" si="71"/>
        <v>0.120424012677695</v>
      </c>
      <c r="H702" s="9">
        <f t="shared" si="72"/>
        <v>0.112150927404304</v>
      </c>
      <c r="I702" s="3" t="str">
        <f t="shared" si="73"/>
        <v>2023-10-01</v>
      </c>
      <c r="J702" s="9">
        <f t="shared" si="74"/>
        <v>0.140994790457637</v>
      </c>
      <c r="K702" s="9">
        <f t="shared" si="75"/>
        <v>0.119922365517102</v>
      </c>
      <c r="L702" s="9">
        <f t="shared" si="76"/>
        <v>0.111338122324743</v>
      </c>
    </row>
    <row r="703" s="4" customFormat="1" ht="13.5" customHeight="1" spans="1:12">
      <c r="A703" s="4">
        <v>45218</v>
      </c>
      <c r="B703" s="8">
        <v>0.103497327939661</v>
      </c>
      <c r="C703" s="8">
        <v>0.0504247543325956</v>
      </c>
      <c r="D703" s="8">
        <v>-4.08821447538337e-5</v>
      </c>
      <c r="E703" s="8">
        <v>1.73</v>
      </c>
      <c r="F703" s="9">
        <f t="shared" si="70"/>
        <v>0.141785317317588</v>
      </c>
      <c r="G703" s="9">
        <f t="shared" si="71"/>
        <v>0.119963737293233</v>
      </c>
      <c r="H703" s="9">
        <f t="shared" si="72"/>
        <v>0.112186950883822</v>
      </c>
      <c r="I703" s="3" t="str">
        <f t="shared" si="73"/>
        <v>2023-10-01</v>
      </c>
      <c r="J703" s="9">
        <f t="shared" si="74"/>
        <v>0.140994790457637</v>
      </c>
      <c r="K703" s="9">
        <f t="shared" si="75"/>
        <v>0.119922365517102</v>
      </c>
      <c r="L703" s="9">
        <f t="shared" si="76"/>
        <v>0.111338122324743</v>
      </c>
    </row>
    <row r="704" s="4" customFormat="1" ht="13.5" customHeight="1" spans="1:12">
      <c r="A704" s="4">
        <v>45217</v>
      </c>
      <c r="B704" s="8">
        <v>0.105170231780104</v>
      </c>
      <c r="C704" s="8">
        <v>0.049180428049821</v>
      </c>
      <c r="D704" s="8">
        <v>8.40883171211161e-5</v>
      </c>
      <c r="E704" s="8">
        <v>1.46</v>
      </c>
      <c r="F704" s="9">
        <f t="shared" si="70"/>
        <v>0.140794259618833</v>
      </c>
      <c r="G704" s="9">
        <f t="shared" si="71"/>
        <v>0.119084343048458</v>
      </c>
      <c r="H704" s="9">
        <f t="shared" si="72"/>
        <v>0.112355136538087</v>
      </c>
      <c r="I704" s="3" t="str">
        <f t="shared" si="73"/>
        <v>2023-10-01</v>
      </c>
      <c r="J704" s="9">
        <f t="shared" si="74"/>
        <v>0.140994790457637</v>
      </c>
      <c r="K704" s="9">
        <f t="shared" si="75"/>
        <v>0.119922365517102</v>
      </c>
      <c r="L704" s="9">
        <f t="shared" si="76"/>
        <v>0.111338122324743</v>
      </c>
    </row>
    <row r="705" s="4" customFormat="1" ht="13.5" customHeight="1" spans="1:12">
      <c r="A705" s="4">
        <v>45216</v>
      </c>
      <c r="B705" s="8">
        <v>0.103840128597165</v>
      </c>
      <c r="C705" s="8">
        <v>0.0491384359999158</v>
      </c>
      <c r="D705" s="8">
        <v>1.71843432562293e-5</v>
      </c>
      <c r="E705" s="8">
        <v>1.65</v>
      </c>
      <c r="F705" s="9">
        <f t="shared" si="70"/>
        <v>0.140694143004232</v>
      </c>
      <c r="G705" s="9">
        <f t="shared" si="71"/>
        <v>0.119277145647757</v>
      </c>
      <c r="H705" s="9">
        <f t="shared" si="72"/>
        <v>0.111931843761943</v>
      </c>
      <c r="I705" s="3" t="str">
        <f t="shared" si="73"/>
        <v>2023-10-01</v>
      </c>
      <c r="J705" s="9">
        <f t="shared" si="74"/>
        <v>0.140994790457637</v>
      </c>
      <c r="K705" s="9">
        <f t="shared" si="75"/>
        <v>0.119922365517102</v>
      </c>
      <c r="L705" s="9">
        <f t="shared" si="76"/>
        <v>0.111338122324743</v>
      </c>
    </row>
    <row r="706" s="4" customFormat="1" ht="13.5" customHeight="1" spans="1:12">
      <c r="A706" s="4">
        <v>45215</v>
      </c>
      <c r="B706" s="8">
        <v>0.103108104204971</v>
      </c>
      <c r="C706" s="8">
        <v>0.0490978286843604</v>
      </c>
      <c r="D706" s="8">
        <v>-8.73672662645335e-5</v>
      </c>
      <c r="E706" s="8">
        <v>1.77</v>
      </c>
      <c r="F706" s="9">
        <f t="shared" si="70"/>
        <v>0.140600485902374</v>
      </c>
      <c r="G706" s="9">
        <f t="shared" si="71"/>
        <v>0.119433856965011</v>
      </c>
      <c r="H706" s="9">
        <f t="shared" si="72"/>
        <v>0.111752740721377</v>
      </c>
      <c r="I706" s="3" t="str">
        <f t="shared" si="73"/>
        <v>2023-10-01</v>
      </c>
      <c r="J706" s="9">
        <f t="shared" si="74"/>
        <v>0.140994790457637</v>
      </c>
      <c r="K706" s="9">
        <f t="shared" si="75"/>
        <v>0.119922365517102</v>
      </c>
      <c r="L706" s="9">
        <f t="shared" si="76"/>
        <v>0.111338122324743</v>
      </c>
    </row>
    <row r="707" s="4" customFormat="1" ht="13.5" customHeight="1" spans="1:12">
      <c r="A707" s="4">
        <v>45212</v>
      </c>
      <c r="B707" s="8">
        <v>0.103016460723346</v>
      </c>
      <c r="C707" s="8">
        <v>0.0491035873374869</v>
      </c>
      <c r="D707" s="8">
        <v>-3.70105840724972e-5</v>
      </c>
      <c r="E707" s="8">
        <v>1.79</v>
      </c>
      <c r="F707" s="9">
        <f t="shared" si="70"/>
        <v>0.140630672348098</v>
      </c>
      <c r="G707" s="9">
        <f t="shared" si="71"/>
        <v>0.119509196424099</v>
      </c>
      <c r="H707" s="9">
        <f t="shared" si="72"/>
        <v>0.111766600246667</v>
      </c>
      <c r="I707" s="3" t="str">
        <f t="shared" si="73"/>
        <v>2023-10-01</v>
      </c>
      <c r="J707" s="9">
        <f t="shared" si="74"/>
        <v>0.140994790457637</v>
      </c>
      <c r="K707" s="9">
        <f t="shared" si="75"/>
        <v>0.119922365517102</v>
      </c>
      <c r="L707" s="9">
        <f t="shared" si="76"/>
        <v>0.111338122324743</v>
      </c>
    </row>
    <row r="708" s="4" customFormat="1" ht="13.5" customHeight="1" spans="1:12">
      <c r="A708" s="4">
        <v>45211</v>
      </c>
      <c r="B708" s="8">
        <v>0.100932330193246</v>
      </c>
      <c r="C708" s="8">
        <v>0.0478324430718661</v>
      </c>
      <c r="D708" s="8">
        <v>0.00402230042703818</v>
      </c>
      <c r="E708" s="8">
        <v>2</v>
      </c>
      <c r="F708" s="9">
        <f t="shared" si="70"/>
        <v>0.139299185092241</v>
      </c>
      <c r="G708" s="9">
        <f t="shared" si="71"/>
        <v>0.119641458448289</v>
      </c>
      <c r="H708" s="9">
        <f t="shared" si="72"/>
        <v>0.111206297943266</v>
      </c>
      <c r="I708" s="3" t="str">
        <f t="shared" si="73"/>
        <v>2023-10-01</v>
      </c>
      <c r="J708" s="9">
        <f t="shared" si="74"/>
        <v>0.140994790457637</v>
      </c>
      <c r="K708" s="9">
        <f t="shared" si="75"/>
        <v>0.119922365517102</v>
      </c>
      <c r="L708" s="9">
        <f t="shared" si="76"/>
        <v>0.111338122324743</v>
      </c>
    </row>
    <row r="709" s="4" customFormat="1" ht="13.5" customHeight="1" spans="1:12">
      <c r="A709" s="4">
        <v>45210</v>
      </c>
      <c r="B709" s="8">
        <v>0.0956758957415837</v>
      </c>
      <c r="C709" s="8">
        <v>0.0479914540708294</v>
      </c>
      <c r="D709" s="8">
        <v>0.0246684810753241</v>
      </c>
      <c r="E709" s="8">
        <v>2</v>
      </c>
      <c r="F709" s="9">
        <f t="shared" ref="F709:F772" si="77">B709+(C709+D709)*(E709/$F$3)*(1-EXP(-$F$3/E709))-D709*EXP(-$F$3/E709)</f>
        <v>0.137892619135418</v>
      </c>
      <c r="G709" s="9">
        <f t="shared" ref="G709:G772" si="78">B709+(C709+D709)*(E709/$G$3)*(1-EXP(-$G$3/E709))-D709*EXP(-$G$3/E709)</f>
        <v>0.12032924129433</v>
      </c>
      <c r="H709" s="9">
        <f t="shared" ref="H709:H772" si="79">B709+(C709+D709)*(E709/$H$3)*(1-EXP(-$H$3/E709))-D709*EXP(-$H$3/E709)</f>
        <v>0.109943752094387</v>
      </c>
      <c r="I709" s="3" t="str">
        <f t="shared" ref="I709:I772" si="80">TEXT(A709,"yyyy-mm-01")</f>
        <v>2023-10-01</v>
      </c>
      <c r="J709" s="9">
        <f t="shared" ref="J709:J772" si="81">AVERAGEIF($I:$I,I709,$F:$F)</f>
        <v>0.140994790457637</v>
      </c>
      <c r="K709" s="9">
        <f t="shared" ref="K709:K772" si="82">AVERAGEIF($I:$I,I709,$G:$G)</f>
        <v>0.119922365517102</v>
      </c>
      <c r="L709" s="9">
        <f t="shared" ref="L709:L772" si="83">AVERAGEIF($I:$I,I709,$H:$H)</f>
        <v>0.111338122324743</v>
      </c>
    </row>
    <row r="710" s="4" customFormat="1" ht="13.5" customHeight="1" spans="1:12">
      <c r="A710" s="4">
        <v>45209</v>
      </c>
      <c r="B710" s="8">
        <v>0.0936900572896554</v>
      </c>
      <c r="C710" s="8">
        <v>0.0477226956606682</v>
      </c>
      <c r="D710" s="8">
        <v>0.0337555215590925</v>
      </c>
      <c r="E710" s="8">
        <v>2</v>
      </c>
      <c r="F710" s="9">
        <f t="shared" si="77"/>
        <v>0.137334659283975</v>
      </c>
      <c r="G710" s="9">
        <f t="shared" si="78"/>
        <v>0.120835266497488</v>
      </c>
      <c r="H710" s="9">
        <f t="shared" si="79"/>
        <v>0.109648458636575</v>
      </c>
      <c r="I710" s="3" t="str">
        <f t="shared" si="80"/>
        <v>2023-10-01</v>
      </c>
      <c r="J710" s="9">
        <f t="shared" si="81"/>
        <v>0.140994790457637</v>
      </c>
      <c r="K710" s="9">
        <f t="shared" si="82"/>
        <v>0.119922365517102</v>
      </c>
      <c r="L710" s="9">
        <f t="shared" si="83"/>
        <v>0.111338122324743</v>
      </c>
    </row>
    <row r="711" s="4" customFormat="1" ht="13.5" customHeight="1" spans="1:12">
      <c r="A711" s="4">
        <v>45208</v>
      </c>
      <c r="B711" s="8">
        <v>0.0960586621668076</v>
      </c>
      <c r="C711" s="8">
        <v>0.0487340827347329</v>
      </c>
      <c r="D711" s="8">
        <v>0.0221244460170128</v>
      </c>
      <c r="E711" s="8">
        <v>2</v>
      </c>
      <c r="F711" s="9">
        <f t="shared" si="77"/>
        <v>0.138400824451698</v>
      </c>
      <c r="G711" s="9">
        <f t="shared" si="78"/>
        <v>0.120259419652613</v>
      </c>
      <c r="H711" s="9">
        <f t="shared" si="79"/>
        <v>0.109985806370277</v>
      </c>
      <c r="I711" s="3" t="str">
        <f t="shared" si="80"/>
        <v>2023-10-01</v>
      </c>
      <c r="J711" s="9">
        <f t="shared" si="81"/>
        <v>0.140994790457637</v>
      </c>
      <c r="K711" s="9">
        <f t="shared" si="82"/>
        <v>0.119922365517102</v>
      </c>
      <c r="L711" s="9">
        <f t="shared" si="83"/>
        <v>0.111338122324743</v>
      </c>
    </row>
    <row r="712" s="4" customFormat="1" ht="13.5" customHeight="1" spans="1:12">
      <c r="A712" s="4">
        <v>45205</v>
      </c>
      <c r="B712" s="8">
        <v>0.0966893658055713</v>
      </c>
      <c r="C712" s="8">
        <v>0.0500050133452321</v>
      </c>
      <c r="D712" s="8">
        <v>0.0165339804816327</v>
      </c>
      <c r="E712" s="8">
        <v>2</v>
      </c>
      <c r="F712" s="9">
        <f t="shared" si="77"/>
        <v>0.139023107725254</v>
      </c>
      <c r="G712" s="9">
        <f t="shared" si="78"/>
        <v>0.119763030284549</v>
      </c>
      <c r="H712" s="9">
        <f t="shared" si="79"/>
        <v>0.10979609224402</v>
      </c>
      <c r="I712" s="3" t="str">
        <f t="shared" si="80"/>
        <v>2023-10-01</v>
      </c>
      <c r="J712" s="9">
        <f t="shared" si="81"/>
        <v>0.140994790457637</v>
      </c>
      <c r="K712" s="9">
        <f t="shared" si="82"/>
        <v>0.119922365517102</v>
      </c>
      <c r="L712" s="9">
        <f t="shared" si="83"/>
        <v>0.111338122324743</v>
      </c>
    </row>
    <row r="713" s="4" customFormat="1" ht="13.5" customHeight="1" spans="1:12">
      <c r="A713" s="4">
        <v>45204</v>
      </c>
      <c r="B713" s="8">
        <v>0.0985975186009637</v>
      </c>
      <c r="C713" s="8">
        <v>0.0521473680914617</v>
      </c>
      <c r="D713" s="8">
        <v>0.00566809719839241</v>
      </c>
      <c r="E713" s="8">
        <v>2</v>
      </c>
      <c r="F713" s="9">
        <f t="shared" si="77"/>
        <v>0.140656869839919</v>
      </c>
      <c r="G713" s="9">
        <f t="shared" si="78"/>
        <v>0.119360126010672</v>
      </c>
      <c r="H713" s="9">
        <f t="shared" si="79"/>
        <v>0.110044508812256</v>
      </c>
      <c r="I713" s="3" t="str">
        <f t="shared" si="80"/>
        <v>2023-10-01</v>
      </c>
      <c r="J713" s="9">
        <f t="shared" si="81"/>
        <v>0.140994790457637</v>
      </c>
      <c r="K713" s="9">
        <f t="shared" si="82"/>
        <v>0.119922365517102</v>
      </c>
      <c r="L713" s="9">
        <f t="shared" si="83"/>
        <v>0.111338122324743</v>
      </c>
    </row>
    <row r="714" s="4" customFormat="1" ht="13.5" customHeight="1" spans="1:12">
      <c r="A714" s="4">
        <v>45203</v>
      </c>
      <c r="B714" s="8">
        <v>0.101909319326613</v>
      </c>
      <c r="C714" s="8">
        <v>0.0533835650794227</v>
      </c>
      <c r="D714" s="8">
        <v>1.63078861808185e-5</v>
      </c>
      <c r="E714" s="8">
        <v>1.67</v>
      </c>
      <c r="F714" s="9">
        <f t="shared" si="77"/>
        <v>0.142077690787048</v>
      </c>
      <c r="G714" s="9">
        <f t="shared" si="78"/>
        <v>0.11885074677677</v>
      </c>
      <c r="H714" s="9">
        <f t="shared" si="79"/>
        <v>0.110804685916405</v>
      </c>
      <c r="I714" s="3" t="str">
        <f t="shared" si="80"/>
        <v>2023-10-01</v>
      </c>
      <c r="J714" s="9">
        <f t="shared" si="81"/>
        <v>0.140994790457637</v>
      </c>
      <c r="K714" s="9">
        <f t="shared" si="82"/>
        <v>0.119922365517102</v>
      </c>
      <c r="L714" s="9">
        <f t="shared" si="83"/>
        <v>0.111338122324743</v>
      </c>
    </row>
    <row r="715" s="4" customFormat="1" ht="13.5" customHeight="1" spans="1:12">
      <c r="A715" s="4">
        <v>45202</v>
      </c>
      <c r="B715" s="8">
        <v>0.102939497398863</v>
      </c>
      <c r="C715" s="8">
        <v>0.0533802568560913</v>
      </c>
      <c r="D715" s="8">
        <v>3.26168935782192e-5</v>
      </c>
      <c r="E715" s="8">
        <v>1.53</v>
      </c>
      <c r="F715" s="9">
        <f t="shared" si="77"/>
        <v>0.142134847609045</v>
      </c>
      <c r="G715" s="9">
        <f t="shared" si="78"/>
        <v>0.118660144762078</v>
      </c>
      <c r="H715" s="9">
        <f t="shared" si="79"/>
        <v>0.111099767238697</v>
      </c>
      <c r="I715" s="3" t="str">
        <f t="shared" si="80"/>
        <v>2023-10-01</v>
      </c>
      <c r="J715" s="9">
        <f t="shared" si="81"/>
        <v>0.140994790457637</v>
      </c>
      <c r="K715" s="9">
        <f t="shared" si="82"/>
        <v>0.119922365517102</v>
      </c>
      <c r="L715" s="9">
        <f t="shared" si="83"/>
        <v>0.111338122324743</v>
      </c>
    </row>
    <row r="716" s="4" customFormat="1" ht="13.5" customHeight="1" spans="1:12">
      <c r="A716" s="4">
        <v>45201</v>
      </c>
      <c r="B716" s="8">
        <v>0.10554924970667</v>
      </c>
      <c r="C716" s="8">
        <v>0.0526503649668752</v>
      </c>
      <c r="D716" s="8">
        <v>-7.71407535934791e-7</v>
      </c>
      <c r="E716" s="8">
        <v>1.23</v>
      </c>
      <c r="F716" s="9">
        <f t="shared" si="77"/>
        <v>0.141586558070618</v>
      </c>
      <c r="G716" s="9">
        <f t="shared" si="78"/>
        <v>0.118278780392707</v>
      </c>
      <c r="H716" s="9">
        <f t="shared" si="79"/>
        <v>0.112023242502551</v>
      </c>
      <c r="I716" s="3" t="str">
        <f t="shared" si="80"/>
        <v>2023-10-01</v>
      </c>
      <c r="J716" s="9">
        <f t="shared" si="81"/>
        <v>0.140994790457637</v>
      </c>
      <c r="K716" s="9">
        <f t="shared" si="82"/>
        <v>0.119922365517102</v>
      </c>
      <c r="L716" s="9">
        <f t="shared" si="83"/>
        <v>0.111338122324743</v>
      </c>
    </row>
    <row r="717" s="4" customFormat="1" ht="13.5" customHeight="1" spans="1:12">
      <c r="A717" s="4">
        <v>45198</v>
      </c>
      <c r="B717" s="8">
        <v>0.104288596604977</v>
      </c>
      <c r="C717" s="8">
        <v>0.054081739366464</v>
      </c>
      <c r="D717" s="8">
        <v>7.8495004090445e-5</v>
      </c>
      <c r="E717" s="8">
        <v>1.32</v>
      </c>
      <c r="F717" s="9">
        <f t="shared" si="77"/>
        <v>0.142227977767669</v>
      </c>
      <c r="G717" s="9">
        <f t="shared" si="78"/>
        <v>0.118261356288493</v>
      </c>
      <c r="H717" s="9">
        <f t="shared" si="79"/>
        <v>0.111434041697678</v>
      </c>
      <c r="I717" s="3" t="str">
        <f t="shared" si="80"/>
        <v>2023-09-01</v>
      </c>
      <c r="J717" s="9">
        <f t="shared" si="81"/>
        <v>0.142940027236055</v>
      </c>
      <c r="K717" s="9">
        <f t="shared" si="82"/>
        <v>0.117842833776756</v>
      </c>
      <c r="L717" s="9">
        <f t="shared" si="83"/>
        <v>0.108751137888751</v>
      </c>
    </row>
    <row r="718" s="4" customFormat="1" ht="13.5" customHeight="1" spans="1:12">
      <c r="A718" s="4">
        <v>45197</v>
      </c>
      <c r="B718" s="8">
        <v>0.10438870834464</v>
      </c>
      <c r="C718" s="8">
        <v>0.0536401558802698</v>
      </c>
      <c r="D718" s="8">
        <v>-0.000129842461849799</v>
      </c>
      <c r="E718" s="8">
        <v>1.34</v>
      </c>
      <c r="F718" s="9">
        <f t="shared" si="77"/>
        <v>0.142156986088597</v>
      </c>
      <c r="G718" s="9">
        <f t="shared" si="78"/>
        <v>0.118388969732221</v>
      </c>
      <c r="H718" s="9">
        <f t="shared" si="79"/>
        <v>0.111555048286529</v>
      </c>
      <c r="I718" s="3" t="str">
        <f t="shared" si="80"/>
        <v>2023-09-01</v>
      </c>
      <c r="J718" s="9">
        <f t="shared" si="81"/>
        <v>0.142940027236055</v>
      </c>
      <c r="K718" s="9">
        <f t="shared" si="82"/>
        <v>0.117842833776756</v>
      </c>
      <c r="L718" s="9">
        <f t="shared" si="83"/>
        <v>0.108751137888751</v>
      </c>
    </row>
    <row r="719" s="4" customFormat="1" ht="13.5" customHeight="1" spans="1:12">
      <c r="A719" s="4">
        <v>45196</v>
      </c>
      <c r="B719" s="8">
        <v>0.103425385300852</v>
      </c>
      <c r="C719" s="8">
        <v>0.0546888577928401</v>
      </c>
      <c r="D719" s="8">
        <v>3.74201041641014e-5</v>
      </c>
      <c r="E719" s="8">
        <v>1.39</v>
      </c>
      <c r="F719" s="9">
        <f t="shared" si="77"/>
        <v>0.142428356601353</v>
      </c>
      <c r="G719" s="9">
        <f t="shared" si="78"/>
        <v>0.118221366645191</v>
      </c>
      <c r="H719" s="9">
        <f t="shared" si="79"/>
        <v>0.111026597806554</v>
      </c>
      <c r="I719" s="3" t="str">
        <f t="shared" si="80"/>
        <v>2023-09-01</v>
      </c>
      <c r="J719" s="9">
        <f t="shared" si="81"/>
        <v>0.142940027236055</v>
      </c>
      <c r="K719" s="9">
        <f t="shared" si="82"/>
        <v>0.117842833776756</v>
      </c>
      <c r="L719" s="9">
        <f t="shared" si="83"/>
        <v>0.108751137888751</v>
      </c>
    </row>
    <row r="720" s="4" customFormat="1" ht="13.5" customHeight="1" spans="1:12">
      <c r="A720" s="4">
        <v>45195</v>
      </c>
      <c r="B720" s="8">
        <v>0.102316923789671</v>
      </c>
      <c r="C720" s="8">
        <v>0.0551995140853123</v>
      </c>
      <c r="D720" s="8">
        <v>-2.40848309125109e-5</v>
      </c>
      <c r="E720" s="8">
        <v>1.49</v>
      </c>
      <c r="F720" s="9">
        <f t="shared" si="77"/>
        <v>0.142520320483536</v>
      </c>
      <c r="G720" s="9">
        <f t="shared" si="78"/>
        <v>0.118186456682251</v>
      </c>
      <c r="H720" s="9">
        <f t="shared" si="79"/>
        <v>0.110528087361965</v>
      </c>
      <c r="I720" s="3" t="str">
        <f t="shared" si="80"/>
        <v>2023-09-01</v>
      </c>
      <c r="J720" s="9">
        <f t="shared" si="81"/>
        <v>0.142940027236055</v>
      </c>
      <c r="K720" s="9">
        <f t="shared" si="82"/>
        <v>0.117842833776756</v>
      </c>
      <c r="L720" s="9">
        <f t="shared" si="83"/>
        <v>0.108751137888751</v>
      </c>
    </row>
    <row r="721" s="4" customFormat="1" ht="13.5" customHeight="1" spans="1:12">
      <c r="A721" s="4">
        <v>45194</v>
      </c>
      <c r="B721" s="8">
        <v>0.10239846273639</v>
      </c>
      <c r="C721" s="8">
        <v>0.0546052860732746</v>
      </c>
      <c r="D721" s="8">
        <v>0.000119801480957383</v>
      </c>
      <c r="E721" s="8">
        <v>1.45</v>
      </c>
      <c r="F721" s="9">
        <f t="shared" si="77"/>
        <v>0.141875250918952</v>
      </c>
      <c r="G721" s="9">
        <f t="shared" si="78"/>
        <v>0.117760247007614</v>
      </c>
      <c r="H721" s="9">
        <f t="shared" si="79"/>
        <v>0.110325454741205</v>
      </c>
      <c r="I721" s="3" t="str">
        <f t="shared" si="80"/>
        <v>2023-09-01</v>
      </c>
      <c r="J721" s="9">
        <f t="shared" si="81"/>
        <v>0.142940027236055</v>
      </c>
      <c r="K721" s="9">
        <f t="shared" si="82"/>
        <v>0.117842833776756</v>
      </c>
      <c r="L721" s="9">
        <f t="shared" si="83"/>
        <v>0.108751137888751</v>
      </c>
    </row>
    <row r="722" s="4" customFormat="1" ht="13.5" customHeight="1" spans="1:12">
      <c r="A722" s="4">
        <v>45191</v>
      </c>
      <c r="B722" s="8">
        <v>0.101766343104273</v>
      </c>
      <c r="C722" s="8">
        <v>0.0546389360598623</v>
      </c>
      <c r="D722" s="8">
        <v>-6.60196637336423e-5</v>
      </c>
      <c r="E722" s="8">
        <v>1.53</v>
      </c>
      <c r="F722" s="9">
        <f t="shared" si="77"/>
        <v>0.141864630476574</v>
      </c>
      <c r="G722" s="9">
        <f t="shared" si="78"/>
        <v>0.117832201323512</v>
      </c>
      <c r="H722" s="9">
        <f t="shared" si="79"/>
        <v>0.110103985108661</v>
      </c>
      <c r="I722" s="3" t="str">
        <f t="shared" si="80"/>
        <v>2023-09-01</v>
      </c>
      <c r="J722" s="9">
        <f t="shared" si="81"/>
        <v>0.142940027236055</v>
      </c>
      <c r="K722" s="9">
        <f t="shared" si="82"/>
        <v>0.117842833776756</v>
      </c>
      <c r="L722" s="9">
        <f t="shared" si="83"/>
        <v>0.108751137888751</v>
      </c>
    </row>
    <row r="723" s="4" customFormat="1" ht="13.5" customHeight="1" spans="1:12">
      <c r="A723" s="4">
        <v>45190</v>
      </c>
      <c r="B723" s="8">
        <v>0.100754130502283</v>
      </c>
      <c r="C723" s="8">
        <v>0.0543675063650171</v>
      </c>
      <c r="D723" s="8">
        <v>-9.00184756494069e-5</v>
      </c>
      <c r="E723" s="8">
        <v>1.67</v>
      </c>
      <c r="F723" s="9">
        <f t="shared" si="77"/>
        <v>0.141641230467028</v>
      </c>
      <c r="G723" s="9">
        <f t="shared" si="78"/>
        <v>0.117979325404691</v>
      </c>
      <c r="H723" s="9">
        <f t="shared" si="79"/>
        <v>0.109795957849337</v>
      </c>
      <c r="I723" s="3" t="str">
        <f t="shared" si="80"/>
        <v>2023-09-01</v>
      </c>
      <c r="J723" s="9">
        <f t="shared" si="81"/>
        <v>0.142940027236055</v>
      </c>
      <c r="K723" s="9">
        <f t="shared" si="82"/>
        <v>0.117842833776756</v>
      </c>
      <c r="L723" s="9">
        <f t="shared" si="83"/>
        <v>0.108751137888751</v>
      </c>
    </row>
    <row r="724" s="4" customFormat="1" ht="13.5" customHeight="1" spans="1:12">
      <c r="A724" s="4">
        <v>45189</v>
      </c>
      <c r="B724" s="8">
        <v>0.0992705407045452</v>
      </c>
      <c r="C724" s="8">
        <v>0.0549944183068842</v>
      </c>
      <c r="D724" s="8">
        <v>2.88936601573766e-5</v>
      </c>
      <c r="E724" s="8">
        <v>1.84</v>
      </c>
      <c r="F724" s="9">
        <f t="shared" si="77"/>
        <v>0.14170239375099</v>
      </c>
      <c r="G724" s="9">
        <f t="shared" si="78"/>
        <v>0.118179856813769</v>
      </c>
      <c r="H724" s="9">
        <f t="shared" si="79"/>
        <v>0.10935054006171</v>
      </c>
      <c r="I724" s="3" t="str">
        <f t="shared" si="80"/>
        <v>2023-09-01</v>
      </c>
      <c r="J724" s="9">
        <f t="shared" si="81"/>
        <v>0.142940027236055</v>
      </c>
      <c r="K724" s="9">
        <f t="shared" si="82"/>
        <v>0.117842833776756</v>
      </c>
      <c r="L724" s="9">
        <f t="shared" si="83"/>
        <v>0.108751137888751</v>
      </c>
    </row>
    <row r="725" s="4" customFormat="1" ht="13.5" customHeight="1" spans="1:12">
      <c r="A725" s="4">
        <v>45188</v>
      </c>
      <c r="B725" s="8">
        <v>0.100678218899582</v>
      </c>
      <c r="C725" s="8">
        <v>0.054700278279931</v>
      </c>
      <c r="D725" s="8">
        <v>8.68592535458442e-5</v>
      </c>
      <c r="E725" s="8">
        <v>1.66</v>
      </c>
      <c r="F725" s="9">
        <f t="shared" si="77"/>
        <v>0.141784860195441</v>
      </c>
      <c r="G725" s="9">
        <f t="shared" si="78"/>
        <v>0.117968527782634</v>
      </c>
      <c r="H725" s="9">
        <f t="shared" si="79"/>
        <v>0.109750666855777</v>
      </c>
      <c r="I725" s="3" t="str">
        <f t="shared" si="80"/>
        <v>2023-09-01</v>
      </c>
      <c r="J725" s="9">
        <f t="shared" si="81"/>
        <v>0.142940027236055</v>
      </c>
      <c r="K725" s="9">
        <f t="shared" si="82"/>
        <v>0.117842833776756</v>
      </c>
      <c r="L725" s="9">
        <f t="shared" si="83"/>
        <v>0.108751137888751</v>
      </c>
    </row>
    <row r="726" s="4" customFormat="1" ht="13.5" customHeight="1" spans="1:12">
      <c r="A726" s="4">
        <v>45187</v>
      </c>
      <c r="B726" s="8">
        <v>0.104467615474134</v>
      </c>
      <c r="C726" s="8">
        <v>0.052365178552654</v>
      </c>
      <c r="D726" s="8">
        <v>9.92463898998267e-5</v>
      </c>
      <c r="E726" s="8">
        <v>1.34</v>
      </c>
      <c r="F726" s="9">
        <f t="shared" si="77"/>
        <v>0.141390276303178</v>
      </c>
      <c r="G726" s="9">
        <f t="shared" si="78"/>
        <v>0.118188805756221</v>
      </c>
      <c r="H726" s="9">
        <f t="shared" si="79"/>
        <v>0.111493755298879</v>
      </c>
      <c r="I726" s="3" t="str">
        <f t="shared" si="80"/>
        <v>2023-09-01</v>
      </c>
      <c r="J726" s="9">
        <f t="shared" si="81"/>
        <v>0.142940027236055</v>
      </c>
      <c r="K726" s="9">
        <f t="shared" si="82"/>
        <v>0.117842833776756</v>
      </c>
      <c r="L726" s="9">
        <f t="shared" si="83"/>
        <v>0.108751137888751</v>
      </c>
    </row>
    <row r="727" s="4" customFormat="1" ht="13.5" customHeight="1" spans="1:12">
      <c r="A727" s="4">
        <v>45184</v>
      </c>
      <c r="B727" s="8">
        <v>0.103694134082407</v>
      </c>
      <c r="C727" s="8">
        <v>0.0527966626770257</v>
      </c>
      <c r="D727" s="8">
        <v>7.36479315296859e-5</v>
      </c>
      <c r="E727" s="8">
        <v>1.42</v>
      </c>
      <c r="F727" s="9">
        <f t="shared" si="77"/>
        <v>0.141609192908202</v>
      </c>
      <c r="G727" s="9">
        <f t="shared" si="78"/>
        <v>0.118263184810899</v>
      </c>
      <c r="H727" s="9">
        <f t="shared" si="79"/>
        <v>0.111195091021361</v>
      </c>
      <c r="I727" s="3" t="str">
        <f t="shared" si="80"/>
        <v>2023-09-01</v>
      </c>
      <c r="J727" s="9">
        <f t="shared" si="81"/>
        <v>0.142940027236055</v>
      </c>
      <c r="K727" s="9">
        <f t="shared" si="82"/>
        <v>0.117842833776756</v>
      </c>
      <c r="L727" s="9">
        <f t="shared" si="83"/>
        <v>0.108751137888751</v>
      </c>
    </row>
    <row r="728" s="4" customFormat="1" ht="13.5" customHeight="1" spans="1:12">
      <c r="A728" s="4">
        <v>45183</v>
      </c>
      <c r="B728" s="8">
        <v>0.104971586017503</v>
      </c>
      <c r="C728" s="8">
        <v>0.052032162792162</v>
      </c>
      <c r="D728" s="8">
        <v>-3.60344241200718e-5</v>
      </c>
      <c r="E728" s="8">
        <v>1.29</v>
      </c>
      <c r="F728" s="9">
        <f t="shared" si="77"/>
        <v>0.141167469025673</v>
      </c>
      <c r="G728" s="9">
        <f t="shared" si="78"/>
        <v>0.118109184472578</v>
      </c>
      <c r="H728" s="9">
        <f t="shared" si="79"/>
        <v>0.11167621845647</v>
      </c>
      <c r="I728" s="3" t="str">
        <f t="shared" si="80"/>
        <v>2023-09-01</v>
      </c>
      <c r="J728" s="9">
        <f t="shared" si="81"/>
        <v>0.142940027236055</v>
      </c>
      <c r="K728" s="9">
        <f t="shared" si="82"/>
        <v>0.117842833776756</v>
      </c>
      <c r="L728" s="9">
        <f t="shared" si="83"/>
        <v>0.108751137888751</v>
      </c>
    </row>
    <row r="729" s="4" customFormat="1" ht="13.5" customHeight="1" spans="1:12">
      <c r="A729" s="4">
        <v>45182</v>
      </c>
      <c r="B729" s="8">
        <v>0.0963061552718273</v>
      </c>
      <c r="C729" s="8">
        <v>0.0576159270004292</v>
      </c>
      <c r="D729" s="8">
        <v>0.00294753424408462</v>
      </c>
      <c r="E729" s="8">
        <v>2</v>
      </c>
      <c r="F729" s="9">
        <f t="shared" si="77"/>
        <v>0.142178115665034</v>
      </c>
      <c r="G729" s="9">
        <f t="shared" si="78"/>
        <v>0.118301050772097</v>
      </c>
      <c r="H729" s="9">
        <f t="shared" si="79"/>
        <v>0.108317372512826</v>
      </c>
      <c r="I729" s="3" t="str">
        <f t="shared" si="80"/>
        <v>2023-09-01</v>
      </c>
      <c r="J729" s="9">
        <f t="shared" si="81"/>
        <v>0.142940027236055</v>
      </c>
      <c r="K729" s="9">
        <f t="shared" si="82"/>
        <v>0.117842833776756</v>
      </c>
      <c r="L729" s="9">
        <f t="shared" si="83"/>
        <v>0.108751137888751</v>
      </c>
    </row>
    <row r="730" s="4" customFormat="1" ht="13.5" customHeight="1" spans="1:12">
      <c r="A730" s="4">
        <v>45181</v>
      </c>
      <c r="B730" s="8">
        <v>0.0955020000270839</v>
      </c>
      <c r="C730" s="8">
        <v>0.0593627105338314</v>
      </c>
      <c r="D730" s="8">
        <v>0.00384921500457579</v>
      </c>
      <c r="E730" s="8">
        <v>2</v>
      </c>
      <c r="F730" s="9">
        <f t="shared" si="77"/>
        <v>0.142911242390765</v>
      </c>
      <c r="G730" s="9">
        <f t="shared" si="78"/>
        <v>0.118395307105759</v>
      </c>
      <c r="H730" s="9">
        <f t="shared" si="79"/>
        <v>0.108033265607279</v>
      </c>
      <c r="I730" s="3" t="str">
        <f t="shared" si="80"/>
        <v>2023-09-01</v>
      </c>
      <c r="J730" s="9">
        <f t="shared" si="81"/>
        <v>0.142940027236055</v>
      </c>
      <c r="K730" s="9">
        <f t="shared" si="82"/>
        <v>0.117842833776756</v>
      </c>
      <c r="L730" s="9">
        <f t="shared" si="83"/>
        <v>0.108751137888751</v>
      </c>
    </row>
    <row r="731" s="4" customFormat="1" ht="13.5" customHeight="1" spans="1:12">
      <c r="A731" s="4">
        <v>45180</v>
      </c>
      <c r="B731" s="8">
        <v>0.0971722547154958</v>
      </c>
      <c r="C731" s="8">
        <v>0.0600024196565028</v>
      </c>
      <c r="D731" s="8">
        <v>-0.000116291041510927</v>
      </c>
      <c r="E731" s="8">
        <v>1.79</v>
      </c>
      <c r="F731" s="9">
        <f t="shared" si="77"/>
        <v>0.143121363455375</v>
      </c>
      <c r="G731" s="9">
        <f t="shared" si="78"/>
        <v>0.117306117435473</v>
      </c>
      <c r="H731" s="9">
        <f t="shared" si="79"/>
        <v>0.107852132826967</v>
      </c>
      <c r="I731" s="3" t="str">
        <f t="shared" si="80"/>
        <v>2023-09-01</v>
      </c>
      <c r="J731" s="9">
        <f t="shared" si="81"/>
        <v>0.142940027236055</v>
      </c>
      <c r="K731" s="9">
        <f t="shared" si="82"/>
        <v>0.117842833776756</v>
      </c>
      <c r="L731" s="9">
        <f t="shared" si="83"/>
        <v>0.108751137888751</v>
      </c>
    </row>
    <row r="732" s="4" customFormat="1" ht="13.5" customHeight="1" spans="1:12">
      <c r="A732" s="4">
        <v>45177</v>
      </c>
      <c r="B732" s="8">
        <v>0.0986390394295504</v>
      </c>
      <c r="C732" s="8">
        <v>0.0600726517252704</v>
      </c>
      <c r="D732" s="8">
        <v>-0.000102117651131115</v>
      </c>
      <c r="E732" s="8">
        <v>1.68</v>
      </c>
      <c r="F732" s="9">
        <f t="shared" si="77"/>
        <v>0.143888874191838</v>
      </c>
      <c r="G732" s="9">
        <f t="shared" si="78"/>
        <v>0.117766958456799</v>
      </c>
      <c r="H732" s="9">
        <f t="shared" si="79"/>
        <v>0.108688163085801</v>
      </c>
      <c r="I732" s="3" t="str">
        <f t="shared" si="80"/>
        <v>2023-09-01</v>
      </c>
      <c r="J732" s="9">
        <f t="shared" si="81"/>
        <v>0.142940027236055</v>
      </c>
      <c r="K732" s="9">
        <f t="shared" si="82"/>
        <v>0.117842833776756</v>
      </c>
      <c r="L732" s="9">
        <f t="shared" si="83"/>
        <v>0.108751137888751</v>
      </c>
    </row>
    <row r="733" s="4" customFormat="1" ht="13.5" customHeight="1" spans="1:12">
      <c r="A733" s="4">
        <v>45176</v>
      </c>
      <c r="B733" s="8">
        <v>0.0918313495469433</v>
      </c>
      <c r="C733" s="8">
        <v>0.067306871791354</v>
      </c>
      <c r="D733" s="8">
        <v>0.00221352790029075</v>
      </c>
      <c r="E733" s="8">
        <v>2</v>
      </c>
      <c r="F733" s="9">
        <f t="shared" si="77"/>
        <v>0.145197068615659</v>
      </c>
      <c r="G733" s="9">
        <f t="shared" si="78"/>
        <v>0.117175179223743</v>
      </c>
      <c r="H733" s="9">
        <f t="shared" si="79"/>
        <v>0.105626829897904</v>
      </c>
      <c r="I733" s="3" t="str">
        <f t="shared" si="80"/>
        <v>2023-09-01</v>
      </c>
      <c r="J733" s="9">
        <f t="shared" si="81"/>
        <v>0.142940027236055</v>
      </c>
      <c r="K733" s="9">
        <f t="shared" si="82"/>
        <v>0.117842833776756</v>
      </c>
      <c r="L733" s="9">
        <f t="shared" si="83"/>
        <v>0.108751137888751</v>
      </c>
    </row>
    <row r="734" s="4" customFormat="1" ht="13.5" customHeight="1" spans="1:12">
      <c r="A734" s="4">
        <v>45175</v>
      </c>
      <c r="B734" s="8">
        <v>0.0886907700162115</v>
      </c>
      <c r="C734" s="8">
        <v>0.0700209211386093</v>
      </c>
      <c r="D734" s="8">
        <v>0.00754179111715379</v>
      </c>
      <c r="E734" s="8">
        <v>2</v>
      </c>
      <c r="F734" s="9">
        <f t="shared" si="77"/>
        <v>0.145153540918857</v>
      </c>
      <c r="G734" s="9">
        <f t="shared" si="78"/>
        <v>0.116550092953531</v>
      </c>
      <c r="H734" s="9">
        <f t="shared" si="79"/>
        <v>0.104047973589682</v>
      </c>
      <c r="I734" s="3" t="str">
        <f t="shared" si="80"/>
        <v>2023-09-01</v>
      </c>
      <c r="J734" s="9">
        <f t="shared" si="81"/>
        <v>0.142940027236055</v>
      </c>
      <c r="K734" s="9">
        <f t="shared" si="82"/>
        <v>0.117842833776756</v>
      </c>
      <c r="L734" s="9">
        <f t="shared" si="83"/>
        <v>0.108751137888751</v>
      </c>
    </row>
    <row r="735" s="4" customFormat="1" ht="13.5" customHeight="1" spans="1:12">
      <c r="A735" s="4">
        <v>45174</v>
      </c>
      <c r="B735" s="8">
        <v>0.086576505518591</v>
      </c>
      <c r="C735" s="8">
        <v>0.0713669725473636</v>
      </c>
      <c r="D735" s="8">
        <v>0.0168889914976402</v>
      </c>
      <c r="E735" s="8">
        <v>2</v>
      </c>
      <c r="F735" s="9">
        <f t="shared" si="77"/>
        <v>0.145784846262073</v>
      </c>
      <c r="G735" s="9">
        <f t="shared" si="78"/>
        <v>0.117594762017876</v>
      </c>
      <c r="H735" s="9">
        <f t="shared" si="79"/>
        <v>0.103994968396395</v>
      </c>
      <c r="I735" s="3" t="str">
        <f t="shared" si="80"/>
        <v>2023-09-01</v>
      </c>
      <c r="J735" s="9">
        <f t="shared" si="81"/>
        <v>0.142940027236055</v>
      </c>
      <c r="K735" s="9">
        <f t="shared" si="82"/>
        <v>0.117842833776756</v>
      </c>
      <c r="L735" s="9">
        <f t="shared" si="83"/>
        <v>0.108751137888751</v>
      </c>
    </row>
    <row r="736" s="4" customFormat="1" ht="13.5" customHeight="1" spans="1:12">
      <c r="A736" s="4">
        <v>45173</v>
      </c>
      <c r="B736" s="8">
        <v>0.0880030073268424</v>
      </c>
      <c r="C736" s="8">
        <v>0.070964623768803</v>
      </c>
      <c r="D736" s="8">
        <v>0.0113065260016272</v>
      </c>
      <c r="E736" s="8">
        <v>2</v>
      </c>
      <c r="F736" s="9">
        <f t="shared" si="77"/>
        <v>0.145887602701726</v>
      </c>
      <c r="G736" s="9">
        <f t="shared" si="78"/>
        <v>0.117282080177453</v>
      </c>
      <c r="H736" s="9">
        <f t="shared" si="79"/>
        <v>0.104270186778644</v>
      </c>
      <c r="I736" s="3" t="str">
        <f t="shared" si="80"/>
        <v>2023-09-01</v>
      </c>
      <c r="J736" s="9">
        <f t="shared" si="81"/>
        <v>0.142940027236055</v>
      </c>
      <c r="K736" s="9">
        <f t="shared" si="82"/>
        <v>0.117842833776756</v>
      </c>
      <c r="L736" s="9">
        <f t="shared" si="83"/>
        <v>0.108751137888751</v>
      </c>
    </row>
    <row r="737" s="4" customFormat="1" ht="13.5" customHeight="1" spans="1:12">
      <c r="A737" s="4">
        <v>45170</v>
      </c>
      <c r="B737" s="8">
        <v>0.0896618315294422</v>
      </c>
      <c r="C737" s="8">
        <v>0.0690498596253786</v>
      </c>
      <c r="D737" s="8">
        <v>0.00692394831319092</v>
      </c>
      <c r="E737" s="8">
        <v>2</v>
      </c>
      <c r="F737" s="9">
        <f t="shared" si="77"/>
        <v>0.145248972768642</v>
      </c>
      <c r="G737" s="9">
        <f t="shared" si="78"/>
        <v>0.116988478449074</v>
      </c>
      <c r="H737" s="9">
        <f t="shared" si="79"/>
        <v>0.104707558422156</v>
      </c>
      <c r="I737" s="3" t="str">
        <f t="shared" si="80"/>
        <v>2023-09-01</v>
      </c>
      <c r="J737" s="9">
        <f t="shared" si="81"/>
        <v>0.142940027236055</v>
      </c>
      <c r="K737" s="9">
        <f t="shared" si="82"/>
        <v>0.117842833776756</v>
      </c>
      <c r="L737" s="9">
        <f t="shared" si="83"/>
        <v>0.108751137888751</v>
      </c>
    </row>
    <row r="738" s="4" customFormat="1" ht="13.5" customHeight="1" spans="1:12">
      <c r="A738" s="4">
        <v>45169</v>
      </c>
      <c r="B738" s="8">
        <v>0.089018397703453</v>
      </c>
      <c r="C738" s="8">
        <v>0.069095845390239</v>
      </c>
      <c r="D738" s="8">
        <v>0.0109716878993198</v>
      </c>
      <c r="E738" s="8">
        <v>2</v>
      </c>
      <c r="F738" s="9">
        <f t="shared" si="77"/>
        <v>0.145371971607476</v>
      </c>
      <c r="G738" s="9">
        <f t="shared" si="78"/>
        <v>0.117515862689202</v>
      </c>
      <c r="H738" s="9">
        <f t="shared" si="79"/>
        <v>0.104850079550678</v>
      </c>
      <c r="I738" s="3" t="str">
        <f t="shared" si="80"/>
        <v>2023-08-01</v>
      </c>
      <c r="J738" s="9">
        <f t="shared" si="81"/>
        <v>0.144127250920659</v>
      </c>
      <c r="K738" s="9">
        <f t="shared" si="82"/>
        <v>0.117769602694548</v>
      </c>
      <c r="L738" s="9">
        <f t="shared" si="83"/>
        <v>0.107152415346607</v>
      </c>
    </row>
    <row r="739" s="4" customFormat="1" ht="13.5" customHeight="1" spans="1:12">
      <c r="A739" s="4">
        <v>45167</v>
      </c>
      <c r="B739" s="8">
        <v>0.0881126298093353</v>
      </c>
      <c r="C739" s="8">
        <v>0.0700869848642096</v>
      </c>
      <c r="D739" s="8">
        <v>0.0153730160844939</v>
      </c>
      <c r="E739" s="8">
        <v>2</v>
      </c>
      <c r="F739" s="9">
        <f t="shared" si="77"/>
        <v>0.146040204610322</v>
      </c>
      <c r="G739" s="9">
        <f t="shared" si="78"/>
        <v>0.118228742560567</v>
      </c>
      <c r="H739" s="9">
        <f t="shared" si="79"/>
        <v>0.104985882440096</v>
      </c>
      <c r="I739" s="3" t="str">
        <f t="shared" si="80"/>
        <v>2023-08-01</v>
      </c>
      <c r="J739" s="9">
        <f t="shared" si="81"/>
        <v>0.144127250920659</v>
      </c>
      <c r="K739" s="9">
        <f t="shared" si="82"/>
        <v>0.117769602694548</v>
      </c>
      <c r="L739" s="9">
        <f t="shared" si="83"/>
        <v>0.107152415346607</v>
      </c>
    </row>
    <row r="740" s="4" customFormat="1" ht="13.5" customHeight="1" spans="1:12">
      <c r="A740" s="4">
        <v>45166</v>
      </c>
      <c r="B740" s="8">
        <v>0.0939208404911264</v>
      </c>
      <c r="C740" s="8">
        <v>0.064449495480315</v>
      </c>
      <c r="D740" s="8">
        <v>0.00521342495331325</v>
      </c>
      <c r="E740" s="8">
        <v>2</v>
      </c>
      <c r="F740" s="9">
        <f t="shared" si="77"/>
        <v>0.145579185105853</v>
      </c>
      <c r="G740" s="9">
        <f t="shared" si="78"/>
        <v>0.119070752393287</v>
      </c>
      <c r="H740" s="9">
        <f t="shared" si="79"/>
        <v>0.107724419783696</v>
      </c>
      <c r="I740" s="3" t="str">
        <f t="shared" si="80"/>
        <v>2023-08-01</v>
      </c>
      <c r="J740" s="9">
        <f t="shared" si="81"/>
        <v>0.144127250920659</v>
      </c>
      <c r="K740" s="9">
        <f t="shared" si="82"/>
        <v>0.117769602694548</v>
      </c>
      <c r="L740" s="9">
        <f t="shared" si="83"/>
        <v>0.107152415346607</v>
      </c>
    </row>
    <row r="741" s="4" customFormat="1" ht="13.5" customHeight="1" spans="1:12">
      <c r="A741" s="4">
        <v>45163</v>
      </c>
      <c r="B741" s="8">
        <v>0.0907141025313732</v>
      </c>
      <c r="C741" s="8">
        <v>0.0685946799535087</v>
      </c>
      <c r="D741" s="8">
        <v>0.00656821442681548</v>
      </c>
      <c r="E741" s="8">
        <v>2</v>
      </c>
      <c r="F741" s="9">
        <f t="shared" si="77"/>
        <v>0.145878868033773</v>
      </c>
      <c r="G741" s="9">
        <f t="shared" si="78"/>
        <v>0.117772209978605</v>
      </c>
      <c r="H741" s="9">
        <f t="shared" si="79"/>
        <v>0.105601136407025</v>
      </c>
      <c r="I741" s="3" t="str">
        <f t="shared" si="80"/>
        <v>2023-08-01</v>
      </c>
      <c r="J741" s="9">
        <f t="shared" si="81"/>
        <v>0.144127250920659</v>
      </c>
      <c r="K741" s="9">
        <f t="shared" si="82"/>
        <v>0.117769602694548</v>
      </c>
      <c r="L741" s="9">
        <f t="shared" si="83"/>
        <v>0.107152415346607</v>
      </c>
    </row>
    <row r="742" s="4" customFormat="1" ht="13.5" customHeight="1" spans="1:12">
      <c r="A742" s="4">
        <v>45162</v>
      </c>
      <c r="B742" s="8">
        <v>0.0946626740475458</v>
      </c>
      <c r="C742" s="8">
        <v>0.0638783540810053</v>
      </c>
      <c r="D742" s="8">
        <v>0.00270969055552075</v>
      </c>
      <c r="E742" s="8">
        <v>2</v>
      </c>
      <c r="F742" s="9">
        <f t="shared" si="77"/>
        <v>0.145419871635608</v>
      </c>
      <c r="G742" s="9">
        <f t="shared" si="78"/>
        <v>0.118889115135692</v>
      </c>
      <c r="H742" s="9">
        <f t="shared" si="79"/>
        <v>0.107872291880397</v>
      </c>
      <c r="I742" s="3" t="str">
        <f t="shared" si="80"/>
        <v>2023-08-01</v>
      </c>
      <c r="J742" s="9">
        <f t="shared" si="81"/>
        <v>0.144127250920659</v>
      </c>
      <c r="K742" s="9">
        <f t="shared" si="82"/>
        <v>0.117769602694548</v>
      </c>
      <c r="L742" s="9">
        <f t="shared" si="83"/>
        <v>0.107152415346607</v>
      </c>
    </row>
    <row r="743" s="4" customFormat="1" ht="13.5" customHeight="1" spans="1:12">
      <c r="A743" s="4">
        <v>45161</v>
      </c>
      <c r="B743" s="8">
        <v>0.0990292554559872</v>
      </c>
      <c r="C743" s="8">
        <v>0.0613022834463521</v>
      </c>
      <c r="D743" s="8">
        <v>7.98068226888979e-5</v>
      </c>
      <c r="E743" s="8">
        <v>1.59</v>
      </c>
      <c r="F743" s="9">
        <f t="shared" si="77"/>
        <v>0.14454898278805</v>
      </c>
      <c r="G743" s="9">
        <f t="shared" si="78"/>
        <v>0.117704386072009</v>
      </c>
      <c r="H743" s="9">
        <f t="shared" si="79"/>
        <v>0.108770745158343</v>
      </c>
      <c r="I743" s="3" t="str">
        <f t="shared" si="80"/>
        <v>2023-08-01</v>
      </c>
      <c r="J743" s="9">
        <f t="shared" si="81"/>
        <v>0.144127250920659</v>
      </c>
      <c r="K743" s="9">
        <f t="shared" si="82"/>
        <v>0.117769602694548</v>
      </c>
      <c r="L743" s="9">
        <f t="shared" si="83"/>
        <v>0.107152415346607</v>
      </c>
    </row>
    <row r="744" s="4" customFormat="1" ht="13.5" customHeight="1" spans="1:12">
      <c r="A744" s="4">
        <v>45160</v>
      </c>
      <c r="B744" s="8">
        <v>0.0981821716917308</v>
      </c>
      <c r="C744" s="8">
        <v>0.0609560496465665</v>
      </c>
      <c r="D744" s="8">
        <v>-4.65621689139419e-5</v>
      </c>
      <c r="E744" s="8">
        <v>1.74</v>
      </c>
      <c r="F744" s="9">
        <f t="shared" si="77"/>
        <v>0.144536875318231</v>
      </c>
      <c r="G744" s="9">
        <f t="shared" si="78"/>
        <v>0.118183759801107</v>
      </c>
      <c r="H744" s="9">
        <f t="shared" si="79"/>
        <v>0.10874674215712</v>
      </c>
      <c r="I744" s="3" t="str">
        <f t="shared" si="80"/>
        <v>2023-08-01</v>
      </c>
      <c r="J744" s="9">
        <f t="shared" si="81"/>
        <v>0.144127250920659</v>
      </c>
      <c r="K744" s="9">
        <f t="shared" si="82"/>
        <v>0.117769602694548</v>
      </c>
      <c r="L744" s="9">
        <f t="shared" si="83"/>
        <v>0.107152415346607</v>
      </c>
    </row>
    <row r="745" s="4" customFormat="1" ht="13.5" customHeight="1" spans="1:12">
      <c r="A745" s="4">
        <v>45159</v>
      </c>
      <c r="B745" s="8">
        <v>0.0965612722491817</v>
      </c>
      <c r="C745" s="8">
        <v>0.0611260035864121</v>
      </c>
      <c r="D745" s="8">
        <v>-6.30630852815557e-5</v>
      </c>
      <c r="E745" s="8">
        <v>1.94</v>
      </c>
      <c r="F745" s="9">
        <f t="shared" si="77"/>
        <v>0.144312690667617</v>
      </c>
      <c r="G745" s="9">
        <f t="shared" si="78"/>
        <v>0.118458396416301</v>
      </c>
      <c r="H745" s="9">
        <f t="shared" si="79"/>
        <v>0.108339463750775</v>
      </c>
      <c r="I745" s="3" t="str">
        <f t="shared" si="80"/>
        <v>2023-08-01</v>
      </c>
      <c r="J745" s="9">
        <f t="shared" si="81"/>
        <v>0.144127250920659</v>
      </c>
      <c r="K745" s="9">
        <f t="shared" si="82"/>
        <v>0.117769602694548</v>
      </c>
      <c r="L745" s="9">
        <f t="shared" si="83"/>
        <v>0.107152415346607</v>
      </c>
    </row>
    <row r="746" s="4" customFormat="1" ht="13.5" customHeight="1" spans="1:12">
      <c r="A746" s="4">
        <v>45156</v>
      </c>
      <c r="B746" s="8">
        <v>0.100784100915749</v>
      </c>
      <c r="C746" s="8">
        <v>0.0564760252828346</v>
      </c>
      <c r="D746" s="8">
        <v>-3.43735306975936e-5</v>
      </c>
      <c r="E746" s="8">
        <v>1.66</v>
      </c>
      <c r="F746" s="9">
        <f t="shared" si="77"/>
        <v>0.143199929693835</v>
      </c>
      <c r="G746" s="9">
        <f t="shared" si="78"/>
        <v>0.118602651603594</v>
      </c>
      <c r="H746" s="9">
        <f t="shared" si="79"/>
        <v>0.110130827004463</v>
      </c>
      <c r="I746" s="3" t="str">
        <f t="shared" si="80"/>
        <v>2023-08-01</v>
      </c>
      <c r="J746" s="9">
        <f t="shared" si="81"/>
        <v>0.144127250920659</v>
      </c>
      <c r="K746" s="9">
        <f t="shared" si="82"/>
        <v>0.117769602694548</v>
      </c>
      <c r="L746" s="9">
        <f t="shared" si="83"/>
        <v>0.107152415346607</v>
      </c>
    </row>
    <row r="747" s="4" customFormat="1" ht="13.5" customHeight="1" spans="1:12">
      <c r="A747" s="4">
        <v>45155</v>
      </c>
      <c r="B747" s="8">
        <v>0.105111863307442</v>
      </c>
      <c r="C747" s="8">
        <v>0.0523191446413861</v>
      </c>
      <c r="D747" s="8">
        <v>-3.71513037643284e-5</v>
      </c>
      <c r="E747" s="8">
        <v>1.38</v>
      </c>
      <c r="F747" s="9">
        <f t="shared" si="77"/>
        <v>0.142322744537628</v>
      </c>
      <c r="G747" s="9">
        <f t="shared" si="78"/>
        <v>0.11915744609866</v>
      </c>
      <c r="H747" s="9">
        <f t="shared" si="79"/>
        <v>0.112321662421459</v>
      </c>
      <c r="I747" s="3" t="str">
        <f t="shared" si="80"/>
        <v>2023-08-01</v>
      </c>
      <c r="J747" s="9">
        <f t="shared" si="81"/>
        <v>0.144127250920659</v>
      </c>
      <c r="K747" s="9">
        <f t="shared" si="82"/>
        <v>0.117769602694548</v>
      </c>
      <c r="L747" s="9">
        <f t="shared" si="83"/>
        <v>0.107152415346607</v>
      </c>
    </row>
    <row r="748" s="4" customFormat="1" ht="13.5" customHeight="1" spans="1:12">
      <c r="A748" s="4">
        <v>45154</v>
      </c>
      <c r="B748" s="8">
        <v>0.0914856169304995</v>
      </c>
      <c r="C748" s="8">
        <v>0.0658599537932779</v>
      </c>
      <c r="D748" s="8">
        <v>0.00367456678412291</v>
      </c>
      <c r="E748" s="8">
        <v>2</v>
      </c>
      <c r="F748" s="9">
        <f t="shared" si="77"/>
        <v>0.143976283392344</v>
      </c>
      <c r="G748" s="9">
        <f t="shared" si="78"/>
        <v>0.116714701941678</v>
      </c>
      <c r="H748" s="9">
        <f t="shared" si="79"/>
        <v>0.105274058026892</v>
      </c>
      <c r="I748" s="3" t="str">
        <f t="shared" si="80"/>
        <v>2023-08-01</v>
      </c>
      <c r="J748" s="9">
        <f t="shared" si="81"/>
        <v>0.144127250920659</v>
      </c>
      <c r="K748" s="9">
        <f t="shared" si="82"/>
        <v>0.117769602694548</v>
      </c>
      <c r="L748" s="9">
        <f t="shared" si="83"/>
        <v>0.107152415346607</v>
      </c>
    </row>
    <row r="749" s="4" customFormat="1" ht="13.5" customHeight="1" spans="1:12">
      <c r="A749" s="4">
        <v>45153</v>
      </c>
      <c r="B749" s="8">
        <v>0.090881824518994</v>
      </c>
      <c r="C749" s="8">
        <v>0.0668054513165997</v>
      </c>
      <c r="D749" s="8">
        <v>0.00450155346004016</v>
      </c>
      <c r="E749" s="8">
        <v>2</v>
      </c>
      <c r="F749" s="9">
        <f t="shared" si="77"/>
        <v>0.144265734583809</v>
      </c>
      <c r="G749" s="9">
        <f t="shared" si="78"/>
        <v>0.116693822264491</v>
      </c>
      <c r="H749" s="9">
        <f t="shared" si="79"/>
        <v>0.105016801681925</v>
      </c>
      <c r="I749" s="3" t="str">
        <f t="shared" si="80"/>
        <v>2023-08-01</v>
      </c>
      <c r="J749" s="9">
        <f t="shared" si="81"/>
        <v>0.144127250920659</v>
      </c>
      <c r="K749" s="9">
        <f t="shared" si="82"/>
        <v>0.117769602694548</v>
      </c>
      <c r="L749" s="9">
        <f t="shared" si="83"/>
        <v>0.107152415346607</v>
      </c>
    </row>
    <row r="750" s="4" customFormat="1" ht="13.5" customHeight="1" spans="1:12">
      <c r="A750" s="4">
        <v>45152</v>
      </c>
      <c r="B750" s="8">
        <v>0.0950441039331282</v>
      </c>
      <c r="C750" s="8">
        <v>0.0648614135764943</v>
      </c>
      <c r="D750" s="8">
        <v>-4.91653337971739e-5</v>
      </c>
      <c r="E750" s="8">
        <v>1.77</v>
      </c>
      <c r="F750" s="9">
        <f t="shared" si="77"/>
        <v>0.14458692877391</v>
      </c>
      <c r="G750" s="9">
        <f t="shared" si="78"/>
        <v>0.116629613647056</v>
      </c>
      <c r="H750" s="9">
        <f t="shared" si="79"/>
        <v>0.10647568132415</v>
      </c>
      <c r="I750" s="3" t="str">
        <f t="shared" si="80"/>
        <v>2023-08-01</v>
      </c>
      <c r="J750" s="9">
        <f t="shared" si="81"/>
        <v>0.144127250920659</v>
      </c>
      <c r="K750" s="9">
        <f t="shared" si="82"/>
        <v>0.117769602694548</v>
      </c>
      <c r="L750" s="9">
        <f t="shared" si="83"/>
        <v>0.107152415346607</v>
      </c>
    </row>
    <row r="751" s="4" customFormat="1" ht="13.5" customHeight="1" spans="1:12">
      <c r="A751" s="4">
        <v>45149</v>
      </c>
      <c r="B751" s="8">
        <v>0.0957478947894722</v>
      </c>
      <c r="C751" s="8">
        <v>0.0626224411819691</v>
      </c>
      <c r="D751" s="8">
        <v>-0.000115156907728732</v>
      </c>
      <c r="E751" s="8">
        <v>1.8</v>
      </c>
      <c r="F751" s="9">
        <f t="shared" si="77"/>
        <v>0.143772295440801</v>
      </c>
      <c r="G751" s="9">
        <f t="shared" si="78"/>
        <v>0.116858542346034</v>
      </c>
      <c r="H751" s="9">
        <f t="shared" si="79"/>
        <v>0.106956154475799</v>
      </c>
      <c r="I751" s="3" t="str">
        <f t="shared" si="80"/>
        <v>2023-08-01</v>
      </c>
      <c r="J751" s="9">
        <f t="shared" si="81"/>
        <v>0.144127250920659</v>
      </c>
      <c r="K751" s="9">
        <f t="shared" si="82"/>
        <v>0.117769602694548</v>
      </c>
      <c r="L751" s="9">
        <f t="shared" si="83"/>
        <v>0.107152415346607</v>
      </c>
    </row>
    <row r="752" s="4" customFormat="1" ht="13.5" customHeight="1" spans="1:12">
      <c r="A752" s="4">
        <v>45148</v>
      </c>
      <c r="B752" s="8">
        <v>0.0932206319127986</v>
      </c>
      <c r="C752" s="8">
        <v>0.0637831168968661</v>
      </c>
      <c r="D752" s="8">
        <v>-0.000125998764392921</v>
      </c>
      <c r="E752" s="8">
        <v>1.96</v>
      </c>
      <c r="F752" s="9">
        <f t="shared" si="77"/>
        <v>0.143156915203859</v>
      </c>
      <c r="G752" s="9">
        <f t="shared" si="78"/>
        <v>0.116237619643861</v>
      </c>
      <c r="H752" s="9">
        <f t="shared" si="79"/>
        <v>0.105622280907399</v>
      </c>
      <c r="I752" s="3" t="str">
        <f t="shared" si="80"/>
        <v>2023-08-01</v>
      </c>
      <c r="J752" s="9">
        <f t="shared" si="81"/>
        <v>0.144127250920659</v>
      </c>
      <c r="K752" s="9">
        <f t="shared" si="82"/>
        <v>0.117769602694548</v>
      </c>
      <c r="L752" s="9">
        <f t="shared" si="83"/>
        <v>0.107152415346607</v>
      </c>
    </row>
    <row r="753" s="4" customFormat="1" ht="13.5" customHeight="1" spans="1:12">
      <c r="A753" s="4">
        <v>45147</v>
      </c>
      <c r="B753" s="8">
        <v>0.0933426325312586</v>
      </c>
      <c r="C753" s="8">
        <v>0.0616077274665641</v>
      </c>
      <c r="D753" s="8">
        <v>0.00486025865791832</v>
      </c>
      <c r="E753" s="8">
        <v>2</v>
      </c>
      <c r="F753" s="9">
        <f t="shared" si="77"/>
        <v>0.142700965942357</v>
      </c>
      <c r="G753" s="9">
        <f t="shared" si="78"/>
        <v>0.11734846283598</v>
      </c>
      <c r="H753" s="9">
        <f t="shared" si="79"/>
        <v>0.106513910037388</v>
      </c>
      <c r="I753" s="3" t="str">
        <f t="shared" si="80"/>
        <v>2023-08-01</v>
      </c>
      <c r="J753" s="9">
        <f t="shared" si="81"/>
        <v>0.144127250920659</v>
      </c>
      <c r="K753" s="9">
        <f t="shared" si="82"/>
        <v>0.117769602694548</v>
      </c>
      <c r="L753" s="9">
        <f t="shared" si="83"/>
        <v>0.107152415346607</v>
      </c>
    </row>
    <row r="754" s="4" customFormat="1" ht="13.5" customHeight="1" spans="1:12">
      <c r="A754" s="4">
        <v>45146</v>
      </c>
      <c r="B754" s="8">
        <v>0.0924123945194736</v>
      </c>
      <c r="C754" s="8">
        <v>0.0621096449166974</v>
      </c>
      <c r="D754" s="8">
        <v>0.00871753164665233</v>
      </c>
      <c r="E754" s="8">
        <v>2</v>
      </c>
      <c r="F754" s="9">
        <f t="shared" si="77"/>
        <v>0.14286158917236</v>
      </c>
      <c r="G754" s="9">
        <f t="shared" si="78"/>
        <v>0.117702147095299</v>
      </c>
      <c r="H754" s="9">
        <f t="shared" si="79"/>
        <v>0.10642364561359</v>
      </c>
      <c r="I754" s="3" t="str">
        <f t="shared" si="80"/>
        <v>2023-08-01</v>
      </c>
      <c r="J754" s="9">
        <f t="shared" si="81"/>
        <v>0.144127250920659</v>
      </c>
      <c r="K754" s="9">
        <f t="shared" si="82"/>
        <v>0.117769602694548</v>
      </c>
      <c r="L754" s="9">
        <f t="shared" si="83"/>
        <v>0.107152415346607</v>
      </c>
    </row>
    <row r="755" s="4" customFormat="1" ht="13.5" customHeight="1" spans="1:12">
      <c r="A755" s="4">
        <v>45145</v>
      </c>
      <c r="B755" s="8">
        <v>0.09437054922816</v>
      </c>
      <c r="C755" s="8">
        <v>0.0620347299359757</v>
      </c>
      <c r="D755" s="8">
        <v>0.00285960984483204</v>
      </c>
      <c r="E755" s="8">
        <v>2</v>
      </c>
      <c r="F755" s="9">
        <f t="shared" si="77"/>
        <v>0.143703974306331</v>
      </c>
      <c r="G755" s="9">
        <f t="shared" si="78"/>
        <v>0.117962813353663</v>
      </c>
      <c r="H755" s="9">
        <f t="shared" si="79"/>
        <v>0.107242698360352</v>
      </c>
      <c r="I755" s="3" t="str">
        <f t="shared" si="80"/>
        <v>2023-08-01</v>
      </c>
      <c r="J755" s="9">
        <f t="shared" si="81"/>
        <v>0.144127250920659</v>
      </c>
      <c r="K755" s="9">
        <f t="shared" si="82"/>
        <v>0.117769602694548</v>
      </c>
      <c r="L755" s="9">
        <f t="shared" si="83"/>
        <v>0.107152415346607</v>
      </c>
    </row>
    <row r="756" s="4" customFormat="1" ht="13.5" customHeight="1" spans="1:12">
      <c r="A756" s="4">
        <v>45142</v>
      </c>
      <c r="B756" s="8">
        <v>0.0953942426414373</v>
      </c>
      <c r="C756" s="8">
        <v>0.0615240324299815</v>
      </c>
      <c r="D756" s="8">
        <v>1.12702393554934e-5</v>
      </c>
      <c r="E756" s="8">
        <v>2</v>
      </c>
      <c r="F756" s="9">
        <f t="shared" si="77"/>
        <v>0.143811916787101</v>
      </c>
      <c r="G756" s="9">
        <f t="shared" si="78"/>
        <v>0.117986988497617</v>
      </c>
      <c r="H756" s="9">
        <f t="shared" si="79"/>
        <v>0.107618302915438</v>
      </c>
      <c r="I756" s="3" t="str">
        <f t="shared" si="80"/>
        <v>2023-08-01</v>
      </c>
      <c r="J756" s="9">
        <f t="shared" si="81"/>
        <v>0.144127250920659</v>
      </c>
      <c r="K756" s="9">
        <f t="shared" si="82"/>
        <v>0.117769602694548</v>
      </c>
      <c r="L756" s="9">
        <f t="shared" si="83"/>
        <v>0.107152415346607</v>
      </c>
    </row>
    <row r="757" s="4" customFormat="1" ht="13.5" customHeight="1" spans="1:12">
      <c r="A757" s="4">
        <v>45141</v>
      </c>
      <c r="B757" s="8">
        <v>0.0956978847001004</v>
      </c>
      <c r="C757" s="8">
        <v>0.0607073944640354</v>
      </c>
      <c r="D757" s="8">
        <v>0.000378678596533333</v>
      </c>
      <c r="E757" s="8">
        <v>2</v>
      </c>
      <c r="F757" s="9">
        <f t="shared" si="77"/>
        <v>0.143539198256902</v>
      </c>
      <c r="G757" s="9">
        <f t="shared" si="78"/>
        <v>0.118095530003006</v>
      </c>
      <c r="H757" s="9">
        <f t="shared" si="79"/>
        <v>0.107830228851368</v>
      </c>
      <c r="I757" s="3" t="str">
        <f t="shared" si="80"/>
        <v>2023-08-01</v>
      </c>
      <c r="J757" s="9">
        <f t="shared" si="81"/>
        <v>0.144127250920659</v>
      </c>
      <c r="K757" s="9">
        <f t="shared" si="82"/>
        <v>0.117769602694548</v>
      </c>
      <c r="L757" s="9">
        <f t="shared" si="83"/>
        <v>0.107152415346607</v>
      </c>
    </row>
    <row r="758" s="4" customFormat="1" ht="13.5" customHeight="1" spans="1:12">
      <c r="A758" s="4">
        <v>45140</v>
      </c>
      <c r="B758" s="8">
        <v>0.0926347764003533</v>
      </c>
      <c r="C758" s="8">
        <v>0.0629149243406122</v>
      </c>
      <c r="D758" s="8">
        <v>0.00633128458289049</v>
      </c>
      <c r="E758" s="8">
        <v>2</v>
      </c>
      <c r="F758" s="9">
        <f t="shared" si="77"/>
        <v>0.143287178470528</v>
      </c>
      <c r="G758" s="9">
        <f t="shared" si="78"/>
        <v>0.117539926497802</v>
      </c>
      <c r="H758" s="9">
        <f t="shared" si="79"/>
        <v>0.106348042867975</v>
      </c>
      <c r="I758" s="3" t="str">
        <f t="shared" si="80"/>
        <v>2023-08-01</v>
      </c>
      <c r="J758" s="9">
        <f t="shared" si="81"/>
        <v>0.144127250920659</v>
      </c>
      <c r="K758" s="9">
        <f t="shared" si="82"/>
        <v>0.117769602694548</v>
      </c>
      <c r="L758" s="9">
        <f t="shared" si="83"/>
        <v>0.107152415346607</v>
      </c>
    </row>
    <row r="759" s="4" customFormat="1" ht="13.5" customHeight="1" spans="1:12">
      <c r="A759" s="4">
        <v>45139</v>
      </c>
      <c r="B759" s="8">
        <v>0.0936608546231457</v>
      </c>
      <c r="C759" s="8">
        <v>0.063342894186519</v>
      </c>
      <c r="D759" s="8">
        <v>0.00231357633507264</v>
      </c>
      <c r="E759" s="8">
        <v>2</v>
      </c>
      <c r="F759" s="9">
        <f t="shared" si="77"/>
        <v>0.143925215925794</v>
      </c>
      <c r="G759" s="9">
        <f t="shared" si="78"/>
        <v>0.117577768404536</v>
      </c>
      <c r="H759" s="9">
        <f t="shared" si="79"/>
        <v>0.106688082009036</v>
      </c>
      <c r="I759" s="3" t="str">
        <f t="shared" si="80"/>
        <v>2023-08-01</v>
      </c>
      <c r="J759" s="9">
        <f t="shared" si="81"/>
        <v>0.144127250920659</v>
      </c>
      <c r="K759" s="9">
        <f t="shared" si="82"/>
        <v>0.117769602694548</v>
      </c>
      <c r="L759" s="9">
        <f t="shared" si="83"/>
        <v>0.107152415346607</v>
      </c>
    </row>
    <row r="760" s="4" customFormat="1" ht="13.5" customHeight="1" spans="1:12">
      <c r="A760" s="4">
        <v>45138</v>
      </c>
      <c r="B760" s="8">
        <v>0.0934224404733666</v>
      </c>
      <c r="C760" s="8">
        <v>0.0627262420165647</v>
      </c>
      <c r="D760" s="8">
        <v>0.00579929619168908</v>
      </c>
      <c r="E760" s="8">
        <v>2</v>
      </c>
      <c r="F760" s="9">
        <f t="shared" si="77"/>
        <v>0.143830386151629</v>
      </c>
      <c r="G760" s="9">
        <f t="shared" si="78"/>
        <v>0.118106653052943</v>
      </c>
      <c r="H760" s="9">
        <f t="shared" si="79"/>
        <v>0.10699612847574</v>
      </c>
      <c r="I760" s="3" t="str">
        <f t="shared" si="80"/>
        <v>2023-07-01</v>
      </c>
      <c r="J760" s="9">
        <f t="shared" si="81"/>
        <v>0.142873360981224</v>
      </c>
      <c r="K760" s="9">
        <f t="shared" si="82"/>
        <v>0.119810564043489</v>
      </c>
      <c r="L760" s="9">
        <f t="shared" si="83"/>
        <v>0.1111720523388</v>
      </c>
    </row>
    <row r="761" s="4" customFormat="1" ht="13.5" customHeight="1" spans="1:12">
      <c r="A761" s="4">
        <v>45135</v>
      </c>
      <c r="B761" s="8">
        <v>0.0929715249259016</v>
      </c>
      <c r="C761" s="8">
        <v>0.0628349262122981</v>
      </c>
      <c r="D761" s="8">
        <v>0.00743215104172744</v>
      </c>
      <c r="E761" s="8">
        <v>2</v>
      </c>
      <c r="F761" s="9">
        <f t="shared" si="77"/>
        <v>0.143759578513604</v>
      </c>
      <c r="G761" s="9">
        <f t="shared" si="78"/>
        <v>0.118161138543598</v>
      </c>
      <c r="H761" s="9">
        <f t="shared" si="79"/>
        <v>0.106880171768435</v>
      </c>
      <c r="I761" s="3" t="str">
        <f t="shared" si="80"/>
        <v>2023-07-01</v>
      </c>
      <c r="J761" s="9">
        <f t="shared" si="81"/>
        <v>0.142873360981224</v>
      </c>
      <c r="K761" s="9">
        <f t="shared" si="82"/>
        <v>0.119810564043489</v>
      </c>
      <c r="L761" s="9">
        <f t="shared" si="83"/>
        <v>0.1111720523388</v>
      </c>
    </row>
    <row r="762" s="4" customFormat="1" ht="13.5" customHeight="1" spans="1:12">
      <c r="A762" s="4">
        <v>45134</v>
      </c>
      <c r="B762" s="8">
        <v>0.0928417090671584</v>
      </c>
      <c r="C762" s="8">
        <v>0.0621086509306642</v>
      </c>
      <c r="D762" s="8">
        <v>0.00879350412696452</v>
      </c>
      <c r="E762" s="8">
        <v>2</v>
      </c>
      <c r="F762" s="9">
        <f t="shared" si="77"/>
        <v>0.1433038275588</v>
      </c>
      <c r="G762" s="9">
        <f t="shared" si="78"/>
        <v>0.118152754995914</v>
      </c>
      <c r="H762" s="9">
        <f t="shared" si="79"/>
        <v>0.106867342921361</v>
      </c>
      <c r="I762" s="3" t="str">
        <f t="shared" si="80"/>
        <v>2023-07-01</v>
      </c>
      <c r="J762" s="9">
        <f t="shared" si="81"/>
        <v>0.142873360981224</v>
      </c>
      <c r="K762" s="9">
        <f t="shared" si="82"/>
        <v>0.119810564043489</v>
      </c>
      <c r="L762" s="9">
        <f t="shared" si="83"/>
        <v>0.1111720523388</v>
      </c>
    </row>
    <row r="763" s="4" customFormat="1" ht="13.5" customHeight="1" spans="1:12">
      <c r="A763" s="4">
        <v>45133</v>
      </c>
      <c r="B763" s="8">
        <v>0.0924815894354163</v>
      </c>
      <c r="C763" s="8">
        <v>0.0607543864634417</v>
      </c>
      <c r="D763" s="8">
        <v>0.0127491644316056</v>
      </c>
      <c r="E763" s="8">
        <v>2</v>
      </c>
      <c r="F763" s="9">
        <f t="shared" si="77"/>
        <v>0.142591617680836</v>
      </c>
      <c r="G763" s="9">
        <f t="shared" si="78"/>
        <v>0.118423079098982</v>
      </c>
      <c r="H763" s="9">
        <f t="shared" si="79"/>
        <v>0.106997343814168</v>
      </c>
      <c r="I763" s="3" t="str">
        <f t="shared" si="80"/>
        <v>2023-07-01</v>
      </c>
      <c r="J763" s="9">
        <f t="shared" si="81"/>
        <v>0.142873360981224</v>
      </c>
      <c r="K763" s="9">
        <f t="shared" si="82"/>
        <v>0.119810564043489</v>
      </c>
      <c r="L763" s="9">
        <f t="shared" si="83"/>
        <v>0.1111720523388</v>
      </c>
    </row>
    <row r="764" s="4" customFormat="1" ht="13.5" customHeight="1" spans="1:12">
      <c r="A764" s="4">
        <v>45132</v>
      </c>
      <c r="B764" s="8">
        <v>0.0969700254106354</v>
      </c>
      <c r="C764" s="8">
        <v>0.0575520140255355</v>
      </c>
      <c r="D764" s="8">
        <v>0.00224554259504531</v>
      </c>
      <c r="E764" s="8">
        <v>2</v>
      </c>
      <c r="F764" s="9">
        <f t="shared" si="77"/>
        <v>0.142665045287642</v>
      </c>
      <c r="G764" s="9">
        <f t="shared" si="78"/>
        <v>0.118741329756878</v>
      </c>
      <c r="H764" s="9">
        <f t="shared" si="79"/>
        <v>0.108833823834325</v>
      </c>
      <c r="I764" s="3" t="str">
        <f t="shared" si="80"/>
        <v>2023-07-01</v>
      </c>
      <c r="J764" s="9">
        <f t="shared" si="81"/>
        <v>0.142873360981224</v>
      </c>
      <c r="K764" s="9">
        <f t="shared" si="82"/>
        <v>0.119810564043489</v>
      </c>
      <c r="L764" s="9">
        <f t="shared" si="83"/>
        <v>0.1111720523388</v>
      </c>
    </row>
    <row r="765" s="4" customFormat="1" ht="13.5" customHeight="1" spans="1:12">
      <c r="A765" s="4">
        <v>45131</v>
      </c>
      <c r="B765" s="8">
        <v>0.0971841082695439</v>
      </c>
      <c r="C765" s="8">
        <v>0.0569094270678564</v>
      </c>
      <c r="D765" s="8">
        <v>0.00280828685908478</v>
      </c>
      <c r="E765" s="8">
        <v>2</v>
      </c>
      <c r="F765" s="9">
        <f t="shared" si="77"/>
        <v>0.142474975192847</v>
      </c>
      <c r="G765" s="9">
        <f t="shared" si="78"/>
        <v>0.118879904231151</v>
      </c>
      <c r="H765" s="9">
        <f t="shared" si="79"/>
        <v>0.109028254008648</v>
      </c>
      <c r="I765" s="3" t="str">
        <f t="shared" si="80"/>
        <v>2023-07-01</v>
      </c>
      <c r="J765" s="9">
        <f t="shared" si="81"/>
        <v>0.142873360981224</v>
      </c>
      <c r="K765" s="9">
        <f t="shared" si="82"/>
        <v>0.119810564043489</v>
      </c>
      <c r="L765" s="9">
        <f t="shared" si="83"/>
        <v>0.1111720523388</v>
      </c>
    </row>
    <row r="766" s="4" customFormat="1" ht="13.5" customHeight="1" spans="1:12">
      <c r="A766" s="4">
        <v>45128</v>
      </c>
      <c r="B766" s="8">
        <v>0.100901606486847</v>
      </c>
      <c r="C766" s="8">
        <v>0.0551615291447409</v>
      </c>
      <c r="D766" s="8">
        <v>2.98899118714217e-5</v>
      </c>
      <c r="E766" s="8">
        <v>1.69</v>
      </c>
      <c r="F766" s="9">
        <f t="shared" si="77"/>
        <v>0.142543166145833</v>
      </c>
      <c r="G766" s="9">
        <f t="shared" si="78"/>
        <v>0.118586714972585</v>
      </c>
      <c r="H766" s="9">
        <f t="shared" si="79"/>
        <v>0.110203758780225</v>
      </c>
      <c r="I766" s="3" t="str">
        <f t="shared" si="80"/>
        <v>2023-07-01</v>
      </c>
      <c r="J766" s="9">
        <f t="shared" si="81"/>
        <v>0.142873360981224</v>
      </c>
      <c r="K766" s="9">
        <f t="shared" si="82"/>
        <v>0.119810564043489</v>
      </c>
      <c r="L766" s="9">
        <f t="shared" si="83"/>
        <v>0.1111720523388</v>
      </c>
    </row>
    <row r="767" s="4" customFormat="1" ht="13.5" customHeight="1" spans="1:12">
      <c r="A767" s="4">
        <v>45127</v>
      </c>
      <c r="B767" s="8">
        <v>0.10275616094996</v>
      </c>
      <c r="C767" s="8">
        <v>0.0545039652486235</v>
      </c>
      <c r="D767" s="8">
        <v>8.9884410825201e-5</v>
      </c>
      <c r="E767" s="8">
        <v>1.47</v>
      </c>
      <c r="F767" s="9">
        <f t="shared" si="77"/>
        <v>0.14231714441579</v>
      </c>
      <c r="G767" s="9">
        <f t="shared" si="78"/>
        <v>0.118268824653032</v>
      </c>
      <c r="H767" s="9">
        <f t="shared" si="79"/>
        <v>0.110772442924837</v>
      </c>
      <c r="I767" s="3" t="str">
        <f t="shared" si="80"/>
        <v>2023-07-01</v>
      </c>
      <c r="J767" s="9">
        <f t="shared" si="81"/>
        <v>0.142873360981224</v>
      </c>
      <c r="K767" s="9">
        <f t="shared" si="82"/>
        <v>0.119810564043489</v>
      </c>
      <c r="L767" s="9">
        <f t="shared" si="83"/>
        <v>0.1111720523388</v>
      </c>
    </row>
    <row r="768" s="4" customFormat="1" ht="13.5" customHeight="1" spans="1:12">
      <c r="A768" s="4">
        <v>45126</v>
      </c>
      <c r="B768" s="8">
        <v>0.102132792637137</v>
      </c>
      <c r="C768" s="8">
        <v>0.0558106854288171</v>
      </c>
      <c r="D768" s="8">
        <v>-0.000116238100409994</v>
      </c>
      <c r="E768" s="8">
        <v>1.49</v>
      </c>
      <c r="F768" s="9">
        <f t="shared" si="77"/>
        <v>0.142761356206709</v>
      </c>
      <c r="G768" s="9">
        <f t="shared" si="78"/>
        <v>0.118154812124677</v>
      </c>
      <c r="H768" s="9">
        <f t="shared" si="79"/>
        <v>0.110421307937109</v>
      </c>
      <c r="I768" s="3" t="str">
        <f t="shared" si="80"/>
        <v>2023-07-01</v>
      </c>
      <c r="J768" s="9">
        <f t="shared" si="81"/>
        <v>0.142873360981224</v>
      </c>
      <c r="K768" s="9">
        <f t="shared" si="82"/>
        <v>0.119810564043489</v>
      </c>
      <c r="L768" s="9">
        <f t="shared" si="83"/>
        <v>0.1111720523388</v>
      </c>
    </row>
    <row r="769" s="4" customFormat="1" ht="13.5" customHeight="1" spans="1:12">
      <c r="A769" s="4">
        <v>45125</v>
      </c>
      <c r="B769" s="8">
        <v>0.105026436850556</v>
      </c>
      <c r="C769" s="8">
        <v>0.0497526169369978</v>
      </c>
      <c r="D769" s="8">
        <v>-1.29958024365521e-5</v>
      </c>
      <c r="E769" s="8">
        <v>1.58</v>
      </c>
      <c r="F769" s="9">
        <f t="shared" si="77"/>
        <v>0.141887975814655</v>
      </c>
      <c r="G769" s="9">
        <f t="shared" si="78"/>
        <v>0.120080901880714</v>
      </c>
      <c r="H769" s="9">
        <f t="shared" si="79"/>
        <v>0.112871303000375</v>
      </c>
      <c r="I769" s="3" t="str">
        <f t="shared" si="80"/>
        <v>2023-07-01</v>
      </c>
      <c r="J769" s="9">
        <f t="shared" si="81"/>
        <v>0.142873360981224</v>
      </c>
      <c r="K769" s="9">
        <f t="shared" si="82"/>
        <v>0.119810564043489</v>
      </c>
      <c r="L769" s="9">
        <f t="shared" si="83"/>
        <v>0.1111720523388</v>
      </c>
    </row>
    <row r="770" s="4" customFormat="1" ht="13.5" customHeight="1" spans="1:12">
      <c r="A770" s="4">
        <v>45124</v>
      </c>
      <c r="B770" s="8">
        <v>0.101413406396893</v>
      </c>
      <c r="C770" s="8">
        <v>0.0487292520328266</v>
      </c>
      <c r="D770" s="8">
        <v>0.00837875640298472</v>
      </c>
      <c r="E770" s="8">
        <v>2</v>
      </c>
      <c r="F770" s="9">
        <f t="shared" si="77"/>
        <v>0.141271934556947</v>
      </c>
      <c r="G770" s="9">
        <f t="shared" si="78"/>
        <v>0.121693755245862</v>
      </c>
      <c r="H770" s="9">
        <f t="shared" si="79"/>
        <v>0.112701594320681</v>
      </c>
      <c r="I770" s="3" t="str">
        <f t="shared" si="80"/>
        <v>2023-07-01</v>
      </c>
      <c r="J770" s="9">
        <f t="shared" si="81"/>
        <v>0.142873360981224</v>
      </c>
      <c r="K770" s="9">
        <f t="shared" si="82"/>
        <v>0.119810564043489</v>
      </c>
      <c r="L770" s="9">
        <f t="shared" si="83"/>
        <v>0.1111720523388</v>
      </c>
    </row>
    <row r="771" s="4" customFormat="1" ht="13.5" customHeight="1" spans="1:12">
      <c r="A771" s="4">
        <v>45121</v>
      </c>
      <c r="B771" s="8">
        <v>0.100161812206321</v>
      </c>
      <c r="C771" s="8">
        <v>0.0496365528820732</v>
      </c>
      <c r="D771" s="8">
        <v>0.0124717380537731</v>
      </c>
      <c r="E771" s="8">
        <v>2</v>
      </c>
      <c r="F771" s="9">
        <f t="shared" si="77"/>
        <v>0.141472737218609</v>
      </c>
      <c r="G771" s="9">
        <f t="shared" si="78"/>
        <v>0.121942122389277</v>
      </c>
      <c r="H771" s="9">
        <f t="shared" si="79"/>
        <v>0.112415740008992</v>
      </c>
      <c r="I771" s="3" t="str">
        <f t="shared" si="80"/>
        <v>2023-07-01</v>
      </c>
      <c r="J771" s="9">
        <f t="shared" si="81"/>
        <v>0.142873360981224</v>
      </c>
      <c r="K771" s="9">
        <f t="shared" si="82"/>
        <v>0.119810564043489</v>
      </c>
      <c r="L771" s="9">
        <f t="shared" si="83"/>
        <v>0.1111720523388</v>
      </c>
    </row>
    <row r="772" s="4" customFormat="1" ht="13.5" customHeight="1" spans="1:12">
      <c r="A772" s="4">
        <v>45120</v>
      </c>
      <c r="B772" s="8">
        <v>0.101206375718044</v>
      </c>
      <c r="C772" s="8">
        <v>0.0487641508582509</v>
      </c>
      <c r="D772" s="8">
        <v>0.0109880013843268</v>
      </c>
      <c r="E772" s="8">
        <v>2</v>
      </c>
      <c r="F772" s="9">
        <f t="shared" si="77"/>
        <v>0.14156309583676</v>
      </c>
      <c r="G772" s="9">
        <f t="shared" si="78"/>
        <v>0.12224338440272</v>
      </c>
      <c r="H772" s="9">
        <f t="shared" si="79"/>
        <v>0.113002248228628</v>
      </c>
      <c r="I772" s="3" t="str">
        <f t="shared" si="80"/>
        <v>2023-07-01</v>
      </c>
      <c r="J772" s="9">
        <f t="shared" si="81"/>
        <v>0.142873360981224</v>
      </c>
      <c r="K772" s="9">
        <f t="shared" si="82"/>
        <v>0.119810564043489</v>
      </c>
      <c r="L772" s="9">
        <f t="shared" si="83"/>
        <v>0.1111720523388</v>
      </c>
    </row>
    <row r="773" s="4" customFormat="1" ht="13.5" customHeight="1" spans="1:12">
      <c r="A773" s="4">
        <v>45119</v>
      </c>
      <c r="B773" s="8">
        <v>0.0960114507459668</v>
      </c>
      <c r="C773" s="8">
        <v>0.0555071968929427</v>
      </c>
      <c r="D773" s="8">
        <v>0.0173634245680144</v>
      </c>
      <c r="E773" s="8">
        <v>2</v>
      </c>
      <c r="F773" s="9">
        <f t="shared" ref="F773:F836" si="84">B773+(C773+D773)*(E773/$F$3)*(1-EXP(-$F$3/E773))-D773*EXP(-$F$3/E773)</f>
        <v>0.142824712093005</v>
      </c>
      <c r="G773" s="9">
        <f t="shared" ref="G773:G836" si="85">B773+(C773+D773)*(E773/$G$3)*(1-EXP(-$G$3/E773))-D773*EXP(-$G$3/E773)</f>
        <v>0.12134178870364</v>
      </c>
      <c r="H773" s="9">
        <f t="shared" ref="H773:H836" si="86">B773+(C773+D773)*(E773/$H$3)*(1-EXP(-$H$3/E773))-D773*EXP(-$H$3/E773)</f>
        <v>0.110370381526657</v>
      </c>
      <c r="I773" s="3" t="str">
        <f t="shared" ref="I773:I836" si="87">TEXT(A773,"yyyy-mm-01")</f>
        <v>2023-07-01</v>
      </c>
      <c r="J773" s="9">
        <f t="shared" ref="J773:J836" si="88">AVERAGEIF($I:$I,I773,$F:$F)</f>
        <v>0.142873360981224</v>
      </c>
      <c r="K773" s="9">
        <f t="shared" ref="K773:K836" si="89">AVERAGEIF($I:$I,I773,$G:$G)</f>
        <v>0.119810564043489</v>
      </c>
      <c r="L773" s="9">
        <f t="shared" ref="L773:L836" si="90">AVERAGEIF($I:$I,I773,$H:$H)</f>
        <v>0.1111720523388</v>
      </c>
    </row>
    <row r="774" s="4" customFormat="1" ht="13.5" customHeight="1" spans="1:12">
      <c r="A774" s="4">
        <v>45118</v>
      </c>
      <c r="B774" s="8">
        <v>0.100401001348678</v>
      </c>
      <c r="C774" s="8">
        <v>0.0549774958308357</v>
      </c>
      <c r="D774" s="8">
        <v>0.00100367005113018</v>
      </c>
      <c r="E774" s="8">
        <v>2</v>
      </c>
      <c r="F774" s="9">
        <f t="shared" si="84"/>
        <v>0.143845989506622</v>
      </c>
      <c r="G774" s="9">
        <f t="shared" si="85"/>
        <v>0.120872995876944</v>
      </c>
      <c r="H774" s="9">
        <f t="shared" si="86"/>
        <v>0.11151503222373</v>
      </c>
      <c r="I774" s="3" t="str">
        <f t="shared" si="87"/>
        <v>2023-07-01</v>
      </c>
      <c r="J774" s="9">
        <f t="shared" si="88"/>
        <v>0.142873360981224</v>
      </c>
      <c r="K774" s="9">
        <f t="shared" si="89"/>
        <v>0.119810564043489</v>
      </c>
      <c r="L774" s="9">
        <f t="shared" si="90"/>
        <v>0.1111720523388</v>
      </c>
    </row>
    <row r="775" s="4" customFormat="1" ht="13.5" customHeight="1" spans="1:12">
      <c r="A775" s="4">
        <v>45117</v>
      </c>
      <c r="B775" s="8">
        <v>0.105044809025051</v>
      </c>
      <c r="C775" s="8">
        <v>0.0547754824223897</v>
      </c>
      <c r="D775" s="8">
        <v>0.000100617567109382</v>
      </c>
      <c r="E775" s="8">
        <v>1.41</v>
      </c>
      <c r="F775" s="9">
        <f t="shared" si="84"/>
        <v>0.144299796556817</v>
      </c>
      <c r="G775" s="9">
        <f t="shared" si="85"/>
        <v>0.120070714883095</v>
      </c>
      <c r="H775" s="9">
        <f t="shared" si="86"/>
        <v>0.112775821177954</v>
      </c>
      <c r="I775" s="3" t="str">
        <f t="shared" si="87"/>
        <v>2023-07-01</v>
      </c>
      <c r="J775" s="9">
        <f t="shared" si="88"/>
        <v>0.142873360981224</v>
      </c>
      <c r="K775" s="9">
        <f t="shared" si="89"/>
        <v>0.119810564043489</v>
      </c>
      <c r="L775" s="9">
        <f t="shared" si="90"/>
        <v>0.1111720523388</v>
      </c>
    </row>
    <row r="776" s="4" customFormat="1" ht="13.5" customHeight="1" spans="1:12">
      <c r="A776" s="4">
        <v>45112</v>
      </c>
      <c r="B776" s="8">
        <v>0.110293408234628</v>
      </c>
      <c r="C776" s="8">
        <v>0.0519954948090901</v>
      </c>
      <c r="D776" s="8">
        <v>1.09086569909035e-5</v>
      </c>
      <c r="E776" s="8">
        <v>1.03</v>
      </c>
      <c r="F776" s="9">
        <f t="shared" si="84"/>
        <v>0.143567419861308</v>
      </c>
      <c r="G776" s="9">
        <f t="shared" si="85"/>
        <v>0.120923140030938</v>
      </c>
      <c r="H776" s="9">
        <f t="shared" si="86"/>
        <v>0.115649741710035</v>
      </c>
      <c r="I776" s="3" t="str">
        <f t="shared" si="87"/>
        <v>2023-07-01</v>
      </c>
      <c r="J776" s="9">
        <f t="shared" si="88"/>
        <v>0.142873360981224</v>
      </c>
      <c r="K776" s="9">
        <f t="shared" si="89"/>
        <v>0.119810564043489</v>
      </c>
      <c r="L776" s="9">
        <f t="shared" si="90"/>
        <v>0.1111720523388</v>
      </c>
    </row>
    <row r="777" s="4" customFormat="1" ht="13.5" customHeight="1" spans="1:12">
      <c r="A777" s="4">
        <v>45111</v>
      </c>
      <c r="B777" s="8">
        <v>0.109859995025081</v>
      </c>
      <c r="C777" s="8">
        <v>0.0520887719609362</v>
      </c>
      <c r="D777" s="8">
        <v>0.000150642038069427</v>
      </c>
      <c r="E777" s="8">
        <v>1.05</v>
      </c>
      <c r="F777" s="9">
        <f t="shared" si="84"/>
        <v>0.143490425890107</v>
      </c>
      <c r="G777" s="9">
        <f t="shared" si="85"/>
        <v>0.120735195786832</v>
      </c>
      <c r="H777" s="9">
        <f t="shared" si="86"/>
        <v>0.115344721571876</v>
      </c>
      <c r="I777" s="3" t="str">
        <f t="shared" si="87"/>
        <v>2023-07-01</v>
      </c>
      <c r="J777" s="9">
        <f t="shared" si="88"/>
        <v>0.142873360981224</v>
      </c>
      <c r="K777" s="9">
        <f t="shared" si="89"/>
        <v>0.119810564043489</v>
      </c>
      <c r="L777" s="9">
        <f t="shared" si="90"/>
        <v>0.1111720523388</v>
      </c>
    </row>
    <row r="778" s="4" customFormat="1" ht="13.5" customHeight="1" spans="1:12">
      <c r="A778" s="4">
        <v>45110</v>
      </c>
      <c r="B778" s="8">
        <v>0.109157319421567</v>
      </c>
      <c r="C778" s="8">
        <v>0.052706395469991</v>
      </c>
      <c r="D778" s="8">
        <v>-5.74689267252913e-5</v>
      </c>
      <c r="E778" s="8">
        <v>1.08</v>
      </c>
      <c r="F778" s="9">
        <f t="shared" si="84"/>
        <v>0.143514684684816</v>
      </c>
      <c r="G778" s="9">
        <f t="shared" si="85"/>
        <v>0.120419074503686</v>
      </c>
      <c r="H778" s="9">
        <f t="shared" si="86"/>
        <v>0.114842867498654</v>
      </c>
      <c r="I778" s="3" t="str">
        <f t="shared" si="87"/>
        <v>2023-07-01</v>
      </c>
      <c r="J778" s="9">
        <f t="shared" si="88"/>
        <v>0.142873360981224</v>
      </c>
      <c r="K778" s="9">
        <f t="shared" si="89"/>
        <v>0.119810564043489</v>
      </c>
      <c r="L778" s="9">
        <f t="shared" si="90"/>
        <v>0.1111720523388</v>
      </c>
    </row>
    <row r="779" s="4" customFormat="1" ht="13.5" customHeight="1" spans="1:12">
      <c r="A779" s="4">
        <v>45108</v>
      </c>
      <c r="B779" s="8">
        <v>0.109393826651286</v>
      </c>
      <c r="C779" s="8">
        <v>0.052810053223568</v>
      </c>
      <c r="D779" s="8">
        <v>0.000119559543072766</v>
      </c>
      <c r="E779" s="8">
        <v>1.05</v>
      </c>
      <c r="F779" s="9">
        <f t="shared" si="84"/>
        <v>0.143481350451142</v>
      </c>
      <c r="G779" s="9">
        <f t="shared" si="85"/>
        <v>0.120412995736307</v>
      </c>
      <c r="H779" s="9">
        <f t="shared" si="86"/>
        <v>0.114951021043578</v>
      </c>
      <c r="I779" s="3" t="str">
        <f t="shared" si="87"/>
        <v>2023-07-01</v>
      </c>
      <c r="J779" s="9">
        <f t="shared" si="88"/>
        <v>0.142873360981224</v>
      </c>
      <c r="K779" s="9">
        <f t="shared" si="89"/>
        <v>0.119810564043489</v>
      </c>
      <c r="L779" s="9">
        <f t="shared" si="90"/>
        <v>0.1111720523388</v>
      </c>
    </row>
    <row r="780" s="4" customFormat="1" ht="13.5" customHeight="1" spans="1:12">
      <c r="A780" s="4">
        <v>45107</v>
      </c>
      <c r="B780" s="8">
        <v>0.108357136563293</v>
      </c>
      <c r="C780" s="8">
        <v>0.0524853885535375</v>
      </c>
      <c r="D780" s="8">
        <v>-0.000111237784185776</v>
      </c>
      <c r="E780" s="8">
        <v>1.13</v>
      </c>
      <c r="F780" s="9">
        <f t="shared" si="84"/>
        <v>0.143159181172964</v>
      </c>
      <c r="G780" s="9">
        <f t="shared" si="85"/>
        <v>0.120053262108741</v>
      </c>
      <c r="H780" s="9">
        <f t="shared" si="86"/>
        <v>0.114274582608073</v>
      </c>
      <c r="I780" s="3" t="str">
        <f t="shared" si="87"/>
        <v>2023-06-01</v>
      </c>
      <c r="J780" s="9">
        <f t="shared" si="88"/>
        <v>0.141507878730284</v>
      </c>
      <c r="K780" s="9">
        <f t="shared" si="89"/>
        <v>0.121205187395649</v>
      </c>
      <c r="L780" s="9">
        <f t="shared" si="90"/>
        <v>0.112308396297825</v>
      </c>
    </row>
    <row r="781" s="4" customFormat="1" ht="13.5" customHeight="1" spans="1:12">
      <c r="A781" s="4">
        <v>45106</v>
      </c>
      <c r="B781" s="8">
        <v>0.101438033465311</v>
      </c>
      <c r="C781" s="8">
        <v>0.0535979686342211</v>
      </c>
      <c r="D781" s="8">
        <v>-3.97724652885143e-5</v>
      </c>
      <c r="E781" s="8">
        <v>1.97</v>
      </c>
      <c r="F781" s="9">
        <f t="shared" si="84"/>
        <v>0.143462204617012</v>
      </c>
      <c r="G781" s="9">
        <f t="shared" si="85"/>
        <v>0.120875659037459</v>
      </c>
      <c r="H781" s="9">
        <f t="shared" si="86"/>
        <v>0.111923366742198</v>
      </c>
      <c r="I781" s="3" t="str">
        <f t="shared" si="87"/>
        <v>2023-06-01</v>
      </c>
      <c r="J781" s="9">
        <f t="shared" si="88"/>
        <v>0.141507878730284</v>
      </c>
      <c r="K781" s="9">
        <f t="shared" si="89"/>
        <v>0.121205187395649</v>
      </c>
      <c r="L781" s="9">
        <f t="shared" si="90"/>
        <v>0.112308396297825</v>
      </c>
    </row>
    <row r="782" s="4" customFormat="1" ht="13.5" customHeight="1" spans="1:12">
      <c r="A782" s="4">
        <v>45104</v>
      </c>
      <c r="B782" s="8">
        <v>0.0981540732535844</v>
      </c>
      <c r="C782" s="8">
        <v>0.0526768164489994</v>
      </c>
      <c r="D782" s="8">
        <v>0.0151201026946345</v>
      </c>
      <c r="E782" s="8">
        <v>2</v>
      </c>
      <c r="F782" s="9">
        <f t="shared" si="84"/>
        <v>0.142335285489208</v>
      </c>
      <c r="G782" s="9">
        <f t="shared" si="85"/>
        <v>0.121805663296312</v>
      </c>
      <c r="H782" s="9">
        <f t="shared" si="86"/>
        <v>0.111520216222156</v>
      </c>
      <c r="I782" s="3" t="str">
        <f t="shared" si="87"/>
        <v>2023-06-01</v>
      </c>
      <c r="J782" s="9">
        <f t="shared" si="88"/>
        <v>0.141507878730284</v>
      </c>
      <c r="K782" s="9">
        <f t="shared" si="89"/>
        <v>0.121205187395649</v>
      </c>
      <c r="L782" s="9">
        <f t="shared" si="90"/>
        <v>0.112308396297825</v>
      </c>
    </row>
    <row r="783" s="4" customFormat="1" ht="13.5" customHeight="1" spans="1:12">
      <c r="A783" s="4">
        <v>45103</v>
      </c>
      <c r="B783" s="8">
        <v>0.0991859675798187</v>
      </c>
      <c r="C783" s="8">
        <v>0.0488891504855447</v>
      </c>
      <c r="D783" s="8">
        <v>0.0202503101741677</v>
      </c>
      <c r="E783" s="8">
        <v>2</v>
      </c>
      <c r="F783" s="9">
        <f t="shared" si="84"/>
        <v>0.141312049537698</v>
      </c>
      <c r="G783" s="9">
        <f t="shared" si="85"/>
        <v>0.12290938014768</v>
      </c>
      <c r="H783" s="9">
        <f t="shared" si="86"/>
        <v>0.112784242590799</v>
      </c>
      <c r="I783" s="3" t="str">
        <f t="shared" si="87"/>
        <v>2023-06-01</v>
      </c>
      <c r="J783" s="9">
        <f t="shared" si="88"/>
        <v>0.141507878730284</v>
      </c>
      <c r="K783" s="9">
        <f t="shared" si="89"/>
        <v>0.121205187395649</v>
      </c>
      <c r="L783" s="9">
        <f t="shared" si="90"/>
        <v>0.112308396297825</v>
      </c>
    </row>
    <row r="784" s="4" customFormat="1" ht="13.5" customHeight="1" spans="1:12">
      <c r="A784" s="4">
        <v>45100</v>
      </c>
      <c r="B784" s="8">
        <v>0.102756407711634</v>
      </c>
      <c r="C784" s="8">
        <v>0.0444559719687528</v>
      </c>
      <c r="D784" s="8">
        <v>0.0153325325306891</v>
      </c>
      <c r="E784" s="8">
        <v>2</v>
      </c>
      <c r="F784" s="9">
        <f t="shared" si="84"/>
        <v>0.140506643485057</v>
      </c>
      <c r="G784" s="9">
        <f t="shared" si="85"/>
        <v>0.123450142875904</v>
      </c>
      <c r="H784" s="9">
        <f t="shared" si="86"/>
        <v>0.114530228465074</v>
      </c>
      <c r="I784" s="3" t="str">
        <f t="shared" si="87"/>
        <v>2023-06-01</v>
      </c>
      <c r="J784" s="9">
        <f t="shared" si="88"/>
        <v>0.141507878730284</v>
      </c>
      <c r="K784" s="9">
        <f t="shared" si="89"/>
        <v>0.121205187395649</v>
      </c>
      <c r="L784" s="9">
        <f t="shared" si="90"/>
        <v>0.112308396297825</v>
      </c>
    </row>
    <row r="785" s="4" customFormat="1" ht="13.5" customHeight="1" spans="1:12">
      <c r="A785" s="4">
        <v>45099</v>
      </c>
      <c r="B785" s="8">
        <v>0.104798230650262</v>
      </c>
      <c r="C785" s="8">
        <v>0.0427593337073526</v>
      </c>
      <c r="D785" s="8">
        <v>0.0104171629571569</v>
      </c>
      <c r="E785" s="8">
        <v>2</v>
      </c>
      <c r="F785" s="9">
        <f t="shared" si="84"/>
        <v>0.140326544052279</v>
      </c>
      <c r="G785" s="9">
        <f t="shared" si="85"/>
        <v>0.123467739446851</v>
      </c>
      <c r="H785" s="9">
        <f t="shared" si="86"/>
        <v>0.115291679608053</v>
      </c>
      <c r="I785" s="3" t="str">
        <f t="shared" si="87"/>
        <v>2023-06-01</v>
      </c>
      <c r="J785" s="9">
        <f t="shared" si="88"/>
        <v>0.141507878730284</v>
      </c>
      <c r="K785" s="9">
        <f t="shared" si="89"/>
        <v>0.121205187395649</v>
      </c>
      <c r="L785" s="9">
        <f t="shared" si="90"/>
        <v>0.112308396297825</v>
      </c>
    </row>
    <row r="786" s="4" customFormat="1" ht="13.5" customHeight="1" spans="1:12">
      <c r="A786" s="4">
        <v>45098</v>
      </c>
      <c r="B786" s="8">
        <v>0.100880646087913</v>
      </c>
      <c r="C786" s="8">
        <v>0.0471944719774501</v>
      </c>
      <c r="D786" s="8">
        <v>0.0143310416307227</v>
      </c>
      <c r="E786" s="8">
        <v>2</v>
      </c>
      <c r="F786" s="9">
        <f t="shared" si="84"/>
        <v>0.14060523645376</v>
      </c>
      <c r="G786" s="9">
        <f t="shared" si="85"/>
        <v>0.122294359318701</v>
      </c>
      <c r="H786" s="9">
        <f t="shared" si="86"/>
        <v>0.113006275880641</v>
      </c>
      <c r="I786" s="3" t="str">
        <f t="shared" si="87"/>
        <v>2023-06-01</v>
      </c>
      <c r="J786" s="9">
        <f t="shared" si="88"/>
        <v>0.141507878730284</v>
      </c>
      <c r="K786" s="9">
        <f t="shared" si="89"/>
        <v>0.121205187395649</v>
      </c>
      <c r="L786" s="9">
        <f t="shared" si="90"/>
        <v>0.112308396297825</v>
      </c>
    </row>
    <row r="787" s="4" customFormat="1" ht="13.5" customHeight="1" spans="1:12">
      <c r="A787" s="4">
        <v>45097</v>
      </c>
      <c r="B787" s="8">
        <v>0.102586274708472</v>
      </c>
      <c r="C787" s="8">
        <v>0.0440217449276182</v>
      </c>
      <c r="D787" s="8">
        <v>0.0157732033275432</v>
      </c>
      <c r="E787" s="8">
        <v>2</v>
      </c>
      <c r="F787" s="9">
        <f t="shared" si="84"/>
        <v>0.140074300973387</v>
      </c>
      <c r="G787" s="9">
        <f t="shared" si="85"/>
        <v>0.123246203339004</v>
      </c>
      <c r="H787" s="9">
        <f t="shared" si="86"/>
        <v>0.114358406313046</v>
      </c>
      <c r="I787" s="3" t="str">
        <f t="shared" si="87"/>
        <v>2023-06-01</v>
      </c>
      <c r="J787" s="9">
        <f t="shared" si="88"/>
        <v>0.141507878730284</v>
      </c>
      <c r="K787" s="9">
        <f t="shared" si="89"/>
        <v>0.121205187395649</v>
      </c>
      <c r="L787" s="9">
        <f t="shared" si="90"/>
        <v>0.112308396297825</v>
      </c>
    </row>
    <row r="788" s="4" customFormat="1" ht="13.5" customHeight="1" spans="1:12">
      <c r="A788" s="4">
        <v>45096</v>
      </c>
      <c r="B788" s="8">
        <v>0.107029228081788</v>
      </c>
      <c r="C788" s="8">
        <v>0.0394060501477573</v>
      </c>
      <c r="D788" s="8">
        <v>0.00880247803060294</v>
      </c>
      <c r="E788" s="8">
        <v>2</v>
      </c>
      <c r="F788" s="9">
        <f t="shared" si="84"/>
        <v>0.139627410831909</v>
      </c>
      <c r="G788" s="9">
        <f t="shared" si="85"/>
        <v>0.124007209168431</v>
      </c>
      <c r="H788" s="9">
        <f t="shared" si="86"/>
        <v>0.116546657785475</v>
      </c>
      <c r="I788" s="3" t="str">
        <f t="shared" si="87"/>
        <v>2023-06-01</v>
      </c>
      <c r="J788" s="9">
        <f t="shared" si="88"/>
        <v>0.141507878730284</v>
      </c>
      <c r="K788" s="9">
        <f t="shared" si="89"/>
        <v>0.121205187395649</v>
      </c>
      <c r="L788" s="9">
        <f t="shared" si="90"/>
        <v>0.112308396297825</v>
      </c>
    </row>
    <row r="789" s="4" customFormat="1" ht="13.5" customHeight="1" spans="1:12">
      <c r="A789" s="4">
        <v>45093</v>
      </c>
      <c r="B789" s="8">
        <v>0.109606820207874</v>
      </c>
      <c r="C789" s="8">
        <v>0.0368284580216713</v>
      </c>
      <c r="D789" s="8">
        <v>0.0345547430750857</v>
      </c>
      <c r="E789" s="8">
        <v>1</v>
      </c>
      <c r="F789" s="9">
        <f t="shared" si="84"/>
        <v>0.142017629603842</v>
      </c>
      <c r="G789" s="9">
        <f t="shared" si="85"/>
        <v>0.123554437154695</v>
      </c>
      <c r="H789" s="9">
        <f t="shared" si="86"/>
        <v>0.11674324745541</v>
      </c>
      <c r="I789" s="3" t="str">
        <f t="shared" si="87"/>
        <v>2023-06-01</v>
      </c>
      <c r="J789" s="9">
        <f t="shared" si="88"/>
        <v>0.141507878730284</v>
      </c>
      <c r="K789" s="9">
        <f t="shared" si="89"/>
        <v>0.121205187395649</v>
      </c>
      <c r="L789" s="9">
        <f t="shared" si="90"/>
        <v>0.112308396297825</v>
      </c>
    </row>
    <row r="790" s="4" customFormat="1" ht="13.5" customHeight="1" spans="1:12">
      <c r="A790" s="4">
        <v>45092</v>
      </c>
      <c r="B790" s="8">
        <v>0.108776001844261</v>
      </c>
      <c r="C790" s="8">
        <v>0.0376592763852849</v>
      </c>
      <c r="D790" s="8">
        <v>0.0364589756090654</v>
      </c>
      <c r="E790" s="8">
        <v>1</v>
      </c>
      <c r="F790" s="9">
        <f t="shared" si="84"/>
        <v>0.142215165141579</v>
      </c>
      <c r="G790" s="9">
        <f t="shared" si="85"/>
        <v>0.123254112627116</v>
      </c>
      <c r="H790" s="9">
        <f t="shared" si="86"/>
        <v>0.116185835312421</v>
      </c>
      <c r="I790" s="3" t="str">
        <f t="shared" si="87"/>
        <v>2023-06-01</v>
      </c>
      <c r="J790" s="9">
        <f t="shared" si="88"/>
        <v>0.141507878730284</v>
      </c>
      <c r="K790" s="9">
        <f t="shared" si="89"/>
        <v>0.121205187395649</v>
      </c>
      <c r="L790" s="9">
        <f t="shared" si="90"/>
        <v>0.112308396297825</v>
      </c>
    </row>
    <row r="791" s="4" customFormat="1" ht="13.5" customHeight="1" spans="1:12">
      <c r="A791" s="4">
        <v>45091</v>
      </c>
      <c r="B791" s="8">
        <v>0.0973239228428558</v>
      </c>
      <c r="C791" s="8">
        <v>0.0491977298199114</v>
      </c>
      <c r="D791" s="8">
        <v>0.0193767846065674</v>
      </c>
      <c r="E791" s="8">
        <v>2</v>
      </c>
      <c r="F791" s="9">
        <f t="shared" si="84"/>
        <v>0.139535246796151</v>
      </c>
      <c r="G791" s="9">
        <f t="shared" si="85"/>
        <v>0.120911609706749</v>
      </c>
      <c r="H791" s="9">
        <f t="shared" si="86"/>
        <v>0.110815855691721</v>
      </c>
      <c r="I791" s="3" t="str">
        <f t="shared" si="87"/>
        <v>2023-06-01</v>
      </c>
      <c r="J791" s="9">
        <f t="shared" si="88"/>
        <v>0.141507878730284</v>
      </c>
      <c r="K791" s="9">
        <f t="shared" si="89"/>
        <v>0.121205187395649</v>
      </c>
      <c r="L791" s="9">
        <f t="shared" si="90"/>
        <v>0.112308396297825</v>
      </c>
    </row>
    <row r="792" s="4" customFormat="1" ht="13.5" customHeight="1" spans="1:12">
      <c r="A792" s="4">
        <v>45090</v>
      </c>
      <c r="B792" s="8">
        <v>0.0989594556163951</v>
      </c>
      <c r="C792" s="8">
        <v>0.0476485640196952</v>
      </c>
      <c r="D792" s="8">
        <v>0.0168220240586642</v>
      </c>
      <c r="E792" s="8">
        <v>2</v>
      </c>
      <c r="F792" s="9">
        <f t="shared" si="84"/>
        <v>0.139490781784653</v>
      </c>
      <c r="G792" s="9">
        <f t="shared" si="85"/>
        <v>0.121250027772555</v>
      </c>
      <c r="H792" s="9">
        <f t="shared" si="86"/>
        <v>0.111653347444448</v>
      </c>
      <c r="I792" s="3" t="str">
        <f t="shared" si="87"/>
        <v>2023-06-01</v>
      </c>
      <c r="J792" s="9">
        <f t="shared" si="88"/>
        <v>0.141507878730284</v>
      </c>
      <c r="K792" s="9">
        <f t="shared" si="89"/>
        <v>0.121205187395649</v>
      </c>
      <c r="L792" s="9">
        <f t="shared" si="90"/>
        <v>0.112308396297825</v>
      </c>
    </row>
    <row r="793" s="4" customFormat="1" ht="13.5" customHeight="1" spans="1:12">
      <c r="A793" s="4">
        <v>45089</v>
      </c>
      <c r="B793" s="8">
        <v>0.0977452530389981</v>
      </c>
      <c r="C793" s="8">
        <v>0.0486036432961389</v>
      </c>
      <c r="D793" s="8">
        <v>0.0197879898238366</v>
      </c>
      <c r="E793" s="8">
        <v>2</v>
      </c>
      <c r="F793" s="9">
        <f t="shared" si="84"/>
        <v>0.139563252046544</v>
      </c>
      <c r="G793" s="9">
        <f t="shared" si="85"/>
        <v>0.121232038325313</v>
      </c>
      <c r="H793" s="9">
        <f t="shared" si="86"/>
        <v>0.111198085396513</v>
      </c>
      <c r="I793" s="3" t="str">
        <f t="shared" si="87"/>
        <v>2023-06-01</v>
      </c>
      <c r="J793" s="9">
        <f t="shared" si="88"/>
        <v>0.141507878730284</v>
      </c>
      <c r="K793" s="9">
        <f t="shared" si="89"/>
        <v>0.121205187395649</v>
      </c>
      <c r="L793" s="9">
        <f t="shared" si="90"/>
        <v>0.112308396297825</v>
      </c>
    </row>
    <row r="794" s="4" customFormat="1" ht="13.5" customHeight="1" spans="1:12">
      <c r="A794" s="4">
        <v>45086</v>
      </c>
      <c r="B794" s="8">
        <v>0.0970122659074408</v>
      </c>
      <c r="C794" s="8">
        <v>0.0493366304276962</v>
      </c>
      <c r="D794" s="8">
        <v>0.0224570104977074</v>
      </c>
      <c r="E794" s="8">
        <v>2</v>
      </c>
      <c r="F794" s="9">
        <f t="shared" si="84"/>
        <v>0.139888593578586</v>
      </c>
      <c r="G794" s="9">
        <f t="shared" si="85"/>
        <v>0.121529066235174</v>
      </c>
      <c r="H794" s="9">
        <f t="shared" si="86"/>
        <v>0.111122931596545</v>
      </c>
      <c r="I794" s="3" t="str">
        <f t="shared" si="87"/>
        <v>2023-06-01</v>
      </c>
      <c r="J794" s="9">
        <f t="shared" si="88"/>
        <v>0.141507878730284</v>
      </c>
      <c r="K794" s="9">
        <f t="shared" si="89"/>
        <v>0.121205187395649</v>
      </c>
      <c r="L794" s="9">
        <f t="shared" si="90"/>
        <v>0.112308396297825</v>
      </c>
    </row>
    <row r="795" s="4" customFormat="1" ht="13.5" customHeight="1" spans="1:12">
      <c r="A795" s="4">
        <v>45085</v>
      </c>
      <c r="B795" s="8">
        <v>0.0971623618455061</v>
      </c>
      <c r="C795" s="8">
        <v>0.0494456577905841</v>
      </c>
      <c r="D795" s="8">
        <v>0.0222408273957337</v>
      </c>
      <c r="E795" s="8">
        <v>2</v>
      </c>
      <c r="F795" s="9">
        <f t="shared" si="84"/>
        <v>0.140085486200178</v>
      </c>
      <c r="G795" s="9">
        <f t="shared" si="85"/>
        <v>0.121657563618712</v>
      </c>
      <c r="H795" s="9">
        <f t="shared" si="86"/>
        <v>0.111253197419014</v>
      </c>
      <c r="I795" s="3" t="str">
        <f t="shared" si="87"/>
        <v>2023-06-01</v>
      </c>
      <c r="J795" s="9">
        <f t="shared" si="88"/>
        <v>0.141507878730284</v>
      </c>
      <c r="K795" s="9">
        <f t="shared" si="89"/>
        <v>0.121205187395649</v>
      </c>
      <c r="L795" s="9">
        <f t="shared" si="90"/>
        <v>0.112308396297825</v>
      </c>
    </row>
    <row r="796" s="4" customFormat="1" ht="13.5" customHeight="1" spans="1:12">
      <c r="A796" s="4">
        <v>45084</v>
      </c>
      <c r="B796" s="8">
        <v>0.0974544191473786</v>
      </c>
      <c r="C796" s="8">
        <v>0.0500168602108297</v>
      </c>
      <c r="D796" s="8">
        <v>0.0539822954130002</v>
      </c>
      <c r="E796" s="8">
        <v>1</v>
      </c>
      <c r="F796" s="9">
        <f t="shared" si="84"/>
        <v>0.143335446848326</v>
      </c>
      <c r="G796" s="9">
        <f t="shared" si="85"/>
        <v>0.117750372267054</v>
      </c>
      <c r="H796" s="9">
        <f t="shared" si="86"/>
        <v>0.107851411761905</v>
      </c>
      <c r="I796" s="3" t="str">
        <f t="shared" si="87"/>
        <v>2023-06-01</v>
      </c>
      <c r="J796" s="9">
        <f t="shared" si="88"/>
        <v>0.141507878730284</v>
      </c>
      <c r="K796" s="9">
        <f t="shared" si="89"/>
        <v>0.121205187395649</v>
      </c>
      <c r="L796" s="9">
        <f t="shared" si="90"/>
        <v>0.112308396297825</v>
      </c>
    </row>
    <row r="797" s="4" customFormat="1" ht="13.5" customHeight="1" spans="1:12">
      <c r="A797" s="4">
        <v>45083</v>
      </c>
      <c r="B797" s="8">
        <v>0.0976427355419997</v>
      </c>
      <c r="C797" s="8">
        <v>0.0517250961088237</v>
      </c>
      <c r="D797" s="8">
        <v>0.0502542288952396</v>
      </c>
      <c r="E797" s="8">
        <v>1</v>
      </c>
      <c r="F797" s="9">
        <f t="shared" si="84"/>
        <v>0.143618465810045</v>
      </c>
      <c r="G797" s="9">
        <f t="shared" si="85"/>
        <v>0.11756256395466</v>
      </c>
      <c r="H797" s="9">
        <f t="shared" si="86"/>
        <v>0.107837923518525</v>
      </c>
      <c r="I797" s="3" t="str">
        <f t="shared" si="87"/>
        <v>2023-06-01</v>
      </c>
      <c r="J797" s="9">
        <f t="shared" si="88"/>
        <v>0.141507878730284</v>
      </c>
      <c r="K797" s="9">
        <f t="shared" si="89"/>
        <v>0.121205187395649</v>
      </c>
      <c r="L797" s="9">
        <f t="shared" si="90"/>
        <v>0.112308396297825</v>
      </c>
    </row>
    <row r="798" s="4" customFormat="1" ht="13.5" customHeight="1" spans="1:12">
      <c r="A798" s="4">
        <v>45082</v>
      </c>
      <c r="B798" s="8">
        <v>0.101288056350383</v>
      </c>
      <c r="C798" s="8">
        <v>0.0499727374902005</v>
      </c>
      <c r="D798" s="8">
        <v>0.0398228566178737</v>
      </c>
      <c r="E798" s="8">
        <v>1</v>
      </c>
      <c r="F798" s="9">
        <f t="shared" si="84"/>
        <v>0.143399687239887</v>
      </c>
      <c r="G798" s="9">
        <f t="shared" si="85"/>
        <v>0.118857843283984</v>
      </c>
      <c r="H798" s="9">
        <f t="shared" si="86"/>
        <v>0.11026540013493</v>
      </c>
      <c r="I798" s="3" t="str">
        <f t="shared" si="87"/>
        <v>2023-06-01</v>
      </c>
      <c r="J798" s="9">
        <f t="shared" si="88"/>
        <v>0.141507878730284</v>
      </c>
      <c r="K798" s="9">
        <f t="shared" si="89"/>
        <v>0.121205187395649</v>
      </c>
      <c r="L798" s="9">
        <f t="shared" si="90"/>
        <v>0.112308396297825</v>
      </c>
    </row>
    <row r="799" s="4" customFormat="1" ht="13.5" customHeight="1" spans="1:12">
      <c r="A799" s="4">
        <v>45079</v>
      </c>
      <c r="B799" s="8">
        <v>0.099678119672969</v>
      </c>
      <c r="C799" s="8">
        <v>0.0568981873691277</v>
      </c>
      <c r="D799" s="8">
        <v>0.000121540358109533</v>
      </c>
      <c r="E799" s="8">
        <v>1.5</v>
      </c>
      <c r="F799" s="9">
        <f t="shared" si="84"/>
        <v>0.141232953856707</v>
      </c>
      <c r="G799" s="9">
        <f t="shared" si="85"/>
        <v>0.116169465744932</v>
      </c>
      <c r="H799" s="9">
        <f t="shared" si="86"/>
        <v>0.108220039370759</v>
      </c>
      <c r="I799" s="3" t="str">
        <f t="shared" si="87"/>
        <v>2023-06-01</v>
      </c>
      <c r="J799" s="9">
        <f t="shared" si="88"/>
        <v>0.141507878730284</v>
      </c>
      <c r="K799" s="9">
        <f t="shared" si="89"/>
        <v>0.121205187395649</v>
      </c>
      <c r="L799" s="9">
        <f t="shared" si="90"/>
        <v>0.112308396297825</v>
      </c>
    </row>
    <row r="800" s="4" customFormat="1" ht="13.5" customHeight="1" spans="1:12">
      <c r="A800" s="4">
        <v>45078</v>
      </c>
      <c r="B800" s="8">
        <v>0.102091507295747</v>
      </c>
      <c r="C800" s="8">
        <v>0.0599423045514856</v>
      </c>
      <c r="D800" s="8">
        <v>0.000147981491768912</v>
      </c>
      <c r="E800" s="8">
        <v>1.5</v>
      </c>
      <c r="F800" s="9">
        <f t="shared" si="84"/>
        <v>0.145873887816196</v>
      </c>
      <c r="G800" s="9">
        <f t="shared" si="85"/>
        <v>0.119470215878608</v>
      </c>
      <c r="H800" s="9">
        <f t="shared" si="86"/>
        <v>0.111093390936614</v>
      </c>
      <c r="I800" s="3" t="str">
        <f t="shared" si="87"/>
        <v>2023-06-01</v>
      </c>
      <c r="J800" s="9">
        <f t="shared" si="88"/>
        <v>0.141507878730284</v>
      </c>
      <c r="K800" s="9">
        <f t="shared" si="89"/>
        <v>0.121205187395649</v>
      </c>
      <c r="L800" s="9">
        <f t="shared" si="90"/>
        <v>0.112308396297825</v>
      </c>
    </row>
    <row r="801" s="4" customFormat="1" ht="13.5" customHeight="1" spans="1:12">
      <c r="A801" s="4">
        <v>45077</v>
      </c>
      <c r="B801" s="8">
        <v>0.107980153726528</v>
      </c>
      <c r="C801" s="8">
        <v>0.0545637754587523</v>
      </c>
      <c r="D801" s="8">
        <v>-0.00840738711778215</v>
      </c>
      <c r="E801" s="8">
        <v>1.5</v>
      </c>
      <c r="F801" s="9">
        <f t="shared" si="84"/>
        <v>0.145985012820131</v>
      </c>
      <c r="G801" s="9">
        <f t="shared" si="85"/>
        <v>0.121633020493744</v>
      </c>
      <c r="H801" s="9">
        <f t="shared" si="86"/>
        <v>0.114905500475708</v>
      </c>
      <c r="I801" s="3" t="str">
        <f t="shared" si="87"/>
        <v>2023-05-01</v>
      </c>
      <c r="J801" s="9">
        <f t="shared" si="88"/>
        <v>0.141882852659224</v>
      </c>
      <c r="K801" s="9">
        <f t="shared" si="89"/>
        <v>0.116443198669241</v>
      </c>
      <c r="L801" s="9">
        <f t="shared" si="90"/>
        <v>0.105897569651158</v>
      </c>
    </row>
    <row r="802" s="4" customFormat="1" ht="13.5" customHeight="1" spans="1:12">
      <c r="A802" s="4">
        <v>45076</v>
      </c>
      <c r="B802" s="8">
        <v>0.106987794902451</v>
      </c>
      <c r="C802" s="8">
        <v>0.0561509424747294</v>
      </c>
      <c r="D802" s="8">
        <v>-0.00637903502388623</v>
      </c>
      <c r="E802" s="8">
        <v>1.5</v>
      </c>
      <c r="F802" s="9">
        <f t="shared" si="84"/>
        <v>0.146590137864634</v>
      </c>
      <c r="G802" s="9">
        <f t="shared" si="85"/>
        <v>0.121614263982124</v>
      </c>
      <c r="H802" s="9">
        <f t="shared" si="86"/>
        <v>0.114452197983902</v>
      </c>
      <c r="I802" s="3" t="str">
        <f t="shared" si="87"/>
        <v>2023-05-01</v>
      </c>
      <c r="J802" s="9">
        <f t="shared" si="88"/>
        <v>0.141882852659224</v>
      </c>
      <c r="K802" s="9">
        <f t="shared" si="89"/>
        <v>0.116443198669241</v>
      </c>
      <c r="L802" s="9">
        <f t="shared" si="90"/>
        <v>0.105897569651158</v>
      </c>
    </row>
    <row r="803" s="4" customFormat="1" ht="13.5" customHeight="1" spans="1:12">
      <c r="A803" s="4">
        <v>45075</v>
      </c>
      <c r="B803" s="8">
        <v>0.102522267453858</v>
      </c>
      <c r="C803" s="8">
        <v>0.0603615954476216</v>
      </c>
      <c r="D803" s="8">
        <v>-0.000148381278057977</v>
      </c>
      <c r="E803" s="8">
        <v>1.08</v>
      </c>
      <c r="F803" s="9">
        <f t="shared" si="84"/>
        <v>0.141848641759581</v>
      </c>
      <c r="G803" s="9">
        <f t="shared" si="85"/>
        <v>0.115402851750169</v>
      </c>
      <c r="H803" s="9">
        <f t="shared" si="86"/>
        <v>0.109024689457703</v>
      </c>
      <c r="I803" s="3" t="str">
        <f t="shared" si="87"/>
        <v>2023-05-01</v>
      </c>
      <c r="J803" s="9">
        <f t="shared" si="88"/>
        <v>0.141882852659224</v>
      </c>
      <c r="K803" s="9">
        <f t="shared" si="89"/>
        <v>0.116443198669241</v>
      </c>
      <c r="L803" s="9">
        <f t="shared" si="90"/>
        <v>0.105897569651158</v>
      </c>
    </row>
    <row r="804" s="4" customFormat="1" ht="13.5" customHeight="1" spans="1:12">
      <c r="A804" s="4">
        <v>45072</v>
      </c>
      <c r="B804" s="8">
        <v>0.102368168791791</v>
      </c>
      <c r="C804" s="8">
        <v>0.0605156941096883</v>
      </c>
      <c r="D804" s="8">
        <v>-0.000107394585292424</v>
      </c>
      <c r="E804" s="8">
        <v>1.13</v>
      </c>
      <c r="F804" s="9">
        <f t="shared" si="84"/>
        <v>0.142500187508376</v>
      </c>
      <c r="G804" s="9">
        <f t="shared" si="85"/>
        <v>0.115858219329331</v>
      </c>
      <c r="H804" s="9">
        <f t="shared" si="86"/>
        <v>0.10919334286662</v>
      </c>
      <c r="I804" s="3" t="str">
        <f t="shared" si="87"/>
        <v>2023-05-01</v>
      </c>
      <c r="J804" s="9">
        <f t="shared" si="88"/>
        <v>0.141882852659224</v>
      </c>
      <c r="K804" s="9">
        <f t="shared" si="89"/>
        <v>0.116443198669241</v>
      </c>
      <c r="L804" s="9">
        <f t="shared" si="90"/>
        <v>0.105897569651158</v>
      </c>
    </row>
    <row r="805" s="4" customFormat="1" ht="13.5" customHeight="1" spans="1:12">
      <c r="A805" s="4">
        <v>45071</v>
      </c>
      <c r="B805" s="8">
        <v>0.103004660784346</v>
      </c>
      <c r="C805" s="8">
        <v>0.0573268781179931</v>
      </c>
      <c r="D805" s="8">
        <v>-0.000144220979136927</v>
      </c>
      <c r="E805" s="8">
        <v>1.25</v>
      </c>
      <c r="F805" s="9">
        <f t="shared" si="84"/>
        <v>0.142430504748985</v>
      </c>
      <c r="G805" s="9">
        <f t="shared" si="85"/>
        <v>0.117041132343721</v>
      </c>
      <c r="H805" s="9">
        <f t="shared" si="86"/>
        <v>0.110150143476897</v>
      </c>
      <c r="I805" s="3" t="str">
        <f t="shared" si="87"/>
        <v>2023-05-01</v>
      </c>
      <c r="J805" s="9">
        <f t="shared" si="88"/>
        <v>0.141882852659224</v>
      </c>
      <c r="K805" s="9">
        <f t="shared" si="89"/>
        <v>0.116443198669241</v>
      </c>
      <c r="L805" s="9">
        <f t="shared" si="90"/>
        <v>0.105897569651158</v>
      </c>
    </row>
    <row r="806" s="4" customFormat="1" ht="13.5" customHeight="1" spans="1:12">
      <c r="A806" s="4">
        <v>45070</v>
      </c>
      <c r="B806" s="8">
        <v>0.0976858758301523</v>
      </c>
      <c r="C806" s="8">
        <v>0.0587194033339834</v>
      </c>
      <c r="D806" s="8">
        <v>2.97828222325638e-5</v>
      </c>
      <c r="E806" s="8">
        <v>1.59</v>
      </c>
      <c r="F806" s="9">
        <f t="shared" si="84"/>
        <v>0.141277940016182</v>
      </c>
      <c r="G806" s="9">
        <f t="shared" si="85"/>
        <v>0.115561968902556</v>
      </c>
      <c r="H806" s="9">
        <f t="shared" si="86"/>
        <v>0.107009603624063</v>
      </c>
      <c r="I806" s="3" t="str">
        <f t="shared" si="87"/>
        <v>2023-05-01</v>
      </c>
      <c r="J806" s="9">
        <f t="shared" si="88"/>
        <v>0.141882852659224</v>
      </c>
      <c r="K806" s="9">
        <f t="shared" si="89"/>
        <v>0.116443198669241</v>
      </c>
      <c r="L806" s="9">
        <f t="shared" si="90"/>
        <v>0.105897569651158</v>
      </c>
    </row>
    <row r="807" s="4" customFormat="1" ht="13.5" customHeight="1" spans="1:12">
      <c r="A807" s="4">
        <v>45069</v>
      </c>
      <c r="B807" s="8">
        <v>0.101042402714625</v>
      </c>
      <c r="C807" s="8">
        <v>0.0542504816914105</v>
      </c>
      <c r="D807" s="8">
        <v>-8.01361563914538e-5</v>
      </c>
      <c r="E807" s="8">
        <v>1.55</v>
      </c>
      <c r="F807" s="9">
        <f t="shared" si="84"/>
        <v>0.141002796314886</v>
      </c>
      <c r="G807" s="9">
        <f t="shared" si="85"/>
        <v>0.117171320145112</v>
      </c>
      <c r="H807" s="9">
        <f t="shared" si="86"/>
        <v>0.109425683410549</v>
      </c>
      <c r="I807" s="3" t="str">
        <f t="shared" si="87"/>
        <v>2023-05-01</v>
      </c>
      <c r="J807" s="9">
        <f t="shared" si="88"/>
        <v>0.141882852659224</v>
      </c>
      <c r="K807" s="9">
        <f t="shared" si="89"/>
        <v>0.116443198669241</v>
      </c>
      <c r="L807" s="9">
        <f t="shared" si="90"/>
        <v>0.105897569651158</v>
      </c>
    </row>
    <row r="808" s="4" customFormat="1" ht="13.5" customHeight="1" spans="1:12">
      <c r="A808" s="4">
        <v>45068</v>
      </c>
      <c r="B808" s="8">
        <v>0.0864495232543451</v>
      </c>
      <c r="C808" s="8">
        <v>0.0613668514398736</v>
      </c>
      <c r="D808" s="8">
        <v>0.0273678299596479</v>
      </c>
      <c r="E808" s="8">
        <v>2</v>
      </c>
      <c r="F808" s="9">
        <f t="shared" si="84"/>
        <v>0.139678848395775</v>
      </c>
      <c r="G808" s="9">
        <f t="shared" si="85"/>
        <v>0.116783393049348</v>
      </c>
      <c r="H808" s="9">
        <f t="shared" si="86"/>
        <v>0.103892478630451</v>
      </c>
      <c r="I808" s="3" t="str">
        <f t="shared" si="87"/>
        <v>2023-05-01</v>
      </c>
      <c r="J808" s="9">
        <f t="shared" si="88"/>
        <v>0.141882852659224</v>
      </c>
      <c r="K808" s="9">
        <f t="shared" si="89"/>
        <v>0.116443198669241</v>
      </c>
      <c r="L808" s="9">
        <f t="shared" si="90"/>
        <v>0.105897569651158</v>
      </c>
    </row>
    <row r="809" s="4" customFormat="1" ht="13.5" customHeight="1" spans="1:12">
      <c r="A809" s="4">
        <v>45065</v>
      </c>
      <c r="B809" s="8">
        <v>0.0900945777727317</v>
      </c>
      <c r="C809" s="8">
        <v>0.0570314871175622</v>
      </c>
      <c r="D809" s="8">
        <v>0.030459502248458</v>
      </c>
      <c r="E809" s="8">
        <v>1.72</v>
      </c>
      <c r="F809" s="9">
        <f t="shared" si="84"/>
        <v>0.139410091789482</v>
      </c>
      <c r="G809" s="9">
        <f t="shared" si="85"/>
        <v>0.116882635513959</v>
      </c>
      <c r="H809" s="9">
        <f t="shared" si="86"/>
        <v>0.105007159257067</v>
      </c>
      <c r="I809" s="3" t="str">
        <f t="shared" si="87"/>
        <v>2023-05-01</v>
      </c>
      <c r="J809" s="9">
        <f t="shared" si="88"/>
        <v>0.141882852659224</v>
      </c>
      <c r="K809" s="9">
        <f t="shared" si="89"/>
        <v>0.116443198669241</v>
      </c>
      <c r="L809" s="9">
        <f t="shared" si="90"/>
        <v>0.105897569651158</v>
      </c>
    </row>
    <row r="810" s="4" customFormat="1" ht="13.5" customHeight="1" spans="1:12">
      <c r="A810" s="4">
        <v>45064</v>
      </c>
      <c r="B810" s="8">
        <v>0.0904103568667708</v>
      </c>
      <c r="C810" s="8">
        <v>0.0567157080235232</v>
      </c>
      <c r="D810" s="8">
        <v>0.0248546236358783</v>
      </c>
      <c r="E810" s="8">
        <v>2</v>
      </c>
      <c r="F810" s="9">
        <f t="shared" si="84"/>
        <v>0.139526114766085</v>
      </c>
      <c r="G810" s="9">
        <f t="shared" si="85"/>
        <v>0.118320017558778</v>
      </c>
      <c r="H810" s="9">
        <f t="shared" si="86"/>
        <v>0.106447030747627</v>
      </c>
      <c r="I810" s="3" t="str">
        <f t="shared" si="87"/>
        <v>2023-05-01</v>
      </c>
      <c r="J810" s="9">
        <f t="shared" si="88"/>
        <v>0.141882852659224</v>
      </c>
      <c r="K810" s="9">
        <f t="shared" si="89"/>
        <v>0.116443198669241</v>
      </c>
      <c r="L810" s="9">
        <f t="shared" si="90"/>
        <v>0.105897569651158</v>
      </c>
    </row>
    <row r="811" s="4" customFormat="1" ht="13.5" customHeight="1" spans="1:12">
      <c r="A811" s="4">
        <v>45063</v>
      </c>
      <c r="B811" s="8">
        <v>0.0912351436471219</v>
      </c>
      <c r="C811" s="8">
        <v>0.055804599002193</v>
      </c>
      <c r="D811" s="8">
        <v>0.039936441872888</v>
      </c>
      <c r="E811" s="8">
        <v>1.1</v>
      </c>
      <c r="F811" s="9">
        <f t="shared" si="84"/>
        <v>0.138029830086949</v>
      </c>
      <c r="G811" s="9">
        <f t="shared" si="85"/>
        <v>0.111650642122406</v>
      </c>
      <c r="H811" s="9">
        <f t="shared" si="86"/>
        <v>0.10176097113242</v>
      </c>
      <c r="I811" s="3" t="str">
        <f t="shared" si="87"/>
        <v>2023-05-01</v>
      </c>
      <c r="J811" s="9">
        <f t="shared" si="88"/>
        <v>0.141882852659224</v>
      </c>
      <c r="K811" s="9">
        <f t="shared" si="89"/>
        <v>0.116443198669241</v>
      </c>
      <c r="L811" s="9">
        <f t="shared" si="90"/>
        <v>0.105897569651158</v>
      </c>
    </row>
    <row r="812" s="4" customFormat="1" ht="13.5" customHeight="1" spans="1:12">
      <c r="A812" s="4">
        <v>45062</v>
      </c>
      <c r="B812" s="8">
        <v>0.0879892110269039</v>
      </c>
      <c r="C812" s="8">
        <v>0.0593957758861545</v>
      </c>
      <c r="D812" s="8">
        <v>0.0302123263829673</v>
      </c>
      <c r="E812" s="8">
        <v>1.56</v>
      </c>
      <c r="F812" s="9">
        <f t="shared" si="84"/>
        <v>0.138229520712339</v>
      </c>
      <c r="G812" s="9">
        <f t="shared" si="85"/>
        <v>0.113587927881317</v>
      </c>
      <c r="H812" s="9">
        <f t="shared" si="86"/>
        <v>0.101895398027513</v>
      </c>
      <c r="I812" s="3" t="str">
        <f t="shared" si="87"/>
        <v>2023-05-01</v>
      </c>
      <c r="J812" s="9">
        <f t="shared" si="88"/>
        <v>0.141882852659224</v>
      </c>
      <c r="K812" s="9">
        <f t="shared" si="89"/>
        <v>0.116443198669241</v>
      </c>
      <c r="L812" s="9">
        <f t="shared" si="90"/>
        <v>0.105897569651158</v>
      </c>
    </row>
    <row r="813" s="4" customFormat="1" ht="13.5" customHeight="1" spans="1:12">
      <c r="A813" s="4">
        <v>45061</v>
      </c>
      <c r="B813" s="8">
        <v>0.0916971595691448</v>
      </c>
      <c r="C813" s="8">
        <v>0.0560329524551907</v>
      </c>
      <c r="D813" s="8">
        <v>0.0151900238237643</v>
      </c>
      <c r="E813" s="8">
        <v>1.83</v>
      </c>
      <c r="F813" s="9">
        <f t="shared" si="84"/>
        <v>0.137774056185556</v>
      </c>
      <c r="G813" s="9">
        <f t="shared" si="85"/>
        <v>0.115079997165888</v>
      </c>
      <c r="H813" s="9">
        <f t="shared" si="86"/>
        <v>0.104611449333251</v>
      </c>
      <c r="I813" s="3" t="str">
        <f t="shared" si="87"/>
        <v>2023-05-01</v>
      </c>
      <c r="J813" s="9">
        <f t="shared" si="88"/>
        <v>0.141882852659224</v>
      </c>
      <c r="K813" s="9">
        <f t="shared" si="89"/>
        <v>0.116443198669241</v>
      </c>
      <c r="L813" s="9">
        <f t="shared" si="90"/>
        <v>0.105897569651158</v>
      </c>
    </row>
    <row r="814" s="4" customFormat="1" ht="13.5" customHeight="1" spans="1:12">
      <c r="A814" s="4">
        <v>45058</v>
      </c>
      <c r="B814" s="8">
        <v>0.0913594617290459</v>
      </c>
      <c r="C814" s="8">
        <v>0.057146746570178</v>
      </c>
      <c r="D814" s="8">
        <v>0.0179018975502671</v>
      </c>
      <c r="E814" s="8">
        <v>2</v>
      </c>
      <c r="F814" s="9">
        <f t="shared" si="84"/>
        <v>0.13956009298084</v>
      </c>
      <c r="G814" s="9">
        <f t="shared" si="85"/>
        <v>0.117445295001704</v>
      </c>
      <c r="H814" s="9">
        <f t="shared" si="86"/>
        <v>0.106147433758971</v>
      </c>
      <c r="I814" s="3" t="str">
        <f t="shared" si="87"/>
        <v>2023-05-01</v>
      </c>
      <c r="J814" s="9">
        <f t="shared" si="88"/>
        <v>0.141882852659224</v>
      </c>
      <c r="K814" s="9">
        <f t="shared" si="89"/>
        <v>0.116443198669241</v>
      </c>
      <c r="L814" s="9">
        <f t="shared" si="90"/>
        <v>0.105897569651158</v>
      </c>
    </row>
    <row r="815" s="4" customFormat="1" ht="13.5" customHeight="1" spans="1:12">
      <c r="A815" s="4">
        <v>45057</v>
      </c>
      <c r="B815" s="8">
        <v>0.0891459800949961</v>
      </c>
      <c r="C815" s="8">
        <v>0.0596187931701159</v>
      </c>
      <c r="D815" s="8">
        <v>0.0351273369007986</v>
      </c>
      <c r="E815" s="8">
        <v>2</v>
      </c>
      <c r="F815" s="9">
        <f t="shared" si="84"/>
        <v>0.142399567858174</v>
      </c>
      <c r="G815" s="9">
        <f t="shared" si="85"/>
        <v>0.121050110339602</v>
      </c>
      <c r="H815" s="9">
        <f t="shared" si="86"/>
        <v>0.107730841094365</v>
      </c>
      <c r="I815" s="3" t="str">
        <f t="shared" si="87"/>
        <v>2023-05-01</v>
      </c>
      <c r="J815" s="9">
        <f t="shared" si="88"/>
        <v>0.141882852659224</v>
      </c>
      <c r="K815" s="9">
        <f t="shared" si="89"/>
        <v>0.116443198669241</v>
      </c>
      <c r="L815" s="9">
        <f t="shared" si="90"/>
        <v>0.105897569651158</v>
      </c>
    </row>
    <row r="816" s="4" customFormat="1" ht="13.5" customHeight="1" spans="1:12">
      <c r="A816" s="4">
        <v>45056</v>
      </c>
      <c r="B816" s="8">
        <v>0.0743712560089279</v>
      </c>
      <c r="C816" s="8">
        <v>0.074565856765443</v>
      </c>
      <c r="D816" s="8">
        <v>0.0696036289907717</v>
      </c>
      <c r="E816" s="8">
        <v>1.67</v>
      </c>
      <c r="F816" s="9">
        <f t="shared" si="84"/>
        <v>0.144597343533729</v>
      </c>
      <c r="G816" s="9">
        <f t="shared" si="85"/>
        <v>0.116625914884512</v>
      </c>
      <c r="H816" s="9">
        <f t="shared" si="86"/>
        <v>0.098212553122875</v>
      </c>
      <c r="I816" s="3" t="str">
        <f t="shared" si="87"/>
        <v>2023-05-01</v>
      </c>
      <c r="J816" s="9">
        <f t="shared" si="88"/>
        <v>0.141882852659224</v>
      </c>
      <c r="K816" s="9">
        <f t="shared" si="89"/>
        <v>0.116443198669241</v>
      </c>
      <c r="L816" s="9">
        <f t="shared" si="90"/>
        <v>0.105897569651158</v>
      </c>
    </row>
    <row r="817" s="4" customFormat="1" ht="13.5" customHeight="1" spans="1:12">
      <c r="A817" s="4">
        <v>45051</v>
      </c>
      <c r="B817" s="8">
        <v>0.0777158241309455</v>
      </c>
      <c r="C817" s="8">
        <v>0.0731150655716384</v>
      </c>
      <c r="D817" s="8">
        <v>0.0838559706812332</v>
      </c>
      <c r="E817" s="8">
        <v>1.36</v>
      </c>
      <c r="F817" s="9">
        <f t="shared" si="84"/>
        <v>0.148663847693308</v>
      </c>
      <c r="G817" s="9">
        <f t="shared" si="85"/>
        <v>0.117208639887881</v>
      </c>
      <c r="H817" s="9">
        <f t="shared" si="86"/>
        <v>0.0989964802954843</v>
      </c>
      <c r="I817" s="3" t="str">
        <f t="shared" si="87"/>
        <v>2023-05-01</v>
      </c>
      <c r="J817" s="9">
        <f t="shared" si="88"/>
        <v>0.141882852659224</v>
      </c>
      <c r="K817" s="9">
        <f t="shared" si="89"/>
        <v>0.116443198669241</v>
      </c>
      <c r="L817" s="9">
        <f t="shared" si="90"/>
        <v>0.105897569651158</v>
      </c>
    </row>
    <row r="818" s="4" customFormat="1" ht="13.5" customHeight="1" spans="1:12">
      <c r="A818" s="4">
        <v>45050</v>
      </c>
      <c r="B818" s="8">
        <v>0.07901165166749</v>
      </c>
      <c r="C818" s="8">
        <v>0.07465319587666</v>
      </c>
      <c r="D818" s="8">
        <v>0.0779604114555674</v>
      </c>
      <c r="E818" s="8">
        <v>1.39</v>
      </c>
      <c r="F818" s="9">
        <f t="shared" si="84"/>
        <v>0.149859693522584</v>
      </c>
      <c r="G818" s="9">
        <f t="shared" si="85"/>
        <v>0.118139334095149</v>
      </c>
      <c r="H818" s="9">
        <f t="shared" si="86"/>
        <v>0.100150474039723</v>
      </c>
      <c r="I818" s="3" t="str">
        <f t="shared" si="87"/>
        <v>2023-05-01</v>
      </c>
      <c r="J818" s="9">
        <f t="shared" si="88"/>
        <v>0.141882852659224</v>
      </c>
      <c r="K818" s="9">
        <f t="shared" si="89"/>
        <v>0.116443198669241</v>
      </c>
      <c r="L818" s="9">
        <f t="shared" si="90"/>
        <v>0.105897569651158</v>
      </c>
    </row>
    <row r="819" s="4" customFormat="1" ht="13.5" customHeight="1" spans="1:12">
      <c r="A819" s="4">
        <v>45049</v>
      </c>
      <c r="B819" s="8">
        <v>0.0895625015111235</v>
      </c>
      <c r="C819" s="8">
        <v>0.065987199229842</v>
      </c>
      <c r="D819" s="8">
        <v>0.0456268970385427</v>
      </c>
      <c r="E819" s="8">
        <v>1</v>
      </c>
      <c r="F819" s="9">
        <f t="shared" si="84"/>
        <v>0.143330869032513</v>
      </c>
      <c r="G819" s="9">
        <f t="shared" si="85"/>
        <v>0.111427479177821</v>
      </c>
      <c r="H819" s="9">
        <f t="shared" si="86"/>
        <v>0.100721332952828</v>
      </c>
      <c r="I819" s="3" t="str">
        <f t="shared" si="87"/>
        <v>2023-05-01</v>
      </c>
      <c r="J819" s="9">
        <f t="shared" si="88"/>
        <v>0.141882852659224</v>
      </c>
      <c r="K819" s="9">
        <f t="shared" si="89"/>
        <v>0.116443198669241</v>
      </c>
      <c r="L819" s="9">
        <f t="shared" si="90"/>
        <v>0.105897569651158</v>
      </c>
    </row>
    <row r="820" s="4" customFormat="1" ht="13.5" customHeight="1" spans="1:12">
      <c r="A820" s="4">
        <v>45048</v>
      </c>
      <c r="B820" s="8">
        <v>0.110345072932712</v>
      </c>
      <c r="C820" s="8">
        <v>0.0443483167437688</v>
      </c>
      <c r="D820" s="8">
        <v>-0.0569959315182507</v>
      </c>
      <c r="E820" s="8">
        <v>2</v>
      </c>
      <c r="F820" s="9">
        <f t="shared" si="84"/>
        <v>0.134961955594364</v>
      </c>
      <c r="G820" s="9">
        <f t="shared" si="85"/>
        <v>0.110379809759706</v>
      </c>
      <c r="H820" s="9">
        <f t="shared" si="86"/>
        <v>0.108216629335152</v>
      </c>
      <c r="I820" s="3" t="str">
        <f t="shared" si="87"/>
        <v>2023-05-01</v>
      </c>
      <c r="J820" s="9">
        <f t="shared" si="88"/>
        <v>0.141882852659224</v>
      </c>
      <c r="K820" s="9">
        <f t="shared" si="89"/>
        <v>0.116443198669241</v>
      </c>
      <c r="L820" s="9">
        <f t="shared" si="90"/>
        <v>0.105897569651158</v>
      </c>
    </row>
    <row r="821" s="4" customFormat="1" ht="13.5" customHeight="1" spans="1:12">
      <c r="A821" s="4">
        <v>45044</v>
      </c>
      <c r="B821" s="8">
        <v>0.111941488761929</v>
      </c>
      <c r="C821" s="8">
        <v>0.0428375650256241</v>
      </c>
      <c r="D821" s="8">
        <v>-0.0591241829903659</v>
      </c>
      <c r="E821" s="8">
        <v>2</v>
      </c>
      <c r="F821" s="9">
        <f t="shared" si="84"/>
        <v>0.134985548823847</v>
      </c>
      <c r="G821" s="9">
        <f t="shared" si="85"/>
        <v>0.110814804860725</v>
      </c>
      <c r="H821" s="9">
        <f t="shared" si="86"/>
        <v>0.109104488454062</v>
      </c>
      <c r="I821" s="3" t="str">
        <f t="shared" si="87"/>
        <v>2023-04-01</v>
      </c>
      <c r="J821" s="9">
        <f t="shared" si="88"/>
        <v>0.134274482781368</v>
      </c>
      <c r="K821" s="9">
        <f t="shared" si="89"/>
        <v>0.113006353183198</v>
      </c>
      <c r="L821" s="9">
        <f t="shared" si="90"/>
        <v>0.110048165610839</v>
      </c>
    </row>
    <row r="822" s="4" customFormat="1" ht="13.5" customHeight="1" spans="1:12">
      <c r="A822" s="4">
        <v>45043</v>
      </c>
      <c r="B822" s="8">
        <v>0.109964292783246</v>
      </c>
      <c r="C822" s="8">
        <v>0.0511336275590819</v>
      </c>
      <c r="D822" s="8">
        <v>-0.0405258984755209</v>
      </c>
      <c r="E822" s="8">
        <v>1</v>
      </c>
      <c r="F822" s="9">
        <f t="shared" si="84"/>
        <v>0.131578301303594</v>
      </c>
      <c r="G822" s="9">
        <f t="shared" si="85"/>
        <v>0.112344605092707</v>
      </c>
      <c r="H822" s="9">
        <f t="shared" si="86"/>
        <v>0.111026857405531</v>
      </c>
      <c r="I822" s="3" t="str">
        <f t="shared" si="87"/>
        <v>2023-04-01</v>
      </c>
      <c r="J822" s="9">
        <f t="shared" si="88"/>
        <v>0.134274482781368</v>
      </c>
      <c r="K822" s="9">
        <f t="shared" si="89"/>
        <v>0.113006353183198</v>
      </c>
      <c r="L822" s="9">
        <f t="shared" si="90"/>
        <v>0.110048165610839</v>
      </c>
    </row>
    <row r="823" s="4" customFormat="1" ht="13.5" customHeight="1" spans="1:12">
      <c r="A823" s="4">
        <v>45042</v>
      </c>
      <c r="B823" s="8">
        <v>0.101138695596849</v>
      </c>
      <c r="C823" s="8">
        <v>0.0620000417803319</v>
      </c>
      <c r="D823" s="8">
        <v>-0.0148656688846677</v>
      </c>
      <c r="E823" s="8">
        <v>1</v>
      </c>
      <c r="F823" s="9">
        <f t="shared" si="84"/>
        <v>0.136402075693621</v>
      </c>
      <c r="G823" s="9">
        <f t="shared" si="85"/>
        <v>0.110602216483751</v>
      </c>
      <c r="H823" s="9">
        <f t="shared" si="86"/>
        <v>0.105852593797017</v>
      </c>
      <c r="I823" s="3" t="str">
        <f t="shared" si="87"/>
        <v>2023-04-01</v>
      </c>
      <c r="J823" s="9">
        <f t="shared" si="88"/>
        <v>0.134274482781368</v>
      </c>
      <c r="K823" s="9">
        <f t="shared" si="89"/>
        <v>0.113006353183198</v>
      </c>
      <c r="L823" s="9">
        <f t="shared" si="90"/>
        <v>0.110048165610839</v>
      </c>
    </row>
    <row r="824" s="4" customFormat="1" ht="13.5" customHeight="1" spans="1:12">
      <c r="A824" s="4">
        <v>45041</v>
      </c>
      <c r="B824" s="8">
        <v>0.100587981238983</v>
      </c>
      <c r="C824" s="8">
        <v>0.0624658051973145</v>
      </c>
      <c r="D824" s="8">
        <v>-0.00977675763749846</v>
      </c>
      <c r="E824" s="8">
        <v>1</v>
      </c>
      <c r="F824" s="9">
        <f t="shared" si="84"/>
        <v>0.13749047956279</v>
      </c>
      <c r="G824" s="9">
        <f t="shared" si="85"/>
        <v>0.111120662823753</v>
      </c>
      <c r="H824" s="9">
        <f t="shared" si="86"/>
        <v>0.105857090651169</v>
      </c>
      <c r="I824" s="3" t="str">
        <f t="shared" si="87"/>
        <v>2023-04-01</v>
      </c>
      <c r="J824" s="9">
        <f t="shared" si="88"/>
        <v>0.134274482781368</v>
      </c>
      <c r="K824" s="9">
        <f t="shared" si="89"/>
        <v>0.113006353183198</v>
      </c>
      <c r="L824" s="9">
        <f t="shared" si="90"/>
        <v>0.110048165610839</v>
      </c>
    </row>
    <row r="825" s="4" customFormat="1" ht="13.5" customHeight="1" spans="1:12">
      <c r="A825" s="4">
        <v>45040</v>
      </c>
      <c r="B825" s="8">
        <v>0.1025755109328</v>
      </c>
      <c r="C825" s="8">
        <v>0.0594583009144331</v>
      </c>
      <c r="D825" s="8">
        <v>-0.00144142217013235</v>
      </c>
      <c r="E825" s="8">
        <v>1</v>
      </c>
      <c r="F825" s="9">
        <f t="shared" si="84"/>
        <v>0.139779442328576</v>
      </c>
      <c r="G825" s="9">
        <f t="shared" si="85"/>
        <v>0.11411041597704</v>
      </c>
      <c r="H825" s="9">
        <f t="shared" si="86"/>
        <v>0.108377000851473</v>
      </c>
      <c r="I825" s="3" t="str">
        <f t="shared" si="87"/>
        <v>2023-04-01</v>
      </c>
      <c r="J825" s="9">
        <f t="shared" si="88"/>
        <v>0.134274482781368</v>
      </c>
      <c r="K825" s="9">
        <f t="shared" si="89"/>
        <v>0.113006353183198</v>
      </c>
      <c r="L825" s="9">
        <f t="shared" si="90"/>
        <v>0.110048165610839</v>
      </c>
    </row>
    <row r="826" s="4" customFormat="1" ht="13.5" customHeight="1" spans="1:12">
      <c r="A826" s="4">
        <v>45037</v>
      </c>
      <c r="B826" s="8">
        <v>0.0991655318017084</v>
      </c>
      <c r="C826" s="8">
        <v>0.0629533176747267</v>
      </c>
      <c r="D826" s="8">
        <v>6.25910802402423e-5</v>
      </c>
      <c r="E826" s="8">
        <v>1.3</v>
      </c>
      <c r="F826" s="9">
        <f t="shared" si="84"/>
        <v>0.143097675935081</v>
      </c>
      <c r="G826" s="9">
        <f t="shared" si="85"/>
        <v>0.115198337377927</v>
      </c>
      <c r="H826" s="9">
        <f t="shared" si="86"/>
        <v>0.107353833141562</v>
      </c>
      <c r="I826" s="3" t="str">
        <f t="shared" si="87"/>
        <v>2023-04-01</v>
      </c>
      <c r="J826" s="9">
        <f t="shared" si="88"/>
        <v>0.134274482781368</v>
      </c>
      <c r="K826" s="9">
        <f t="shared" si="89"/>
        <v>0.113006353183198</v>
      </c>
      <c r="L826" s="9">
        <f t="shared" si="90"/>
        <v>0.110048165610839</v>
      </c>
    </row>
    <row r="827" s="4" customFormat="1" ht="13.5" customHeight="1" spans="1:12">
      <c r="A827" s="4">
        <v>45036</v>
      </c>
      <c r="B827" s="8">
        <v>0.109079814610432</v>
      </c>
      <c r="C827" s="8">
        <v>0.0524436195462395</v>
      </c>
      <c r="D827" s="8">
        <v>-0.00811144660256097</v>
      </c>
      <c r="E827" s="8">
        <v>1</v>
      </c>
      <c r="F827" s="9">
        <f t="shared" si="84"/>
        <v>0.140087126988916</v>
      </c>
      <c r="G827" s="9">
        <f t="shared" si="85"/>
        <v>0.117941162130132</v>
      </c>
      <c r="H827" s="9">
        <f t="shared" si="86"/>
        <v>0.113513198896152</v>
      </c>
      <c r="I827" s="3" t="str">
        <f t="shared" si="87"/>
        <v>2023-04-01</v>
      </c>
      <c r="J827" s="9">
        <f t="shared" si="88"/>
        <v>0.134274482781368</v>
      </c>
      <c r="K827" s="9">
        <f t="shared" si="89"/>
        <v>0.113006353183198</v>
      </c>
      <c r="L827" s="9">
        <f t="shared" si="90"/>
        <v>0.110048165610839</v>
      </c>
    </row>
    <row r="828" s="4" customFormat="1" ht="13.5" customHeight="1" spans="1:12">
      <c r="A828" s="4">
        <v>45035</v>
      </c>
      <c r="B828" s="8">
        <v>0.114763516180098</v>
      </c>
      <c r="C828" s="8">
        <v>0.0454828329619995</v>
      </c>
      <c r="D828" s="8">
        <v>-0.0576282696082111</v>
      </c>
      <c r="E828" s="8">
        <v>1</v>
      </c>
      <c r="F828" s="9">
        <f t="shared" si="84"/>
        <v>0.128286391599224</v>
      </c>
      <c r="G828" s="9">
        <f t="shared" si="85"/>
        <v>0.112739092138805</v>
      </c>
      <c r="H828" s="9">
        <f t="shared" si="86"/>
        <v>0.113551643975066</v>
      </c>
      <c r="I828" s="3" t="str">
        <f t="shared" si="87"/>
        <v>2023-04-01</v>
      </c>
      <c r="J828" s="9">
        <f t="shared" si="88"/>
        <v>0.134274482781368</v>
      </c>
      <c r="K828" s="9">
        <f t="shared" si="89"/>
        <v>0.113006353183198</v>
      </c>
      <c r="L828" s="9">
        <f t="shared" si="90"/>
        <v>0.110048165610839</v>
      </c>
    </row>
    <row r="829" s="4" customFormat="1" ht="13.5" customHeight="1" spans="1:12">
      <c r="A829" s="4">
        <v>45034</v>
      </c>
      <c r="B829" s="8">
        <v>0.113106492243384</v>
      </c>
      <c r="C829" s="8">
        <v>0.0409013202359639</v>
      </c>
      <c r="D829" s="8">
        <v>-0.033203005430456</v>
      </c>
      <c r="E829" s="8">
        <v>1</v>
      </c>
      <c r="F829" s="9">
        <f t="shared" si="84"/>
        <v>0.130187458383248</v>
      </c>
      <c r="G829" s="9">
        <f t="shared" si="85"/>
        <v>0.114859501127858</v>
      </c>
      <c r="H829" s="9">
        <f t="shared" si="86"/>
        <v>0.113877796187754</v>
      </c>
      <c r="I829" s="3" t="str">
        <f t="shared" si="87"/>
        <v>2023-04-01</v>
      </c>
      <c r="J829" s="9">
        <f t="shared" si="88"/>
        <v>0.134274482781368</v>
      </c>
      <c r="K829" s="9">
        <f t="shared" si="89"/>
        <v>0.113006353183198</v>
      </c>
      <c r="L829" s="9">
        <f t="shared" si="90"/>
        <v>0.110048165610839</v>
      </c>
    </row>
    <row r="830" s="4" customFormat="1" ht="13.5" customHeight="1" spans="1:12">
      <c r="A830" s="4">
        <v>45033</v>
      </c>
      <c r="B830" s="8">
        <v>0.11795132324344</v>
      </c>
      <c r="C830" s="8">
        <v>0.0337391899969927</v>
      </c>
      <c r="D830" s="8">
        <v>-0.0397042548253001</v>
      </c>
      <c r="E830" s="8">
        <v>1</v>
      </c>
      <c r="F830" s="9">
        <f t="shared" si="84"/>
        <v>0.128787062207982</v>
      </c>
      <c r="G830" s="9">
        <f t="shared" si="85"/>
        <v>0.117033873900561</v>
      </c>
      <c r="H830" s="9">
        <f t="shared" si="86"/>
        <v>0.117356646412342</v>
      </c>
      <c r="I830" s="3" t="str">
        <f t="shared" si="87"/>
        <v>2023-04-01</v>
      </c>
      <c r="J830" s="9">
        <f t="shared" si="88"/>
        <v>0.134274482781368</v>
      </c>
      <c r="K830" s="9">
        <f t="shared" si="89"/>
        <v>0.113006353183198</v>
      </c>
      <c r="L830" s="9">
        <f t="shared" si="90"/>
        <v>0.110048165610839</v>
      </c>
    </row>
    <row r="831" s="4" customFormat="1" ht="13.5" customHeight="1" spans="1:12">
      <c r="A831" s="4">
        <v>45030</v>
      </c>
      <c r="B831" s="8">
        <v>0.116506597361434</v>
      </c>
      <c r="C831" s="8">
        <v>0.0353557519478125</v>
      </c>
      <c r="D831" s="8">
        <v>-0.0306357347925538</v>
      </c>
      <c r="E831" s="8">
        <v>1</v>
      </c>
      <c r="F831" s="9">
        <f t="shared" si="84"/>
        <v>0.130760474238658</v>
      </c>
      <c r="G831" s="9">
        <f t="shared" si="85"/>
        <v>0.117650662104711</v>
      </c>
      <c r="H831" s="9">
        <f t="shared" si="86"/>
        <v>0.116979968508323</v>
      </c>
      <c r="I831" s="3" t="str">
        <f t="shared" si="87"/>
        <v>2023-04-01</v>
      </c>
      <c r="J831" s="9">
        <f t="shared" si="88"/>
        <v>0.134274482781368</v>
      </c>
      <c r="K831" s="9">
        <f t="shared" si="89"/>
        <v>0.113006353183198</v>
      </c>
      <c r="L831" s="9">
        <f t="shared" si="90"/>
        <v>0.110048165610839</v>
      </c>
    </row>
    <row r="832" s="4" customFormat="1" ht="13.5" customHeight="1" spans="1:12">
      <c r="A832" s="4">
        <v>45029</v>
      </c>
      <c r="B832" s="8">
        <v>0.117856992583662</v>
      </c>
      <c r="C832" s="8">
        <v>0.0332318617791942</v>
      </c>
      <c r="D832" s="8">
        <v>-0.0277687780884025</v>
      </c>
      <c r="E832" s="8">
        <v>1</v>
      </c>
      <c r="F832" s="9">
        <f t="shared" si="84"/>
        <v>0.131525882664388</v>
      </c>
      <c r="G832" s="9">
        <f t="shared" si="85"/>
        <v>0.119129351883137</v>
      </c>
      <c r="H832" s="9">
        <f t="shared" si="86"/>
        <v>0.118404536850954</v>
      </c>
      <c r="I832" s="3" t="str">
        <f t="shared" si="87"/>
        <v>2023-04-01</v>
      </c>
      <c r="J832" s="9">
        <f t="shared" si="88"/>
        <v>0.134274482781368</v>
      </c>
      <c r="K832" s="9">
        <f t="shared" si="89"/>
        <v>0.113006353183198</v>
      </c>
      <c r="L832" s="9">
        <f t="shared" si="90"/>
        <v>0.110048165610839</v>
      </c>
    </row>
    <row r="833" s="4" customFormat="1" ht="13.5" customHeight="1" spans="1:12">
      <c r="A833" s="4">
        <v>45028</v>
      </c>
      <c r="B833" s="8">
        <v>0.113334868977711</v>
      </c>
      <c r="C833" s="8">
        <v>0.0381837786611984</v>
      </c>
      <c r="D833" s="8">
        <v>-0.0438262741724546</v>
      </c>
      <c r="E833" s="8">
        <v>1.23</v>
      </c>
      <c r="F833" s="9">
        <f t="shared" si="84"/>
        <v>0.128910672684871</v>
      </c>
      <c r="G833" s="9">
        <f t="shared" si="85"/>
        <v>0.112722796564986</v>
      </c>
      <c r="H833" s="9">
        <f t="shared" si="86"/>
        <v>0.11265395522867</v>
      </c>
      <c r="I833" s="3" t="str">
        <f t="shared" si="87"/>
        <v>2023-04-01</v>
      </c>
      <c r="J833" s="9">
        <f t="shared" si="88"/>
        <v>0.134274482781368</v>
      </c>
      <c r="K833" s="9">
        <f t="shared" si="89"/>
        <v>0.113006353183198</v>
      </c>
      <c r="L833" s="9">
        <f t="shared" si="90"/>
        <v>0.110048165610839</v>
      </c>
    </row>
    <row r="834" s="4" customFormat="1" ht="13.5" customHeight="1" spans="1:12">
      <c r="A834" s="4">
        <v>45027</v>
      </c>
      <c r="B834" s="8">
        <v>0.108143948716126</v>
      </c>
      <c r="C834" s="8">
        <v>0.0426869409864581</v>
      </c>
      <c r="D834" s="8">
        <v>-0.0399916388958227</v>
      </c>
      <c r="E834" s="8">
        <v>1.57</v>
      </c>
      <c r="F834" s="9">
        <f t="shared" si="84"/>
        <v>0.131289294874038</v>
      </c>
      <c r="G834" s="9">
        <f t="shared" si="85"/>
        <v>0.110610502329092</v>
      </c>
      <c r="H834" s="9">
        <f t="shared" si="86"/>
        <v>0.10863489752368</v>
      </c>
      <c r="I834" s="3" t="str">
        <f t="shared" si="87"/>
        <v>2023-04-01</v>
      </c>
      <c r="J834" s="9">
        <f t="shared" si="88"/>
        <v>0.134274482781368</v>
      </c>
      <c r="K834" s="9">
        <f t="shared" si="89"/>
        <v>0.113006353183198</v>
      </c>
      <c r="L834" s="9">
        <f t="shared" si="90"/>
        <v>0.110048165610839</v>
      </c>
    </row>
    <row r="835" s="4" customFormat="1" ht="13.5" customHeight="1" spans="1:12">
      <c r="A835" s="4">
        <v>45026</v>
      </c>
      <c r="B835" s="8">
        <v>0.110461142093555</v>
      </c>
      <c r="C835" s="8">
        <v>0.0403697476090288</v>
      </c>
      <c r="D835" s="8">
        <v>-0.0450133882693831</v>
      </c>
      <c r="E835" s="8">
        <v>1.64</v>
      </c>
      <c r="F835" s="9">
        <f t="shared" si="84"/>
        <v>0.131448537478311</v>
      </c>
      <c r="G835" s="9">
        <f t="shared" si="85"/>
        <v>0.111144636001073</v>
      </c>
      <c r="H835" s="9">
        <f t="shared" si="86"/>
        <v>0.109802502885816</v>
      </c>
      <c r="I835" s="3" t="str">
        <f t="shared" si="87"/>
        <v>2023-04-01</v>
      </c>
      <c r="J835" s="9">
        <f t="shared" si="88"/>
        <v>0.134274482781368</v>
      </c>
      <c r="K835" s="9">
        <f t="shared" si="89"/>
        <v>0.113006353183198</v>
      </c>
      <c r="L835" s="9">
        <f t="shared" si="90"/>
        <v>0.110048165610839</v>
      </c>
    </row>
    <row r="836" s="4" customFormat="1" ht="13.5" customHeight="1" spans="1:12">
      <c r="A836" s="4">
        <v>45023</v>
      </c>
      <c r="B836" s="8">
        <v>0.115958654428855</v>
      </c>
      <c r="C836" s="8">
        <v>0.0390773476706771</v>
      </c>
      <c r="D836" s="8">
        <v>-0.0667589888738832</v>
      </c>
      <c r="E836" s="8">
        <v>1.65</v>
      </c>
      <c r="F836" s="9">
        <f t="shared" si="84"/>
        <v>0.131616029304154</v>
      </c>
      <c r="G836" s="9">
        <f t="shared" si="85"/>
        <v>0.110489465509926</v>
      </c>
      <c r="H836" s="9">
        <f t="shared" si="86"/>
        <v>0.111557587299814</v>
      </c>
      <c r="I836" s="3" t="str">
        <f t="shared" si="87"/>
        <v>2023-04-01</v>
      </c>
      <c r="J836" s="9">
        <f t="shared" si="88"/>
        <v>0.134274482781368</v>
      </c>
      <c r="K836" s="9">
        <f t="shared" si="89"/>
        <v>0.113006353183198</v>
      </c>
      <c r="L836" s="9">
        <f t="shared" si="90"/>
        <v>0.110048165610839</v>
      </c>
    </row>
    <row r="837" s="4" customFormat="1" ht="13.5" customHeight="1" spans="1:12">
      <c r="A837" s="4">
        <v>45022</v>
      </c>
      <c r="B837" s="8">
        <v>0.116702433865298</v>
      </c>
      <c r="C837" s="8">
        <v>0.0412410442006568</v>
      </c>
      <c r="D837" s="8">
        <v>-0.0692850490211469</v>
      </c>
      <c r="E837" s="8">
        <v>1.58</v>
      </c>
      <c r="F837" s="9">
        <f t="shared" ref="F837:F900" si="91">B837+(C837+D837)*(E837/$F$3)*(1-EXP(-$F$3/E837))-D837*EXP(-$F$3/E837)</f>
        <v>0.132716564657823</v>
      </c>
      <c r="G837" s="9">
        <f t="shared" ref="G837:G900" si="92">B837+(C837+D837)*(E837/$G$3)*(1-EXP(-$G$3/E837))-D837*EXP(-$G$3/E837)</f>
        <v>0.111140896828217</v>
      </c>
      <c r="H837" s="9">
        <f t="shared" ref="H837:H900" si="93">B837+(C837+D837)*(E837/$H$3)*(1-EXP(-$H$3/E837))-D837*EXP(-$H$3/E837)</f>
        <v>0.112402961958584</v>
      </c>
      <c r="I837" s="3" t="str">
        <f t="shared" ref="I837:I900" si="94">TEXT(A837,"yyyy-mm-01")</f>
        <v>2023-04-01</v>
      </c>
      <c r="J837" s="9">
        <f t="shared" ref="J837:J900" si="95">AVERAGEIF($I:$I,I837,$F:$F)</f>
        <v>0.134274482781368</v>
      </c>
      <c r="K837" s="9">
        <f t="shared" ref="K837:K900" si="96">AVERAGEIF($I:$I,I837,$G:$G)</f>
        <v>0.113006353183198</v>
      </c>
      <c r="L837" s="9">
        <f t="shared" ref="L837:L900" si="97">AVERAGEIF($I:$I,I837,$H:$H)</f>
        <v>0.110048165610839</v>
      </c>
    </row>
    <row r="838" s="4" customFormat="1" ht="13.5" customHeight="1" spans="1:12">
      <c r="A838" s="4">
        <v>45021</v>
      </c>
      <c r="B838" s="8">
        <v>0.0920249748229677</v>
      </c>
      <c r="C838" s="8">
        <v>0.0625827434034711</v>
      </c>
      <c r="D838" s="8">
        <v>0.0233271421735117</v>
      </c>
      <c r="E838" s="8">
        <v>1</v>
      </c>
      <c r="F838" s="9">
        <f t="shared" si="91"/>
        <v>0.137748803675869</v>
      </c>
      <c r="G838" s="9">
        <f t="shared" si="92"/>
        <v>0.108934003639616</v>
      </c>
      <c r="H838" s="9">
        <f t="shared" si="93"/>
        <v>0.100614514299773</v>
      </c>
      <c r="I838" s="3" t="str">
        <f t="shared" si="94"/>
        <v>2023-04-01</v>
      </c>
      <c r="J838" s="9">
        <f t="shared" si="95"/>
        <v>0.134274482781368</v>
      </c>
      <c r="K838" s="9">
        <f t="shared" si="96"/>
        <v>0.113006353183198</v>
      </c>
      <c r="L838" s="9">
        <f t="shared" si="97"/>
        <v>0.110048165610839</v>
      </c>
    </row>
    <row r="839" s="4" customFormat="1" ht="13.5" customHeight="1" spans="1:12">
      <c r="A839" s="4">
        <v>45020</v>
      </c>
      <c r="B839" s="8">
        <v>0.0925496887504448</v>
      </c>
      <c r="C839" s="8">
        <v>0.0615438465869554</v>
      </c>
      <c r="D839" s="8">
        <v>0.0270406012492334</v>
      </c>
      <c r="E839" s="8">
        <v>1</v>
      </c>
      <c r="F839" s="9">
        <f t="shared" si="91"/>
        <v>0.138598058143668</v>
      </c>
      <c r="G839" s="9">
        <f t="shared" si="92"/>
        <v>0.109965004716749</v>
      </c>
      <c r="H839" s="9">
        <f t="shared" si="93"/>
        <v>0.101406503719895</v>
      </c>
      <c r="I839" s="3" t="str">
        <f t="shared" si="94"/>
        <v>2023-04-01</v>
      </c>
      <c r="J839" s="9">
        <f t="shared" si="95"/>
        <v>0.134274482781368</v>
      </c>
      <c r="K839" s="9">
        <f t="shared" si="96"/>
        <v>0.113006353183198</v>
      </c>
      <c r="L839" s="9">
        <f t="shared" si="97"/>
        <v>0.110048165610839</v>
      </c>
    </row>
    <row r="840" s="4" customFormat="1" ht="13.5" customHeight="1" spans="1:12">
      <c r="A840" s="4">
        <v>45019</v>
      </c>
      <c r="B840" s="8">
        <v>0.0930687371237944</v>
      </c>
      <c r="C840" s="8">
        <v>0.0648747409421601</v>
      </c>
      <c r="D840" s="8">
        <v>-0.000165671307785566</v>
      </c>
      <c r="E840" s="8">
        <v>1.48</v>
      </c>
      <c r="F840" s="9">
        <f t="shared" si="91"/>
        <v>0.140193775078702</v>
      </c>
      <c r="G840" s="9">
        <f t="shared" si="92"/>
        <v>0.111575072173196</v>
      </c>
      <c r="H840" s="9">
        <f t="shared" si="93"/>
        <v>0.102634734169137</v>
      </c>
      <c r="I840" s="3" t="str">
        <f t="shared" si="94"/>
        <v>2023-04-01</v>
      </c>
      <c r="J840" s="9">
        <f t="shared" si="95"/>
        <v>0.134274482781368</v>
      </c>
      <c r="K840" s="9">
        <f t="shared" si="96"/>
        <v>0.113006353183198</v>
      </c>
      <c r="L840" s="9">
        <f t="shared" si="97"/>
        <v>0.110048165610839</v>
      </c>
    </row>
    <row r="841" s="4" customFormat="1" ht="13.5" customHeight="1" spans="1:12">
      <c r="A841" s="4">
        <v>45016</v>
      </c>
      <c r="B841" s="8">
        <v>0.0932383643471122</v>
      </c>
      <c r="C841" s="8">
        <v>0.0601691822822</v>
      </c>
      <c r="D841" s="8">
        <v>0.0335653648009459</v>
      </c>
      <c r="E841" s="8">
        <v>1</v>
      </c>
      <c r="F841" s="9">
        <f t="shared" si="91"/>
        <v>0.140141890985165</v>
      </c>
      <c r="G841" s="9">
        <f t="shared" si="92"/>
        <v>0.111632796432662</v>
      </c>
      <c r="H841" s="9">
        <f t="shared" si="93"/>
        <v>0.102609869636037</v>
      </c>
      <c r="I841" s="3" t="str">
        <f t="shared" si="94"/>
        <v>2023-03-01</v>
      </c>
      <c r="J841" s="9">
        <f t="shared" si="95"/>
        <v>0.140640051201319</v>
      </c>
      <c r="K841" s="9">
        <f t="shared" si="96"/>
        <v>0.114229871522422</v>
      </c>
      <c r="L841" s="9">
        <f t="shared" si="97"/>
        <v>0.104721466919511</v>
      </c>
    </row>
    <row r="842" s="4" customFormat="1" ht="13.5" customHeight="1" spans="1:12">
      <c r="A842" s="4">
        <v>45015</v>
      </c>
      <c r="B842" s="8">
        <v>0.0935631591331363</v>
      </c>
      <c r="C842" s="8">
        <v>0.0600159287951643</v>
      </c>
      <c r="D842" s="8">
        <v>0.0336076246637573</v>
      </c>
      <c r="E842" s="8">
        <v>1</v>
      </c>
      <c r="F842" s="9">
        <f t="shared" si="91"/>
        <v>0.140380977884703</v>
      </c>
      <c r="G842" s="9">
        <f t="shared" si="92"/>
        <v>0.111935257322957</v>
      </c>
      <c r="H842" s="9">
        <f t="shared" si="93"/>
        <v>0.102923563644954</v>
      </c>
      <c r="I842" s="3" t="str">
        <f t="shared" si="94"/>
        <v>2023-03-01</v>
      </c>
      <c r="J842" s="9">
        <f t="shared" si="95"/>
        <v>0.140640051201319</v>
      </c>
      <c r="K842" s="9">
        <f t="shared" si="96"/>
        <v>0.114229871522422</v>
      </c>
      <c r="L842" s="9">
        <f t="shared" si="97"/>
        <v>0.104721466919511</v>
      </c>
    </row>
    <row r="843" s="4" customFormat="1" ht="13.5" customHeight="1" spans="1:12">
      <c r="A843" s="4">
        <v>45014</v>
      </c>
      <c r="B843" s="8">
        <v>0.0829935592324945</v>
      </c>
      <c r="C843" s="8">
        <v>0.0702424166663635</v>
      </c>
      <c r="D843" s="8">
        <v>0.0531634030530467</v>
      </c>
      <c r="E843" s="8">
        <v>1</v>
      </c>
      <c r="F843" s="9">
        <f t="shared" si="91"/>
        <v>0.141443191950297</v>
      </c>
      <c r="G843" s="9">
        <f t="shared" si="92"/>
        <v>0.107150210609784</v>
      </c>
      <c r="H843" s="9">
        <f t="shared" si="93"/>
        <v>0.0953311673281162</v>
      </c>
      <c r="I843" s="3" t="str">
        <f t="shared" si="94"/>
        <v>2023-03-01</v>
      </c>
      <c r="J843" s="9">
        <f t="shared" si="95"/>
        <v>0.140640051201319</v>
      </c>
      <c r="K843" s="9">
        <f t="shared" si="96"/>
        <v>0.114229871522422</v>
      </c>
      <c r="L843" s="9">
        <f t="shared" si="97"/>
        <v>0.104721466919511</v>
      </c>
    </row>
    <row r="844" s="4" customFormat="1" ht="13.5" customHeight="1" spans="1:12">
      <c r="A844" s="4">
        <v>45013</v>
      </c>
      <c r="B844" s="8">
        <v>0.0919437621066742</v>
      </c>
      <c r="C844" s="8">
        <v>0.0618925826081931</v>
      </c>
      <c r="D844" s="8">
        <v>0.0350316807841091</v>
      </c>
      <c r="E844" s="8">
        <v>1</v>
      </c>
      <c r="F844" s="9">
        <f t="shared" si="91"/>
        <v>0.140324146496108</v>
      </c>
      <c r="G844" s="9">
        <f t="shared" si="92"/>
        <v>0.11096195906679</v>
      </c>
      <c r="H844" s="9">
        <f t="shared" si="93"/>
        <v>0.101634157974582</v>
      </c>
      <c r="I844" s="3" t="str">
        <f t="shared" si="94"/>
        <v>2023-03-01</v>
      </c>
      <c r="J844" s="9">
        <f t="shared" si="95"/>
        <v>0.140640051201319</v>
      </c>
      <c r="K844" s="9">
        <f t="shared" si="96"/>
        <v>0.114229871522422</v>
      </c>
      <c r="L844" s="9">
        <f t="shared" si="97"/>
        <v>0.104721466919511</v>
      </c>
    </row>
    <row r="845" s="4" customFormat="1" ht="13.5" customHeight="1" spans="1:12">
      <c r="A845" s="4">
        <v>45012</v>
      </c>
      <c r="B845" s="8">
        <v>0.094661421913946</v>
      </c>
      <c r="C845" s="8">
        <v>0.0574586261468872</v>
      </c>
      <c r="D845" s="8">
        <v>0.0319481473028228</v>
      </c>
      <c r="E845" s="8">
        <v>1</v>
      </c>
      <c r="F845" s="9">
        <f t="shared" si="91"/>
        <v>0.13942421493381</v>
      </c>
      <c r="G845" s="9">
        <f t="shared" si="92"/>
        <v>0.11220702806047</v>
      </c>
      <c r="H845" s="9">
        <f t="shared" si="93"/>
        <v>0.10360024290915</v>
      </c>
      <c r="I845" s="3" t="str">
        <f t="shared" si="94"/>
        <v>2023-03-01</v>
      </c>
      <c r="J845" s="9">
        <f t="shared" si="95"/>
        <v>0.140640051201319</v>
      </c>
      <c r="K845" s="9">
        <f t="shared" si="96"/>
        <v>0.114229871522422</v>
      </c>
      <c r="L845" s="9">
        <f t="shared" si="97"/>
        <v>0.104721466919511</v>
      </c>
    </row>
    <row r="846" s="4" customFormat="1" ht="13.5" customHeight="1" spans="1:12">
      <c r="A846" s="4">
        <v>45009</v>
      </c>
      <c r="B846" s="8">
        <v>0.0952175280430781</v>
      </c>
      <c r="C846" s="8">
        <v>0.0531162664626153</v>
      </c>
      <c r="D846" s="8">
        <v>0.0399130360315958</v>
      </c>
      <c r="E846" s="8">
        <v>1</v>
      </c>
      <c r="F846" s="9">
        <f t="shared" si="91"/>
        <v>0.139340077332391</v>
      </c>
      <c r="G846" s="9">
        <f t="shared" si="92"/>
        <v>0.113429091318653</v>
      </c>
      <c r="H846" s="9">
        <f t="shared" si="93"/>
        <v>0.104518223891087</v>
      </c>
      <c r="I846" s="3" t="str">
        <f t="shared" si="94"/>
        <v>2023-03-01</v>
      </c>
      <c r="J846" s="9">
        <f t="shared" si="95"/>
        <v>0.140640051201319</v>
      </c>
      <c r="K846" s="9">
        <f t="shared" si="96"/>
        <v>0.114229871522422</v>
      </c>
      <c r="L846" s="9">
        <f t="shared" si="97"/>
        <v>0.104721466919511</v>
      </c>
    </row>
    <row r="847" s="4" customFormat="1" ht="13.5" customHeight="1" spans="1:12">
      <c r="A847" s="4">
        <v>45005</v>
      </c>
      <c r="B847" s="8">
        <v>0.0979135543072287</v>
      </c>
      <c r="C847" s="8">
        <v>0.0492125105830652</v>
      </c>
      <c r="D847" s="8">
        <v>0.0395058742070873</v>
      </c>
      <c r="E847" s="8">
        <v>1</v>
      </c>
      <c r="F847" s="9">
        <f t="shared" si="91"/>
        <v>0.139460870352854</v>
      </c>
      <c r="G847" s="9">
        <f t="shared" si="92"/>
        <v>0.115271486823787</v>
      </c>
      <c r="H847" s="9">
        <f t="shared" si="93"/>
        <v>0.106783196441486</v>
      </c>
      <c r="I847" s="3" t="str">
        <f t="shared" si="94"/>
        <v>2023-03-01</v>
      </c>
      <c r="J847" s="9">
        <f t="shared" si="95"/>
        <v>0.140640051201319</v>
      </c>
      <c r="K847" s="9">
        <f t="shared" si="96"/>
        <v>0.114229871522422</v>
      </c>
      <c r="L847" s="9">
        <f t="shared" si="97"/>
        <v>0.104721466919511</v>
      </c>
    </row>
    <row r="848" s="4" customFormat="1" ht="13.5" customHeight="1" spans="1:12">
      <c r="A848" s="4">
        <v>45002</v>
      </c>
      <c r="B848" s="8">
        <v>0.0987170692387933</v>
      </c>
      <c r="C848" s="8">
        <v>0.048150006570759</v>
      </c>
      <c r="D848" s="8">
        <v>0.0355819553577905</v>
      </c>
      <c r="E848" s="8">
        <v>1</v>
      </c>
      <c r="F848" s="9">
        <f t="shared" si="91"/>
        <v>0.138555893952068</v>
      </c>
      <c r="G848" s="9">
        <f t="shared" si="92"/>
        <v>0.115110875990858</v>
      </c>
      <c r="H848" s="9">
        <f t="shared" si="93"/>
        <v>0.107088269870855</v>
      </c>
      <c r="I848" s="3" t="str">
        <f t="shared" si="94"/>
        <v>2023-03-01</v>
      </c>
      <c r="J848" s="9">
        <f t="shared" si="95"/>
        <v>0.140640051201319</v>
      </c>
      <c r="K848" s="9">
        <f t="shared" si="96"/>
        <v>0.114229871522422</v>
      </c>
      <c r="L848" s="9">
        <f t="shared" si="97"/>
        <v>0.104721466919511</v>
      </c>
    </row>
    <row r="849" s="4" customFormat="1" ht="13.5" customHeight="1" spans="1:12">
      <c r="A849" s="4">
        <v>45001</v>
      </c>
      <c r="B849" s="8">
        <v>0.100800003692131</v>
      </c>
      <c r="C849" s="8">
        <v>0.0458943754586721</v>
      </c>
      <c r="D849" s="8">
        <v>0.0369922583321056</v>
      </c>
      <c r="E849" s="8">
        <v>1</v>
      </c>
      <c r="F849" s="9">
        <f t="shared" si="91"/>
        <v>0.139585657640491</v>
      </c>
      <c r="G849" s="9">
        <f t="shared" si="92"/>
        <v>0.117016381425185</v>
      </c>
      <c r="H849" s="9">
        <f t="shared" si="93"/>
        <v>0.109086611320544</v>
      </c>
      <c r="I849" s="3" t="str">
        <f t="shared" si="94"/>
        <v>2023-03-01</v>
      </c>
      <c r="J849" s="9">
        <f t="shared" si="95"/>
        <v>0.140640051201319</v>
      </c>
      <c r="K849" s="9">
        <f t="shared" si="96"/>
        <v>0.114229871522422</v>
      </c>
      <c r="L849" s="9">
        <f t="shared" si="97"/>
        <v>0.104721466919511</v>
      </c>
    </row>
    <row r="850" s="4" customFormat="1" ht="13.5" customHeight="1" spans="1:12">
      <c r="A850" s="4">
        <v>45000</v>
      </c>
      <c r="B850" s="8">
        <v>0.0804183834283135</v>
      </c>
      <c r="C850" s="8">
        <v>0.0668803035925662</v>
      </c>
      <c r="D850" s="8">
        <v>0.0464427615373357</v>
      </c>
      <c r="E850" s="8">
        <v>1.53</v>
      </c>
      <c r="F850" s="9">
        <f t="shared" si="91"/>
        <v>0.139454683960574</v>
      </c>
      <c r="G850" s="9">
        <f t="shared" si="92"/>
        <v>0.112005921386892</v>
      </c>
      <c r="H850" s="9">
        <f t="shared" si="93"/>
        <v>0.0976643070974846</v>
      </c>
      <c r="I850" s="3" t="str">
        <f t="shared" si="94"/>
        <v>2023-03-01</v>
      </c>
      <c r="J850" s="9">
        <f t="shared" si="95"/>
        <v>0.140640051201319</v>
      </c>
      <c r="K850" s="9">
        <f t="shared" si="96"/>
        <v>0.114229871522422</v>
      </c>
      <c r="L850" s="9">
        <f t="shared" si="97"/>
        <v>0.104721466919511</v>
      </c>
    </row>
    <row r="851" s="4" customFormat="1" ht="13.5" customHeight="1" spans="1:12">
      <c r="A851" s="4">
        <v>44999</v>
      </c>
      <c r="B851" s="8">
        <v>0.0771491449292336</v>
      </c>
      <c r="C851" s="8">
        <v>0.0703221344289747</v>
      </c>
      <c r="D851" s="8">
        <v>0.0403458605285389</v>
      </c>
      <c r="E851" s="8">
        <v>1.87</v>
      </c>
      <c r="F851" s="9">
        <f t="shared" si="91"/>
        <v>0.139230344815678</v>
      </c>
      <c r="G851" s="9">
        <f t="shared" si="92"/>
        <v>0.112900047108304</v>
      </c>
      <c r="H851" s="9">
        <f t="shared" si="93"/>
        <v>0.0975535308729871</v>
      </c>
      <c r="I851" s="3" t="str">
        <f t="shared" si="94"/>
        <v>2023-03-01</v>
      </c>
      <c r="J851" s="9">
        <f t="shared" si="95"/>
        <v>0.140640051201319</v>
      </c>
      <c r="K851" s="9">
        <f t="shared" si="96"/>
        <v>0.114229871522422</v>
      </c>
      <c r="L851" s="9">
        <f t="shared" si="97"/>
        <v>0.104721466919511</v>
      </c>
    </row>
    <row r="852" s="4" customFormat="1" ht="13.5" customHeight="1" spans="1:12">
      <c r="A852" s="4">
        <v>44998</v>
      </c>
      <c r="B852" s="8">
        <v>0.0856056845121783</v>
      </c>
      <c r="C852" s="8">
        <v>0.06177930240088</v>
      </c>
      <c r="D852" s="8">
        <v>0.0287176000278574</v>
      </c>
      <c r="E852" s="8">
        <v>2</v>
      </c>
      <c r="F852" s="9">
        <f t="shared" si="91"/>
        <v>0.139403092615289</v>
      </c>
      <c r="G852" s="9">
        <f t="shared" si="92"/>
        <v>0.116475786080373</v>
      </c>
      <c r="H852" s="9">
        <f t="shared" si="93"/>
        <v>0.103389614664568</v>
      </c>
      <c r="I852" s="3" t="str">
        <f t="shared" si="94"/>
        <v>2023-03-01</v>
      </c>
      <c r="J852" s="9">
        <f t="shared" si="95"/>
        <v>0.140640051201319</v>
      </c>
      <c r="K852" s="9">
        <f t="shared" si="96"/>
        <v>0.114229871522422</v>
      </c>
      <c r="L852" s="9">
        <f t="shared" si="97"/>
        <v>0.104721466919511</v>
      </c>
    </row>
    <row r="853" s="4" customFormat="1" ht="13.5" customHeight="1" spans="1:12">
      <c r="A853" s="4">
        <v>44995</v>
      </c>
      <c r="B853" s="8">
        <v>0.0876899959035203</v>
      </c>
      <c r="C853" s="8">
        <v>0.0633988584593358</v>
      </c>
      <c r="D853" s="8">
        <v>0.0215386091122551</v>
      </c>
      <c r="E853" s="8">
        <v>2</v>
      </c>
      <c r="F853" s="9">
        <f t="shared" si="91"/>
        <v>0.141466747771519</v>
      </c>
      <c r="G853" s="9">
        <f t="shared" si="92"/>
        <v>0.117108149469324</v>
      </c>
      <c r="H853" s="9">
        <f t="shared" si="93"/>
        <v>0.104417902580259</v>
      </c>
      <c r="I853" s="3" t="str">
        <f t="shared" si="94"/>
        <v>2023-03-01</v>
      </c>
      <c r="J853" s="9">
        <f t="shared" si="95"/>
        <v>0.140640051201319</v>
      </c>
      <c r="K853" s="9">
        <f t="shared" si="96"/>
        <v>0.114229871522422</v>
      </c>
      <c r="L853" s="9">
        <f t="shared" si="97"/>
        <v>0.104721466919511</v>
      </c>
    </row>
    <row r="854" s="4" customFormat="1" ht="13.5" customHeight="1" spans="1:12">
      <c r="A854" s="4">
        <v>44994</v>
      </c>
      <c r="B854" s="8">
        <v>0.0970132697934136</v>
      </c>
      <c r="C854" s="8">
        <v>0.0615277583351376</v>
      </c>
      <c r="D854" s="8">
        <v>8.54392417448534e-5</v>
      </c>
      <c r="E854" s="8">
        <v>1.71</v>
      </c>
      <c r="F854" s="9">
        <f t="shared" si="91"/>
        <v>0.14361633845378</v>
      </c>
      <c r="G854" s="9">
        <f t="shared" si="92"/>
        <v>0.11694842873151</v>
      </c>
      <c r="H854" s="9">
        <f t="shared" si="93"/>
        <v>0.107518475645905</v>
      </c>
      <c r="I854" s="3" t="str">
        <f t="shared" si="94"/>
        <v>2023-03-01</v>
      </c>
      <c r="J854" s="9">
        <f t="shared" si="95"/>
        <v>0.140640051201319</v>
      </c>
      <c r="K854" s="9">
        <f t="shared" si="96"/>
        <v>0.114229871522422</v>
      </c>
      <c r="L854" s="9">
        <f t="shared" si="97"/>
        <v>0.104721466919511</v>
      </c>
    </row>
    <row r="855" s="4" customFormat="1" ht="13.5" customHeight="1" spans="1:12">
      <c r="A855" s="4">
        <v>44992</v>
      </c>
      <c r="B855" s="8">
        <v>0.104107139414116</v>
      </c>
      <c r="C855" s="8">
        <v>0.057926672433117</v>
      </c>
      <c r="D855" s="8">
        <v>4.61002310051161e-5</v>
      </c>
      <c r="E855" s="8">
        <v>1.11</v>
      </c>
      <c r="F855" s="9">
        <f t="shared" si="91"/>
        <v>0.142299083144078</v>
      </c>
      <c r="G855" s="9">
        <f t="shared" si="92"/>
        <v>0.116834255399503</v>
      </c>
      <c r="H855" s="9">
        <f t="shared" si="93"/>
        <v>0.11054132452457</v>
      </c>
      <c r="I855" s="3" t="str">
        <f t="shared" si="94"/>
        <v>2023-03-01</v>
      </c>
      <c r="J855" s="9">
        <f t="shared" si="95"/>
        <v>0.140640051201319</v>
      </c>
      <c r="K855" s="9">
        <f t="shared" si="96"/>
        <v>0.114229871522422</v>
      </c>
      <c r="L855" s="9">
        <f t="shared" si="97"/>
        <v>0.104721466919511</v>
      </c>
    </row>
    <row r="856" s="4" customFormat="1" ht="13.5" customHeight="1" spans="1:12">
      <c r="A856" s="4">
        <v>44991</v>
      </c>
      <c r="B856" s="8">
        <v>0.106505060803745</v>
      </c>
      <c r="C856" s="8">
        <v>0.0554437061822723</v>
      </c>
      <c r="D856" s="8">
        <v>-0.000614228362437578</v>
      </c>
      <c r="E856" s="8">
        <v>1</v>
      </c>
      <c r="F856" s="9">
        <f t="shared" si="91"/>
        <v>0.141389862950222</v>
      </c>
      <c r="G856" s="9">
        <f t="shared" si="92"/>
        <v>0.117401207382756</v>
      </c>
      <c r="H856" s="9">
        <f t="shared" si="93"/>
        <v>0.111987787546209</v>
      </c>
      <c r="I856" s="3" t="str">
        <f t="shared" si="94"/>
        <v>2023-03-01</v>
      </c>
      <c r="J856" s="9">
        <f t="shared" si="95"/>
        <v>0.140640051201319</v>
      </c>
      <c r="K856" s="9">
        <f t="shared" si="96"/>
        <v>0.114229871522422</v>
      </c>
      <c r="L856" s="9">
        <f t="shared" si="97"/>
        <v>0.104721466919511</v>
      </c>
    </row>
    <row r="857" s="4" customFormat="1" ht="13.5" customHeight="1" spans="1:12">
      <c r="A857" s="4">
        <v>44988</v>
      </c>
      <c r="B857" s="8">
        <v>0.108498401600132</v>
      </c>
      <c r="C857" s="8">
        <v>0.0537054782747214</v>
      </c>
      <c r="D857" s="8">
        <v>-0.00279799395259111</v>
      </c>
      <c r="E857" s="8">
        <v>1</v>
      </c>
      <c r="F857" s="9">
        <f t="shared" si="91"/>
        <v>0.141707393490073</v>
      </c>
      <c r="G857" s="9">
        <f t="shared" si="92"/>
        <v>0.118630148813271</v>
      </c>
      <c r="H857" s="9">
        <f t="shared" si="93"/>
        <v>0.113589045941453</v>
      </c>
      <c r="I857" s="3" t="str">
        <f t="shared" si="94"/>
        <v>2023-03-01</v>
      </c>
      <c r="J857" s="9">
        <f t="shared" si="95"/>
        <v>0.140640051201319</v>
      </c>
      <c r="K857" s="9">
        <f t="shared" si="96"/>
        <v>0.114229871522422</v>
      </c>
      <c r="L857" s="9">
        <f t="shared" si="97"/>
        <v>0.104721466919511</v>
      </c>
    </row>
    <row r="858" s="4" customFormat="1" ht="13.5" customHeight="1" spans="1:12">
      <c r="A858" s="4">
        <v>44987</v>
      </c>
      <c r="B858" s="8">
        <v>0.105602517599421</v>
      </c>
      <c r="C858" s="8">
        <v>0.0560059975969919</v>
      </c>
      <c r="D858" s="8">
        <v>-1.11054224959901e-5</v>
      </c>
      <c r="E858" s="8">
        <v>1.03</v>
      </c>
      <c r="F858" s="9">
        <f t="shared" si="91"/>
        <v>0.141437043178894</v>
      </c>
      <c r="G858" s="9">
        <f t="shared" si="92"/>
        <v>0.117047645673209</v>
      </c>
      <c r="H858" s="9">
        <f t="shared" si="93"/>
        <v>0.111369641792047</v>
      </c>
      <c r="I858" s="3" t="str">
        <f t="shared" si="94"/>
        <v>2023-03-01</v>
      </c>
      <c r="J858" s="9">
        <f t="shared" si="95"/>
        <v>0.140640051201319</v>
      </c>
      <c r="K858" s="9">
        <f t="shared" si="96"/>
        <v>0.114229871522422</v>
      </c>
      <c r="L858" s="9">
        <f t="shared" si="97"/>
        <v>0.104721466919511</v>
      </c>
    </row>
    <row r="859" s="4" customFormat="1" ht="13.5" customHeight="1" spans="1:12">
      <c r="A859" s="4">
        <v>44986</v>
      </c>
      <c r="B859" s="8">
        <v>0.0842991772189175</v>
      </c>
      <c r="C859" s="8">
        <v>0.0772242569377539</v>
      </c>
      <c r="D859" s="8">
        <v>0.000174271994262563</v>
      </c>
      <c r="E859" s="8">
        <v>1.79</v>
      </c>
      <c r="F859" s="9">
        <f t="shared" si="91"/>
        <v>0.143499460917069</v>
      </c>
      <c r="G859" s="9">
        <f t="shared" si="92"/>
        <v>0.110300881829732</v>
      </c>
      <c r="H859" s="9">
        <f t="shared" si="93"/>
        <v>0.0981009377884132</v>
      </c>
      <c r="I859" s="3" t="str">
        <f t="shared" si="94"/>
        <v>2023-03-01</v>
      </c>
      <c r="J859" s="9">
        <f t="shared" si="95"/>
        <v>0.140640051201319</v>
      </c>
      <c r="K859" s="9">
        <f t="shared" si="96"/>
        <v>0.114229871522422</v>
      </c>
      <c r="L859" s="9">
        <f t="shared" si="97"/>
        <v>0.104721466919511</v>
      </c>
    </row>
    <row r="860" s="4" customFormat="1" ht="13.5" customHeight="1" spans="1:12">
      <c r="A860" s="4">
        <v>44985</v>
      </c>
      <c r="B860" s="8">
        <v>0.0827915566103101</v>
      </c>
      <c r="C860" s="8">
        <v>0.0783914809810798</v>
      </c>
      <c r="D860" s="8">
        <v>0.000153025984391877</v>
      </c>
      <c r="E860" s="8">
        <v>1.92</v>
      </c>
      <c r="F860" s="9">
        <f t="shared" si="91"/>
        <v>0.143923850893033</v>
      </c>
      <c r="G860" s="9">
        <f t="shared" si="92"/>
        <v>0.110710471260866</v>
      </c>
      <c r="H860" s="9">
        <f t="shared" si="93"/>
        <v>0.0977887623684102</v>
      </c>
      <c r="I860" s="3" t="str">
        <f t="shared" si="94"/>
        <v>2023-02-01</v>
      </c>
      <c r="J860" s="9">
        <f t="shared" si="95"/>
        <v>0.148051717381373</v>
      </c>
      <c r="K860" s="9">
        <f t="shared" si="96"/>
        <v>0.116863526607658</v>
      </c>
      <c r="L860" s="9">
        <f t="shared" si="97"/>
        <v>0.101380241631028</v>
      </c>
    </row>
    <row r="861" s="4" customFormat="1" ht="13.5" customHeight="1" spans="1:12">
      <c r="A861" s="4">
        <v>44984</v>
      </c>
      <c r="B861" s="8">
        <v>0.0800801577760866</v>
      </c>
      <c r="C861" s="8">
        <v>0.0789727720785138</v>
      </c>
      <c r="D861" s="8">
        <v>0.00750511045433017</v>
      </c>
      <c r="E861" s="8">
        <v>2</v>
      </c>
      <c r="F861" s="9">
        <f t="shared" si="91"/>
        <v>0.143580868960299</v>
      </c>
      <c r="G861" s="9">
        <f t="shared" si="92"/>
        <v>0.111215839060426</v>
      </c>
      <c r="H861" s="9">
        <f t="shared" si="93"/>
        <v>0.097208628568372</v>
      </c>
      <c r="I861" s="3" t="str">
        <f t="shared" si="94"/>
        <v>2023-02-01</v>
      </c>
      <c r="J861" s="9">
        <f t="shared" si="95"/>
        <v>0.148051717381373</v>
      </c>
      <c r="K861" s="9">
        <f t="shared" si="96"/>
        <v>0.116863526607658</v>
      </c>
      <c r="L861" s="9">
        <f t="shared" si="97"/>
        <v>0.101380241631028</v>
      </c>
    </row>
    <row r="862" s="4" customFormat="1" ht="13.5" customHeight="1" spans="1:12">
      <c r="A862" s="4">
        <v>44981</v>
      </c>
      <c r="B862" s="8">
        <v>0.0772914074627027</v>
      </c>
      <c r="C862" s="8">
        <v>0.078515043675497</v>
      </c>
      <c r="D862" s="8">
        <v>0.0202219537143783</v>
      </c>
      <c r="E862" s="8">
        <v>2</v>
      </c>
      <c r="F862" s="9">
        <f t="shared" si="91"/>
        <v>0.142726134985542</v>
      </c>
      <c r="G862" s="9">
        <f t="shared" si="92"/>
        <v>0.111884356857885</v>
      </c>
      <c r="H862" s="9">
        <f t="shared" si="93"/>
        <v>0.09676949555728</v>
      </c>
      <c r="I862" s="3" t="str">
        <f t="shared" si="94"/>
        <v>2023-02-01</v>
      </c>
      <c r="J862" s="9">
        <f t="shared" si="95"/>
        <v>0.148051717381373</v>
      </c>
      <c r="K862" s="9">
        <f t="shared" si="96"/>
        <v>0.116863526607658</v>
      </c>
      <c r="L862" s="9">
        <f t="shared" si="97"/>
        <v>0.101380241631028</v>
      </c>
    </row>
    <row r="863" s="4" customFormat="1" ht="13.5" customHeight="1" spans="1:12">
      <c r="A863" s="4">
        <v>44980</v>
      </c>
      <c r="B863" s="8">
        <v>0.075188169208591</v>
      </c>
      <c r="C863" s="8">
        <v>0.0757287161082695</v>
      </c>
      <c r="D863" s="8">
        <v>0.0480634025692865</v>
      </c>
      <c r="E863" s="8">
        <v>1.73</v>
      </c>
      <c r="F863" s="9">
        <f t="shared" si="91"/>
        <v>0.142241046139803</v>
      </c>
      <c r="G863" s="9">
        <f t="shared" si="92"/>
        <v>0.112969491920502</v>
      </c>
      <c r="H863" s="9">
        <f t="shared" si="93"/>
        <v>0.0963896779413112</v>
      </c>
      <c r="I863" s="3" t="str">
        <f t="shared" si="94"/>
        <v>2023-02-01</v>
      </c>
      <c r="J863" s="9">
        <f t="shared" si="95"/>
        <v>0.148051717381373</v>
      </c>
      <c r="K863" s="9">
        <f t="shared" si="96"/>
        <v>0.116863526607658</v>
      </c>
      <c r="L863" s="9">
        <f t="shared" si="97"/>
        <v>0.101380241631028</v>
      </c>
    </row>
    <row r="864" s="4" customFormat="1" ht="13.5" customHeight="1" spans="1:12">
      <c r="A864" s="4">
        <v>44979</v>
      </c>
      <c r="B864" s="8">
        <v>0.0742101690959259</v>
      </c>
      <c r="C864" s="8">
        <v>0.0734336728166363</v>
      </c>
      <c r="D864" s="8">
        <v>0.0500580220907909</v>
      </c>
      <c r="E864" s="8">
        <v>1.82</v>
      </c>
      <c r="F864" s="9">
        <f t="shared" si="91"/>
        <v>0.140324658235737</v>
      </c>
      <c r="G864" s="9">
        <f t="shared" si="92"/>
        <v>0.11307071494726</v>
      </c>
      <c r="H864" s="9">
        <f t="shared" si="93"/>
        <v>0.0963875964824373</v>
      </c>
      <c r="I864" s="3" t="str">
        <f t="shared" si="94"/>
        <v>2023-02-01</v>
      </c>
      <c r="J864" s="9">
        <f t="shared" si="95"/>
        <v>0.148051717381373</v>
      </c>
      <c r="K864" s="9">
        <f t="shared" si="96"/>
        <v>0.116863526607658</v>
      </c>
      <c r="L864" s="9">
        <f t="shared" si="97"/>
        <v>0.101380241631028</v>
      </c>
    </row>
    <row r="865" s="4" customFormat="1" ht="13.5" customHeight="1" spans="1:12">
      <c r="A865" s="4">
        <v>44978</v>
      </c>
      <c r="B865" s="8">
        <v>0.0810322420651181</v>
      </c>
      <c r="C865" s="8">
        <v>0.0654030361644275</v>
      </c>
      <c r="D865" s="8">
        <v>0.0767396802057943</v>
      </c>
      <c r="E865" s="8">
        <v>1.17</v>
      </c>
      <c r="F865" s="9">
        <f t="shared" si="91"/>
        <v>0.143944636391611</v>
      </c>
      <c r="G865" s="9">
        <f t="shared" si="92"/>
        <v>0.112761006686314</v>
      </c>
      <c r="H865" s="9">
        <f t="shared" si="93"/>
        <v>0.0976448143607039</v>
      </c>
      <c r="I865" s="3" t="str">
        <f t="shared" si="94"/>
        <v>2023-02-01</v>
      </c>
      <c r="J865" s="9">
        <f t="shared" si="95"/>
        <v>0.148051717381373</v>
      </c>
      <c r="K865" s="9">
        <f t="shared" si="96"/>
        <v>0.116863526607658</v>
      </c>
      <c r="L865" s="9">
        <f t="shared" si="97"/>
        <v>0.101380241631028</v>
      </c>
    </row>
    <row r="866" s="4" customFormat="1" ht="13.5" customHeight="1" spans="1:12">
      <c r="A866" s="4">
        <v>44977</v>
      </c>
      <c r="B866" s="8">
        <v>0.0869412489647031</v>
      </c>
      <c r="C866" s="8">
        <v>0.0594076473704339</v>
      </c>
      <c r="D866" s="8">
        <v>0.0718015498445792</v>
      </c>
      <c r="E866" s="8">
        <v>1.12</v>
      </c>
      <c r="F866" s="9">
        <f t="shared" si="91"/>
        <v>0.144318501689269</v>
      </c>
      <c r="G866" s="9">
        <f t="shared" si="92"/>
        <v>0.115167089390521</v>
      </c>
      <c r="H866" s="9">
        <f t="shared" si="93"/>
        <v>0.101625214116606</v>
      </c>
      <c r="I866" s="3" t="str">
        <f t="shared" si="94"/>
        <v>2023-02-01</v>
      </c>
      <c r="J866" s="9">
        <f t="shared" si="95"/>
        <v>0.148051717381373</v>
      </c>
      <c r="K866" s="9">
        <f t="shared" si="96"/>
        <v>0.116863526607658</v>
      </c>
      <c r="L866" s="9">
        <f t="shared" si="97"/>
        <v>0.101380241631028</v>
      </c>
    </row>
    <row r="867" s="4" customFormat="1" ht="13.5" customHeight="1" spans="1:12">
      <c r="A867" s="4">
        <v>44974</v>
      </c>
      <c r="B867" s="8">
        <v>0.0871635535145801</v>
      </c>
      <c r="C867" s="8">
        <v>0.059098953463672</v>
      </c>
      <c r="D867" s="8">
        <v>0.075293632462777</v>
      </c>
      <c r="E867" s="8">
        <v>1.11</v>
      </c>
      <c r="F867" s="9">
        <f t="shared" si="91"/>
        <v>0.145159056555721</v>
      </c>
      <c r="G867" s="9">
        <f t="shared" si="92"/>
        <v>0.11583608113354</v>
      </c>
      <c r="H867" s="9">
        <f t="shared" si="93"/>
        <v>0.102070097451117</v>
      </c>
      <c r="I867" s="3" t="str">
        <f t="shared" si="94"/>
        <v>2023-02-01</v>
      </c>
      <c r="J867" s="9">
        <f t="shared" si="95"/>
        <v>0.148051717381373</v>
      </c>
      <c r="K867" s="9">
        <f t="shared" si="96"/>
        <v>0.116863526607658</v>
      </c>
      <c r="L867" s="9">
        <f t="shared" si="97"/>
        <v>0.101380241631028</v>
      </c>
    </row>
    <row r="868" s="4" customFormat="1" ht="13.5" customHeight="1" spans="1:12">
      <c r="A868" s="4">
        <v>44973</v>
      </c>
      <c r="B868" s="8">
        <v>0.0848076229518369</v>
      </c>
      <c r="C868" s="8">
        <v>0.0614548840264152</v>
      </c>
      <c r="D868" s="8">
        <v>0.0743468371492776</v>
      </c>
      <c r="E868" s="8">
        <v>1.26</v>
      </c>
      <c r="F868" s="9">
        <f t="shared" si="91"/>
        <v>0.144924361757953</v>
      </c>
      <c r="G868" s="9">
        <f t="shared" si="92"/>
        <v>0.116977008501055</v>
      </c>
      <c r="H868" s="9">
        <f t="shared" si="93"/>
        <v>0.101885947976988</v>
      </c>
      <c r="I868" s="3" t="str">
        <f t="shared" si="94"/>
        <v>2023-02-01</v>
      </c>
      <c r="J868" s="9">
        <f t="shared" si="95"/>
        <v>0.148051717381373</v>
      </c>
      <c r="K868" s="9">
        <f t="shared" si="96"/>
        <v>0.116863526607658</v>
      </c>
      <c r="L868" s="9">
        <f t="shared" si="97"/>
        <v>0.101380241631028</v>
      </c>
    </row>
    <row r="869" s="4" customFormat="1" ht="13.5" customHeight="1" spans="1:12">
      <c r="A869" s="4">
        <v>44972</v>
      </c>
      <c r="B869" s="8">
        <v>0.0845615836472763</v>
      </c>
      <c r="C869" s="8">
        <v>0.0617009233309758</v>
      </c>
      <c r="D869" s="8">
        <v>0.0783580554281674</v>
      </c>
      <c r="E869" s="8">
        <v>1</v>
      </c>
      <c r="F869" s="9">
        <f t="shared" si="91"/>
        <v>0.144269425927268</v>
      </c>
      <c r="G869" s="9">
        <f t="shared" si="92"/>
        <v>0.111856664979554</v>
      </c>
      <c r="H869" s="9">
        <f t="shared" si="93"/>
        <v>0.098563288206198</v>
      </c>
      <c r="I869" s="3" t="str">
        <f t="shared" si="94"/>
        <v>2023-02-01</v>
      </c>
      <c r="J869" s="9">
        <f t="shared" si="95"/>
        <v>0.148051717381373</v>
      </c>
      <c r="K869" s="9">
        <f t="shared" si="96"/>
        <v>0.116863526607658</v>
      </c>
      <c r="L869" s="9">
        <f t="shared" si="97"/>
        <v>0.101380241631028</v>
      </c>
    </row>
    <row r="870" s="4" customFormat="1" ht="13.5" customHeight="1" spans="1:12">
      <c r="A870" s="4">
        <v>44971</v>
      </c>
      <c r="B870" s="8">
        <v>0.0849705220181778</v>
      </c>
      <c r="C870" s="8">
        <v>0.0613783743169592</v>
      </c>
      <c r="D870" s="8">
        <v>0.0809930380655695</v>
      </c>
      <c r="E870" s="8">
        <v>1</v>
      </c>
      <c r="F870" s="9">
        <f t="shared" si="91"/>
        <v>0.145170745192294</v>
      </c>
      <c r="G870" s="9">
        <f t="shared" si="92"/>
        <v>0.112707219490739</v>
      </c>
      <c r="H870" s="9">
        <f t="shared" si="93"/>
        <v>0.099203339812979</v>
      </c>
      <c r="I870" s="3" t="str">
        <f t="shared" si="94"/>
        <v>2023-02-01</v>
      </c>
      <c r="J870" s="9">
        <f t="shared" si="95"/>
        <v>0.148051717381373</v>
      </c>
      <c r="K870" s="9">
        <f t="shared" si="96"/>
        <v>0.116863526607658</v>
      </c>
      <c r="L870" s="9">
        <f t="shared" si="97"/>
        <v>0.101380241631028</v>
      </c>
    </row>
    <row r="871" s="4" customFormat="1" ht="13.5" customHeight="1" spans="1:12">
      <c r="A871" s="4">
        <v>44970</v>
      </c>
      <c r="B871" s="8">
        <v>0.0879483799671988</v>
      </c>
      <c r="C871" s="8">
        <v>0.0584005163679382</v>
      </c>
      <c r="D871" s="8">
        <v>0.0794508032493291</v>
      </c>
      <c r="E871" s="8">
        <v>1</v>
      </c>
      <c r="F871" s="9">
        <f t="shared" si="91"/>
        <v>0.145858716058935</v>
      </c>
      <c r="G871" s="9">
        <f t="shared" si="92"/>
        <v>0.114797541612256</v>
      </c>
      <c r="H871" s="9">
        <f t="shared" si="93"/>
        <v>0.101729279024016</v>
      </c>
      <c r="I871" s="3" t="str">
        <f t="shared" si="94"/>
        <v>2023-02-01</v>
      </c>
      <c r="J871" s="9">
        <f t="shared" si="95"/>
        <v>0.148051717381373</v>
      </c>
      <c r="K871" s="9">
        <f t="shared" si="96"/>
        <v>0.116863526607658</v>
      </c>
      <c r="L871" s="9">
        <f t="shared" si="97"/>
        <v>0.101380241631028</v>
      </c>
    </row>
    <row r="872" s="4" customFormat="1" ht="13.5" customHeight="1" spans="1:12">
      <c r="A872" s="4">
        <v>44967</v>
      </c>
      <c r="B872" s="8">
        <v>0.0846599376333571</v>
      </c>
      <c r="C872" s="8">
        <v>0.06168895870178</v>
      </c>
      <c r="D872" s="8">
        <v>0.117167874028051</v>
      </c>
      <c r="E872" s="8">
        <v>1</v>
      </c>
      <c r="F872" s="9">
        <f t="shared" si="91"/>
        <v>0.154615366668158</v>
      </c>
      <c r="G872" s="9">
        <f t="shared" si="92"/>
        <v>0.119400807682255</v>
      </c>
      <c r="H872" s="9">
        <f t="shared" si="93"/>
        <v>0.102539489484325</v>
      </c>
      <c r="I872" s="3" t="str">
        <f t="shared" si="94"/>
        <v>2023-02-01</v>
      </c>
      <c r="J872" s="9">
        <f t="shared" si="95"/>
        <v>0.148051717381373</v>
      </c>
      <c r="K872" s="9">
        <f t="shared" si="96"/>
        <v>0.116863526607658</v>
      </c>
      <c r="L872" s="9">
        <f t="shared" si="97"/>
        <v>0.101380241631028</v>
      </c>
    </row>
    <row r="873" s="4" customFormat="1" ht="13.5" customHeight="1" spans="1:12">
      <c r="A873" s="4">
        <v>44966</v>
      </c>
      <c r="B873" s="8">
        <v>0.0896704130257442</v>
      </c>
      <c r="C873" s="8">
        <v>0.0566784833093929</v>
      </c>
      <c r="D873" s="8">
        <v>0.109978453305576</v>
      </c>
      <c r="E873" s="8">
        <v>1</v>
      </c>
      <c r="F873" s="9">
        <f t="shared" si="91"/>
        <v>0.154558876988499</v>
      </c>
      <c r="G873" s="9">
        <f t="shared" si="92"/>
        <v>0.122036186238135</v>
      </c>
      <c r="H873" s="9">
        <f t="shared" si="93"/>
        <v>0.106330357051864</v>
      </c>
      <c r="I873" s="3" t="str">
        <f t="shared" si="94"/>
        <v>2023-02-01</v>
      </c>
      <c r="J873" s="9">
        <f t="shared" si="95"/>
        <v>0.148051717381373</v>
      </c>
      <c r="K873" s="9">
        <f t="shared" si="96"/>
        <v>0.116863526607658</v>
      </c>
      <c r="L873" s="9">
        <f t="shared" si="97"/>
        <v>0.101380241631028</v>
      </c>
    </row>
    <row r="874" s="4" customFormat="1" ht="13.5" customHeight="1" spans="1:12">
      <c r="A874" s="4">
        <v>44965</v>
      </c>
      <c r="B874" s="8">
        <v>0.0901900025934258</v>
      </c>
      <c r="C874" s="8">
        <v>0.0562452756361199</v>
      </c>
      <c r="D874" s="8">
        <v>0.107642876784429</v>
      </c>
      <c r="E874" s="8">
        <v>1.03</v>
      </c>
      <c r="F874" s="9">
        <f t="shared" si="91"/>
        <v>0.154289705405438</v>
      </c>
      <c r="G874" s="9">
        <f t="shared" si="92"/>
        <v>0.122848825070707</v>
      </c>
      <c r="H874" s="9">
        <f t="shared" si="93"/>
        <v>0.107062917456385</v>
      </c>
      <c r="I874" s="3" t="str">
        <f t="shared" si="94"/>
        <v>2023-02-01</v>
      </c>
      <c r="J874" s="9">
        <f t="shared" si="95"/>
        <v>0.148051717381373</v>
      </c>
      <c r="K874" s="9">
        <f t="shared" si="96"/>
        <v>0.116863526607658</v>
      </c>
      <c r="L874" s="9">
        <f t="shared" si="97"/>
        <v>0.101380241631028</v>
      </c>
    </row>
    <row r="875" s="4" customFormat="1" ht="13.5" customHeight="1" spans="1:12">
      <c r="A875" s="4">
        <v>44964</v>
      </c>
      <c r="B875" s="8">
        <v>0.0912144566554324</v>
      </c>
      <c r="C875" s="8">
        <v>0.0556526191541199</v>
      </c>
      <c r="D875" s="8">
        <v>0.103851938690437</v>
      </c>
      <c r="E875" s="8">
        <v>1.1</v>
      </c>
      <c r="F875" s="9">
        <f t="shared" si="91"/>
        <v>0.15413940245914</v>
      </c>
      <c r="G875" s="9">
        <f t="shared" si="92"/>
        <v>0.124830531919655</v>
      </c>
      <c r="H875" s="9">
        <f t="shared" si="93"/>
        <v>0.108746278277329</v>
      </c>
      <c r="I875" s="3" t="str">
        <f t="shared" si="94"/>
        <v>2023-02-01</v>
      </c>
      <c r="J875" s="9">
        <f t="shared" si="95"/>
        <v>0.148051717381373</v>
      </c>
      <c r="K875" s="9">
        <f t="shared" si="96"/>
        <v>0.116863526607658</v>
      </c>
      <c r="L875" s="9">
        <f t="shared" si="97"/>
        <v>0.101380241631028</v>
      </c>
    </row>
    <row r="876" s="4" customFormat="1" ht="13.5" customHeight="1" spans="1:12">
      <c r="A876" s="4">
        <v>44963</v>
      </c>
      <c r="B876" s="8">
        <v>0.07597483716634</v>
      </c>
      <c r="C876" s="8">
        <v>0.0713238498545396</v>
      </c>
      <c r="D876" s="8">
        <v>0.117032912756719</v>
      </c>
      <c r="E876" s="8">
        <v>1.46</v>
      </c>
      <c r="F876" s="9">
        <f t="shared" si="91"/>
        <v>0.153341773200197</v>
      </c>
      <c r="G876" s="9">
        <f t="shared" si="92"/>
        <v>0.125373540562702</v>
      </c>
      <c r="H876" s="9">
        <f t="shared" si="93"/>
        <v>0.103321693280856</v>
      </c>
      <c r="I876" s="3" t="str">
        <f t="shared" si="94"/>
        <v>2023-02-01</v>
      </c>
      <c r="J876" s="9">
        <f t="shared" si="95"/>
        <v>0.148051717381373</v>
      </c>
      <c r="K876" s="9">
        <f t="shared" si="96"/>
        <v>0.116863526607658</v>
      </c>
      <c r="L876" s="9">
        <f t="shared" si="97"/>
        <v>0.101380241631028</v>
      </c>
    </row>
    <row r="877" s="4" customFormat="1" ht="13.5" customHeight="1" spans="1:12">
      <c r="A877" s="4">
        <v>44960</v>
      </c>
      <c r="B877" s="8">
        <v>0.0844401624962003</v>
      </c>
      <c r="C877" s="8">
        <v>0.0642384298751623</v>
      </c>
      <c r="D877" s="8">
        <v>0.107629252681577</v>
      </c>
      <c r="E877" s="8">
        <v>1.2</v>
      </c>
      <c r="F877" s="9">
        <f t="shared" si="91"/>
        <v>0.154273836838612</v>
      </c>
      <c r="G877" s="9">
        <f t="shared" si="92"/>
        <v>0.123380231399969</v>
      </c>
      <c r="H877" s="9">
        <f t="shared" si="93"/>
        <v>0.10503345620651</v>
      </c>
      <c r="I877" s="3" t="str">
        <f t="shared" si="94"/>
        <v>2023-02-01</v>
      </c>
      <c r="J877" s="9">
        <f t="shared" si="95"/>
        <v>0.148051717381373</v>
      </c>
      <c r="K877" s="9">
        <f t="shared" si="96"/>
        <v>0.116863526607658</v>
      </c>
      <c r="L877" s="9">
        <f t="shared" si="97"/>
        <v>0.101380241631028</v>
      </c>
    </row>
    <row r="878" s="4" customFormat="1" ht="13.5" customHeight="1" spans="1:12">
      <c r="A878" s="4">
        <v>44959</v>
      </c>
      <c r="B878" s="8">
        <v>0.0914883977448529</v>
      </c>
      <c r="C878" s="8">
        <v>0.057448715029518</v>
      </c>
      <c r="D878" s="8">
        <v>0.102497145684987</v>
      </c>
      <c r="E878" s="8">
        <v>1</v>
      </c>
      <c r="F878" s="9">
        <f t="shared" si="91"/>
        <v>0.15488687192576</v>
      </c>
      <c r="G878" s="9">
        <f t="shared" si="92"/>
        <v>0.122571408206127</v>
      </c>
      <c r="H878" s="9">
        <f t="shared" si="93"/>
        <v>0.107477604300004</v>
      </c>
      <c r="I878" s="3" t="str">
        <f t="shared" si="94"/>
        <v>2023-02-01</v>
      </c>
      <c r="J878" s="9">
        <f t="shared" si="95"/>
        <v>0.148051717381373</v>
      </c>
      <c r="K878" s="9">
        <f t="shared" si="96"/>
        <v>0.116863526607658</v>
      </c>
      <c r="L878" s="9">
        <f t="shared" si="97"/>
        <v>0.101380241631028</v>
      </c>
    </row>
    <row r="879" s="4" customFormat="1" ht="13.5" customHeight="1" spans="1:12">
      <c r="A879" s="4">
        <v>44958</v>
      </c>
      <c r="B879" s="8">
        <v>0.0817894586668312</v>
      </c>
      <c r="C879" s="8">
        <v>0.0680089064215634</v>
      </c>
      <c r="D879" s="8">
        <v>0.112424686279883</v>
      </c>
      <c r="E879" s="8">
        <v>1</v>
      </c>
      <c r="F879" s="9">
        <f t="shared" si="91"/>
        <v>0.154486511354196</v>
      </c>
      <c r="G879" s="9">
        <f t="shared" si="92"/>
        <v>0.116875515232682</v>
      </c>
      <c r="H879" s="9">
        <f t="shared" si="93"/>
        <v>0.0998268946968716</v>
      </c>
      <c r="I879" s="3" t="str">
        <f t="shared" si="94"/>
        <v>2023-02-01</v>
      </c>
      <c r="J879" s="9">
        <f t="shared" si="95"/>
        <v>0.148051717381373</v>
      </c>
      <c r="K879" s="9">
        <f t="shared" si="96"/>
        <v>0.116863526607658</v>
      </c>
      <c r="L879" s="9">
        <f t="shared" si="97"/>
        <v>0.101380241631028</v>
      </c>
    </row>
    <row r="880" s="4" customFormat="1" ht="13.5" customHeight="1" spans="1:12">
      <c r="A880" s="4">
        <v>44957</v>
      </c>
      <c r="B880" s="8">
        <v>0.079521027077801</v>
      </c>
      <c r="C880" s="8">
        <v>0.0672597041303939</v>
      </c>
      <c r="D880" s="8">
        <v>0.133402636689912</v>
      </c>
      <c r="E880" s="8">
        <v>1.1</v>
      </c>
      <c r="F880" s="9">
        <f t="shared" si="91"/>
        <v>0.157573564278235</v>
      </c>
      <c r="G880" s="9">
        <f t="shared" si="92"/>
        <v>0.121782004791534</v>
      </c>
      <c r="H880" s="9">
        <f t="shared" si="93"/>
        <v>0.101576364721718</v>
      </c>
      <c r="I880" s="3" t="str">
        <f t="shared" si="94"/>
        <v>2023-01-01</v>
      </c>
      <c r="J880" s="9">
        <f t="shared" si="95"/>
        <v>0.14890459054622</v>
      </c>
      <c r="K880" s="9">
        <f t="shared" si="96"/>
        <v>0.122032761327877</v>
      </c>
      <c r="L880" s="9">
        <f t="shared" si="97"/>
        <v>0.101156074307784</v>
      </c>
    </row>
    <row r="881" s="4" customFormat="1" ht="13.5" customHeight="1" spans="1:12">
      <c r="A881" s="4">
        <v>44956</v>
      </c>
      <c r="B881" s="8">
        <v>0.0758967173378979</v>
      </c>
      <c r="C881" s="8">
        <v>0.0704521789972391</v>
      </c>
      <c r="D881" s="8">
        <v>0.138849078392561</v>
      </c>
      <c r="E881" s="8">
        <v>1.22</v>
      </c>
      <c r="F881" s="9">
        <f t="shared" si="91"/>
        <v>0.15757065232003</v>
      </c>
      <c r="G881" s="9">
        <f t="shared" si="92"/>
        <v>0.123813601075209</v>
      </c>
      <c r="H881" s="9">
        <f t="shared" si="93"/>
        <v>0.101386173862054</v>
      </c>
      <c r="I881" s="3" t="str">
        <f t="shared" si="94"/>
        <v>2023-01-01</v>
      </c>
      <c r="J881" s="9">
        <f t="shared" si="95"/>
        <v>0.14890459054622</v>
      </c>
      <c r="K881" s="9">
        <f t="shared" si="96"/>
        <v>0.122032761327877</v>
      </c>
      <c r="L881" s="9">
        <f t="shared" si="97"/>
        <v>0.101156074307784</v>
      </c>
    </row>
    <row r="882" s="4" customFormat="1" ht="13.5" customHeight="1" spans="1:12">
      <c r="A882" s="4">
        <v>44953</v>
      </c>
      <c r="B882" s="8">
        <v>0.0695893771040993</v>
      </c>
      <c r="C882" s="8">
        <v>0.0767595192310377</v>
      </c>
      <c r="D882" s="8">
        <v>0.146084165273935</v>
      </c>
      <c r="E882" s="8">
        <v>1.38</v>
      </c>
      <c r="F882" s="9">
        <f t="shared" si="91"/>
        <v>0.157340331158395</v>
      </c>
      <c r="G882" s="9">
        <f t="shared" si="92"/>
        <v>0.1255521430378</v>
      </c>
      <c r="H882" s="9">
        <f t="shared" si="93"/>
        <v>0.100215764903138</v>
      </c>
      <c r="I882" s="3" t="str">
        <f t="shared" si="94"/>
        <v>2023-01-01</v>
      </c>
      <c r="J882" s="9">
        <f t="shared" si="95"/>
        <v>0.14890459054622</v>
      </c>
      <c r="K882" s="9">
        <f t="shared" si="96"/>
        <v>0.122032761327877</v>
      </c>
      <c r="L882" s="9">
        <f t="shared" si="97"/>
        <v>0.101156074307784</v>
      </c>
    </row>
    <row r="883" s="4" customFormat="1" ht="13.5" customHeight="1" spans="1:12">
      <c r="A883" s="4">
        <v>44952</v>
      </c>
      <c r="B883" s="8">
        <v>0.0655761528299639</v>
      </c>
      <c r="C883" s="8">
        <v>0.0808591253995818</v>
      </c>
      <c r="D883" s="8">
        <v>0.146640394149626</v>
      </c>
      <c r="E883" s="8">
        <v>1.6</v>
      </c>
      <c r="F883" s="9">
        <f t="shared" si="91"/>
        <v>0.156249688743511</v>
      </c>
      <c r="G883" s="9">
        <f t="shared" si="92"/>
        <v>0.128734467808715</v>
      </c>
      <c r="H883" s="9">
        <f t="shared" si="93"/>
        <v>0.101622725020252</v>
      </c>
      <c r="I883" s="3" t="str">
        <f t="shared" si="94"/>
        <v>2023-01-01</v>
      </c>
      <c r="J883" s="9">
        <f t="shared" si="95"/>
        <v>0.14890459054622</v>
      </c>
      <c r="K883" s="9">
        <f t="shared" si="96"/>
        <v>0.122032761327877</v>
      </c>
      <c r="L883" s="9">
        <f t="shared" si="97"/>
        <v>0.101156074307784</v>
      </c>
    </row>
    <row r="884" s="4" customFormat="1" ht="13.5" customHeight="1" spans="1:12">
      <c r="A884" s="4">
        <v>44951</v>
      </c>
      <c r="B884" s="8">
        <v>0.0591802261853593</v>
      </c>
      <c r="C884" s="8">
        <v>0.0872550520441864</v>
      </c>
      <c r="D884" s="8">
        <v>0.144768963353063</v>
      </c>
      <c r="E884" s="8">
        <v>1.6</v>
      </c>
      <c r="F884" s="9">
        <f t="shared" si="91"/>
        <v>0.154219799199794</v>
      </c>
      <c r="G884" s="9">
        <f t="shared" si="92"/>
        <v>0.123804991174572</v>
      </c>
      <c r="H884" s="9">
        <f t="shared" si="93"/>
        <v>0.0959529329295804</v>
      </c>
      <c r="I884" s="3" t="str">
        <f t="shared" si="94"/>
        <v>2023-01-01</v>
      </c>
      <c r="J884" s="9">
        <f t="shared" si="95"/>
        <v>0.14890459054622</v>
      </c>
      <c r="K884" s="9">
        <f t="shared" si="96"/>
        <v>0.122032761327877</v>
      </c>
      <c r="L884" s="9">
        <f t="shared" si="97"/>
        <v>0.101156074307784</v>
      </c>
    </row>
    <row r="885" s="4" customFormat="1" ht="13.5" customHeight="1" spans="1:12">
      <c r="A885" s="4">
        <v>44950</v>
      </c>
      <c r="B885" s="8">
        <v>0.0571936201582086</v>
      </c>
      <c r="C885" s="8">
        <v>0.0893280325045585</v>
      </c>
      <c r="D885" s="8">
        <v>0.14465540670184</v>
      </c>
      <c r="E885" s="8">
        <v>1.7</v>
      </c>
      <c r="F885" s="9">
        <f t="shared" si="91"/>
        <v>0.153752156132378</v>
      </c>
      <c r="G885" s="9">
        <f t="shared" si="92"/>
        <v>0.12490891281004</v>
      </c>
      <c r="H885" s="9">
        <f t="shared" si="93"/>
        <v>0.0964565667293066</v>
      </c>
      <c r="I885" s="3" t="str">
        <f t="shared" si="94"/>
        <v>2023-01-01</v>
      </c>
      <c r="J885" s="9">
        <f t="shared" si="95"/>
        <v>0.14890459054622</v>
      </c>
      <c r="K885" s="9">
        <f t="shared" si="96"/>
        <v>0.122032761327877</v>
      </c>
      <c r="L885" s="9">
        <f t="shared" si="97"/>
        <v>0.101156074307784</v>
      </c>
    </row>
    <row r="886" s="4" customFormat="1" ht="13.5" customHeight="1" spans="1:12">
      <c r="A886" s="4">
        <v>44949</v>
      </c>
      <c r="B886" s="8">
        <v>0.05</v>
      </c>
      <c r="C886" s="8">
        <v>0.0963488963351371</v>
      </c>
      <c r="D886" s="8">
        <v>0.147122596778</v>
      </c>
      <c r="E886" s="8">
        <v>2</v>
      </c>
      <c r="F886" s="9">
        <f t="shared" si="91"/>
        <v>0.152362769865616</v>
      </c>
      <c r="G886" s="9">
        <f t="shared" si="92"/>
        <v>0.127317896220328</v>
      </c>
      <c r="H886" s="9">
        <f t="shared" si="93"/>
        <v>0.0973748947598925</v>
      </c>
      <c r="I886" s="3" t="str">
        <f t="shared" si="94"/>
        <v>2023-01-01</v>
      </c>
      <c r="J886" s="9">
        <f t="shared" si="95"/>
        <v>0.14890459054622</v>
      </c>
      <c r="K886" s="9">
        <f t="shared" si="96"/>
        <v>0.122032761327877</v>
      </c>
      <c r="L886" s="9">
        <f t="shared" si="97"/>
        <v>0.101156074307784</v>
      </c>
    </row>
    <row r="887" s="4" customFormat="1" ht="13.5" customHeight="1" spans="1:12">
      <c r="A887" s="4">
        <v>44946</v>
      </c>
      <c r="B887" s="8">
        <v>0.0580743469208429</v>
      </c>
      <c r="C887" s="8">
        <v>0.0882745494142941</v>
      </c>
      <c r="D887" s="8">
        <v>0.12298143254971</v>
      </c>
      <c r="E887" s="8">
        <v>2</v>
      </c>
      <c r="F887" s="9">
        <f t="shared" si="91"/>
        <v>0.149727841214336</v>
      </c>
      <c r="G887" s="9">
        <f t="shared" si="92"/>
        <v>0.125545430189314</v>
      </c>
      <c r="H887" s="9">
        <f t="shared" si="93"/>
        <v>0.0992122146173095</v>
      </c>
      <c r="I887" s="3" t="str">
        <f t="shared" si="94"/>
        <v>2023-01-01</v>
      </c>
      <c r="J887" s="9">
        <f t="shared" si="95"/>
        <v>0.14890459054622</v>
      </c>
      <c r="K887" s="9">
        <f t="shared" si="96"/>
        <v>0.122032761327877</v>
      </c>
      <c r="L887" s="9">
        <f t="shared" si="97"/>
        <v>0.101156074307784</v>
      </c>
    </row>
    <row r="888" s="4" customFormat="1" ht="13.5" customHeight="1" spans="1:12">
      <c r="A888" s="4">
        <v>44945</v>
      </c>
      <c r="B888" s="8">
        <v>0.0602866733857592</v>
      </c>
      <c r="C888" s="8">
        <v>0.0860622229493778</v>
      </c>
      <c r="D888" s="8">
        <v>0.124025378095802</v>
      </c>
      <c r="E888" s="8">
        <v>2</v>
      </c>
      <c r="F888" s="9">
        <f t="shared" si="91"/>
        <v>0.150387538559808</v>
      </c>
      <c r="G888" s="9">
        <f t="shared" si="92"/>
        <v>0.127243074636432</v>
      </c>
      <c r="H888" s="9">
        <f t="shared" si="93"/>
        <v>0.101185405346443</v>
      </c>
      <c r="I888" s="3" t="str">
        <f t="shared" si="94"/>
        <v>2023-01-01</v>
      </c>
      <c r="J888" s="9">
        <f t="shared" si="95"/>
        <v>0.14890459054622</v>
      </c>
      <c r="K888" s="9">
        <f t="shared" si="96"/>
        <v>0.122032761327877</v>
      </c>
      <c r="L888" s="9">
        <f t="shared" si="97"/>
        <v>0.101156074307784</v>
      </c>
    </row>
    <row r="889" s="4" customFormat="1" ht="13.5" customHeight="1" spans="1:12">
      <c r="A889" s="4">
        <v>44944</v>
      </c>
      <c r="B889" s="8">
        <v>0.0716456310198736</v>
      </c>
      <c r="C889" s="8">
        <v>0.0747032653152634</v>
      </c>
      <c r="D889" s="8">
        <v>0.124135366917908</v>
      </c>
      <c r="E889" s="8">
        <v>1.29</v>
      </c>
      <c r="F889" s="9">
        <f t="shared" si="91"/>
        <v>0.152820449617376</v>
      </c>
      <c r="G889" s="9">
        <f t="shared" si="92"/>
        <v>0.119308472079591</v>
      </c>
      <c r="H889" s="9">
        <f t="shared" si="93"/>
        <v>0.097231420485156</v>
      </c>
      <c r="I889" s="3" t="str">
        <f t="shared" si="94"/>
        <v>2023-01-01</v>
      </c>
      <c r="J889" s="9">
        <f t="shared" si="95"/>
        <v>0.14890459054622</v>
      </c>
      <c r="K889" s="9">
        <f t="shared" si="96"/>
        <v>0.122032761327877</v>
      </c>
      <c r="L889" s="9">
        <f t="shared" si="97"/>
        <v>0.101156074307784</v>
      </c>
    </row>
    <row r="890" s="4" customFormat="1" ht="13.5" customHeight="1" spans="1:12">
      <c r="A890" s="4">
        <v>44943</v>
      </c>
      <c r="B890" s="8">
        <v>0.0617444191659001</v>
      </c>
      <c r="C890" s="8">
        <v>0.0847772334968671</v>
      </c>
      <c r="D890" s="8">
        <v>0.126762376917362</v>
      </c>
      <c r="E890" s="8">
        <v>1.69</v>
      </c>
      <c r="F890" s="9">
        <f t="shared" si="91"/>
        <v>0.151265679265452</v>
      </c>
      <c r="G890" s="9">
        <f t="shared" si="92"/>
        <v>0.122956445353399</v>
      </c>
      <c r="H890" s="9">
        <f t="shared" si="93"/>
        <v>0.0970569933604681</v>
      </c>
      <c r="I890" s="3" t="str">
        <f t="shared" si="94"/>
        <v>2023-01-01</v>
      </c>
      <c r="J890" s="9">
        <f t="shared" si="95"/>
        <v>0.14890459054622</v>
      </c>
      <c r="K890" s="9">
        <f t="shared" si="96"/>
        <v>0.122032761327877</v>
      </c>
      <c r="L890" s="9">
        <f t="shared" si="97"/>
        <v>0.101156074307784</v>
      </c>
    </row>
    <row r="891" s="4" customFormat="1" ht="13.5" customHeight="1" spans="1:12">
      <c r="A891" s="4">
        <v>44942</v>
      </c>
      <c r="B891" s="8">
        <v>0.0641873405706922</v>
      </c>
      <c r="C891" s="8">
        <v>0.0821615557644448</v>
      </c>
      <c r="D891" s="8">
        <v>0.130172492541523</v>
      </c>
      <c r="E891" s="8">
        <v>1.56</v>
      </c>
      <c r="F891" s="9">
        <f t="shared" si="91"/>
        <v>0.152377966566692</v>
      </c>
      <c r="G891" s="9">
        <f t="shared" si="92"/>
        <v>0.12246997645256</v>
      </c>
      <c r="H891" s="9">
        <f t="shared" si="93"/>
        <v>0.0970428940614774</v>
      </c>
      <c r="I891" s="3" t="str">
        <f t="shared" si="94"/>
        <v>2023-01-01</v>
      </c>
      <c r="J891" s="9">
        <f t="shared" si="95"/>
        <v>0.14890459054622</v>
      </c>
      <c r="K891" s="9">
        <f t="shared" si="96"/>
        <v>0.122032761327877</v>
      </c>
      <c r="L891" s="9">
        <f t="shared" si="97"/>
        <v>0.101156074307784</v>
      </c>
    </row>
    <row r="892" s="4" customFormat="1" ht="13.5" customHeight="1" spans="1:12">
      <c r="A892" s="4">
        <v>44939</v>
      </c>
      <c r="B892" s="8">
        <v>0.0777504602841794</v>
      </c>
      <c r="C892" s="8">
        <v>0.0685984360509576</v>
      </c>
      <c r="D892" s="8">
        <v>0.0548002821836276</v>
      </c>
      <c r="E892" s="8">
        <v>2</v>
      </c>
      <c r="F892" s="9">
        <f t="shared" si="91"/>
        <v>0.141619633491043</v>
      </c>
      <c r="G892" s="9">
        <f t="shared" si="92"/>
        <v>0.11855999304379</v>
      </c>
      <c r="H892" s="9">
        <f t="shared" si="93"/>
        <v>0.101894671729564</v>
      </c>
      <c r="I892" s="3" t="str">
        <f t="shared" si="94"/>
        <v>2023-01-01</v>
      </c>
      <c r="J892" s="9">
        <f t="shared" si="95"/>
        <v>0.14890459054622</v>
      </c>
      <c r="K892" s="9">
        <f t="shared" si="96"/>
        <v>0.122032761327877</v>
      </c>
      <c r="L892" s="9">
        <f t="shared" si="97"/>
        <v>0.101156074307784</v>
      </c>
    </row>
    <row r="893" s="4" customFormat="1" ht="13.5" customHeight="1" spans="1:12">
      <c r="A893" s="4">
        <v>44938</v>
      </c>
      <c r="B893" s="8">
        <v>0.0791966415675131</v>
      </c>
      <c r="C893" s="8">
        <v>0.0671522547676238</v>
      </c>
      <c r="D893" s="8">
        <v>0.0528467125198303</v>
      </c>
      <c r="E893" s="8">
        <v>2</v>
      </c>
      <c r="F893" s="9">
        <f t="shared" si="91"/>
        <v>0.141575319146736</v>
      </c>
      <c r="G893" s="9">
        <f t="shared" si="92"/>
        <v>0.118918260132163</v>
      </c>
      <c r="H893" s="9">
        <f t="shared" si="93"/>
        <v>0.102678647340664</v>
      </c>
      <c r="I893" s="3" t="str">
        <f t="shared" si="94"/>
        <v>2023-01-01</v>
      </c>
      <c r="J893" s="9">
        <f t="shared" si="95"/>
        <v>0.14890459054622</v>
      </c>
      <c r="K893" s="9">
        <f t="shared" si="96"/>
        <v>0.122032761327877</v>
      </c>
      <c r="L893" s="9">
        <f t="shared" si="97"/>
        <v>0.101156074307784</v>
      </c>
    </row>
    <row r="894" s="4" customFormat="1" ht="13.5" customHeight="1" spans="1:12">
      <c r="A894" s="4">
        <v>44937</v>
      </c>
      <c r="B894" s="8">
        <v>0.0908480060197745</v>
      </c>
      <c r="C894" s="8">
        <v>0.0556736466429926</v>
      </c>
      <c r="D894" s="8">
        <v>0.0148603068709998</v>
      </c>
      <c r="E894" s="8">
        <v>2</v>
      </c>
      <c r="F894" s="9">
        <f t="shared" si="91"/>
        <v>0.137340670603796</v>
      </c>
      <c r="G894" s="9">
        <f t="shared" si="92"/>
        <v>0.115525867365461</v>
      </c>
      <c r="H894" s="9">
        <f t="shared" si="93"/>
        <v>0.104759617954403</v>
      </c>
      <c r="I894" s="3" t="str">
        <f t="shared" si="94"/>
        <v>2023-01-01</v>
      </c>
      <c r="J894" s="9">
        <f t="shared" si="95"/>
        <v>0.14890459054622</v>
      </c>
      <c r="K894" s="9">
        <f t="shared" si="96"/>
        <v>0.122032761327877</v>
      </c>
      <c r="L894" s="9">
        <f t="shared" si="97"/>
        <v>0.101156074307784</v>
      </c>
    </row>
    <row r="895" s="4" customFormat="1" ht="13.5" customHeight="1" spans="1:12">
      <c r="A895" s="4">
        <v>44936</v>
      </c>
      <c r="B895" s="8">
        <v>0.0919374411179584</v>
      </c>
      <c r="C895" s="8">
        <v>0.0552749385624284</v>
      </c>
      <c r="D895" s="8">
        <v>0.012135228890067</v>
      </c>
      <c r="E895" s="8">
        <v>2</v>
      </c>
      <c r="F895" s="9">
        <f t="shared" si="91"/>
        <v>0.137624720965891</v>
      </c>
      <c r="G895" s="9">
        <f t="shared" si="92"/>
        <v>0.115692042451185</v>
      </c>
      <c r="H895" s="9">
        <f t="shared" si="93"/>
        <v>0.105246866852276</v>
      </c>
      <c r="I895" s="3" t="str">
        <f t="shared" si="94"/>
        <v>2023-01-01</v>
      </c>
      <c r="J895" s="9">
        <f t="shared" si="95"/>
        <v>0.14890459054622</v>
      </c>
      <c r="K895" s="9">
        <f t="shared" si="96"/>
        <v>0.122032761327877</v>
      </c>
      <c r="L895" s="9">
        <f t="shared" si="97"/>
        <v>0.101156074307784</v>
      </c>
    </row>
    <row r="896" s="4" customFormat="1" ht="13.5" customHeight="1" spans="1:12">
      <c r="A896" s="4">
        <v>44935</v>
      </c>
      <c r="B896" s="8">
        <v>0.0856428080095395</v>
      </c>
      <c r="C896" s="8">
        <v>0.0612242678000127</v>
      </c>
      <c r="D896" s="8">
        <v>0.0398060630804601</v>
      </c>
      <c r="E896" s="8">
        <v>2</v>
      </c>
      <c r="F896" s="9">
        <f t="shared" si="91"/>
        <v>0.141003885589893</v>
      </c>
      <c r="G896" s="9">
        <f t="shared" si="92"/>
        <v>0.119470229900028</v>
      </c>
      <c r="H896" s="9">
        <f t="shared" si="93"/>
        <v>0.105444515639401</v>
      </c>
      <c r="I896" s="3" t="str">
        <f t="shared" si="94"/>
        <v>2023-01-01</v>
      </c>
      <c r="J896" s="9">
        <f t="shared" si="95"/>
        <v>0.14890459054622</v>
      </c>
      <c r="K896" s="9">
        <f t="shared" si="96"/>
        <v>0.122032761327877</v>
      </c>
      <c r="L896" s="9">
        <f t="shared" si="97"/>
        <v>0.101156074307784</v>
      </c>
    </row>
    <row r="897" s="4" customFormat="1" ht="13.5" customHeight="1" spans="1:12">
      <c r="A897" s="4">
        <v>44932</v>
      </c>
      <c r="B897" s="8">
        <v>0.0859975976231458</v>
      </c>
      <c r="C897" s="8">
        <v>0.0615599667344688</v>
      </c>
      <c r="D897" s="8">
        <v>0.0425900617373842</v>
      </c>
      <c r="E897" s="8">
        <v>2</v>
      </c>
      <c r="F897" s="9">
        <f t="shared" si="91"/>
        <v>0.142125105367829</v>
      </c>
      <c r="G897" s="9">
        <f t="shared" si="92"/>
        <v>0.120741941875266</v>
      </c>
      <c r="H897" s="9">
        <f t="shared" si="93"/>
        <v>0.106400282264483</v>
      </c>
      <c r="I897" s="3" t="str">
        <f t="shared" si="94"/>
        <v>2023-01-01</v>
      </c>
      <c r="J897" s="9">
        <f t="shared" si="95"/>
        <v>0.14890459054622</v>
      </c>
      <c r="K897" s="9">
        <f t="shared" si="96"/>
        <v>0.122032761327877</v>
      </c>
      <c r="L897" s="9">
        <f t="shared" si="97"/>
        <v>0.101156074307784</v>
      </c>
    </row>
    <row r="898" s="4" customFormat="1" ht="13.5" customHeight="1" spans="1:12">
      <c r="A898" s="4">
        <v>44931</v>
      </c>
      <c r="B898" s="8">
        <v>0.0886319513440516</v>
      </c>
      <c r="C898" s="8">
        <v>0.0606497513717028</v>
      </c>
      <c r="D898" s="8">
        <v>0.0358611555036718</v>
      </c>
      <c r="E898" s="8">
        <v>2</v>
      </c>
      <c r="F898" s="9">
        <f t="shared" si="91"/>
        <v>0.14282922675593</v>
      </c>
      <c r="G898" s="9">
        <f t="shared" si="92"/>
        <v>0.121123812130809</v>
      </c>
      <c r="H898" s="9">
        <f t="shared" si="93"/>
        <v>0.107562445078945</v>
      </c>
      <c r="I898" s="3" t="str">
        <f t="shared" si="94"/>
        <v>2023-01-01</v>
      </c>
      <c r="J898" s="9">
        <f t="shared" si="95"/>
        <v>0.14890459054622</v>
      </c>
      <c r="K898" s="9">
        <f t="shared" si="96"/>
        <v>0.122032761327877</v>
      </c>
      <c r="L898" s="9">
        <f t="shared" si="97"/>
        <v>0.101156074307784</v>
      </c>
    </row>
    <row r="899" s="4" customFormat="1" ht="13.5" customHeight="1" spans="1:12">
      <c r="A899" s="4">
        <v>44930</v>
      </c>
      <c r="B899" s="8">
        <v>0.0847527467700517</v>
      </c>
      <c r="C899" s="8">
        <v>0.0776211722142068</v>
      </c>
      <c r="D899" s="8">
        <v>0.0137962960449146</v>
      </c>
      <c r="E899" s="8">
        <v>2</v>
      </c>
      <c r="F899" s="9">
        <f t="shared" si="91"/>
        <v>0.148324812081654</v>
      </c>
      <c r="G899" s="9">
        <f t="shared" si="92"/>
        <v>0.117185664029338</v>
      </c>
      <c r="H899" s="9">
        <f t="shared" si="93"/>
        <v>0.102820088499158</v>
      </c>
      <c r="I899" s="3" t="str">
        <f t="shared" si="94"/>
        <v>2023-01-01</v>
      </c>
      <c r="J899" s="9">
        <f t="shared" si="95"/>
        <v>0.14890459054622</v>
      </c>
      <c r="K899" s="9">
        <f t="shared" si="96"/>
        <v>0.122032761327877</v>
      </c>
      <c r="L899" s="9">
        <f t="shared" si="97"/>
        <v>0.101156074307784</v>
      </c>
    </row>
    <row r="900" s="4" customFormat="1" ht="13.5" customHeight="1" spans="1:12">
      <c r="A900" s="4">
        <v>44925</v>
      </c>
      <c r="B900" s="8">
        <v>0.0811822024007452</v>
      </c>
      <c r="C900" s="8">
        <v>0.0791493365015942</v>
      </c>
      <c r="D900" s="8">
        <v>0.0283326136808774</v>
      </c>
      <c r="E900" s="8">
        <v>2</v>
      </c>
      <c r="F900" s="9">
        <f t="shared" si="91"/>
        <v>0.148579307595693</v>
      </c>
      <c r="G900" s="9">
        <f t="shared" si="92"/>
        <v>0.118320237625599</v>
      </c>
      <c r="H900" s="9">
        <f t="shared" si="93"/>
        <v>0.102342847251175</v>
      </c>
      <c r="I900" s="3" t="str">
        <f t="shared" si="94"/>
        <v>2022-12-01</v>
      </c>
      <c r="J900" s="9">
        <f t="shared" si="95"/>
        <v>0.139188471276184</v>
      </c>
      <c r="K900" s="9">
        <f t="shared" si="96"/>
        <v>0.114173279568402</v>
      </c>
      <c r="L900" s="9">
        <f t="shared" si="97"/>
        <v>0.100554697891172</v>
      </c>
    </row>
    <row r="901" s="4" customFormat="1" ht="13.5" customHeight="1" spans="1:12">
      <c r="A901" s="4">
        <v>44924</v>
      </c>
      <c r="B901" s="8">
        <v>0.0726966983768045</v>
      </c>
      <c r="C901" s="8">
        <v>0.0825105659255781</v>
      </c>
      <c r="D901" s="8">
        <v>0.0643247769579003</v>
      </c>
      <c r="E901" s="8">
        <v>2</v>
      </c>
      <c r="F901" s="9">
        <f t="shared" ref="F901:F964" si="98">B901+(C901+D901)*(E901/$F$3)*(1-EXP(-$F$3/E901))-D901*EXP(-$F$3/E901)</f>
        <v>0.149232159963124</v>
      </c>
      <c r="G901" s="9">
        <f t="shared" ref="G901:G964" si="99">B901+(C901+D901)*(E901/$G$3)*(1-EXP(-$G$3/E901))-D901*EXP(-$G$3/E901)</f>
        <v>0.121329544734712</v>
      </c>
      <c r="H901" s="9">
        <f t="shared" ref="H901:H964" si="100">B901+(C901+D901)*(E901/$H$3)*(1-EXP(-$H$3/E901))-D901*EXP(-$H$3/E901)</f>
        <v>0.101432476264042</v>
      </c>
      <c r="I901" s="3" t="str">
        <f t="shared" ref="I901:I964" si="101">TEXT(A901,"yyyy-mm-01")</f>
        <v>2022-12-01</v>
      </c>
      <c r="J901" s="9">
        <f t="shared" ref="J901:J964" si="102">AVERAGEIF($I:$I,I901,$F:$F)</f>
        <v>0.139188471276184</v>
      </c>
      <c r="K901" s="9">
        <f t="shared" ref="K901:K964" si="103">AVERAGEIF($I:$I,I901,$G:$G)</f>
        <v>0.114173279568402</v>
      </c>
      <c r="L901" s="9">
        <f t="shared" ref="L901:L964" si="104">AVERAGEIF($I:$I,I901,$H:$H)</f>
        <v>0.100554697891172</v>
      </c>
    </row>
    <row r="902" s="4" customFormat="1" ht="13.5" customHeight="1" spans="1:12">
      <c r="A902" s="4">
        <v>44923</v>
      </c>
      <c r="B902" s="8">
        <v>0.076927530516392</v>
      </c>
      <c r="C902" s="8">
        <v>0.0766515574119086</v>
      </c>
      <c r="D902" s="8">
        <v>0.0428300047723307</v>
      </c>
      <c r="E902" s="8">
        <v>2</v>
      </c>
      <c r="F902" s="9">
        <f t="shared" si="98"/>
        <v>0.144974482364608</v>
      </c>
      <c r="G902" s="9">
        <f t="shared" si="99"/>
        <v>0.1172813969603</v>
      </c>
      <c r="H902" s="9">
        <f t="shared" si="100"/>
        <v>0.10037424456444</v>
      </c>
      <c r="I902" s="3" t="str">
        <f t="shared" si="101"/>
        <v>2022-12-01</v>
      </c>
      <c r="J902" s="9">
        <f t="shared" si="102"/>
        <v>0.139188471276184</v>
      </c>
      <c r="K902" s="9">
        <f t="shared" si="103"/>
        <v>0.114173279568402</v>
      </c>
      <c r="L902" s="9">
        <f t="shared" si="104"/>
        <v>0.100554697891172</v>
      </c>
    </row>
    <row r="903" s="4" customFormat="1" ht="13.5" customHeight="1" spans="1:12">
      <c r="A903" s="4">
        <v>44922</v>
      </c>
      <c r="B903" s="8">
        <v>0.0742062028303084</v>
      </c>
      <c r="C903" s="8">
        <v>0.0774843104101241</v>
      </c>
      <c r="D903" s="8">
        <v>0.0543285647641929</v>
      </c>
      <c r="E903" s="8">
        <v>2</v>
      </c>
      <c r="F903" s="9">
        <f t="shared" si="98"/>
        <v>0.144982912675081</v>
      </c>
      <c r="G903" s="9">
        <f t="shared" si="99"/>
        <v>0.11814384886521</v>
      </c>
      <c r="H903" s="9">
        <f t="shared" si="100"/>
        <v>0.10002508524191</v>
      </c>
      <c r="I903" s="3" t="str">
        <f t="shared" si="101"/>
        <v>2022-12-01</v>
      </c>
      <c r="J903" s="9">
        <f t="shared" si="102"/>
        <v>0.139188471276184</v>
      </c>
      <c r="K903" s="9">
        <f t="shared" si="103"/>
        <v>0.114173279568402</v>
      </c>
      <c r="L903" s="9">
        <f t="shared" si="104"/>
        <v>0.100554697891172</v>
      </c>
    </row>
    <row r="904" s="4" customFormat="1" ht="13.5" customHeight="1" spans="1:12">
      <c r="A904" s="4">
        <v>44921</v>
      </c>
      <c r="B904" s="8">
        <v>0.0704598667428557</v>
      </c>
      <c r="C904" s="8">
        <v>0.0778739277628377</v>
      </c>
      <c r="D904" s="8">
        <v>0.0724754740793401</v>
      </c>
      <c r="E904" s="8">
        <v>2</v>
      </c>
      <c r="F904" s="9">
        <f t="shared" si="98"/>
        <v>0.144817029547411</v>
      </c>
      <c r="G904" s="9">
        <f t="shared" si="99"/>
        <v>0.11971390611233</v>
      </c>
      <c r="H904" s="9">
        <f t="shared" si="100"/>
        <v>0.0998388019480197</v>
      </c>
      <c r="I904" s="3" t="str">
        <f t="shared" si="101"/>
        <v>2022-12-01</v>
      </c>
      <c r="J904" s="9">
        <f t="shared" si="102"/>
        <v>0.139188471276184</v>
      </c>
      <c r="K904" s="9">
        <f t="shared" si="103"/>
        <v>0.114173279568402</v>
      </c>
      <c r="L904" s="9">
        <f t="shared" si="104"/>
        <v>0.100554697891172</v>
      </c>
    </row>
    <row r="905" s="4" customFormat="1" ht="13.5" customHeight="1" spans="1:12">
      <c r="A905" s="4">
        <v>44918</v>
      </c>
      <c r="B905" s="8">
        <v>0.0675376528870827</v>
      </c>
      <c r="C905" s="8">
        <v>0.0796747267933041</v>
      </c>
      <c r="D905" s="8">
        <v>0.083374359598622</v>
      </c>
      <c r="E905" s="8">
        <v>2</v>
      </c>
      <c r="F905" s="9">
        <f t="shared" si="98"/>
        <v>0.14527818047079</v>
      </c>
      <c r="G905" s="9">
        <f t="shared" si="99"/>
        <v>0.120559949638088</v>
      </c>
      <c r="H905" s="9">
        <f t="shared" si="100"/>
        <v>0.0993659749289381</v>
      </c>
      <c r="I905" s="3" t="str">
        <f t="shared" si="101"/>
        <v>2022-12-01</v>
      </c>
      <c r="J905" s="9">
        <f t="shared" si="102"/>
        <v>0.139188471276184</v>
      </c>
      <c r="K905" s="9">
        <f t="shared" si="103"/>
        <v>0.114173279568402</v>
      </c>
      <c r="L905" s="9">
        <f t="shared" si="104"/>
        <v>0.100554697891172</v>
      </c>
    </row>
    <row r="906" s="4" customFormat="1" ht="13.5" customHeight="1" spans="1:12">
      <c r="A906" s="4">
        <v>44917</v>
      </c>
      <c r="B906" s="8">
        <v>0.0650550600836225</v>
      </c>
      <c r="C906" s="8">
        <v>0.0824162192745858</v>
      </c>
      <c r="D906" s="8">
        <v>0.092333423389211</v>
      </c>
      <c r="E906" s="8">
        <v>2</v>
      </c>
      <c r="F906" s="9">
        <f t="shared" si="98"/>
        <v>0.146569261110593</v>
      </c>
      <c r="G906" s="9">
        <f t="shared" si="99"/>
        <v>0.121637998546264</v>
      </c>
      <c r="H906" s="9">
        <f t="shared" si="100"/>
        <v>0.0991473601372657</v>
      </c>
      <c r="I906" s="3" t="str">
        <f t="shared" si="101"/>
        <v>2022-12-01</v>
      </c>
      <c r="J906" s="9">
        <f t="shared" si="102"/>
        <v>0.139188471276184</v>
      </c>
      <c r="K906" s="9">
        <f t="shared" si="103"/>
        <v>0.114173279568402</v>
      </c>
      <c r="L906" s="9">
        <f t="shared" si="104"/>
        <v>0.100554697891172</v>
      </c>
    </row>
    <row r="907" s="4" customFormat="1" ht="13.5" customHeight="1" spans="1:12">
      <c r="A907" s="4">
        <v>44916</v>
      </c>
      <c r="B907" s="8">
        <v>0.0598707664169528</v>
      </c>
      <c r="C907" s="8">
        <v>0.0869963093925994</v>
      </c>
      <c r="D907" s="8">
        <v>0.104531020775982</v>
      </c>
      <c r="E907" s="8">
        <v>2</v>
      </c>
      <c r="F907" s="9">
        <f t="shared" si="98"/>
        <v>0.147189761922126</v>
      </c>
      <c r="G907" s="9">
        <f t="shared" si="99"/>
        <v>0.121612661534503</v>
      </c>
      <c r="H907" s="9">
        <f t="shared" si="100"/>
        <v>0.0972138077730098</v>
      </c>
      <c r="I907" s="3" t="str">
        <f t="shared" si="101"/>
        <v>2022-12-01</v>
      </c>
      <c r="J907" s="9">
        <f t="shared" si="102"/>
        <v>0.139188471276184</v>
      </c>
      <c r="K907" s="9">
        <f t="shared" si="103"/>
        <v>0.114173279568402</v>
      </c>
      <c r="L907" s="9">
        <f t="shared" si="104"/>
        <v>0.100554697891172</v>
      </c>
    </row>
    <row r="908" s="4" customFormat="1" ht="13.5" customHeight="1" spans="1:12">
      <c r="A908" s="4">
        <v>44915</v>
      </c>
      <c r="B908" s="8">
        <v>0.0597313811865637</v>
      </c>
      <c r="C908" s="8">
        <v>0.0871356946229886</v>
      </c>
      <c r="D908" s="8">
        <v>0.100934225140521</v>
      </c>
      <c r="E908" s="8">
        <v>2</v>
      </c>
      <c r="F908" s="9">
        <f t="shared" si="98"/>
        <v>0.146511173538992</v>
      </c>
      <c r="G908" s="9">
        <f t="shared" si="99"/>
        <v>0.12049907571821</v>
      </c>
      <c r="H908" s="9">
        <f t="shared" si="100"/>
        <v>0.0964118346495773</v>
      </c>
      <c r="I908" s="3" t="str">
        <f t="shared" si="101"/>
        <v>2022-12-01</v>
      </c>
      <c r="J908" s="9">
        <f t="shared" si="102"/>
        <v>0.139188471276184</v>
      </c>
      <c r="K908" s="9">
        <f t="shared" si="103"/>
        <v>0.114173279568402</v>
      </c>
      <c r="L908" s="9">
        <f t="shared" si="104"/>
        <v>0.100554697891172</v>
      </c>
    </row>
    <row r="909" s="4" customFormat="1" ht="13.5" customHeight="1" spans="1:12">
      <c r="A909" s="4">
        <v>44914</v>
      </c>
      <c r="B909" s="8">
        <v>0.0595954404503324</v>
      </c>
      <c r="C909" s="8">
        <v>0.0881346715740031</v>
      </c>
      <c r="D909" s="8">
        <v>0.10207004760057</v>
      </c>
      <c r="E909" s="8">
        <v>2</v>
      </c>
      <c r="F909" s="9">
        <f t="shared" si="98"/>
        <v>0.147366277888585</v>
      </c>
      <c r="G909" s="9">
        <f t="shared" si="99"/>
        <v>0.121053726758646</v>
      </c>
      <c r="H909" s="9">
        <f t="shared" si="100"/>
        <v>0.0966923238509654</v>
      </c>
      <c r="I909" s="3" t="str">
        <f t="shared" si="101"/>
        <v>2022-12-01</v>
      </c>
      <c r="J909" s="9">
        <f t="shared" si="102"/>
        <v>0.139188471276184</v>
      </c>
      <c r="K909" s="9">
        <f t="shared" si="103"/>
        <v>0.114173279568402</v>
      </c>
      <c r="L909" s="9">
        <f t="shared" si="104"/>
        <v>0.100554697891172</v>
      </c>
    </row>
    <row r="910" s="4" customFormat="1" ht="13.5" customHeight="1" spans="1:12">
      <c r="A910" s="4">
        <v>44910</v>
      </c>
      <c r="B910" s="8">
        <v>0.0606390762207278</v>
      </c>
      <c r="C910" s="8">
        <v>0.0879533278290992</v>
      </c>
      <c r="D910" s="8">
        <v>0.0988116263274078</v>
      </c>
      <c r="E910" s="8">
        <v>2</v>
      </c>
      <c r="F910" s="9">
        <f t="shared" si="98"/>
        <v>0.147679361918609</v>
      </c>
      <c r="G910" s="9">
        <f t="shared" si="99"/>
        <v>0.121101865270248</v>
      </c>
      <c r="H910" s="9">
        <f t="shared" si="100"/>
        <v>0.0970745970784631</v>
      </c>
      <c r="I910" s="3" t="str">
        <f t="shared" si="101"/>
        <v>2022-12-01</v>
      </c>
      <c r="J910" s="9">
        <f t="shared" si="102"/>
        <v>0.139188471276184</v>
      </c>
      <c r="K910" s="9">
        <f t="shared" si="103"/>
        <v>0.114173279568402</v>
      </c>
      <c r="L910" s="9">
        <f t="shared" si="104"/>
        <v>0.100554697891172</v>
      </c>
    </row>
    <row r="911" s="4" customFormat="1" ht="13.5" customHeight="1" spans="1:12">
      <c r="A911" s="4">
        <v>44909</v>
      </c>
      <c r="B911" s="8">
        <v>0.0970408617156491</v>
      </c>
      <c r="C911" s="8">
        <v>0.0499125512405144</v>
      </c>
      <c r="D911" s="8">
        <v>-0.00292390705703244</v>
      </c>
      <c r="E911" s="8">
        <v>1</v>
      </c>
      <c r="F911" s="9">
        <f t="shared" si="98"/>
        <v>0.127818995029686</v>
      </c>
      <c r="G911" s="9">
        <f t="shared" si="99"/>
        <v>0.106394970284313</v>
      </c>
      <c r="H911" s="9">
        <f t="shared" si="100"/>
        <v>0.101739645551058</v>
      </c>
      <c r="I911" s="3" t="str">
        <f t="shared" si="101"/>
        <v>2022-12-01</v>
      </c>
      <c r="J911" s="9">
        <f t="shared" si="102"/>
        <v>0.139188471276184</v>
      </c>
      <c r="K911" s="9">
        <f t="shared" si="103"/>
        <v>0.114173279568402</v>
      </c>
      <c r="L911" s="9">
        <f t="shared" si="104"/>
        <v>0.100554697891172</v>
      </c>
    </row>
    <row r="912" s="4" customFormat="1" ht="13.5" customHeight="1" spans="1:12">
      <c r="A912" s="4">
        <v>44908</v>
      </c>
      <c r="B912" s="8">
        <v>0.0967821350005395</v>
      </c>
      <c r="C912" s="8">
        <v>0.0504302446798473</v>
      </c>
      <c r="D912" s="8">
        <v>-0.00173809287728375</v>
      </c>
      <c r="E912" s="8">
        <v>1</v>
      </c>
      <c r="F912" s="9">
        <f t="shared" si="98"/>
        <v>0.12820085384494</v>
      </c>
      <c r="G912" s="9">
        <f t="shared" si="99"/>
        <v>0.106466659511115</v>
      </c>
      <c r="H912" s="9">
        <f t="shared" si="100"/>
        <v>0.101651208028063</v>
      </c>
      <c r="I912" s="3" t="str">
        <f t="shared" si="101"/>
        <v>2022-12-01</v>
      </c>
      <c r="J912" s="9">
        <f t="shared" si="102"/>
        <v>0.139188471276184</v>
      </c>
      <c r="K912" s="9">
        <f t="shared" si="103"/>
        <v>0.114173279568402</v>
      </c>
      <c r="L912" s="9">
        <f t="shared" si="104"/>
        <v>0.100554697891172</v>
      </c>
    </row>
    <row r="913" s="4" customFormat="1" ht="13.5" customHeight="1" spans="1:12">
      <c r="A913" s="4">
        <v>44907</v>
      </c>
      <c r="B913" s="8">
        <v>0.0971847298475155</v>
      </c>
      <c r="C913" s="8">
        <v>0.0502002570655429</v>
      </c>
      <c r="D913" s="8">
        <v>-0.00394656262702779</v>
      </c>
      <c r="E913" s="8">
        <v>1</v>
      </c>
      <c r="F913" s="9">
        <f t="shared" si="98"/>
        <v>0.127874500277654</v>
      </c>
      <c r="G913" s="9">
        <f t="shared" si="99"/>
        <v>0.1063997294767</v>
      </c>
      <c r="H913" s="9">
        <f t="shared" si="100"/>
        <v>0.101810068473585</v>
      </c>
      <c r="I913" s="3" t="str">
        <f t="shared" si="101"/>
        <v>2022-12-01</v>
      </c>
      <c r="J913" s="9">
        <f t="shared" si="102"/>
        <v>0.139188471276184</v>
      </c>
      <c r="K913" s="9">
        <f t="shared" si="103"/>
        <v>0.114173279568402</v>
      </c>
      <c r="L913" s="9">
        <f t="shared" si="104"/>
        <v>0.100554697891172</v>
      </c>
    </row>
    <row r="914" s="4" customFormat="1" ht="13.5" customHeight="1" spans="1:12">
      <c r="A914" s="4">
        <v>44904</v>
      </c>
      <c r="B914" s="8">
        <v>0.0938599741358125</v>
      </c>
      <c r="C914" s="8">
        <v>0.0549909725965422</v>
      </c>
      <c r="D914" s="8">
        <v>8.83505364085704e-5</v>
      </c>
      <c r="E914" s="8">
        <v>1.16</v>
      </c>
      <c r="F914" s="9">
        <f t="shared" si="98"/>
        <v>0.13073388173157</v>
      </c>
      <c r="G914" s="9">
        <f t="shared" si="99"/>
        <v>0.106465590523207</v>
      </c>
      <c r="H914" s="9">
        <f t="shared" si="100"/>
        <v>0.100248007484436</v>
      </c>
      <c r="I914" s="3" t="str">
        <f t="shared" si="101"/>
        <v>2022-12-01</v>
      </c>
      <c r="J914" s="9">
        <f t="shared" si="102"/>
        <v>0.139188471276184</v>
      </c>
      <c r="K914" s="9">
        <f t="shared" si="103"/>
        <v>0.114173279568402</v>
      </c>
      <c r="L914" s="9">
        <f t="shared" si="104"/>
        <v>0.100554697891172</v>
      </c>
    </row>
    <row r="915" s="4" customFormat="1" ht="13.5" customHeight="1" spans="1:12">
      <c r="A915" s="4">
        <v>44903</v>
      </c>
      <c r="B915" s="8">
        <v>0.0941941337629085</v>
      </c>
      <c r="C915" s="8">
        <v>0.056550752929517</v>
      </c>
      <c r="D915" s="8">
        <v>-0.000125474119421215</v>
      </c>
      <c r="E915" s="8">
        <v>1.1</v>
      </c>
      <c r="F915" s="9">
        <f t="shared" si="98"/>
        <v>0.131305974167944</v>
      </c>
      <c r="G915" s="9">
        <f t="shared" si="99"/>
        <v>0.106477252797947</v>
      </c>
      <c r="H915" s="9">
        <f t="shared" si="100"/>
        <v>0.10040022915646</v>
      </c>
      <c r="I915" s="3" t="str">
        <f t="shared" si="101"/>
        <v>2022-12-01</v>
      </c>
      <c r="J915" s="9">
        <f t="shared" si="102"/>
        <v>0.139188471276184</v>
      </c>
      <c r="K915" s="9">
        <f t="shared" si="103"/>
        <v>0.114173279568402</v>
      </c>
      <c r="L915" s="9">
        <f t="shared" si="104"/>
        <v>0.100554697891172</v>
      </c>
    </row>
    <row r="916" s="4" customFormat="1" ht="13.5" customHeight="1" spans="1:12">
      <c r="A916" s="4">
        <v>44902</v>
      </c>
      <c r="B916" s="8">
        <v>0.0980405199358146</v>
      </c>
      <c r="C916" s="8">
        <v>0.0535640641960794</v>
      </c>
      <c r="D916" s="8">
        <v>-0.0112466861376826</v>
      </c>
      <c r="E916" s="8">
        <v>1</v>
      </c>
      <c r="F916" s="9">
        <f t="shared" si="98"/>
        <v>0.128927629213609</v>
      </c>
      <c r="G916" s="9">
        <f t="shared" si="99"/>
        <v>0.106522748672505</v>
      </c>
      <c r="H916" s="9">
        <f t="shared" si="100"/>
        <v>0.102272576219816</v>
      </c>
      <c r="I916" s="3" t="str">
        <f t="shared" si="101"/>
        <v>2022-12-01</v>
      </c>
      <c r="J916" s="9">
        <f t="shared" si="102"/>
        <v>0.139188471276184</v>
      </c>
      <c r="K916" s="9">
        <f t="shared" si="103"/>
        <v>0.114173279568402</v>
      </c>
      <c r="L916" s="9">
        <f t="shared" si="104"/>
        <v>0.100554697891172</v>
      </c>
    </row>
    <row r="917" s="4" customFormat="1" ht="13.5" customHeight="1" spans="1:12">
      <c r="A917" s="4">
        <v>44901</v>
      </c>
      <c r="B917" s="8">
        <v>0.0937768511443259</v>
      </c>
      <c r="C917" s="8">
        <v>0.0549879221207861</v>
      </c>
      <c r="D917" s="8">
        <v>-9.58557854565347e-5</v>
      </c>
      <c r="E917" s="8">
        <v>1.2</v>
      </c>
      <c r="F917" s="9">
        <f t="shared" si="98"/>
        <v>0.131061797070653</v>
      </c>
      <c r="G917" s="9">
        <f t="shared" si="99"/>
        <v>0.106748183944419</v>
      </c>
      <c r="H917" s="9">
        <f t="shared" si="100"/>
        <v>0.100362338820101</v>
      </c>
      <c r="I917" s="3" t="str">
        <f t="shared" si="101"/>
        <v>2022-12-01</v>
      </c>
      <c r="J917" s="9">
        <f t="shared" si="102"/>
        <v>0.139188471276184</v>
      </c>
      <c r="K917" s="9">
        <f t="shared" si="103"/>
        <v>0.114173279568402</v>
      </c>
      <c r="L917" s="9">
        <f t="shared" si="104"/>
        <v>0.100554697891172</v>
      </c>
    </row>
    <row r="918" s="4" customFormat="1" ht="13.5" customHeight="1" spans="1:12">
      <c r="A918" s="4">
        <v>44900</v>
      </c>
      <c r="B918" s="8">
        <v>0.0981114237040988</v>
      </c>
      <c r="C918" s="8">
        <v>0.0534072239348106</v>
      </c>
      <c r="D918" s="8">
        <v>-2.37802399810319e-5</v>
      </c>
      <c r="E918" s="8">
        <v>1.13</v>
      </c>
      <c r="F918" s="9">
        <f t="shared" si="98"/>
        <v>0.133547150996684</v>
      </c>
      <c r="G918" s="9">
        <f t="shared" si="99"/>
        <v>0.110031870059529</v>
      </c>
      <c r="H918" s="9">
        <f t="shared" si="100"/>
        <v>0.104142890944155</v>
      </c>
      <c r="I918" s="3" t="str">
        <f t="shared" si="101"/>
        <v>2022-12-01</v>
      </c>
      <c r="J918" s="9">
        <f t="shared" si="102"/>
        <v>0.139188471276184</v>
      </c>
      <c r="K918" s="9">
        <f t="shared" si="103"/>
        <v>0.114173279568402</v>
      </c>
      <c r="L918" s="9">
        <f t="shared" si="104"/>
        <v>0.100554697891172</v>
      </c>
    </row>
    <row r="919" s="4" customFormat="1" ht="13.5" customHeight="1" spans="1:12">
      <c r="A919" s="4">
        <v>44897</v>
      </c>
      <c r="B919" s="8">
        <v>0.103088318725271</v>
      </c>
      <c r="C919" s="8">
        <v>0.0529748169063166</v>
      </c>
      <c r="D919" s="8">
        <v>-0.0164637700282202</v>
      </c>
      <c r="E919" s="8">
        <v>1</v>
      </c>
      <c r="F919" s="9">
        <f t="shared" si="98"/>
        <v>0.132224384598826</v>
      </c>
      <c r="G919" s="9">
        <f t="shared" si="99"/>
        <v>0.110452258210996</v>
      </c>
      <c r="H919" s="9">
        <f t="shared" si="100"/>
        <v>0.106740005107187</v>
      </c>
      <c r="I919" s="3" t="str">
        <f t="shared" si="101"/>
        <v>2022-12-01</v>
      </c>
      <c r="J919" s="9">
        <f t="shared" si="102"/>
        <v>0.139188471276184</v>
      </c>
      <c r="K919" s="9">
        <f t="shared" si="103"/>
        <v>0.114173279568402</v>
      </c>
      <c r="L919" s="9">
        <f t="shared" si="104"/>
        <v>0.100554697891172</v>
      </c>
    </row>
    <row r="920" s="4" customFormat="1" ht="13.5" customHeight="1" spans="1:12">
      <c r="A920" s="4">
        <v>44896</v>
      </c>
      <c r="B920" s="8">
        <v>0.0938814745507113</v>
      </c>
      <c r="C920" s="8">
        <v>0.0624382797042426</v>
      </c>
      <c r="D920" s="8">
        <v>-3.92374364677506e-5</v>
      </c>
      <c r="E920" s="8">
        <v>1.36</v>
      </c>
      <c r="F920" s="9">
        <f t="shared" si="98"/>
        <v>0.138082820872683</v>
      </c>
      <c r="G920" s="9">
        <f t="shared" si="99"/>
        <v>0.110425395691589</v>
      </c>
      <c r="H920" s="9">
        <f t="shared" si="100"/>
        <v>0.102362332241944</v>
      </c>
      <c r="I920" s="3" t="str">
        <f t="shared" si="101"/>
        <v>2022-12-01</v>
      </c>
      <c r="J920" s="9">
        <f t="shared" si="102"/>
        <v>0.139188471276184</v>
      </c>
      <c r="K920" s="9">
        <f t="shared" si="103"/>
        <v>0.114173279568402</v>
      </c>
      <c r="L920" s="9">
        <f t="shared" si="104"/>
        <v>0.100554697891172</v>
      </c>
    </row>
    <row r="921" s="4" customFormat="1" ht="13.5" customHeight="1" spans="1:12">
      <c r="A921" s="4">
        <v>44895</v>
      </c>
      <c r="B921" s="8">
        <v>0.104126161594925</v>
      </c>
      <c r="C921" s="8">
        <v>0.0506528921926282</v>
      </c>
      <c r="D921" s="8">
        <v>-0.017427613169028</v>
      </c>
      <c r="E921" s="8">
        <v>1</v>
      </c>
      <c r="F921" s="9">
        <f t="shared" si="98"/>
        <v>0.131539804132132</v>
      </c>
      <c r="G921" s="9">
        <f t="shared" si="99"/>
        <v>0.11084386969968</v>
      </c>
      <c r="H921" s="9">
        <f t="shared" si="100"/>
        <v>0.107449329867165</v>
      </c>
      <c r="I921" s="3" t="str">
        <f t="shared" si="101"/>
        <v>2022-11-01</v>
      </c>
      <c r="J921" s="9">
        <f t="shared" si="102"/>
        <v>0.133732416762148</v>
      </c>
      <c r="K921" s="9">
        <f t="shared" si="103"/>
        <v>0.11108422301593</v>
      </c>
      <c r="L921" s="9">
        <f t="shared" si="104"/>
        <v>0.0992534396585662</v>
      </c>
    </row>
    <row r="922" s="4" customFormat="1" ht="13.5" customHeight="1" spans="1:12">
      <c r="A922" s="4">
        <v>44894</v>
      </c>
      <c r="B922" s="8">
        <v>0.103803945728481</v>
      </c>
      <c r="C922" s="8">
        <v>0.0513176911388196</v>
      </c>
      <c r="D922" s="8">
        <v>-0.014230204197279</v>
      </c>
      <c r="E922" s="8">
        <v>1</v>
      </c>
      <c r="F922" s="9">
        <f t="shared" si="98"/>
        <v>0.132482708267365</v>
      </c>
      <c r="G922" s="9">
        <f t="shared" si="99"/>
        <v>0.111267346774188</v>
      </c>
      <c r="H922" s="9">
        <f t="shared" si="100"/>
        <v>0.107513172095976</v>
      </c>
      <c r="I922" s="3" t="str">
        <f t="shared" si="101"/>
        <v>2022-11-01</v>
      </c>
      <c r="J922" s="9">
        <f t="shared" si="102"/>
        <v>0.133732416762148</v>
      </c>
      <c r="K922" s="9">
        <f t="shared" si="103"/>
        <v>0.11108422301593</v>
      </c>
      <c r="L922" s="9">
        <f t="shared" si="104"/>
        <v>0.0992534396585662</v>
      </c>
    </row>
    <row r="923" s="4" customFormat="1" ht="13.5" customHeight="1" spans="1:12">
      <c r="A923" s="4">
        <v>44893</v>
      </c>
      <c r="B923" s="8">
        <v>0.0846683208062593</v>
      </c>
      <c r="C923" s="8">
        <v>0.0635792556539438</v>
      </c>
      <c r="D923" s="8">
        <v>0.0162287129929206</v>
      </c>
      <c r="E923" s="8">
        <v>2</v>
      </c>
      <c r="F923" s="9">
        <f t="shared" si="98"/>
        <v>0.137629086354689</v>
      </c>
      <c r="G923" s="9">
        <f t="shared" si="99"/>
        <v>0.112638959582692</v>
      </c>
      <c r="H923" s="9">
        <f t="shared" si="100"/>
        <v>0.100413017955053</v>
      </c>
      <c r="I923" s="3" t="str">
        <f t="shared" si="101"/>
        <v>2022-11-01</v>
      </c>
      <c r="J923" s="9">
        <f t="shared" si="102"/>
        <v>0.133732416762148</v>
      </c>
      <c r="K923" s="9">
        <f t="shared" si="103"/>
        <v>0.11108422301593</v>
      </c>
      <c r="L923" s="9">
        <f t="shared" si="104"/>
        <v>0.0992534396585662</v>
      </c>
    </row>
    <row r="924" s="4" customFormat="1" ht="13.5" customHeight="1" spans="1:12">
      <c r="A924" s="4">
        <v>44890</v>
      </c>
      <c r="B924" s="8">
        <v>0.0893556846848797</v>
      </c>
      <c r="C924" s="8">
        <v>0.0588918917753234</v>
      </c>
      <c r="D924" s="8">
        <v>0.00624791838745832</v>
      </c>
      <c r="E924" s="8">
        <v>2</v>
      </c>
      <c r="F924" s="9">
        <f t="shared" si="98"/>
        <v>0.136827166885892</v>
      </c>
      <c r="G924" s="9">
        <f t="shared" si="99"/>
        <v>0.112759947886726</v>
      </c>
      <c r="H924" s="9">
        <f t="shared" si="100"/>
        <v>0.102253766856805</v>
      </c>
      <c r="I924" s="3" t="str">
        <f t="shared" si="101"/>
        <v>2022-11-01</v>
      </c>
      <c r="J924" s="9">
        <f t="shared" si="102"/>
        <v>0.133732416762148</v>
      </c>
      <c r="K924" s="9">
        <f t="shared" si="103"/>
        <v>0.11108422301593</v>
      </c>
      <c r="L924" s="9">
        <f t="shared" si="104"/>
        <v>0.0992534396585662</v>
      </c>
    </row>
    <row r="925" s="4" customFormat="1" ht="13.5" customHeight="1" spans="1:12">
      <c r="A925" s="4">
        <v>44889</v>
      </c>
      <c r="B925" s="8">
        <v>0.085497515418119</v>
      </c>
      <c r="C925" s="8">
        <v>0.0564359804705476</v>
      </c>
      <c r="D925" s="8">
        <v>0.0258817573826782</v>
      </c>
      <c r="E925" s="8">
        <v>2</v>
      </c>
      <c r="F925" s="9">
        <f t="shared" si="98"/>
        <v>0.134578448052395</v>
      </c>
      <c r="G925" s="9">
        <f t="shared" si="99"/>
        <v>0.113597285980906</v>
      </c>
      <c r="H925" s="9">
        <f t="shared" si="100"/>
        <v>0.101675742568329</v>
      </c>
      <c r="I925" s="3" t="str">
        <f t="shared" si="101"/>
        <v>2022-11-01</v>
      </c>
      <c r="J925" s="9">
        <f t="shared" si="102"/>
        <v>0.133732416762148</v>
      </c>
      <c r="K925" s="9">
        <f t="shared" si="103"/>
        <v>0.11108422301593</v>
      </c>
      <c r="L925" s="9">
        <f t="shared" si="104"/>
        <v>0.0992534396585662</v>
      </c>
    </row>
    <row r="926" s="4" customFormat="1" ht="13.5" customHeight="1" spans="1:12">
      <c r="A926" s="4">
        <v>44888</v>
      </c>
      <c r="B926" s="8">
        <v>0.0845305050838365</v>
      </c>
      <c r="C926" s="8">
        <v>0.0565349351947664</v>
      </c>
      <c r="D926" s="8">
        <v>0.0313181042250244</v>
      </c>
      <c r="E926" s="8">
        <v>2</v>
      </c>
      <c r="F926" s="9">
        <f t="shared" si="98"/>
        <v>0.134670069592774</v>
      </c>
      <c r="G926" s="9">
        <f t="shared" si="99"/>
        <v>0.114216407661587</v>
      </c>
      <c r="H926" s="9">
        <f t="shared" si="100"/>
        <v>0.101771703416751</v>
      </c>
      <c r="I926" s="3" t="str">
        <f t="shared" si="101"/>
        <v>2022-11-01</v>
      </c>
      <c r="J926" s="9">
        <f t="shared" si="102"/>
        <v>0.133732416762148</v>
      </c>
      <c r="K926" s="9">
        <f t="shared" si="103"/>
        <v>0.11108422301593</v>
      </c>
      <c r="L926" s="9">
        <f t="shared" si="104"/>
        <v>0.0992534396585662</v>
      </c>
    </row>
    <row r="927" s="4" customFormat="1" ht="13.5" customHeight="1" spans="1:12">
      <c r="A927" s="4">
        <v>44887</v>
      </c>
      <c r="B927" s="8">
        <v>0.0843837927314162</v>
      </c>
      <c r="C927" s="8">
        <v>0.0581462298369827</v>
      </c>
      <c r="D927" s="8">
        <v>0.0405353831576441</v>
      </c>
      <c r="E927" s="8">
        <v>2</v>
      </c>
      <c r="F927" s="9">
        <f t="shared" si="98"/>
        <v>0.137454218370084</v>
      </c>
      <c r="G927" s="9">
        <f t="shared" si="99"/>
        <v>0.117288979031805</v>
      </c>
      <c r="H927" s="9">
        <f t="shared" si="100"/>
        <v>0.103714007771409</v>
      </c>
      <c r="I927" s="3" t="str">
        <f t="shared" si="101"/>
        <v>2022-11-01</v>
      </c>
      <c r="J927" s="9">
        <f t="shared" si="102"/>
        <v>0.133732416762148</v>
      </c>
      <c r="K927" s="9">
        <f t="shared" si="103"/>
        <v>0.11108422301593</v>
      </c>
      <c r="L927" s="9">
        <f t="shared" si="104"/>
        <v>0.0992534396585662</v>
      </c>
    </row>
    <row r="928" s="4" customFormat="1" ht="13.5" customHeight="1" spans="1:12">
      <c r="A928" s="4">
        <v>44886</v>
      </c>
      <c r="B928" s="8">
        <v>0.081876548082845</v>
      </c>
      <c r="C928" s="8">
        <v>0.0581462298369827</v>
      </c>
      <c r="D928" s="8">
        <v>0.0405353831576441</v>
      </c>
      <c r="E928" s="8">
        <v>2</v>
      </c>
      <c r="F928" s="9">
        <f t="shared" si="98"/>
        <v>0.134946973721513</v>
      </c>
      <c r="G928" s="9">
        <f t="shared" si="99"/>
        <v>0.114781734383234</v>
      </c>
      <c r="H928" s="9">
        <f t="shared" si="100"/>
        <v>0.101206763122838</v>
      </c>
      <c r="I928" s="3" t="str">
        <f t="shared" si="101"/>
        <v>2022-11-01</v>
      </c>
      <c r="J928" s="9">
        <f t="shared" si="102"/>
        <v>0.133732416762148</v>
      </c>
      <c r="K928" s="9">
        <f t="shared" si="103"/>
        <v>0.11108422301593</v>
      </c>
      <c r="L928" s="9">
        <f t="shared" si="104"/>
        <v>0.0992534396585662</v>
      </c>
    </row>
    <row r="929" s="4" customFormat="1" ht="13.5" customHeight="1" spans="1:12">
      <c r="A929" s="4">
        <v>44883</v>
      </c>
      <c r="B929" s="8">
        <v>0.0807028073510938</v>
      </c>
      <c r="C929" s="8">
        <v>0.0596676454961821</v>
      </c>
      <c r="D929" s="8">
        <v>0.0310545684198557</v>
      </c>
      <c r="E929" s="8">
        <v>2</v>
      </c>
      <c r="F929" s="9">
        <f t="shared" si="98"/>
        <v>0.133260078798213</v>
      </c>
      <c r="G929" s="9">
        <f t="shared" si="99"/>
        <v>0.111463805589717</v>
      </c>
      <c r="H929" s="9">
        <f t="shared" si="100"/>
        <v>0.0985157498044077</v>
      </c>
      <c r="I929" s="3" t="str">
        <f t="shared" si="101"/>
        <v>2022-11-01</v>
      </c>
      <c r="J929" s="9">
        <f t="shared" si="102"/>
        <v>0.133732416762148</v>
      </c>
      <c r="K929" s="9">
        <f t="shared" si="103"/>
        <v>0.11108422301593</v>
      </c>
      <c r="L929" s="9">
        <f t="shared" si="104"/>
        <v>0.0992534396585662</v>
      </c>
    </row>
    <row r="930" s="4" customFormat="1" ht="13.5" customHeight="1" spans="1:12">
      <c r="A930" s="4">
        <v>44882</v>
      </c>
      <c r="B930" s="8">
        <v>0.0795220398574797</v>
      </c>
      <c r="C930" s="8">
        <v>0.0608484129897962</v>
      </c>
      <c r="D930" s="8">
        <v>0.0360208179108133</v>
      </c>
      <c r="E930" s="8">
        <v>2</v>
      </c>
      <c r="F930" s="9">
        <f t="shared" si="98"/>
        <v>0.13390445415986</v>
      </c>
      <c r="G930" s="9">
        <f t="shared" si="99"/>
        <v>0.112132359155013</v>
      </c>
      <c r="H930" s="9">
        <f t="shared" si="100"/>
        <v>0.0985226397269247</v>
      </c>
      <c r="I930" s="3" t="str">
        <f t="shared" si="101"/>
        <v>2022-11-01</v>
      </c>
      <c r="J930" s="9">
        <f t="shared" si="102"/>
        <v>0.133732416762148</v>
      </c>
      <c r="K930" s="9">
        <f t="shared" si="103"/>
        <v>0.11108422301593</v>
      </c>
      <c r="L930" s="9">
        <f t="shared" si="104"/>
        <v>0.0992534396585662</v>
      </c>
    </row>
    <row r="931" s="4" customFormat="1" ht="13.5" customHeight="1" spans="1:12">
      <c r="A931" s="4">
        <v>44881</v>
      </c>
      <c r="B931" s="8">
        <v>0.0851939249722467</v>
      </c>
      <c r="C931" s="8">
        <v>0.0547419153252699</v>
      </c>
      <c r="D931" s="8">
        <v>0.0086026346863807</v>
      </c>
      <c r="E931" s="8">
        <v>2</v>
      </c>
      <c r="F931" s="9">
        <f t="shared" si="98"/>
        <v>0.129824439888418</v>
      </c>
      <c r="G931" s="9">
        <f t="shared" si="99"/>
        <v>0.107745742800298</v>
      </c>
      <c r="H931" s="9">
        <f t="shared" si="100"/>
        <v>0.0977195084338756</v>
      </c>
      <c r="I931" s="3" t="str">
        <f t="shared" si="101"/>
        <v>2022-11-01</v>
      </c>
      <c r="J931" s="9">
        <f t="shared" si="102"/>
        <v>0.133732416762148</v>
      </c>
      <c r="K931" s="9">
        <f t="shared" si="103"/>
        <v>0.11108422301593</v>
      </c>
      <c r="L931" s="9">
        <f t="shared" si="104"/>
        <v>0.0992534396585662</v>
      </c>
    </row>
    <row r="932" s="4" customFormat="1" ht="13.5" customHeight="1" spans="1:12">
      <c r="A932" s="4">
        <v>44880</v>
      </c>
      <c r="B932" s="8">
        <v>0.0837557606367563</v>
      </c>
      <c r="C932" s="8">
        <v>0.056353947347889</v>
      </c>
      <c r="D932" s="8">
        <v>0.0124836251944418</v>
      </c>
      <c r="E932" s="8">
        <v>2</v>
      </c>
      <c r="F932" s="9">
        <f t="shared" si="98"/>
        <v>0.130355007722396</v>
      </c>
      <c r="G932" s="9">
        <f t="shared" si="99"/>
        <v>0.108005858477818</v>
      </c>
      <c r="H932" s="9">
        <f t="shared" si="100"/>
        <v>0.0973463963572387</v>
      </c>
      <c r="I932" s="3" t="str">
        <f t="shared" si="101"/>
        <v>2022-11-01</v>
      </c>
      <c r="J932" s="9">
        <f t="shared" si="102"/>
        <v>0.133732416762148</v>
      </c>
      <c r="K932" s="9">
        <f t="shared" si="103"/>
        <v>0.11108422301593</v>
      </c>
      <c r="L932" s="9">
        <f t="shared" si="104"/>
        <v>0.0992534396585662</v>
      </c>
    </row>
    <row r="933" s="4" customFormat="1" ht="13.5" customHeight="1" spans="1:12">
      <c r="A933" s="4">
        <v>44879</v>
      </c>
      <c r="B933" s="8">
        <v>0.083931280385561</v>
      </c>
      <c r="C933" s="8">
        <v>0.0563522650614951</v>
      </c>
      <c r="D933" s="8">
        <v>0.0125007028114705</v>
      </c>
      <c r="E933" s="8">
        <v>2</v>
      </c>
      <c r="F933" s="9">
        <f t="shared" si="98"/>
        <v>0.130532284554054</v>
      </c>
      <c r="G933" s="9">
        <f t="shared" si="99"/>
        <v>0.108185629052428</v>
      </c>
      <c r="H933" s="9">
        <f t="shared" si="100"/>
        <v>0.0975248593575076</v>
      </c>
      <c r="I933" s="3" t="str">
        <f t="shared" si="101"/>
        <v>2022-11-01</v>
      </c>
      <c r="J933" s="9">
        <f t="shared" si="102"/>
        <v>0.133732416762148</v>
      </c>
      <c r="K933" s="9">
        <f t="shared" si="103"/>
        <v>0.11108422301593</v>
      </c>
      <c r="L933" s="9">
        <f t="shared" si="104"/>
        <v>0.0992534396585662</v>
      </c>
    </row>
    <row r="934" s="4" customFormat="1" ht="13.5" customHeight="1" spans="1:12">
      <c r="A934" s="4">
        <v>44876</v>
      </c>
      <c r="B934" s="8">
        <v>0.0813891574047926</v>
      </c>
      <c r="C934" s="8">
        <v>0.0584597377116062</v>
      </c>
      <c r="D934" s="8">
        <v>0.0217328769319379</v>
      </c>
      <c r="E934" s="8">
        <v>2</v>
      </c>
      <c r="F934" s="9">
        <f t="shared" si="98"/>
        <v>0.131314171581239</v>
      </c>
      <c r="G934" s="9">
        <f t="shared" si="99"/>
        <v>0.109049215824094</v>
      </c>
      <c r="H934" s="9">
        <f t="shared" si="100"/>
        <v>0.0971731786431591</v>
      </c>
      <c r="I934" s="3" t="str">
        <f t="shared" si="101"/>
        <v>2022-11-01</v>
      </c>
      <c r="J934" s="9">
        <f t="shared" si="102"/>
        <v>0.133732416762148</v>
      </c>
      <c r="K934" s="9">
        <f t="shared" si="103"/>
        <v>0.11108422301593</v>
      </c>
      <c r="L934" s="9">
        <f t="shared" si="104"/>
        <v>0.0992534396585662</v>
      </c>
    </row>
    <row r="935" s="4" customFormat="1" ht="13.5" customHeight="1" spans="1:12">
      <c r="A935" s="4">
        <v>44875</v>
      </c>
      <c r="B935" s="8">
        <v>0.0816655333257324</v>
      </c>
      <c r="C935" s="8">
        <v>0.0581833617906663</v>
      </c>
      <c r="D935" s="8">
        <v>0.0274268887498577</v>
      </c>
      <c r="E935" s="8">
        <v>1.79</v>
      </c>
      <c r="F935" s="9">
        <f t="shared" si="98"/>
        <v>0.131569514544647</v>
      </c>
      <c r="G935" s="9">
        <f t="shared" si="99"/>
        <v>0.108758681995095</v>
      </c>
      <c r="H935" s="9">
        <f t="shared" si="100"/>
        <v>0.0968295464569336</v>
      </c>
      <c r="I935" s="3" t="str">
        <f t="shared" si="101"/>
        <v>2022-11-01</v>
      </c>
      <c r="J935" s="9">
        <f t="shared" si="102"/>
        <v>0.133732416762148</v>
      </c>
      <c r="K935" s="9">
        <f t="shared" si="103"/>
        <v>0.11108422301593</v>
      </c>
      <c r="L935" s="9">
        <f t="shared" si="104"/>
        <v>0.0992534396585662</v>
      </c>
    </row>
    <row r="936" s="4" customFormat="1" ht="12.75" customHeight="1" spans="1:12">
      <c r="A936" s="4">
        <v>44874</v>
      </c>
      <c r="B936" s="8">
        <v>0.0799245933000387</v>
      </c>
      <c r="C936" s="8">
        <v>0.0599243018163601</v>
      </c>
      <c r="D936" s="8">
        <v>0.0297971587777788</v>
      </c>
      <c r="E936" s="8">
        <v>1.91</v>
      </c>
      <c r="F936" s="9">
        <f t="shared" si="98"/>
        <v>0.132120801362518</v>
      </c>
      <c r="G936" s="9">
        <f t="shared" si="99"/>
        <v>0.109523388356618</v>
      </c>
      <c r="H936" s="9">
        <f t="shared" si="100"/>
        <v>0.0968115338018921</v>
      </c>
      <c r="I936" s="3" t="str">
        <f t="shared" si="101"/>
        <v>2022-11-01</v>
      </c>
      <c r="J936" s="9">
        <f t="shared" si="102"/>
        <v>0.133732416762148</v>
      </c>
      <c r="K936" s="9">
        <f t="shared" si="103"/>
        <v>0.11108422301593</v>
      </c>
      <c r="L936" s="9">
        <f t="shared" si="104"/>
        <v>0.0992534396585662</v>
      </c>
    </row>
    <row r="937" s="4" customFormat="1" ht="13.5" customHeight="1" spans="1:12">
      <c r="A937" s="4">
        <v>44873</v>
      </c>
      <c r="B937" s="8">
        <v>0.0798370590758697</v>
      </c>
      <c r="C937" s="8">
        <v>0.0599248832992889</v>
      </c>
      <c r="D937" s="8">
        <v>0.0397871814313919</v>
      </c>
      <c r="E937" s="8">
        <v>1.68</v>
      </c>
      <c r="F937" s="9">
        <f t="shared" si="98"/>
        <v>0.133039725694221</v>
      </c>
      <c r="G937" s="9">
        <f t="shared" si="99"/>
        <v>0.109603475437321</v>
      </c>
      <c r="H937" s="9">
        <f t="shared" si="100"/>
        <v>0.0964417052041785</v>
      </c>
      <c r="I937" s="3" t="str">
        <f t="shared" si="101"/>
        <v>2022-11-01</v>
      </c>
      <c r="J937" s="9">
        <f t="shared" si="102"/>
        <v>0.133732416762148</v>
      </c>
      <c r="K937" s="9">
        <f t="shared" si="103"/>
        <v>0.11108422301593</v>
      </c>
      <c r="L937" s="9">
        <f t="shared" si="104"/>
        <v>0.0992534396585662</v>
      </c>
    </row>
    <row r="938" s="4" customFormat="1" ht="13.5" customHeight="1" spans="1:12">
      <c r="A938" s="4">
        <v>44872</v>
      </c>
      <c r="B938" s="8">
        <v>0.0801071635390134</v>
      </c>
      <c r="C938" s="8">
        <v>0.0597417315773853</v>
      </c>
      <c r="D938" s="8">
        <v>0.0449012481006001</v>
      </c>
      <c r="E938" s="8">
        <v>1.56</v>
      </c>
      <c r="F938" s="9">
        <f t="shared" si="98"/>
        <v>0.133709810618911</v>
      </c>
      <c r="G938" s="9">
        <f t="shared" si="99"/>
        <v>0.109610839368113</v>
      </c>
      <c r="H938" s="9">
        <f t="shared" si="100"/>
        <v>0.0963307766557541</v>
      </c>
      <c r="I938" s="3" t="str">
        <f t="shared" si="101"/>
        <v>2022-11-01</v>
      </c>
      <c r="J938" s="9">
        <f t="shared" si="102"/>
        <v>0.133732416762148</v>
      </c>
      <c r="K938" s="9">
        <f t="shared" si="103"/>
        <v>0.11108422301593</v>
      </c>
      <c r="L938" s="9">
        <f t="shared" si="104"/>
        <v>0.0992534396585662</v>
      </c>
    </row>
    <row r="939" s="4" customFormat="1" ht="13.5" customHeight="1" spans="1:12">
      <c r="A939" s="4">
        <v>44869</v>
      </c>
      <c r="B939" s="8">
        <v>0.0787304266074189</v>
      </c>
      <c r="C939" s="8">
        <v>0.0618138183848895</v>
      </c>
      <c r="D939" s="8">
        <v>0.0411266040490755</v>
      </c>
      <c r="E939" s="8">
        <v>1.77</v>
      </c>
      <c r="F939" s="9">
        <f t="shared" si="98"/>
        <v>0.133998862412061</v>
      </c>
      <c r="G939" s="9">
        <f t="shared" si="99"/>
        <v>0.11057026128094</v>
      </c>
      <c r="H939" s="9">
        <f t="shared" si="100"/>
        <v>0.096742068124826</v>
      </c>
      <c r="I939" s="3" t="str">
        <f t="shared" si="101"/>
        <v>2022-11-01</v>
      </c>
      <c r="J939" s="9">
        <f t="shared" si="102"/>
        <v>0.133732416762148</v>
      </c>
      <c r="K939" s="9">
        <f t="shared" si="103"/>
        <v>0.11108422301593</v>
      </c>
      <c r="L939" s="9">
        <f t="shared" si="104"/>
        <v>0.0992534396585662</v>
      </c>
    </row>
    <row r="940" s="4" customFormat="1" ht="13.5" customHeight="1" spans="1:12">
      <c r="A940" s="4">
        <v>44868</v>
      </c>
      <c r="B940" s="8">
        <v>0.0794109913354655</v>
      </c>
      <c r="C940" s="8">
        <v>0.0615676019241066</v>
      </c>
      <c r="D940" s="8">
        <v>0.0470434538431856</v>
      </c>
      <c r="E940" s="8">
        <v>1.57</v>
      </c>
      <c r="F940" s="9">
        <f t="shared" si="98"/>
        <v>0.134859856058182</v>
      </c>
      <c r="G940" s="9">
        <f t="shared" si="99"/>
        <v>0.110156166326036</v>
      </c>
      <c r="H940" s="9">
        <f t="shared" si="100"/>
        <v>0.0963531226511307</v>
      </c>
      <c r="I940" s="3" t="str">
        <f t="shared" si="101"/>
        <v>2022-11-01</v>
      </c>
      <c r="J940" s="9">
        <f t="shared" si="102"/>
        <v>0.133732416762148</v>
      </c>
      <c r="K940" s="9">
        <f t="shared" si="103"/>
        <v>0.11108422301593</v>
      </c>
      <c r="L940" s="9">
        <f t="shared" si="104"/>
        <v>0.0992534396585662</v>
      </c>
    </row>
    <row r="941" s="4" customFormat="1" ht="13.5" customHeight="1" spans="1:12">
      <c r="A941" s="4">
        <v>44867</v>
      </c>
      <c r="B941" s="8">
        <v>0.0760948393787433</v>
      </c>
      <c r="C941" s="8">
        <v>0.0656651056590884</v>
      </c>
      <c r="D941" s="8">
        <v>0.0487434707374819</v>
      </c>
      <c r="E941" s="8">
        <v>1.74</v>
      </c>
      <c r="F941" s="9">
        <f t="shared" si="98"/>
        <v>0.13567931987898</v>
      </c>
      <c r="G941" s="9">
        <f t="shared" si="99"/>
        <v>0.110905759491262</v>
      </c>
      <c r="H941" s="9">
        <f t="shared" si="100"/>
        <v>0.0957828032023999</v>
      </c>
      <c r="I941" s="3" t="str">
        <f t="shared" si="101"/>
        <v>2022-11-01</v>
      </c>
      <c r="J941" s="9">
        <f t="shared" si="102"/>
        <v>0.133732416762148</v>
      </c>
      <c r="K941" s="9">
        <f t="shared" si="103"/>
        <v>0.11108422301593</v>
      </c>
      <c r="L941" s="9">
        <f t="shared" si="104"/>
        <v>0.0992534396585662</v>
      </c>
    </row>
    <row r="942" s="4" customFormat="1" ht="13.5" customHeight="1" spans="1:12">
      <c r="A942" s="4">
        <v>44866</v>
      </c>
      <c r="B942" s="8">
        <v>0.0770489266793566</v>
      </c>
      <c r="C942" s="8">
        <v>0.0662718927648654</v>
      </c>
      <c r="D942" s="8">
        <v>0.0572736159194097</v>
      </c>
      <c r="E942" s="8">
        <v>1.5</v>
      </c>
      <c r="F942" s="9">
        <f t="shared" si="98"/>
        <v>0.137816366116702</v>
      </c>
      <c r="G942" s="9">
        <f t="shared" si="99"/>
        <v>0.110747192194891</v>
      </c>
      <c r="H942" s="9">
        <f t="shared" si="100"/>
        <v>0.0954842804139006</v>
      </c>
      <c r="I942" s="3" t="str">
        <f t="shared" si="101"/>
        <v>2022-11-01</v>
      </c>
      <c r="J942" s="9">
        <f t="shared" si="102"/>
        <v>0.133732416762148</v>
      </c>
      <c r="K942" s="9">
        <f t="shared" si="103"/>
        <v>0.11108422301593</v>
      </c>
      <c r="L942" s="9">
        <f t="shared" si="104"/>
        <v>0.0992534396585662</v>
      </c>
    </row>
    <row r="943" s="4" customFormat="1" ht="13.5" customHeight="1" spans="1:12">
      <c r="A943" s="4">
        <v>44865</v>
      </c>
      <c r="B943" s="8">
        <v>0.076819491026106</v>
      </c>
      <c r="C943" s="8">
        <v>0.0665879722686229</v>
      </c>
      <c r="D943" s="8">
        <v>0.0562118163883068</v>
      </c>
      <c r="E943" s="8">
        <v>1.53</v>
      </c>
      <c r="F943" s="9">
        <f t="shared" si="98"/>
        <v>0.13773140223029</v>
      </c>
      <c r="G943" s="9">
        <f t="shared" si="99"/>
        <v>0.110824428955299</v>
      </c>
      <c r="H943" s="9">
        <f t="shared" si="100"/>
        <v>0.0954990818843349</v>
      </c>
      <c r="I943" s="3" t="str">
        <f t="shared" si="101"/>
        <v>2022-10-01</v>
      </c>
      <c r="J943" s="9">
        <f t="shared" si="102"/>
        <v>0.13846830391636</v>
      </c>
      <c r="K943" s="9">
        <f t="shared" si="103"/>
        <v>0.109347409258308</v>
      </c>
      <c r="L943" s="9">
        <f t="shared" si="104"/>
        <v>0.0954989786319884</v>
      </c>
    </row>
    <row r="944" s="4" customFormat="1" ht="13.5" customHeight="1" spans="1:12">
      <c r="A944" s="4">
        <v>44862</v>
      </c>
      <c r="B944" s="8">
        <v>0.0777765046394479</v>
      </c>
      <c r="C944" s="8">
        <v>0.0685723916956892</v>
      </c>
      <c r="D944" s="8">
        <v>0.0582688428302872</v>
      </c>
      <c r="E944" s="8">
        <v>1.39</v>
      </c>
      <c r="F944" s="9">
        <f t="shared" si="98"/>
        <v>0.139838637769316</v>
      </c>
      <c r="G944" s="9">
        <f t="shared" si="99"/>
        <v>0.110475395929116</v>
      </c>
      <c r="H944" s="9">
        <f t="shared" si="100"/>
        <v>0.0953504434703007</v>
      </c>
      <c r="I944" s="3" t="str">
        <f t="shared" si="101"/>
        <v>2022-10-01</v>
      </c>
      <c r="J944" s="9">
        <f t="shared" si="102"/>
        <v>0.13846830391636</v>
      </c>
      <c r="K944" s="9">
        <f t="shared" si="103"/>
        <v>0.109347409258308</v>
      </c>
      <c r="L944" s="9">
        <f t="shared" si="104"/>
        <v>0.0954989786319884</v>
      </c>
    </row>
    <row r="945" s="4" customFormat="1" ht="13.5" customHeight="1" spans="1:12">
      <c r="A945" s="4">
        <v>44861</v>
      </c>
      <c r="B945" s="8">
        <v>0.0785463030047419</v>
      </c>
      <c r="C945" s="8">
        <v>0.0580802945270832</v>
      </c>
      <c r="D945" s="8">
        <v>0.0980242071103344</v>
      </c>
      <c r="E945" s="8">
        <v>1.05</v>
      </c>
      <c r="F945" s="9">
        <f t="shared" si="98"/>
        <v>0.141396337070992</v>
      </c>
      <c r="G945" s="9">
        <f t="shared" si="99"/>
        <v>0.110209946069422</v>
      </c>
      <c r="H945" s="9">
        <f t="shared" si="100"/>
        <v>0.0949289129919389</v>
      </c>
      <c r="I945" s="3" t="str">
        <f t="shared" si="101"/>
        <v>2022-10-01</v>
      </c>
      <c r="J945" s="9">
        <f t="shared" si="102"/>
        <v>0.13846830391636</v>
      </c>
      <c r="K945" s="9">
        <f t="shared" si="103"/>
        <v>0.109347409258308</v>
      </c>
      <c r="L945" s="9">
        <f t="shared" si="104"/>
        <v>0.0954989786319884</v>
      </c>
    </row>
    <row r="946" s="4" customFormat="1" ht="13.5" customHeight="1" spans="1:12">
      <c r="A946" s="4">
        <v>44860</v>
      </c>
      <c r="B946" s="8">
        <v>0.0794239372056258</v>
      </c>
      <c r="C946" s="8">
        <v>0.0567664172446396</v>
      </c>
      <c r="D946" s="8">
        <v>0.0964086147759001</v>
      </c>
      <c r="E946" s="8">
        <v>1</v>
      </c>
      <c r="F946" s="9">
        <f t="shared" si="98"/>
        <v>0.140782276717161</v>
      </c>
      <c r="G946" s="9">
        <f t="shared" si="99"/>
        <v>0.109202930423651</v>
      </c>
      <c r="H946" s="9">
        <f t="shared" si="100"/>
        <v>0.0947363680497709</v>
      </c>
      <c r="I946" s="3" t="str">
        <f t="shared" si="101"/>
        <v>2022-10-01</v>
      </c>
      <c r="J946" s="9">
        <f t="shared" si="102"/>
        <v>0.13846830391636</v>
      </c>
      <c r="K946" s="9">
        <f t="shared" si="103"/>
        <v>0.109347409258308</v>
      </c>
      <c r="L946" s="9">
        <f t="shared" si="104"/>
        <v>0.0954989786319884</v>
      </c>
    </row>
    <row r="947" s="4" customFormat="1" ht="13.5" customHeight="1" spans="1:12">
      <c r="A947" s="4">
        <v>44856</v>
      </c>
      <c r="B947" s="8">
        <v>0.0775111462452512</v>
      </c>
      <c r="C947" s="8">
        <v>0.0582427747323687</v>
      </c>
      <c r="D947" s="8">
        <v>0.103457149005765</v>
      </c>
      <c r="E947" s="8">
        <v>1</v>
      </c>
      <c r="F947" s="9">
        <f t="shared" si="98"/>
        <v>0.141665234239704</v>
      </c>
      <c r="G947" s="9">
        <f t="shared" si="99"/>
        <v>0.10893613710302</v>
      </c>
      <c r="H947" s="9">
        <f t="shared" si="100"/>
        <v>0.0936757075552482</v>
      </c>
      <c r="I947" s="3" t="str">
        <f t="shared" si="101"/>
        <v>2022-10-01</v>
      </c>
      <c r="J947" s="9">
        <f t="shared" si="102"/>
        <v>0.13846830391636</v>
      </c>
      <c r="K947" s="9">
        <f t="shared" si="103"/>
        <v>0.109347409258308</v>
      </c>
      <c r="L947" s="9">
        <f t="shared" si="104"/>
        <v>0.0954989786319884</v>
      </c>
    </row>
    <row r="948" s="4" customFormat="1" ht="13.5" customHeight="1" spans="1:12">
      <c r="A948" s="4">
        <v>44855</v>
      </c>
      <c r="B948" s="8">
        <v>0.0767256270311042</v>
      </c>
      <c r="C948" s="8">
        <v>0.0566682561394269</v>
      </c>
      <c r="D948" s="8">
        <v>0.110864382653981</v>
      </c>
      <c r="E948" s="8">
        <v>1</v>
      </c>
      <c r="F948" s="9">
        <f t="shared" si="98"/>
        <v>0.141841725150653</v>
      </c>
      <c r="G948" s="9">
        <f t="shared" si="99"/>
        <v>0.109259391247216</v>
      </c>
      <c r="H948" s="9">
        <f t="shared" si="100"/>
        <v>0.0934730970782559</v>
      </c>
      <c r="I948" s="3" t="str">
        <f t="shared" si="101"/>
        <v>2022-10-01</v>
      </c>
      <c r="J948" s="9">
        <f t="shared" si="102"/>
        <v>0.13846830391636</v>
      </c>
      <c r="K948" s="9">
        <f t="shared" si="103"/>
        <v>0.109347409258308</v>
      </c>
      <c r="L948" s="9">
        <f t="shared" si="104"/>
        <v>0.0954989786319884</v>
      </c>
    </row>
    <row r="949" s="4" customFormat="1" ht="13.5" customHeight="1" spans="1:12">
      <c r="A949" s="4">
        <v>44854</v>
      </c>
      <c r="B949" s="8">
        <v>0.0768434821367292</v>
      </c>
      <c r="C949" s="8">
        <v>0.0565504010338018</v>
      </c>
      <c r="D949" s="8">
        <v>0.11260704748245</v>
      </c>
      <c r="E949" s="8">
        <v>1</v>
      </c>
      <c r="F949" s="9">
        <f t="shared" si="98"/>
        <v>0.142345565323026</v>
      </c>
      <c r="G949" s="9">
        <f t="shared" si="99"/>
        <v>0.109688276737799</v>
      </c>
      <c r="H949" s="9">
        <f t="shared" si="100"/>
        <v>0.0937533466626798</v>
      </c>
      <c r="I949" s="3" t="str">
        <f t="shared" si="101"/>
        <v>2022-10-01</v>
      </c>
      <c r="J949" s="9">
        <f t="shared" si="102"/>
        <v>0.13846830391636</v>
      </c>
      <c r="K949" s="9">
        <f t="shared" si="103"/>
        <v>0.109347409258308</v>
      </c>
      <c r="L949" s="9">
        <f t="shared" si="104"/>
        <v>0.0954989786319884</v>
      </c>
    </row>
    <row r="950" s="4" customFormat="1" ht="13.5" customHeight="1" spans="1:12">
      <c r="A950" s="4">
        <v>44853</v>
      </c>
      <c r="B950" s="8">
        <v>0.0821826911605908</v>
      </c>
      <c r="C950" s="8">
        <v>0.0489332866969462</v>
      </c>
      <c r="D950" s="8">
        <v>0.0860898218375739</v>
      </c>
      <c r="E950" s="8">
        <v>1</v>
      </c>
      <c r="F950" s="9">
        <f t="shared" si="98"/>
        <v>0.135862898434045</v>
      </c>
      <c r="G950" s="9">
        <f t="shared" si="99"/>
        <v>0.108425288501001</v>
      </c>
      <c r="H950" s="9">
        <f t="shared" si="100"/>
        <v>0.0956804805382137</v>
      </c>
      <c r="I950" s="3" t="str">
        <f t="shared" si="101"/>
        <v>2022-10-01</v>
      </c>
      <c r="J950" s="9">
        <f t="shared" si="102"/>
        <v>0.13846830391636</v>
      </c>
      <c r="K950" s="9">
        <f t="shared" si="103"/>
        <v>0.109347409258308</v>
      </c>
      <c r="L950" s="9">
        <f t="shared" si="104"/>
        <v>0.0954989786319884</v>
      </c>
    </row>
    <row r="951" s="4" customFormat="1" ht="13.5" customHeight="1" spans="1:12">
      <c r="A951" s="4">
        <v>44852</v>
      </c>
      <c r="B951" s="8">
        <v>0.082022553665016</v>
      </c>
      <c r="C951" s="8">
        <v>0.0497948709551706</v>
      </c>
      <c r="D951" s="8">
        <v>0.0868584584002538</v>
      </c>
      <c r="E951" s="8">
        <v>1</v>
      </c>
      <c r="F951" s="9">
        <f t="shared" si="98"/>
        <v>0.136450491445651</v>
      </c>
      <c r="G951" s="9">
        <f t="shared" si="99"/>
        <v>0.108583819268889</v>
      </c>
      <c r="H951" s="9">
        <f t="shared" si="100"/>
        <v>0.0956833228274923</v>
      </c>
      <c r="I951" s="3" t="str">
        <f t="shared" si="101"/>
        <v>2022-10-01</v>
      </c>
      <c r="J951" s="9">
        <f t="shared" si="102"/>
        <v>0.13846830391636</v>
      </c>
      <c r="K951" s="9">
        <f t="shared" si="103"/>
        <v>0.109347409258308</v>
      </c>
      <c r="L951" s="9">
        <f t="shared" si="104"/>
        <v>0.0954989786319884</v>
      </c>
    </row>
    <row r="952" s="4" customFormat="1" ht="13.5" customHeight="1" spans="1:12">
      <c r="A952" s="4">
        <v>44851</v>
      </c>
      <c r="B952" s="8">
        <v>0.0823225704375646</v>
      </c>
      <c r="C952" s="8">
        <v>0.0500206165501485</v>
      </c>
      <c r="D952" s="8">
        <v>0.0852281548081722</v>
      </c>
      <c r="E952" s="8">
        <v>1</v>
      </c>
      <c r="F952" s="9">
        <f t="shared" si="98"/>
        <v>0.136462413406559</v>
      </c>
      <c r="G952" s="9">
        <f t="shared" si="99"/>
        <v>0.108615802108681</v>
      </c>
      <c r="H952" s="9">
        <f t="shared" si="100"/>
        <v>0.0958429641926826</v>
      </c>
      <c r="I952" s="3" t="str">
        <f t="shared" si="101"/>
        <v>2022-10-01</v>
      </c>
      <c r="J952" s="9">
        <f t="shared" si="102"/>
        <v>0.13846830391636</v>
      </c>
      <c r="K952" s="9">
        <f t="shared" si="103"/>
        <v>0.109347409258308</v>
      </c>
      <c r="L952" s="9">
        <f t="shared" si="104"/>
        <v>0.0954989786319884</v>
      </c>
    </row>
    <row r="953" s="4" customFormat="1" ht="13.5" customHeight="1" spans="1:12">
      <c r="A953" s="4">
        <v>44848</v>
      </c>
      <c r="B953" s="8">
        <v>0.0825465841167135</v>
      </c>
      <c r="C953" s="8">
        <v>0.0506722596695093</v>
      </c>
      <c r="D953" s="8">
        <v>0.0853771137926845</v>
      </c>
      <c r="E953" s="8">
        <v>1</v>
      </c>
      <c r="F953" s="9">
        <f t="shared" si="98"/>
        <v>0.137137705187027</v>
      </c>
      <c r="G953" s="9">
        <f t="shared" si="99"/>
        <v>0.108997853647953</v>
      </c>
      <c r="H953" s="9">
        <f t="shared" si="100"/>
        <v>0.0961470276847634</v>
      </c>
      <c r="I953" s="3" t="str">
        <f t="shared" si="101"/>
        <v>2022-10-01</v>
      </c>
      <c r="J953" s="9">
        <f t="shared" si="102"/>
        <v>0.13846830391636</v>
      </c>
      <c r="K953" s="9">
        <f t="shared" si="103"/>
        <v>0.109347409258308</v>
      </c>
      <c r="L953" s="9">
        <f t="shared" si="104"/>
        <v>0.0954989786319884</v>
      </c>
    </row>
    <row r="954" s="4" customFormat="1" ht="13.5" customHeight="1" spans="1:12">
      <c r="A954" s="4">
        <v>44847</v>
      </c>
      <c r="B954" s="8">
        <v>0.0823682958021778</v>
      </c>
      <c r="C954" s="8">
        <v>0.0503252459232874</v>
      </c>
      <c r="D954" s="8">
        <v>0.0878427971167675</v>
      </c>
      <c r="E954" s="8">
        <v>1</v>
      </c>
      <c r="F954" s="9">
        <f t="shared" si="98"/>
        <v>0.137391597266653</v>
      </c>
      <c r="G954" s="9">
        <f t="shared" si="99"/>
        <v>0.10922383050877</v>
      </c>
      <c r="H954" s="9">
        <f t="shared" si="100"/>
        <v>0.0961804847674191</v>
      </c>
      <c r="I954" s="3" t="str">
        <f t="shared" si="101"/>
        <v>2022-10-01</v>
      </c>
      <c r="J954" s="9">
        <f t="shared" si="102"/>
        <v>0.13846830391636</v>
      </c>
      <c r="K954" s="9">
        <f t="shared" si="103"/>
        <v>0.109347409258308</v>
      </c>
      <c r="L954" s="9">
        <f t="shared" si="104"/>
        <v>0.0954989786319884</v>
      </c>
    </row>
    <row r="955" s="4" customFormat="1" ht="13.5" customHeight="1" spans="1:12">
      <c r="A955" s="4">
        <v>44846</v>
      </c>
      <c r="B955" s="8">
        <v>0.0827062898708994</v>
      </c>
      <c r="C955" s="8">
        <v>0.0531349330405137</v>
      </c>
      <c r="D955" s="8">
        <v>0.0797423656425303</v>
      </c>
      <c r="E955" s="8">
        <v>1</v>
      </c>
      <c r="F955" s="9">
        <f t="shared" si="98"/>
        <v>0.137365185259791</v>
      </c>
      <c r="G955" s="9">
        <f t="shared" si="99"/>
        <v>0.108565385735046</v>
      </c>
      <c r="H955" s="9">
        <f t="shared" si="100"/>
        <v>0.0959897961794018</v>
      </c>
      <c r="I955" s="3" t="str">
        <f t="shared" si="101"/>
        <v>2022-10-01</v>
      </c>
      <c r="J955" s="9">
        <f t="shared" si="102"/>
        <v>0.13846830391636</v>
      </c>
      <c r="K955" s="9">
        <f t="shared" si="103"/>
        <v>0.109347409258308</v>
      </c>
      <c r="L955" s="9">
        <f t="shared" si="104"/>
        <v>0.0954989786319884</v>
      </c>
    </row>
    <row r="956" s="4" customFormat="1" ht="13.5" customHeight="1" spans="1:12">
      <c r="A956" s="4">
        <v>44845</v>
      </c>
      <c r="B956" s="8">
        <v>0.082712262362411</v>
      </c>
      <c r="C956" s="8">
        <v>0.0524303315798826</v>
      </c>
      <c r="D956" s="8">
        <v>0.0810944567342256</v>
      </c>
      <c r="E956" s="8">
        <v>1</v>
      </c>
      <c r="F956" s="9">
        <f t="shared" si="98"/>
        <v>0.137283042743501</v>
      </c>
      <c r="G956" s="9">
        <f t="shared" si="99"/>
        <v>0.108690873284493</v>
      </c>
      <c r="H956" s="9">
        <f t="shared" si="100"/>
        <v>0.0960604533095809</v>
      </c>
      <c r="I956" s="3" t="str">
        <f t="shared" si="101"/>
        <v>2022-10-01</v>
      </c>
      <c r="J956" s="9">
        <f t="shared" si="102"/>
        <v>0.13846830391636</v>
      </c>
      <c r="K956" s="9">
        <f t="shared" si="103"/>
        <v>0.109347409258308</v>
      </c>
      <c r="L956" s="9">
        <f t="shared" si="104"/>
        <v>0.0954989786319884</v>
      </c>
    </row>
    <row r="957" s="4" customFormat="1" ht="13.5" customHeight="1" spans="1:12">
      <c r="A957" s="4">
        <v>44844</v>
      </c>
      <c r="B957" s="8">
        <v>0.0830323571668832</v>
      </c>
      <c r="C957" s="8">
        <v>0.0556855621449395</v>
      </c>
      <c r="D957" s="8">
        <v>0.0730469836281129</v>
      </c>
      <c r="E957" s="8">
        <v>1.04</v>
      </c>
      <c r="F957" s="9">
        <f t="shared" si="98"/>
        <v>0.137804428406266</v>
      </c>
      <c r="G957" s="9">
        <f t="shared" si="99"/>
        <v>0.108993500890418</v>
      </c>
      <c r="H957" s="9">
        <f t="shared" si="100"/>
        <v>0.0964147771570436</v>
      </c>
      <c r="I957" s="3" t="str">
        <f t="shared" si="101"/>
        <v>2022-10-01</v>
      </c>
      <c r="J957" s="9">
        <f t="shared" si="102"/>
        <v>0.13846830391636</v>
      </c>
      <c r="K957" s="9">
        <f t="shared" si="103"/>
        <v>0.109347409258308</v>
      </c>
      <c r="L957" s="9">
        <f t="shared" si="104"/>
        <v>0.0954989786319884</v>
      </c>
    </row>
    <row r="958" s="3" customFormat="1" ht="13.5" customHeight="1" spans="1:12">
      <c r="A958" s="4">
        <v>44841</v>
      </c>
      <c r="B958" s="8">
        <v>0.0825035434809425</v>
      </c>
      <c r="C958" s="8">
        <v>0.0554306426083714</v>
      </c>
      <c r="D958" s="8">
        <v>0.074514927541968</v>
      </c>
      <c r="E958" s="8">
        <v>1.08</v>
      </c>
      <c r="F958" s="9">
        <f t="shared" si="98"/>
        <v>0.137726397638546</v>
      </c>
      <c r="G958" s="9">
        <f t="shared" si="99"/>
        <v>0.109570741826651</v>
      </c>
      <c r="H958" s="9">
        <f t="shared" si="100"/>
        <v>0.0965292328998894</v>
      </c>
      <c r="I958" s="3" t="str">
        <f t="shared" si="101"/>
        <v>2022-10-01</v>
      </c>
      <c r="J958" s="9">
        <f t="shared" si="102"/>
        <v>0.13846830391636</v>
      </c>
      <c r="K958" s="9">
        <f t="shared" si="103"/>
        <v>0.109347409258308</v>
      </c>
      <c r="L958" s="9">
        <f t="shared" si="104"/>
        <v>0.0954989786319884</v>
      </c>
    </row>
    <row r="959" s="3" customFormat="1" ht="13.5" customHeight="1" spans="1:12">
      <c r="A959" s="4">
        <v>44840</v>
      </c>
      <c r="B959" s="8">
        <v>0.0803896672205976</v>
      </c>
      <c r="C959" s="8">
        <v>0.0578929205794088</v>
      </c>
      <c r="D959" s="8">
        <v>0.0721215459731191</v>
      </c>
      <c r="E959" s="8">
        <v>1.22</v>
      </c>
      <c r="F959" s="9">
        <f t="shared" si="98"/>
        <v>0.137349145843507</v>
      </c>
      <c r="G959" s="9">
        <f t="shared" si="99"/>
        <v>0.110389382715825</v>
      </c>
      <c r="H959" s="9">
        <f t="shared" si="100"/>
        <v>0.0962271878502652</v>
      </c>
      <c r="I959" s="3" t="str">
        <f t="shared" si="101"/>
        <v>2022-10-01</v>
      </c>
      <c r="J959" s="9">
        <f t="shared" si="102"/>
        <v>0.13846830391636</v>
      </c>
      <c r="K959" s="9">
        <f t="shared" si="103"/>
        <v>0.109347409258308</v>
      </c>
      <c r="L959" s="9">
        <f t="shared" si="104"/>
        <v>0.0954989786319884</v>
      </c>
    </row>
    <row r="960" s="3" customFormat="1" ht="13.5" customHeight="1" spans="1:12">
      <c r="A960" s="4">
        <v>44839</v>
      </c>
      <c r="B960" s="8">
        <v>0.0820823811483105</v>
      </c>
      <c r="C960" s="8">
        <v>0.0578534591492062</v>
      </c>
      <c r="D960" s="8">
        <v>0.0670925877067313</v>
      </c>
      <c r="E960" s="8">
        <v>1.12</v>
      </c>
      <c r="F960" s="9">
        <f t="shared" si="98"/>
        <v>0.137245570635046</v>
      </c>
      <c r="G960" s="9">
        <f t="shared" si="99"/>
        <v>0.108975641777057</v>
      </c>
      <c r="H960" s="9">
        <f t="shared" si="100"/>
        <v>0.0960655905982342</v>
      </c>
      <c r="I960" s="3" t="str">
        <f t="shared" si="101"/>
        <v>2022-10-01</v>
      </c>
      <c r="J960" s="9">
        <f t="shared" si="102"/>
        <v>0.13846830391636</v>
      </c>
      <c r="K960" s="9">
        <f t="shared" si="103"/>
        <v>0.109347409258308</v>
      </c>
      <c r="L960" s="9">
        <f t="shared" si="104"/>
        <v>0.0954989786319884</v>
      </c>
    </row>
    <row r="961" s="3" customFormat="1" ht="13.5" customHeight="1" spans="1:12">
      <c r="A961" s="4">
        <v>44839</v>
      </c>
      <c r="B961" s="8">
        <v>0.0819490568490251</v>
      </c>
      <c r="C961" s="8">
        <v>0.0523195639560089</v>
      </c>
      <c r="D961" s="8">
        <v>0.0870798306915064</v>
      </c>
      <c r="E961" s="8">
        <v>1</v>
      </c>
      <c r="F961" s="9">
        <f t="shared" si="98"/>
        <v>0.13803140064188</v>
      </c>
      <c r="G961" s="9">
        <f t="shared" si="99"/>
        <v>0.109054343348072</v>
      </c>
      <c r="H961" s="9">
        <f t="shared" si="100"/>
        <v>0.0958844100233069</v>
      </c>
      <c r="I961" s="3" t="str">
        <f t="shared" si="101"/>
        <v>2022-10-01</v>
      </c>
      <c r="J961" s="9">
        <f t="shared" si="102"/>
        <v>0.13846830391636</v>
      </c>
      <c r="K961" s="9">
        <f t="shared" si="103"/>
        <v>0.109347409258308</v>
      </c>
      <c r="L961" s="9">
        <f t="shared" si="104"/>
        <v>0.0954989786319884</v>
      </c>
    </row>
    <row r="962" s="3" customFormat="1" ht="13.5" customHeight="1" spans="1:12">
      <c r="A962" s="4">
        <v>44837</v>
      </c>
      <c r="B962" s="8">
        <v>0.0798940516629628</v>
      </c>
      <c r="C962" s="8">
        <v>0.057081403364115</v>
      </c>
      <c r="D962" s="8">
        <v>0.0783637325537923</v>
      </c>
      <c r="E962" s="8">
        <v>1.18</v>
      </c>
      <c r="F962" s="9">
        <f t="shared" si="98"/>
        <v>0.137654622917595</v>
      </c>
      <c r="G962" s="9">
        <f t="shared" si="99"/>
        <v>0.110265215087784</v>
      </c>
      <c r="H962" s="9">
        <f t="shared" si="100"/>
        <v>0.0958568869189449</v>
      </c>
      <c r="I962" s="3" t="str">
        <f t="shared" si="101"/>
        <v>2022-10-01</v>
      </c>
      <c r="J962" s="9">
        <f t="shared" si="102"/>
        <v>0.13846830391636</v>
      </c>
      <c r="K962" s="9">
        <f t="shared" si="103"/>
        <v>0.109347409258308</v>
      </c>
      <c r="L962" s="9">
        <f t="shared" si="104"/>
        <v>0.0954989786319884</v>
      </c>
    </row>
    <row r="963" s="3" customFormat="1" ht="13.5" customHeight="1" spans="1:12">
      <c r="A963" s="4">
        <v>44834</v>
      </c>
      <c r="B963" s="8">
        <v>0.0805763679881281</v>
      </c>
      <c r="C963" s="8">
        <v>0.0526424757980946</v>
      </c>
      <c r="D963" s="8">
        <v>0.0887905168343419</v>
      </c>
      <c r="E963" s="8">
        <v>1.07</v>
      </c>
      <c r="F963" s="9">
        <f t="shared" si="98"/>
        <v>0.137600798536765</v>
      </c>
      <c r="G963" s="9">
        <f t="shared" si="99"/>
        <v>0.109730420574339</v>
      </c>
      <c r="H963" s="9">
        <f t="shared" si="100"/>
        <v>0.0957006223294892</v>
      </c>
      <c r="I963" s="3" t="str">
        <f t="shared" si="101"/>
        <v>2022-09-01</v>
      </c>
      <c r="J963" s="9">
        <f t="shared" si="102"/>
        <v>0.1364117112014</v>
      </c>
      <c r="K963" s="9">
        <f t="shared" si="103"/>
        <v>0.110327953289474</v>
      </c>
      <c r="L963" s="9">
        <f t="shared" si="104"/>
        <v>0.0959706806100128</v>
      </c>
    </row>
    <row r="964" s="3" customFormat="1" ht="13.5" customHeight="1" spans="1:12">
      <c r="A964" s="4">
        <v>44833</v>
      </c>
      <c r="B964" s="8">
        <v>0.0801348111565741</v>
      </c>
      <c r="C964" s="8">
        <v>0.0539589233241247</v>
      </c>
      <c r="D964" s="8">
        <v>0.0856338990552229</v>
      </c>
      <c r="E964" s="8">
        <v>1.11</v>
      </c>
      <c r="F964" s="9">
        <f t="shared" si="98"/>
        <v>0.137357610227888</v>
      </c>
      <c r="G964" s="9">
        <f t="shared" si="99"/>
        <v>0.109834670381775</v>
      </c>
      <c r="H964" s="9">
        <f t="shared" si="100"/>
        <v>0.0956172460972874</v>
      </c>
      <c r="I964" s="3" t="str">
        <f t="shared" si="101"/>
        <v>2022-09-01</v>
      </c>
      <c r="J964" s="9">
        <f t="shared" si="102"/>
        <v>0.1364117112014</v>
      </c>
      <c r="K964" s="9">
        <f t="shared" si="103"/>
        <v>0.110327953289474</v>
      </c>
      <c r="L964" s="9">
        <f t="shared" si="104"/>
        <v>0.0959706806100128</v>
      </c>
    </row>
    <row r="965" s="3" customFormat="1" ht="13.5" customHeight="1" spans="1:12">
      <c r="A965" s="4">
        <v>44832</v>
      </c>
      <c r="B965" s="8">
        <v>0.0776274554339595</v>
      </c>
      <c r="C965" s="8">
        <v>0.0568160211155311</v>
      </c>
      <c r="D965" s="8">
        <v>0.0861393981054109</v>
      </c>
      <c r="E965" s="8">
        <v>1.25</v>
      </c>
      <c r="F965" s="9">
        <f t="shared" ref="F965:F1028" si="105">B965+(C965+D965)*(E965/$F$3)*(1-EXP(-$F$3/E965))-D965*EXP(-$F$3/E965)</f>
        <v>0.137324289897891</v>
      </c>
      <c r="G965" s="9">
        <f t="shared" ref="G965:G1028" si="106">B965+(C965+D965)*(E965/$G$3)*(1-EXP(-$G$3/E965))-D965*EXP(-$G$3/E965)</f>
        <v>0.111134032170494</v>
      </c>
      <c r="H965" s="9">
        <f t="shared" ref="H965:H1028" si="107">B965+(C965+D965)*(E965/$H$3)*(1-EXP(-$H$3/E965))-D965*EXP(-$H$3/E965)</f>
        <v>0.0954619917626473</v>
      </c>
      <c r="I965" s="3" t="str">
        <f t="shared" ref="I965:I1028" si="108">TEXT(A965,"yyyy-mm-01")</f>
        <v>2022-09-01</v>
      </c>
      <c r="J965" s="9">
        <f t="shared" ref="J965:J1028" si="109">AVERAGEIF($I:$I,I965,$F:$F)</f>
        <v>0.1364117112014</v>
      </c>
      <c r="K965" s="9">
        <f t="shared" ref="K965:K1028" si="110">AVERAGEIF($I:$I,I965,$G:$G)</f>
        <v>0.110327953289474</v>
      </c>
      <c r="L965" s="9">
        <f t="shared" ref="L965:L1028" si="111">AVERAGEIF($I:$I,I965,$H:$H)</f>
        <v>0.0959706806100128</v>
      </c>
    </row>
    <row r="966" s="3" customFormat="1" ht="13.5" customHeight="1" spans="1:12">
      <c r="A966" s="4">
        <v>44831</v>
      </c>
      <c r="B966" s="8">
        <v>0.0771107472002915</v>
      </c>
      <c r="C966" s="8">
        <v>0.0576823491412406</v>
      </c>
      <c r="D966" s="8">
        <v>0.0840714797862677</v>
      </c>
      <c r="E966" s="8">
        <v>1.29</v>
      </c>
      <c r="F966" s="9">
        <f t="shared" si="105"/>
        <v>0.137019551242243</v>
      </c>
      <c r="G966" s="9">
        <f t="shared" si="106"/>
        <v>0.11118177446724</v>
      </c>
      <c r="H966" s="9">
        <f t="shared" si="107"/>
        <v>0.095352986668635</v>
      </c>
      <c r="I966" s="3" t="str">
        <f t="shared" si="108"/>
        <v>2022-09-01</v>
      </c>
      <c r="J966" s="9">
        <f t="shared" si="109"/>
        <v>0.1364117112014</v>
      </c>
      <c r="K966" s="9">
        <f t="shared" si="110"/>
        <v>0.110327953289474</v>
      </c>
      <c r="L966" s="9">
        <f t="shared" si="111"/>
        <v>0.0959706806100128</v>
      </c>
    </row>
    <row r="967" s="3" customFormat="1" spans="1:12">
      <c r="A967" s="4">
        <v>44830</v>
      </c>
      <c r="B967" s="8">
        <v>0.076643784580473</v>
      </c>
      <c r="C967" s="8">
        <v>0.0573624952672608</v>
      </c>
      <c r="D967" s="8">
        <v>0.0848137769855519</v>
      </c>
      <c r="E967" s="8">
        <v>1.32</v>
      </c>
      <c r="F967" s="9">
        <f t="shared" si="105"/>
        <v>0.136574393818094</v>
      </c>
      <c r="G967" s="9">
        <f t="shared" si="106"/>
        <v>0.111407916304171</v>
      </c>
      <c r="H967" s="9">
        <f t="shared" si="107"/>
        <v>0.0953579432179457</v>
      </c>
      <c r="I967" s="3" t="str">
        <f t="shared" si="108"/>
        <v>2022-09-01</v>
      </c>
      <c r="J967" s="9">
        <f t="shared" si="109"/>
        <v>0.1364117112014</v>
      </c>
      <c r="K967" s="9">
        <f t="shared" si="110"/>
        <v>0.110327953289474</v>
      </c>
      <c r="L967" s="9">
        <f t="shared" si="111"/>
        <v>0.0959706806100128</v>
      </c>
    </row>
    <row r="968" s="3" customFormat="1" spans="1:12">
      <c r="A968" s="4">
        <v>44827</v>
      </c>
      <c r="B968" s="8">
        <v>0.0764860749554412</v>
      </c>
      <c r="C968" s="8">
        <v>0.0577825458495927</v>
      </c>
      <c r="D968" s="8">
        <v>0.0838979949469388</v>
      </c>
      <c r="E968" s="8">
        <v>1.34</v>
      </c>
      <c r="F968" s="9">
        <f t="shared" si="105"/>
        <v>0.136544291330883</v>
      </c>
      <c r="G968" s="9">
        <f t="shared" si="106"/>
        <v>0.111536416938169</v>
      </c>
      <c r="H968" s="9">
        <f t="shared" si="107"/>
        <v>0.0954122009797155</v>
      </c>
      <c r="I968" s="3" t="str">
        <f t="shared" si="108"/>
        <v>2022-09-01</v>
      </c>
      <c r="J968" s="9">
        <f t="shared" si="109"/>
        <v>0.1364117112014</v>
      </c>
      <c r="K968" s="9">
        <f t="shared" si="110"/>
        <v>0.110327953289474</v>
      </c>
      <c r="L968" s="9">
        <f t="shared" si="111"/>
        <v>0.0959706806100128</v>
      </c>
    </row>
    <row r="969" s="3" customFormat="1" spans="1:12">
      <c r="A969" s="4">
        <v>44826</v>
      </c>
      <c r="B969" s="8">
        <v>0.0747419413605853</v>
      </c>
      <c r="C969" s="8">
        <v>0.0619718819552368</v>
      </c>
      <c r="D969" s="8">
        <v>0.0766638773263308</v>
      </c>
      <c r="E969" s="8">
        <v>1.49</v>
      </c>
      <c r="F969" s="9">
        <f t="shared" si="105"/>
        <v>0.136542673458156</v>
      </c>
      <c r="G969" s="9">
        <f t="shared" si="106"/>
        <v>0.111939784504676</v>
      </c>
      <c r="H969" s="9">
        <f t="shared" si="107"/>
        <v>0.0952802354012977</v>
      </c>
      <c r="I969" s="3" t="str">
        <f t="shared" si="108"/>
        <v>2022-09-01</v>
      </c>
      <c r="J969" s="9">
        <f t="shared" si="109"/>
        <v>0.1364117112014</v>
      </c>
      <c r="K969" s="9">
        <f t="shared" si="110"/>
        <v>0.110327953289474</v>
      </c>
      <c r="L969" s="9">
        <f t="shared" si="111"/>
        <v>0.0959706806100128</v>
      </c>
    </row>
    <row r="970" s="3" customFormat="1" spans="1:12">
      <c r="A970" s="4">
        <v>44825</v>
      </c>
      <c r="B970" s="8">
        <v>0.0775850523270374</v>
      </c>
      <c r="C970" s="8">
        <v>0.0574701786658275</v>
      </c>
      <c r="D970" s="8">
        <v>0.0808393674236441</v>
      </c>
      <c r="E970" s="8">
        <v>1.29</v>
      </c>
      <c r="F970" s="9">
        <f t="shared" si="105"/>
        <v>0.136586057109925</v>
      </c>
      <c r="G970" s="9">
        <f t="shared" si="106"/>
        <v>0.110852894965553</v>
      </c>
      <c r="H970" s="9">
        <f t="shared" si="107"/>
        <v>0.0953845598358477</v>
      </c>
      <c r="I970" s="3" t="str">
        <f t="shared" si="108"/>
        <v>2022-09-01</v>
      </c>
      <c r="J970" s="9">
        <f t="shared" si="109"/>
        <v>0.1364117112014</v>
      </c>
      <c r="K970" s="9">
        <f t="shared" si="110"/>
        <v>0.110327953289474</v>
      </c>
      <c r="L970" s="9">
        <f t="shared" si="111"/>
        <v>0.0959706806100128</v>
      </c>
    </row>
    <row r="971" s="3" customFormat="1" spans="1:12">
      <c r="A971" s="4">
        <v>44824</v>
      </c>
      <c r="B971" s="8">
        <v>0.0775709184327524</v>
      </c>
      <c r="C971" s="8">
        <v>0.0574843125601125</v>
      </c>
      <c r="D971" s="8">
        <v>0.0808837936640066</v>
      </c>
      <c r="E971" s="8">
        <v>1.29</v>
      </c>
      <c r="F971" s="9">
        <f t="shared" si="105"/>
        <v>0.136592206413316</v>
      </c>
      <c r="G971" s="9">
        <f t="shared" si="106"/>
        <v>0.110852635178296</v>
      </c>
      <c r="H971" s="9">
        <f t="shared" si="107"/>
        <v>0.0953779578520705</v>
      </c>
      <c r="I971" s="3" t="str">
        <f t="shared" si="108"/>
        <v>2022-09-01</v>
      </c>
      <c r="J971" s="9">
        <f t="shared" si="109"/>
        <v>0.1364117112014</v>
      </c>
      <c r="K971" s="9">
        <f t="shared" si="110"/>
        <v>0.110327953289474</v>
      </c>
      <c r="L971" s="9">
        <f t="shared" si="111"/>
        <v>0.0959706806100128</v>
      </c>
    </row>
    <row r="972" s="3" customFormat="1" spans="1:12">
      <c r="A972" s="4">
        <v>44823</v>
      </c>
      <c r="B972" s="8">
        <v>0.0776157557963091</v>
      </c>
      <c r="C972" s="8">
        <v>0.0564779786843897</v>
      </c>
      <c r="D972" s="8">
        <v>0.0839511776780521</v>
      </c>
      <c r="E972" s="8">
        <v>1.27</v>
      </c>
      <c r="F972" s="9">
        <f t="shared" si="105"/>
        <v>0.136609292992201</v>
      </c>
      <c r="G972" s="9">
        <f t="shared" si="106"/>
        <v>0.110951391194589</v>
      </c>
      <c r="H972" s="9">
        <f t="shared" si="107"/>
        <v>0.0954115288685567</v>
      </c>
      <c r="I972" s="3" t="str">
        <f t="shared" si="108"/>
        <v>2022-09-01</v>
      </c>
      <c r="J972" s="9">
        <f t="shared" si="109"/>
        <v>0.1364117112014</v>
      </c>
      <c r="K972" s="9">
        <f t="shared" si="110"/>
        <v>0.110327953289474</v>
      </c>
      <c r="L972" s="9">
        <f t="shared" si="111"/>
        <v>0.0959706806100128</v>
      </c>
    </row>
    <row r="973" s="3" customFormat="1" spans="1:12">
      <c r="A973" s="4">
        <v>44820</v>
      </c>
      <c r="B973" s="8">
        <v>0.0826276033301385</v>
      </c>
      <c r="C973" s="8">
        <v>0.0482252050886236</v>
      </c>
      <c r="D973" s="8">
        <v>0.086505233649634</v>
      </c>
      <c r="E973" s="8">
        <v>1</v>
      </c>
      <c r="F973" s="9">
        <f t="shared" si="105"/>
        <v>0.13596998654315</v>
      </c>
      <c r="G973" s="9">
        <f t="shared" si="106"/>
        <v>0.108809262087239</v>
      </c>
      <c r="H973" s="9">
        <f t="shared" si="107"/>
        <v>0.0960961081971869</v>
      </c>
      <c r="I973" s="3" t="str">
        <f t="shared" si="108"/>
        <v>2022-09-01</v>
      </c>
      <c r="J973" s="9">
        <f t="shared" si="109"/>
        <v>0.1364117112014</v>
      </c>
      <c r="K973" s="9">
        <f t="shared" si="110"/>
        <v>0.110327953289474</v>
      </c>
      <c r="L973" s="9">
        <f t="shared" si="111"/>
        <v>0.0959706806100128</v>
      </c>
    </row>
    <row r="974" s="3" customFormat="1" spans="1:12">
      <c r="A974" s="4">
        <v>44819</v>
      </c>
      <c r="B974" s="8">
        <v>0.0835253447119886</v>
      </c>
      <c r="C974" s="8">
        <v>0.0504809351357453</v>
      </c>
      <c r="D974" s="8">
        <v>0.0791157826216612</v>
      </c>
      <c r="E974" s="8">
        <v>1</v>
      </c>
      <c r="F974" s="9">
        <f t="shared" si="105"/>
        <v>0.136341024464449</v>
      </c>
      <c r="G974" s="9">
        <f t="shared" si="106"/>
        <v>0.108736967150273</v>
      </c>
      <c r="H974" s="9">
        <f t="shared" si="107"/>
        <v>0.0964808362685668</v>
      </c>
      <c r="I974" s="3" t="str">
        <f t="shared" si="108"/>
        <v>2022-09-01</v>
      </c>
      <c r="J974" s="9">
        <f t="shared" si="109"/>
        <v>0.1364117112014</v>
      </c>
      <c r="K974" s="9">
        <f t="shared" si="110"/>
        <v>0.110327953289474</v>
      </c>
      <c r="L974" s="9">
        <f t="shared" si="111"/>
        <v>0.0959706806100128</v>
      </c>
    </row>
    <row r="975" s="3" customFormat="1" spans="1:12">
      <c r="A975" s="4">
        <v>44818</v>
      </c>
      <c r="B975" s="8">
        <v>0.0814438230617322</v>
      </c>
      <c r="C975" s="8">
        <v>0.0455411886927566</v>
      </c>
      <c r="D975" s="8">
        <v>0.0972287121485926</v>
      </c>
      <c r="E975" s="8">
        <v>1</v>
      </c>
      <c r="F975" s="9">
        <f t="shared" si="105"/>
        <v>0.13592316827442</v>
      </c>
      <c r="G975" s="9">
        <f t="shared" si="106"/>
        <v>0.109150286115769</v>
      </c>
      <c r="H975" s="9">
        <f t="shared" si="107"/>
        <v>0.0957157507948176</v>
      </c>
      <c r="I975" s="3" t="str">
        <f t="shared" si="108"/>
        <v>2022-09-01</v>
      </c>
      <c r="J975" s="9">
        <f t="shared" si="109"/>
        <v>0.1364117112014</v>
      </c>
      <c r="K975" s="9">
        <f t="shared" si="110"/>
        <v>0.110327953289474</v>
      </c>
      <c r="L975" s="9">
        <f t="shared" si="111"/>
        <v>0.0959706806100128</v>
      </c>
    </row>
    <row r="976" s="3" customFormat="1" spans="1:12">
      <c r="A976" s="4">
        <v>44817</v>
      </c>
      <c r="B976" s="8">
        <v>0.081499013102439</v>
      </c>
      <c r="C976" s="8">
        <v>0.0454859986520498</v>
      </c>
      <c r="D976" s="8">
        <v>0.0980521331510349</v>
      </c>
      <c r="E976" s="8">
        <v>1</v>
      </c>
      <c r="F976" s="9">
        <f t="shared" si="105"/>
        <v>0.136161053241741</v>
      </c>
      <c r="G976" s="9">
        <f t="shared" si="106"/>
        <v>0.10935253892185</v>
      </c>
      <c r="H976" s="9">
        <f t="shared" si="107"/>
        <v>0.0958477230606791</v>
      </c>
      <c r="I976" s="3" t="str">
        <f t="shared" si="108"/>
        <v>2022-09-01</v>
      </c>
      <c r="J976" s="9">
        <f t="shared" si="109"/>
        <v>0.1364117112014</v>
      </c>
      <c r="K976" s="9">
        <f t="shared" si="110"/>
        <v>0.110327953289474</v>
      </c>
      <c r="L976" s="9">
        <f t="shared" si="111"/>
        <v>0.0959706806100128</v>
      </c>
    </row>
    <row r="977" s="3" customFormat="1" spans="1:12">
      <c r="A977" s="4">
        <v>44816</v>
      </c>
      <c r="B977" s="8">
        <v>0.0830282058394324</v>
      </c>
      <c r="C977" s="8">
        <v>0.0475613638641695</v>
      </c>
      <c r="D977" s="8">
        <v>0.0880262270972113</v>
      </c>
      <c r="E977" s="8">
        <v>1</v>
      </c>
      <c r="F977" s="9">
        <f t="shared" si="105"/>
        <v>0.136352870375206</v>
      </c>
      <c r="G977" s="9">
        <f t="shared" si="106"/>
        <v>0.109369891578672</v>
      </c>
      <c r="H977" s="9">
        <f t="shared" si="107"/>
        <v>0.0965823529843324</v>
      </c>
      <c r="I977" s="3" t="str">
        <f t="shared" si="108"/>
        <v>2022-09-01</v>
      </c>
      <c r="J977" s="9">
        <f t="shared" si="109"/>
        <v>0.1364117112014</v>
      </c>
      <c r="K977" s="9">
        <f t="shared" si="110"/>
        <v>0.110327953289474</v>
      </c>
      <c r="L977" s="9">
        <f t="shared" si="111"/>
        <v>0.0959706806100128</v>
      </c>
    </row>
    <row r="978" s="3" customFormat="1" spans="1:12">
      <c r="A978" s="4">
        <v>44813</v>
      </c>
      <c r="B978" s="8">
        <v>0.0828952593560962</v>
      </c>
      <c r="C978" s="8">
        <v>0.0476943103475057</v>
      </c>
      <c r="D978" s="8">
        <v>0.0889959452952358</v>
      </c>
      <c r="E978" s="8">
        <v>1</v>
      </c>
      <c r="F978" s="9">
        <f t="shared" si="105"/>
        <v>0.136560201517669</v>
      </c>
      <c r="G978" s="9">
        <f t="shared" si="106"/>
        <v>0.109449458182549</v>
      </c>
      <c r="H978" s="9">
        <f t="shared" si="107"/>
        <v>0.0965596239379043</v>
      </c>
      <c r="I978" s="3" t="str">
        <f t="shared" si="108"/>
        <v>2022-09-01</v>
      </c>
      <c r="J978" s="9">
        <f t="shared" si="109"/>
        <v>0.1364117112014</v>
      </c>
      <c r="K978" s="9">
        <f t="shared" si="110"/>
        <v>0.110327953289474</v>
      </c>
      <c r="L978" s="9">
        <f t="shared" si="111"/>
        <v>0.0959706806100128</v>
      </c>
    </row>
    <row r="979" s="3" customFormat="1" spans="1:12">
      <c r="A979" s="4">
        <v>44812</v>
      </c>
      <c r="B979" s="8">
        <v>0.0823652729936302</v>
      </c>
      <c r="C979" s="8">
        <v>0.052515209200188</v>
      </c>
      <c r="D979" s="8">
        <v>0.0760796332147076</v>
      </c>
      <c r="E979" s="8">
        <v>1.12</v>
      </c>
      <c r="F979" s="9">
        <f t="shared" si="105"/>
        <v>0.136261642318662</v>
      </c>
      <c r="G979" s="9">
        <f t="shared" si="106"/>
        <v>0.109962986870276</v>
      </c>
      <c r="H979" s="9">
        <f t="shared" si="107"/>
        <v>0.096755902170624</v>
      </c>
      <c r="I979" s="3" t="str">
        <f t="shared" si="108"/>
        <v>2022-09-01</v>
      </c>
      <c r="J979" s="9">
        <f t="shared" si="109"/>
        <v>0.1364117112014</v>
      </c>
      <c r="K979" s="9">
        <f t="shared" si="110"/>
        <v>0.110327953289474</v>
      </c>
      <c r="L979" s="9">
        <f t="shared" si="111"/>
        <v>0.0959706806100128</v>
      </c>
    </row>
    <row r="980" s="3" customFormat="1" ht="13.5" customHeight="1" spans="1:12">
      <c r="A980" s="4">
        <v>44811</v>
      </c>
      <c r="B980" s="8">
        <v>0.0808027023763214</v>
      </c>
      <c r="C980" s="8">
        <v>0.059741542615987</v>
      </c>
      <c r="D980" s="8">
        <v>0.0543781472467394</v>
      </c>
      <c r="E980" s="8">
        <v>1.39</v>
      </c>
      <c r="F980" s="9">
        <f t="shared" si="105"/>
        <v>0.135688953152583</v>
      </c>
      <c r="G980" s="9">
        <f t="shared" si="106"/>
        <v>0.11016853016767</v>
      </c>
      <c r="H980" s="9">
        <f t="shared" si="107"/>
        <v>0.0966125958070297</v>
      </c>
      <c r="I980" s="3" t="str">
        <f t="shared" si="108"/>
        <v>2022-09-01</v>
      </c>
      <c r="J980" s="9">
        <f t="shared" si="109"/>
        <v>0.1364117112014</v>
      </c>
      <c r="K980" s="9">
        <f t="shared" si="110"/>
        <v>0.110327953289474</v>
      </c>
      <c r="L980" s="9">
        <f t="shared" si="111"/>
        <v>0.0959706806100128</v>
      </c>
    </row>
    <row r="981" s="3" customFormat="1" ht="13.5" customHeight="1" spans="1:12">
      <c r="A981" s="4">
        <v>44810</v>
      </c>
      <c r="B981" s="8">
        <v>0.0801464208880342</v>
      </c>
      <c r="C981" s="8">
        <v>0.0604847088517114</v>
      </c>
      <c r="D981" s="8">
        <v>0.0541972447224878</v>
      </c>
      <c r="E981" s="8">
        <v>1.43</v>
      </c>
      <c r="F981" s="9">
        <f t="shared" si="105"/>
        <v>0.135714659684314</v>
      </c>
      <c r="G981" s="9">
        <f t="shared" si="106"/>
        <v>0.110309197880495</v>
      </c>
      <c r="H981" s="9">
        <f t="shared" si="107"/>
        <v>0.0964811125741838</v>
      </c>
      <c r="I981" s="3" t="str">
        <f t="shared" si="108"/>
        <v>2022-09-01</v>
      </c>
      <c r="J981" s="9">
        <f t="shared" si="109"/>
        <v>0.1364117112014</v>
      </c>
      <c r="K981" s="9">
        <f t="shared" si="110"/>
        <v>0.110327953289474</v>
      </c>
      <c r="L981" s="9">
        <f t="shared" si="111"/>
        <v>0.0959706806100128</v>
      </c>
    </row>
    <row r="982" s="3" customFormat="1" ht="13.5" customHeight="1" spans="1:12">
      <c r="A982" s="4">
        <v>44809</v>
      </c>
      <c r="B982" s="8">
        <v>0.0795991116046657</v>
      </c>
      <c r="C982" s="8">
        <v>0.0626813956521053</v>
      </c>
      <c r="D982" s="8">
        <v>0.0458824303434966</v>
      </c>
      <c r="E982" s="8">
        <v>1.59</v>
      </c>
      <c r="F982" s="9">
        <f t="shared" si="105"/>
        <v>0.135720376911114</v>
      </c>
      <c r="G982" s="9">
        <f t="shared" si="106"/>
        <v>0.110658382892641</v>
      </c>
      <c r="H982" s="9">
        <f t="shared" si="107"/>
        <v>0.0967435617775075</v>
      </c>
      <c r="I982" s="3" t="str">
        <f t="shared" si="108"/>
        <v>2022-09-01</v>
      </c>
      <c r="J982" s="9">
        <f t="shared" si="109"/>
        <v>0.1364117112014</v>
      </c>
      <c r="K982" s="9">
        <f t="shared" si="110"/>
        <v>0.110327953289474</v>
      </c>
      <c r="L982" s="9">
        <f t="shared" si="111"/>
        <v>0.0959706806100128</v>
      </c>
    </row>
    <row r="983" s="3" customFormat="1" ht="13.5" customHeight="1" spans="1:12">
      <c r="A983" s="4">
        <v>44806</v>
      </c>
      <c r="B983" s="8">
        <v>0.0778559877496505</v>
      </c>
      <c r="C983" s="8">
        <v>0.0637303763122203</v>
      </c>
      <c r="D983" s="8">
        <v>0.0499232351901189</v>
      </c>
      <c r="E983" s="8">
        <v>1.65</v>
      </c>
      <c r="F983" s="9">
        <f t="shared" si="105"/>
        <v>0.135855600937731</v>
      </c>
      <c r="G983" s="9">
        <f t="shared" si="106"/>
        <v>0.111138775009372</v>
      </c>
      <c r="H983" s="9">
        <f t="shared" si="107"/>
        <v>0.0964486132755795</v>
      </c>
      <c r="I983" s="3" t="str">
        <f t="shared" si="108"/>
        <v>2022-09-01</v>
      </c>
      <c r="J983" s="9">
        <f t="shared" si="109"/>
        <v>0.1364117112014</v>
      </c>
      <c r="K983" s="9">
        <f t="shared" si="110"/>
        <v>0.110327953289474</v>
      </c>
      <c r="L983" s="9">
        <f t="shared" si="111"/>
        <v>0.0959706806100128</v>
      </c>
    </row>
    <row r="984" s="3" customFormat="1" ht="13.5" customHeight="1" spans="1:12">
      <c r="A984" s="4">
        <v>44805</v>
      </c>
      <c r="B984" s="8">
        <v>0.0800225696039894</v>
      </c>
      <c r="C984" s="8">
        <v>0.0600871383806668</v>
      </c>
      <c r="D984" s="8">
        <v>0.0560314842716393</v>
      </c>
      <c r="E984" s="8">
        <v>1.44</v>
      </c>
      <c r="F984" s="9">
        <f t="shared" si="105"/>
        <v>0.135756943982391</v>
      </c>
      <c r="G984" s="9">
        <f t="shared" si="106"/>
        <v>0.110686758832314</v>
      </c>
      <c r="H984" s="9">
        <f t="shared" si="107"/>
        <v>0.0966735195583766</v>
      </c>
      <c r="I984" s="3" t="str">
        <f t="shared" si="108"/>
        <v>2022-09-01</v>
      </c>
      <c r="J984" s="9">
        <f t="shared" si="109"/>
        <v>0.1364117112014</v>
      </c>
      <c r="K984" s="9">
        <f t="shared" si="110"/>
        <v>0.110327953289474</v>
      </c>
      <c r="L984" s="9">
        <f t="shared" si="111"/>
        <v>0.0959706806100128</v>
      </c>
    </row>
    <row r="985" s="3" customFormat="1" ht="13.5" customHeight="1" spans="1:12">
      <c r="A985" s="4">
        <v>44804</v>
      </c>
      <c r="B985" s="8">
        <v>0.0813208285201331</v>
      </c>
      <c r="C985" s="8">
        <v>0.0606126673685335</v>
      </c>
      <c r="D985" s="8">
        <v>0.0488112936243765</v>
      </c>
      <c r="E985" s="8">
        <v>1.43</v>
      </c>
      <c r="F985" s="9">
        <f t="shared" si="105"/>
        <v>0.135782994871067</v>
      </c>
      <c r="G985" s="9">
        <f t="shared" si="106"/>
        <v>0.110188600391404</v>
      </c>
      <c r="H985" s="9">
        <f t="shared" si="107"/>
        <v>0.0969092635334005</v>
      </c>
      <c r="I985" s="3" t="str">
        <f t="shared" si="108"/>
        <v>2022-08-01</v>
      </c>
      <c r="J985" s="9">
        <f t="shared" si="109"/>
        <v>0.13553413902234</v>
      </c>
      <c r="K985" s="9">
        <f t="shared" si="110"/>
        <v>0.110791099838962</v>
      </c>
      <c r="L985" s="9">
        <f t="shared" si="111"/>
        <v>0.0977235581325421</v>
      </c>
    </row>
    <row r="986" s="3" customFormat="1" ht="13.5" customHeight="1" spans="1:12">
      <c r="A986" s="4">
        <v>44800</v>
      </c>
      <c r="B986" s="8">
        <v>0.0813989480095762</v>
      </c>
      <c r="C986" s="8">
        <v>0.0605345478790904</v>
      </c>
      <c r="D986" s="8">
        <v>0.0491261830110195</v>
      </c>
      <c r="E986" s="8">
        <v>1.42</v>
      </c>
      <c r="F986" s="9">
        <f t="shared" si="105"/>
        <v>0.135823364470243</v>
      </c>
      <c r="G986" s="9">
        <f t="shared" si="106"/>
        <v>0.110169329545743</v>
      </c>
      <c r="H986" s="9">
        <f t="shared" si="107"/>
        <v>0.096914215747655</v>
      </c>
      <c r="I986" s="3" t="str">
        <f t="shared" si="108"/>
        <v>2022-08-01</v>
      </c>
      <c r="J986" s="9">
        <f t="shared" si="109"/>
        <v>0.13553413902234</v>
      </c>
      <c r="K986" s="9">
        <f t="shared" si="110"/>
        <v>0.110791099838962</v>
      </c>
      <c r="L986" s="9">
        <f t="shared" si="111"/>
        <v>0.0977235581325421</v>
      </c>
    </row>
    <row r="987" s="3" customFormat="1" ht="13.5" customHeight="1" spans="1:12">
      <c r="A987" s="4">
        <v>44799</v>
      </c>
      <c r="B987" s="8">
        <v>0.0820229307778756</v>
      </c>
      <c r="C987" s="8">
        <v>0.0574781079996818</v>
      </c>
      <c r="D987" s="8">
        <v>0.0598099068251245</v>
      </c>
      <c r="E987" s="8">
        <v>1.28</v>
      </c>
      <c r="F987" s="9">
        <f t="shared" si="105"/>
        <v>0.136034710407501</v>
      </c>
      <c r="G987" s="9">
        <f t="shared" si="106"/>
        <v>0.11024154737028</v>
      </c>
      <c r="H987" s="9">
        <f t="shared" si="107"/>
        <v>0.097005520001913</v>
      </c>
      <c r="I987" s="3" t="str">
        <f t="shared" si="108"/>
        <v>2022-08-01</v>
      </c>
      <c r="J987" s="9">
        <f t="shared" si="109"/>
        <v>0.13553413902234</v>
      </c>
      <c r="K987" s="9">
        <f t="shared" si="110"/>
        <v>0.110791099838962</v>
      </c>
      <c r="L987" s="9">
        <f t="shared" si="111"/>
        <v>0.0977235581325421</v>
      </c>
    </row>
    <row r="988" s="3" customFormat="1" ht="13.5" customHeight="1" spans="1:12">
      <c r="A988" s="4">
        <v>44798</v>
      </c>
      <c r="B988" s="8">
        <v>0.082543359602604</v>
      </c>
      <c r="C988" s="8">
        <v>0.0532105613750158</v>
      </c>
      <c r="D988" s="8">
        <v>0.0734409796732779</v>
      </c>
      <c r="E988" s="8">
        <v>1.14</v>
      </c>
      <c r="F988" s="9">
        <f t="shared" si="105"/>
        <v>0.13632258366064</v>
      </c>
      <c r="G988" s="9">
        <f t="shared" si="106"/>
        <v>0.110145968853809</v>
      </c>
      <c r="H988" s="9">
        <f t="shared" si="107"/>
        <v>0.0969680118776685</v>
      </c>
      <c r="I988" s="3" t="str">
        <f t="shared" si="108"/>
        <v>2022-08-01</v>
      </c>
      <c r="J988" s="9">
        <f t="shared" si="109"/>
        <v>0.13553413902234</v>
      </c>
      <c r="K988" s="9">
        <f t="shared" si="110"/>
        <v>0.110791099838962</v>
      </c>
      <c r="L988" s="9">
        <f t="shared" si="111"/>
        <v>0.0977235581325421</v>
      </c>
    </row>
    <row r="989" s="3" customFormat="1" ht="13.5" customHeight="1" spans="1:12">
      <c r="A989" s="4">
        <v>44797</v>
      </c>
      <c r="B989" s="8">
        <v>0.0830503722554411</v>
      </c>
      <c r="C989" s="8">
        <v>0.0439346394990477</v>
      </c>
      <c r="D989" s="8">
        <v>0.0957293723941844</v>
      </c>
      <c r="E989" s="8">
        <v>1</v>
      </c>
      <c r="F989" s="9">
        <f t="shared" si="105"/>
        <v>0.136117997481564</v>
      </c>
      <c r="G989" s="9">
        <f t="shared" si="106"/>
        <v>0.110149945454677</v>
      </c>
      <c r="H989" s="9">
        <f t="shared" si="107"/>
        <v>0.0970117932643484</v>
      </c>
      <c r="I989" s="3" t="str">
        <f t="shared" si="108"/>
        <v>2022-08-01</v>
      </c>
      <c r="J989" s="9">
        <f t="shared" si="109"/>
        <v>0.13553413902234</v>
      </c>
      <c r="K989" s="9">
        <f t="shared" si="110"/>
        <v>0.110791099838962</v>
      </c>
      <c r="L989" s="9">
        <f t="shared" si="111"/>
        <v>0.0977235581325421</v>
      </c>
    </row>
    <row r="990" s="3" customFormat="1" ht="13.5" customHeight="1" spans="1:12">
      <c r="A990" s="4">
        <v>44796</v>
      </c>
      <c r="B990" s="8">
        <v>0.0829702090322031</v>
      </c>
      <c r="C990" s="8">
        <v>0.0436624419011629</v>
      </c>
      <c r="D990" s="8">
        <v>0.0968276626936403</v>
      </c>
      <c r="E990" s="8">
        <v>1</v>
      </c>
      <c r="F990" s="9">
        <f t="shared" si="105"/>
        <v>0.136155986016879</v>
      </c>
      <c r="G990" s="9">
        <f t="shared" si="106"/>
        <v>0.110226487316158</v>
      </c>
      <c r="H990" s="9">
        <f t="shared" si="107"/>
        <v>0.09701418569851</v>
      </c>
      <c r="I990" s="3" t="str">
        <f t="shared" si="108"/>
        <v>2022-08-01</v>
      </c>
      <c r="J990" s="9">
        <f t="shared" si="109"/>
        <v>0.13553413902234</v>
      </c>
      <c r="K990" s="9">
        <f t="shared" si="110"/>
        <v>0.110791099838962</v>
      </c>
      <c r="L990" s="9">
        <f t="shared" si="111"/>
        <v>0.0977235581325421</v>
      </c>
    </row>
    <row r="991" s="3" customFormat="1" ht="13.5" customHeight="1" spans="1:12">
      <c r="A991" s="4">
        <v>44795</v>
      </c>
      <c r="B991" s="8">
        <v>0.083086322165798</v>
      </c>
      <c r="C991" s="8">
        <v>0.0435463287675679</v>
      </c>
      <c r="D991" s="8">
        <v>0.0964797137593389</v>
      </c>
      <c r="E991" s="8">
        <v>1</v>
      </c>
      <c r="F991" s="9">
        <f t="shared" si="105"/>
        <v>0.136106759236291</v>
      </c>
      <c r="G991" s="9">
        <f t="shared" si="106"/>
        <v>0.110252757862774</v>
      </c>
      <c r="H991" s="9">
        <f t="shared" si="107"/>
        <v>0.0970839105290109</v>
      </c>
      <c r="I991" s="3" t="str">
        <f t="shared" si="108"/>
        <v>2022-08-01</v>
      </c>
      <c r="J991" s="9">
        <f t="shared" si="109"/>
        <v>0.13553413902234</v>
      </c>
      <c r="K991" s="9">
        <f t="shared" si="110"/>
        <v>0.110791099838962</v>
      </c>
      <c r="L991" s="9">
        <f t="shared" si="111"/>
        <v>0.0977235581325421</v>
      </c>
    </row>
    <row r="992" s="3" customFormat="1" ht="13.5" customHeight="1" spans="1:12">
      <c r="A992" s="4">
        <v>44792</v>
      </c>
      <c r="B992" s="8">
        <v>0.0831034030372343</v>
      </c>
      <c r="C992" s="8">
        <v>0.0435292478961317</v>
      </c>
      <c r="D992" s="8">
        <v>0.0965089657110475</v>
      </c>
      <c r="E992" s="8">
        <v>1</v>
      </c>
      <c r="F992" s="9">
        <f t="shared" si="105"/>
        <v>0.136120772506143</v>
      </c>
      <c r="G992" s="9">
        <f t="shared" si="106"/>
        <v>0.110272059450546</v>
      </c>
      <c r="H992" s="9">
        <f t="shared" si="107"/>
        <v>0.0971022071251813</v>
      </c>
      <c r="I992" s="3" t="str">
        <f t="shared" si="108"/>
        <v>2022-08-01</v>
      </c>
      <c r="J992" s="9">
        <f t="shared" si="109"/>
        <v>0.13553413902234</v>
      </c>
      <c r="K992" s="9">
        <f t="shared" si="110"/>
        <v>0.110791099838962</v>
      </c>
      <c r="L992" s="9">
        <f t="shared" si="111"/>
        <v>0.0977235581325421</v>
      </c>
    </row>
    <row r="993" s="3" customFormat="1" ht="13.5" customHeight="1" spans="1:12">
      <c r="A993" s="4">
        <v>44791</v>
      </c>
      <c r="B993" s="8">
        <v>0.0835927039990142</v>
      </c>
      <c r="C993" s="8">
        <v>0.0430399469343518</v>
      </c>
      <c r="D993" s="8">
        <v>0.093872819032086</v>
      </c>
      <c r="E993" s="8">
        <v>1</v>
      </c>
      <c r="F993" s="9">
        <f t="shared" si="105"/>
        <v>0.135604197925771</v>
      </c>
      <c r="G993" s="9">
        <f t="shared" si="106"/>
        <v>0.110158244920893</v>
      </c>
      <c r="H993" s="9">
        <f t="shared" si="107"/>
        <v>0.0972790971932715</v>
      </c>
      <c r="I993" s="3" t="str">
        <f t="shared" si="108"/>
        <v>2022-08-01</v>
      </c>
      <c r="J993" s="9">
        <f t="shared" si="109"/>
        <v>0.13553413902234</v>
      </c>
      <c r="K993" s="9">
        <f t="shared" si="110"/>
        <v>0.110791099838962</v>
      </c>
      <c r="L993" s="9">
        <f t="shared" si="111"/>
        <v>0.0977235581325421</v>
      </c>
    </row>
    <row r="994" s="3" customFormat="1" ht="13.5" customHeight="1" spans="1:12">
      <c r="A994" s="4">
        <v>44790</v>
      </c>
      <c r="B994" s="8">
        <v>0.0836654231251369</v>
      </c>
      <c r="C994" s="8">
        <v>0.0429672278082291</v>
      </c>
      <c r="D994" s="8">
        <v>0.0945850707920604</v>
      </c>
      <c r="E994" s="8">
        <v>1.01</v>
      </c>
      <c r="F994" s="9">
        <f t="shared" si="105"/>
        <v>0.135833887311143</v>
      </c>
      <c r="G994" s="9">
        <f t="shared" si="106"/>
        <v>0.11058461519634</v>
      </c>
      <c r="H994" s="9">
        <f t="shared" si="107"/>
        <v>0.0975527678282695</v>
      </c>
      <c r="I994" s="3" t="str">
        <f t="shared" si="108"/>
        <v>2022-08-01</v>
      </c>
      <c r="J994" s="9">
        <f t="shared" si="109"/>
        <v>0.13553413902234</v>
      </c>
      <c r="K994" s="9">
        <f t="shared" si="110"/>
        <v>0.110791099838962</v>
      </c>
      <c r="L994" s="9">
        <f t="shared" si="111"/>
        <v>0.0977235581325421</v>
      </c>
    </row>
    <row r="995" s="3" customFormat="1" ht="13.5" customHeight="1" spans="1:12">
      <c r="A995" s="4">
        <v>44789</v>
      </c>
      <c r="B995" s="8">
        <v>0.0826119270537091</v>
      </c>
      <c r="C995" s="8">
        <v>0.0440207238796569</v>
      </c>
      <c r="D995" s="8">
        <v>0.0960007870078589</v>
      </c>
      <c r="E995" s="8">
        <v>1.06</v>
      </c>
      <c r="F995" s="9">
        <f t="shared" si="105"/>
        <v>0.135879788407712</v>
      </c>
      <c r="G995" s="9">
        <f t="shared" si="106"/>
        <v>0.111172592274984</v>
      </c>
      <c r="H995" s="9">
        <f t="shared" si="107"/>
        <v>0.0974453440030599</v>
      </c>
      <c r="I995" s="3" t="str">
        <f t="shared" si="108"/>
        <v>2022-08-01</v>
      </c>
      <c r="J995" s="9">
        <f t="shared" si="109"/>
        <v>0.13553413902234</v>
      </c>
      <c r="K995" s="9">
        <f t="shared" si="110"/>
        <v>0.110791099838962</v>
      </c>
      <c r="L995" s="9">
        <f t="shared" si="111"/>
        <v>0.0977235581325421</v>
      </c>
    </row>
    <row r="996" s="3" customFormat="1" ht="13.5" customHeight="1" spans="1:12">
      <c r="A996" s="4">
        <v>44788</v>
      </c>
      <c r="B996" s="8">
        <v>0.0829955900113395</v>
      </c>
      <c r="C996" s="8">
        <v>0.0436370609220265</v>
      </c>
      <c r="D996" s="8">
        <v>0.0957309518298581</v>
      </c>
      <c r="E996" s="8">
        <v>1.05</v>
      </c>
      <c r="F996" s="9">
        <f t="shared" si="105"/>
        <v>0.135937256211211</v>
      </c>
      <c r="G996" s="9">
        <f t="shared" si="106"/>
        <v>0.111194224098014</v>
      </c>
      <c r="H996" s="9">
        <f t="shared" si="107"/>
        <v>0.0976211647257364</v>
      </c>
      <c r="I996" s="3" t="str">
        <f t="shared" si="108"/>
        <v>2022-08-01</v>
      </c>
      <c r="J996" s="9">
        <f t="shared" si="109"/>
        <v>0.13553413902234</v>
      </c>
      <c r="K996" s="9">
        <f t="shared" si="110"/>
        <v>0.110791099838962</v>
      </c>
      <c r="L996" s="9">
        <f t="shared" si="111"/>
        <v>0.0977235581325421</v>
      </c>
    </row>
    <row r="997" s="3" customFormat="1" ht="13.5" customHeight="1" spans="1:12">
      <c r="A997" s="4">
        <v>44785</v>
      </c>
      <c r="B997" s="8">
        <v>0.0827325859224998</v>
      </c>
      <c r="C997" s="8">
        <v>0.0439000650108662</v>
      </c>
      <c r="D997" s="8">
        <v>0.0966119486956703</v>
      </c>
      <c r="E997" s="8">
        <v>1.06</v>
      </c>
      <c r="F997" s="9">
        <f t="shared" si="105"/>
        <v>0.136080041233245</v>
      </c>
      <c r="G997" s="9">
        <f t="shared" si="106"/>
        <v>0.111390842790352</v>
      </c>
      <c r="H997" s="9">
        <f t="shared" si="107"/>
        <v>0.097617943143639</v>
      </c>
      <c r="I997" s="3" t="str">
        <f t="shared" si="108"/>
        <v>2022-08-01</v>
      </c>
      <c r="J997" s="9">
        <f t="shared" si="109"/>
        <v>0.13553413902234</v>
      </c>
      <c r="K997" s="9">
        <f t="shared" si="110"/>
        <v>0.110791099838962</v>
      </c>
      <c r="L997" s="9">
        <f t="shared" si="111"/>
        <v>0.0977235581325421</v>
      </c>
    </row>
    <row r="998" s="3" customFormat="1" ht="13.5" customHeight="1" spans="1:12">
      <c r="A998" s="4">
        <v>44784</v>
      </c>
      <c r="B998" s="8">
        <v>0.0842416522105156</v>
      </c>
      <c r="C998" s="8">
        <v>0.0423909987228504</v>
      </c>
      <c r="D998" s="8">
        <v>0.0925284715807011</v>
      </c>
      <c r="E998" s="8">
        <v>1.02</v>
      </c>
      <c r="F998" s="9">
        <f t="shared" si="105"/>
        <v>0.135516905912495</v>
      </c>
      <c r="G998" s="9">
        <f t="shared" si="106"/>
        <v>0.110872997817199</v>
      </c>
      <c r="H998" s="9">
        <f t="shared" si="107"/>
        <v>0.0979975672850184</v>
      </c>
      <c r="I998" s="3" t="str">
        <f t="shared" si="108"/>
        <v>2022-08-01</v>
      </c>
      <c r="J998" s="9">
        <f t="shared" si="109"/>
        <v>0.13553413902234</v>
      </c>
      <c r="K998" s="9">
        <f t="shared" si="110"/>
        <v>0.110791099838962</v>
      </c>
      <c r="L998" s="9">
        <f t="shared" si="111"/>
        <v>0.0977235581325421</v>
      </c>
    </row>
    <row r="999" s="3" customFormat="1" ht="13.5" customHeight="1" spans="1:12">
      <c r="A999" s="4">
        <v>44783</v>
      </c>
      <c r="B999" s="8">
        <v>0.0842646484538822</v>
      </c>
      <c r="C999" s="8">
        <v>0.0423680024794838</v>
      </c>
      <c r="D999" s="8">
        <v>0.0909676762243911</v>
      </c>
      <c r="E999" s="8">
        <v>1.04</v>
      </c>
      <c r="F999" s="9">
        <f t="shared" si="105"/>
        <v>0.135142631304909</v>
      </c>
      <c r="G999" s="9">
        <f t="shared" si="106"/>
        <v>0.111029071985388</v>
      </c>
      <c r="H999" s="9">
        <f t="shared" si="107"/>
        <v>0.0981245671246004</v>
      </c>
      <c r="I999" s="3" t="str">
        <f t="shared" si="108"/>
        <v>2022-08-01</v>
      </c>
      <c r="J999" s="9">
        <f t="shared" si="109"/>
        <v>0.13553413902234</v>
      </c>
      <c r="K999" s="9">
        <f t="shared" si="110"/>
        <v>0.110791099838962</v>
      </c>
      <c r="L999" s="9">
        <f t="shared" si="111"/>
        <v>0.0977235581325421</v>
      </c>
    </row>
    <row r="1000" s="3" customFormat="1" ht="13.5" customHeight="1" spans="1:12">
      <c r="A1000" s="4">
        <v>44782</v>
      </c>
      <c r="B1000" s="8">
        <v>0.0849768808830349</v>
      </c>
      <c r="C1000" s="8">
        <v>0.0416557700503311</v>
      </c>
      <c r="D1000" s="8">
        <v>0.0899166739566428</v>
      </c>
      <c r="E1000" s="8">
        <v>1.02</v>
      </c>
      <c r="F1000" s="9">
        <f t="shared" si="105"/>
        <v>0.13509881733527</v>
      </c>
      <c r="G1000" s="9">
        <f t="shared" si="106"/>
        <v>0.110949918513033</v>
      </c>
      <c r="H1000" s="9">
        <f t="shared" si="107"/>
        <v>0.0983915623936985</v>
      </c>
      <c r="I1000" s="3" t="str">
        <f t="shared" si="108"/>
        <v>2022-08-01</v>
      </c>
      <c r="J1000" s="9">
        <f t="shared" si="109"/>
        <v>0.13553413902234</v>
      </c>
      <c r="K1000" s="9">
        <f t="shared" si="110"/>
        <v>0.110791099838962</v>
      </c>
      <c r="L1000" s="9">
        <f t="shared" si="111"/>
        <v>0.0977235581325421</v>
      </c>
    </row>
    <row r="1001" s="3" customFormat="1" ht="13.5" customHeight="1" spans="1:12">
      <c r="A1001" s="4">
        <v>44781</v>
      </c>
      <c r="B1001" s="8">
        <v>0.0831580150629492</v>
      </c>
      <c r="C1001" s="8">
        <v>0.0434746358704168</v>
      </c>
      <c r="D1001" s="8">
        <v>0.0921657087072829</v>
      </c>
      <c r="E1001" s="8">
        <v>1.1</v>
      </c>
      <c r="F1001" s="9">
        <f t="shared" si="105"/>
        <v>0.135116721840226</v>
      </c>
      <c r="G1001" s="9">
        <f t="shared" si="106"/>
        <v>0.111703748704781</v>
      </c>
      <c r="H1001" s="9">
        <f t="shared" si="107"/>
        <v>0.098066385901901</v>
      </c>
      <c r="I1001" s="3" t="str">
        <f t="shared" si="108"/>
        <v>2022-08-01</v>
      </c>
      <c r="J1001" s="9">
        <f t="shared" si="109"/>
        <v>0.13553413902234</v>
      </c>
      <c r="K1001" s="9">
        <f t="shared" si="110"/>
        <v>0.110791099838962</v>
      </c>
      <c r="L1001" s="9">
        <f t="shared" si="111"/>
        <v>0.0977235581325421</v>
      </c>
    </row>
    <row r="1002" s="3" customFormat="1" ht="12.75" customHeight="1" spans="1:12">
      <c r="A1002" s="4">
        <v>44778</v>
      </c>
      <c r="B1002" s="8">
        <v>0.0831376195783329</v>
      </c>
      <c r="C1002" s="8">
        <v>0.0434950313550331</v>
      </c>
      <c r="D1002" s="8">
        <v>0.0933217929155562</v>
      </c>
      <c r="E1002" s="8">
        <v>1.11</v>
      </c>
      <c r="F1002" s="9">
        <f t="shared" si="105"/>
        <v>0.135407869508695</v>
      </c>
      <c r="G1002" s="9">
        <f t="shared" si="106"/>
        <v>0.112143001667846</v>
      </c>
      <c r="H1002" s="9">
        <f t="shared" si="107"/>
        <v>0.0983110161624438</v>
      </c>
      <c r="I1002" s="3" t="str">
        <f t="shared" si="108"/>
        <v>2022-08-01</v>
      </c>
      <c r="J1002" s="9">
        <f t="shared" si="109"/>
        <v>0.13553413902234</v>
      </c>
      <c r="K1002" s="9">
        <f t="shared" si="110"/>
        <v>0.110791099838962</v>
      </c>
      <c r="L1002" s="9">
        <f t="shared" si="111"/>
        <v>0.0977235581325421</v>
      </c>
    </row>
    <row r="1003" s="3" customFormat="1" ht="13.5" customHeight="1" spans="1:12">
      <c r="A1003" s="4">
        <v>44777</v>
      </c>
      <c r="B1003" s="8">
        <v>0.0858200420447268</v>
      </c>
      <c r="C1003" s="8">
        <v>0.0407244992802293</v>
      </c>
      <c r="D1003" s="8">
        <v>0.0897340704014637</v>
      </c>
      <c r="E1003" s="8">
        <v>1</v>
      </c>
      <c r="F1003" s="9">
        <f t="shared" si="105"/>
        <v>0.135274266342564</v>
      </c>
      <c r="G1003" s="9">
        <f t="shared" si="106"/>
        <v>0.11113132798507</v>
      </c>
      <c r="H1003" s="9">
        <f t="shared" si="107"/>
        <v>0.0988612328114125</v>
      </c>
      <c r="I1003" s="3" t="str">
        <f t="shared" si="108"/>
        <v>2022-08-01</v>
      </c>
      <c r="J1003" s="9">
        <f t="shared" si="109"/>
        <v>0.13553413902234</v>
      </c>
      <c r="K1003" s="9">
        <f t="shared" si="110"/>
        <v>0.110791099838962</v>
      </c>
      <c r="L1003" s="9">
        <f t="shared" si="111"/>
        <v>0.0977235581325421</v>
      </c>
    </row>
    <row r="1004" s="3" customFormat="1" ht="13.5" customHeight="1" spans="1:12">
      <c r="A1004" s="4">
        <v>44776</v>
      </c>
      <c r="B1004" s="8">
        <v>0.0856696567855445</v>
      </c>
      <c r="C1004" s="8">
        <v>0.0408748845394117</v>
      </c>
      <c r="D1004" s="8">
        <v>0.0889069619085477</v>
      </c>
      <c r="E1004" s="8">
        <v>1</v>
      </c>
      <c r="F1004" s="9">
        <f t="shared" si="105"/>
        <v>0.135000386624863</v>
      </c>
      <c r="G1004" s="9">
        <f t="shared" si="106"/>
        <v>0.110852083037385</v>
      </c>
      <c r="H1004" s="9">
        <f t="shared" si="107"/>
        <v>0.0986432158518431</v>
      </c>
      <c r="I1004" s="3" t="str">
        <f t="shared" si="108"/>
        <v>2022-08-01</v>
      </c>
      <c r="J1004" s="9">
        <f t="shared" si="109"/>
        <v>0.13553413902234</v>
      </c>
      <c r="K1004" s="9">
        <f t="shared" si="110"/>
        <v>0.110791099838962</v>
      </c>
      <c r="L1004" s="9">
        <f t="shared" si="111"/>
        <v>0.0977235581325421</v>
      </c>
    </row>
    <row r="1005" s="3" customFormat="1" ht="13.5" customHeight="1" spans="1:12">
      <c r="A1005" s="4">
        <v>44775</v>
      </c>
      <c r="B1005" s="8">
        <v>0.0859015957333747</v>
      </c>
      <c r="C1005" s="8">
        <v>0.0403785701769551</v>
      </c>
      <c r="D1005" s="8">
        <v>0.089210791288263</v>
      </c>
      <c r="E1005" s="8">
        <v>1</v>
      </c>
      <c r="F1005" s="9">
        <f t="shared" si="105"/>
        <v>0.134998879275416</v>
      </c>
      <c r="G1005" s="9">
        <f t="shared" si="106"/>
        <v>0.111043737193132</v>
      </c>
      <c r="H1005" s="9">
        <f t="shared" si="107"/>
        <v>0.0988558933814471</v>
      </c>
      <c r="I1005" s="3" t="str">
        <f t="shared" si="108"/>
        <v>2022-08-01</v>
      </c>
      <c r="J1005" s="9">
        <f t="shared" si="109"/>
        <v>0.13553413902234</v>
      </c>
      <c r="K1005" s="9">
        <f t="shared" si="110"/>
        <v>0.110791099838962</v>
      </c>
      <c r="L1005" s="9">
        <f t="shared" si="111"/>
        <v>0.0977235581325421</v>
      </c>
    </row>
    <row r="1006" s="3" customFormat="1" ht="13.5" customHeight="1" spans="1:12">
      <c r="A1006" s="4">
        <v>44774</v>
      </c>
      <c r="B1006" s="8">
        <v>0.0854131958509849</v>
      </c>
      <c r="C1006" s="8">
        <v>0.0411313454739713</v>
      </c>
      <c r="D1006" s="8">
        <v>0.0783784857120953</v>
      </c>
      <c r="E1006" s="8">
        <v>1.15</v>
      </c>
      <c r="F1006" s="9">
        <f t="shared" si="105"/>
        <v>0.132394240607623</v>
      </c>
      <c r="G1006" s="9">
        <f t="shared" si="106"/>
        <v>0.111531094027357</v>
      </c>
      <c r="H1006" s="9">
        <f t="shared" si="107"/>
        <v>0.0991414133318976</v>
      </c>
      <c r="I1006" s="3" t="str">
        <f t="shared" si="108"/>
        <v>2022-08-01</v>
      </c>
      <c r="J1006" s="9">
        <f t="shared" si="109"/>
        <v>0.13553413902234</v>
      </c>
      <c r="K1006" s="9">
        <f t="shared" si="110"/>
        <v>0.110791099838962</v>
      </c>
      <c r="L1006" s="9">
        <f t="shared" si="111"/>
        <v>0.0977235581325421</v>
      </c>
    </row>
    <row r="1007" s="3" customFormat="1" ht="13.5" customHeight="1" spans="1:12">
      <c r="A1007" s="4">
        <v>44771</v>
      </c>
      <c r="B1007" s="8">
        <v>0.0836440358423469</v>
      </c>
      <c r="C1007" s="8">
        <v>0.0429886150910191</v>
      </c>
      <c r="D1007" s="8">
        <v>0.0901264365819842</v>
      </c>
      <c r="E1007" s="8">
        <v>1.13</v>
      </c>
      <c r="F1007" s="9">
        <f t="shared" si="105"/>
        <v>0.134782724179235</v>
      </c>
      <c r="G1007" s="9">
        <f t="shared" si="106"/>
        <v>0.112288293840027</v>
      </c>
      <c r="H1007" s="9">
        <f t="shared" si="107"/>
        <v>0.0986709507745339</v>
      </c>
      <c r="I1007" s="3" t="str">
        <f t="shared" si="108"/>
        <v>2022-07-01</v>
      </c>
      <c r="J1007" s="9">
        <f t="shared" si="109"/>
        <v>0.134390572903242</v>
      </c>
      <c r="K1007" s="9">
        <f t="shared" si="110"/>
        <v>0.114457917986552</v>
      </c>
      <c r="L1007" s="9">
        <f t="shared" si="111"/>
        <v>0.100190366081559</v>
      </c>
    </row>
    <row r="1008" s="3" customFormat="1" ht="13.5" customHeight="1" spans="1:12">
      <c r="A1008" s="4">
        <v>44770</v>
      </c>
      <c r="B1008" s="8">
        <v>0.0859629408026093</v>
      </c>
      <c r="C1008" s="8">
        <v>0.0406697101307567</v>
      </c>
      <c r="D1008" s="8">
        <v>0.0835926155762049</v>
      </c>
      <c r="E1008" s="8">
        <v>1.09</v>
      </c>
      <c r="F1008" s="9">
        <f t="shared" si="105"/>
        <v>0.133893320578667</v>
      </c>
      <c r="G1008" s="9">
        <f t="shared" si="106"/>
        <v>0.111925190643295</v>
      </c>
      <c r="H1008" s="9">
        <f t="shared" si="107"/>
        <v>0.099497464232655</v>
      </c>
      <c r="I1008" s="3" t="str">
        <f t="shared" si="108"/>
        <v>2022-07-01</v>
      </c>
      <c r="J1008" s="9">
        <f t="shared" si="109"/>
        <v>0.134390572903242</v>
      </c>
      <c r="K1008" s="9">
        <f t="shared" si="110"/>
        <v>0.114457917986552</v>
      </c>
      <c r="L1008" s="9">
        <f t="shared" si="111"/>
        <v>0.100190366081559</v>
      </c>
    </row>
    <row r="1009" s="3" customFormat="1" ht="13.5" customHeight="1" spans="1:12">
      <c r="A1009" s="4">
        <v>44769</v>
      </c>
      <c r="B1009" s="8">
        <v>0.0833601093408693</v>
      </c>
      <c r="C1009" s="8">
        <v>0.0432725415924967</v>
      </c>
      <c r="D1009" s="8">
        <v>0.0906321790325085</v>
      </c>
      <c r="E1009" s="8">
        <v>1.15</v>
      </c>
      <c r="F1009" s="9">
        <f t="shared" si="105"/>
        <v>0.134820949168592</v>
      </c>
      <c r="G1009" s="9">
        <f t="shared" si="106"/>
        <v>0.112587506584106</v>
      </c>
      <c r="H1009" s="9">
        <f t="shared" si="107"/>
        <v>0.098741411951518</v>
      </c>
      <c r="I1009" s="3" t="str">
        <f t="shared" si="108"/>
        <v>2022-07-01</v>
      </c>
      <c r="J1009" s="9">
        <f t="shared" si="109"/>
        <v>0.134390572903242</v>
      </c>
      <c r="K1009" s="9">
        <f t="shared" si="110"/>
        <v>0.114457917986552</v>
      </c>
      <c r="L1009" s="9">
        <f t="shared" si="111"/>
        <v>0.100190366081559</v>
      </c>
    </row>
    <row r="1010" s="3" customFormat="1" ht="13.5" customHeight="1" spans="1:12">
      <c r="A1010" s="4">
        <v>44768</v>
      </c>
      <c r="B1010" s="8">
        <v>0.0855451574436286</v>
      </c>
      <c r="C1010" s="8">
        <v>0.0366724752806205</v>
      </c>
      <c r="D1010" s="8">
        <v>0.100802100993792</v>
      </c>
      <c r="E1010" s="8">
        <v>1</v>
      </c>
      <c r="F1010" s="9">
        <f t="shared" si="105"/>
        <v>0.135362642840426</v>
      </c>
      <c r="G1010" s="9">
        <f t="shared" si="106"/>
        <v>0.112175614202887</v>
      </c>
      <c r="H1010" s="9">
        <f t="shared" si="107"/>
        <v>0.0992874145291541</v>
      </c>
      <c r="I1010" s="3" t="str">
        <f t="shared" si="108"/>
        <v>2022-07-01</v>
      </c>
      <c r="J1010" s="9">
        <f t="shared" si="109"/>
        <v>0.134390572903242</v>
      </c>
      <c r="K1010" s="9">
        <f t="shared" si="110"/>
        <v>0.114457917986552</v>
      </c>
      <c r="L1010" s="9">
        <f t="shared" si="111"/>
        <v>0.100190366081559</v>
      </c>
    </row>
    <row r="1011" s="3" customFormat="1" ht="13.5" customHeight="1" spans="1:12">
      <c r="A1011" s="4">
        <v>44767</v>
      </c>
      <c r="B1011" s="8">
        <v>0.0872255899393417</v>
      </c>
      <c r="C1011" s="8">
        <v>0.0349920427849074</v>
      </c>
      <c r="D1011" s="8">
        <v>0.098088122172705</v>
      </c>
      <c r="E1011" s="8">
        <v>1</v>
      </c>
      <c r="F1011" s="9">
        <f t="shared" si="105"/>
        <v>0.135263694610893</v>
      </c>
      <c r="G1011" s="9">
        <f t="shared" si="106"/>
        <v>0.113001372942802</v>
      </c>
      <c r="H1011" s="9">
        <f t="shared" si="107"/>
        <v>0.100528549058232</v>
      </c>
      <c r="I1011" s="3" t="str">
        <f t="shared" si="108"/>
        <v>2022-07-01</v>
      </c>
      <c r="J1011" s="9">
        <f t="shared" si="109"/>
        <v>0.134390572903242</v>
      </c>
      <c r="K1011" s="9">
        <f t="shared" si="110"/>
        <v>0.114457917986552</v>
      </c>
      <c r="L1011" s="9">
        <f t="shared" si="111"/>
        <v>0.100190366081559</v>
      </c>
    </row>
    <row r="1012" s="3" customFormat="1" ht="13.5" customHeight="1" spans="1:12">
      <c r="A1012" s="4">
        <v>44764</v>
      </c>
      <c r="B1012" s="8">
        <v>0.084446726753142</v>
      </c>
      <c r="C1012" s="8">
        <v>0.0377709059711072</v>
      </c>
      <c r="D1012" s="8">
        <v>0.100445667930605</v>
      </c>
      <c r="E1012" s="8">
        <v>1.09</v>
      </c>
      <c r="F1012" s="9">
        <f t="shared" si="105"/>
        <v>0.134776582290483</v>
      </c>
      <c r="G1012" s="9">
        <f t="shared" si="106"/>
        <v>0.113248435496242</v>
      </c>
      <c r="H1012" s="9">
        <f t="shared" si="107"/>
        <v>0.0995003584240003</v>
      </c>
      <c r="I1012" s="3" t="str">
        <f t="shared" si="108"/>
        <v>2022-07-01</v>
      </c>
      <c r="J1012" s="9">
        <f t="shared" si="109"/>
        <v>0.134390572903242</v>
      </c>
      <c r="K1012" s="9">
        <f t="shared" si="110"/>
        <v>0.114457917986552</v>
      </c>
      <c r="L1012" s="9">
        <f t="shared" si="111"/>
        <v>0.100190366081559</v>
      </c>
    </row>
    <row r="1013" s="3" customFormat="1" ht="13.5" customHeight="1" spans="1:12">
      <c r="A1013" s="4">
        <v>44763</v>
      </c>
      <c r="B1013" s="8">
        <v>0.0855901328052179</v>
      </c>
      <c r="C1013" s="8">
        <v>0.0353877937476848</v>
      </c>
      <c r="D1013" s="8">
        <v>0.103619137250885</v>
      </c>
      <c r="E1013" s="8">
        <v>1.08</v>
      </c>
      <c r="F1013" s="9">
        <f t="shared" si="105"/>
        <v>0.135192232054106</v>
      </c>
      <c r="G1013" s="9">
        <f t="shared" si="106"/>
        <v>0.114311475756921</v>
      </c>
      <c r="H1013" s="9">
        <f t="shared" si="107"/>
        <v>0.100591584532481</v>
      </c>
      <c r="I1013" s="3" t="str">
        <f t="shared" si="108"/>
        <v>2022-07-01</v>
      </c>
      <c r="J1013" s="9">
        <f t="shared" si="109"/>
        <v>0.134390572903242</v>
      </c>
      <c r="K1013" s="9">
        <f t="shared" si="110"/>
        <v>0.114457917986552</v>
      </c>
      <c r="L1013" s="9">
        <f t="shared" si="111"/>
        <v>0.100190366081559</v>
      </c>
    </row>
    <row r="1014" s="3" customFormat="1" ht="13.5" customHeight="1" spans="1:12">
      <c r="A1014" s="4">
        <v>44762</v>
      </c>
      <c r="B1014" s="8">
        <v>0.0883900614268357</v>
      </c>
      <c r="C1014" s="8">
        <v>0.0338275712974135</v>
      </c>
      <c r="D1014" s="8">
        <v>0.0927501319382306</v>
      </c>
      <c r="E1014" s="8">
        <v>1.03</v>
      </c>
      <c r="F1014" s="9">
        <f t="shared" si="105"/>
        <v>0.134256005017914</v>
      </c>
      <c r="G1014" s="9">
        <f t="shared" si="106"/>
        <v>0.113538915395433</v>
      </c>
      <c r="H1014" s="9">
        <f t="shared" si="107"/>
        <v>0.101421138225194</v>
      </c>
      <c r="I1014" s="3" t="str">
        <f t="shared" si="108"/>
        <v>2022-07-01</v>
      </c>
      <c r="J1014" s="9">
        <f t="shared" si="109"/>
        <v>0.134390572903242</v>
      </c>
      <c r="K1014" s="9">
        <f t="shared" si="110"/>
        <v>0.114457917986552</v>
      </c>
      <c r="L1014" s="9">
        <f t="shared" si="111"/>
        <v>0.100190366081559</v>
      </c>
    </row>
    <row r="1015" s="3" customFormat="1" ht="13.5" customHeight="1" spans="1:12">
      <c r="A1015" s="4">
        <v>44761</v>
      </c>
      <c r="B1015" s="8">
        <v>0.065277193667435</v>
      </c>
      <c r="C1015" s="8">
        <v>0.0569404390568141</v>
      </c>
      <c r="D1015" s="8">
        <v>0.123265841347205</v>
      </c>
      <c r="E1015" s="8">
        <v>1.92</v>
      </c>
      <c r="F1015" s="9">
        <f t="shared" si="105"/>
        <v>0.132519801636635</v>
      </c>
      <c r="G1015" s="9">
        <f t="shared" si="106"/>
        <v>0.120240776040468</v>
      </c>
      <c r="H1015" s="9">
        <f t="shared" si="107"/>
        <v>0.0990131517318193</v>
      </c>
      <c r="I1015" s="3" t="str">
        <f t="shared" si="108"/>
        <v>2022-07-01</v>
      </c>
      <c r="J1015" s="9">
        <f t="shared" si="109"/>
        <v>0.134390572903242</v>
      </c>
      <c r="K1015" s="9">
        <f t="shared" si="110"/>
        <v>0.114457917986552</v>
      </c>
      <c r="L1015" s="9">
        <f t="shared" si="111"/>
        <v>0.100190366081559</v>
      </c>
    </row>
    <row r="1016" s="3" customFormat="1" ht="13.5" customHeight="1" spans="1:12">
      <c r="A1016" s="4">
        <v>44760</v>
      </c>
      <c r="B1016" s="8">
        <v>0.0664037404001207</v>
      </c>
      <c r="C1016" s="8">
        <v>0.0558138923241284</v>
      </c>
      <c r="D1016" s="8">
        <v>0.122454958347548</v>
      </c>
      <c r="E1016" s="8">
        <v>1.87</v>
      </c>
      <c r="F1016" s="9">
        <f t="shared" si="105"/>
        <v>0.132743807965426</v>
      </c>
      <c r="G1016" s="9">
        <f t="shared" si="106"/>
        <v>0.120028423914699</v>
      </c>
      <c r="H1016" s="9">
        <f t="shared" si="107"/>
        <v>0.0989985129559354</v>
      </c>
      <c r="I1016" s="3" t="str">
        <f t="shared" si="108"/>
        <v>2022-07-01</v>
      </c>
      <c r="J1016" s="9">
        <f t="shared" si="109"/>
        <v>0.134390572903242</v>
      </c>
      <c r="K1016" s="9">
        <f t="shared" si="110"/>
        <v>0.114457917986552</v>
      </c>
      <c r="L1016" s="9">
        <f t="shared" si="111"/>
        <v>0.100190366081559</v>
      </c>
    </row>
    <row r="1017" s="3" customFormat="1" ht="13.5" customHeight="1" spans="1:12">
      <c r="A1017" s="4">
        <v>44757</v>
      </c>
      <c r="B1017" s="8">
        <v>0.0631363496423617</v>
      </c>
      <c r="C1017" s="8">
        <v>0.0590812830818874</v>
      </c>
      <c r="D1017" s="8">
        <v>0.126437961569887</v>
      </c>
      <c r="E1017" s="8">
        <v>2</v>
      </c>
      <c r="F1017" s="9">
        <f t="shared" si="105"/>
        <v>0.132440119006146</v>
      </c>
      <c r="G1017" s="9">
        <f t="shared" si="106"/>
        <v>0.12087404882482</v>
      </c>
      <c r="H1017" s="9">
        <f t="shared" si="107"/>
        <v>0.0991382625214315</v>
      </c>
      <c r="I1017" s="3" t="str">
        <f t="shared" si="108"/>
        <v>2022-07-01</v>
      </c>
      <c r="J1017" s="9">
        <f t="shared" si="109"/>
        <v>0.134390572903242</v>
      </c>
      <c r="K1017" s="9">
        <f t="shared" si="110"/>
        <v>0.114457917986552</v>
      </c>
      <c r="L1017" s="9">
        <f t="shared" si="111"/>
        <v>0.100190366081559</v>
      </c>
    </row>
    <row r="1018" s="3" customFormat="1" ht="13.5" customHeight="1" spans="1:12">
      <c r="A1018" s="4">
        <v>44756</v>
      </c>
      <c r="B1018" s="8">
        <v>0.0758377371779315</v>
      </c>
      <c r="C1018" s="8">
        <v>0.0463798955463176</v>
      </c>
      <c r="D1018" s="8">
        <v>0.107427713020555</v>
      </c>
      <c r="E1018" s="8">
        <v>1.57</v>
      </c>
      <c r="F1018" s="9">
        <f t="shared" si="105"/>
        <v>0.132777039216848</v>
      </c>
      <c r="G1018" s="9">
        <f t="shared" si="106"/>
        <v>0.117687922052139</v>
      </c>
      <c r="H1018" s="9">
        <f t="shared" si="107"/>
        <v>0.0997601243263914</v>
      </c>
      <c r="I1018" s="3" t="str">
        <f t="shared" si="108"/>
        <v>2022-07-01</v>
      </c>
      <c r="J1018" s="9">
        <f t="shared" si="109"/>
        <v>0.134390572903242</v>
      </c>
      <c r="K1018" s="9">
        <f t="shared" si="110"/>
        <v>0.114457917986552</v>
      </c>
      <c r="L1018" s="9">
        <f t="shared" si="111"/>
        <v>0.100190366081559</v>
      </c>
    </row>
    <row r="1019" s="3" customFormat="1" ht="13.5" customHeight="1" spans="1:12">
      <c r="A1019" s="4">
        <v>44755</v>
      </c>
      <c r="B1019" s="8">
        <v>0.0884740274717745</v>
      </c>
      <c r="C1019" s="8">
        <v>0.0335665984372501</v>
      </c>
      <c r="D1019" s="8">
        <v>0.0964530602947198</v>
      </c>
      <c r="E1019" s="8">
        <v>1</v>
      </c>
      <c r="F1019" s="9">
        <f t="shared" si="105"/>
        <v>0.135179028887629</v>
      </c>
      <c r="G1019" s="9">
        <f t="shared" si="106"/>
        <v>0.113652850496128</v>
      </c>
      <c r="H1019" s="9">
        <f t="shared" si="107"/>
        <v>0.101471024094471</v>
      </c>
      <c r="I1019" s="3" t="str">
        <f t="shared" si="108"/>
        <v>2022-07-01</v>
      </c>
      <c r="J1019" s="9">
        <f t="shared" si="109"/>
        <v>0.134390572903242</v>
      </c>
      <c r="K1019" s="9">
        <f t="shared" si="110"/>
        <v>0.114457917986552</v>
      </c>
      <c r="L1019" s="9">
        <f t="shared" si="111"/>
        <v>0.100190366081559</v>
      </c>
    </row>
    <row r="1020" s="3" customFormat="1" ht="13.5" customHeight="1" spans="1:12">
      <c r="A1020" s="4">
        <v>44754</v>
      </c>
      <c r="B1020" s="8">
        <v>0.0883113947282261</v>
      </c>
      <c r="C1020" s="8">
        <v>0.0337292311807985</v>
      </c>
      <c r="D1020" s="8">
        <v>0.0952884317648324</v>
      </c>
      <c r="E1020" s="8">
        <v>1</v>
      </c>
      <c r="F1020" s="9">
        <f t="shared" si="105"/>
        <v>0.134811456900423</v>
      </c>
      <c r="G1020" s="9">
        <f t="shared" si="106"/>
        <v>0.11329901607952</v>
      </c>
      <c r="H1020" s="9">
        <f t="shared" si="107"/>
        <v>0.101208249195396</v>
      </c>
      <c r="I1020" s="3" t="str">
        <f t="shared" si="108"/>
        <v>2022-07-01</v>
      </c>
      <c r="J1020" s="9">
        <f t="shared" si="109"/>
        <v>0.134390572903242</v>
      </c>
      <c r="K1020" s="9">
        <f t="shared" si="110"/>
        <v>0.114457917986552</v>
      </c>
      <c r="L1020" s="9">
        <f t="shared" si="111"/>
        <v>0.100190366081559</v>
      </c>
    </row>
    <row r="1021" s="3" customFormat="1" ht="13.5" customHeight="1" spans="1:12">
      <c r="A1021" s="4">
        <v>44753</v>
      </c>
      <c r="B1021" s="8">
        <v>0.0876340045784317</v>
      </c>
      <c r="C1021" s="8">
        <v>0.0328121484974355</v>
      </c>
      <c r="D1021" s="8">
        <v>0.101630137035268</v>
      </c>
      <c r="E1021" s="8">
        <v>1</v>
      </c>
      <c r="F1021" s="9">
        <f t="shared" si="105"/>
        <v>0.135230099220841</v>
      </c>
      <c r="G1021" s="9">
        <f t="shared" si="106"/>
        <v>0.113656510209248</v>
      </c>
      <c r="H1021" s="9">
        <f t="shared" si="107"/>
        <v>0.101073008763587</v>
      </c>
      <c r="I1021" s="3" t="str">
        <f t="shared" si="108"/>
        <v>2022-07-01</v>
      </c>
      <c r="J1021" s="9">
        <f t="shared" si="109"/>
        <v>0.134390572903242</v>
      </c>
      <c r="K1021" s="9">
        <f t="shared" si="110"/>
        <v>0.114457917986552</v>
      </c>
      <c r="L1021" s="9">
        <f t="shared" si="111"/>
        <v>0.100190366081559</v>
      </c>
    </row>
    <row r="1022" s="3" customFormat="1" ht="13.5" customHeight="1" spans="1:12">
      <c r="A1022" s="4">
        <v>44750</v>
      </c>
      <c r="B1022" s="8">
        <v>0.0885577110989834</v>
      </c>
      <c r="C1022" s="8">
        <v>0.0334829148100412</v>
      </c>
      <c r="D1022" s="8">
        <v>0.0893207719561704</v>
      </c>
      <c r="E1022" s="8">
        <v>1</v>
      </c>
      <c r="F1022" s="9">
        <f t="shared" si="105"/>
        <v>0.13332517053161</v>
      </c>
      <c r="G1022" s="9">
        <f t="shared" si="106"/>
        <v>0.112351120878323</v>
      </c>
      <c r="H1022" s="9">
        <f t="shared" si="107"/>
        <v>0.100833467090956</v>
      </c>
      <c r="I1022" s="3" t="str">
        <f t="shared" si="108"/>
        <v>2022-07-01</v>
      </c>
      <c r="J1022" s="9">
        <f t="shared" si="109"/>
        <v>0.134390572903242</v>
      </c>
      <c r="K1022" s="9">
        <f t="shared" si="110"/>
        <v>0.114457917986552</v>
      </c>
      <c r="L1022" s="9">
        <f t="shared" si="111"/>
        <v>0.100190366081559</v>
      </c>
    </row>
    <row r="1023" s="3" customFormat="1" ht="13.5" customHeight="1" spans="1:12">
      <c r="A1023" s="4">
        <v>44749</v>
      </c>
      <c r="B1023" s="8">
        <v>0.0881193902212516</v>
      </c>
      <c r="C1023" s="8">
        <v>0.0341867341627165</v>
      </c>
      <c r="D1023" s="8">
        <v>0.096410730724181</v>
      </c>
      <c r="E1023" s="8">
        <v>1</v>
      </c>
      <c r="F1023" s="9">
        <f t="shared" si="105"/>
        <v>0.135205206965408</v>
      </c>
      <c r="G1023" s="9">
        <f t="shared" si="106"/>
        <v>0.113413281045544</v>
      </c>
      <c r="H1023" s="9">
        <f t="shared" si="107"/>
        <v>0.101174166757965</v>
      </c>
      <c r="I1023" s="3" t="str">
        <f t="shared" si="108"/>
        <v>2022-07-01</v>
      </c>
      <c r="J1023" s="9">
        <f t="shared" si="109"/>
        <v>0.134390572903242</v>
      </c>
      <c r="K1023" s="9">
        <f t="shared" si="110"/>
        <v>0.114457917986552</v>
      </c>
      <c r="L1023" s="9">
        <f t="shared" si="111"/>
        <v>0.100190366081559</v>
      </c>
    </row>
    <row r="1024" s="3" customFormat="1" ht="13.5" customHeight="1" spans="1:12">
      <c r="A1024" s="4">
        <v>44747</v>
      </c>
      <c r="B1024" s="8">
        <v>0.088233617823592</v>
      </c>
      <c r="C1024" s="8">
        <v>0.0344263949122955</v>
      </c>
      <c r="D1024" s="8">
        <v>0.0954001365231526</v>
      </c>
      <c r="E1024" s="8">
        <v>1</v>
      </c>
      <c r="F1024" s="9">
        <f t="shared" si="105"/>
        <v>0.135203888513524</v>
      </c>
      <c r="G1024" s="9">
        <f t="shared" si="106"/>
        <v>0.113381170189506</v>
      </c>
      <c r="H1024" s="9">
        <f t="shared" si="107"/>
        <v>0.101211350396098</v>
      </c>
      <c r="I1024" s="3" t="str">
        <f t="shared" si="108"/>
        <v>2022-07-01</v>
      </c>
      <c r="J1024" s="9">
        <f t="shared" si="109"/>
        <v>0.134390572903242</v>
      </c>
      <c r="K1024" s="9">
        <f t="shared" si="110"/>
        <v>0.114457917986552</v>
      </c>
      <c r="L1024" s="9">
        <f t="shared" si="111"/>
        <v>0.100190366081559</v>
      </c>
    </row>
    <row r="1025" s="3" customFormat="1" ht="13.5" customHeight="1" spans="1:12">
      <c r="A1025" s="4">
        <v>44746</v>
      </c>
      <c r="B1025" s="8">
        <v>0.0878100972826311</v>
      </c>
      <c r="C1025" s="8">
        <v>0.0349383679764223</v>
      </c>
      <c r="D1025" s="8">
        <v>0.0975800557104479</v>
      </c>
      <c r="E1025" s="8">
        <v>1</v>
      </c>
      <c r="F1025" s="9">
        <f t="shared" si="105"/>
        <v>0.135680020954417</v>
      </c>
      <c r="G1025" s="9">
        <f t="shared" si="106"/>
        <v>0.113477712353419</v>
      </c>
      <c r="H1025" s="9">
        <f t="shared" si="107"/>
        <v>0.10105690789093</v>
      </c>
      <c r="I1025" s="3" t="str">
        <f t="shared" si="108"/>
        <v>2022-07-01</v>
      </c>
      <c r="J1025" s="9">
        <f t="shared" si="109"/>
        <v>0.134390572903242</v>
      </c>
      <c r="K1025" s="9">
        <f t="shared" si="110"/>
        <v>0.114457917986552</v>
      </c>
      <c r="L1025" s="9">
        <f t="shared" si="111"/>
        <v>0.100190366081559</v>
      </c>
    </row>
    <row r="1026" s="3" customFormat="1" ht="13.5" customHeight="1" spans="1:12">
      <c r="A1026" s="4">
        <v>44743</v>
      </c>
      <c r="B1026" s="8">
        <v>0.0856327569494162</v>
      </c>
      <c r="C1026" s="8">
        <v>0.0400302610462408</v>
      </c>
      <c r="D1026" s="8">
        <v>0.0883246836590863</v>
      </c>
      <c r="E1026" s="8">
        <v>1.17</v>
      </c>
      <c r="F1026" s="9">
        <f t="shared" si="105"/>
        <v>0.134347667525616</v>
      </c>
      <c r="G1026" s="9">
        <f t="shared" si="106"/>
        <v>0.114018722785517</v>
      </c>
      <c r="H1026" s="9">
        <f t="shared" si="107"/>
        <v>0.100630224178425</v>
      </c>
      <c r="I1026" s="3" t="str">
        <f t="shared" si="108"/>
        <v>2022-07-01</v>
      </c>
      <c r="J1026" s="9">
        <f t="shared" si="109"/>
        <v>0.134390572903242</v>
      </c>
      <c r="K1026" s="9">
        <f t="shared" si="110"/>
        <v>0.114457917986552</v>
      </c>
      <c r="L1026" s="9">
        <f t="shared" si="111"/>
        <v>0.100190366081559</v>
      </c>
    </row>
    <row r="1027" s="3" customFormat="1" ht="13.5" customHeight="1" spans="1:12">
      <c r="A1027" s="4">
        <v>44742</v>
      </c>
      <c r="B1027" s="8">
        <v>0.081758622230474</v>
      </c>
      <c r="C1027" s="8">
        <v>0.0424040203899485</v>
      </c>
      <c r="D1027" s="8">
        <v>0.0975956842695272</v>
      </c>
      <c r="E1027" s="8">
        <v>1.37</v>
      </c>
      <c r="F1027" s="9">
        <f t="shared" si="105"/>
        <v>0.134085850566295</v>
      </c>
      <c r="G1027" s="9">
        <f t="shared" si="106"/>
        <v>0.116583611827552</v>
      </c>
      <c r="H1027" s="9">
        <f t="shared" si="107"/>
        <v>0.100859637691043</v>
      </c>
      <c r="I1027" s="3" t="str">
        <f t="shared" si="108"/>
        <v>2022-06-01</v>
      </c>
      <c r="J1027" s="9">
        <f t="shared" si="109"/>
        <v>0.134277012054618</v>
      </c>
      <c r="K1027" s="9">
        <f t="shared" si="110"/>
        <v>0.118390027338824</v>
      </c>
      <c r="L1027" s="9">
        <f t="shared" si="111"/>
        <v>0.102402944976986</v>
      </c>
    </row>
    <row r="1028" s="3" customFormat="1" ht="13.5" customHeight="1" spans="1:12">
      <c r="A1028" s="4">
        <v>44741</v>
      </c>
      <c r="B1028" s="8">
        <v>0.0827228481987815</v>
      </c>
      <c r="C1028" s="8">
        <v>0.0415281141390754</v>
      </c>
      <c r="D1028" s="8">
        <v>0.0981935476407591</v>
      </c>
      <c r="E1028" s="8">
        <v>1.33</v>
      </c>
      <c r="F1028" s="9">
        <f t="shared" si="105"/>
        <v>0.134641473414401</v>
      </c>
      <c r="G1028" s="9">
        <f t="shared" si="106"/>
        <v>0.116735238236657</v>
      </c>
      <c r="H1028" s="9">
        <f t="shared" si="107"/>
        <v>0.101242444650127</v>
      </c>
      <c r="I1028" s="3" t="str">
        <f t="shared" si="108"/>
        <v>2022-06-01</v>
      </c>
      <c r="J1028" s="9">
        <f t="shared" si="109"/>
        <v>0.134277012054618</v>
      </c>
      <c r="K1028" s="9">
        <f t="shared" si="110"/>
        <v>0.118390027338824</v>
      </c>
      <c r="L1028" s="9">
        <f t="shared" si="111"/>
        <v>0.102402944976986</v>
      </c>
    </row>
    <row r="1029" s="3" customFormat="1" ht="13.5" customHeight="1" spans="1:12">
      <c r="A1029" s="4">
        <v>44740</v>
      </c>
      <c r="B1029" s="8">
        <v>0.0748020453347862</v>
      </c>
      <c r="C1029" s="8">
        <v>0.048123301502512</v>
      </c>
      <c r="D1029" s="8">
        <v>0.115681996462095</v>
      </c>
      <c r="E1029" s="8">
        <v>1.58</v>
      </c>
      <c r="F1029" s="9">
        <f t="shared" ref="F1029:F1092" si="112">B1029+(C1029+D1029)*(E1029/$F$3)*(1-EXP(-$F$3/E1029))-D1029*EXP(-$F$3/E1029)</f>
        <v>0.134741626990013</v>
      </c>
      <c r="G1029" s="9">
        <f t="shared" ref="G1029:G1092" si="113">B1029+(C1029+D1029)*(E1029/$G$3)*(1-EXP(-$G$3/E1029))-D1029*EXP(-$G$3/E1029)</f>
        <v>0.119492862544255</v>
      </c>
      <c r="H1029" s="9">
        <f t="shared" ref="H1029:H1092" si="114">B1029+(C1029+D1029)*(E1029/$H$3)*(1-EXP(-$H$3/E1029))-D1029*EXP(-$H$3/E1029)</f>
        <v>0.10043078832071</v>
      </c>
      <c r="I1029" s="3" t="str">
        <f t="shared" ref="I1029:I1092" si="115">TEXT(A1029,"yyyy-mm-01")</f>
        <v>2022-06-01</v>
      </c>
      <c r="J1029" s="9">
        <f t="shared" ref="J1029:J1092" si="116">AVERAGEIF($I:$I,I1029,$F:$F)</f>
        <v>0.134277012054618</v>
      </c>
      <c r="K1029" s="9">
        <f t="shared" ref="K1029:K1092" si="117">AVERAGEIF($I:$I,I1029,$G:$G)</f>
        <v>0.118390027338824</v>
      </c>
      <c r="L1029" s="9">
        <f t="shared" ref="L1029:L1092" si="118">AVERAGEIF($I:$I,I1029,$H:$H)</f>
        <v>0.102402944976986</v>
      </c>
    </row>
    <row r="1030" s="3" customFormat="1" ht="13.5" customHeight="1" spans="1:12">
      <c r="A1030" s="4">
        <v>44739</v>
      </c>
      <c r="B1030" s="8">
        <v>0.0770864829188896</v>
      </c>
      <c r="C1030" s="8">
        <v>0.0457504270401728</v>
      </c>
      <c r="D1030" s="8">
        <v>0.112123267113451</v>
      </c>
      <c r="E1030" s="8">
        <v>1.51</v>
      </c>
      <c r="F1030" s="9">
        <f t="shared" si="112"/>
        <v>0.134720341816167</v>
      </c>
      <c r="G1030" s="9">
        <f t="shared" si="113"/>
        <v>0.118936350834118</v>
      </c>
      <c r="H1030" s="9">
        <f t="shared" si="114"/>
        <v>0.100744570206423</v>
      </c>
      <c r="I1030" s="3" t="str">
        <f t="shared" si="115"/>
        <v>2022-06-01</v>
      </c>
      <c r="J1030" s="9">
        <f t="shared" si="116"/>
        <v>0.134277012054618</v>
      </c>
      <c r="K1030" s="9">
        <f t="shared" si="117"/>
        <v>0.118390027338824</v>
      </c>
      <c r="L1030" s="9">
        <f t="shared" si="118"/>
        <v>0.102402944976986</v>
      </c>
    </row>
    <row r="1031" s="3" customFormat="1" ht="13.5" customHeight="1" spans="1:12">
      <c r="A1031" s="4">
        <v>44736</v>
      </c>
      <c r="B1031" s="8">
        <v>0.0910350314944268</v>
      </c>
      <c r="C1031" s="8">
        <v>0.0319787444007174</v>
      </c>
      <c r="D1031" s="8">
        <v>0.0888034775671302</v>
      </c>
      <c r="E1031" s="8">
        <v>1</v>
      </c>
      <c r="F1031" s="9">
        <f t="shared" si="112"/>
        <v>0.134714983439821</v>
      </c>
      <c r="G1031" s="9">
        <f t="shared" si="113"/>
        <v>0.114430357920804</v>
      </c>
      <c r="H1031" s="9">
        <f t="shared" si="114"/>
        <v>0.103108673669128</v>
      </c>
      <c r="I1031" s="3" t="str">
        <f t="shared" si="115"/>
        <v>2022-06-01</v>
      </c>
      <c r="J1031" s="9">
        <f t="shared" si="116"/>
        <v>0.134277012054618</v>
      </c>
      <c r="K1031" s="9">
        <f t="shared" si="117"/>
        <v>0.118390027338824</v>
      </c>
      <c r="L1031" s="9">
        <f t="shared" si="118"/>
        <v>0.102402944976986</v>
      </c>
    </row>
    <row r="1032" s="3" customFormat="1" ht="13.5" customHeight="1" spans="1:12">
      <c r="A1032" s="4">
        <v>44735</v>
      </c>
      <c r="B1032" s="8">
        <v>0.090263981735801</v>
      </c>
      <c r="C1032" s="8">
        <v>0.0326613651014973</v>
      </c>
      <c r="D1032" s="8">
        <v>0.0919856537585723</v>
      </c>
      <c r="E1032" s="8">
        <v>1</v>
      </c>
      <c r="F1032" s="9">
        <f t="shared" si="112"/>
        <v>0.135216294053449</v>
      </c>
      <c r="G1032" s="9">
        <f t="shared" si="113"/>
        <v>0.114405618046779</v>
      </c>
      <c r="H1032" s="9">
        <f t="shared" si="114"/>
        <v>0.102723941582998</v>
      </c>
      <c r="I1032" s="3" t="str">
        <f t="shared" si="115"/>
        <v>2022-06-01</v>
      </c>
      <c r="J1032" s="9">
        <f t="shared" si="116"/>
        <v>0.134277012054618</v>
      </c>
      <c r="K1032" s="9">
        <f t="shared" si="117"/>
        <v>0.118390027338824</v>
      </c>
      <c r="L1032" s="9">
        <f t="shared" si="118"/>
        <v>0.102402944976986</v>
      </c>
    </row>
    <row r="1033" s="3" customFormat="1" ht="13.5" customHeight="1" spans="1:12">
      <c r="A1033" s="4">
        <v>44734</v>
      </c>
      <c r="B1033" s="8">
        <v>0.0932268983406377</v>
      </c>
      <c r="C1033" s="8">
        <v>0.0299637122145606</v>
      </c>
      <c r="D1033" s="8">
        <v>0.0872619458031992</v>
      </c>
      <c r="E1033" s="8">
        <v>1</v>
      </c>
      <c r="F1033" s="9">
        <f t="shared" si="112"/>
        <v>0.135225770938256</v>
      </c>
      <c r="G1033" s="9">
        <f t="shared" si="113"/>
        <v>0.115926091524199</v>
      </c>
      <c r="H1033" s="9">
        <f t="shared" si="114"/>
        <v>0.104944970252539</v>
      </c>
      <c r="I1033" s="3" t="str">
        <f t="shared" si="115"/>
        <v>2022-06-01</v>
      </c>
      <c r="J1033" s="9">
        <f t="shared" si="116"/>
        <v>0.134277012054618</v>
      </c>
      <c r="K1033" s="9">
        <f t="shared" si="117"/>
        <v>0.118390027338824</v>
      </c>
      <c r="L1033" s="9">
        <f t="shared" si="118"/>
        <v>0.102402944976986</v>
      </c>
    </row>
    <row r="1034" s="3" customFormat="1" ht="13.5" customHeight="1" spans="1:12">
      <c r="A1034" s="4">
        <v>44733</v>
      </c>
      <c r="B1034" s="8">
        <v>0.0799263000695182</v>
      </c>
      <c r="C1034" s="8">
        <v>0.0460012565282725</v>
      </c>
      <c r="D1034" s="8">
        <v>0.0952022010142353</v>
      </c>
      <c r="E1034" s="8">
        <v>1.71</v>
      </c>
      <c r="F1034" s="9">
        <f t="shared" si="112"/>
        <v>0.133790497401829</v>
      </c>
      <c r="G1034" s="9">
        <f t="shared" si="113"/>
        <v>0.120509448153083</v>
      </c>
      <c r="H1034" s="9">
        <f t="shared" si="114"/>
        <v>0.103727676906054</v>
      </c>
      <c r="I1034" s="3" t="str">
        <f t="shared" si="115"/>
        <v>2022-06-01</v>
      </c>
      <c r="J1034" s="9">
        <f t="shared" si="116"/>
        <v>0.134277012054618</v>
      </c>
      <c r="K1034" s="9">
        <f t="shared" si="117"/>
        <v>0.118390027338824</v>
      </c>
      <c r="L1034" s="9">
        <f t="shared" si="118"/>
        <v>0.102402944976986</v>
      </c>
    </row>
    <row r="1035" s="3" customFormat="1" ht="13.5" customHeight="1" spans="1:12">
      <c r="A1035" s="4">
        <v>44732</v>
      </c>
      <c r="B1035" s="8">
        <v>0.0746122421985383</v>
      </c>
      <c r="C1035" s="8">
        <v>0.0482246677605241</v>
      </c>
      <c r="D1035" s="8">
        <v>0.114534311535247</v>
      </c>
      <c r="E1035" s="8">
        <v>1.84</v>
      </c>
      <c r="F1035" s="9">
        <f t="shared" si="112"/>
        <v>0.133662396142402</v>
      </c>
      <c r="G1035" s="9">
        <f t="shared" si="113"/>
        <v>0.122987024095504</v>
      </c>
      <c r="H1035" s="9">
        <f t="shared" si="114"/>
        <v>0.103929637591379</v>
      </c>
      <c r="I1035" s="3" t="str">
        <f t="shared" si="115"/>
        <v>2022-06-01</v>
      </c>
      <c r="J1035" s="9">
        <f t="shared" si="116"/>
        <v>0.134277012054618</v>
      </c>
      <c r="K1035" s="9">
        <f t="shared" si="117"/>
        <v>0.118390027338824</v>
      </c>
      <c r="L1035" s="9">
        <f t="shared" si="118"/>
        <v>0.102402944976986</v>
      </c>
    </row>
    <row r="1036" s="3" customFormat="1" ht="13.5" customHeight="1" spans="1:12">
      <c r="A1036" s="4">
        <v>44729</v>
      </c>
      <c r="B1036" s="8">
        <v>0.0734728264223078</v>
      </c>
      <c r="C1036" s="8">
        <v>0.0497177841328906</v>
      </c>
      <c r="D1036" s="8">
        <v>0.114836198757788</v>
      </c>
      <c r="E1036" s="8">
        <v>1.89</v>
      </c>
      <c r="F1036" s="9">
        <f t="shared" si="112"/>
        <v>0.133600857810027</v>
      </c>
      <c r="G1036" s="9">
        <f t="shared" si="113"/>
        <v>0.12310993121385</v>
      </c>
      <c r="H1036" s="9">
        <f t="shared" si="114"/>
        <v>0.103838489618332</v>
      </c>
      <c r="I1036" s="3" t="str">
        <f t="shared" si="115"/>
        <v>2022-06-01</v>
      </c>
      <c r="J1036" s="9">
        <f t="shared" si="116"/>
        <v>0.134277012054618</v>
      </c>
      <c r="K1036" s="9">
        <f t="shared" si="117"/>
        <v>0.118390027338824</v>
      </c>
      <c r="L1036" s="9">
        <f t="shared" si="118"/>
        <v>0.102402944976986</v>
      </c>
    </row>
    <row r="1037" s="3" customFormat="1" ht="13.5" customHeight="1" spans="1:12">
      <c r="A1037" s="4">
        <v>44728</v>
      </c>
      <c r="B1037" s="8">
        <v>0.0748160210143345</v>
      </c>
      <c r="C1037" s="8">
        <v>0.0491699587666568</v>
      </c>
      <c r="D1037" s="8">
        <v>0.110057274841862</v>
      </c>
      <c r="E1037" s="8">
        <v>1.9</v>
      </c>
      <c r="F1037" s="9">
        <f t="shared" si="112"/>
        <v>0.133599450141139</v>
      </c>
      <c r="G1037" s="9">
        <f t="shared" si="113"/>
        <v>0.123047802286483</v>
      </c>
      <c r="H1037" s="9">
        <f t="shared" si="114"/>
        <v>0.104342538194999</v>
      </c>
      <c r="I1037" s="3" t="str">
        <f t="shared" si="115"/>
        <v>2022-06-01</v>
      </c>
      <c r="J1037" s="9">
        <f t="shared" si="116"/>
        <v>0.134277012054618</v>
      </c>
      <c r="K1037" s="9">
        <f t="shared" si="117"/>
        <v>0.118390027338824</v>
      </c>
      <c r="L1037" s="9">
        <f t="shared" si="118"/>
        <v>0.102402944976986</v>
      </c>
    </row>
    <row r="1038" s="3" customFormat="1" ht="13.5" customHeight="1" spans="1:12">
      <c r="A1038" s="4">
        <v>44727</v>
      </c>
      <c r="B1038" s="8">
        <v>0.075093389385618</v>
      </c>
      <c r="C1038" s="8">
        <v>0.049334188989434</v>
      </c>
      <c r="D1038" s="8">
        <v>0.107557187094683</v>
      </c>
      <c r="E1038" s="8">
        <v>1.83</v>
      </c>
      <c r="F1038" s="9">
        <f t="shared" si="112"/>
        <v>0.133690523726584</v>
      </c>
      <c r="G1038" s="9">
        <f t="shared" si="113"/>
        <v>0.121779871513152</v>
      </c>
      <c r="H1038" s="9">
        <f t="shared" si="114"/>
        <v>0.103227477776632</v>
      </c>
      <c r="I1038" s="3" t="str">
        <f t="shared" si="115"/>
        <v>2022-06-01</v>
      </c>
      <c r="J1038" s="9">
        <f t="shared" si="116"/>
        <v>0.134277012054618</v>
      </c>
      <c r="K1038" s="9">
        <f t="shared" si="117"/>
        <v>0.118390027338824</v>
      </c>
      <c r="L1038" s="9">
        <f t="shared" si="118"/>
        <v>0.102402944976986</v>
      </c>
    </row>
    <row r="1039" s="3" customFormat="1" ht="13.5" customHeight="1" spans="1:12">
      <c r="A1039" s="4">
        <v>44726</v>
      </c>
      <c r="B1039" s="8">
        <v>0.0729857388952666</v>
      </c>
      <c r="C1039" s="8">
        <v>0.052147991861499</v>
      </c>
      <c r="D1039" s="8">
        <v>0.107702629466614</v>
      </c>
      <c r="E1039" s="8">
        <v>1.93</v>
      </c>
      <c r="F1039" s="9">
        <f t="shared" si="112"/>
        <v>0.133587475607617</v>
      </c>
      <c r="G1039" s="9">
        <f t="shared" si="113"/>
        <v>0.121987868567849</v>
      </c>
      <c r="H1039" s="9">
        <f t="shared" si="114"/>
        <v>0.103058176915745</v>
      </c>
      <c r="I1039" s="3" t="str">
        <f t="shared" si="115"/>
        <v>2022-06-01</v>
      </c>
      <c r="J1039" s="9">
        <f t="shared" si="116"/>
        <v>0.134277012054618</v>
      </c>
      <c r="K1039" s="9">
        <f t="shared" si="117"/>
        <v>0.118390027338824</v>
      </c>
      <c r="L1039" s="9">
        <f t="shared" si="118"/>
        <v>0.102402944976986</v>
      </c>
    </row>
    <row r="1040" s="3" customFormat="1" ht="13.5" customHeight="1" spans="1:12">
      <c r="A1040" s="4">
        <v>44725</v>
      </c>
      <c r="B1040" s="8">
        <v>0.0719585196480615</v>
      </c>
      <c r="C1040" s="8">
        <v>0.0539690369497292</v>
      </c>
      <c r="D1040" s="8">
        <v>0.107105650199928</v>
      </c>
      <c r="E1040" s="8">
        <v>2</v>
      </c>
      <c r="F1040" s="9">
        <f t="shared" si="112"/>
        <v>0.133751560752888</v>
      </c>
      <c r="G1040" s="9">
        <f t="shared" si="113"/>
        <v>0.122307901169442</v>
      </c>
      <c r="H1040" s="9">
        <f t="shared" si="114"/>
        <v>0.103234722342662</v>
      </c>
      <c r="I1040" s="3" t="str">
        <f t="shared" si="115"/>
        <v>2022-06-01</v>
      </c>
      <c r="J1040" s="9">
        <f t="shared" si="116"/>
        <v>0.134277012054618</v>
      </c>
      <c r="K1040" s="9">
        <f t="shared" si="117"/>
        <v>0.118390027338824</v>
      </c>
      <c r="L1040" s="9">
        <f t="shared" si="118"/>
        <v>0.102402944976986</v>
      </c>
    </row>
    <row r="1041" s="3" customFormat="1" ht="13.5" customHeight="1" spans="1:12">
      <c r="A1041" s="4">
        <v>44722</v>
      </c>
      <c r="B1041" s="8">
        <v>0.0739368604050658</v>
      </c>
      <c r="C1041" s="8">
        <v>0.05392851059283</v>
      </c>
      <c r="D1041" s="8">
        <v>0.0988568850635619</v>
      </c>
      <c r="E1041" s="8">
        <v>2</v>
      </c>
      <c r="F1041" s="9">
        <f t="shared" si="112"/>
        <v>0.134209866359257</v>
      </c>
      <c r="G1041" s="9">
        <f t="shared" si="113"/>
        <v>0.121919795796334</v>
      </c>
      <c r="H1041" s="9">
        <f t="shared" si="114"/>
        <v>0.103621955104658</v>
      </c>
      <c r="I1041" s="3" t="str">
        <f t="shared" si="115"/>
        <v>2022-06-01</v>
      </c>
      <c r="J1041" s="9">
        <f t="shared" si="116"/>
        <v>0.134277012054618</v>
      </c>
      <c r="K1041" s="9">
        <f t="shared" si="117"/>
        <v>0.118390027338824</v>
      </c>
      <c r="L1041" s="9">
        <f t="shared" si="118"/>
        <v>0.102402944976986</v>
      </c>
    </row>
    <row r="1042" s="3" customFormat="1" ht="13.5" customHeight="1" spans="1:12">
      <c r="A1042" s="4">
        <v>44721</v>
      </c>
      <c r="B1042" s="8">
        <v>0.0769075359794479</v>
      </c>
      <c r="C1042" s="8">
        <v>0.051309761821306</v>
      </c>
      <c r="D1042" s="8">
        <v>0.0893142018846838</v>
      </c>
      <c r="E1042" s="8">
        <v>1.87</v>
      </c>
      <c r="F1042" s="9">
        <f t="shared" si="112"/>
        <v>0.133504521486636</v>
      </c>
      <c r="G1042" s="9">
        <f t="shared" si="113"/>
        <v>0.119710725687873</v>
      </c>
      <c r="H1042" s="9">
        <f t="shared" si="114"/>
        <v>0.102653956698034</v>
      </c>
      <c r="I1042" s="3" t="str">
        <f t="shared" si="115"/>
        <v>2022-06-01</v>
      </c>
      <c r="J1042" s="9">
        <f t="shared" si="116"/>
        <v>0.134277012054618</v>
      </c>
      <c r="K1042" s="9">
        <f t="shared" si="117"/>
        <v>0.118390027338824</v>
      </c>
      <c r="L1042" s="9">
        <f t="shared" si="118"/>
        <v>0.102402944976986</v>
      </c>
    </row>
    <row r="1043" s="3" customFormat="1" ht="13.5" customHeight="1" spans="1:12">
      <c r="A1043" s="4">
        <v>44720</v>
      </c>
      <c r="B1043" s="8">
        <v>0.0878668394991526</v>
      </c>
      <c r="C1043" s="8">
        <v>0.0427227302044493</v>
      </c>
      <c r="D1043" s="8">
        <v>0.0690411806424409</v>
      </c>
      <c r="E1043" s="8">
        <v>1.47</v>
      </c>
      <c r="F1043" s="9">
        <f t="shared" si="112"/>
        <v>0.133980915388332</v>
      </c>
      <c r="G1043" s="9">
        <f t="shared" si="113"/>
        <v>0.117329324436112</v>
      </c>
      <c r="H1043" s="9">
        <f t="shared" si="114"/>
        <v>0.104201198183729</v>
      </c>
      <c r="I1043" s="3" t="str">
        <f t="shared" si="115"/>
        <v>2022-06-01</v>
      </c>
      <c r="J1043" s="9">
        <f t="shared" si="116"/>
        <v>0.134277012054618</v>
      </c>
      <c r="K1043" s="9">
        <f t="shared" si="117"/>
        <v>0.118390027338824</v>
      </c>
      <c r="L1043" s="9">
        <f t="shared" si="118"/>
        <v>0.102402944976986</v>
      </c>
    </row>
    <row r="1044" s="3" customFormat="1" ht="13.5" customHeight="1" spans="1:12">
      <c r="A1044" s="4">
        <v>44719</v>
      </c>
      <c r="B1044" s="8">
        <v>0.0802279845407455</v>
      </c>
      <c r="C1044" s="8">
        <v>0.0530783827674797</v>
      </c>
      <c r="D1044" s="8">
        <v>0.0650453824053944</v>
      </c>
      <c r="E1044" s="8">
        <v>2</v>
      </c>
      <c r="F1044" s="9">
        <f t="shared" si="112"/>
        <v>0.133732125748802</v>
      </c>
      <c r="G1044" s="9">
        <f t="shared" si="113"/>
        <v>0.118259764843991</v>
      </c>
      <c r="H1044" s="9">
        <f t="shared" si="114"/>
        <v>0.103255282902324</v>
      </c>
      <c r="I1044" s="3" t="str">
        <f t="shared" si="115"/>
        <v>2022-06-01</v>
      </c>
      <c r="J1044" s="9">
        <f t="shared" si="116"/>
        <v>0.134277012054618</v>
      </c>
      <c r="K1044" s="9">
        <f t="shared" si="117"/>
        <v>0.118390027338824</v>
      </c>
      <c r="L1044" s="9">
        <f t="shared" si="118"/>
        <v>0.102402944976986</v>
      </c>
    </row>
    <row r="1045" s="3" customFormat="1" ht="13.5" customHeight="1" spans="1:12">
      <c r="A1045" s="4">
        <v>44718</v>
      </c>
      <c r="B1045" s="8">
        <v>0.0794508775932821</v>
      </c>
      <c r="C1045" s="8">
        <v>0.0566522053990582</v>
      </c>
      <c r="D1045" s="8">
        <v>0.0574635539742772</v>
      </c>
      <c r="E1045" s="8">
        <v>2</v>
      </c>
      <c r="F1045" s="9">
        <f t="shared" si="112"/>
        <v>0.134399575405868</v>
      </c>
      <c r="G1045" s="9">
        <f t="shared" si="113"/>
        <v>0.116633408813263</v>
      </c>
      <c r="H1045" s="9">
        <f t="shared" si="114"/>
        <v>0.101733061899208</v>
      </c>
      <c r="I1045" s="3" t="str">
        <f t="shared" si="115"/>
        <v>2022-06-01</v>
      </c>
      <c r="J1045" s="9">
        <f t="shared" si="116"/>
        <v>0.134277012054618</v>
      </c>
      <c r="K1045" s="9">
        <f t="shared" si="117"/>
        <v>0.118390027338824</v>
      </c>
      <c r="L1045" s="9">
        <f t="shared" si="118"/>
        <v>0.102402944976986</v>
      </c>
    </row>
    <row r="1046" s="3" customFormat="1" ht="13.5" customHeight="1" spans="1:12">
      <c r="A1046" s="4">
        <v>44715</v>
      </c>
      <c r="B1046" s="8">
        <v>0.0808191601903031</v>
      </c>
      <c r="C1046" s="8">
        <v>0.05502206272111</v>
      </c>
      <c r="D1046" s="8">
        <v>0.0661958442041144</v>
      </c>
      <c r="E1046" s="8">
        <v>1.52</v>
      </c>
      <c r="F1046" s="9">
        <f t="shared" si="112"/>
        <v>0.135353679596469</v>
      </c>
      <c r="G1046" s="9">
        <f t="shared" si="113"/>
        <v>0.113828519469492</v>
      </c>
      <c r="H1046" s="9">
        <f t="shared" si="114"/>
        <v>0.0991267172075187</v>
      </c>
      <c r="I1046" s="3" t="str">
        <f t="shared" si="115"/>
        <v>2022-06-01</v>
      </c>
      <c r="J1046" s="9">
        <f t="shared" si="116"/>
        <v>0.134277012054618</v>
      </c>
      <c r="K1046" s="9">
        <f t="shared" si="117"/>
        <v>0.118390027338824</v>
      </c>
      <c r="L1046" s="9">
        <f t="shared" si="118"/>
        <v>0.102402944976986</v>
      </c>
    </row>
    <row r="1047" s="3" customFormat="1" ht="13.5" customHeight="1" spans="1:12">
      <c r="A1047" s="4">
        <v>44714</v>
      </c>
      <c r="B1047" s="8">
        <v>0.0836037099711891</v>
      </c>
      <c r="C1047" s="8">
        <v>0.0551142093406337</v>
      </c>
      <c r="D1047" s="8">
        <v>0.0506559193562298</v>
      </c>
      <c r="E1047" s="8">
        <v>1.52</v>
      </c>
      <c r="F1047" s="9">
        <f t="shared" si="112"/>
        <v>0.134867931947637</v>
      </c>
      <c r="G1047" s="9">
        <f t="shared" si="113"/>
        <v>0.112671212285275</v>
      </c>
      <c r="H1047" s="9">
        <f t="shared" si="114"/>
        <v>0.0995880566742419</v>
      </c>
      <c r="I1047" s="3" t="str">
        <f t="shared" si="115"/>
        <v>2022-06-01</v>
      </c>
      <c r="J1047" s="9">
        <f t="shared" si="116"/>
        <v>0.134277012054618</v>
      </c>
      <c r="K1047" s="9">
        <f t="shared" si="117"/>
        <v>0.118390027338824</v>
      </c>
      <c r="L1047" s="9">
        <f t="shared" si="118"/>
        <v>0.102402944976986</v>
      </c>
    </row>
    <row r="1048" s="3" customFormat="1" ht="13.5" customHeight="1" spans="1:12">
      <c r="A1048" s="4">
        <v>44713</v>
      </c>
      <c r="B1048" s="8">
        <v>0.0842964713641774</v>
      </c>
      <c r="C1048" s="8">
        <v>0.0545084915130047</v>
      </c>
      <c r="D1048" s="8">
        <v>0.0520883687577965</v>
      </c>
      <c r="E1048" s="8">
        <v>1.41</v>
      </c>
      <c r="F1048" s="9">
        <f t="shared" si="112"/>
        <v>0.135016546467708</v>
      </c>
      <c r="G1048" s="9">
        <f t="shared" si="113"/>
        <v>0.111987872188063</v>
      </c>
      <c r="H1048" s="9">
        <f t="shared" si="114"/>
        <v>0.0992708151052131</v>
      </c>
      <c r="I1048" s="3" t="str">
        <f t="shared" si="115"/>
        <v>2022-06-01</v>
      </c>
      <c r="J1048" s="9">
        <f t="shared" si="116"/>
        <v>0.134277012054618</v>
      </c>
      <c r="K1048" s="9">
        <f t="shared" si="117"/>
        <v>0.118390027338824</v>
      </c>
      <c r="L1048" s="9">
        <f t="shared" si="118"/>
        <v>0.102402944976986</v>
      </c>
    </row>
    <row r="1049" s="3" customFormat="1" ht="13.5" customHeight="1" spans="1:12">
      <c r="A1049" s="4">
        <v>44712</v>
      </c>
      <c r="B1049" s="8">
        <v>0.0760972443651671</v>
      </c>
      <c r="C1049" s="8">
        <v>0.0618369417241468</v>
      </c>
      <c r="D1049" s="8">
        <v>0.0572693588955312</v>
      </c>
      <c r="E1049" s="8">
        <v>2</v>
      </c>
      <c r="F1049" s="9">
        <f t="shared" si="112"/>
        <v>0.135090977390728</v>
      </c>
      <c r="G1049" s="9">
        <f t="shared" si="113"/>
        <v>0.115128073157921</v>
      </c>
      <c r="H1049" s="9">
        <f t="shared" si="114"/>
        <v>0.0993721201960265</v>
      </c>
      <c r="I1049" s="3" t="str">
        <f t="shared" si="115"/>
        <v>2022-05-01</v>
      </c>
      <c r="J1049" s="9">
        <f t="shared" si="116"/>
        <v>0.133968120501348</v>
      </c>
      <c r="K1049" s="9">
        <f t="shared" si="117"/>
        <v>0.116017418435346</v>
      </c>
      <c r="L1049" s="9">
        <f t="shared" si="118"/>
        <v>0.0996903280892346</v>
      </c>
    </row>
    <row r="1050" s="3" customFormat="1" ht="13.5" customHeight="1" spans="1:12">
      <c r="A1050" s="4">
        <v>44711</v>
      </c>
      <c r="B1050" s="8">
        <v>0.0785084305670044</v>
      </c>
      <c r="C1050" s="8">
        <v>0.0605576175559931</v>
      </c>
      <c r="D1050" s="8">
        <v>0.0487655960115567</v>
      </c>
      <c r="E1050" s="8">
        <v>2</v>
      </c>
      <c r="F1050" s="9">
        <f t="shared" si="112"/>
        <v>0.134961266887873</v>
      </c>
      <c r="G1050" s="9">
        <f t="shared" si="113"/>
        <v>0.114645273778421</v>
      </c>
      <c r="H1050" s="9">
        <f t="shared" si="114"/>
        <v>0.0998971704754521</v>
      </c>
      <c r="I1050" s="3" t="str">
        <f t="shared" si="115"/>
        <v>2022-05-01</v>
      </c>
      <c r="J1050" s="9">
        <f t="shared" si="116"/>
        <v>0.133968120501348</v>
      </c>
      <c r="K1050" s="9">
        <f t="shared" si="117"/>
        <v>0.116017418435346</v>
      </c>
      <c r="L1050" s="9">
        <f t="shared" si="118"/>
        <v>0.0996903280892346</v>
      </c>
    </row>
    <row r="1051" s="3" customFormat="1" ht="13.5" customHeight="1" spans="1:12">
      <c r="A1051" s="4">
        <v>44708</v>
      </c>
      <c r="B1051" s="8">
        <v>0.0773275277832267</v>
      </c>
      <c r="C1051" s="8">
        <v>0.0613033403859948</v>
      </c>
      <c r="D1051" s="8">
        <v>0.0557459968869983</v>
      </c>
      <c r="E1051" s="8">
        <v>2</v>
      </c>
      <c r="F1051" s="9">
        <f t="shared" si="112"/>
        <v>0.135626522550773</v>
      </c>
      <c r="G1051" s="9">
        <f t="shared" si="113"/>
        <v>0.115728154739074</v>
      </c>
      <c r="H1051" s="9">
        <f t="shared" si="114"/>
        <v>0.100204047219225</v>
      </c>
      <c r="I1051" s="3" t="str">
        <f t="shared" si="115"/>
        <v>2022-05-01</v>
      </c>
      <c r="J1051" s="9">
        <f t="shared" si="116"/>
        <v>0.133968120501348</v>
      </c>
      <c r="K1051" s="9">
        <f t="shared" si="117"/>
        <v>0.116017418435346</v>
      </c>
      <c r="L1051" s="9">
        <f t="shared" si="118"/>
        <v>0.0996903280892346</v>
      </c>
    </row>
    <row r="1052" s="3" customFormat="1" ht="13.5" customHeight="1" spans="1:12">
      <c r="A1052" s="4">
        <v>44707</v>
      </c>
      <c r="B1052" s="8">
        <v>0.0743509267040921</v>
      </c>
      <c r="C1052" s="8">
        <v>0.06445403617309</v>
      </c>
      <c r="D1052" s="8">
        <v>0.0596237002108568</v>
      </c>
      <c r="E1052" s="8">
        <v>2</v>
      </c>
      <c r="F1052" s="9">
        <f t="shared" si="112"/>
        <v>0.135828894639376</v>
      </c>
      <c r="G1052" s="9">
        <f t="shared" si="113"/>
        <v>0.115013841579778</v>
      </c>
      <c r="H1052" s="9">
        <f t="shared" si="114"/>
        <v>0.098597526806667</v>
      </c>
      <c r="I1052" s="3" t="str">
        <f t="shared" si="115"/>
        <v>2022-05-01</v>
      </c>
      <c r="J1052" s="9">
        <f t="shared" si="116"/>
        <v>0.133968120501348</v>
      </c>
      <c r="K1052" s="9">
        <f t="shared" si="117"/>
        <v>0.116017418435346</v>
      </c>
      <c r="L1052" s="9">
        <f t="shared" si="118"/>
        <v>0.0996903280892346</v>
      </c>
    </row>
    <row r="1053" s="3" customFormat="1" ht="13.5" customHeight="1" spans="1:12">
      <c r="A1053" s="4">
        <v>44706</v>
      </c>
      <c r="B1053" s="8">
        <v>0.0769491758253294</v>
      </c>
      <c r="C1053" s="8">
        <v>0.0615075673216866</v>
      </c>
      <c r="D1053" s="8">
        <v>0.053698959190416</v>
      </c>
      <c r="E1053" s="8">
        <v>2</v>
      </c>
      <c r="F1053" s="9">
        <f t="shared" si="112"/>
        <v>0.135039582648717</v>
      </c>
      <c r="G1053" s="9">
        <f t="shared" si="113"/>
        <v>0.114841216410836</v>
      </c>
      <c r="H1053" s="9">
        <f t="shared" si="114"/>
        <v>0.0994734092929014</v>
      </c>
      <c r="I1053" s="3" t="str">
        <f t="shared" si="115"/>
        <v>2022-05-01</v>
      </c>
      <c r="J1053" s="9">
        <f t="shared" si="116"/>
        <v>0.133968120501348</v>
      </c>
      <c r="K1053" s="9">
        <f t="shared" si="117"/>
        <v>0.116017418435346</v>
      </c>
      <c r="L1053" s="9">
        <f t="shared" si="118"/>
        <v>0.0996903280892346</v>
      </c>
    </row>
    <row r="1054" s="3" customFormat="1" ht="13.5" customHeight="1" spans="1:12">
      <c r="A1054" s="4">
        <v>44705</v>
      </c>
      <c r="B1054" s="8">
        <v>0.0763626247156761</v>
      </c>
      <c r="C1054" s="8">
        <v>0.0592166695261468</v>
      </c>
      <c r="D1054" s="8">
        <v>0.0660125705606685</v>
      </c>
      <c r="E1054" s="8">
        <v>2</v>
      </c>
      <c r="F1054" s="9">
        <f t="shared" si="112"/>
        <v>0.134871709707482</v>
      </c>
      <c r="G1054" s="9">
        <f t="shared" si="113"/>
        <v>0.11692390218669</v>
      </c>
      <c r="H1054" s="9">
        <f t="shared" si="114"/>
        <v>0.10079492593484</v>
      </c>
      <c r="I1054" s="3" t="str">
        <f t="shared" si="115"/>
        <v>2022-05-01</v>
      </c>
      <c r="J1054" s="9">
        <f t="shared" si="116"/>
        <v>0.133968120501348</v>
      </c>
      <c r="K1054" s="9">
        <f t="shared" si="117"/>
        <v>0.116017418435346</v>
      </c>
      <c r="L1054" s="9">
        <f t="shared" si="118"/>
        <v>0.0996903280892346</v>
      </c>
    </row>
    <row r="1055" s="3" customFormat="1" ht="13.5" customHeight="1" spans="1:12">
      <c r="A1055" s="4">
        <v>44704</v>
      </c>
      <c r="B1055" s="8">
        <v>0.0732452049109626</v>
      </c>
      <c r="C1055" s="8">
        <v>0.059185582269527</v>
      </c>
      <c r="D1055" s="8">
        <v>0.0784858277816855</v>
      </c>
      <c r="E1055" s="8">
        <v>2</v>
      </c>
      <c r="F1055" s="9">
        <f t="shared" si="112"/>
        <v>0.133980101787009</v>
      </c>
      <c r="G1055" s="9">
        <f t="shared" si="113"/>
        <v>0.117350956864151</v>
      </c>
      <c r="H1055" s="9">
        <f t="shared" si="114"/>
        <v>0.10006512904059</v>
      </c>
      <c r="I1055" s="3" t="str">
        <f t="shared" si="115"/>
        <v>2022-05-01</v>
      </c>
      <c r="J1055" s="9">
        <f t="shared" si="116"/>
        <v>0.133968120501348</v>
      </c>
      <c r="K1055" s="9">
        <f t="shared" si="117"/>
        <v>0.116017418435346</v>
      </c>
      <c r="L1055" s="9">
        <f t="shared" si="118"/>
        <v>0.0996903280892346</v>
      </c>
    </row>
    <row r="1056" s="3" customFormat="1" ht="13.5" customHeight="1" spans="1:12">
      <c r="A1056" s="4">
        <v>44701</v>
      </c>
      <c r="B1056" s="8">
        <v>0.0740381655683378</v>
      </c>
      <c r="C1056" s="8">
        <v>0.0600555689123609</v>
      </c>
      <c r="D1056" s="8">
        <v>0.0742192336932213</v>
      </c>
      <c r="E1056" s="8">
        <v>2</v>
      </c>
      <c r="F1056" s="9">
        <f t="shared" si="112"/>
        <v>0.134687960789892</v>
      </c>
      <c r="G1056" s="9">
        <f t="shared" si="113"/>
        <v>0.117247022120154</v>
      </c>
      <c r="H1056" s="9">
        <f t="shared" si="114"/>
        <v>0.100212093525863</v>
      </c>
      <c r="I1056" s="3" t="str">
        <f t="shared" si="115"/>
        <v>2022-05-01</v>
      </c>
      <c r="J1056" s="9">
        <f t="shared" si="116"/>
        <v>0.133968120501348</v>
      </c>
      <c r="K1056" s="9">
        <f t="shared" si="117"/>
        <v>0.116017418435346</v>
      </c>
      <c r="L1056" s="9">
        <f t="shared" si="118"/>
        <v>0.0996903280892346</v>
      </c>
    </row>
    <row r="1057" s="3" customFormat="1" ht="13.5" customHeight="1" spans="1:12">
      <c r="A1057" s="4">
        <v>44700</v>
      </c>
      <c r="B1057" s="8">
        <v>0.0735695612374939</v>
      </c>
      <c r="C1057" s="8">
        <v>0.0598243219330372</v>
      </c>
      <c r="D1057" s="8">
        <v>0.0763631980415514</v>
      </c>
      <c r="E1057" s="8">
        <v>2</v>
      </c>
      <c r="F1057" s="9">
        <f t="shared" si="112"/>
        <v>0.134424167631133</v>
      </c>
      <c r="G1057" s="9">
        <f t="shared" si="113"/>
        <v>0.11730471526529</v>
      </c>
      <c r="H1057" s="9">
        <f t="shared" si="114"/>
        <v>0.100109009193022</v>
      </c>
      <c r="I1057" s="3" t="str">
        <f t="shared" si="115"/>
        <v>2022-05-01</v>
      </c>
      <c r="J1057" s="9">
        <f t="shared" si="116"/>
        <v>0.133968120501348</v>
      </c>
      <c r="K1057" s="9">
        <f t="shared" si="117"/>
        <v>0.116017418435346</v>
      </c>
      <c r="L1057" s="9">
        <f t="shared" si="118"/>
        <v>0.0996903280892346</v>
      </c>
    </row>
    <row r="1058" s="3" customFormat="1" ht="13.5" customHeight="1" spans="1:12">
      <c r="A1058" s="4">
        <v>44699</v>
      </c>
      <c r="B1058" s="8">
        <v>0.0744832543084131</v>
      </c>
      <c r="C1058" s="8">
        <v>0.0575094551500838</v>
      </c>
      <c r="D1058" s="8">
        <v>0.0739920460448584</v>
      </c>
      <c r="E1058" s="8">
        <v>2</v>
      </c>
      <c r="F1058" s="9">
        <f t="shared" si="112"/>
        <v>0.133088427651282</v>
      </c>
      <c r="G1058" s="9">
        <f t="shared" si="113"/>
        <v>0.116692497570767</v>
      </c>
      <c r="H1058" s="9">
        <f t="shared" si="114"/>
        <v>0.100107790033727</v>
      </c>
      <c r="I1058" s="3" t="str">
        <f t="shared" si="115"/>
        <v>2022-05-01</v>
      </c>
      <c r="J1058" s="9">
        <f t="shared" si="116"/>
        <v>0.133968120501348</v>
      </c>
      <c r="K1058" s="9">
        <f t="shared" si="117"/>
        <v>0.116017418435346</v>
      </c>
      <c r="L1058" s="9">
        <f t="shared" si="118"/>
        <v>0.0996903280892346</v>
      </c>
    </row>
    <row r="1059" s="3" customFormat="1" ht="13.5" customHeight="1" spans="1:12">
      <c r="A1059" s="4">
        <v>44698</v>
      </c>
      <c r="B1059" s="8">
        <v>0.0702366087470548</v>
      </c>
      <c r="C1059" s="8">
        <v>0.0591235965586523</v>
      </c>
      <c r="D1059" s="8">
        <v>0.0896404054792607</v>
      </c>
      <c r="E1059" s="8">
        <v>2</v>
      </c>
      <c r="F1059" s="9">
        <f t="shared" si="112"/>
        <v>0.132935101955543</v>
      </c>
      <c r="G1059" s="9">
        <f t="shared" si="113"/>
        <v>0.117499559840782</v>
      </c>
      <c r="H1059" s="9">
        <f t="shared" si="114"/>
        <v>0.099184944061321</v>
      </c>
      <c r="I1059" s="3" t="str">
        <f t="shared" si="115"/>
        <v>2022-05-01</v>
      </c>
      <c r="J1059" s="9">
        <f t="shared" si="116"/>
        <v>0.133968120501348</v>
      </c>
      <c r="K1059" s="9">
        <f t="shared" si="117"/>
        <v>0.116017418435346</v>
      </c>
      <c r="L1059" s="9">
        <f t="shared" si="118"/>
        <v>0.0996903280892346</v>
      </c>
    </row>
    <row r="1060" s="3" customFormat="1" ht="13.5" customHeight="1" spans="1:12">
      <c r="A1060" s="4">
        <v>44697</v>
      </c>
      <c r="B1060" s="8">
        <v>0.0698652493562856</v>
      </c>
      <c r="C1060" s="8">
        <v>0.0568555034228711</v>
      </c>
      <c r="D1060" s="8">
        <v>0.104766532000287</v>
      </c>
      <c r="E1060" s="8">
        <v>1.8</v>
      </c>
      <c r="F1060" s="9">
        <f t="shared" si="112"/>
        <v>0.133758604760958</v>
      </c>
      <c r="G1060" s="9">
        <f t="shared" si="113"/>
        <v>0.117917488622516</v>
      </c>
      <c r="H1060" s="9">
        <f t="shared" si="114"/>
        <v>0.0984397294677409</v>
      </c>
      <c r="I1060" s="3" t="str">
        <f t="shared" si="115"/>
        <v>2022-05-01</v>
      </c>
      <c r="J1060" s="9">
        <f t="shared" si="116"/>
        <v>0.133968120501348</v>
      </c>
      <c r="K1060" s="9">
        <f t="shared" si="117"/>
        <v>0.116017418435346</v>
      </c>
      <c r="L1060" s="9">
        <f t="shared" si="118"/>
        <v>0.0996903280892346</v>
      </c>
    </row>
    <row r="1061" s="3" customFormat="1" ht="13.5" customHeight="1" spans="1:12">
      <c r="A1061" s="4">
        <v>44694</v>
      </c>
      <c r="B1061" s="8">
        <v>0.068212767497474</v>
      </c>
      <c r="C1061" s="8">
        <v>0.0593885770962476</v>
      </c>
      <c r="D1061" s="8">
        <v>0.104165392863917</v>
      </c>
      <c r="E1061" s="8">
        <v>1.88</v>
      </c>
      <c r="F1061" s="9">
        <f t="shared" si="112"/>
        <v>0.133860375369559</v>
      </c>
      <c r="G1061" s="9">
        <f t="shared" si="113"/>
        <v>0.118116387883112</v>
      </c>
      <c r="H1061" s="9">
        <f t="shared" si="114"/>
        <v>0.0983002531031267</v>
      </c>
      <c r="I1061" s="3" t="str">
        <f t="shared" si="115"/>
        <v>2022-05-01</v>
      </c>
      <c r="J1061" s="9">
        <f t="shared" si="116"/>
        <v>0.133968120501348</v>
      </c>
      <c r="K1061" s="9">
        <f t="shared" si="117"/>
        <v>0.116017418435346</v>
      </c>
      <c r="L1061" s="9">
        <f t="shared" si="118"/>
        <v>0.0996903280892346</v>
      </c>
    </row>
    <row r="1062" s="3" customFormat="1" ht="13.5" customHeight="1" spans="1:12">
      <c r="A1062" s="4">
        <v>44693</v>
      </c>
      <c r="B1062" s="8">
        <v>0.0701958480142373</v>
      </c>
      <c r="C1062" s="8">
        <v>0.0620597311062334</v>
      </c>
      <c r="D1062" s="8">
        <v>0.0861732701656435</v>
      </c>
      <c r="E1062" s="8">
        <v>2</v>
      </c>
      <c r="F1062" s="9">
        <f t="shared" si="112"/>
        <v>0.134579400049598</v>
      </c>
      <c r="G1062" s="9">
        <f t="shared" si="113"/>
        <v>0.117548433477857</v>
      </c>
      <c r="H1062" s="9">
        <f t="shared" si="114"/>
        <v>0.0990620601202816</v>
      </c>
      <c r="I1062" s="3" t="str">
        <f t="shared" si="115"/>
        <v>2022-05-01</v>
      </c>
      <c r="J1062" s="9">
        <f t="shared" si="116"/>
        <v>0.133968120501348</v>
      </c>
      <c r="K1062" s="9">
        <f t="shared" si="117"/>
        <v>0.116017418435346</v>
      </c>
      <c r="L1062" s="9">
        <f t="shared" si="118"/>
        <v>0.0996903280892346</v>
      </c>
    </row>
    <row r="1063" s="3" customFormat="1" ht="12.95" customHeight="1" spans="1:12">
      <c r="A1063" s="4">
        <v>44692</v>
      </c>
      <c r="B1063" s="8">
        <v>0.0774339118169878</v>
      </c>
      <c r="C1063" s="8">
        <v>0.0574465703768304</v>
      </c>
      <c r="D1063" s="8">
        <v>0.0633792848849902</v>
      </c>
      <c r="E1063" s="8">
        <v>2</v>
      </c>
      <c r="F1063" s="9">
        <f t="shared" si="112"/>
        <v>0.134074971462631</v>
      </c>
      <c r="G1063" s="9">
        <f t="shared" si="113"/>
        <v>0.116594569343989</v>
      </c>
      <c r="H1063" s="9">
        <f t="shared" si="114"/>
        <v>0.101009212965182</v>
      </c>
      <c r="I1063" s="3" t="str">
        <f t="shared" si="115"/>
        <v>2022-05-01</v>
      </c>
      <c r="J1063" s="9">
        <f t="shared" si="116"/>
        <v>0.133968120501348</v>
      </c>
      <c r="K1063" s="9">
        <f t="shared" si="117"/>
        <v>0.116017418435346</v>
      </c>
      <c r="L1063" s="9">
        <f t="shared" si="118"/>
        <v>0.0996903280892346</v>
      </c>
    </row>
    <row r="1064" s="3" customFormat="1" ht="12.95" customHeight="1" spans="1:12">
      <c r="A1064" s="4">
        <v>44687</v>
      </c>
      <c r="B1064" s="8">
        <v>0.0751339915827477</v>
      </c>
      <c r="C1064" s="8">
        <v>0.0591346292222862</v>
      </c>
      <c r="D1064" s="8">
        <v>0.0672616771280375</v>
      </c>
      <c r="E1064" s="8">
        <v>2</v>
      </c>
      <c r="F1064" s="9">
        <f t="shared" si="112"/>
        <v>0.133803864729744</v>
      </c>
      <c r="G1064" s="9">
        <f t="shared" si="113"/>
        <v>0.116021243195248</v>
      </c>
      <c r="H1064" s="9">
        <f t="shared" si="114"/>
        <v>0.0997897169146404</v>
      </c>
      <c r="I1064" s="3" t="str">
        <f t="shared" si="115"/>
        <v>2022-05-01</v>
      </c>
      <c r="J1064" s="9">
        <f t="shared" si="116"/>
        <v>0.133968120501348</v>
      </c>
      <c r="K1064" s="9">
        <f t="shared" si="117"/>
        <v>0.116017418435346</v>
      </c>
      <c r="L1064" s="9">
        <f t="shared" si="118"/>
        <v>0.0996903280892346</v>
      </c>
    </row>
    <row r="1065" s="3" customFormat="1" ht="12.95" customHeight="1" spans="1:12">
      <c r="A1065" s="4">
        <v>44686</v>
      </c>
      <c r="B1065" s="8">
        <v>0.0801285672405269</v>
      </c>
      <c r="C1065" s="8">
        <v>0.0547519149532914</v>
      </c>
      <c r="D1065" s="8">
        <v>0.0457157458175756</v>
      </c>
      <c r="E1065" s="8">
        <v>2</v>
      </c>
      <c r="F1065" s="9">
        <f t="shared" si="112"/>
        <v>0.131462454177994</v>
      </c>
      <c r="G1065" s="9">
        <f t="shared" si="113"/>
        <v>0.113264299497898</v>
      </c>
      <c r="H1065" s="9">
        <f t="shared" si="114"/>
        <v>0.0997786799676786</v>
      </c>
      <c r="I1065" s="3" t="str">
        <f t="shared" si="115"/>
        <v>2022-05-01</v>
      </c>
      <c r="J1065" s="9">
        <f t="shared" si="116"/>
        <v>0.133968120501348</v>
      </c>
      <c r="K1065" s="9">
        <f t="shared" si="117"/>
        <v>0.116017418435346</v>
      </c>
      <c r="L1065" s="9">
        <f t="shared" si="118"/>
        <v>0.0996903280892346</v>
      </c>
    </row>
    <row r="1066" s="3" customFormat="1" ht="12.95" customHeight="1" spans="1:12">
      <c r="A1066" s="4">
        <v>44685</v>
      </c>
      <c r="B1066" s="8">
        <v>0.0800259872866247</v>
      </c>
      <c r="C1066" s="8">
        <v>0.0550292437062402</v>
      </c>
      <c r="D1066" s="8">
        <v>0.0458100960096056</v>
      </c>
      <c r="E1066" s="8">
        <v>2</v>
      </c>
      <c r="F1066" s="9">
        <f t="shared" si="112"/>
        <v>0.131595136478435</v>
      </c>
      <c r="G1066" s="9">
        <f t="shared" si="113"/>
        <v>0.11329044268033</v>
      </c>
      <c r="H1066" s="9">
        <f t="shared" si="114"/>
        <v>0.0997492992055725</v>
      </c>
      <c r="I1066" s="3" t="str">
        <f t="shared" si="115"/>
        <v>2022-05-01</v>
      </c>
      <c r="J1066" s="9">
        <f t="shared" si="116"/>
        <v>0.133968120501348</v>
      </c>
      <c r="K1066" s="9">
        <f t="shared" si="117"/>
        <v>0.116017418435346</v>
      </c>
      <c r="L1066" s="9">
        <f t="shared" si="118"/>
        <v>0.0996903280892346</v>
      </c>
    </row>
    <row r="1067" s="3" customFormat="1" ht="12.75" customHeight="1" spans="1:12">
      <c r="A1067" s="4">
        <v>44684</v>
      </c>
      <c r="B1067" s="8">
        <v>0.080847757691377</v>
      </c>
      <c r="C1067" s="8">
        <v>0.0548188537301565</v>
      </c>
      <c r="D1067" s="8">
        <v>0.0428913010824312</v>
      </c>
      <c r="E1067" s="8">
        <v>2</v>
      </c>
      <c r="F1067" s="9">
        <f t="shared" si="112"/>
        <v>0.131724768856887</v>
      </c>
      <c r="G1067" s="9">
        <f t="shared" si="113"/>
        <v>0.113202872056751</v>
      </c>
      <c r="H1067" s="9">
        <f t="shared" si="114"/>
        <v>0.0999691161715994</v>
      </c>
      <c r="I1067" s="3" t="str">
        <f t="shared" si="115"/>
        <v>2022-05-01</v>
      </c>
      <c r="J1067" s="9">
        <f t="shared" si="116"/>
        <v>0.133968120501348</v>
      </c>
      <c r="K1067" s="9">
        <f t="shared" si="117"/>
        <v>0.116017418435346</v>
      </c>
      <c r="L1067" s="9">
        <f t="shared" si="118"/>
        <v>0.0996903280892346</v>
      </c>
    </row>
    <row r="1068" s="3" customFormat="1" ht="12.95" customHeight="1" spans="1:12">
      <c r="A1068" s="4">
        <v>44680</v>
      </c>
      <c r="B1068" s="8">
        <v>0.0799716166869962</v>
      </c>
      <c r="C1068" s="8">
        <v>0.0547340861652952</v>
      </c>
      <c r="D1068" s="8">
        <v>0.0472600493594486</v>
      </c>
      <c r="E1068" s="8">
        <v>2</v>
      </c>
      <c r="F1068" s="9">
        <f t="shared" si="112"/>
        <v>0.131570078207161</v>
      </c>
      <c r="G1068" s="9">
        <f t="shared" si="113"/>
        <v>0.11354105442058</v>
      </c>
      <c r="H1068" s="9">
        <f t="shared" si="114"/>
        <v>0.0999145618683102</v>
      </c>
      <c r="I1068" s="3" t="str">
        <f t="shared" si="115"/>
        <v>2022-04-01</v>
      </c>
      <c r="J1068" s="9">
        <f t="shared" si="116"/>
        <v>0.131061703546211</v>
      </c>
      <c r="K1068" s="9">
        <f t="shared" si="117"/>
        <v>0.112759486939386</v>
      </c>
      <c r="L1068" s="9">
        <f t="shared" si="118"/>
        <v>0.0989272528103585</v>
      </c>
    </row>
    <row r="1069" s="3" customFormat="1" ht="12.95" customHeight="1" spans="1:12">
      <c r="A1069" s="4">
        <v>44679</v>
      </c>
      <c r="B1069" s="8">
        <v>0.0804649356606899</v>
      </c>
      <c r="C1069" s="8">
        <v>0.0538911168383888</v>
      </c>
      <c r="D1069" s="8">
        <v>0.0473190832949592</v>
      </c>
      <c r="E1069" s="8">
        <v>2</v>
      </c>
      <c r="F1069" s="9">
        <f t="shared" si="112"/>
        <v>0.131410682206443</v>
      </c>
      <c r="G1069" s="9">
        <f t="shared" si="113"/>
        <v>0.11374169317141</v>
      </c>
      <c r="H1069" s="9">
        <f t="shared" si="114"/>
        <v>0.10025175241922</v>
      </c>
      <c r="I1069" s="3" t="str">
        <f t="shared" si="115"/>
        <v>2022-04-01</v>
      </c>
      <c r="J1069" s="9">
        <f t="shared" si="116"/>
        <v>0.131061703546211</v>
      </c>
      <c r="K1069" s="9">
        <f t="shared" si="117"/>
        <v>0.112759486939386</v>
      </c>
      <c r="L1069" s="9">
        <f t="shared" si="118"/>
        <v>0.0989272528103585</v>
      </c>
    </row>
    <row r="1070" s="3" customFormat="1" ht="12.95" customHeight="1" spans="1:12">
      <c r="A1070" s="4">
        <v>44678</v>
      </c>
      <c r="B1070" s="8">
        <v>0.0821187939111243</v>
      </c>
      <c r="C1070" s="8">
        <v>0.0526743024304078</v>
      </c>
      <c r="D1070" s="8">
        <v>0.0383788653843017</v>
      </c>
      <c r="E1070" s="8">
        <v>2</v>
      </c>
      <c r="F1070" s="9">
        <f t="shared" si="112"/>
        <v>0.130494095112819</v>
      </c>
      <c r="G1070" s="9">
        <f t="shared" si="113"/>
        <v>0.112400092262842</v>
      </c>
      <c r="H1070" s="9">
        <f t="shared" si="114"/>
        <v>0.0999481304294549</v>
      </c>
      <c r="I1070" s="3" t="str">
        <f t="shared" si="115"/>
        <v>2022-04-01</v>
      </c>
      <c r="J1070" s="9">
        <f t="shared" si="116"/>
        <v>0.131061703546211</v>
      </c>
      <c r="K1070" s="9">
        <f t="shared" si="117"/>
        <v>0.112759486939386</v>
      </c>
      <c r="L1070" s="9">
        <f t="shared" si="118"/>
        <v>0.0989272528103585</v>
      </c>
    </row>
    <row r="1071" s="3" customFormat="1" ht="12.95" customHeight="1" spans="1:12">
      <c r="A1071" s="4">
        <v>44677</v>
      </c>
      <c r="B1071" s="8">
        <v>0.072721476723737</v>
      </c>
      <c r="C1071" s="8">
        <v>0.0581313316950251</v>
      </c>
      <c r="D1071" s="8">
        <v>0.0768198381284261</v>
      </c>
      <c r="E1071" s="8">
        <v>2</v>
      </c>
      <c r="F1071" s="9">
        <f t="shared" si="112"/>
        <v>0.132326185147568</v>
      </c>
      <c r="G1071" s="9">
        <f t="shared" si="113"/>
        <v>0.115965201710357</v>
      </c>
      <c r="H1071" s="9">
        <f t="shared" si="114"/>
        <v>0.0990122439246926</v>
      </c>
      <c r="I1071" s="3" t="str">
        <f t="shared" si="115"/>
        <v>2022-04-01</v>
      </c>
      <c r="J1071" s="9">
        <f t="shared" si="116"/>
        <v>0.131061703546211</v>
      </c>
      <c r="K1071" s="9">
        <f t="shared" si="117"/>
        <v>0.112759486939386</v>
      </c>
      <c r="L1071" s="9">
        <f t="shared" si="118"/>
        <v>0.0989272528103585</v>
      </c>
    </row>
    <row r="1072" s="3" customFormat="1" ht="12.95" customHeight="1" spans="1:12">
      <c r="A1072" s="4">
        <v>44676</v>
      </c>
      <c r="B1072" s="8">
        <v>0.0757140998504779</v>
      </c>
      <c r="C1072" s="8">
        <v>0.0550509700290745</v>
      </c>
      <c r="D1072" s="8">
        <v>0.0750980261953283</v>
      </c>
      <c r="E1072" s="8">
        <v>2</v>
      </c>
      <c r="F1072" s="9">
        <f t="shared" si="112"/>
        <v>0.132584123846066</v>
      </c>
      <c r="G1072" s="9">
        <f t="shared" si="113"/>
        <v>0.117335964892945</v>
      </c>
      <c r="H1072" s="9">
        <f t="shared" si="114"/>
        <v>0.10106250516741</v>
      </c>
      <c r="I1072" s="3" t="str">
        <f t="shared" si="115"/>
        <v>2022-04-01</v>
      </c>
      <c r="J1072" s="9">
        <f t="shared" si="116"/>
        <v>0.131061703546211</v>
      </c>
      <c r="K1072" s="9">
        <f t="shared" si="117"/>
        <v>0.112759486939386</v>
      </c>
      <c r="L1072" s="9">
        <f t="shared" si="118"/>
        <v>0.0989272528103585</v>
      </c>
    </row>
    <row r="1073" s="3" customFormat="1" ht="12.95" customHeight="1" spans="1:12">
      <c r="A1073" s="4">
        <v>44673</v>
      </c>
      <c r="B1073" s="8">
        <v>0.0774329172718573</v>
      </c>
      <c r="C1073" s="8">
        <v>0.0540338454704485</v>
      </c>
      <c r="D1073" s="8">
        <v>0.0694476391071511</v>
      </c>
      <c r="E1073" s="8">
        <v>2</v>
      </c>
      <c r="F1073" s="9">
        <f t="shared" si="112"/>
        <v>0.132483151457618</v>
      </c>
      <c r="G1073" s="9">
        <f t="shared" si="113"/>
        <v>0.117070510745702</v>
      </c>
      <c r="H1073" s="9">
        <f t="shared" si="114"/>
        <v>0.101494877336171</v>
      </c>
      <c r="I1073" s="3" t="str">
        <f t="shared" si="115"/>
        <v>2022-04-01</v>
      </c>
      <c r="J1073" s="9">
        <f t="shared" si="116"/>
        <v>0.131061703546211</v>
      </c>
      <c r="K1073" s="9">
        <f t="shared" si="117"/>
        <v>0.112759486939386</v>
      </c>
      <c r="L1073" s="9">
        <f t="shared" si="118"/>
        <v>0.0989272528103585</v>
      </c>
    </row>
    <row r="1074" s="3" customFormat="1" ht="12.95" customHeight="1" spans="1:12">
      <c r="A1074" s="4">
        <v>44672</v>
      </c>
      <c r="B1074" s="8">
        <v>0.0775579764349682</v>
      </c>
      <c r="C1074" s="8">
        <v>0.0533825628256275</v>
      </c>
      <c r="D1074" s="8">
        <v>0.0699242686524967</v>
      </c>
      <c r="E1074" s="8">
        <v>2</v>
      </c>
      <c r="F1074" s="9">
        <f t="shared" si="112"/>
        <v>0.132181678908492</v>
      </c>
      <c r="G1074" s="9">
        <f t="shared" si="113"/>
        <v>0.117092319093221</v>
      </c>
      <c r="H1074" s="9">
        <f t="shared" si="114"/>
        <v>0.101582029735438</v>
      </c>
      <c r="I1074" s="3" t="str">
        <f t="shared" si="115"/>
        <v>2022-04-01</v>
      </c>
      <c r="J1074" s="9">
        <f t="shared" si="116"/>
        <v>0.131061703546211</v>
      </c>
      <c r="K1074" s="9">
        <f t="shared" si="117"/>
        <v>0.112759486939386</v>
      </c>
      <c r="L1074" s="9">
        <f t="shared" si="118"/>
        <v>0.0989272528103585</v>
      </c>
    </row>
    <row r="1075" s="3" customFormat="1" ht="12.95" customHeight="1" spans="1:12">
      <c r="A1075" s="4">
        <v>44671</v>
      </c>
      <c r="B1075" s="8">
        <v>0.0782099758984049</v>
      </c>
      <c r="C1075" s="8">
        <v>0.0525550939811476</v>
      </c>
      <c r="D1075" s="8">
        <v>0.0652161196628826</v>
      </c>
      <c r="E1075" s="8">
        <v>2</v>
      </c>
      <c r="F1075" s="9">
        <f t="shared" si="112"/>
        <v>0.131333123290097</v>
      </c>
      <c r="G1075" s="9">
        <f t="shared" si="113"/>
        <v>0.116098296299271</v>
      </c>
      <c r="H1075" s="9">
        <f t="shared" si="114"/>
        <v>0.101166088630326</v>
      </c>
      <c r="I1075" s="3" t="str">
        <f t="shared" si="115"/>
        <v>2022-04-01</v>
      </c>
      <c r="J1075" s="9">
        <f t="shared" si="116"/>
        <v>0.131061703546211</v>
      </c>
      <c r="K1075" s="9">
        <f t="shared" si="117"/>
        <v>0.112759486939386</v>
      </c>
      <c r="L1075" s="9">
        <f t="shared" si="118"/>
        <v>0.0989272528103585</v>
      </c>
    </row>
    <row r="1076" s="3" customFormat="1" ht="12.95" customHeight="1" spans="1:12">
      <c r="A1076" s="4">
        <v>44670</v>
      </c>
      <c r="B1076" s="8">
        <v>0.0765175754934634</v>
      </c>
      <c r="C1076" s="8">
        <v>0.0540719942101385</v>
      </c>
      <c r="D1076" s="8">
        <v>0.0676170749873997</v>
      </c>
      <c r="E1076" s="8">
        <v>2</v>
      </c>
      <c r="F1076" s="9">
        <f t="shared" si="112"/>
        <v>0.131267581948195</v>
      </c>
      <c r="G1076" s="9">
        <f t="shared" si="113"/>
        <v>0.115647316834137</v>
      </c>
      <c r="H1076" s="9">
        <f t="shared" si="114"/>
        <v>0.100235802165749</v>
      </c>
      <c r="I1076" s="3" t="str">
        <f t="shared" si="115"/>
        <v>2022-04-01</v>
      </c>
      <c r="J1076" s="9">
        <f t="shared" si="116"/>
        <v>0.131061703546211</v>
      </c>
      <c r="K1076" s="9">
        <f t="shared" si="117"/>
        <v>0.112759486939386</v>
      </c>
      <c r="L1076" s="9">
        <f t="shared" si="118"/>
        <v>0.0989272528103585</v>
      </c>
    </row>
    <row r="1077" s="3" customFormat="1" ht="12.95" customHeight="1" spans="1:12">
      <c r="A1077" s="4">
        <v>44669</v>
      </c>
      <c r="B1077" s="8">
        <v>0.0766186</v>
      </c>
      <c r="C1077" s="8">
        <v>0.0545851</v>
      </c>
      <c r="D1077" s="8">
        <v>0.0604197</v>
      </c>
      <c r="E1077" s="8">
        <v>1.96</v>
      </c>
      <c r="F1077" s="9">
        <f t="shared" si="112"/>
        <v>0.130423917167013</v>
      </c>
      <c r="G1077" s="9">
        <f t="shared" si="113"/>
        <v>0.113471143912056</v>
      </c>
      <c r="H1077" s="9">
        <f t="shared" si="114"/>
        <v>0.0986547819700491</v>
      </c>
      <c r="I1077" s="3" t="str">
        <f t="shared" si="115"/>
        <v>2022-04-01</v>
      </c>
      <c r="J1077" s="9">
        <f t="shared" si="116"/>
        <v>0.131061703546211</v>
      </c>
      <c r="K1077" s="9">
        <f t="shared" si="117"/>
        <v>0.112759486939386</v>
      </c>
      <c r="L1077" s="9">
        <f t="shared" si="118"/>
        <v>0.0989272528103585</v>
      </c>
    </row>
    <row r="1078" s="3" customFormat="1" ht="12.95" customHeight="1" spans="1:12">
      <c r="A1078" s="4">
        <v>44666</v>
      </c>
      <c r="B1078" s="8">
        <v>0.0804300600580002</v>
      </c>
      <c r="C1078" s="8">
        <v>0.0506859177995368</v>
      </c>
      <c r="D1078" s="8">
        <v>0.0703346353138549</v>
      </c>
      <c r="E1078" s="8">
        <v>1.42</v>
      </c>
      <c r="F1078" s="9">
        <f t="shared" si="112"/>
        <v>0.132521408875515</v>
      </c>
      <c r="G1078" s="9">
        <f t="shared" si="113"/>
        <v>0.11170419398178</v>
      </c>
      <c r="H1078" s="9">
        <f t="shared" si="114"/>
        <v>0.097538472995655</v>
      </c>
      <c r="I1078" s="3" t="str">
        <f t="shared" si="115"/>
        <v>2022-04-01</v>
      </c>
      <c r="J1078" s="9">
        <f t="shared" si="116"/>
        <v>0.131061703546211</v>
      </c>
      <c r="K1078" s="9">
        <f t="shared" si="117"/>
        <v>0.112759486939386</v>
      </c>
      <c r="L1078" s="9">
        <f t="shared" si="118"/>
        <v>0.0989272528103585</v>
      </c>
    </row>
    <row r="1079" s="3" customFormat="1" ht="12.95" customHeight="1" spans="1:12">
      <c r="A1079" s="4">
        <v>44665</v>
      </c>
      <c r="B1079" s="8">
        <v>0.0720948221329081</v>
      </c>
      <c r="C1079" s="8">
        <v>0.060248364854805</v>
      </c>
      <c r="D1079" s="8">
        <v>0.0677023542443404</v>
      </c>
      <c r="E1079" s="8">
        <v>2</v>
      </c>
      <c r="F1079" s="9">
        <f t="shared" si="112"/>
        <v>0.13172063861546</v>
      </c>
      <c r="G1079" s="9">
        <f t="shared" si="113"/>
        <v>0.113516628277113</v>
      </c>
      <c r="H1079" s="9">
        <f t="shared" si="114"/>
        <v>0.0970563660453685</v>
      </c>
      <c r="I1079" s="3" t="str">
        <f t="shared" si="115"/>
        <v>2022-04-01</v>
      </c>
      <c r="J1079" s="9">
        <f t="shared" si="116"/>
        <v>0.131061703546211</v>
      </c>
      <c r="K1079" s="9">
        <f t="shared" si="117"/>
        <v>0.112759486939386</v>
      </c>
      <c r="L1079" s="9">
        <f t="shared" si="118"/>
        <v>0.0989272528103585</v>
      </c>
    </row>
    <row r="1080" s="3" customFormat="1" ht="12.95" customHeight="1" spans="1:12">
      <c r="A1080" s="4">
        <v>44664</v>
      </c>
      <c r="B1080" s="8">
        <v>0.0793801630048573</v>
      </c>
      <c r="C1080" s="8">
        <v>0.0529630239828558</v>
      </c>
      <c r="D1080" s="8">
        <v>0.0733117333999923</v>
      </c>
      <c r="E1080" s="8">
        <v>1.32</v>
      </c>
      <c r="F1080" s="9">
        <f t="shared" si="112"/>
        <v>0.133553092482618</v>
      </c>
      <c r="G1080" s="9">
        <f t="shared" si="113"/>
        <v>0.110301800037883</v>
      </c>
      <c r="H1080" s="9">
        <f t="shared" si="114"/>
        <v>0.0960022953675984</v>
      </c>
      <c r="I1080" s="3" t="str">
        <f t="shared" si="115"/>
        <v>2022-04-01</v>
      </c>
      <c r="J1080" s="9">
        <f t="shared" si="116"/>
        <v>0.131061703546211</v>
      </c>
      <c r="K1080" s="9">
        <f t="shared" si="117"/>
        <v>0.112759486939386</v>
      </c>
      <c r="L1080" s="9">
        <f t="shared" si="118"/>
        <v>0.0989272528103585</v>
      </c>
    </row>
    <row r="1081" s="3" customFormat="1" ht="12.95" customHeight="1" spans="1:12">
      <c r="A1081" s="4">
        <v>44663</v>
      </c>
      <c r="B1081" s="8">
        <v>0.076561996253845</v>
      </c>
      <c r="C1081" s="8">
        <v>0.0510393483398767</v>
      </c>
      <c r="D1081" s="8">
        <v>0.073497233597864</v>
      </c>
      <c r="E1081" s="8">
        <v>1.65</v>
      </c>
      <c r="F1081" s="9">
        <f t="shared" si="112"/>
        <v>0.129863589152805</v>
      </c>
      <c r="G1081" s="9">
        <f t="shared" si="113"/>
        <v>0.112124048823605</v>
      </c>
      <c r="H1081" s="9">
        <f t="shared" si="114"/>
        <v>0.0968911247600625</v>
      </c>
      <c r="I1081" s="3" t="str">
        <f t="shared" si="115"/>
        <v>2022-04-01</v>
      </c>
      <c r="J1081" s="9">
        <f t="shared" si="116"/>
        <v>0.131061703546211</v>
      </c>
      <c r="K1081" s="9">
        <f t="shared" si="117"/>
        <v>0.112759486939386</v>
      </c>
      <c r="L1081" s="9">
        <f t="shared" si="118"/>
        <v>0.0989272528103585</v>
      </c>
    </row>
    <row r="1082" s="3" customFormat="1" ht="12.95" customHeight="1" spans="1:12">
      <c r="A1082" s="4">
        <v>44662</v>
      </c>
      <c r="B1082" s="8">
        <v>0.0832925179432117</v>
      </c>
      <c r="C1082" s="8">
        <v>0.037774010036232</v>
      </c>
      <c r="D1082" s="8">
        <v>0.0894162321137436</v>
      </c>
      <c r="E1082" s="8">
        <v>1.12</v>
      </c>
      <c r="F1082" s="9">
        <f t="shared" si="112"/>
        <v>0.130798790330803</v>
      </c>
      <c r="G1082" s="9">
        <f t="shared" si="113"/>
        <v>0.110425680527348</v>
      </c>
      <c r="H1082" s="9">
        <f t="shared" si="114"/>
        <v>0.0975240850128254</v>
      </c>
      <c r="I1082" s="3" t="str">
        <f t="shared" si="115"/>
        <v>2022-04-01</v>
      </c>
      <c r="J1082" s="9">
        <f t="shared" si="116"/>
        <v>0.131061703546211</v>
      </c>
      <c r="K1082" s="9">
        <f t="shared" si="117"/>
        <v>0.112759486939386</v>
      </c>
      <c r="L1082" s="9">
        <f t="shared" si="118"/>
        <v>0.0989272528103585</v>
      </c>
    </row>
    <row r="1083" s="3" customFormat="1" ht="12.95" customHeight="1" spans="1:12">
      <c r="A1083" s="4">
        <v>44659</v>
      </c>
      <c r="B1083" s="8">
        <v>0.0836681427311971</v>
      </c>
      <c r="C1083" s="8">
        <v>0.0358910923264422</v>
      </c>
      <c r="D1083" s="8">
        <v>0.0938159007014285</v>
      </c>
      <c r="E1083" s="8">
        <v>1.07</v>
      </c>
      <c r="F1083" s="9">
        <f t="shared" si="112"/>
        <v>0.131099805147997</v>
      </c>
      <c r="G1083" s="9">
        <f t="shared" si="113"/>
        <v>0.110289318804293</v>
      </c>
      <c r="H1083" s="9">
        <f t="shared" si="114"/>
        <v>0.0975373858121881</v>
      </c>
      <c r="I1083" s="3" t="str">
        <f t="shared" si="115"/>
        <v>2022-04-01</v>
      </c>
      <c r="J1083" s="9">
        <f t="shared" si="116"/>
        <v>0.131061703546211</v>
      </c>
      <c r="K1083" s="9">
        <f t="shared" si="117"/>
        <v>0.112759486939386</v>
      </c>
      <c r="L1083" s="9">
        <f t="shared" si="118"/>
        <v>0.0989272528103585</v>
      </c>
    </row>
    <row r="1084" s="3" customFormat="1" ht="12.95" customHeight="1" spans="1:12">
      <c r="A1084" s="4">
        <v>44658</v>
      </c>
      <c r="B1084" s="8">
        <v>0.0832902693078122</v>
      </c>
      <c r="C1084" s="8">
        <v>0.0368012109500082</v>
      </c>
      <c r="D1084" s="8">
        <v>0.0883616283323795</v>
      </c>
      <c r="E1084" s="8">
        <v>1.14</v>
      </c>
      <c r="F1084" s="9">
        <f t="shared" si="112"/>
        <v>0.129872061816429</v>
      </c>
      <c r="G1084" s="9">
        <f t="shared" si="113"/>
        <v>0.11037190564795</v>
      </c>
      <c r="H1084" s="9">
        <f t="shared" si="114"/>
        <v>0.097542922830553</v>
      </c>
      <c r="I1084" s="3" t="str">
        <f t="shared" si="115"/>
        <v>2022-04-01</v>
      </c>
      <c r="J1084" s="9">
        <f t="shared" si="116"/>
        <v>0.131061703546211</v>
      </c>
      <c r="K1084" s="9">
        <f t="shared" si="117"/>
        <v>0.112759486939386</v>
      </c>
      <c r="L1084" s="9">
        <f t="shared" si="118"/>
        <v>0.0989272528103585</v>
      </c>
    </row>
    <row r="1085" s="3" customFormat="1" ht="12.95" customHeight="1" spans="1:12">
      <c r="A1085" s="4">
        <v>44657</v>
      </c>
      <c r="B1085" s="8">
        <v>0.081917930911751</v>
      </c>
      <c r="C1085" s="8">
        <v>0.0402112023213125</v>
      </c>
      <c r="D1085" s="8">
        <v>0.0476535376616656</v>
      </c>
      <c r="E1085" s="8">
        <v>2</v>
      </c>
      <c r="F1085" s="9">
        <f t="shared" si="112"/>
        <v>0.122158761827427</v>
      </c>
      <c r="G1085" s="9">
        <f t="shared" si="113"/>
        <v>0.110267235507324</v>
      </c>
      <c r="H1085" s="9">
        <f t="shared" si="114"/>
        <v>0.0990513863050446</v>
      </c>
      <c r="I1085" s="3" t="str">
        <f t="shared" si="115"/>
        <v>2022-04-01</v>
      </c>
      <c r="J1085" s="9">
        <f t="shared" si="116"/>
        <v>0.131061703546211</v>
      </c>
      <c r="K1085" s="9">
        <f t="shared" si="117"/>
        <v>0.112759486939386</v>
      </c>
      <c r="L1085" s="9">
        <f t="shared" si="118"/>
        <v>0.0989272528103585</v>
      </c>
    </row>
    <row r="1086" s="3" customFormat="1" ht="12.95" customHeight="1" spans="1:12">
      <c r="A1086" s="4">
        <v>44656</v>
      </c>
      <c r="B1086" s="8">
        <v>0.088132749401095</v>
      </c>
      <c r="C1086" s="8">
        <v>0.0355881775886637</v>
      </c>
      <c r="D1086" s="8">
        <v>0.0786795217802861</v>
      </c>
      <c r="E1086" s="8">
        <v>0.9</v>
      </c>
      <c r="F1086" s="9">
        <f t="shared" si="112"/>
        <v>0.13121841915032</v>
      </c>
      <c r="G1086" s="9">
        <f t="shared" si="113"/>
        <v>0.108317251575641</v>
      </c>
      <c r="H1086" s="9">
        <f t="shared" si="114"/>
        <v>0.0984155127529621</v>
      </c>
      <c r="I1086" s="3" t="str">
        <f t="shared" si="115"/>
        <v>2022-04-01</v>
      </c>
      <c r="J1086" s="9">
        <f t="shared" si="116"/>
        <v>0.131061703546211</v>
      </c>
      <c r="K1086" s="9">
        <f t="shared" si="117"/>
        <v>0.112759486939386</v>
      </c>
      <c r="L1086" s="9">
        <f t="shared" si="118"/>
        <v>0.0989272528103585</v>
      </c>
    </row>
    <row r="1087" s="3" customFormat="1" ht="12.95" customHeight="1" spans="1:12">
      <c r="A1087" s="4">
        <v>44655</v>
      </c>
      <c r="B1087" s="8">
        <v>0.0860316440380057</v>
      </c>
      <c r="C1087" s="8">
        <v>0.0381309985824168</v>
      </c>
      <c r="D1087" s="8">
        <v>0.0820141958905013</v>
      </c>
      <c r="E1087" s="8">
        <v>1</v>
      </c>
      <c r="F1087" s="9">
        <f t="shared" si="112"/>
        <v>0.13180655495647</v>
      </c>
      <c r="G1087" s="9">
        <f t="shared" si="113"/>
        <v>0.109346169236996</v>
      </c>
      <c r="H1087" s="9">
        <f t="shared" si="114"/>
        <v>0.0980418945882255</v>
      </c>
      <c r="I1087" s="3" t="str">
        <f t="shared" si="115"/>
        <v>2022-04-01</v>
      </c>
      <c r="J1087" s="9">
        <f t="shared" si="116"/>
        <v>0.131061703546211</v>
      </c>
      <c r="K1087" s="9">
        <f t="shared" si="117"/>
        <v>0.112759486939386</v>
      </c>
      <c r="L1087" s="9">
        <f t="shared" si="118"/>
        <v>0.0989272528103585</v>
      </c>
    </row>
    <row r="1088" s="3" customFormat="1" ht="12.95" customHeight="1" spans="1:12">
      <c r="A1088" s="4">
        <v>44652</v>
      </c>
      <c r="B1088" s="8">
        <v>0.0875691079888925</v>
      </c>
      <c r="C1088" s="8">
        <v>0.0408241067795065</v>
      </c>
      <c r="D1088" s="8">
        <v>0.0690020152985384</v>
      </c>
      <c r="E1088" s="8">
        <v>1</v>
      </c>
      <c r="F1088" s="9">
        <f t="shared" si="112"/>
        <v>0.13160803482311</v>
      </c>
      <c r="G1088" s="9">
        <f t="shared" si="113"/>
        <v>0.108921399964654</v>
      </c>
      <c r="H1088" s="9">
        <f t="shared" si="114"/>
        <v>0.0985480889002261</v>
      </c>
      <c r="I1088" s="3" t="str">
        <f t="shared" si="115"/>
        <v>2022-04-01</v>
      </c>
      <c r="J1088" s="9">
        <f t="shared" si="116"/>
        <v>0.131061703546211</v>
      </c>
      <c r="K1088" s="9">
        <f t="shared" si="117"/>
        <v>0.112759486939386</v>
      </c>
      <c r="L1088" s="9">
        <f t="shared" si="118"/>
        <v>0.0989272528103585</v>
      </c>
    </row>
    <row r="1089" s="3" customFormat="1" ht="12.95" customHeight="1" spans="1:12">
      <c r="A1089" s="4">
        <v>44651</v>
      </c>
      <c r="B1089" s="8">
        <v>0.0893361400009647</v>
      </c>
      <c r="C1089" s="8">
        <v>0.0389691201519592</v>
      </c>
      <c r="D1089" s="8">
        <v>0.0576224690108424</v>
      </c>
      <c r="E1089" s="8">
        <v>1</v>
      </c>
      <c r="F1089" s="9">
        <f t="shared" si="112"/>
        <v>0.129195547622066</v>
      </c>
      <c r="G1089" s="9">
        <f t="shared" si="113"/>
        <v>0.108136034889706</v>
      </c>
      <c r="H1089" s="9">
        <f t="shared" si="114"/>
        <v>0.0989922443360627</v>
      </c>
      <c r="I1089" s="3" t="str">
        <f t="shared" si="115"/>
        <v>2022-03-01</v>
      </c>
      <c r="J1089" s="9">
        <f t="shared" si="116"/>
        <v>0.11196407190398</v>
      </c>
      <c r="K1089" s="9">
        <f t="shared" si="117"/>
        <v>0.10509623480655</v>
      </c>
      <c r="L1089" s="9">
        <f t="shared" si="118"/>
        <v>0.10239353623546</v>
      </c>
    </row>
    <row r="1090" s="3" customFormat="1" ht="12.95" customHeight="1" spans="1:12">
      <c r="A1090" s="4">
        <v>44650</v>
      </c>
      <c r="B1090" s="8">
        <v>0.0899167050917715</v>
      </c>
      <c r="C1090" s="8">
        <v>0.0396192162572625</v>
      </c>
      <c r="D1090" s="8">
        <v>0.0530717848246672</v>
      </c>
      <c r="E1090" s="8">
        <v>1</v>
      </c>
      <c r="F1090" s="9">
        <f t="shared" si="112"/>
        <v>0.12898457395079</v>
      </c>
      <c r="G1090" s="9">
        <f t="shared" si="113"/>
        <v>0.107972401024346</v>
      </c>
      <c r="H1090" s="9">
        <f t="shared" si="114"/>
        <v>0.0991829749281672</v>
      </c>
      <c r="I1090" s="3" t="str">
        <f t="shared" si="115"/>
        <v>2022-03-01</v>
      </c>
      <c r="J1090" s="9">
        <f t="shared" si="116"/>
        <v>0.11196407190398</v>
      </c>
      <c r="K1090" s="9">
        <f t="shared" si="117"/>
        <v>0.10509623480655</v>
      </c>
      <c r="L1090" s="9">
        <f t="shared" si="118"/>
        <v>0.10239353623546</v>
      </c>
    </row>
    <row r="1091" s="3" customFormat="1" ht="12.95" customHeight="1" spans="1:12">
      <c r="A1091" s="4">
        <v>44649</v>
      </c>
      <c r="B1091" s="8">
        <v>0.0914750612516665</v>
      </c>
      <c r="C1091" s="8">
        <v>0.0381487065418391</v>
      </c>
      <c r="D1091" s="8">
        <v>0.0415152405885815</v>
      </c>
      <c r="E1091" s="8">
        <v>1</v>
      </c>
      <c r="F1091" s="9">
        <f t="shared" si="112"/>
        <v>0.126559676522411</v>
      </c>
      <c r="G1091" s="9">
        <f t="shared" si="113"/>
        <v>0.10702076889631</v>
      </c>
      <c r="H1091" s="9">
        <f t="shared" si="114"/>
        <v>0.0994392095019413</v>
      </c>
      <c r="I1091" s="3" t="str">
        <f t="shared" si="115"/>
        <v>2022-03-01</v>
      </c>
      <c r="J1091" s="9">
        <f t="shared" si="116"/>
        <v>0.11196407190398</v>
      </c>
      <c r="K1091" s="9">
        <f t="shared" si="117"/>
        <v>0.10509623480655</v>
      </c>
      <c r="L1091" s="9">
        <f t="shared" si="118"/>
        <v>0.10239353623546</v>
      </c>
    </row>
    <row r="1092" s="3" customFormat="1" ht="12.95" customHeight="1" spans="1:12">
      <c r="A1092" s="4">
        <v>44648</v>
      </c>
      <c r="B1092" s="8">
        <v>0.0908878645284538</v>
      </c>
      <c r="C1092" s="8">
        <v>0.0402281133290832</v>
      </c>
      <c r="D1092" s="8">
        <v>0.0433055004183773</v>
      </c>
      <c r="E1092" s="8">
        <v>1</v>
      </c>
      <c r="F1092" s="9">
        <f t="shared" si="112"/>
        <v>0.127759975837905</v>
      </c>
      <c r="G1092" s="9">
        <f t="shared" si="113"/>
        <v>0.107190228098944</v>
      </c>
      <c r="H1092" s="9">
        <f t="shared" si="114"/>
        <v>0.0992388805945028</v>
      </c>
      <c r="I1092" s="3" t="str">
        <f t="shared" si="115"/>
        <v>2022-03-01</v>
      </c>
      <c r="J1092" s="9">
        <f t="shared" si="116"/>
        <v>0.11196407190398</v>
      </c>
      <c r="K1092" s="9">
        <f t="shared" si="117"/>
        <v>0.10509623480655</v>
      </c>
      <c r="L1092" s="9">
        <f t="shared" si="118"/>
        <v>0.10239353623546</v>
      </c>
    </row>
    <row r="1093" s="3" customFormat="1" ht="12.95" customHeight="1" spans="1:12">
      <c r="A1093" s="4">
        <v>44645</v>
      </c>
      <c r="B1093" s="8">
        <v>0.0900403477796845</v>
      </c>
      <c r="C1093" s="8">
        <v>0.0416017612720307</v>
      </c>
      <c r="D1093" s="8">
        <v>0.0469189513967734</v>
      </c>
      <c r="E1093" s="8">
        <v>1</v>
      </c>
      <c r="F1093" s="9">
        <f t="shared" ref="F1093:F1156" si="119">B1093+(C1093+D1093)*(E1093/$F$3)*(1-EXP(-$F$3/E1093))-D1093*EXP(-$F$3/E1093)</f>
        <v>0.128735592519596</v>
      </c>
      <c r="G1093" s="9">
        <f t="shared" ref="G1093:G1156" si="120">B1093+(C1093+D1093)*(E1093/$G$3)*(1-EXP(-$G$3/E1093))-D1093*EXP(-$G$3/E1093)</f>
        <v>0.107309063331624</v>
      </c>
      <c r="H1093" s="9">
        <f t="shared" ref="H1093:H1156" si="121">B1093+(C1093+D1093)*(E1093/$H$3)*(1-EXP(-$H$3/E1093))-D1093*EXP(-$H$3/E1093)</f>
        <v>0.0988898870460532</v>
      </c>
      <c r="I1093" s="3" t="str">
        <f t="shared" ref="I1093:I1156" si="122">TEXT(A1093,"yyyy-mm-01")</f>
        <v>2022-03-01</v>
      </c>
      <c r="J1093" s="9">
        <f t="shared" ref="J1093:J1156" si="123">AVERAGEIF($I:$I,I1093,$F:$F)</f>
        <v>0.11196407190398</v>
      </c>
      <c r="K1093" s="9">
        <f t="shared" ref="K1093:K1156" si="124">AVERAGEIF($I:$I,I1093,$G:$G)</f>
        <v>0.10509623480655</v>
      </c>
      <c r="L1093" s="9">
        <f t="shared" ref="L1093:L1156" si="125">AVERAGEIF($I:$I,I1093,$H:$H)</f>
        <v>0.10239353623546</v>
      </c>
    </row>
    <row r="1094" s="3" customFormat="1" ht="12.95" customHeight="1" spans="1:12">
      <c r="A1094" s="4">
        <v>44644</v>
      </c>
      <c r="B1094" s="8">
        <v>0.0972064</v>
      </c>
      <c r="C1094" s="8">
        <v>0.0368874</v>
      </c>
      <c r="D1094" s="8">
        <v>2.49e-5</v>
      </c>
      <c r="E1094" s="8">
        <v>0.93</v>
      </c>
      <c r="F1094" s="9">
        <f t="shared" si="119"/>
        <v>0.11981327289439</v>
      </c>
      <c r="G1094" s="9">
        <f t="shared" si="120"/>
        <v>0.104040220908513</v>
      </c>
      <c r="H1094" s="9">
        <f t="shared" si="121"/>
        <v>0.100639169946338</v>
      </c>
      <c r="I1094" s="3" t="str">
        <f t="shared" si="122"/>
        <v>2022-03-01</v>
      </c>
      <c r="J1094" s="9">
        <f t="shared" si="123"/>
        <v>0.11196407190398</v>
      </c>
      <c r="K1094" s="9">
        <f t="shared" si="124"/>
        <v>0.10509623480655</v>
      </c>
      <c r="L1094" s="9">
        <f t="shared" si="125"/>
        <v>0.10239353623546</v>
      </c>
    </row>
    <row r="1095" s="3" customFormat="1" ht="12.95" customHeight="1" spans="1:12">
      <c r="A1095" s="4">
        <v>44638</v>
      </c>
      <c r="B1095" s="8">
        <v>0.09678958465297</v>
      </c>
      <c r="C1095" s="8">
        <v>0.0365167826552552</v>
      </c>
      <c r="D1095" s="8">
        <v>0.00313996075235933</v>
      </c>
      <c r="E1095" s="8">
        <v>1</v>
      </c>
      <c r="F1095" s="9">
        <f t="shared" si="119"/>
        <v>0.120702300450234</v>
      </c>
      <c r="G1095" s="9">
        <f t="shared" si="120"/>
        <v>0.104646335438317</v>
      </c>
      <c r="H1095" s="9">
        <f t="shared" si="121"/>
        <v>0.100754936398397</v>
      </c>
      <c r="I1095" s="3" t="str">
        <f t="shared" si="122"/>
        <v>2022-03-01</v>
      </c>
      <c r="J1095" s="9">
        <f t="shared" si="123"/>
        <v>0.11196407190398</v>
      </c>
      <c r="K1095" s="9">
        <f t="shared" si="124"/>
        <v>0.10509623480655</v>
      </c>
      <c r="L1095" s="9">
        <f t="shared" si="125"/>
        <v>0.10239353623546</v>
      </c>
    </row>
    <row r="1096" s="3" customFormat="1" ht="12.95" customHeight="1" spans="1:12">
      <c r="A1096" s="4">
        <v>44637</v>
      </c>
      <c r="B1096" s="8">
        <v>0.0924178850884348</v>
      </c>
      <c r="C1096" s="8">
        <v>0.0400129020920548</v>
      </c>
      <c r="D1096" s="8">
        <v>0.027987815131663</v>
      </c>
      <c r="E1096" s="8">
        <v>1</v>
      </c>
      <c r="F1096" s="9">
        <f t="shared" si="119"/>
        <v>0.125106394670388</v>
      </c>
      <c r="G1096" s="9">
        <f t="shared" si="120"/>
        <v>0.10573781107249</v>
      </c>
      <c r="H1096" s="9">
        <f t="shared" si="121"/>
        <v>0.0992163774431868</v>
      </c>
      <c r="I1096" s="3" t="str">
        <f t="shared" si="122"/>
        <v>2022-03-01</v>
      </c>
      <c r="J1096" s="9">
        <f t="shared" si="123"/>
        <v>0.11196407190398</v>
      </c>
      <c r="K1096" s="9">
        <f t="shared" si="124"/>
        <v>0.10509623480655</v>
      </c>
      <c r="L1096" s="9">
        <f t="shared" si="125"/>
        <v>0.10239353623546</v>
      </c>
    </row>
    <row r="1097" s="3" customFormat="1" ht="12.95" customHeight="1" spans="1:12">
      <c r="A1097" s="4">
        <v>44636</v>
      </c>
      <c r="B1097" s="8">
        <v>0.101621665153256</v>
      </c>
      <c r="C1097" s="8">
        <v>0.0308091220272335</v>
      </c>
      <c r="D1097" s="8">
        <v>-0.0481586273452769</v>
      </c>
      <c r="E1097" s="8">
        <v>0.51</v>
      </c>
      <c r="F1097" s="9">
        <f t="shared" si="119"/>
        <v>0.100797020352905</v>
      </c>
      <c r="G1097" s="9">
        <f t="shared" si="120"/>
        <v>0.0998547733776209</v>
      </c>
      <c r="H1097" s="9">
        <f t="shared" si="121"/>
        <v>0.10073684053166</v>
      </c>
      <c r="I1097" s="3" t="str">
        <f t="shared" si="122"/>
        <v>2022-03-01</v>
      </c>
      <c r="J1097" s="9">
        <f t="shared" si="123"/>
        <v>0.11196407190398</v>
      </c>
      <c r="K1097" s="9">
        <f t="shared" si="124"/>
        <v>0.10509623480655</v>
      </c>
      <c r="L1097" s="9">
        <f t="shared" si="125"/>
        <v>0.10239353623546</v>
      </c>
    </row>
    <row r="1098" s="3" customFormat="1" ht="12.95" customHeight="1" spans="1:12">
      <c r="A1098" s="4">
        <v>44635</v>
      </c>
      <c r="B1098" s="8">
        <v>0.0993536918514493</v>
      </c>
      <c r="C1098" s="8">
        <v>0.0306213845702962</v>
      </c>
      <c r="D1098" s="8">
        <v>0.0231754428851852</v>
      </c>
      <c r="E1098" s="8">
        <v>0.116</v>
      </c>
      <c r="F1098" s="9">
        <f t="shared" si="119"/>
        <v>0.105588819099715</v>
      </c>
      <c r="G1098" s="9">
        <f t="shared" si="120"/>
        <v>0.100601778248416</v>
      </c>
      <c r="H1098" s="9">
        <f t="shared" si="121"/>
        <v>0.0999777350499329</v>
      </c>
      <c r="I1098" s="3" t="str">
        <f t="shared" si="122"/>
        <v>2022-03-01</v>
      </c>
      <c r="J1098" s="9">
        <f t="shared" si="123"/>
        <v>0.11196407190398</v>
      </c>
      <c r="K1098" s="9">
        <f t="shared" si="124"/>
        <v>0.10509623480655</v>
      </c>
      <c r="L1098" s="9">
        <f t="shared" si="125"/>
        <v>0.10239353623546</v>
      </c>
    </row>
    <row r="1099" s="3" customFormat="1" ht="12.95" customHeight="1" spans="1:12">
      <c r="A1099" s="4">
        <v>44634</v>
      </c>
      <c r="B1099" s="8">
        <v>0.0995267124164834</v>
      </c>
      <c r="C1099" s="8">
        <v>0.0313260960022787</v>
      </c>
      <c r="D1099" s="8">
        <v>0.0446845177574967</v>
      </c>
      <c r="E1099" s="8">
        <v>0.076</v>
      </c>
      <c r="F1099" s="9">
        <f t="shared" si="119"/>
        <v>0.105303421662538</v>
      </c>
      <c r="G1099" s="9">
        <f t="shared" si="120"/>
        <v>0.100682073745632</v>
      </c>
      <c r="H1099" s="9">
        <f t="shared" si="121"/>
        <v>0.100104393081058</v>
      </c>
      <c r="I1099" s="3" t="str">
        <f t="shared" si="122"/>
        <v>2022-03-01</v>
      </c>
      <c r="J1099" s="9">
        <f t="shared" si="123"/>
        <v>0.11196407190398</v>
      </c>
      <c r="K1099" s="9">
        <f t="shared" si="124"/>
        <v>0.10509623480655</v>
      </c>
      <c r="L1099" s="9">
        <f t="shared" si="125"/>
        <v>0.10239353623546</v>
      </c>
    </row>
    <row r="1100" s="3" customFormat="1" ht="12.95" customHeight="1" spans="1:12">
      <c r="A1100" s="4">
        <v>44631</v>
      </c>
      <c r="B1100" s="8">
        <v>0.104635426389132</v>
      </c>
      <c r="C1100" s="8">
        <v>0.0247247789165751</v>
      </c>
      <c r="D1100" s="8">
        <v>-0.0504323829823672</v>
      </c>
      <c r="E1100" s="8">
        <v>0.316</v>
      </c>
      <c r="F1100" s="9">
        <f t="shared" si="119"/>
        <v>0.0989848095798787</v>
      </c>
      <c r="G1100" s="9">
        <f t="shared" si="120"/>
        <v>0.103010712806274</v>
      </c>
      <c r="H1100" s="9">
        <f t="shared" si="121"/>
        <v>0.103823066100654</v>
      </c>
      <c r="I1100" s="3" t="str">
        <f t="shared" si="122"/>
        <v>2022-03-01</v>
      </c>
      <c r="J1100" s="9">
        <f t="shared" si="123"/>
        <v>0.11196407190398</v>
      </c>
      <c r="K1100" s="9">
        <f t="shared" si="124"/>
        <v>0.10509623480655</v>
      </c>
      <c r="L1100" s="9">
        <f t="shared" si="125"/>
        <v>0.10239353623546</v>
      </c>
    </row>
    <row r="1101" s="3" customFormat="1" ht="12.95" customHeight="1" spans="1:12">
      <c r="A1101" s="4">
        <v>44630</v>
      </c>
      <c r="B1101" s="8">
        <v>0.105839170972297</v>
      </c>
      <c r="C1101" s="8">
        <v>0.0236967503767373</v>
      </c>
      <c r="D1101" s="8">
        <v>-0.08895689378611</v>
      </c>
      <c r="E1101" s="8">
        <v>0.076</v>
      </c>
      <c r="F1101" s="9">
        <f t="shared" si="119"/>
        <v>0.100879581349716</v>
      </c>
      <c r="G1101" s="9">
        <f t="shared" si="120"/>
        <v>0.104847216792475</v>
      </c>
      <c r="H1101" s="9">
        <f t="shared" si="121"/>
        <v>0.105343193882386</v>
      </c>
      <c r="I1101" s="3" t="str">
        <f t="shared" si="122"/>
        <v>2022-03-01</v>
      </c>
      <c r="J1101" s="9">
        <f t="shared" si="123"/>
        <v>0.11196407190398</v>
      </c>
      <c r="K1101" s="9">
        <f t="shared" si="124"/>
        <v>0.10509623480655</v>
      </c>
      <c r="L1101" s="9">
        <f t="shared" si="125"/>
        <v>0.10239353623546</v>
      </c>
    </row>
    <row r="1102" s="3" customFormat="1" ht="12.95" customHeight="1" spans="1:12">
      <c r="A1102" s="4">
        <v>44629</v>
      </c>
      <c r="B1102" s="8">
        <v>0.106706019819819</v>
      </c>
      <c r="C1102" s="8">
        <v>0.0257247673606709</v>
      </c>
      <c r="D1102" s="8">
        <v>-0.095115109414695</v>
      </c>
      <c r="E1102" s="8">
        <v>0.076</v>
      </c>
      <c r="F1102" s="9">
        <f t="shared" si="119"/>
        <v>0.101432547592615</v>
      </c>
      <c r="G1102" s="9">
        <f t="shared" si="120"/>
        <v>0.105651286620598</v>
      </c>
      <c r="H1102" s="9">
        <f t="shared" si="121"/>
        <v>0.106178653220208</v>
      </c>
      <c r="I1102" s="3" t="str">
        <f t="shared" si="122"/>
        <v>2022-03-01</v>
      </c>
      <c r="J1102" s="9">
        <f t="shared" si="123"/>
        <v>0.11196407190398</v>
      </c>
      <c r="K1102" s="9">
        <f t="shared" si="124"/>
        <v>0.10509623480655</v>
      </c>
      <c r="L1102" s="9">
        <f t="shared" si="125"/>
        <v>0.10239353623546</v>
      </c>
    </row>
    <row r="1103" s="3" customFormat="1" ht="12.95" customHeight="1" spans="1:12">
      <c r="A1103" s="4">
        <v>44625</v>
      </c>
      <c r="B1103" s="8">
        <v>0.108338928192914</v>
      </c>
      <c r="C1103" s="8">
        <v>0.0245297448815103</v>
      </c>
      <c r="D1103" s="8">
        <v>-0.100415855162546</v>
      </c>
      <c r="E1103" s="8">
        <v>0.076</v>
      </c>
      <c r="F1103" s="9">
        <f t="shared" si="119"/>
        <v>0.102571788764768</v>
      </c>
      <c r="G1103" s="9">
        <f t="shared" si="120"/>
        <v>0.107185459316642</v>
      </c>
      <c r="H1103" s="9">
        <f t="shared" si="121"/>
        <v>0.107762193754778</v>
      </c>
      <c r="I1103" s="3" t="str">
        <f t="shared" si="122"/>
        <v>2022-03-01</v>
      </c>
      <c r="J1103" s="9">
        <f t="shared" si="123"/>
        <v>0.11196407190398</v>
      </c>
      <c r="K1103" s="9">
        <f t="shared" si="124"/>
        <v>0.10509623480655</v>
      </c>
      <c r="L1103" s="9">
        <f t="shared" si="125"/>
        <v>0.10239353623546</v>
      </c>
    </row>
    <row r="1104" s="3" customFormat="1" ht="12.95" customHeight="1" spans="1:12">
      <c r="A1104" s="4">
        <v>44624</v>
      </c>
      <c r="B1104" s="8">
        <v>0.108879762819078</v>
      </c>
      <c r="C1104" s="8">
        <v>0.0260880975914061</v>
      </c>
      <c r="D1104" s="8">
        <v>-0.106596246367013</v>
      </c>
      <c r="E1104" s="8">
        <v>0.076</v>
      </c>
      <c r="F1104" s="9">
        <f t="shared" si="119"/>
        <v>0.102761361072668</v>
      </c>
      <c r="G1104" s="9">
        <f t="shared" si="120"/>
        <v>0.107656038957689</v>
      </c>
      <c r="H1104" s="9">
        <f t="shared" si="121"/>
        <v>0.108267900888383</v>
      </c>
      <c r="I1104" s="3" t="str">
        <f t="shared" si="122"/>
        <v>2022-03-01</v>
      </c>
      <c r="J1104" s="9">
        <f t="shared" si="123"/>
        <v>0.11196407190398</v>
      </c>
      <c r="K1104" s="9">
        <f t="shared" si="124"/>
        <v>0.10509623480655</v>
      </c>
      <c r="L1104" s="9">
        <f t="shared" si="125"/>
        <v>0.10239353623546</v>
      </c>
    </row>
    <row r="1105" s="3" customFormat="1" ht="12.95" customHeight="1" spans="1:12">
      <c r="A1105" s="4">
        <v>44623</v>
      </c>
      <c r="B1105" s="8">
        <v>0.108879954689956</v>
      </c>
      <c r="C1105" s="8">
        <v>0.0261752763029089</v>
      </c>
      <c r="D1105" s="8">
        <v>-0.106799709058469</v>
      </c>
      <c r="E1105" s="8">
        <v>0.076</v>
      </c>
      <c r="F1105" s="9">
        <f t="shared" si="119"/>
        <v>0.102752715770848</v>
      </c>
      <c r="G1105" s="9">
        <f t="shared" si="120"/>
        <v>0.107654463312071</v>
      </c>
      <c r="H1105" s="9">
        <f t="shared" si="121"/>
        <v>0.108267209001014</v>
      </c>
      <c r="I1105" s="3" t="str">
        <f t="shared" si="122"/>
        <v>2022-03-01</v>
      </c>
      <c r="J1105" s="9">
        <f t="shared" si="123"/>
        <v>0.11196407190398</v>
      </c>
      <c r="K1105" s="9">
        <f t="shared" si="124"/>
        <v>0.10509623480655</v>
      </c>
      <c r="L1105" s="9">
        <f t="shared" si="125"/>
        <v>0.10239353623546</v>
      </c>
    </row>
    <row r="1106" s="3" customFormat="1" ht="12.95" customHeight="1" spans="1:12">
      <c r="A1106" s="4">
        <v>44622</v>
      </c>
      <c r="B1106" s="8">
        <v>0.104700744953696</v>
      </c>
      <c r="C1106" s="8">
        <v>0.0302671154567883</v>
      </c>
      <c r="D1106" s="8">
        <v>-0.097598318579962</v>
      </c>
      <c r="E1106" s="8">
        <v>0.076</v>
      </c>
      <c r="F1106" s="9">
        <f t="shared" si="119"/>
        <v>0.0995837717762265</v>
      </c>
      <c r="G1106" s="9">
        <f t="shared" si="120"/>
        <v>0.103677310666224</v>
      </c>
      <c r="H1106" s="9">
        <f t="shared" si="121"/>
        <v>0.10418902780996</v>
      </c>
      <c r="I1106" s="3" t="str">
        <f t="shared" si="122"/>
        <v>2022-03-01</v>
      </c>
      <c r="J1106" s="9">
        <f t="shared" si="123"/>
        <v>0.11196407190398</v>
      </c>
      <c r="K1106" s="9">
        <f t="shared" si="124"/>
        <v>0.10509623480655</v>
      </c>
      <c r="L1106" s="9">
        <f t="shared" si="125"/>
        <v>0.10239353623546</v>
      </c>
    </row>
    <row r="1107" s="3" customFormat="1" ht="12.95" customHeight="1" spans="1:12">
      <c r="A1107" s="10">
        <v>44621</v>
      </c>
      <c r="B1107" s="11">
        <v>0.104992106097544</v>
      </c>
      <c r="C1107" s="11">
        <v>0.0301504878447495</v>
      </c>
      <c r="D1107" s="11">
        <v>-0.098415111331053</v>
      </c>
      <c r="E1107" s="11">
        <v>0.076</v>
      </c>
      <c r="F1107" s="9">
        <f t="shared" si="119"/>
        <v>0.0998041946859649</v>
      </c>
      <c r="G1107" s="9">
        <f t="shared" si="120"/>
        <v>0.103954483820552</v>
      </c>
      <c r="H1107" s="9">
        <f t="shared" si="121"/>
        <v>0.104473294959048</v>
      </c>
      <c r="I1107" s="3" t="str">
        <f t="shared" si="122"/>
        <v>2022-03-01</v>
      </c>
      <c r="J1107" s="9">
        <f t="shared" si="123"/>
        <v>0.11196407190398</v>
      </c>
      <c r="K1107" s="9">
        <f t="shared" si="124"/>
        <v>0.10509623480655</v>
      </c>
      <c r="L1107" s="9">
        <f t="shared" si="125"/>
        <v>0.10239353623546</v>
      </c>
    </row>
    <row r="1108" s="3" customFormat="1" ht="12.95" customHeight="1" spans="1:12">
      <c r="A1108" s="10">
        <v>44620</v>
      </c>
      <c r="B1108" s="11">
        <v>0.10736363625465</v>
      </c>
      <c r="C1108" s="11">
        <v>0.0274294600868817</v>
      </c>
      <c r="D1108" s="11">
        <v>-0.102753257518707</v>
      </c>
      <c r="E1108" s="11">
        <v>0.076</v>
      </c>
      <c r="F1108" s="9">
        <f t="shared" si="119"/>
        <v>0.101639237032175</v>
      </c>
      <c r="G1108" s="9">
        <f t="shared" si="120"/>
        <v>0.106218714533686</v>
      </c>
      <c r="H1108" s="9">
        <f t="shared" si="121"/>
        <v>0.106791175394168</v>
      </c>
      <c r="I1108" s="3" t="str">
        <f t="shared" si="122"/>
        <v>2022-02-01</v>
      </c>
      <c r="J1108" s="9">
        <f t="shared" si="123"/>
        <v>0.0991217028219053</v>
      </c>
      <c r="K1108" s="9">
        <f t="shared" si="124"/>
        <v>0.103126142607971</v>
      </c>
      <c r="L1108" s="9">
        <f t="shared" si="125"/>
        <v>0.103601528112942</v>
      </c>
    </row>
    <row r="1109" s="3" customFormat="1" ht="12.95" customHeight="1" spans="1:12">
      <c r="A1109" s="10">
        <v>44617</v>
      </c>
      <c r="B1109" s="11">
        <v>0.106103475355485</v>
      </c>
      <c r="C1109" s="11">
        <v>0.0286022274968065</v>
      </c>
      <c r="D1109" s="11">
        <v>-0.0999893834945166</v>
      </c>
      <c r="E1109" s="11">
        <v>0.076</v>
      </c>
      <c r="F1109" s="9">
        <f t="shared" si="119"/>
        <v>0.100678254969732</v>
      </c>
      <c r="G1109" s="9">
        <f t="shared" si="120"/>
        <v>0.10501839058432</v>
      </c>
      <c r="H1109" s="9">
        <f t="shared" si="121"/>
        <v>0.105560932969902</v>
      </c>
      <c r="I1109" s="3" t="str">
        <f t="shared" si="122"/>
        <v>2022-02-01</v>
      </c>
      <c r="J1109" s="9">
        <f t="shared" si="123"/>
        <v>0.0991217028219053</v>
      </c>
      <c r="K1109" s="9">
        <f t="shared" si="124"/>
        <v>0.103126142607971</v>
      </c>
      <c r="L1109" s="9">
        <f t="shared" si="125"/>
        <v>0.103601528112942</v>
      </c>
    </row>
    <row r="1110" s="3" customFormat="1" ht="12.95" customHeight="1" spans="1:12">
      <c r="A1110" s="10">
        <v>44616</v>
      </c>
      <c r="B1110" s="11">
        <v>0.104982109054027</v>
      </c>
      <c r="C1110" s="11">
        <v>-0.000171744701681992</v>
      </c>
      <c r="D1110" s="11">
        <v>-0.0390409804861304</v>
      </c>
      <c r="E1110" s="11">
        <v>0.076</v>
      </c>
      <c r="F1110" s="9">
        <f t="shared" si="119"/>
        <v>0.102002023048339</v>
      </c>
      <c r="G1110" s="9">
        <f t="shared" si="120"/>
        <v>0.104386075631172</v>
      </c>
      <c r="H1110" s="9">
        <f t="shared" si="121"/>
        <v>0.1046840923426</v>
      </c>
      <c r="I1110" s="3" t="str">
        <f t="shared" si="122"/>
        <v>2022-02-01</v>
      </c>
      <c r="J1110" s="9">
        <f t="shared" si="123"/>
        <v>0.0991217028219053</v>
      </c>
      <c r="K1110" s="9">
        <f t="shared" si="124"/>
        <v>0.103126142607971</v>
      </c>
      <c r="L1110" s="9">
        <f t="shared" si="125"/>
        <v>0.103601528112942</v>
      </c>
    </row>
    <row r="1111" s="3" customFormat="1" ht="12.95" customHeight="1" spans="1:12">
      <c r="A1111" s="10">
        <v>44615</v>
      </c>
      <c r="B1111" s="11">
        <v>0.10521030732718</v>
      </c>
      <c r="C1111" s="11">
        <v>-0.000399942974834611</v>
      </c>
      <c r="D1111" s="11">
        <v>-0.0432570729598613</v>
      </c>
      <c r="E1111" s="11">
        <v>0.076</v>
      </c>
      <c r="F1111" s="9">
        <f t="shared" si="119"/>
        <v>0.101892464014518</v>
      </c>
      <c r="G1111" s="9">
        <f t="shared" si="120"/>
        <v>0.104546720684973</v>
      </c>
      <c r="H1111" s="9">
        <f t="shared" si="121"/>
        <v>0.104878514006076</v>
      </c>
      <c r="I1111" s="3" t="str">
        <f t="shared" si="122"/>
        <v>2022-02-01</v>
      </c>
      <c r="J1111" s="9">
        <f t="shared" si="123"/>
        <v>0.0991217028219053</v>
      </c>
      <c r="K1111" s="9">
        <f t="shared" si="124"/>
        <v>0.103126142607971</v>
      </c>
      <c r="L1111" s="9">
        <f t="shared" si="125"/>
        <v>0.103601528112942</v>
      </c>
    </row>
    <row r="1112" s="3" customFormat="1" ht="12.95" customHeight="1" spans="1:12">
      <c r="A1112" s="10">
        <v>44614</v>
      </c>
      <c r="B1112" s="11">
        <v>0.105197729328371</v>
      </c>
      <c r="C1112" s="11">
        <v>-0.00770810805111418</v>
      </c>
      <c r="D1112" s="11">
        <v>-0.0288834237176821</v>
      </c>
      <c r="E1112" s="11">
        <v>0.086</v>
      </c>
      <c r="F1112" s="9">
        <f t="shared" si="119"/>
        <v>0.102051143108743</v>
      </c>
      <c r="G1112" s="9">
        <f t="shared" si="120"/>
        <v>0.104568354981948</v>
      </c>
      <c r="H1112" s="9">
        <f t="shared" si="121"/>
        <v>0.104883042155159</v>
      </c>
      <c r="I1112" s="3" t="str">
        <f t="shared" si="122"/>
        <v>2022-02-01</v>
      </c>
      <c r="J1112" s="9">
        <f t="shared" si="123"/>
        <v>0.0991217028219053</v>
      </c>
      <c r="K1112" s="9">
        <f t="shared" si="124"/>
        <v>0.103126142607971</v>
      </c>
      <c r="L1112" s="9">
        <f t="shared" si="125"/>
        <v>0.103601528112942</v>
      </c>
    </row>
    <row r="1113" s="3" customFormat="1" ht="12.95" customHeight="1" spans="1:12">
      <c r="A1113" s="10">
        <v>44613</v>
      </c>
      <c r="B1113" s="11">
        <v>0.103545062650064</v>
      </c>
      <c r="C1113" s="11">
        <v>-0.00932638741108265</v>
      </c>
      <c r="D1113" s="11">
        <v>0.0157466598313344</v>
      </c>
      <c r="E1113" s="11">
        <v>1</v>
      </c>
      <c r="F1113" s="9">
        <f t="shared" si="119"/>
        <v>0.101810576421117</v>
      </c>
      <c r="G1113" s="9">
        <f t="shared" si="120"/>
        <v>0.104714365083701</v>
      </c>
      <c r="H1113" s="9">
        <f t="shared" si="121"/>
        <v>0.104186345846847</v>
      </c>
      <c r="I1113" s="3" t="str">
        <f t="shared" si="122"/>
        <v>2022-02-01</v>
      </c>
      <c r="J1113" s="9">
        <f t="shared" si="123"/>
        <v>0.0991217028219053</v>
      </c>
      <c r="K1113" s="9">
        <f t="shared" si="124"/>
        <v>0.103126142607971</v>
      </c>
      <c r="L1113" s="9">
        <f t="shared" si="125"/>
        <v>0.103601528112942</v>
      </c>
    </row>
    <row r="1114" s="3" customFormat="1" ht="12.95" customHeight="1" spans="1:12">
      <c r="A1114" s="10">
        <v>44610</v>
      </c>
      <c r="B1114" s="11">
        <v>0.105964043263715</v>
      </c>
      <c r="C1114" s="11">
        <v>-0.0119274013373321</v>
      </c>
      <c r="D1114" s="11">
        <v>-0.0190711957309677</v>
      </c>
      <c r="E1114" s="11">
        <v>0.216</v>
      </c>
      <c r="F1114" s="9">
        <f t="shared" si="119"/>
        <v>0.0995197892378159</v>
      </c>
      <c r="G1114" s="9">
        <f t="shared" si="120"/>
        <v>0.104624903872171</v>
      </c>
      <c r="H1114" s="9">
        <f t="shared" si="121"/>
        <v>0.10529447356704</v>
      </c>
      <c r="I1114" s="3" t="str">
        <f t="shared" si="122"/>
        <v>2022-02-01</v>
      </c>
      <c r="J1114" s="9">
        <f t="shared" si="123"/>
        <v>0.0991217028219053</v>
      </c>
      <c r="K1114" s="9">
        <f t="shared" si="124"/>
        <v>0.103126142607971</v>
      </c>
      <c r="L1114" s="9">
        <f t="shared" si="125"/>
        <v>0.103601528112942</v>
      </c>
    </row>
    <row r="1115" s="3" customFormat="1" ht="12.95" customHeight="1" spans="1:12">
      <c r="A1115" s="10">
        <v>44609</v>
      </c>
      <c r="B1115" s="11">
        <v>0.105901374724525</v>
      </c>
      <c r="C1115" s="11">
        <v>-0.0104093932653046</v>
      </c>
      <c r="D1115" s="11">
        <v>-0.0240940509845146</v>
      </c>
      <c r="E1115" s="11">
        <v>0.186</v>
      </c>
      <c r="F1115" s="9">
        <f t="shared" si="119"/>
        <v>0.0996248414703811</v>
      </c>
      <c r="G1115" s="9">
        <f t="shared" si="120"/>
        <v>0.104617846598485</v>
      </c>
      <c r="H1115" s="9">
        <f t="shared" si="121"/>
        <v>0.105259610661478</v>
      </c>
      <c r="I1115" s="3" t="str">
        <f t="shared" si="122"/>
        <v>2022-02-01</v>
      </c>
      <c r="J1115" s="9">
        <f t="shared" si="123"/>
        <v>0.0991217028219053</v>
      </c>
      <c r="K1115" s="9">
        <f t="shared" si="124"/>
        <v>0.103126142607971</v>
      </c>
      <c r="L1115" s="9">
        <f t="shared" si="125"/>
        <v>0.103601528112942</v>
      </c>
    </row>
    <row r="1116" s="3" customFormat="1" ht="12.95" customHeight="1" spans="1:12">
      <c r="A1116" s="10">
        <v>44608</v>
      </c>
      <c r="B1116" s="11">
        <v>0.106075390659944</v>
      </c>
      <c r="C1116" s="11">
        <v>-0.0103107686755649</v>
      </c>
      <c r="D1116" s="11">
        <v>-0.0258396935016004</v>
      </c>
      <c r="E1116" s="11">
        <v>0.176</v>
      </c>
      <c r="F1116" s="9">
        <f t="shared" si="119"/>
        <v>0.0998226336423537</v>
      </c>
      <c r="G1116" s="9">
        <f t="shared" si="120"/>
        <v>0.10480289439132</v>
      </c>
      <c r="H1116" s="9">
        <f t="shared" si="121"/>
        <v>0.105439142525626</v>
      </c>
      <c r="I1116" s="3" t="str">
        <f t="shared" si="122"/>
        <v>2022-02-01</v>
      </c>
      <c r="J1116" s="9">
        <f t="shared" si="123"/>
        <v>0.0991217028219053</v>
      </c>
      <c r="K1116" s="9">
        <f t="shared" si="124"/>
        <v>0.103126142607971</v>
      </c>
      <c r="L1116" s="9">
        <f t="shared" si="125"/>
        <v>0.103601528112942</v>
      </c>
    </row>
    <row r="1117" s="3" customFormat="1" ht="12.95" customHeight="1" spans="1:12">
      <c r="A1117" s="10">
        <v>44607</v>
      </c>
      <c r="B1117" s="11">
        <v>0.105701915334865</v>
      </c>
      <c r="C1117" s="11">
        <v>-0.0082122940576075</v>
      </c>
      <c r="D1117" s="11">
        <v>-0.0310165163705638</v>
      </c>
      <c r="E1117" s="11">
        <v>0.156</v>
      </c>
      <c r="F1117" s="9">
        <f t="shared" si="119"/>
        <v>0.0996432952226575</v>
      </c>
      <c r="G1117" s="9">
        <f t="shared" si="120"/>
        <v>0.104477976449506</v>
      </c>
      <c r="H1117" s="9">
        <f t="shared" si="121"/>
        <v>0.105089945892186</v>
      </c>
      <c r="I1117" s="3" t="str">
        <f t="shared" si="122"/>
        <v>2022-02-01</v>
      </c>
      <c r="J1117" s="9">
        <f t="shared" si="123"/>
        <v>0.0991217028219053</v>
      </c>
      <c r="K1117" s="9">
        <f t="shared" si="124"/>
        <v>0.103126142607971</v>
      </c>
      <c r="L1117" s="9">
        <f t="shared" si="125"/>
        <v>0.103601528112942</v>
      </c>
    </row>
    <row r="1118" s="3" customFormat="1" ht="12.95" customHeight="1" spans="1:12">
      <c r="A1118" s="10">
        <v>44606</v>
      </c>
      <c r="B1118" s="11">
        <v>0.105713583773132</v>
      </c>
      <c r="C1118" s="11">
        <v>-0.0084961330577724</v>
      </c>
      <c r="D1118" s="11">
        <v>-0.0303815488801559</v>
      </c>
      <c r="E1118" s="11">
        <v>0.156</v>
      </c>
      <c r="F1118" s="9">
        <f t="shared" si="119"/>
        <v>0.0997086053512847</v>
      </c>
      <c r="G1118" s="9">
        <f t="shared" si="120"/>
        <v>0.104500600096669</v>
      </c>
      <c r="H1118" s="9">
        <f t="shared" si="121"/>
        <v>0.1051070919349</v>
      </c>
      <c r="I1118" s="3" t="str">
        <f t="shared" si="122"/>
        <v>2022-02-01</v>
      </c>
      <c r="J1118" s="9">
        <f t="shared" si="123"/>
        <v>0.0991217028219053</v>
      </c>
      <c r="K1118" s="9">
        <f t="shared" si="124"/>
        <v>0.103126142607971</v>
      </c>
      <c r="L1118" s="9">
        <f t="shared" si="125"/>
        <v>0.103601528112942</v>
      </c>
    </row>
    <row r="1119" s="3" customFormat="1" ht="12.95" customHeight="1" spans="1:12">
      <c r="A1119" s="10">
        <v>44603</v>
      </c>
      <c r="B1119" s="11">
        <v>0.104755890506849</v>
      </c>
      <c r="C1119" s="11">
        <v>-0.00862786341262864</v>
      </c>
      <c r="D1119" s="11">
        <v>-0.0196178140898236</v>
      </c>
      <c r="E1119" s="11">
        <v>0.346</v>
      </c>
      <c r="F1119" s="9">
        <f t="shared" si="119"/>
        <v>0.0966160332398326</v>
      </c>
      <c r="G1119" s="9">
        <f t="shared" si="120"/>
        <v>0.102801301051593</v>
      </c>
      <c r="H1119" s="9">
        <f t="shared" si="121"/>
        <v>0.10377859006527</v>
      </c>
      <c r="I1119" s="3" t="str">
        <f t="shared" si="122"/>
        <v>2022-02-01</v>
      </c>
      <c r="J1119" s="9">
        <f t="shared" si="123"/>
        <v>0.0991217028219053</v>
      </c>
      <c r="K1119" s="9">
        <f t="shared" si="124"/>
        <v>0.103126142607971</v>
      </c>
      <c r="L1119" s="9">
        <f t="shared" si="125"/>
        <v>0.103601528112942</v>
      </c>
    </row>
    <row r="1120" s="3" customFormat="1" ht="12.95" customHeight="1" spans="1:12">
      <c r="A1120" s="10">
        <v>44602</v>
      </c>
      <c r="B1120" s="11">
        <v>0.104757975247685</v>
      </c>
      <c r="C1120" s="11">
        <v>-0.00872078705074255</v>
      </c>
      <c r="D1120" s="11">
        <v>-0.0232422558232147</v>
      </c>
      <c r="E1120" s="11">
        <v>0.266</v>
      </c>
      <c r="F1120" s="9">
        <f t="shared" si="119"/>
        <v>0.0969953795211472</v>
      </c>
      <c r="G1120" s="9">
        <f t="shared" si="120"/>
        <v>0.103057541537994</v>
      </c>
      <c r="H1120" s="9">
        <f t="shared" si="121"/>
        <v>0.103907758307238</v>
      </c>
      <c r="I1120" s="3" t="str">
        <f t="shared" si="122"/>
        <v>2022-02-01</v>
      </c>
      <c r="J1120" s="9">
        <f t="shared" si="123"/>
        <v>0.0991217028219053</v>
      </c>
      <c r="K1120" s="9">
        <f t="shared" si="124"/>
        <v>0.103126142607971</v>
      </c>
      <c r="L1120" s="9">
        <f t="shared" si="125"/>
        <v>0.103601528112942</v>
      </c>
    </row>
    <row r="1121" s="3" customFormat="1" ht="12.95" customHeight="1" spans="1:12">
      <c r="A1121" s="10">
        <v>44601</v>
      </c>
      <c r="B1121" s="11">
        <v>0.103835697269043</v>
      </c>
      <c r="C1121" s="11">
        <v>-0.00218204354254316</v>
      </c>
      <c r="D1121" s="11">
        <v>-0.0398080484354385</v>
      </c>
      <c r="E1121" s="11">
        <v>0.146</v>
      </c>
      <c r="F1121" s="9">
        <f t="shared" si="119"/>
        <v>0.0977538471005029</v>
      </c>
      <c r="G1121" s="9">
        <f t="shared" si="120"/>
        <v>0.102609586583286</v>
      </c>
      <c r="H1121" s="9">
        <f t="shared" si="121"/>
        <v>0.103222641926164</v>
      </c>
      <c r="I1121" s="3" t="str">
        <f t="shared" si="122"/>
        <v>2022-02-01</v>
      </c>
      <c r="J1121" s="9">
        <f t="shared" si="123"/>
        <v>0.0991217028219053</v>
      </c>
      <c r="K1121" s="9">
        <f t="shared" si="124"/>
        <v>0.103126142607971</v>
      </c>
      <c r="L1121" s="9">
        <f t="shared" si="125"/>
        <v>0.103601528112942</v>
      </c>
    </row>
    <row r="1122" s="3" customFormat="1" ht="12.95" customHeight="1" spans="1:12">
      <c r="A1122" s="10">
        <v>44600</v>
      </c>
      <c r="B1122" s="11">
        <v>0.104066028970812</v>
      </c>
      <c r="C1122" s="11">
        <v>-0.00241237524431245</v>
      </c>
      <c r="D1122" s="11">
        <v>-0.0435239841630613</v>
      </c>
      <c r="E1122" s="11">
        <v>0.146</v>
      </c>
      <c r="F1122" s="9">
        <f t="shared" si="119"/>
        <v>0.0974125741532261</v>
      </c>
      <c r="G1122" s="9">
        <f t="shared" si="120"/>
        <v>0.102724687276117</v>
      </c>
      <c r="H1122" s="9">
        <f t="shared" si="121"/>
        <v>0.103395358123464</v>
      </c>
      <c r="I1122" s="3" t="str">
        <f t="shared" si="122"/>
        <v>2022-02-01</v>
      </c>
      <c r="J1122" s="9">
        <f t="shared" si="123"/>
        <v>0.0991217028219053</v>
      </c>
      <c r="K1122" s="9">
        <f t="shared" si="124"/>
        <v>0.103126142607971</v>
      </c>
      <c r="L1122" s="9">
        <f t="shared" si="125"/>
        <v>0.103601528112942</v>
      </c>
    </row>
    <row r="1123" s="3" customFormat="1" ht="12.95" customHeight="1" spans="1:12">
      <c r="A1123" s="10">
        <v>44599</v>
      </c>
      <c r="B1123" s="11">
        <v>0.101029617990054</v>
      </c>
      <c r="C1123" s="11">
        <v>0.000443350940579785</v>
      </c>
      <c r="D1123" s="11">
        <v>-0.0413238935643943</v>
      </c>
      <c r="E1123" s="11">
        <v>0.096</v>
      </c>
      <c r="F1123" s="9">
        <f t="shared" si="119"/>
        <v>0.0971064401599419</v>
      </c>
      <c r="G1123" s="9">
        <f t="shared" si="120"/>
        <v>0.100244711571677</v>
      </c>
      <c r="H1123" s="9">
        <f t="shared" si="121"/>
        <v>0.100637164780865</v>
      </c>
      <c r="I1123" s="3" t="str">
        <f t="shared" si="122"/>
        <v>2022-02-01</v>
      </c>
      <c r="J1123" s="9">
        <f t="shared" si="123"/>
        <v>0.0991217028219053</v>
      </c>
      <c r="K1123" s="9">
        <f t="shared" si="124"/>
        <v>0.103126142607971</v>
      </c>
      <c r="L1123" s="9">
        <f t="shared" si="125"/>
        <v>0.103601528112942</v>
      </c>
    </row>
    <row r="1124" s="3" customFormat="1" ht="12.95" customHeight="1" spans="1:12">
      <c r="A1124" s="10">
        <v>44596</v>
      </c>
      <c r="B1124" s="11">
        <v>0.101006809429981</v>
      </c>
      <c r="C1124" s="11">
        <v>0.00362343964810211</v>
      </c>
      <c r="D1124" s="11">
        <v>-0.0480041287101571</v>
      </c>
      <c r="E1124" s="11">
        <v>0.086</v>
      </c>
      <c r="F1124" s="9">
        <f t="shared" si="119"/>
        <v>0.0971905320928569</v>
      </c>
      <c r="G1124" s="9">
        <f t="shared" si="120"/>
        <v>0.100243461578114</v>
      </c>
      <c r="H1124" s="9">
        <f t="shared" si="121"/>
        <v>0.100625135504047</v>
      </c>
      <c r="I1124" s="3" t="str">
        <f t="shared" si="122"/>
        <v>2022-02-01</v>
      </c>
      <c r="J1124" s="9">
        <f t="shared" si="123"/>
        <v>0.0991217028219053</v>
      </c>
      <c r="K1124" s="9">
        <f t="shared" si="124"/>
        <v>0.103126142607971</v>
      </c>
      <c r="L1124" s="9">
        <f t="shared" si="125"/>
        <v>0.103601528112942</v>
      </c>
    </row>
    <row r="1125" s="3" customFormat="1" ht="12.95" customHeight="1" spans="1:12">
      <c r="A1125" s="10">
        <v>44595</v>
      </c>
      <c r="B1125" s="11">
        <v>0.100256111921537</v>
      </c>
      <c r="C1125" s="11">
        <v>0.00482436452897036</v>
      </c>
      <c r="D1125" s="11">
        <v>-0.0459804690814181</v>
      </c>
      <c r="E1125" s="11">
        <v>0.076</v>
      </c>
      <c r="F1125" s="9">
        <f t="shared" si="119"/>
        <v>0.0971283427637157</v>
      </c>
      <c r="G1125" s="9">
        <f t="shared" si="120"/>
        <v>0.0996305391323398</v>
      </c>
      <c r="H1125" s="9">
        <f t="shared" si="121"/>
        <v>0.0999433255269384</v>
      </c>
      <c r="I1125" s="3" t="str">
        <f t="shared" si="122"/>
        <v>2022-02-01</v>
      </c>
      <c r="J1125" s="9">
        <f t="shared" si="123"/>
        <v>0.0991217028219053</v>
      </c>
      <c r="K1125" s="9">
        <f t="shared" si="124"/>
        <v>0.103126142607971</v>
      </c>
      <c r="L1125" s="9">
        <f t="shared" si="125"/>
        <v>0.103601528112942</v>
      </c>
    </row>
    <row r="1126" s="3" customFormat="1" ht="12.95" customHeight="1" spans="1:12">
      <c r="A1126" s="10">
        <v>44594</v>
      </c>
      <c r="B1126" s="11">
        <v>0.0999789119405233</v>
      </c>
      <c r="C1126" s="11">
        <v>0.00465133713755964</v>
      </c>
      <c r="D1126" s="11">
        <v>-0.0449653755917706</v>
      </c>
      <c r="E1126" s="11">
        <v>0.076</v>
      </c>
      <c r="F1126" s="9">
        <f t="shared" si="119"/>
        <v>0.0969151377233238</v>
      </c>
      <c r="G1126" s="9">
        <f t="shared" si="120"/>
        <v>0.0993661385560193</v>
      </c>
      <c r="H1126" s="9">
        <f t="shared" si="121"/>
        <v>0.0996725252482713</v>
      </c>
      <c r="I1126" s="3" t="str">
        <f t="shared" si="122"/>
        <v>2022-02-01</v>
      </c>
      <c r="J1126" s="9">
        <f t="shared" si="123"/>
        <v>0.0991217028219053</v>
      </c>
      <c r="K1126" s="9">
        <f t="shared" si="124"/>
        <v>0.103126142607971</v>
      </c>
      <c r="L1126" s="9">
        <f t="shared" si="125"/>
        <v>0.103601528112942</v>
      </c>
    </row>
    <row r="1127" s="3" customFormat="1" ht="12.95" customHeight="1" spans="1:12">
      <c r="A1127" s="10">
        <v>44593</v>
      </c>
      <c r="B1127" s="11">
        <v>0.0999793489968614</v>
      </c>
      <c r="C1127" s="11">
        <v>0.00456083027706253</v>
      </c>
      <c r="D1127" s="11">
        <v>-0.0447783982071755</v>
      </c>
      <c r="E1127" s="11">
        <v>0.076</v>
      </c>
      <c r="F1127" s="9">
        <f t="shared" si="119"/>
        <v>0.0969229061644407</v>
      </c>
      <c r="G1127" s="9">
        <f t="shared" si="120"/>
        <v>0.0993680419643237</v>
      </c>
      <c r="H1127" s="9">
        <f t="shared" si="121"/>
        <v>0.0996736954805925</v>
      </c>
      <c r="I1127" s="3" t="str">
        <f t="shared" si="122"/>
        <v>2022-02-01</v>
      </c>
      <c r="J1127" s="9">
        <f t="shared" si="123"/>
        <v>0.0991217028219053</v>
      </c>
      <c r="K1127" s="9">
        <f t="shared" si="124"/>
        <v>0.103126142607971</v>
      </c>
      <c r="L1127" s="9">
        <f t="shared" si="125"/>
        <v>0.103601528112942</v>
      </c>
    </row>
    <row r="1128" s="3" customFormat="1" ht="12.95" customHeight="1" spans="1:12">
      <c r="A1128" s="10">
        <v>44592</v>
      </c>
      <c r="B1128" s="11">
        <v>0.101473182227031</v>
      </c>
      <c r="C1128" s="11">
        <v>0.00279673894876552</v>
      </c>
      <c r="D1128" s="11">
        <v>-0.0437902575691608</v>
      </c>
      <c r="E1128" s="11">
        <v>0.086</v>
      </c>
      <c r="F1128" s="9">
        <f t="shared" si="119"/>
        <v>0.0979481613896067</v>
      </c>
      <c r="G1128" s="9">
        <f t="shared" si="120"/>
        <v>0.10076809370676</v>
      </c>
      <c r="H1128" s="9">
        <f t="shared" si="121"/>
        <v>0.101120637966896</v>
      </c>
      <c r="I1128" s="3" t="str">
        <f t="shared" si="122"/>
        <v>2022-01-01</v>
      </c>
      <c r="J1128" s="9">
        <f t="shared" si="123"/>
        <v>0.0964243537153181</v>
      </c>
      <c r="K1128" s="9">
        <f t="shared" si="124"/>
        <v>0.0984028694307579</v>
      </c>
      <c r="L1128" s="9">
        <f t="shared" si="125"/>
        <v>0.0986501993443231</v>
      </c>
    </row>
    <row r="1129" s="3" customFormat="1" ht="12.95" customHeight="1" spans="1:12">
      <c r="A1129" s="10">
        <v>44589</v>
      </c>
      <c r="B1129" s="11">
        <v>0.099692333107769</v>
      </c>
      <c r="C1129" s="11">
        <v>0.00502797766263403</v>
      </c>
      <c r="D1129" s="11">
        <v>-0.0410252976125708</v>
      </c>
      <c r="E1129" s="11">
        <v>0.076</v>
      </c>
      <c r="F1129" s="9">
        <f t="shared" si="119"/>
        <v>0.0969566212585782</v>
      </c>
      <c r="G1129" s="9">
        <f t="shared" si="120"/>
        <v>0.09914517384453</v>
      </c>
      <c r="H1129" s="9">
        <f t="shared" si="121"/>
        <v>0.0994187534761495</v>
      </c>
      <c r="I1129" s="3" t="str">
        <f t="shared" si="122"/>
        <v>2022-01-01</v>
      </c>
      <c r="J1129" s="9">
        <f t="shared" si="123"/>
        <v>0.0964243537153181</v>
      </c>
      <c r="K1129" s="9">
        <f t="shared" si="124"/>
        <v>0.0984028694307579</v>
      </c>
      <c r="L1129" s="9">
        <f t="shared" si="125"/>
        <v>0.0986501993443231</v>
      </c>
    </row>
    <row r="1130" s="3" customFormat="1" ht="12.95" customHeight="1" spans="1:12">
      <c r="A1130" s="10">
        <v>44588</v>
      </c>
      <c r="B1130" s="11">
        <v>0.0998426704394618</v>
      </c>
      <c r="C1130" s="11">
        <v>0.00496769391288335</v>
      </c>
      <c r="D1130" s="11">
        <v>-0.0435118377997511</v>
      </c>
      <c r="E1130" s="11">
        <v>0.076</v>
      </c>
      <c r="F1130" s="9">
        <f t="shared" si="119"/>
        <v>0.0969134051441506</v>
      </c>
      <c r="G1130" s="9">
        <f t="shared" si="120"/>
        <v>0.0992567994523814</v>
      </c>
      <c r="H1130" s="9">
        <f t="shared" si="121"/>
        <v>0.0995497349459216</v>
      </c>
      <c r="I1130" s="3" t="str">
        <f t="shared" si="122"/>
        <v>2022-01-01</v>
      </c>
      <c r="J1130" s="9">
        <f t="shared" si="123"/>
        <v>0.0964243537153181</v>
      </c>
      <c r="K1130" s="9">
        <f t="shared" si="124"/>
        <v>0.0984028694307579</v>
      </c>
      <c r="L1130" s="9">
        <f t="shared" si="125"/>
        <v>0.0986501993443231</v>
      </c>
    </row>
    <row r="1131" s="3" customFormat="1" ht="12.95" customHeight="1" spans="1:12">
      <c r="A1131" s="10">
        <v>44587</v>
      </c>
      <c r="B1131" s="11">
        <v>0.0997249495674381</v>
      </c>
      <c r="C1131" s="11">
        <v>0.00490529951064488</v>
      </c>
      <c r="D1131" s="11">
        <v>-0.0438710201622236</v>
      </c>
      <c r="E1131" s="11">
        <v>0.076</v>
      </c>
      <c r="F1131" s="9">
        <f t="shared" si="119"/>
        <v>0.09676364519314</v>
      </c>
      <c r="G1131" s="9">
        <f t="shared" si="120"/>
        <v>0.0991326706135341</v>
      </c>
      <c r="H1131" s="9">
        <f t="shared" si="121"/>
        <v>0.0994288100904861</v>
      </c>
      <c r="I1131" s="3" t="str">
        <f t="shared" si="122"/>
        <v>2022-01-01</v>
      </c>
      <c r="J1131" s="9">
        <f t="shared" si="123"/>
        <v>0.0964243537153181</v>
      </c>
      <c r="K1131" s="9">
        <f t="shared" si="124"/>
        <v>0.0984028694307579</v>
      </c>
      <c r="L1131" s="9">
        <f t="shared" si="125"/>
        <v>0.0986501993443231</v>
      </c>
    </row>
    <row r="1132" s="3" customFormat="1" ht="12.95" customHeight="1" spans="1:12">
      <c r="A1132" s="10">
        <v>44586</v>
      </c>
      <c r="B1132" s="11">
        <v>0.0999199734897562</v>
      </c>
      <c r="C1132" s="11">
        <v>1.58551228432153e-5</v>
      </c>
      <c r="D1132" s="11">
        <v>-0.036911356723706</v>
      </c>
      <c r="E1132" s="11">
        <v>0.076</v>
      </c>
      <c r="F1132" s="9">
        <f t="shared" si="119"/>
        <v>0.0971159920261862</v>
      </c>
      <c r="G1132" s="9">
        <f t="shared" si="120"/>
        <v>0.0993591618654231</v>
      </c>
      <c r="H1132" s="9">
        <f t="shared" si="121"/>
        <v>0.0996395676775896</v>
      </c>
      <c r="I1132" s="3" t="str">
        <f t="shared" si="122"/>
        <v>2022-01-01</v>
      </c>
      <c r="J1132" s="9">
        <f t="shared" si="123"/>
        <v>0.0964243537153181</v>
      </c>
      <c r="K1132" s="9">
        <f t="shared" si="124"/>
        <v>0.0984028694307579</v>
      </c>
      <c r="L1132" s="9">
        <f t="shared" si="125"/>
        <v>0.0986501993443231</v>
      </c>
    </row>
    <row r="1133" s="3" customFormat="1" ht="12.95" customHeight="1" spans="1:12">
      <c r="A1133" s="10">
        <v>44585</v>
      </c>
      <c r="B1133" s="11">
        <v>0.100198246049915</v>
      </c>
      <c r="C1133" s="11">
        <v>9.01436711037813e-6</v>
      </c>
      <c r="D1133" s="11">
        <v>-0.0395370108807164</v>
      </c>
      <c r="E1133" s="11">
        <v>0.076</v>
      </c>
      <c r="F1133" s="9">
        <f t="shared" si="119"/>
        <v>0.0971942004271459</v>
      </c>
      <c r="G1133" s="9">
        <f t="shared" si="120"/>
        <v>0.0995974205029082</v>
      </c>
      <c r="H1133" s="9">
        <f t="shared" si="121"/>
        <v>0.0998978332764116</v>
      </c>
      <c r="I1133" s="3" t="str">
        <f t="shared" si="122"/>
        <v>2022-01-01</v>
      </c>
      <c r="J1133" s="9">
        <f t="shared" si="123"/>
        <v>0.0964243537153181</v>
      </c>
      <c r="K1133" s="9">
        <f t="shared" si="124"/>
        <v>0.0984028694307579</v>
      </c>
      <c r="L1133" s="9">
        <f t="shared" si="125"/>
        <v>0.0986501993443231</v>
      </c>
    </row>
    <row r="1134" s="3" customFormat="1" ht="12.95" customHeight="1" spans="1:12">
      <c r="A1134" s="10">
        <v>44582</v>
      </c>
      <c r="B1134" s="11">
        <v>0.100597929010383</v>
      </c>
      <c r="C1134" s="11">
        <v>-0.001114650525433</v>
      </c>
      <c r="D1134" s="11">
        <v>-0.0388471168365799</v>
      </c>
      <c r="E1134" s="11">
        <v>0.076</v>
      </c>
      <c r="F1134" s="9">
        <f t="shared" si="119"/>
        <v>0.0975609155351435</v>
      </c>
      <c r="G1134" s="9">
        <f t="shared" si="120"/>
        <v>0.0999905101464804</v>
      </c>
      <c r="H1134" s="9">
        <f t="shared" si="121"/>
        <v>0.100294219578432</v>
      </c>
      <c r="I1134" s="3" t="str">
        <f t="shared" si="122"/>
        <v>2022-01-01</v>
      </c>
      <c r="J1134" s="9">
        <f t="shared" si="123"/>
        <v>0.0964243537153181</v>
      </c>
      <c r="K1134" s="9">
        <f t="shared" si="124"/>
        <v>0.0984028694307579</v>
      </c>
      <c r="L1134" s="9">
        <f t="shared" si="125"/>
        <v>0.0986501993443231</v>
      </c>
    </row>
    <row r="1135" s="3" customFormat="1" ht="12.95" customHeight="1" spans="1:12">
      <c r="A1135" s="10">
        <v>44581</v>
      </c>
      <c r="B1135" s="11">
        <v>0.0984140474637018</v>
      </c>
      <c r="C1135" s="11">
        <v>-0.00174116020344107</v>
      </c>
      <c r="D1135" s="11">
        <v>-0.029111578928838</v>
      </c>
      <c r="E1135" s="11">
        <v>0.076</v>
      </c>
      <c r="F1135" s="9">
        <f t="shared" si="119"/>
        <v>0.0960693000062932</v>
      </c>
      <c r="G1135" s="9">
        <f t="shared" si="120"/>
        <v>0.0979450858288912</v>
      </c>
      <c r="H1135" s="9">
        <f t="shared" si="121"/>
        <v>0.0981795666462965</v>
      </c>
      <c r="I1135" s="3" t="str">
        <f t="shared" si="122"/>
        <v>2022-01-01</v>
      </c>
      <c r="J1135" s="9">
        <f t="shared" si="123"/>
        <v>0.0964243537153181</v>
      </c>
      <c r="K1135" s="9">
        <f t="shared" si="124"/>
        <v>0.0984028694307579</v>
      </c>
      <c r="L1135" s="9">
        <f t="shared" si="125"/>
        <v>0.0986501993443231</v>
      </c>
    </row>
    <row r="1136" s="3" customFormat="1" ht="12.95" customHeight="1" spans="1:12">
      <c r="A1136" s="10">
        <v>44580</v>
      </c>
      <c r="B1136" s="11">
        <v>0.0979927894524309</v>
      </c>
      <c r="C1136" s="11">
        <v>-0.00632560092660704</v>
      </c>
      <c r="D1136" s="11">
        <v>-0.0188482034874175</v>
      </c>
      <c r="E1136" s="11">
        <v>0.076</v>
      </c>
      <c r="F1136" s="9">
        <f t="shared" si="119"/>
        <v>0.096079620390331</v>
      </c>
      <c r="G1136" s="9">
        <f t="shared" si="120"/>
        <v>0.0976101476253377</v>
      </c>
      <c r="H1136" s="9">
        <f t="shared" si="121"/>
        <v>0.0978014685388843</v>
      </c>
      <c r="I1136" s="3" t="str">
        <f t="shared" si="122"/>
        <v>2022-01-01</v>
      </c>
      <c r="J1136" s="9">
        <f t="shared" si="123"/>
        <v>0.0964243537153181</v>
      </c>
      <c r="K1136" s="9">
        <f t="shared" si="124"/>
        <v>0.0984028694307579</v>
      </c>
      <c r="L1136" s="9">
        <f t="shared" si="125"/>
        <v>0.0986501993443231</v>
      </c>
    </row>
    <row r="1137" s="3" customFormat="1" ht="12.95" customHeight="1" spans="1:12">
      <c r="A1137" s="10">
        <v>44579</v>
      </c>
      <c r="B1137" s="11">
        <v>0.097989521825063</v>
      </c>
      <c r="C1137" s="11">
        <v>-0.00833164989452784</v>
      </c>
      <c r="D1137" s="11">
        <v>-0.0139721285761535</v>
      </c>
      <c r="E1137" s="11">
        <v>0.086</v>
      </c>
      <c r="F1137" s="9">
        <f t="shared" si="119"/>
        <v>0.0960715385195432</v>
      </c>
      <c r="G1137" s="9">
        <f t="shared" si="120"/>
        <v>0.0976058968353673</v>
      </c>
      <c r="H1137" s="9">
        <f t="shared" si="121"/>
        <v>0.0977977093302151</v>
      </c>
      <c r="I1137" s="3" t="str">
        <f t="shared" si="122"/>
        <v>2022-01-01</v>
      </c>
      <c r="J1137" s="9">
        <f t="shared" si="123"/>
        <v>0.0964243537153181</v>
      </c>
      <c r="K1137" s="9">
        <f t="shared" si="124"/>
        <v>0.0984028694307579</v>
      </c>
      <c r="L1137" s="9">
        <f t="shared" si="125"/>
        <v>0.0986501993443231</v>
      </c>
    </row>
    <row r="1138" s="3" customFormat="1" ht="12.95" customHeight="1" spans="1:12">
      <c r="A1138" s="10">
        <v>44578</v>
      </c>
      <c r="B1138" s="11">
        <v>0.0979608324529603</v>
      </c>
      <c r="C1138" s="11">
        <v>-0.00748047932458569</v>
      </c>
      <c r="D1138" s="11">
        <v>-0.0166079293719014</v>
      </c>
      <c r="E1138" s="11">
        <v>0.076</v>
      </c>
      <c r="F1138" s="9">
        <f t="shared" si="119"/>
        <v>0.0961301489820288</v>
      </c>
      <c r="G1138" s="9">
        <f t="shared" si="120"/>
        <v>0.0975946886407737</v>
      </c>
      <c r="H1138" s="9">
        <f t="shared" si="121"/>
        <v>0.097777760546867</v>
      </c>
      <c r="I1138" s="3" t="str">
        <f t="shared" si="122"/>
        <v>2022-01-01</v>
      </c>
      <c r="J1138" s="9">
        <f t="shared" si="123"/>
        <v>0.0964243537153181</v>
      </c>
      <c r="K1138" s="9">
        <f t="shared" si="124"/>
        <v>0.0984028694307579</v>
      </c>
      <c r="L1138" s="9">
        <f t="shared" si="125"/>
        <v>0.0986501993443231</v>
      </c>
    </row>
    <row r="1139" s="3" customFormat="1" ht="12.95" customHeight="1" spans="1:12">
      <c r="A1139" s="10">
        <v>44575</v>
      </c>
      <c r="B1139" s="11">
        <v>0.097957003886382</v>
      </c>
      <c r="C1139" s="11">
        <v>-0.00610735025650294</v>
      </c>
      <c r="D1139" s="11">
        <v>-0.0187124383121136</v>
      </c>
      <c r="E1139" s="11">
        <v>0.076</v>
      </c>
      <c r="F1139" s="9">
        <f t="shared" si="119"/>
        <v>0.0960707397145492</v>
      </c>
      <c r="G1139" s="9">
        <f t="shared" si="120"/>
        <v>0.097579743100139</v>
      </c>
      <c r="H1139" s="9">
        <f t="shared" si="121"/>
        <v>0.0977683734932605</v>
      </c>
      <c r="I1139" s="3" t="str">
        <f t="shared" si="122"/>
        <v>2022-01-01</v>
      </c>
      <c r="J1139" s="9">
        <f t="shared" si="123"/>
        <v>0.0964243537153181</v>
      </c>
      <c r="K1139" s="9">
        <f t="shared" si="124"/>
        <v>0.0984028694307579</v>
      </c>
      <c r="L1139" s="9">
        <f t="shared" si="125"/>
        <v>0.0986501993443231</v>
      </c>
    </row>
    <row r="1140" s="3" customFormat="1" ht="12.95" customHeight="1" spans="1:12">
      <c r="A1140" s="10">
        <v>44574</v>
      </c>
      <c r="B1140" s="11">
        <v>0.0980728509336239</v>
      </c>
      <c r="C1140" s="11">
        <v>-0.0054025160923158</v>
      </c>
      <c r="D1140" s="11">
        <v>-0.0184111407897622</v>
      </c>
      <c r="E1140" s="11">
        <v>0.096</v>
      </c>
      <c r="F1140" s="9">
        <f t="shared" si="119"/>
        <v>0.0957873593308947</v>
      </c>
      <c r="G1140" s="9">
        <f t="shared" si="120"/>
        <v>0.097615628721488</v>
      </c>
      <c r="H1140" s="9">
        <f t="shared" si="121"/>
        <v>0.097844239827556</v>
      </c>
      <c r="I1140" s="3" t="str">
        <f t="shared" si="122"/>
        <v>2022-01-01</v>
      </c>
      <c r="J1140" s="9">
        <f t="shared" si="123"/>
        <v>0.0964243537153181</v>
      </c>
      <c r="K1140" s="9">
        <f t="shared" si="124"/>
        <v>0.0984028694307579</v>
      </c>
      <c r="L1140" s="9">
        <f t="shared" si="125"/>
        <v>0.0986501993443231</v>
      </c>
    </row>
    <row r="1141" s="3" customFormat="1" ht="12.95" customHeight="1" spans="1:12">
      <c r="A1141" s="10">
        <v>44573</v>
      </c>
      <c r="B1141" s="11">
        <v>0.0978761260089042</v>
      </c>
      <c r="C1141" s="11">
        <v>-0.00265685942797021</v>
      </c>
      <c r="D1141" s="11">
        <v>-0.025015126837318</v>
      </c>
      <c r="E1141" s="11">
        <v>0.076</v>
      </c>
      <c r="F1141" s="9">
        <f t="shared" si="119"/>
        <v>0.0957731073958792</v>
      </c>
      <c r="G1141" s="9">
        <f t="shared" si="120"/>
        <v>0.0974555118176718</v>
      </c>
      <c r="H1141" s="9">
        <f t="shared" si="121"/>
        <v>0.097665818913288</v>
      </c>
      <c r="I1141" s="3" t="str">
        <f t="shared" si="122"/>
        <v>2022-01-01</v>
      </c>
      <c r="J1141" s="9">
        <f t="shared" si="123"/>
        <v>0.0964243537153181</v>
      </c>
      <c r="K1141" s="9">
        <f t="shared" si="124"/>
        <v>0.0984028694307579</v>
      </c>
      <c r="L1141" s="9">
        <f t="shared" si="125"/>
        <v>0.0986501993443231</v>
      </c>
    </row>
    <row r="1142" s="3" customFormat="1" ht="12.95" customHeight="1" spans="1:12">
      <c r="A1142" s="10">
        <v>44572</v>
      </c>
      <c r="B1142" s="11">
        <v>0.097924549697735</v>
      </c>
      <c r="C1142" s="11">
        <v>0.000562397016918973</v>
      </c>
      <c r="D1142" s="11">
        <v>-0.0311970101844509</v>
      </c>
      <c r="E1142" s="11">
        <v>0.076</v>
      </c>
      <c r="F1142" s="9">
        <f t="shared" si="119"/>
        <v>0.0955963838069174</v>
      </c>
      <c r="G1142" s="9">
        <f t="shared" si="120"/>
        <v>0.0974589035775885</v>
      </c>
      <c r="H1142" s="9">
        <f t="shared" si="121"/>
        <v>0.0976917266376617</v>
      </c>
      <c r="I1142" s="3" t="str">
        <f t="shared" si="122"/>
        <v>2022-01-01</v>
      </c>
      <c r="J1142" s="9">
        <f t="shared" si="123"/>
        <v>0.0964243537153181</v>
      </c>
      <c r="K1142" s="9">
        <f t="shared" si="124"/>
        <v>0.0984028694307579</v>
      </c>
      <c r="L1142" s="9">
        <f t="shared" si="125"/>
        <v>0.0986501993443231</v>
      </c>
    </row>
    <row r="1143" s="3" customFormat="1" ht="12.95" customHeight="1" spans="1:12">
      <c r="A1143" s="10">
        <v>44571</v>
      </c>
      <c r="B1143" s="11">
        <v>0.0978068138184964</v>
      </c>
      <c r="C1143" s="11">
        <v>-0.00276939848374478</v>
      </c>
      <c r="D1143" s="11">
        <v>-0.0241694915095105</v>
      </c>
      <c r="E1143" s="11">
        <v>0.076</v>
      </c>
      <c r="F1143" s="9">
        <f t="shared" si="119"/>
        <v>0.0957595087823725</v>
      </c>
      <c r="G1143" s="9">
        <f t="shared" si="120"/>
        <v>0.0973973426905989</v>
      </c>
      <c r="H1143" s="9">
        <f t="shared" si="121"/>
        <v>0.0976020782545477</v>
      </c>
      <c r="I1143" s="3" t="str">
        <f t="shared" si="122"/>
        <v>2022-01-01</v>
      </c>
      <c r="J1143" s="9">
        <f t="shared" si="123"/>
        <v>0.0964243537153181</v>
      </c>
      <c r="K1143" s="9">
        <f t="shared" si="124"/>
        <v>0.0984028694307579</v>
      </c>
      <c r="L1143" s="9">
        <f t="shared" si="125"/>
        <v>0.0986501993443231</v>
      </c>
    </row>
    <row r="1144" s="3" customFormat="1" ht="12.95" customHeight="1" spans="1:12">
      <c r="A1144" s="10">
        <v>44566</v>
      </c>
      <c r="B1144" s="11">
        <v>0.0978141779530511</v>
      </c>
      <c r="C1144" s="11">
        <v>0.0025739960782172</v>
      </c>
      <c r="D1144" s="11">
        <v>-0.0340329829229699</v>
      </c>
      <c r="E1144" s="11">
        <v>0.076</v>
      </c>
      <c r="F1144" s="9">
        <f t="shared" si="119"/>
        <v>0.0954233652576473</v>
      </c>
      <c r="G1144" s="9">
        <f t="shared" si="120"/>
        <v>0.0973360013530109</v>
      </c>
      <c r="H1144" s="9">
        <f t="shared" si="121"/>
        <v>0.097575089653031</v>
      </c>
      <c r="I1144" s="3" t="str">
        <f t="shared" si="122"/>
        <v>2022-01-01</v>
      </c>
      <c r="J1144" s="9">
        <f t="shared" si="123"/>
        <v>0.0964243537153181</v>
      </c>
      <c r="K1144" s="9">
        <f t="shared" si="124"/>
        <v>0.0984028694307579</v>
      </c>
      <c r="L1144" s="9">
        <f t="shared" si="125"/>
        <v>0.0986501993443231</v>
      </c>
    </row>
    <row r="1145" s="3" customFormat="1" ht="12.95" customHeight="1" spans="1:12">
      <c r="A1145" s="10">
        <v>44561</v>
      </c>
      <c r="B1145" s="11">
        <v>0.0984068101723206</v>
      </c>
      <c r="C1145" s="11">
        <v>0.00243350475375094</v>
      </c>
      <c r="D1145" s="11">
        <v>-0.0365622108079147</v>
      </c>
      <c r="E1145" s="11">
        <v>0.076</v>
      </c>
      <c r="F1145" s="9">
        <f t="shared" si="119"/>
        <v>0.0958131040905111</v>
      </c>
      <c r="G1145" s="9">
        <f t="shared" si="120"/>
        <v>0.0978880538402973</v>
      </c>
      <c r="H1145" s="9">
        <f t="shared" si="121"/>
        <v>0.098147432006309</v>
      </c>
      <c r="I1145" s="3" t="str">
        <f t="shared" si="122"/>
        <v>2021-12-01</v>
      </c>
      <c r="J1145" s="9">
        <f t="shared" si="123"/>
        <v>0.0959459184501979</v>
      </c>
      <c r="K1145" s="9">
        <f t="shared" si="124"/>
        <v>0.0979991713095272</v>
      </c>
      <c r="L1145" s="9">
        <f t="shared" si="125"/>
        <v>0.098255837003304</v>
      </c>
    </row>
    <row r="1146" s="3" customFormat="1" ht="12.95" customHeight="1" spans="1:12">
      <c r="A1146" s="10">
        <v>44560</v>
      </c>
      <c r="B1146" s="11">
        <v>0.0983356110874404</v>
      </c>
      <c r="C1146" s="11">
        <v>0.00132871202550494</v>
      </c>
      <c r="D1146" s="11">
        <v>-0.0345809343479279</v>
      </c>
      <c r="E1146" s="11">
        <v>0.076</v>
      </c>
      <c r="F1146" s="9">
        <f t="shared" si="119"/>
        <v>0.0958085138164382</v>
      </c>
      <c r="G1146" s="9">
        <f t="shared" si="120"/>
        <v>0.0978301773081396</v>
      </c>
      <c r="H1146" s="9">
        <f t="shared" si="121"/>
        <v>0.09808289419779</v>
      </c>
      <c r="I1146" s="3" t="str">
        <f t="shared" si="122"/>
        <v>2021-12-01</v>
      </c>
      <c r="J1146" s="9">
        <f t="shared" si="123"/>
        <v>0.0959459184501979</v>
      </c>
      <c r="K1146" s="9">
        <f t="shared" si="124"/>
        <v>0.0979991713095272</v>
      </c>
      <c r="L1146" s="9">
        <f t="shared" si="125"/>
        <v>0.098255837003304</v>
      </c>
    </row>
    <row r="1147" s="3" customFormat="1" ht="12.95" customHeight="1" spans="1:12">
      <c r="A1147" s="10">
        <v>44559</v>
      </c>
      <c r="B1147" s="11">
        <v>0.0983016117445241</v>
      </c>
      <c r="C1147" s="11">
        <v>-0.00162872448426346</v>
      </c>
      <c r="D1147" s="11">
        <v>-0.0288624123351421</v>
      </c>
      <c r="E1147" s="11">
        <v>0.076</v>
      </c>
      <c r="F1147" s="9">
        <f t="shared" si="119"/>
        <v>0.0959843455289114</v>
      </c>
      <c r="G1147" s="9">
        <f t="shared" si="120"/>
        <v>0.0978381464648691</v>
      </c>
      <c r="H1147" s="9">
        <f t="shared" si="121"/>
        <v>0.0980698791046966</v>
      </c>
      <c r="I1147" s="3" t="str">
        <f t="shared" si="122"/>
        <v>2021-12-01</v>
      </c>
      <c r="J1147" s="9">
        <f t="shared" si="123"/>
        <v>0.0959459184501979</v>
      </c>
      <c r="K1147" s="9">
        <f t="shared" si="124"/>
        <v>0.0979991713095272</v>
      </c>
      <c r="L1147" s="9">
        <f t="shared" si="125"/>
        <v>0.098255837003304</v>
      </c>
    </row>
    <row r="1148" s="3" customFormat="1" ht="12.95" customHeight="1" spans="1:12">
      <c r="A1148" s="10">
        <v>44558</v>
      </c>
      <c r="B1148" s="11">
        <v>0.0983115330936388</v>
      </c>
      <c r="C1148" s="11">
        <v>-0.00154786466133085</v>
      </c>
      <c r="D1148" s="11">
        <v>-0.029031673857953</v>
      </c>
      <c r="E1148" s="11">
        <v>0.076</v>
      </c>
      <c r="F1148" s="9">
        <f t="shared" si="119"/>
        <v>0.0959875486885094</v>
      </c>
      <c r="G1148" s="9">
        <f t="shared" si="120"/>
        <v>0.0978467241081457</v>
      </c>
      <c r="H1148" s="9">
        <f t="shared" si="121"/>
        <v>0.0980791286008922</v>
      </c>
      <c r="I1148" s="3" t="str">
        <f t="shared" si="122"/>
        <v>2021-12-01</v>
      </c>
      <c r="J1148" s="9">
        <f t="shared" si="123"/>
        <v>0.0959459184501979</v>
      </c>
      <c r="K1148" s="9">
        <f t="shared" si="124"/>
        <v>0.0979991713095272</v>
      </c>
      <c r="L1148" s="9">
        <f t="shared" si="125"/>
        <v>0.098255837003304</v>
      </c>
    </row>
    <row r="1149" s="3" customFormat="1" ht="12.95" customHeight="1" spans="1:12">
      <c r="A1149" s="10">
        <v>44557</v>
      </c>
      <c r="B1149" s="11">
        <v>0.0982839339921493</v>
      </c>
      <c r="C1149" s="11">
        <v>-0.00406525875316755</v>
      </c>
      <c r="D1149" s="11">
        <v>-0.0256822447507627</v>
      </c>
      <c r="E1149" s="11">
        <v>0.076</v>
      </c>
      <c r="F1149" s="9">
        <f t="shared" si="119"/>
        <v>0.0960231776611145</v>
      </c>
      <c r="G1149" s="9">
        <f t="shared" si="120"/>
        <v>0.0978317719388896</v>
      </c>
      <c r="H1149" s="9">
        <f t="shared" si="121"/>
        <v>0.0980578529655194</v>
      </c>
      <c r="I1149" s="3" t="str">
        <f t="shared" si="122"/>
        <v>2021-12-01</v>
      </c>
      <c r="J1149" s="9">
        <f t="shared" si="123"/>
        <v>0.0959459184501979</v>
      </c>
      <c r="K1149" s="9">
        <f t="shared" si="124"/>
        <v>0.0979991713095272</v>
      </c>
      <c r="L1149" s="9">
        <f t="shared" si="125"/>
        <v>0.098255837003304</v>
      </c>
    </row>
    <row r="1150" s="3" customFormat="1" ht="12.95" customHeight="1" spans="1:12">
      <c r="A1150" s="10">
        <v>44554</v>
      </c>
      <c r="B1150" s="11">
        <v>0.0983667832434496</v>
      </c>
      <c r="C1150" s="11">
        <v>-0.00205710310604124</v>
      </c>
      <c r="D1150" s="11">
        <v>-0.029837931951348</v>
      </c>
      <c r="E1150" s="11">
        <v>0.076</v>
      </c>
      <c r="F1150" s="9">
        <f t="shared" si="119"/>
        <v>0.0959428228506269</v>
      </c>
      <c r="G1150" s="9">
        <f t="shared" si="120"/>
        <v>0.0978819787105773</v>
      </c>
      <c r="H1150" s="9">
        <f t="shared" si="121"/>
        <v>0.0981243809770134</v>
      </c>
      <c r="I1150" s="3" t="str">
        <f t="shared" si="122"/>
        <v>2021-12-01</v>
      </c>
      <c r="J1150" s="9">
        <f t="shared" si="123"/>
        <v>0.0959459184501979</v>
      </c>
      <c r="K1150" s="9">
        <f t="shared" si="124"/>
        <v>0.0979991713095272</v>
      </c>
      <c r="L1150" s="9">
        <f t="shared" si="125"/>
        <v>0.098255837003304</v>
      </c>
    </row>
    <row r="1151" s="3" customFormat="1" ht="12.95" customHeight="1" spans="1:12">
      <c r="A1151" s="10">
        <v>44553</v>
      </c>
      <c r="B1151" s="11">
        <v>0.0987063860368577</v>
      </c>
      <c r="C1151" s="11">
        <v>-0.000128822675863778</v>
      </c>
      <c r="D1151" s="11">
        <v>-0.0349456215782132</v>
      </c>
      <c r="E1151" s="11">
        <v>0.076</v>
      </c>
      <c r="F1151" s="9">
        <f t="shared" si="119"/>
        <v>0.0960408008702727</v>
      </c>
      <c r="G1151" s="9">
        <f t="shared" si="120"/>
        <v>0.0981732544841957</v>
      </c>
      <c r="H1151" s="9">
        <f t="shared" si="121"/>
        <v>0.0984398202605267</v>
      </c>
      <c r="I1151" s="3" t="str">
        <f t="shared" si="122"/>
        <v>2021-12-01</v>
      </c>
      <c r="J1151" s="9">
        <f t="shared" si="123"/>
        <v>0.0959459184501979</v>
      </c>
      <c r="K1151" s="9">
        <f t="shared" si="124"/>
        <v>0.0979991713095272</v>
      </c>
      <c r="L1151" s="9">
        <f t="shared" si="125"/>
        <v>0.098255837003304</v>
      </c>
    </row>
    <row r="1152" s="3" customFormat="1" ht="12.95" customHeight="1" spans="1:12">
      <c r="A1152" s="10">
        <v>44552</v>
      </c>
      <c r="B1152" s="11">
        <v>0.0984926506005657</v>
      </c>
      <c r="C1152" s="11">
        <v>0.00243806797787493</v>
      </c>
      <c r="D1152" s="11">
        <v>-0.0371254329282274</v>
      </c>
      <c r="E1152" s="11">
        <v>0.076</v>
      </c>
      <c r="F1152" s="9">
        <f t="shared" si="119"/>
        <v>0.0958564876117206</v>
      </c>
      <c r="G1152" s="9">
        <f t="shared" si="120"/>
        <v>0.0979654026533203</v>
      </c>
      <c r="H1152" s="9">
        <f t="shared" si="121"/>
        <v>0.098229026626943</v>
      </c>
      <c r="I1152" s="3" t="str">
        <f t="shared" si="122"/>
        <v>2021-12-01</v>
      </c>
      <c r="J1152" s="9">
        <f t="shared" si="123"/>
        <v>0.0959459184501979</v>
      </c>
      <c r="K1152" s="9">
        <f t="shared" si="124"/>
        <v>0.0979991713095272</v>
      </c>
      <c r="L1152" s="9">
        <f t="shared" si="125"/>
        <v>0.098255837003304</v>
      </c>
    </row>
    <row r="1153" s="3" customFormat="1" ht="12.95" customHeight="1" spans="1:12">
      <c r="A1153" s="10">
        <v>44551</v>
      </c>
      <c r="B1153" s="11">
        <v>0.0985529117750539</v>
      </c>
      <c r="C1153" s="11">
        <v>0.00210657132412348</v>
      </c>
      <c r="D1153" s="11">
        <v>-0.0367207707850907</v>
      </c>
      <c r="E1153" s="11">
        <v>0.076</v>
      </c>
      <c r="F1153" s="9">
        <f t="shared" si="119"/>
        <v>0.0959223085715964</v>
      </c>
      <c r="G1153" s="9">
        <f t="shared" si="120"/>
        <v>0.0980267759432472</v>
      </c>
      <c r="H1153" s="9">
        <f t="shared" si="121"/>
        <v>0.0982898438591506</v>
      </c>
      <c r="I1153" s="3" t="str">
        <f t="shared" si="122"/>
        <v>2021-12-01</v>
      </c>
      <c r="J1153" s="9">
        <f t="shared" si="123"/>
        <v>0.0959459184501979</v>
      </c>
      <c r="K1153" s="9">
        <f t="shared" si="124"/>
        <v>0.0979991713095272</v>
      </c>
      <c r="L1153" s="9">
        <f t="shared" si="125"/>
        <v>0.098255837003304</v>
      </c>
    </row>
    <row r="1154" s="3" customFormat="1" ht="12.95" customHeight="1" spans="1:12">
      <c r="A1154" s="10">
        <v>44550</v>
      </c>
      <c r="B1154" s="11">
        <v>0.098190495378594</v>
      </c>
      <c r="C1154" s="11">
        <v>0.00283061868013419</v>
      </c>
      <c r="D1154" s="11">
        <v>-0.0366936180716602</v>
      </c>
      <c r="E1154" s="11">
        <v>0.076</v>
      </c>
      <c r="F1154" s="9">
        <f t="shared" si="119"/>
        <v>0.0956169832178076</v>
      </c>
      <c r="G1154" s="9">
        <f t="shared" si="120"/>
        <v>0.0976757777878428</v>
      </c>
      <c r="H1154" s="9">
        <f t="shared" si="121"/>
        <v>0.0979331365832184</v>
      </c>
      <c r="I1154" s="3" t="str">
        <f t="shared" si="122"/>
        <v>2021-12-01</v>
      </c>
      <c r="J1154" s="9">
        <f t="shared" si="123"/>
        <v>0.0959459184501979</v>
      </c>
      <c r="K1154" s="9">
        <f t="shared" si="124"/>
        <v>0.0979991713095272</v>
      </c>
      <c r="L1154" s="9">
        <f t="shared" si="125"/>
        <v>0.098255837003304</v>
      </c>
    </row>
    <row r="1155" s="3" customFormat="1" ht="12.95" customHeight="1" spans="1:12">
      <c r="A1155" s="10">
        <v>44545</v>
      </c>
      <c r="B1155" s="11">
        <v>0.0987349711198214</v>
      </c>
      <c r="C1155" s="11">
        <v>0.00300901276346265</v>
      </c>
      <c r="D1155" s="11">
        <v>-0.0391253266211489</v>
      </c>
      <c r="E1155" s="11">
        <v>0.076</v>
      </c>
      <c r="F1155" s="9">
        <f t="shared" si="119"/>
        <v>0.0959902120838019</v>
      </c>
      <c r="G1155" s="9">
        <f t="shared" si="120"/>
        <v>0.0981860031491846</v>
      </c>
      <c r="H1155" s="9">
        <f t="shared" si="121"/>
        <v>0.098460487134503</v>
      </c>
      <c r="I1155" s="3" t="str">
        <f t="shared" si="122"/>
        <v>2021-12-01</v>
      </c>
      <c r="J1155" s="9">
        <f t="shared" si="123"/>
        <v>0.0959459184501979</v>
      </c>
      <c r="K1155" s="9">
        <f t="shared" si="124"/>
        <v>0.0979991713095272</v>
      </c>
      <c r="L1155" s="9">
        <f t="shared" si="125"/>
        <v>0.098255837003304</v>
      </c>
    </row>
    <row r="1156" s="3" customFormat="1" ht="12.95" customHeight="1" spans="1:12">
      <c r="A1156" s="10">
        <v>44544</v>
      </c>
      <c r="B1156" s="11">
        <v>0.0991100861627778</v>
      </c>
      <c r="C1156" s="11">
        <v>0.0021821653190945</v>
      </c>
      <c r="D1156" s="11">
        <v>-0.0387533702956677</v>
      </c>
      <c r="E1156" s="11">
        <v>0.076</v>
      </c>
      <c r="F1156" s="9">
        <f t="shared" si="119"/>
        <v>0.0963307547505083</v>
      </c>
      <c r="G1156" s="9">
        <f t="shared" si="120"/>
        <v>0.0985542038471339</v>
      </c>
      <c r="H1156" s="9">
        <f t="shared" si="121"/>
        <v>0.0988321450049559</v>
      </c>
      <c r="I1156" s="3" t="str">
        <f t="shared" si="122"/>
        <v>2021-12-01</v>
      </c>
      <c r="J1156" s="9">
        <f t="shared" si="123"/>
        <v>0.0959459184501979</v>
      </c>
      <c r="K1156" s="9">
        <f t="shared" si="124"/>
        <v>0.0979991713095272</v>
      </c>
      <c r="L1156" s="9">
        <f t="shared" si="125"/>
        <v>0.098255837003304</v>
      </c>
    </row>
    <row r="1157" s="3" customFormat="1" ht="12.95" customHeight="1" spans="1:12">
      <c r="A1157" s="10">
        <v>44543</v>
      </c>
      <c r="B1157" s="11">
        <v>0.0988605396417778</v>
      </c>
      <c r="C1157" s="11">
        <v>0.00270277576766341</v>
      </c>
      <c r="D1157" s="11">
        <v>-0.0387158190042766</v>
      </c>
      <c r="E1157" s="11">
        <v>0.076</v>
      </c>
      <c r="F1157" s="9">
        <f t="shared" ref="F1157:F1220" si="126">B1157+(C1157+D1157)*(E1157/$F$3)*(1-EXP(-$F$3/E1157))-D1157*EXP(-$F$3/E1157)</f>
        <v>0.0961236283673852</v>
      </c>
      <c r="G1157" s="9">
        <f t="shared" ref="G1157:G1220" si="127">B1157+(C1157+D1157)*(E1157/$G$3)*(1-EXP(-$G$3/E1157))-D1157*EXP(-$G$3/E1157)</f>
        <v>0.0983131413845813</v>
      </c>
      <c r="H1157" s="9">
        <f t="shared" ref="H1157:H1220" si="128">B1157+(C1157+D1157)*(E1157/$H$3)*(1-EXP(-$H$3/E1157))-D1157*EXP(-$H$3/E1157)</f>
        <v>0.0985868405131795</v>
      </c>
      <c r="I1157" s="3" t="str">
        <f t="shared" ref="I1157:I1220" si="129">TEXT(A1157,"yyyy-mm-01")</f>
        <v>2021-12-01</v>
      </c>
      <c r="J1157" s="9">
        <f t="shared" ref="J1157:J1220" si="130">AVERAGEIF($I:$I,I1157,$F:$F)</f>
        <v>0.0959459184501979</v>
      </c>
      <c r="K1157" s="9">
        <f t="shared" ref="K1157:K1220" si="131">AVERAGEIF($I:$I,I1157,$G:$G)</f>
        <v>0.0979991713095272</v>
      </c>
      <c r="L1157" s="9">
        <f t="shared" ref="L1157:L1220" si="132">AVERAGEIF($I:$I,I1157,$H:$H)</f>
        <v>0.098255837003304</v>
      </c>
    </row>
    <row r="1158" s="3" customFormat="1" ht="12.95" customHeight="1" spans="1:12">
      <c r="A1158" s="10">
        <v>44540</v>
      </c>
      <c r="B1158" s="11">
        <v>0.0987889618999942</v>
      </c>
      <c r="C1158" s="11">
        <v>0.00250328958187818</v>
      </c>
      <c r="D1158" s="11">
        <v>-0.0425428159561967</v>
      </c>
      <c r="E1158" s="11">
        <v>0.076</v>
      </c>
      <c r="F1158" s="9">
        <f t="shared" si="126"/>
        <v>0.0957460458846091</v>
      </c>
      <c r="G1158" s="9">
        <f t="shared" si="127"/>
        <v>0.0981803610991046</v>
      </c>
      <c r="H1158" s="9">
        <f t="shared" si="128"/>
        <v>0.0984846614995494</v>
      </c>
      <c r="I1158" s="3" t="str">
        <f t="shared" si="129"/>
        <v>2021-12-01</v>
      </c>
      <c r="J1158" s="9">
        <f t="shared" si="130"/>
        <v>0.0959459184501979</v>
      </c>
      <c r="K1158" s="9">
        <f t="shared" si="131"/>
        <v>0.0979991713095272</v>
      </c>
      <c r="L1158" s="9">
        <f t="shared" si="132"/>
        <v>0.098255837003304</v>
      </c>
    </row>
    <row r="1159" s="3" customFormat="1" ht="12.95" customHeight="1" spans="1:12">
      <c r="A1159" s="10">
        <v>44539</v>
      </c>
      <c r="B1159" s="11">
        <v>0.0987345777216745</v>
      </c>
      <c r="C1159" s="11">
        <v>0.00219614085676611</v>
      </c>
      <c r="D1159" s="11">
        <v>-0.0387160255254582</v>
      </c>
      <c r="E1159" s="11">
        <v>0.076</v>
      </c>
      <c r="F1159" s="9">
        <f t="shared" si="126"/>
        <v>0.0959591465731932</v>
      </c>
      <c r="G1159" s="9">
        <f t="shared" si="127"/>
        <v>0.0981794754747104</v>
      </c>
      <c r="H1159" s="9">
        <f t="shared" si="128"/>
        <v>0.0984570265981924</v>
      </c>
      <c r="I1159" s="3" t="str">
        <f t="shared" si="129"/>
        <v>2021-12-01</v>
      </c>
      <c r="J1159" s="9">
        <f t="shared" si="130"/>
        <v>0.0959459184501979</v>
      </c>
      <c r="K1159" s="9">
        <f t="shared" si="131"/>
        <v>0.0979991713095272</v>
      </c>
      <c r="L1159" s="9">
        <f t="shared" si="132"/>
        <v>0.098255837003304</v>
      </c>
    </row>
    <row r="1160" s="3" customFormat="1" ht="12.95" customHeight="1" spans="1:12">
      <c r="A1160" s="10">
        <v>44538</v>
      </c>
      <c r="B1160" s="11">
        <v>0.0984479520588177</v>
      </c>
      <c r="C1160" s="11">
        <v>0.00248276651962296</v>
      </c>
      <c r="D1160" s="11">
        <v>-0.0348711265739246</v>
      </c>
      <c r="E1160" s="11">
        <v>0.076</v>
      </c>
      <c r="F1160" s="9">
        <f t="shared" si="126"/>
        <v>0.0959865087535939</v>
      </c>
      <c r="G1160" s="9">
        <f t="shared" si="127"/>
        <v>0.0979556489859923</v>
      </c>
      <c r="H1160" s="9">
        <f t="shared" si="128"/>
        <v>0.098201800522405</v>
      </c>
      <c r="I1160" s="3" t="str">
        <f t="shared" si="129"/>
        <v>2021-12-01</v>
      </c>
      <c r="J1160" s="9">
        <f t="shared" si="130"/>
        <v>0.0959459184501979</v>
      </c>
      <c r="K1160" s="9">
        <f t="shared" si="131"/>
        <v>0.0979991713095272</v>
      </c>
      <c r="L1160" s="9">
        <f t="shared" si="132"/>
        <v>0.098255837003304</v>
      </c>
    </row>
    <row r="1161" s="3" customFormat="1" ht="12.95" customHeight="1" spans="1:12">
      <c r="A1161" s="10">
        <v>44537</v>
      </c>
      <c r="B1161" s="11">
        <v>0.0984582259307785</v>
      </c>
      <c r="C1161" s="11">
        <v>0.00292438835782411</v>
      </c>
      <c r="D1161" s="11">
        <v>-0.0357551190208136</v>
      </c>
      <c r="E1161" s="11">
        <v>0.076</v>
      </c>
      <c r="F1161" s="9">
        <f t="shared" si="126"/>
        <v>0.0959631642304565</v>
      </c>
      <c r="G1161" s="9">
        <f t="shared" si="127"/>
        <v>0.0979591988247011</v>
      </c>
      <c r="H1161" s="9">
        <f t="shared" si="128"/>
        <v>0.0982087123777398</v>
      </c>
      <c r="I1161" s="3" t="str">
        <f t="shared" si="129"/>
        <v>2021-12-01</v>
      </c>
      <c r="J1161" s="9">
        <f t="shared" si="130"/>
        <v>0.0959459184501979</v>
      </c>
      <c r="K1161" s="9">
        <f t="shared" si="131"/>
        <v>0.0979991713095272</v>
      </c>
      <c r="L1161" s="9">
        <f t="shared" si="132"/>
        <v>0.098255837003304</v>
      </c>
    </row>
    <row r="1162" s="3" customFormat="1" ht="12.95" customHeight="1" spans="1:12">
      <c r="A1162" s="10">
        <v>44536</v>
      </c>
      <c r="B1162" s="11">
        <v>0.0984417619328959</v>
      </c>
      <c r="C1162" s="11">
        <v>0.0026697394355155</v>
      </c>
      <c r="D1162" s="11">
        <v>-0.0353694251230666</v>
      </c>
      <c r="E1162" s="11">
        <v>0.076</v>
      </c>
      <c r="F1162" s="9">
        <f t="shared" si="126"/>
        <v>0.0959566588870232</v>
      </c>
      <c r="G1162" s="9">
        <f t="shared" si="127"/>
        <v>0.0979447267104451</v>
      </c>
      <c r="H1162" s="9">
        <f t="shared" si="128"/>
        <v>0.0981932443216705</v>
      </c>
      <c r="I1162" s="3" t="str">
        <f t="shared" si="129"/>
        <v>2021-12-01</v>
      </c>
      <c r="J1162" s="9">
        <f t="shared" si="130"/>
        <v>0.0959459184501979</v>
      </c>
      <c r="K1162" s="9">
        <f t="shared" si="131"/>
        <v>0.0979991713095272</v>
      </c>
      <c r="L1162" s="9">
        <f t="shared" si="132"/>
        <v>0.098255837003304</v>
      </c>
    </row>
    <row r="1163" s="3" customFormat="1" ht="12.95" customHeight="1" spans="1:12">
      <c r="A1163" s="10">
        <v>44533</v>
      </c>
      <c r="B1163" s="11">
        <v>0.0983003920772768</v>
      </c>
      <c r="C1163" s="11">
        <v>0.00199732923808707</v>
      </c>
      <c r="D1163" s="11">
        <v>-0.0337964778904257</v>
      </c>
      <c r="E1163" s="11">
        <v>0.076</v>
      </c>
      <c r="F1163" s="9">
        <f t="shared" si="126"/>
        <v>0.0958837266778977</v>
      </c>
      <c r="G1163" s="9">
        <f t="shared" si="127"/>
        <v>0.0978170450177613</v>
      </c>
      <c r="H1163" s="9">
        <f t="shared" si="128"/>
        <v>0.098058718547519</v>
      </c>
      <c r="I1163" s="3" t="str">
        <f t="shared" si="129"/>
        <v>2021-12-01</v>
      </c>
      <c r="J1163" s="9">
        <f t="shared" si="130"/>
        <v>0.0959459184501979</v>
      </c>
      <c r="K1163" s="9">
        <f t="shared" si="131"/>
        <v>0.0979991713095272</v>
      </c>
      <c r="L1163" s="9">
        <f t="shared" si="132"/>
        <v>0.098255837003304</v>
      </c>
    </row>
    <row r="1164" s="3" customFormat="1" ht="12.95" customHeight="1" spans="1:12">
      <c r="A1164" s="10">
        <v>44532</v>
      </c>
      <c r="B1164" s="11">
        <v>0.0984238582712061</v>
      </c>
      <c r="C1164" s="11">
        <v>0.00205476029501281</v>
      </c>
      <c r="D1164" s="11">
        <v>-0.0341797480450973</v>
      </c>
      <c r="E1164" s="11">
        <v>0.076</v>
      </c>
      <c r="F1164" s="9">
        <f t="shared" si="126"/>
        <v>0.0959824298879793</v>
      </c>
      <c r="G1164" s="9">
        <f t="shared" si="127"/>
        <v>0.0979355584574048</v>
      </c>
      <c r="H1164" s="9">
        <f t="shared" si="128"/>
        <v>0.0981797083643055</v>
      </c>
      <c r="I1164" s="3" t="str">
        <f t="shared" si="129"/>
        <v>2021-12-01</v>
      </c>
      <c r="J1164" s="9">
        <f t="shared" si="130"/>
        <v>0.0959459184501979</v>
      </c>
      <c r="K1164" s="9">
        <f t="shared" si="131"/>
        <v>0.0979991713095272</v>
      </c>
      <c r="L1164" s="9">
        <f t="shared" si="132"/>
        <v>0.098255837003304</v>
      </c>
    </row>
    <row r="1165" s="3" customFormat="1" ht="12.95" customHeight="1" spans="1:12">
      <c r="A1165" s="10">
        <v>44530</v>
      </c>
      <c r="B1165" s="11">
        <v>0.098430917076205</v>
      </c>
      <c r="C1165" s="11">
        <v>-0.000850588737340987</v>
      </c>
      <c r="D1165" s="11">
        <v>-0.0287936693050293</v>
      </c>
      <c r="E1165" s="11">
        <v>0.076</v>
      </c>
      <c r="F1165" s="9">
        <f t="shared" si="126"/>
        <v>0.0961780133907281</v>
      </c>
      <c r="G1165" s="9">
        <f t="shared" si="127"/>
        <v>0.097980324353961</v>
      </c>
      <c r="H1165" s="9">
        <f t="shared" si="128"/>
        <v>0.098205620715083</v>
      </c>
      <c r="I1165" s="3" t="str">
        <f t="shared" si="129"/>
        <v>2021-11-01</v>
      </c>
      <c r="J1165" s="9">
        <f t="shared" si="130"/>
        <v>0.0976531484628018</v>
      </c>
      <c r="K1165" s="9">
        <f t="shared" si="131"/>
        <v>0.0972510482570601</v>
      </c>
      <c r="L1165" s="9">
        <f t="shared" si="132"/>
        <v>0.096708597065954</v>
      </c>
    </row>
    <row r="1166" s="3" customFormat="1" ht="12.95" customHeight="1" spans="1:12">
      <c r="A1166" s="10">
        <v>44529</v>
      </c>
      <c r="B1166" s="11">
        <v>0.0982275516384792</v>
      </c>
      <c r="C1166" s="11">
        <v>0.0021606223927891</v>
      </c>
      <c r="D1166" s="11">
        <v>-0.0336015836748182</v>
      </c>
      <c r="E1166" s="11">
        <v>0.076</v>
      </c>
      <c r="F1166" s="9">
        <f t="shared" si="126"/>
        <v>0.0958381080505178</v>
      </c>
      <c r="G1166" s="9">
        <f t="shared" si="127"/>
        <v>0.0977496490269924</v>
      </c>
      <c r="H1166" s="9">
        <f t="shared" si="128"/>
        <v>0.0979886003327358</v>
      </c>
      <c r="I1166" s="3" t="str">
        <f t="shared" si="129"/>
        <v>2021-11-01</v>
      </c>
      <c r="J1166" s="9">
        <f t="shared" si="130"/>
        <v>0.0976531484628018</v>
      </c>
      <c r="K1166" s="9">
        <f t="shared" si="131"/>
        <v>0.0972510482570601</v>
      </c>
      <c r="L1166" s="9">
        <f t="shared" si="132"/>
        <v>0.096708597065954</v>
      </c>
    </row>
    <row r="1167" s="3" customFormat="1" ht="12.95" customHeight="1" spans="1:12">
      <c r="A1167" s="10">
        <v>44526</v>
      </c>
      <c r="B1167" s="11">
        <v>0.0978114962224887</v>
      </c>
      <c r="C1167" s="11">
        <v>0.0017623086736037</v>
      </c>
      <c r="D1167" s="11">
        <v>-0.0313339831168455</v>
      </c>
      <c r="E1167" s="11">
        <v>0.076</v>
      </c>
      <c r="F1167" s="9">
        <f t="shared" si="126"/>
        <v>0.0955641137831734</v>
      </c>
      <c r="G1167" s="9">
        <f t="shared" si="127"/>
        <v>0.0973620067709514</v>
      </c>
      <c r="H1167" s="9">
        <f t="shared" si="128"/>
        <v>0.0975867514967201</v>
      </c>
      <c r="I1167" s="3" t="str">
        <f t="shared" si="129"/>
        <v>2021-11-01</v>
      </c>
      <c r="J1167" s="9">
        <f t="shared" si="130"/>
        <v>0.0976531484628018</v>
      </c>
      <c r="K1167" s="9">
        <f t="shared" si="131"/>
        <v>0.0972510482570601</v>
      </c>
      <c r="L1167" s="9">
        <f t="shared" si="132"/>
        <v>0.096708597065954</v>
      </c>
    </row>
    <row r="1168" s="3" customFormat="1" ht="12.95" customHeight="1" spans="1:12">
      <c r="A1168" s="10">
        <v>44525</v>
      </c>
      <c r="B1168" s="11">
        <v>0.0977770184434106</v>
      </c>
      <c r="C1168" s="11">
        <v>0.00107234559875845</v>
      </c>
      <c r="D1168" s="11">
        <v>-0.030004019091942</v>
      </c>
      <c r="E1168" s="11">
        <v>0.076</v>
      </c>
      <c r="F1168" s="9">
        <f t="shared" si="126"/>
        <v>0.0955782734153389</v>
      </c>
      <c r="G1168" s="9">
        <f t="shared" si="127"/>
        <v>0.0973372570063142</v>
      </c>
      <c r="H1168" s="9">
        <f t="shared" si="128"/>
        <v>0.0975571377248624</v>
      </c>
      <c r="I1168" s="3" t="str">
        <f t="shared" si="129"/>
        <v>2021-11-01</v>
      </c>
      <c r="J1168" s="9">
        <f t="shared" si="130"/>
        <v>0.0976531484628018</v>
      </c>
      <c r="K1168" s="9">
        <f t="shared" si="131"/>
        <v>0.0972510482570601</v>
      </c>
      <c r="L1168" s="9">
        <f t="shared" si="132"/>
        <v>0.096708597065954</v>
      </c>
    </row>
    <row r="1169" s="3" customFormat="1" ht="12.95" customHeight="1" spans="1:12">
      <c r="A1169" s="10">
        <v>44524</v>
      </c>
      <c r="B1169" s="11">
        <v>0.0960038455781217</v>
      </c>
      <c r="C1169" s="11">
        <v>-0.00698614926046905</v>
      </c>
      <c r="D1169" s="11">
        <v>0.0166682323224217</v>
      </c>
      <c r="E1169" s="11">
        <v>0.88</v>
      </c>
      <c r="F1169" s="9">
        <f t="shared" si="126"/>
        <v>0.0964389813384516</v>
      </c>
      <c r="G1169" s="9">
        <f t="shared" si="127"/>
        <v>0.0976452912725189</v>
      </c>
      <c r="H1169" s="9">
        <f t="shared" si="128"/>
        <v>0.0968556654759007</v>
      </c>
      <c r="I1169" s="3" t="str">
        <f t="shared" si="129"/>
        <v>2021-11-01</v>
      </c>
      <c r="J1169" s="9">
        <f t="shared" si="130"/>
        <v>0.0976531484628018</v>
      </c>
      <c r="K1169" s="9">
        <f t="shared" si="131"/>
        <v>0.0972510482570601</v>
      </c>
      <c r="L1169" s="9">
        <f t="shared" si="132"/>
        <v>0.096708597065954</v>
      </c>
    </row>
    <row r="1170" s="3" customFormat="1" ht="12.95" customHeight="1" spans="1:12">
      <c r="A1170" s="10">
        <v>44523</v>
      </c>
      <c r="B1170" s="11">
        <v>0.0967654208136757</v>
      </c>
      <c r="C1170" s="11">
        <v>-0.0109547644005649</v>
      </c>
      <c r="D1170" s="11">
        <v>0.0203549138755476</v>
      </c>
      <c r="E1170" s="11">
        <v>0.59</v>
      </c>
      <c r="F1170" s="9">
        <f t="shared" si="126"/>
        <v>0.097555701976175</v>
      </c>
      <c r="G1170" s="9">
        <f t="shared" si="127"/>
        <v>0.097870158724092</v>
      </c>
      <c r="H1170" s="9">
        <f t="shared" si="128"/>
        <v>0.0973200287219046</v>
      </c>
      <c r="I1170" s="3" t="str">
        <f t="shared" si="129"/>
        <v>2021-11-01</v>
      </c>
      <c r="J1170" s="9">
        <f t="shared" si="130"/>
        <v>0.0976531484628018</v>
      </c>
      <c r="K1170" s="9">
        <f t="shared" si="131"/>
        <v>0.0972510482570601</v>
      </c>
      <c r="L1170" s="9">
        <f t="shared" si="132"/>
        <v>0.096708597065954</v>
      </c>
    </row>
    <row r="1171" s="3" customFormat="1" ht="12.95" customHeight="1" spans="1:12">
      <c r="A1171" s="10">
        <v>44522</v>
      </c>
      <c r="B1171" s="11">
        <v>0.0966877455647355</v>
      </c>
      <c r="C1171" s="11">
        <v>-0.0108770891516247</v>
      </c>
      <c r="D1171" s="11">
        <v>0.0206584778861826</v>
      </c>
      <c r="E1171" s="11">
        <v>0.62</v>
      </c>
      <c r="F1171" s="9">
        <f t="shared" si="126"/>
        <v>0.0974261074184144</v>
      </c>
      <c r="G1171" s="9">
        <f t="shared" si="127"/>
        <v>0.0978937591507151</v>
      </c>
      <c r="H1171" s="9">
        <f t="shared" si="128"/>
        <v>0.0972941895629156</v>
      </c>
      <c r="I1171" s="3" t="str">
        <f t="shared" si="129"/>
        <v>2021-11-01</v>
      </c>
      <c r="J1171" s="9">
        <f t="shared" si="130"/>
        <v>0.0976531484628018</v>
      </c>
      <c r="K1171" s="9">
        <f t="shared" si="131"/>
        <v>0.0972510482570601</v>
      </c>
      <c r="L1171" s="9">
        <f t="shared" si="132"/>
        <v>0.096708597065954</v>
      </c>
    </row>
    <row r="1172" s="3" customFormat="1" ht="12.95" customHeight="1" spans="1:12">
      <c r="A1172" s="10">
        <v>44519</v>
      </c>
      <c r="B1172" s="11">
        <v>0.096238325093527</v>
      </c>
      <c r="C1172" s="11">
        <v>-0.010244131926666</v>
      </c>
      <c r="D1172" s="11">
        <v>0.0210209988952922</v>
      </c>
      <c r="E1172" s="11">
        <v>0.41</v>
      </c>
      <c r="F1172" s="9">
        <f t="shared" si="126"/>
        <v>0.0984373465148216</v>
      </c>
      <c r="G1172" s="9">
        <f t="shared" si="127"/>
        <v>0.097121917455495</v>
      </c>
      <c r="H1172" s="9">
        <f t="shared" si="128"/>
        <v>0.0966801766386922</v>
      </c>
      <c r="I1172" s="3" t="str">
        <f t="shared" si="129"/>
        <v>2021-11-01</v>
      </c>
      <c r="J1172" s="9">
        <f t="shared" si="130"/>
        <v>0.0976531484628018</v>
      </c>
      <c r="K1172" s="9">
        <f t="shared" si="131"/>
        <v>0.0972510482570601</v>
      </c>
      <c r="L1172" s="9">
        <f t="shared" si="132"/>
        <v>0.096708597065954</v>
      </c>
    </row>
    <row r="1173" s="3" customFormat="1" ht="12.95" customHeight="1" spans="1:12">
      <c r="A1173" s="10">
        <v>44518</v>
      </c>
      <c r="B1173" s="11">
        <v>0.0963083106523673</v>
      </c>
      <c r="C1173" s="11">
        <v>-0.00958030714254313</v>
      </c>
      <c r="D1173" s="11">
        <v>0.021001774382875</v>
      </c>
      <c r="E1173" s="11">
        <v>0.49</v>
      </c>
      <c r="F1173" s="9">
        <f t="shared" si="126"/>
        <v>0.0984491099541504</v>
      </c>
      <c r="G1173" s="9">
        <f t="shared" si="127"/>
        <v>0.097426795543667</v>
      </c>
      <c r="H1173" s="9">
        <f t="shared" si="128"/>
        <v>0.0968679625175958</v>
      </c>
      <c r="I1173" s="3" t="str">
        <f t="shared" si="129"/>
        <v>2021-11-01</v>
      </c>
      <c r="J1173" s="9">
        <f t="shared" si="130"/>
        <v>0.0976531484628018</v>
      </c>
      <c r="K1173" s="9">
        <f t="shared" si="131"/>
        <v>0.0972510482570601</v>
      </c>
      <c r="L1173" s="9">
        <f t="shared" si="132"/>
        <v>0.096708597065954</v>
      </c>
    </row>
    <row r="1174" s="3" customFormat="1" ht="12.95" customHeight="1" spans="1:12">
      <c r="A1174" s="10">
        <v>44517</v>
      </c>
      <c r="B1174" s="11">
        <v>0.0955213532340699</v>
      </c>
      <c r="C1174" s="11">
        <v>-0.00888504657452322</v>
      </c>
      <c r="D1174" s="11">
        <v>0.028009315643226</v>
      </c>
      <c r="E1174" s="11">
        <v>0.56</v>
      </c>
      <c r="F1174" s="9">
        <f t="shared" si="126"/>
        <v>0.0997386642258423</v>
      </c>
      <c r="G1174" s="9">
        <f t="shared" si="127"/>
        <v>0.0976592749068679</v>
      </c>
      <c r="H1174" s="9">
        <f t="shared" si="128"/>
        <v>0.0965923117910126</v>
      </c>
      <c r="I1174" s="3" t="str">
        <f t="shared" si="129"/>
        <v>2021-11-01</v>
      </c>
      <c r="J1174" s="9">
        <f t="shared" si="130"/>
        <v>0.0976531484628018</v>
      </c>
      <c r="K1174" s="9">
        <f t="shared" si="131"/>
        <v>0.0972510482570601</v>
      </c>
      <c r="L1174" s="9">
        <f t="shared" si="132"/>
        <v>0.096708597065954</v>
      </c>
    </row>
    <row r="1175" s="3" customFormat="1" ht="12.95" customHeight="1" spans="1:12">
      <c r="A1175" s="10">
        <v>44516</v>
      </c>
      <c r="B1175" s="11">
        <v>0.0958450286845979</v>
      </c>
      <c r="C1175" s="11">
        <v>-0.00893365669530148</v>
      </c>
      <c r="D1175" s="11">
        <v>0.0263333252672285</v>
      </c>
      <c r="E1175" s="11">
        <v>0.56</v>
      </c>
      <c r="F1175" s="9">
        <f t="shared" si="126"/>
        <v>0.099539527562595</v>
      </c>
      <c r="G1175" s="9">
        <f t="shared" si="127"/>
        <v>0.0977900428518564</v>
      </c>
      <c r="H1175" s="9">
        <f t="shared" si="128"/>
        <v>0.096819409644863</v>
      </c>
      <c r="I1175" s="3" t="str">
        <f t="shared" si="129"/>
        <v>2021-11-01</v>
      </c>
      <c r="J1175" s="9">
        <f t="shared" si="130"/>
        <v>0.0976531484628018</v>
      </c>
      <c r="K1175" s="9">
        <f t="shared" si="131"/>
        <v>0.0972510482570601</v>
      </c>
      <c r="L1175" s="9">
        <f t="shared" si="132"/>
        <v>0.096708597065954</v>
      </c>
    </row>
    <row r="1176" s="3" customFormat="1" ht="12.95" customHeight="1" spans="1:12">
      <c r="A1176" s="10">
        <v>44515</v>
      </c>
      <c r="B1176" s="11">
        <v>0.0959209356006189</v>
      </c>
      <c r="C1176" s="11">
        <v>-0.00745228761301076</v>
      </c>
      <c r="D1176" s="11">
        <v>0.0206377980547888</v>
      </c>
      <c r="E1176" s="11">
        <v>0.72</v>
      </c>
      <c r="F1176" s="9">
        <f t="shared" si="126"/>
        <v>0.097901180559628</v>
      </c>
      <c r="G1176" s="9">
        <f t="shared" si="127"/>
        <v>0.0977979244541499</v>
      </c>
      <c r="H1176" s="9">
        <f t="shared" si="128"/>
        <v>0.0968702722925806</v>
      </c>
      <c r="I1176" s="3" t="str">
        <f t="shared" si="129"/>
        <v>2021-11-01</v>
      </c>
      <c r="J1176" s="9">
        <f t="shared" si="130"/>
        <v>0.0976531484628018</v>
      </c>
      <c r="K1176" s="9">
        <f t="shared" si="131"/>
        <v>0.0972510482570601</v>
      </c>
      <c r="L1176" s="9">
        <f t="shared" si="132"/>
        <v>0.096708597065954</v>
      </c>
    </row>
    <row r="1177" s="3" customFormat="1" ht="12.95" customHeight="1" spans="1:12">
      <c r="A1177" s="10">
        <v>44512</v>
      </c>
      <c r="B1177" s="11">
        <v>0.0935347730351077</v>
      </c>
      <c r="C1177" s="11">
        <v>-0.00735707679405526</v>
      </c>
      <c r="D1177" s="11">
        <v>0.0387735846822402</v>
      </c>
      <c r="E1177" s="11">
        <v>0.65</v>
      </c>
      <c r="F1177" s="9">
        <f t="shared" si="126"/>
        <v>0.101245822433704</v>
      </c>
      <c r="G1177" s="9">
        <f t="shared" si="127"/>
        <v>0.0975993620537251</v>
      </c>
      <c r="H1177" s="9">
        <f t="shared" si="128"/>
        <v>0.095576837548734</v>
      </c>
      <c r="I1177" s="3" t="str">
        <f t="shared" si="129"/>
        <v>2021-11-01</v>
      </c>
      <c r="J1177" s="9">
        <f t="shared" si="130"/>
        <v>0.0976531484628018</v>
      </c>
      <c r="K1177" s="9">
        <f t="shared" si="131"/>
        <v>0.0972510482570601</v>
      </c>
      <c r="L1177" s="9">
        <f t="shared" si="132"/>
        <v>0.096708597065954</v>
      </c>
    </row>
    <row r="1178" s="3" customFormat="1" ht="12.95" customHeight="1" spans="1:12">
      <c r="A1178" s="10">
        <v>44511</v>
      </c>
      <c r="B1178" s="11">
        <v>0.0940933278960317</v>
      </c>
      <c r="C1178" s="11">
        <v>-0.00920086087806911</v>
      </c>
      <c r="D1178" s="11">
        <v>0.0413843582064302</v>
      </c>
      <c r="E1178" s="11">
        <v>0.56</v>
      </c>
      <c r="F1178" s="9">
        <f t="shared" si="126"/>
        <v>0.102154864513652</v>
      </c>
      <c r="G1178" s="9">
        <f t="shared" si="127"/>
        <v>0.0976919164408548</v>
      </c>
      <c r="H1178" s="9">
        <f t="shared" si="128"/>
        <v>0.0958956029876838</v>
      </c>
      <c r="I1178" s="3" t="str">
        <f t="shared" si="129"/>
        <v>2021-11-01</v>
      </c>
      <c r="J1178" s="9">
        <f t="shared" si="130"/>
        <v>0.0976531484628018</v>
      </c>
      <c r="K1178" s="9">
        <f t="shared" si="131"/>
        <v>0.0972510482570601</v>
      </c>
      <c r="L1178" s="9">
        <f t="shared" si="132"/>
        <v>0.096708597065954</v>
      </c>
    </row>
    <row r="1179" s="3" customFormat="1" ht="12.95" customHeight="1" spans="1:12">
      <c r="A1179" s="10">
        <v>44510</v>
      </c>
      <c r="B1179" s="11">
        <v>0.0946253166097227</v>
      </c>
      <c r="C1179" s="11">
        <v>-0.0103760841648227</v>
      </c>
      <c r="D1179" s="11">
        <v>0.0319866140502674</v>
      </c>
      <c r="E1179" s="11">
        <v>0.46</v>
      </c>
      <c r="F1179" s="9">
        <f t="shared" si="126"/>
        <v>0.0997976789724957</v>
      </c>
      <c r="G1179" s="9">
        <f t="shared" si="127"/>
        <v>0.0966128388651899</v>
      </c>
      <c r="H1179" s="9">
        <f t="shared" si="128"/>
        <v>0.0956194009725112</v>
      </c>
      <c r="I1179" s="3" t="str">
        <f t="shared" si="129"/>
        <v>2021-11-01</v>
      </c>
      <c r="J1179" s="9">
        <f t="shared" si="130"/>
        <v>0.0976531484628018</v>
      </c>
      <c r="K1179" s="9">
        <f t="shared" si="131"/>
        <v>0.0972510482570601</v>
      </c>
      <c r="L1179" s="9">
        <f t="shared" si="132"/>
        <v>0.096708597065954</v>
      </c>
    </row>
    <row r="1180" s="3" customFormat="1" ht="12.95" customHeight="1" spans="1:12">
      <c r="A1180" s="10">
        <v>44509</v>
      </c>
      <c r="B1180" s="11">
        <v>0.0948453999920967</v>
      </c>
      <c r="C1180" s="11">
        <v>-0.0105961675471967</v>
      </c>
      <c r="D1180" s="11">
        <v>0.0312435578649295</v>
      </c>
      <c r="E1180" s="11">
        <v>0.45</v>
      </c>
      <c r="F1180" s="9">
        <f t="shared" si="126"/>
        <v>0.0997440404377945</v>
      </c>
      <c r="G1180" s="9">
        <f t="shared" si="127"/>
        <v>0.0967031704027422</v>
      </c>
      <c r="H1180" s="9">
        <f t="shared" si="128"/>
        <v>0.0957745325492085</v>
      </c>
      <c r="I1180" s="3" t="str">
        <f t="shared" si="129"/>
        <v>2021-11-01</v>
      </c>
      <c r="J1180" s="9">
        <f t="shared" si="130"/>
        <v>0.0976531484628018</v>
      </c>
      <c r="K1180" s="9">
        <f t="shared" si="131"/>
        <v>0.0972510482570601</v>
      </c>
      <c r="L1180" s="9">
        <f t="shared" si="132"/>
        <v>0.096708597065954</v>
      </c>
    </row>
    <row r="1181" s="3" customFormat="1" ht="12.95" customHeight="1" spans="1:12">
      <c r="A1181" s="10">
        <v>44508</v>
      </c>
      <c r="B1181" s="11">
        <v>0.0944560057741444</v>
      </c>
      <c r="C1181" s="11">
        <v>-0.0103906306564769</v>
      </c>
      <c r="D1181" s="11">
        <v>0.0325185592089983</v>
      </c>
      <c r="E1181" s="11">
        <v>0.48</v>
      </c>
      <c r="F1181" s="9">
        <f t="shared" si="126"/>
        <v>0.099705861549944</v>
      </c>
      <c r="G1181" s="9">
        <f t="shared" si="127"/>
        <v>0.0965792500730477</v>
      </c>
      <c r="H1181" s="9">
        <f t="shared" si="128"/>
        <v>0.0955181463145847</v>
      </c>
      <c r="I1181" s="3" t="str">
        <f t="shared" si="129"/>
        <v>2021-11-01</v>
      </c>
      <c r="J1181" s="9">
        <f t="shared" si="130"/>
        <v>0.0976531484628018</v>
      </c>
      <c r="K1181" s="9">
        <f t="shared" si="131"/>
        <v>0.0972510482570601</v>
      </c>
      <c r="L1181" s="9">
        <f t="shared" si="132"/>
        <v>0.096708597065954</v>
      </c>
    </row>
    <row r="1182" s="3" customFormat="1" ht="12.95" customHeight="1" spans="1:12">
      <c r="A1182" s="10">
        <v>44505</v>
      </c>
      <c r="B1182" s="11">
        <v>0.0966137421895972</v>
      </c>
      <c r="C1182" s="11">
        <v>-0.0124564341828738</v>
      </c>
      <c r="D1182" s="11">
        <v>-4.41302661933152e-5</v>
      </c>
      <c r="E1182" s="11">
        <v>0.106</v>
      </c>
      <c r="F1182" s="9">
        <f t="shared" si="126"/>
        <v>0.0952887918408213</v>
      </c>
      <c r="G1182" s="9">
        <f t="shared" si="127"/>
        <v>0.096348730223277</v>
      </c>
      <c r="H1182" s="9">
        <f t="shared" si="128"/>
        <v>0.0964812362064371</v>
      </c>
      <c r="I1182" s="3" t="str">
        <f t="shared" si="129"/>
        <v>2021-11-01</v>
      </c>
      <c r="J1182" s="9">
        <f t="shared" si="130"/>
        <v>0.0976531484628018</v>
      </c>
      <c r="K1182" s="9">
        <f t="shared" si="131"/>
        <v>0.0972510482570601</v>
      </c>
      <c r="L1182" s="9">
        <f t="shared" si="132"/>
        <v>0.096708597065954</v>
      </c>
    </row>
    <row r="1183" s="3" customFormat="1" ht="12.95" customHeight="1" spans="1:12">
      <c r="A1183" s="10">
        <v>44504</v>
      </c>
      <c r="B1183" s="11">
        <v>0.0951238441630502</v>
      </c>
      <c r="C1183" s="11">
        <v>-0.0101395202580529</v>
      </c>
      <c r="D1183" s="11">
        <v>0.024307691400682</v>
      </c>
      <c r="E1183" s="11">
        <v>0.63</v>
      </c>
      <c r="F1183" s="9">
        <f t="shared" si="126"/>
        <v>0.0972542894225566</v>
      </c>
      <c r="G1183" s="9">
        <f t="shared" si="127"/>
        <v>0.0968997067602267</v>
      </c>
      <c r="H1183" s="9">
        <f t="shared" si="128"/>
        <v>0.0960164357251367</v>
      </c>
      <c r="I1183" s="3" t="str">
        <f t="shared" si="129"/>
        <v>2021-11-01</v>
      </c>
      <c r="J1183" s="9">
        <f t="shared" si="130"/>
        <v>0.0976531484628018</v>
      </c>
      <c r="K1183" s="9">
        <f t="shared" si="131"/>
        <v>0.0972510482570601</v>
      </c>
      <c r="L1183" s="9">
        <f t="shared" si="132"/>
        <v>0.096708597065954</v>
      </c>
    </row>
    <row r="1184" s="3" customFormat="1" ht="12.95" customHeight="1" spans="1:12">
      <c r="A1184" s="10">
        <v>44503</v>
      </c>
      <c r="B1184" s="11">
        <v>0.0967481468999212</v>
      </c>
      <c r="C1184" s="11">
        <v>-0.00654187901377217</v>
      </c>
      <c r="D1184" s="11">
        <v>-0.0161284207302817</v>
      </c>
      <c r="E1184" s="11">
        <v>0.076</v>
      </c>
      <c r="F1184" s="9">
        <f t="shared" si="126"/>
        <v>0.0950252385758061</v>
      </c>
      <c r="G1184" s="9">
        <f t="shared" si="127"/>
        <v>0.0964035583438116</v>
      </c>
      <c r="H1184" s="9">
        <f t="shared" si="128"/>
        <v>0.0965758526218664</v>
      </c>
      <c r="I1184" s="3" t="str">
        <f t="shared" si="129"/>
        <v>2021-11-01</v>
      </c>
      <c r="J1184" s="9">
        <f t="shared" si="130"/>
        <v>0.0976531484628018</v>
      </c>
      <c r="K1184" s="9">
        <f t="shared" si="131"/>
        <v>0.0972510482570601</v>
      </c>
      <c r="L1184" s="9">
        <f t="shared" si="132"/>
        <v>0.096708597065954</v>
      </c>
    </row>
    <row r="1185" s="3" customFormat="1" ht="12.95" customHeight="1" spans="1:12">
      <c r="A1185" s="10">
        <v>44502</v>
      </c>
      <c r="B1185" s="11">
        <v>0.0968816009518399</v>
      </c>
      <c r="C1185" s="11">
        <v>-0.00430241965874674</v>
      </c>
      <c r="D1185" s="11">
        <v>-0.0212577362218944</v>
      </c>
      <c r="E1185" s="11">
        <v>0.076</v>
      </c>
      <c r="F1185" s="9">
        <f t="shared" si="126"/>
        <v>0.0949390738857964</v>
      </c>
      <c r="G1185" s="9">
        <f t="shared" si="127"/>
        <v>0.0964930865824541</v>
      </c>
      <c r="H1185" s="9">
        <f t="shared" si="128"/>
        <v>0.096687343767147</v>
      </c>
      <c r="I1185" s="3" t="str">
        <f t="shared" si="129"/>
        <v>2021-11-01</v>
      </c>
      <c r="J1185" s="9">
        <f t="shared" si="130"/>
        <v>0.0976531484628018</v>
      </c>
      <c r="K1185" s="9">
        <f t="shared" si="131"/>
        <v>0.0972510482570601</v>
      </c>
      <c r="L1185" s="9">
        <f t="shared" si="132"/>
        <v>0.096708597065954</v>
      </c>
    </row>
    <row r="1186" s="3" customFormat="1" ht="12.95" customHeight="1" spans="1:12">
      <c r="A1186" s="10">
        <v>44501</v>
      </c>
      <c r="B1186" s="11">
        <v>0.0970541992932142</v>
      </c>
      <c r="C1186" s="11">
        <v>0.00188574856168947</v>
      </c>
      <c r="D1186" s="11">
        <v>-0.0345935709829193</v>
      </c>
      <c r="E1186" s="11">
        <v>0.076</v>
      </c>
      <c r="F1186" s="9">
        <f t="shared" si="126"/>
        <v>0.0945684763592335</v>
      </c>
      <c r="G1186" s="9">
        <f t="shared" si="127"/>
        <v>0.0965570403924115</v>
      </c>
      <c r="H1186" s="9">
        <f t="shared" si="128"/>
        <v>0.0968056198428129</v>
      </c>
      <c r="I1186" s="3" t="str">
        <f t="shared" si="129"/>
        <v>2021-11-01</v>
      </c>
      <c r="J1186" s="9">
        <f t="shared" si="130"/>
        <v>0.0976531484628018</v>
      </c>
      <c r="K1186" s="9">
        <f t="shared" si="131"/>
        <v>0.0972510482570601</v>
      </c>
      <c r="L1186" s="9">
        <f t="shared" si="132"/>
        <v>0.096708597065954</v>
      </c>
    </row>
    <row r="1187" s="3" customFormat="1" ht="12.95" customHeight="1" spans="1:12">
      <c r="A1187" s="10">
        <v>44498</v>
      </c>
      <c r="B1187" s="11">
        <v>0.0969879555450017</v>
      </c>
      <c r="C1187" s="11">
        <v>-0.00167777574067672</v>
      </c>
      <c r="D1187" s="11">
        <v>-0.0270198951178387</v>
      </c>
      <c r="E1187" s="11">
        <v>0.076</v>
      </c>
      <c r="F1187" s="9">
        <f t="shared" si="126"/>
        <v>0.0948069889229268</v>
      </c>
      <c r="G1187" s="9">
        <f t="shared" si="127"/>
        <v>0.0965517509479523</v>
      </c>
      <c r="H1187" s="9">
        <f t="shared" si="128"/>
        <v>0.096769853246477</v>
      </c>
      <c r="I1187" s="3" t="str">
        <f t="shared" si="129"/>
        <v>2021-10-01</v>
      </c>
      <c r="J1187" s="9">
        <f t="shared" si="130"/>
        <v>0.095933202972208</v>
      </c>
      <c r="K1187" s="9">
        <f t="shared" si="131"/>
        <v>0.096489492193344</v>
      </c>
      <c r="L1187" s="9">
        <f t="shared" si="132"/>
        <v>0.0958508979362254</v>
      </c>
    </row>
    <row r="1188" s="3" customFormat="1" ht="12.95" customHeight="1" spans="1:12">
      <c r="A1188" s="10">
        <v>44497</v>
      </c>
      <c r="B1188" s="11">
        <v>0.0972229809569511</v>
      </c>
      <c r="C1188" s="11">
        <v>-0.00127663990974213</v>
      </c>
      <c r="D1188" s="11">
        <v>-0.0287942586019855</v>
      </c>
      <c r="E1188" s="11">
        <v>0.076</v>
      </c>
      <c r="F1188" s="9">
        <f t="shared" si="126"/>
        <v>0.0949376526595261</v>
      </c>
      <c r="G1188" s="9">
        <f t="shared" si="127"/>
        <v>0.0967659032995728</v>
      </c>
      <c r="H1188" s="9">
        <f t="shared" si="128"/>
        <v>0.096994442128262</v>
      </c>
      <c r="I1188" s="3" t="str">
        <f t="shared" si="129"/>
        <v>2021-10-01</v>
      </c>
      <c r="J1188" s="9">
        <f t="shared" si="130"/>
        <v>0.095933202972208</v>
      </c>
      <c r="K1188" s="9">
        <f t="shared" si="131"/>
        <v>0.096489492193344</v>
      </c>
      <c r="L1188" s="9">
        <f t="shared" si="132"/>
        <v>0.0958508979362254</v>
      </c>
    </row>
    <row r="1189" s="3" customFormat="1" ht="12.95" customHeight="1" spans="1:12">
      <c r="A1189" s="10">
        <v>44496</v>
      </c>
      <c r="B1189" s="11">
        <v>0.0966035998749003</v>
      </c>
      <c r="C1189" s="11">
        <v>-0.00448031099909448</v>
      </c>
      <c r="D1189" s="11">
        <v>-0.019421860778901</v>
      </c>
      <c r="E1189" s="11">
        <v>0.076</v>
      </c>
      <c r="F1189" s="9">
        <f t="shared" si="126"/>
        <v>0.0947870758138623</v>
      </c>
      <c r="G1189" s="9">
        <f t="shared" si="127"/>
        <v>0.0962402868638748</v>
      </c>
      <c r="H1189" s="9">
        <f t="shared" si="128"/>
        <v>0.0964219433693875</v>
      </c>
      <c r="I1189" s="3" t="str">
        <f t="shared" si="129"/>
        <v>2021-10-01</v>
      </c>
      <c r="J1189" s="9">
        <f t="shared" si="130"/>
        <v>0.095933202972208</v>
      </c>
      <c r="K1189" s="9">
        <f t="shared" si="131"/>
        <v>0.096489492193344</v>
      </c>
      <c r="L1189" s="9">
        <f t="shared" si="132"/>
        <v>0.0958508979362254</v>
      </c>
    </row>
    <row r="1190" s="3" customFormat="1" ht="12.95" customHeight="1" spans="1:12">
      <c r="A1190" s="10">
        <v>44495</v>
      </c>
      <c r="B1190" s="11">
        <v>0.096713651829032</v>
      </c>
      <c r="C1190" s="11">
        <v>-0.010627702915903</v>
      </c>
      <c r="D1190" s="11">
        <v>0.000128447903361409</v>
      </c>
      <c r="E1190" s="11">
        <v>0.176</v>
      </c>
      <c r="F1190" s="9">
        <f t="shared" si="126"/>
        <v>0.0948716416289857</v>
      </c>
      <c r="G1190" s="9">
        <f t="shared" si="127"/>
        <v>0.0963440780525906</v>
      </c>
      <c r="H1190" s="9">
        <f t="shared" si="128"/>
        <v>0.0965288649408113</v>
      </c>
      <c r="I1190" s="3" t="str">
        <f t="shared" si="129"/>
        <v>2021-10-01</v>
      </c>
      <c r="J1190" s="9">
        <f t="shared" si="130"/>
        <v>0.095933202972208</v>
      </c>
      <c r="K1190" s="9">
        <f t="shared" si="131"/>
        <v>0.096489492193344</v>
      </c>
      <c r="L1190" s="9">
        <f t="shared" si="132"/>
        <v>0.0958508979362254</v>
      </c>
    </row>
    <row r="1191" s="3" customFormat="1" ht="12.95" customHeight="1" spans="1:12">
      <c r="A1191" s="10">
        <v>44494</v>
      </c>
      <c r="B1191" s="11">
        <v>0.0963697578179777</v>
      </c>
      <c r="C1191" s="11">
        <v>-0.011018090718474</v>
      </c>
      <c r="D1191" s="11">
        <v>-0.000318589811987079</v>
      </c>
      <c r="E1191" s="11">
        <v>0.126</v>
      </c>
      <c r="F1191" s="9">
        <f t="shared" si="126"/>
        <v>0.0949419605448733</v>
      </c>
      <c r="G1191" s="9">
        <f t="shared" si="127"/>
        <v>0.0960840734686101</v>
      </c>
      <c r="H1191" s="9">
        <f t="shared" si="128"/>
        <v>0.0962269156432939</v>
      </c>
      <c r="I1191" s="3" t="str">
        <f t="shared" si="129"/>
        <v>2021-10-01</v>
      </c>
      <c r="J1191" s="9">
        <f t="shared" si="130"/>
        <v>0.095933202972208</v>
      </c>
      <c r="K1191" s="9">
        <f t="shared" si="131"/>
        <v>0.096489492193344</v>
      </c>
      <c r="L1191" s="9">
        <f t="shared" si="132"/>
        <v>0.0958508979362254</v>
      </c>
    </row>
    <row r="1192" s="3" customFormat="1" ht="12.95" customHeight="1" spans="1:12">
      <c r="A1192" s="10">
        <v>44491</v>
      </c>
      <c r="B1192" s="11">
        <v>0.0942158414116111</v>
      </c>
      <c r="C1192" s="11">
        <v>-0.00923151750661379</v>
      </c>
      <c r="D1192" s="11">
        <v>0.024119551992715</v>
      </c>
      <c r="E1192" s="11">
        <v>0.47</v>
      </c>
      <c r="F1192" s="9">
        <f t="shared" si="126"/>
        <v>0.0975067013979259</v>
      </c>
      <c r="G1192" s="9">
        <f t="shared" si="127"/>
        <v>0.0956147047115991</v>
      </c>
      <c r="H1192" s="9">
        <f t="shared" si="128"/>
        <v>0.094915579018186</v>
      </c>
      <c r="I1192" s="3" t="str">
        <f t="shared" si="129"/>
        <v>2021-10-01</v>
      </c>
      <c r="J1192" s="9">
        <f t="shared" si="130"/>
        <v>0.095933202972208</v>
      </c>
      <c r="K1192" s="9">
        <f t="shared" si="131"/>
        <v>0.096489492193344</v>
      </c>
      <c r="L1192" s="9">
        <f t="shared" si="132"/>
        <v>0.0958508979362254</v>
      </c>
    </row>
    <row r="1193" s="3" customFormat="1" ht="12.95" customHeight="1" spans="1:12">
      <c r="A1193" s="10">
        <v>44490</v>
      </c>
      <c r="B1193" s="11">
        <v>0.094531310199871</v>
      </c>
      <c r="C1193" s="11">
        <v>-0.00936329782999277</v>
      </c>
      <c r="D1193" s="11">
        <v>0.0227145822610016</v>
      </c>
      <c r="E1193" s="11">
        <v>0.47</v>
      </c>
      <c r="F1193" s="9">
        <f t="shared" si="126"/>
        <v>0.0973532857159929</v>
      </c>
      <c r="G1193" s="9">
        <f t="shared" si="127"/>
        <v>0.0957857561495962</v>
      </c>
      <c r="H1193" s="9">
        <f t="shared" si="128"/>
        <v>0.095158820554706</v>
      </c>
      <c r="I1193" s="3" t="str">
        <f t="shared" si="129"/>
        <v>2021-10-01</v>
      </c>
      <c r="J1193" s="9">
        <f t="shared" si="130"/>
        <v>0.095933202972208</v>
      </c>
      <c r="K1193" s="9">
        <f t="shared" si="131"/>
        <v>0.096489492193344</v>
      </c>
      <c r="L1193" s="9">
        <f t="shared" si="132"/>
        <v>0.0958508979362254</v>
      </c>
    </row>
    <row r="1194" s="3" customFormat="1" ht="12.95" customHeight="1" spans="1:12">
      <c r="A1194" s="10">
        <v>44489</v>
      </c>
      <c r="B1194" s="11">
        <v>0.0950839824279089</v>
      </c>
      <c r="C1194" s="11">
        <v>-0.0101915154099463</v>
      </c>
      <c r="D1194" s="11">
        <v>0.0188799450645015</v>
      </c>
      <c r="E1194" s="11">
        <v>0.45</v>
      </c>
      <c r="F1194" s="9">
        <f t="shared" si="126"/>
        <v>0.0965240968713257</v>
      </c>
      <c r="G1194" s="9">
        <f t="shared" si="127"/>
        <v>0.0958656472430115</v>
      </c>
      <c r="H1194" s="9">
        <f t="shared" si="128"/>
        <v>0.0954749617580595</v>
      </c>
      <c r="I1194" s="3" t="str">
        <f t="shared" si="129"/>
        <v>2021-10-01</v>
      </c>
      <c r="J1194" s="9">
        <f t="shared" si="130"/>
        <v>0.095933202972208</v>
      </c>
      <c r="K1194" s="9">
        <f t="shared" si="131"/>
        <v>0.096489492193344</v>
      </c>
      <c r="L1194" s="9">
        <f t="shared" si="132"/>
        <v>0.0958508979362254</v>
      </c>
    </row>
    <row r="1195" s="3" customFormat="1" ht="12.95" customHeight="1" spans="1:12">
      <c r="A1195" s="10">
        <v>44488</v>
      </c>
      <c r="B1195" s="11">
        <v>0.0951823619013732</v>
      </c>
      <c r="C1195" s="11">
        <v>-0.0101061895462539</v>
      </c>
      <c r="D1195" s="11">
        <v>0.0186809066833011</v>
      </c>
      <c r="E1195" s="11">
        <v>0.47</v>
      </c>
      <c r="F1195" s="9">
        <f t="shared" si="126"/>
        <v>0.0965072383433032</v>
      </c>
      <c r="G1195" s="9">
        <f t="shared" si="127"/>
        <v>0.0959879180191599</v>
      </c>
      <c r="H1195" s="9">
        <f t="shared" si="128"/>
        <v>0.0955853735958406</v>
      </c>
      <c r="I1195" s="3" t="str">
        <f t="shared" si="129"/>
        <v>2021-10-01</v>
      </c>
      <c r="J1195" s="9">
        <f t="shared" si="130"/>
        <v>0.095933202972208</v>
      </c>
      <c r="K1195" s="9">
        <f t="shared" si="131"/>
        <v>0.096489492193344</v>
      </c>
      <c r="L1195" s="9">
        <f t="shared" si="132"/>
        <v>0.0958508979362254</v>
      </c>
    </row>
    <row r="1196" s="3" customFormat="1" ht="12.95" customHeight="1" spans="1:12">
      <c r="A1196" s="10">
        <v>44487</v>
      </c>
      <c r="B1196" s="11">
        <v>0.0950435289173542</v>
      </c>
      <c r="C1196" s="11">
        <v>-0.00969186181785054</v>
      </c>
      <c r="D1196" s="11">
        <v>0.0184113515267599</v>
      </c>
      <c r="E1196" s="11">
        <v>0.58</v>
      </c>
      <c r="F1196" s="9">
        <f t="shared" si="126"/>
        <v>0.0959157446867046</v>
      </c>
      <c r="G1196" s="9">
        <f t="shared" si="127"/>
        <v>0.0960514870943666</v>
      </c>
      <c r="H1196" s="9">
        <f t="shared" si="128"/>
        <v>0.0955492587052682</v>
      </c>
      <c r="I1196" s="3" t="str">
        <f t="shared" si="129"/>
        <v>2021-10-01</v>
      </c>
      <c r="J1196" s="9">
        <f t="shared" si="130"/>
        <v>0.095933202972208</v>
      </c>
      <c r="K1196" s="9">
        <f t="shared" si="131"/>
        <v>0.096489492193344</v>
      </c>
      <c r="L1196" s="9">
        <f t="shared" si="132"/>
        <v>0.0958508979362254</v>
      </c>
    </row>
    <row r="1197" s="3" customFormat="1" ht="12.95" customHeight="1" spans="1:12">
      <c r="A1197" s="10">
        <v>44484</v>
      </c>
      <c r="B1197" s="11">
        <v>0.093630054802332</v>
      </c>
      <c r="C1197" s="11">
        <v>-0.00818657298486459</v>
      </c>
      <c r="D1197" s="11">
        <v>0.0273946208290156</v>
      </c>
      <c r="E1197" s="11">
        <v>0.83</v>
      </c>
      <c r="F1197" s="9">
        <f t="shared" si="126"/>
        <v>0.0965825448482236</v>
      </c>
      <c r="G1197" s="9">
        <f t="shared" si="127"/>
        <v>0.0967445875457171</v>
      </c>
      <c r="H1197" s="9">
        <f t="shared" si="128"/>
        <v>0.0952241530397542</v>
      </c>
      <c r="I1197" s="3" t="str">
        <f t="shared" si="129"/>
        <v>2021-10-01</v>
      </c>
      <c r="J1197" s="9">
        <f t="shared" si="130"/>
        <v>0.095933202972208</v>
      </c>
      <c r="K1197" s="9">
        <f t="shared" si="131"/>
        <v>0.096489492193344</v>
      </c>
      <c r="L1197" s="9">
        <f t="shared" si="132"/>
        <v>0.0958508979362254</v>
      </c>
    </row>
    <row r="1198" s="3" customFormat="1" ht="12.95" customHeight="1" spans="1:12">
      <c r="A1198" s="10">
        <v>44483</v>
      </c>
      <c r="B1198" s="11">
        <v>0.0938277109763143</v>
      </c>
      <c r="C1198" s="11">
        <v>-0.00884338707131704</v>
      </c>
      <c r="D1198" s="11">
        <v>0.0286292540162863</v>
      </c>
      <c r="E1198" s="11">
        <v>0.77</v>
      </c>
      <c r="F1198" s="9">
        <f t="shared" si="126"/>
        <v>0.0970928573642851</v>
      </c>
      <c r="G1198" s="9">
        <f t="shared" si="127"/>
        <v>0.0968268008799298</v>
      </c>
      <c r="H1198" s="9">
        <f t="shared" si="128"/>
        <v>0.0953511536849889</v>
      </c>
      <c r="I1198" s="3" t="str">
        <f t="shared" si="129"/>
        <v>2021-10-01</v>
      </c>
      <c r="J1198" s="9">
        <f t="shared" si="130"/>
        <v>0.095933202972208</v>
      </c>
      <c r="K1198" s="9">
        <f t="shared" si="131"/>
        <v>0.096489492193344</v>
      </c>
      <c r="L1198" s="9">
        <f t="shared" si="132"/>
        <v>0.0958508979362254</v>
      </c>
    </row>
    <row r="1199" s="3" customFormat="1" ht="12.95" customHeight="1" spans="1:12">
      <c r="A1199" s="10">
        <v>44482</v>
      </c>
      <c r="B1199" s="11">
        <v>0.0943702456056692</v>
      </c>
      <c r="C1199" s="11">
        <v>-0.0102129375989458</v>
      </c>
      <c r="D1199" s="11">
        <v>0.0249834275505231</v>
      </c>
      <c r="E1199" s="11">
        <v>0.74</v>
      </c>
      <c r="F1199" s="9">
        <f t="shared" si="126"/>
        <v>0.0960027326274856</v>
      </c>
      <c r="G1199" s="9">
        <f t="shared" si="127"/>
        <v>0.0965246801739417</v>
      </c>
      <c r="H1199" s="9">
        <f t="shared" si="128"/>
        <v>0.0954632265922033</v>
      </c>
      <c r="I1199" s="3" t="str">
        <f t="shared" si="129"/>
        <v>2021-10-01</v>
      </c>
      <c r="J1199" s="9">
        <f t="shared" si="130"/>
        <v>0.095933202972208</v>
      </c>
      <c r="K1199" s="9">
        <f t="shared" si="131"/>
        <v>0.096489492193344</v>
      </c>
      <c r="L1199" s="9">
        <f t="shared" si="132"/>
        <v>0.0958508979362254</v>
      </c>
    </row>
    <row r="1200" s="3" customFormat="1" ht="12.95" customHeight="1" spans="1:12">
      <c r="A1200" s="10">
        <v>44481</v>
      </c>
      <c r="B1200" s="11">
        <v>0.0949723696537701</v>
      </c>
      <c r="C1200" s="11">
        <v>-0.0114587694259525</v>
      </c>
      <c r="D1200" s="11">
        <v>0.0243228992024692</v>
      </c>
      <c r="E1200" s="11">
        <v>0.64</v>
      </c>
      <c r="F1200" s="9">
        <f t="shared" si="126"/>
        <v>0.0963813164937285</v>
      </c>
      <c r="G1200" s="9">
        <f t="shared" si="127"/>
        <v>0.0966084698292776</v>
      </c>
      <c r="H1200" s="9">
        <f t="shared" si="128"/>
        <v>0.0957956698420853</v>
      </c>
      <c r="I1200" s="3" t="str">
        <f t="shared" si="129"/>
        <v>2021-10-01</v>
      </c>
      <c r="J1200" s="9">
        <f t="shared" si="130"/>
        <v>0.095933202972208</v>
      </c>
      <c r="K1200" s="9">
        <f t="shared" si="131"/>
        <v>0.096489492193344</v>
      </c>
      <c r="L1200" s="9">
        <f t="shared" si="132"/>
        <v>0.0958508979362254</v>
      </c>
    </row>
    <row r="1201" s="3" customFormat="1" ht="12.95" customHeight="1" spans="1:12">
      <c r="A1201" s="10">
        <v>44480</v>
      </c>
      <c r="B1201" s="11">
        <v>0.0947459169860577</v>
      </c>
      <c r="C1201" s="11">
        <v>-0.0112323167582401</v>
      </c>
      <c r="D1201" s="11">
        <v>0.0256997295093811</v>
      </c>
      <c r="E1201" s="11">
        <v>0.656</v>
      </c>
      <c r="F1201" s="9">
        <f t="shared" si="126"/>
        <v>0.0965737070627348</v>
      </c>
      <c r="G1201" s="9">
        <f t="shared" si="127"/>
        <v>0.0966305300268048</v>
      </c>
      <c r="H1201" s="9">
        <f t="shared" si="128"/>
        <v>0.0956949728749752</v>
      </c>
      <c r="I1201" s="3" t="str">
        <f t="shared" si="129"/>
        <v>2021-10-01</v>
      </c>
      <c r="J1201" s="9">
        <f t="shared" si="130"/>
        <v>0.095933202972208</v>
      </c>
      <c r="K1201" s="9">
        <f t="shared" si="131"/>
        <v>0.096489492193344</v>
      </c>
      <c r="L1201" s="9">
        <f t="shared" si="132"/>
        <v>0.0958508979362254</v>
      </c>
    </row>
    <row r="1202" s="3" customFormat="1" ht="12.95" customHeight="1" spans="1:12">
      <c r="A1202" s="10">
        <v>44477</v>
      </c>
      <c r="B1202" s="11">
        <v>0.0948561324054098</v>
      </c>
      <c r="C1202" s="11">
        <v>-0.0113425321775922</v>
      </c>
      <c r="D1202" s="11">
        <v>0.0255682896622259</v>
      </c>
      <c r="E1202" s="11">
        <v>0.656</v>
      </c>
      <c r="F1202" s="9">
        <f t="shared" si="126"/>
        <v>0.0965885377587328</v>
      </c>
      <c r="G1202" s="9">
        <f t="shared" si="127"/>
        <v>0.0967091201486442</v>
      </c>
      <c r="H1202" s="9">
        <f t="shared" si="128"/>
        <v>0.0957893357441496</v>
      </c>
      <c r="I1202" s="3" t="str">
        <f t="shared" si="129"/>
        <v>2021-10-01</v>
      </c>
      <c r="J1202" s="9">
        <f t="shared" si="130"/>
        <v>0.095933202972208</v>
      </c>
      <c r="K1202" s="9">
        <f t="shared" si="131"/>
        <v>0.096489492193344</v>
      </c>
      <c r="L1202" s="9">
        <f t="shared" si="132"/>
        <v>0.0958508979362254</v>
      </c>
    </row>
    <row r="1203" s="3" customFormat="1" ht="12.95" customHeight="1" spans="1:12">
      <c r="A1203" s="10">
        <v>44476</v>
      </c>
      <c r="B1203" s="11">
        <v>0.0951696423882459</v>
      </c>
      <c r="C1203" s="11">
        <v>-0.0118400348012418</v>
      </c>
      <c r="D1203" s="11">
        <v>0.0246334965277073</v>
      </c>
      <c r="E1203" s="11">
        <v>0.636</v>
      </c>
      <c r="F1203" s="9">
        <f t="shared" si="126"/>
        <v>0.0965044612433589</v>
      </c>
      <c r="G1203" s="9">
        <f t="shared" si="127"/>
        <v>0.0967868539104421</v>
      </c>
      <c r="H1203" s="9">
        <f t="shared" si="128"/>
        <v>0.095983302777373</v>
      </c>
      <c r="I1203" s="3" t="str">
        <f t="shared" si="129"/>
        <v>2021-10-01</v>
      </c>
      <c r="J1203" s="9">
        <f t="shared" si="130"/>
        <v>0.095933202972208</v>
      </c>
      <c r="K1203" s="9">
        <f t="shared" si="131"/>
        <v>0.096489492193344</v>
      </c>
      <c r="L1203" s="9">
        <f t="shared" si="132"/>
        <v>0.0958508979362254</v>
      </c>
    </row>
    <row r="1204" s="3" customFormat="1" ht="12.95" customHeight="1" spans="1:12">
      <c r="A1204" s="10">
        <v>44475</v>
      </c>
      <c r="B1204" s="11">
        <v>0.0951883286788473</v>
      </c>
      <c r="C1204" s="11">
        <v>-0.012595030374994</v>
      </c>
      <c r="D1204" s="11">
        <v>0.025406020151835</v>
      </c>
      <c r="E1204" s="11">
        <v>0.756</v>
      </c>
      <c r="F1204" s="9">
        <f t="shared" si="126"/>
        <v>0.0955251134325188</v>
      </c>
      <c r="G1204" s="9">
        <f t="shared" si="127"/>
        <v>0.0970886619287037</v>
      </c>
      <c r="H1204" s="9">
        <f t="shared" si="128"/>
        <v>0.0961567920218185</v>
      </c>
      <c r="I1204" s="3" t="str">
        <f t="shared" si="129"/>
        <v>2021-10-01</v>
      </c>
      <c r="J1204" s="9">
        <f t="shared" si="130"/>
        <v>0.095933202972208</v>
      </c>
      <c r="K1204" s="9">
        <f t="shared" si="131"/>
        <v>0.096489492193344</v>
      </c>
      <c r="L1204" s="9">
        <f t="shared" si="132"/>
        <v>0.0958508979362254</v>
      </c>
    </row>
    <row r="1205" s="3" customFormat="1" ht="12.95" customHeight="1" spans="1:12">
      <c r="A1205" s="10">
        <v>44474</v>
      </c>
      <c r="B1205" s="11">
        <v>0.0953862032344444</v>
      </c>
      <c r="C1205" s="11">
        <v>-0.0128849817227006</v>
      </c>
      <c r="D1205" s="11">
        <v>0.0252111820057573</v>
      </c>
      <c r="E1205" s="11">
        <v>0.736</v>
      </c>
      <c r="F1205" s="9">
        <f t="shared" si="126"/>
        <v>0.0956476324390604</v>
      </c>
      <c r="G1205" s="9">
        <f t="shared" si="127"/>
        <v>0.097170322527192</v>
      </c>
      <c r="H1205" s="9">
        <f t="shared" si="128"/>
        <v>0.0962933787501693</v>
      </c>
      <c r="I1205" s="3" t="str">
        <f t="shared" si="129"/>
        <v>2021-10-01</v>
      </c>
      <c r="J1205" s="9">
        <f t="shared" si="130"/>
        <v>0.095933202972208</v>
      </c>
      <c r="K1205" s="9">
        <f t="shared" si="131"/>
        <v>0.096489492193344</v>
      </c>
      <c r="L1205" s="9">
        <f t="shared" si="132"/>
        <v>0.0958508979362254</v>
      </c>
    </row>
    <row r="1206" s="3" customFormat="1" ht="12.95" customHeight="1" spans="1:12">
      <c r="A1206" s="10">
        <v>44473</v>
      </c>
      <c r="B1206" s="11">
        <v>0.0938252897899979</v>
      </c>
      <c r="C1206" s="11">
        <v>-0.0105876912199423</v>
      </c>
      <c r="D1206" s="11">
        <v>0.0298293815197826</v>
      </c>
      <c r="E1206" s="11">
        <v>0.916</v>
      </c>
      <c r="F1206" s="9">
        <f t="shared" si="126"/>
        <v>0.0955227510570419</v>
      </c>
      <c r="G1206" s="9">
        <f t="shared" si="127"/>
        <v>0.0972082816008248</v>
      </c>
      <c r="H1206" s="9">
        <f t="shared" si="128"/>
        <v>0.0955872553373703</v>
      </c>
      <c r="I1206" s="3" t="str">
        <f t="shared" si="129"/>
        <v>2021-10-01</v>
      </c>
      <c r="J1206" s="9">
        <f t="shared" si="130"/>
        <v>0.095933202972208</v>
      </c>
      <c r="K1206" s="9">
        <f t="shared" si="131"/>
        <v>0.096489492193344</v>
      </c>
      <c r="L1206" s="9">
        <f t="shared" si="132"/>
        <v>0.0958508979362254</v>
      </c>
    </row>
    <row r="1207" s="3" customFormat="1" ht="12.95" customHeight="1" spans="1:12">
      <c r="A1207" s="10">
        <v>44470</v>
      </c>
      <c r="B1207" s="11">
        <v>0.0949740084141261</v>
      </c>
      <c r="C1207" s="11">
        <v>-0.00897981524726505</v>
      </c>
      <c r="D1207" s="11">
        <v>0.0181393434007892</v>
      </c>
      <c r="E1207" s="11">
        <v>1.016</v>
      </c>
      <c r="F1207" s="9">
        <f t="shared" si="126"/>
        <v>0.0940232215037703</v>
      </c>
      <c r="G1207" s="9">
        <f t="shared" si="127"/>
        <v>0.0966894216384117</v>
      </c>
      <c r="H1207" s="9">
        <f t="shared" si="128"/>
        <v>0.0959036030355539</v>
      </c>
      <c r="I1207" s="3" t="str">
        <f t="shared" si="129"/>
        <v>2021-10-01</v>
      </c>
      <c r="J1207" s="9">
        <f t="shared" si="130"/>
        <v>0.095933202972208</v>
      </c>
      <c r="K1207" s="9">
        <f t="shared" si="131"/>
        <v>0.096489492193344</v>
      </c>
      <c r="L1207" s="9">
        <f t="shared" si="132"/>
        <v>0.0958508979362254</v>
      </c>
    </row>
    <row r="1208" s="3" customFormat="1" ht="12.95" customHeight="1" spans="1:12">
      <c r="A1208" s="10">
        <v>44469</v>
      </c>
      <c r="B1208" s="11">
        <v>0.0969938625486881</v>
      </c>
      <c r="C1208" s="11">
        <v>-0.00761030141400272</v>
      </c>
      <c r="D1208" s="11">
        <v>-0.0234317124645121</v>
      </c>
      <c r="E1208" s="11">
        <v>0.096</v>
      </c>
      <c r="F1208" s="9">
        <f t="shared" si="126"/>
        <v>0.0940146197061236</v>
      </c>
      <c r="G1208" s="9">
        <f t="shared" si="127"/>
        <v>0.0963978558822206</v>
      </c>
      <c r="H1208" s="9">
        <f t="shared" si="128"/>
        <v>0.0966958592154544</v>
      </c>
      <c r="I1208" s="3" t="str">
        <f t="shared" si="129"/>
        <v>2021-09-01</v>
      </c>
      <c r="J1208" s="9">
        <f t="shared" si="130"/>
        <v>0.0934401788985021</v>
      </c>
      <c r="K1208" s="9">
        <f t="shared" si="131"/>
        <v>0.0955141524775219</v>
      </c>
      <c r="L1208" s="9">
        <f t="shared" si="132"/>
        <v>0.0956585882899533</v>
      </c>
    </row>
    <row r="1209" s="3" customFormat="1" ht="12.95" customHeight="1" spans="1:12">
      <c r="A1209" s="10">
        <v>44468</v>
      </c>
      <c r="B1209" s="11">
        <v>0.0968221354311265</v>
      </c>
      <c r="C1209" s="11">
        <v>-0.00378726946393718</v>
      </c>
      <c r="D1209" s="11">
        <v>-0.0322999932420666</v>
      </c>
      <c r="E1209" s="11">
        <v>0.076</v>
      </c>
      <c r="F1209" s="9">
        <f t="shared" si="126"/>
        <v>0.0940795711042176</v>
      </c>
      <c r="G1209" s="9">
        <f t="shared" si="127"/>
        <v>0.0962736090379952</v>
      </c>
      <c r="H1209" s="9">
        <f t="shared" si="128"/>
        <v>0.0965478722345609</v>
      </c>
      <c r="I1209" s="3" t="str">
        <f t="shared" si="129"/>
        <v>2021-09-01</v>
      </c>
      <c r="J1209" s="9">
        <f t="shared" si="130"/>
        <v>0.0934401788985021</v>
      </c>
      <c r="K1209" s="9">
        <f t="shared" si="131"/>
        <v>0.0955141524775219</v>
      </c>
      <c r="L1209" s="9">
        <f t="shared" si="132"/>
        <v>0.0956585882899533</v>
      </c>
    </row>
    <row r="1210" s="3" customFormat="1" ht="12.95" customHeight="1" spans="1:12">
      <c r="A1210" s="10">
        <v>44467</v>
      </c>
      <c r="B1210" s="11">
        <v>0.0966588863756628</v>
      </c>
      <c r="C1210" s="11">
        <v>-0.00171240906670926</v>
      </c>
      <c r="D1210" s="11">
        <v>-0.035794048586982</v>
      </c>
      <c r="E1210" s="11">
        <v>0.076</v>
      </c>
      <c r="F1210" s="9">
        <f t="shared" si="126"/>
        <v>0.0938084701850901</v>
      </c>
      <c r="G1210" s="9">
        <f t="shared" si="127"/>
        <v>0.0960887882193267</v>
      </c>
      <c r="H1210" s="9">
        <f t="shared" si="128"/>
        <v>0.0963738372974948</v>
      </c>
      <c r="I1210" s="3" t="str">
        <f t="shared" si="129"/>
        <v>2021-09-01</v>
      </c>
      <c r="J1210" s="9">
        <f t="shared" si="130"/>
        <v>0.0934401788985021</v>
      </c>
      <c r="K1210" s="9">
        <f t="shared" si="131"/>
        <v>0.0955141524775219</v>
      </c>
      <c r="L1210" s="9">
        <f t="shared" si="132"/>
        <v>0.0956585882899533</v>
      </c>
    </row>
    <row r="1211" s="3" customFormat="1" ht="12.95" customHeight="1" spans="1:12">
      <c r="A1211" s="10">
        <v>44466</v>
      </c>
      <c r="B1211" s="11">
        <v>0.0963011133600148</v>
      </c>
      <c r="C1211" s="11">
        <v>-0.00199143388927353</v>
      </c>
      <c r="D1211" s="11">
        <v>-0.0338385272778979</v>
      </c>
      <c r="E1211" s="11">
        <v>0.076</v>
      </c>
      <c r="F1211" s="9">
        <f t="shared" si="126"/>
        <v>0.0935781068819678</v>
      </c>
      <c r="G1211" s="9">
        <f t="shared" si="127"/>
        <v>0.0957564979502738</v>
      </c>
      <c r="H1211" s="9">
        <f t="shared" si="128"/>
        <v>0.0960288056551443</v>
      </c>
      <c r="I1211" s="3" t="str">
        <f t="shared" si="129"/>
        <v>2021-09-01</v>
      </c>
      <c r="J1211" s="9">
        <f t="shared" si="130"/>
        <v>0.0934401788985021</v>
      </c>
      <c r="K1211" s="9">
        <f t="shared" si="131"/>
        <v>0.0955141524775219</v>
      </c>
      <c r="L1211" s="9">
        <f t="shared" si="132"/>
        <v>0.0956585882899533</v>
      </c>
    </row>
    <row r="1212" s="3" customFormat="1" ht="12.95" customHeight="1" spans="1:12">
      <c r="A1212" s="10">
        <v>44463</v>
      </c>
      <c r="B1212" s="11">
        <v>0.0963349802150073</v>
      </c>
      <c r="C1212" s="11">
        <v>0.00106392577212548</v>
      </c>
      <c r="D1212" s="11">
        <v>-0.0406051341604048</v>
      </c>
      <c r="E1212" s="11">
        <v>0.076</v>
      </c>
      <c r="F1212" s="9">
        <f t="shared" si="126"/>
        <v>0.0933299325533767</v>
      </c>
      <c r="G1212" s="9">
        <f t="shared" si="127"/>
        <v>0.0957339538475055</v>
      </c>
      <c r="H1212" s="9">
        <f t="shared" si="128"/>
        <v>0.0960344670312564</v>
      </c>
      <c r="I1212" s="3" t="str">
        <f t="shared" si="129"/>
        <v>2021-09-01</v>
      </c>
      <c r="J1212" s="9">
        <f t="shared" si="130"/>
        <v>0.0934401788985021</v>
      </c>
      <c r="K1212" s="9">
        <f t="shared" si="131"/>
        <v>0.0955141524775219</v>
      </c>
      <c r="L1212" s="9">
        <f t="shared" si="132"/>
        <v>0.0956585882899533</v>
      </c>
    </row>
    <row r="1213" s="3" customFormat="1" ht="12.95" customHeight="1" spans="1:12">
      <c r="A1213" s="10">
        <v>44462</v>
      </c>
      <c r="B1213" s="11">
        <v>0.0964006063009582</v>
      </c>
      <c r="C1213" s="11">
        <v>-0.00218193106197648</v>
      </c>
      <c r="D1213" s="11">
        <v>-0.0342712364356842</v>
      </c>
      <c r="E1213" s="11">
        <v>0.076</v>
      </c>
      <c r="F1213" s="9">
        <f t="shared" si="126"/>
        <v>0.0936302370684233</v>
      </c>
      <c r="G1213" s="9">
        <f t="shared" si="127"/>
        <v>0.0958465181549938</v>
      </c>
      <c r="H1213" s="9">
        <f t="shared" si="128"/>
        <v>0.096123562227976</v>
      </c>
      <c r="I1213" s="3" t="str">
        <f t="shared" si="129"/>
        <v>2021-09-01</v>
      </c>
      <c r="J1213" s="9">
        <f t="shared" si="130"/>
        <v>0.0934401788985021</v>
      </c>
      <c r="K1213" s="9">
        <f t="shared" si="131"/>
        <v>0.0955141524775219</v>
      </c>
      <c r="L1213" s="9">
        <f t="shared" si="132"/>
        <v>0.0956585882899533</v>
      </c>
    </row>
    <row r="1214" s="3" customFormat="1" ht="12.95" customHeight="1" spans="1:12">
      <c r="A1214" s="10">
        <v>44461</v>
      </c>
      <c r="B1214" s="11">
        <v>0.096267727059804</v>
      </c>
      <c r="C1214" s="11">
        <v>-0.0112834031548067</v>
      </c>
      <c r="D1214" s="11">
        <v>-0.0103670360587975</v>
      </c>
      <c r="E1214" s="11">
        <v>0.156</v>
      </c>
      <c r="F1214" s="9">
        <f t="shared" si="126"/>
        <v>0.0929128627925736</v>
      </c>
      <c r="G1214" s="9">
        <f t="shared" si="127"/>
        <v>0.0955922333563397</v>
      </c>
      <c r="H1214" s="9">
        <f t="shared" si="128"/>
        <v>0.0959299802080718</v>
      </c>
      <c r="I1214" s="3" t="str">
        <f t="shared" si="129"/>
        <v>2021-09-01</v>
      </c>
      <c r="J1214" s="9">
        <f t="shared" si="130"/>
        <v>0.0934401788985021</v>
      </c>
      <c r="K1214" s="9">
        <f t="shared" si="131"/>
        <v>0.0955141524775219</v>
      </c>
      <c r="L1214" s="9">
        <f t="shared" si="132"/>
        <v>0.0956585882899533</v>
      </c>
    </row>
    <row r="1215" s="3" customFormat="1" ht="12.95" customHeight="1" spans="1:12">
      <c r="A1215" s="10">
        <v>44460</v>
      </c>
      <c r="B1215" s="11">
        <v>0.096380890826229</v>
      </c>
      <c r="C1215" s="11">
        <v>-0.0129592826871566</v>
      </c>
      <c r="D1215" s="11">
        <v>-9.4759164270763e-5</v>
      </c>
      <c r="E1215" s="11">
        <v>0.276</v>
      </c>
      <c r="F1215" s="9">
        <f t="shared" si="126"/>
        <v>0.0928766936443727</v>
      </c>
      <c r="G1215" s="9">
        <f t="shared" si="127"/>
        <v>0.0956603077270885</v>
      </c>
      <c r="H1215" s="9">
        <f t="shared" si="128"/>
        <v>0.0960205992711296</v>
      </c>
      <c r="I1215" s="3" t="str">
        <f t="shared" si="129"/>
        <v>2021-09-01</v>
      </c>
      <c r="J1215" s="9">
        <f t="shared" si="130"/>
        <v>0.0934401788985021</v>
      </c>
      <c r="K1215" s="9">
        <f t="shared" si="131"/>
        <v>0.0955141524775219</v>
      </c>
      <c r="L1215" s="9">
        <f t="shared" si="132"/>
        <v>0.0956585882899533</v>
      </c>
    </row>
    <row r="1216" s="3" customFormat="1" ht="12.95" customHeight="1" spans="1:12">
      <c r="A1216" s="10">
        <v>44459</v>
      </c>
      <c r="B1216" s="11">
        <v>0.0955944625482454</v>
      </c>
      <c r="C1216" s="11">
        <v>-0.0128170360906772</v>
      </c>
      <c r="D1216" s="11">
        <v>0.000216370838485046</v>
      </c>
      <c r="E1216" s="11">
        <v>0.196</v>
      </c>
      <c r="F1216" s="9">
        <f t="shared" si="126"/>
        <v>0.0931384423124431</v>
      </c>
      <c r="G1216" s="9">
        <f t="shared" si="127"/>
        <v>0.0951005164703618</v>
      </c>
      <c r="H1216" s="9">
        <f t="shared" si="128"/>
        <v>0.0953474895093024</v>
      </c>
      <c r="I1216" s="3" t="str">
        <f t="shared" si="129"/>
        <v>2021-09-01</v>
      </c>
      <c r="J1216" s="9">
        <f t="shared" si="130"/>
        <v>0.0934401788985021</v>
      </c>
      <c r="K1216" s="9">
        <f t="shared" si="131"/>
        <v>0.0955141524775219</v>
      </c>
      <c r="L1216" s="9">
        <f t="shared" si="132"/>
        <v>0.0956585882899533</v>
      </c>
    </row>
    <row r="1217" s="3" customFormat="1" ht="12.95" customHeight="1" spans="1:12">
      <c r="A1217" s="10">
        <v>44456</v>
      </c>
      <c r="B1217" s="11">
        <v>0.0956013532095817</v>
      </c>
      <c r="C1217" s="11">
        <v>-0.0132843107203679</v>
      </c>
      <c r="D1217" s="11">
        <v>-0.00029229247436166</v>
      </c>
      <c r="E1217" s="11">
        <v>0.176</v>
      </c>
      <c r="F1217" s="9">
        <f t="shared" si="126"/>
        <v>0.093221008812532</v>
      </c>
      <c r="G1217" s="9">
        <f t="shared" si="127"/>
        <v>0.0951234567771276</v>
      </c>
      <c r="H1217" s="9">
        <f t="shared" si="128"/>
        <v>0.0953624049933545</v>
      </c>
      <c r="I1217" s="3" t="str">
        <f t="shared" si="129"/>
        <v>2021-09-01</v>
      </c>
      <c r="J1217" s="9">
        <f t="shared" si="130"/>
        <v>0.0934401788985021</v>
      </c>
      <c r="K1217" s="9">
        <f t="shared" si="131"/>
        <v>0.0955141524775219</v>
      </c>
      <c r="L1217" s="9">
        <f t="shared" si="132"/>
        <v>0.0956585882899533</v>
      </c>
    </row>
    <row r="1218" s="3" customFormat="1" ht="12.95" customHeight="1" spans="1:12">
      <c r="A1218" s="10">
        <v>44455</v>
      </c>
      <c r="B1218" s="11">
        <v>0.0935962046278605</v>
      </c>
      <c r="C1218" s="11">
        <v>-0.0116476219806932</v>
      </c>
      <c r="D1218" s="11">
        <v>0.02779280613378</v>
      </c>
      <c r="E1218" s="11">
        <v>0.756</v>
      </c>
      <c r="F1218" s="9">
        <f t="shared" si="126"/>
        <v>0.0951462925720335</v>
      </c>
      <c r="G1218" s="9">
        <f t="shared" si="127"/>
        <v>0.0959967890877969</v>
      </c>
      <c r="H1218" s="9">
        <f t="shared" si="128"/>
        <v>0.0948167283147432</v>
      </c>
      <c r="I1218" s="3" t="str">
        <f t="shared" si="129"/>
        <v>2021-09-01</v>
      </c>
      <c r="J1218" s="9">
        <f t="shared" si="130"/>
        <v>0.0934401788985021</v>
      </c>
      <c r="K1218" s="9">
        <f t="shared" si="131"/>
        <v>0.0955141524775219</v>
      </c>
      <c r="L1218" s="9">
        <f t="shared" si="132"/>
        <v>0.0956585882899533</v>
      </c>
    </row>
    <row r="1219" s="3" customFormat="1" ht="12.95" customHeight="1" spans="1:12">
      <c r="A1219" s="10">
        <v>44454</v>
      </c>
      <c r="B1219" s="11">
        <v>0.0937042652618447</v>
      </c>
      <c r="C1219" s="11">
        <v>-0.011387222772631</v>
      </c>
      <c r="D1219" s="11">
        <v>0.0259894456526833</v>
      </c>
      <c r="E1219" s="11">
        <v>0.796</v>
      </c>
      <c r="F1219" s="9">
        <f t="shared" si="126"/>
        <v>0.0946188606096496</v>
      </c>
      <c r="G1219" s="9">
        <f t="shared" si="127"/>
        <v>0.0959759700378403</v>
      </c>
      <c r="H1219" s="9">
        <f t="shared" si="128"/>
        <v>0.0948665071781753</v>
      </c>
      <c r="I1219" s="3" t="str">
        <f t="shared" si="129"/>
        <v>2021-09-01</v>
      </c>
      <c r="J1219" s="9">
        <f t="shared" si="130"/>
        <v>0.0934401788985021</v>
      </c>
      <c r="K1219" s="9">
        <f t="shared" si="131"/>
        <v>0.0955141524775219</v>
      </c>
      <c r="L1219" s="9">
        <f t="shared" si="132"/>
        <v>0.0956585882899533</v>
      </c>
    </row>
    <row r="1220" s="3" customFormat="1" ht="12.95" customHeight="1" spans="1:12">
      <c r="A1220" s="10">
        <v>44453</v>
      </c>
      <c r="B1220" s="11">
        <v>0.0959146164218684</v>
      </c>
      <c r="C1220" s="11">
        <v>-0.0157180744275917</v>
      </c>
      <c r="D1220" s="11">
        <v>-0.00026124719392716</v>
      </c>
      <c r="E1220" s="11">
        <v>0.136</v>
      </c>
      <c r="F1220" s="9">
        <f t="shared" si="126"/>
        <v>0.0937429884363647</v>
      </c>
      <c r="G1220" s="9">
        <f t="shared" si="127"/>
        <v>0.0954799788737631</v>
      </c>
      <c r="H1220" s="9">
        <f t="shared" si="128"/>
        <v>0.0956972976478157</v>
      </c>
      <c r="I1220" s="3" t="str">
        <f t="shared" si="129"/>
        <v>2021-09-01</v>
      </c>
      <c r="J1220" s="9">
        <f t="shared" si="130"/>
        <v>0.0934401788985021</v>
      </c>
      <c r="K1220" s="9">
        <f t="shared" si="131"/>
        <v>0.0955141524775219</v>
      </c>
      <c r="L1220" s="9">
        <f t="shared" si="132"/>
        <v>0.0956585882899533</v>
      </c>
    </row>
    <row r="1221" s="3" customFormat="1" ht="12.95" customHeight="1" spans="1:12">
      <c r="A1221" s="10">
        <v>44452</v>
      </c>
      <c r="B1221" s="11">
        <v>0.0958261080644994</v>
      </c>
      <c r="C1221" s="11">
        <v>-0.015906484888626</v>
      </c>
      <c r="D1221" s="11">
        <v>0.000475514682888638</v>
      </c>
      <c r="E1221" s="11">
        <v>0.136</v>
      </c>
      <c r="F1221" s="9">
        <f t="shared" ref="F1221:F1284" si="133">B1221+(C1221+D1221)*(E1221/$F$3)*(1-EXP(-$F$3/E1221))-D1221*EXP(-$F$3/E1221)</f>
        <v>0.0937285360433112</v>
      </c>
      <c r="G1221" s="9">
        <f t="shared" ref="G1221:G1284" si="134">B1221+(C1221+D1221)*(E1221/$G$3)*(1-EXP(-$G$3/E1221))-D1221*EXP(-$G$3/E1221)</f>
        <v>0.0954063856749033</v>
      </c>
      <c r="H1221" s="9">
        <f t="shared" ref="H1221:H1284" si="135">B1221+(C1221+D1221)*(E1221/$H$3)*(1-EXP(-$H$3/E1221))-D1221*EXP(-$H$3/E1221)</f>
        <v>0.0956162468697014</v>
      </c>
      <c r="I1221" s="3" t="str">
        <f t="shared" ref="I1221:I1284" si="136">TEXT(A1221,"yyyy-mm-01")</f>
        <v>2021-09-01</v>
      </c>
      <c r="J1221" s="9">
        <f t="shared" ref="J1221:J1284" si="137">AVERAGEIF($I:$I,I1221,$F:$F)</f>
        <v>0.0934401788985021</v>
      </c>
      <c r="K1221" s="9">
        <f t="shared" ref="K1221:K1284" si="138">AVERAGEIF($I:$I,I1221,$G:$G)</f>
        <v>0.0955141524775219</v>
      </c>
      <c r="L1221" s="9">
        <f t="shared" ref="L1221:L1284" si="139">AVERAGEIF($I:$I,I1221,$H:$H)</f>
        <v>0.0956585882899533</v>
      </c>
    </row>
    <row r="1222" s="3" customFormat="1" ht="12.95" customHeight="1" spans="1:12">
      <c r="A1222" s="10">
        <v>44449</v>
      </c>
      <c r="B1222" s="11">
        <v>0.095640819725616</v>
      </c>
      <c r="C1222" s="11">
        <v>-0.0149829167081615</v>
      </c>
      <c r="D1222" s="11">
        <v>-0.000434046164806421</v>
      </c>
      <c r="E1222" s="11">
        <v>0.136</v>
      </c>
      <c r="F1222" s="9">
        <f t="shared" si="133"/>
        <v>0.0935457342414708</v>
      </c>
      <c r="G1222" s="9">
        <f t="shared" si="134"/>
        <v>0.0952214783354713</v>
      </c>
      <c r="H1222" s="9">
        <f t="shared" si="135"/>
        <v>0.0954311490305436</v>
      </c>
      <c r="I1222" s="3" t="str">
        <f t="shared" si="136"/>
        <v>2021-09-01</v>
      </c>
      <c r="J1222" s="9">
        <f t="shared" si="137"/>
        <v>0.0934401788985021</v>
      </c>
      <c r="K1222" s="9">
        <f t="shared" si="138"/>
        <v>0.0955141524775219</v>
      </c>
      <c r="L1222" s="9">
        <f t="shared" si="139"/>
        <v>0.0956585882899533</v>
      </c>
    </row>
    <row r="1223" s="3" customFormat="1" ht="12.95" customHeight="1" spans="1:12">
      <c r="A1223" s="10">
        <v>44448</v>
      </c>
      <c r="B1223" s="11">
        <v>0.0957890441822327</v>
      </c>
      <c r="C1223" s="11">
        <v>-0.0148544266862335</v>
      </c>
      <c r="D1223" s="11">
        <v>3.95272638313504e-5</v>
      </c>
      <c r="E1223" s="11">
        <v>0.156</v>
      </c>
      <c r="F1223" s="9">
        <f t="shared" si="133"/>
        <v>0.0934816557470981</v>
      </c>
      <c r="G1223" s="9">
        <f t="shared" si="134"/>
        <v>0.0953268193202538</v>
      </c>
      <c r="H1223" s="9">
        <f t="shared" si="135"/>
        <v>0.0955579317512432</v>
      </c>
      <c r="I1223" s="3" t="str">
        <f t="shared" si="136"/>
        <v>2021-09-01</v>
      </c>
      <c r="J1223" s="9">
        <f t="shared" si="137"/>
        <v>0.0934401788985021</v>
      </c>
      <c r="K1223" s="9">
        <f t="shared" si="138"/>
        <v>0.0955141524775219</v>
      </c>
      <c r="L1223" s="9">
        <f t="shared" si="139"/>
        <v>0.0956585882899533</v>
      </c>
    </row>
    <row r="1224" s="3" customFormat="1" ht="12.95" customHeight="1" spans="1:12">
      <c r="A1224" s="10">
        <v>44447</v>
      </c>
      <c r="B1224" s="11">
        <v>0.0958744015077417</v>
      </c>
      <c r="C1224" s="11">
        <v>-0.0144787633037477</v>
      </c>
      <c r="D1224" s="11">
        <v>-0.000128648136566697</v>
      </c>
      <c r="E1224" s="11">
        <v>0.196</v>
      </c>
      <c r="F1224" s="9">
        <f t="shared" si="133"/>
        <v>0.0930295513210882</v>
      </c>
      <c r="G1224" s="9">
        <f t="shared" si="134"/>
        <v>0.0953017909792872</v>
      </c>
      <c r="H1224" s="9">
        <f t="shared" si="135"/>
        <v>0.0955880962435115</v>
      </c>
      <c r="I1224" s="3" t="str">
        <f t="shared" si="136"/>
        <v>2021-09-01</v>
      </c>
      <c r="J1224" s="9">
        <f t="shared" si="137"/>
        <v>0.0934401788985021</v>
      </c>
      <c r="K1224" s="9">
        <f t="shared" si="138"/>
        <v>0.0955141524775219</v>
      </c>
      <c r="L1224" s="9">
        <f t="shared" si="139"/>
        <v>0.0956585882899533</v>
      </c>
    </row>
    <row r="1225" s="3" customFormat="1" ht="12.95" customHeight="1" spans="1:12">
      <c r="A1225" s="10">
        <v>44446</v>
      </c>
      <c r="B1225" s="11">
        <v>0.0958639268621153</v>
      </c>
      <c r="C1225" s="11">
        <v>-0.0146526714372921</v>
      </c>
      <c r="D1225" s="11">
        <v>-7.30640688710788e-6</v>
      </c>
      <c r="E1225" s="11">
        <v>0.176</v>
      </c>
      <c r="F1225" s="9">
        <f t="shared" si="133"/>
        <v>0.0932925871716112</v>
      </c>
      <c r="G1225" s="9">
        <f t="shared" si="134"/>
        <v>0.0953478956420004</v>
      </c>
      <c r="H1225" s="9">
        <f t="shared" si="135"/>
        <v>0.0956059112520577</v>
      </c>
      <c r="I1225" s="3" t="str">
        <f t="shared" si="136"/>
        <v>2021-09-01</v>
      </c>
      <c r="J1225" s="9">
        <f t="shared" si="137"/>
        <v>0.0934401788985021</v>
      </c>
      <c r="K1225" s="9">
        <f t="shared" si="138"/>
        <v>0.0955141524775219</v>
      </c>
      <c r="L1225" s="9">
        <f t="shared" si="139"/>
        <v>0.0956585882899533</v>
      </c>
    </row>
    <row r="1226" s="3" customFormat="1" ht="12.95" customHeight="1" spans="1:12">
      <c r="A1226" s="10">
        <v>44445</v>
      </c>
      <c r="B1226" s="11">
        <v>0.0952853875680948</v>
      </c>
      <c r="C1226" s="11">
        <v>-0.0133368049209275</v>
      </c>
      <c r="D1226" s="11">
        <v>-0.000384949802016402</v>
      </c>
      <c r="E1226" s="11">
        <v>0.196</v>
      </c>
      <c r="F1226" s="9">
        <f t="shared" si="133"/>
        <v>0.0926146293498395</v>
      </c>
      <c r="G1226" s="9">
        <f t="shared" si="134"/>
        <v>0.0947474947829631</v>
      </c>
      <c r="H1226" s="9">
        <f t="shared" si="135"/>
        <v>0.0950164411755251</v>
      </c>
      <c r="I1226" s="3" t="str">
        <f t="shared" si="136"/>
        <v>2021-09-01</v>
      </c>
      <c r="J1226" s="9">
        <f t="shared" si="137"/>
        <v>0.0934401788985021</v>
      </c>
      <c r="K1226" s="9">
        <f t="shared" si="138"/>
        <v>0.0955141524775219</v>
      </c>
      <c r="L1226" s="9">
        <f t="shared" si="139"/>
        <v>0.0956585882899533</v>
      </c>
    </row>
    <row r="1227" s="3" customFormat="1" ht="12.95" customHeight="1" spans="1:12">
      <c r="A1227" s="10">
        <v>44442</v>
      </c>
      <c r="B1227" s="11">
        <v>0.0953045730889314</v>
      </c>
      <c r="C1227" s="11">
        <v>-0.013079632833262</v>
      </c>
      <c r="D1227" s="11">
        <v>0.000353678219784871</v>
      </c>
      <c r="E1227" s="11">
        <v>0.216</v>
      </c>
      <c r="F1227" s="9">
        <f t="shared" si="133"/>
        <v>0.0925791394437502</v>
      </c>
      <c r="G1227" s="9">
        <f t="shared" si="134"/>
        <v>0.0947548118496465</v>
      </c>
      <c r="H1227" s="9">
        <f t="shared" si="135"/>
        <v>0.0950296924692803</v>
      </c>
      <c r="I1227" s="3" t="str">
        <f t="shared" si="136"/>
        <v>2021-09-01</v>
      </c>
      <c r="J1227" s="9">
        <f t="shared" si="137"/>
        <v>0.0934401788985021</v>
      </c>
      <c r="K1227" s="9">
        <f t="shared" si="138"/>
        <v>0.0955141524775219</v>
      </c>
      <c r="L1227" s="9">
        <f t="shared" si="139"/>
        <v>0.0956585882899533</v>
      </c>
    </row>
    <row r="1228" s="3" customFormat="1" ht="12.95" customHeight="1" spans="1:12">
      <c r="A1228" s="10">
        <v>44441</v>
      </c>
      <c r="B1228" s="11">
        <v>0.0956857243566785</v>
      </c>
      <c r="C1228" s="11">
        <v>-0.0118961986269953</v>
      </c>
      <c r="D1228" s="11">
        <v>-0.000183790401684236</v>
      </c>
      <c r="E1228" s="11">
        <v>0.276</v>
      </c>
      <c r="F1228" s="9">
        <f t="shared" si="133"/>
        <v>0.0924455653620612</v>
      </c>
      <c r="G1228" s="9">
        <f t="shared" si="134"/>
        <v>0.0950189089738319</v>
      </c>
      <c r="H1228" s="9">
        <f t="shared" si="135"/>
        <v>0.095352316659487</v>
      </c>
      <c r="I1228" s="3" t="str">
        <f t="shared" si="136"/>
        <v>2021-09-01</v>
      </c>
      <c r="J1228" s="9">
        <f t="shared" si="137"/>
        <v>0.0934401788985021</v>
      </c>
      <c r="K1228" s="9">
        <f t="shared" si="138"/>
        <v>0.0955141524775219</v>
      </c>
      <c r="L1228" s="9">
        <f t="shared" si="139"/>
        <v>0.0956585882899533</v>
      </c>
    </row>
    <row r="1229" s="3" customFormat="1" ht="12.95" customHeight="1" spans="1:12">
      <c r="A1229" s="10">
        <v>44440</v>
      </c>
      <c r="B1229" s="11">
        <v>0.0957321987617947</v>
      </c>
      <c r="C1229" s="11">
        <v>-0.00671450244414201</v>
      </c>
      <c r="D1229" s="11">
        <v>-0.0231243119987413</v>
      </c>
      <c r="E1229" s="11">
        <v>0.096</v>
      </c>
      <c r="F1229" s="9">
        <f t="shared" si="133"/>
        <v>0.0928684504076466</v>
      </c>
      <c r="G1229" s="9">
        <f t="shared" si="134"/>
        <v>0.0951592935244913</v>
      </c>
      <c r="H1229" s="9">
        <f t="shared" si="135"/>
        <v>0.095445746143143</v>
      </c>
      <c r="I1229" s="3" t="str">
        <f t="shared" si="136"/>
        <v>2021-09-01</v>
      </c>
      <c r="J1229" s="9">
        <f t="shared" si="137"/>
        <v>0.0934401788985021</v>
      </c>
      <c r="K1229" s="9">
        <f t="shared" si="138"/>
        <v>0.0955141524775219</v>
      </c>
      <c r="L1229" s="9">
        <f t="shared" si="139"/>
        <v>0.0956585882899533</v>
      </c>
    </row>
    <row r="1230" s="3" customFormat="1" ht="12.95" customHeight="1" spans="1:12">
      <c r="A1230" s="10">
        <v>44435</v>
      </c>
      <c r="B1230" s="11">
        <v>0.095891389351575</v>
      </c>
      <c r="C1230" s="11">
        <v>-0.00276541136209133</v>
      </c>
      <c r="D1230" s="11">
        <v>-0.0333402317760463</v>
      </c>
      <c r="E1230" s="11">
        <v>0.076</v>
      </c>
      <c r="F1230" s="9">
        <f t="shared" si="133"/>
        <v>0.0931474301223729</v>
      </c>
      <c r="G1230" s="9">
        <f t="shared" si="134"/>
        <v>0.0953425835758753</v>
      </c>
      <c r="H1230" s="9">
        <f t="shared" si="135"/>
        <v>0.0956169864637252</v>
      </c>
      <c r="I1230" s="3" t="str">
        <f t="shared" si="136"/>
        <v>2021-08-01</v>
      </c>
      <c r="J1230" s="9">
        <f t="shared" si="137"/>
        <v>0.0925358279716225</v>
      </c>
      <c r="K1230" s="9">
        <f t="shared" si="138"/>
        <v>0.0959173598963034</v>
      </c>
      <c r="L1230" s="9">
        <f t="shared" si="139"/>
        <v>0.0958374650287532</v>
      </c>
    </row>
    <row r="1231" s="3" customFormat="1" ht="12.95" customHeight="1" spans="1:12">
      <c r="A1231" s="10">
        <v>44434</v>
      </c>
      <c r="B1231" s="11">
        <v>0.0959954770270972</v>
      </c>
      <c r="C1231" s="11">
        <v>-0.00314286001248085</v>
      </c>
      <c r="D1231" s="11">
        <v>-0.0331000071528446</v>
      </c>
      <c r="E1231" s="11">
        <v>0.076</v>
      </c>
      <c r="F1231" s="9">
        <f t="shared" si="133"/>
        <v>0.0932410883282809</v>
      </c>
      <c r="G1231" s="9">
        <f t="shared" si="134"/>
        <v>0.0954445854461843</v>
      </c>
      <c r="H1231" s="9">
        <f t="shared" si="135"/>
        <v>0.0957200312366407</v>
      </c>
      <c r="I1231" s="3" t="str">
        <f t="shared" si="136"/>
        <v>2021-08-01</v>
      </c>
      <c r="J1231" s="9">
        <f t="shared" si="137"/>
        <v>0.0925358279716225</v>
      </c>
      <c r="K1231" s="9">
        <f t="shared" si="138"/>
        <v>0.0959173598963034</v>
      </c>
      <c r="L1231" s="9">
        <f t="shared" si="139"/>
        <v>0.0958374650287532</v>
      </c>
    </row>
    <row r="1232" s="3" customFormat="1" ht="12.95" customHeight="1" spans="1:12">
      <c r="A1232" s="10">
        <v>44433</v>
      </c>
      <c r="B1232" s="11">
        <v>0.0959107210172957</v>
      </c>
      <c r="C1232" s="11">
        <v>-0.000782375925718306</v>
      </c>
      <c r="D1232" s="11">
        <v>-0.0367485140825728</v>
      </c>
      <c r="E1232" s="11">
        <v>0.076</v>
      </c>
      <c r="F1232" s="9">
        <f t="shared" si="133"/>
        <v>0.0930584498136524</v>
      </c>
      <c r="G1232" s="9">
        <f t="shared" si="134"/>
        <v>0.0953402514891697</v>
      </c>
      <c r="H1232" s="9">
        <f t="shared" si="135"/>
        <v>0.0956254862532327</v>
      </c>
      <c r="I1232" s="3" t="str">
        <f t="shared" si="136"/>
        <v>2021-08-01</v>
      </c>
      <c r="J1232" s="9">
        <f t="shared" si="137"/>
        <v>0.0925358279716225</v>
      </c>
      <c r="K1232" s="9">
        <f t="shared" si="138"/>
        <v>0.0959173598963034</v>
      </c>
      <c r="L1232" s="9">
        <f t="shared" si="139"/>
        <v>0.0958374650287532</v>
      </c>
    </row>
    <row r="1233" s="3" customFormat="1" ht="12.95" customHeight="1" spans="1:12">
      <c r="A1233" s="10">
        <v>44432</v>
      </c>
      <c r="B1233" s="11">
        <v>0.0959935734473919</v>
      </c>
      <c r="C1233" s="11">
        <v>-0.00944897204720602</v>
      </c>
      <c r="D1233" s="11">
        <v>-0.0133256958599126</v>
      </c>
      <c r="E1233" s="11">
        <v>0.136</v>
      </c>
      <c r="F1233" s="9">
        <f t="shared" si="133"/>
        <v>0.0929067409453387</v>
      </c>
      <c r="G1233" s="9">
        <f t="shared" si="134"/>
        <v>0.0953741024803183</v>
      </c>
      <c r="H1233" s="9">
        <f t="shared" si="135"/>
        <v>0.0956838379638551</v>
      </c>
      <c r="I1233" s="3" t="str">
        <f t="shared" si="136"/>
        <v>2021-08-01</v>
      </c>
      <c r="J1233" s="9">
        <f t="shared" si="137"/>
        <v>0.0925358279716225</v>
      </c>
      <c r="K1233" s="9">
        <f t="shared" si="138"/>
        <v>0.0959173598963034</v>
      </c>
      <c r="L1233" s="9">
        <f t="shared" si="139"/>
        <v>0.0958374650287532</v>
      </c>
    </row>
    <row r="1234" s="3" customFormat="1" ht="12.95" customHeight="1" spans="1:12">
      <c r="A1234" s="10">
        <v>44431</v>
      </c>
      <c r="B1234" s="11">
        <v>0.0959555</v>
      </c>
      <c r="C1234" s="11">
        <v>-0.011063</v>
      </c>
      <c r="D1234" s="11">
        <v>-7e-6</v>
      </c>
      <c r="E1234" s="11">
        <v>0.476</v>
      </c>
      <c r="F1234" s="9">
        <f t="shared" si="133"/>
        <v>0.091331756572193</v>
      </c>
      <c r="G1234" s="9">
        <f t="shared" si="134"/>
        <v>0.094901665089944</v>
      </c>
      <c r="H1234" s="9">
        <f t="shared" si="135"/>
        <v>0.0954285680004015</v>
      </c>
      <c r="I1234" s="3" t="str">
        <f t="shared" si="136"/>
        <v>2021-08-01</v>
      </c>
      <c r="J1234" s="9">
        <f t="shared" si="137"/>
        <v>0.0925358279716225</v>
      </c>
      <c r="K1234" s="9">
        <f t="shared" si="138"/>
        <v>0.0959173598963034</v>
      </c>
      <c r="L1234" s="9">
        <f t="shared" si="139"/>
        <v>0.0958374650287532</v>
      </c>
    </row>
    <row r="1235" s="3" customFormat="1" ht="12.95" customHeight="1" spans="1:12">
      <c r="A1235" s="10">
        <v>44428</v>
      </c>
      <c r="B1235" s="11">
        <v>0.0966228540748911</v>
      </c>
      <c r="C1235" s="11">
        <v>-0.0109039786723537</v>
      </c>
      <c r="D1235" s="11">
        <v>-1.99916752155173e-6</v>
      </c>
      <c r="E1235" s="11">
        <v>0.596</v>
      </c>
      <c r="F1235" s="9">
        <f t="shared" si="133"/>
        <v>0.0913372930975123</v>
      </c>
      <c r="G1235" s="9">
        <f t="shared" si="134"/>
        <v>0.0953231574526109</v>
      </c>
      <c r="H1235" s="9">
        <f t="shared" si="135"/>
        <v>0.0959728578293186</v>
      </c>
      <c r="I1235" s="3" t="str">
        <f t="shared" si="136"/>
        <v>2021-08-01</v>
      </c>
      <c r="J1235" s="9">
        <f t="shared" si="137"/>
        <v>0.0925358279716225</v>
      </c>
      <c r="K1235" s="9">
        <f t="shared" si="138"/>
        <v>0.0959173598963034</v>
      </c>
      <c r="L1235" s="9">
        <f t="shared" si="139"/>
        <v>0.0958374650287532</v>
      </c>
    </row>
    <row r="1236" s="3" customFormat="1" ht="12.95" customHeight="1" spans="1:12">
      <c r="A1236" s="10">
        <v>44427</v>
      </c>
      <c r="B1236" s="11">
        <v>0.096820831213259</v>
      </c>
      <c r="C1236" s="11">
        <v>-0.0100928277034349</v>
      </c>
      <c r="D1236" s="11">
        <v>-0.0147475454884768</v>
      </c>
      <c r="E1236" s="11">
        <v>0.136</v>
      </c>
      <c r="F1236" s="9">
        <f t="shared" si="133"/>
        <v>0.0934541537759595</v>
      </c>
      <c r="G1236" s="9">
        <f t="shared" si="134"/>
        <v>0.096145173062439</v>
      </c>
      <c r="H1236" s="9">
        <f t="shared" si="135"/>
        <v>0.096483002137849</v>
      </c>
      <c r="I1236" s="3" t="str">
        <f t="shared" si="136"/>
        <v>2021-08-01</v>
      </c>
      <c r="J1236" s="9">
        <f t="shared" si="137"/>
        <v>0.0925358279716225</v>
      </c>
      <c r="K1236" s="9">
        <f t="shared" si="138"/>
        <v>0.0959173598963034</v>
      </c>
      <c r="L1236" s="9">
        <f t="shared" si="139"/>
        <v>0.0958374650287532</v>
      </c>
    </row>
    <row r="1237" s="3" customFormat="1" ht="12.95" customHeight="1" spans="1:12">
      <c r="A1237" s="10">
        <v>44426</v>
      </c>
      <c r="B1237" s="11">
        <v>0.0932034105208961</v>
      </c>
      <c r="C1237" s="11">
        <v>-0.00665880912071026</v>
      </c>
      <c r="D1237" s="11">
        <v>0.0197109728541908</v>
      </c>
      <c r="E1237" s="11">
        <v>1.356</v>
      </c>
      <c r="F1237" s="9">
        <f t="shared" si="133"/>
        <v>0.0930081154668609</v>
      </c>
      <c r="G1237" s="9">
        <f t="shared" si="134"/>
        <v>0.0961609796243729</v>
      </c>
      <c r="H1237" s="9">
        <f t="shared" si="135"/>
        <v>0.0949598163382937</v>
      </c>
      <c r="I1237" s="3" t="str">
        <f t="shared" si="136"/>
        <v>2021-08-01</v>
      </c>
      <c r="J1237" s="9">
        <f t="shared" si="137"/>
        <v>0.0925358279716225</v>
      </c>
      <c r="K1237" s="9">
        <f t="shared" si="138"/>
        <v>0.0959173598963034</v>
      </c>
      <c r="L1237" s="9">
        <f t="shared" si="139"/>
        <v>0.0958374650287532</v>
      </c>
    </row>
    <row r="1238" s="3" customFormat="1" ht="12.95" customHeight="1" spans="1:12">
      <c r="A1238" s="10">
        <v>44425</v>
      </c>
      <c r="B1238" s="11">
        <v>0.092499287329655</v>
      </c>
      <c r="C1238" s="11">
        <v>-0.00586298067010824</v>
      </c>
      <c r="D1238" s="11">
        <v>0.0229446445707662</v>
      </c>
      <c r="E1238" s="11">
        <v>1.456</v>
      </c>
      <c r="F1238" s="9">
        <f t="shared" si="133"/>
        <v>0.093310504077588</v>
      </c>
      <c r="G1238" s="9">
        <f t="shared" si="134"/>
        <v>0.0965729314979213</v>
      </c>
      <c r="H1238" s="9">
        <f t="shared" si="135"/>
        <v>0.0949599179362648</v>
      </c>
      <c r="I1238" s="3" t="str">
        <f t="shared" si="136"/>
        <v>2021-08-01</v>
      </c>
      <c r="J1238" s="9">
        <f t="shared" si="137"/>
        <v>0.0925358279716225</v>
      </c>
      <c r="K1238" s="9">
        <f t="shared" si="138"/>
        <v>0.0959173598963034</v>
      </c>
      <c r="L1238" s="9">
        <f t="shared" si="139"/>
        <v>0.0958374650287532</v>
      </c>
    </row>
    <row r="1239" s="3" customFormat="1" ht="12.95" customHeight="1" spans="1:12">
      <c r="A1239" s="10">
        <v>44424</v>
      </c>
      <c r="B1239" s="11">
        <v>0.0966536474650051</v>
      </c>
      <c r="C1239" s="11">
        <v>-0.00946728578608912</v>
      </c>
      <c r="D1239" s="11">
        <v>-0.0199644279760661</v>
      </c>
      <c r="E1239" s="11">
        <v>0.156</v>
      </c>
      <c r="F1239" s="9">
        <f t="shared" si="133"/>
        <v>0.0921026846138559</v>
      </c>
      <c r="G1239" s="9">
        <f t="shared" si="134"/>
        <v>0.0957353779956261</v>
      </c>
      <c r="H1239" s="9">
        <f t="shared" si="135"/>
        <v>0.0961945127303155</v>
      </c>
      <c r="I1239" s="3" t="str">
        <f t="shared" si="136"/>
        <v>2021-08-01</v>
      </c>
      <c r="J1239" s="9">
        <f t="shared" si="137"/>
        <v>0.0925358279716225</v>
      </c>
      <c r="K1239" s="9">
        <f t="shared" si="138"/>
        <v>0.0959173598963034</v>
      </c>
      <c r="L1239" s="9">
        <f t="shared" si="139"/>
        <v>0.0958374650287532</v>
      </c>
    </row>
    <row r="1240" s="3" customFormat="1" ht="12.95" customHeight="1" spans="1:12">
      <c r="A1240" s="10">
        <v>44421</v>
      </c>
      <c r="B1240" s="8">
        <v>0.0970603598712658</v>
      </c>
      <c r="C1240" s="8">
        <v>-0.0118923475013876</v>
      </c>
      <c r="D1240" s="8">
        <v>-0.0115394083385557</v>
      </c>
      <c r="E1240" s="8">
        <v>0.256</v>
      </c>
      <c r="F1240" s="9">
        <f t="shared" si="133"/>
        <v>0.0914146199213544</v>
      </c>
      <c r="G1240" s="9">
        <f t="shared" si="134"/>
        <v>0.0958606540142197</v>
      </c>
      <c r="H1240" s="9">
        <f t="shared" si="135"/>
        <v>0.0964605069217633</v>
      </c>
      <c r="I1240" s="3" t="str">
        <f t="shared" si="136"/>
        <v>2021-08-01</v>
      </c>
      <c r="J1240" s="9">
        <f t="shared" si="137"/>
        <v>0.0925358279716225</v>
      </c>
      <c r="K1240" s="9">
        <f t="shared" si="138"/>
        <v>0.0959173598963034</v>
      </c>
      <c r="L1240" s="9">
        <f t="shared" si="139"/>
        <v>0.0958374650287532</v>
      </c>
    </row>
    <row r="1241" s="3" customFormat="1" ht="12.95" customHeight="1" spans="1:12">
      <c r="A1241" s="10">
        <v>44420</v>
      </c>
      <c r="B1241" s="8">
        <v>0.0972730049024349</v>
      </c>
      <c r="C1241" s="8">
        <v>-0.0137594046746173</v>
      </c>
      <c r="D1241" s="8">
        <v>0.000218983401746859</v>
      </c>
      <c r="E1241" s="8">
        <v>0.496</v>
      </c>
      <c r="F1241" s="9">
        <f t="shared" si="133"/>
        <v>0.0914221699446918</v>
      </c>
      <c r="G1241" s="9">
        <f t="shared" si="134"/>
        <v>0.0959298421974516</v>
      </c>
      <c r="H1241" s="9">
        <f t="shared" si="135"/>
        <v>0.0966014000080945</v>
      </c>
      <c r="I1241" s="3" t="str">
        <f t="shared" si="136"/>
        <v>2021-08-01</v>
      </c>
      <c r="J1241" s="9">
        <f t="shared" si="137"/>
        <v>0.0925358279716225</v>
      </c>
      <c r="K1241" s="9">
        <f t="shared" si="138"/>
        <v>0.0959173598963034</v>
      </c>
      <c r="L1241" s="9">
        <f t="shared" si="139"/>
        <v>0.0958374650287532</v>
      </c>
    </row>
    <row r="1242" s="3" customFormat="1" ht="12.95" customHeight="1" spans="1:12">
      <c r="A1242" s="10">
        <v>44419</v>
      </c>
      <c r="B1242" s="8">
        <v>0.0971393708984867</v>
      </c>
      <c r="C1242" s="8">
        <v>-0.014638149386743</v>
      </c>
      <c r="D1242" s="8">
        <v>-2.0711939657646e-5</v>
      </c>
      <c r="E1242" s="8">
        <v>0.396</v>
      </c>
      <c r="F1242" s="9">
        <f t="shared" si="133"/>
        <v>0.0918007334431922</v>
      </c>
      <c r="G1242" s="9">
        <f t="shared" si="134"/>
        <v>0.0959783929628389</v>
      </c>
      <c r="H1242" s="9">
        <f t="shared" si="135"/>
        <v>0.0965588799899677</v>
      </c>
      <c r="I1242" s="3" t="str">
        <f t="shared" si="136"/>
        <v>2021-08-01</v>
      </c>
      <c r="J1242" s="9">
        <f t="shared" si="137"/>
        <v>0.0925358279716225</v>
      </c>
      <c r="K1242" s="9">
        <f t="shared" si="138"/>
        <v>0.0959173598963034</v>
      </c>
      <c r="L1242" s="9">
        <f t="shared" si="139"/>
        <v>0.0958374650287532</v>
      </c>
    </row>
    <row r="1243" s="3" customFormat="1" ht="12.95" customHeight="1" spans="1:12">
      <c r="A1243" s="10">
        <v>44418</v>
      </c>
      <c r="B1243" s="8">
        <v>0.0972145955964243</v>
      </c>
      <c r="C1243" s="8">
        <v>-0.0151738852602149</v>
      </c>
      <c r="D1243" s="8">
        <v>0.000140742023124316</v>
      </c>
      <c r="E1243" s="8">
        <v>0.376</v>
      </c>
      <c r="F1243" s="9">
        <f t="shared" si="133"/>
        <v>0.0919478328327809</v>
      </c>
      <c r="G1243" s="9">
        <f t="shared" si="134"/>
        <v>0.0960841048858553</v>
      </c>
      <c r="H1243" s="9">
        <f t="shared" si="135"/>
        <v>0.0966493494107109</v>
      </c>
      <c r="I1243" s="3" t="str">
        <f t="shared" si="136"/>
        <v>2021-08-01</v>
      </c>
      <c r="J1243" s="9">
        <f t="shared" si="137"/>
        <v>0.0925358279716225</v>
      </c>
      <c r="K1243" s="9">
        <f t="shared" si="138"/>
        <v>0.0959173598963034</v>
      </c>
      <c r="L1243" s="9">
        <f t="shared" si="139"/>
        <v>0.0958374650287532</v>
      </c>
    </row>
    <row r="1244" s="3" customFormat="1" ht="12.95" customHeight="1" spans="1:12">
      <c r="A1244" s="10">
        <v>44417</v>
      </c>
      <c r="B1244" s="8">
        <v>0.0899310496432499</v>
      </c>
      <c r="C1244" s="8">
        <v>-0.00816674784061033</v>
      </c>
      <c r="D1244" s="8">
        <v>0.0396037381058867</v>
      </c>
      <c r="E1244" s="8">
        <v>1.076</v>
      </c>
      <c r="F1244" s="9">
        <f t="shared" si="133"/>
        <v>0.094766880770822</v>
      </c>
      <c r="G1244" s="9">
        <f t="shared" si="134"/>
        <v>0.0962515250620172</v>
      </c>
      <c r="H1244" s="9">
        <f t="shared" si="135"/>
        <v>0.0933097148859827</v>
      </c>
      <c r="I1244" s="3" t="str">
        <f t="shared" si="136"/>
        <v>2021-08-01</v>
      </c>
      <c r="J1244" s="9">
        <f t="shared" si="137"/>
        <v>0.0925358279716225</v>
      </c>
      <c r="K1244" s="9">
        <f t="shared" si="138"/>
        <v>0.0959173598963034</v>
      </c>
      <c r="L1244" s="9">
        <f t="shared" si="139"/>
        <v>0.0958374650287532</v>
      </c>
    </row>
    <row r="1245" s="3" customFormat="1" ht="12.95" customHeight="1" spans="1:12">
      <c r="A1245" s="10">
        <v>44414</v>
      </c>
      <c r="B1245" s="8">
        <v>0.0926520640390826</v>
      </c>
      <c r="C1245" s="8">
        <v>-0.010887762236443</v>
      </c>
      <c r="D1245" s="8">
        <v>0.0299491387261265</v>
      </c>
      <c r="E1245" s="8">
        <v>1.156</v>
      </c>
      <c r="F1245" s="9">
        <f t="shared" si="133"/>
        <v>0.0928001695014845</v>
      </c>
      <c r="G1245" s="9">
        <f t="shared" si="134"/>
        <v>0.0966045187040104</v>
      </c>
      <c r="H1245" s="9">
        <f t="shared" si="135"/>
        <v>0.0948499312936609</v>
      </c>
      <c r="I1245" s="3" t="str">
        <f t="shared" si="136"/>
        <v>2021-08-01</v>
      </c>
      <c r="J1245" s="9">
        <f t="shared" si="137"/>
        <v>0.0925358279716225</v>
      </c>
      <c r="K1245" s="9">
        <f t="shared" si="138"/>
        <v>0.0959173598963034</v>
      </c>
      <c r="L1245" s="9">
        <f t="shared" si="139"/>
        <v>0.0958374650287532</v>
      </c>
    </row>
    <row r="1246" s="3" customFormat="1" ht="12.95" customHeight="1" spans="1:12">
      <c r="A1246" s="10">
        <v>44413</v>
      </c>
      <c r="B1246" s="8">
        <v>0.0940247</v>
      </c>
      <c r="C1246" s="8">
        <v>-0.0117076</v>
      </c>
      <c r="D1246" s="8">
        <v>0.0245207</v>
      </c>
      <c r="E1246" s="8">
        <v>1.076</v>
      </c>
      <c r="F1246" s="9">
        <f t="shared" si="133"/>
        <v>0.0926876367479095</v>
      </c>
      <c r="G1246" s="9">
        <f t="shared" si="134"/>
        <v>0.0965204315233825</v>
      </c>
      <c r="H1246" s="9">
        <f t="shared" si="135"/>
        <v>0.0954010067168373</v>
      </c>
      <c r="I1246" s="3" t="str">
        <f t="shared" si="136"/>
        <v>2021-08-01</v>
      </c>
      <c r="J1246" s="9">
        <f t="shared" si="137"/>
        <v>0.0925358279716225</v>
      </c>
      <c r="K1246" s="9">
        <f t="shared" si="138"/>
        <v>0.0959173598963034</v>
      </c>
      <c r="L1246" s="9">
        <f t="shared" si="139"/>
        <v>0.0958374650287532</v>
      </c>
    </row>
    <row r="1247" s="3" customFormat="1" ht="12.95" customHeight="1" spans="1:12">
      <c r="A1247" s="10">
        <v>44412</v>
      </c>
      <c r="B1247" s="8">
        <v>0.0965779272149268</v>
      </c>
      <c r="C1247" s="8">
        <v>-0.0133403286448712</v>
      </c>
      <c r="D1247" s="8">
        <v>-0.0154357006748874</v>
      </c>
      <c r="E1247" s="8">
        <v>0.156</v>
      </c>
      <c r="F1247" s="9">
        <f t="shared" si="133"/>
        <v>0.0921216349582867</v>
      </c>
      <c r="G1247" s="9">
        <f t="shared" si="134"/>
        <v>0.0956801151001505</v>
      </c>
      <c r="H1247" s="9">
        <f t="shared" si="135"/>
        <v>0.0961290211575386</v>
      </c>
      <c r="I1247" s="3" t="str">
        <f t="shared" si="136"/>
        <v>2021-08-01</v>
      </c>
      <c r="J1247" s="9">
        <f t="shared" si="137"/>
        <v>0.0925358279716225</v>
      </c>
      <c r="K1247" s="9">
        <f t="shared" si="138"/>
        <v>0.0959173598963034</v>
      </c>
      <c r="L1247" s="9">
        <f t="shared" si="139"/>
        <v>0.0958374650287532</v>
      </c>
    </row>
    <row r="1248" s="3" customFormat="1" ht="12.95" customHeight="1" spans="1:12">
      <c r="A1248" s="10">
        <v>44411</v>
      </c>
      <c r="B1248" s="8">
        <v>0.0973462470507461</v>
      </c>
      <c r="C1248" s="8">
        <v>-0.0152134175122238</v>
      </c>
      <c r="D1248" s="8">
        <v>-0.0112177471345549</v>
      </c>
      <c r="E1248" s="8">
        <v>0.196</v>
      </c>
      <c r="F1248" s="9">
        <f t="shared" si="133"/>
        <v>0.0922655109626874</v>
      </c>
      <c r="G1248" s="9">
        <f t="shared" si="134"/>
        <v>0.0963101453966946</v>
      </c>
      <c r="H1248" s="9">
        <f t="shared" si="135"/>
        <v>0.0968281962236692</v>
      </c>
      <c r="I1248" s="3" t="str">
        <f t="shared" si="136"/>
        <v>2021-08-01</v>
      </c>
      <c r="J1248" s="9">
        <f t="shared" si="137"/>
        <v>0.0925358279716225</v>
      </c>
      <c r="K1248" s="9">
        <f t="shared" si="138"/>
        <v>0.0959173598963034</v>
      </c>
      <c r="L1248" s="9">
        <f t="shared" si="139"/>
        <v>0.0958374650287532</v>
      </c>
    </row>
    <row r="1249" s="3" customFormat="1" ht="12.95" customHeight="1" spans="1:12">
      <c r="A1249" s="10">
        <v>44410</v>
      </c>
      <c r="B1249" s="8">
        <v>0.0978458937888995</v>
      </c>
      <c r="C1249" s="8">
        <v>-0.0140563680592163</v>
      </c>
      <c r="D1249" s="8">
        <v>-0.0198934211687881</v>
      </c>
      <c r="E1249" s="8">
        <v>0.156</v>
      </c>
      <c r="F1249" s="9">
        <f t="shared" si="133"/>
        <v>0.0925911535356269</v>
      </c>
      <c r="G1249" s="9">
        <f t="shared" si="134"/>
        <v>0.096786660364986</v>
      </c>
      <c r="H1249" s="9">
        <f t="shared" si="135"/>
        <v>0.0973162770769426</v>
      </c>
      <c r="I1249" s="3" t="str">
        <f t="shared" si="136"/>
        <v>2021-08-01</v>
      </c>
      <c r="J1249" s="9">
        <f t="shared" si="137"/>
        <v>0.0925358279716225</v>
      </c>
      <c r="K1249" s="9">
        <f t="shared" si="138"/>
        <v>0.0959173598963034</v>
      </c>
      <c r="L1249" s="9">
        <f t="shared" si="139"/>
        <v>0.0958374650287532</v>
      </c>
    </row>
    <row r="1250" s="3" customFormat="1" ht="12.95" customHeight="1" spans="1:12">
      <c r="A1250" s="10">
        <v>44407</v>
      </c>
      <c r="B1250" s="8">
        <v>0.0981661666658613</v>
      </c>
      <c r="C1250" s="8">
        <v>-0.0164940180218364</v>
      </c>
      <c r="D1250" s="8">
        <v>0.00037203469459676</v>
      </c>
      <c r="E1250" s="8">
        <v>0.416</v>
      </c>
      <c r="F1250" s="9">
        <f t="shared" si="133"/>
        <v>0.0920318875294562</v>
      </c>
      <c r="G1250" s="9">
        <f t="shared" si="134"/>
        <v>0.09682482349527</v>
      </c>
      <c r="H1250" s="9">
        <f t="shared" si="135"/>
        <v>0.097495492159459</v>
      </c>
      <c r="I1250" s="3" t="str">
        <f t="shared" si="136"/>
        <v>2021-07-01</v>
      </c>
      <c r="J1250" s="9">
        <f t="shared" si="137"/>
        <v>0.0920466355149428</v>
      </c>
      <c r="K1250" s="9">
        <f t="shared" si="138"/>
        <v>0.0979634016205698</v>
      </c>
      <c r="L1250" s="9">
        <f t="shared" si="139"/>
        <v>0.0988483658356736</v>
      </c>
    </row>
    <row r="1251" s="3" customFormat="1" ht="12.95" customHeight="1" spans="1:12">
      <c r="A1251" s="10">
        <v>44406</v>
      </c>
      <c r="B1251" s="8">
        <v>0.0978965167951891</v>
      </c>
      <c r="C1251" s="8">
        <v>-0.0140150328144871</v>
      </c>
      <c r="D1251" s="8">
        <v>-0.0159701859032884</v>
      </c>
      <c r="E1251" s="8">
        <v>0.196</v>
      </c>
      <c r="F1251" s="9">
        <f t="shared" si="133"/>
        <v>0.0921523397550884</v>
      </c>
      <c r="G1251" s="9">
        <f t="shared" si="134"/>
        <v>0.0967210962215953</v>
      </c>
      <c r="H1251" s="9">
        <f t="shared" si="135"/>
        <v>0.0973088065083207</v>
      </c>
      <c r="I1251" s="3" t="str">
        <f t="shared" si="136"/>
        <v>2021-07-01</v>
      </c>
      <c r="J1251" s="9">
        <f t="shared" si="137"/>
        <v>0.0920466355149428</v>
      </c>
      <c r="K1251" s="9">
        <f t="shared" si="138"/>
        <v>0.0979634016205698</v>
      </c>
      <c r="L1251" s="9">
        <f t="shared" si="139"/>
        <v>0.0988483658356736</v>
      </c>
    </row>
    <row r="1252" s="3" customFormat="1" ht="12.95" customHeight="1" spans="1:12">
      <c r="A1252" s="10">
        <v>44405</v>
      </c>
      <c r="B1252" s="8">
        <v>0.0980500728554049</v>
      </c>
      <c r="C1252" s="8">
        <v>-0.0136170168805755</v>
      </c>
      <c r="D1252" s="8">
        <v>-0.0218904564599508</v>
      </c>
      <c r="E1252" s="8">
        <v>0.156</v>
      </c>
      <c r="F1252" s="9">
        <f t="shared" si="133"/>
        <v>0.0925560178466874</v>
      </c>
      <c r="G1252" s="9">
        <f t="shared" si="134"/>
        <v>0.0969422396871808</v>
      </c>
      <c r="H1252" s="9">
        <f t="shared" si="135"/>
        <v>0.0974961562712927</v>
      </c>
      <c r="I1252" s="3" t="str">
        <f t="shared" si="136"/>
        <v>2021-07-01</v>
      </c>
      <c r="J1252" s="9">
        <f t="shared" si="137"/>
        <v>0.0920466355149428</v>
      </c>
      <c r="K1252" s="9">
        <f t="shared" si="138"/>
        <v>0.0979634016205698</v>
      </c>
      <c r="L1252" s="9">
        <f t="shared" si="139"/>
        <v>0.0988483658356736</v>
      </c>
    </row>
    <row r="1253" s="3" customFormat="1" ht="12.95" customHeight="1" spans="1:12">
      <c r="A1253" s="10">
        <v>44404</v>
      </c>
      <c r="B1253" s="8">
        <v>0.0960726290552923</v>
      </c>
      <c r="C1253" s="8">
        <v>-0.0132952025977241</v>
      </c>
      <c r="D1253" s="8">
        <v>-0.0132485169965621</v>
      </c>
      <c r="E1253" s="8">
        <v>0.156</v>
      </c>
      <c r="F1253" s="9">
        <f t="shared" si="133"/>
        <v>0.0919604073505378</v>
      </c>
      <c r="G1253" s="9">
        <f t="shared" si="134"/>
        <v>0.0952444650039507</v>
      </c>
      <c r="H1253" s="9">
        <f t="shared" si="135"/>
        <v>0.0956585470296214</v>
      </c>
      <c r="I1253" s="3" t="str">
        <f t="shared" si="136"/>
        <v>2021-07-01</v>
      </c>
      <c r="J1253" s="9">
        <f t="shared" si="137"/>
        <v>0.0920466355149428</v>
      </c>
      <c r="K1253" s="9">
        <f t="shared" si="138"/>
        <v>0.0979634016205698</v>
      </c>
      <c r="L1253" s="9">
        <f t="shared" si="139"/>
        <v>0.0988483658356736</v>
      </c>
    </row>
    <row r="1254" s="3" customFormat="1" ht="12.95" customHeight="1" spans="1:12">
      <c r="A1254" s="10">
        <v>44403</v>
      </c>
      <c r="B1254" s="8">
        <v>0.0979460210134571</v>
      </c>
      <c r="C1254" s="8">
        <v>-0.0177494790191805</v>
      </c>
      <c r="D1254" s="8">
        <v>-0.000315337059403362</v>
      </c>
      <c r="E1254" s="8">
        <v>0.356</v>
      </c>
      <c r="F1254" s="9">
        <f t="shared" si="133"/>
        <v>0.0919215250866172</v>
      </c>
      <c r="G1254" s="9">
        <f t="shared" si="134"/>
        <v>0.0966598073818702</v>
      </c>
      <c r="H1254" s="9">
        <f t="shared" si="135"/>
        <v>0.0973029135610601</v>
      </c>
      <c r="I1254" s="3" t="str">
        <f t="shared" si="136"/>
        <v>2021-07-01</v>
      </c>
      <c r="J1254" s="9">
        <f t="shared" si="137"/>
        <v>0.0920466355149428</v>
      </c>
      <c r="K1254" s="9">
        <f t="shared" si="138"/>
        <v>0.0979634016205698</v>
      </c>
      <c r="L1254" s="9">
        <f t="shared" si="139"/>
        <v>0.0988483658356736</v>
      </c>
    </row>
    <row r="1255" s="3" customFormat="1" ht="12.95" customHeight="1" spans="1:12">
      <c r="A1255" s="10">
        <v>44400</v>
      </c>
      <c r="B1255" s="8">
        <v>0.101986708461917</v>
      </c>
      <c r="C1255" s="8">
        <v>-0.0216978772331137</v>
      </c>
      <c r="D1255" s="8">
        <v>0.000333390609832301</v>
      </c>
      <c r="E1255" s="8">
        <v>0.376</v>
      </c>
      <c r="F1255" s="9">
        <f t="shared" si="133"/>
        <v>0.0944924679926128</v>
      </c>
      <c r="G1255" s="9">
        <f t="shared" si="134"/>
        <v>0.100380101204383</v>
      </c>
      <c r="H1255" s="9">
        <f t="shared" si="135"/>
        <v>0.101183403764883</v>
      </c>
      <c r="I1255" s="3" t="str">
        <f t="shared" si="136"/>
        <v>2021-07-01</v>
      </c>
      <c r="J1255" s="9">
        <f t="shared" si="137"/>
        <v>0.0920466355149428</v>
      </c>
      <c r="K1255" s="9">
        <f t="shared" si="138"/>
        <v>0.0979634016205698</v>
      </c>
      <c r="L1255" s="9">
        <f t="shared" si="139"/>
        <v>0.0988483658356736</v>
      </c>
    </row>
    <row r="1256" s="3" customFormat="1" ht="12.95" customHeight="1" spans="1:12">
      <c r="A1256" s="10">
        <v>44399</v>
      </c>
      <c r="B1256" s="8">
        <v>0.101999880348892</v>
      </c>
      <c r="C1256" s="8">
        <v>-0.0213419773314377</v>
      </c>
      <c r="D1256" s="8">
        <v>0.000116461283633856</v>
      </c>
      <c r="E1256" s="8">
        <v>0.416</v>
      </c>
      <c r="F1256" s="9">
        <f t="shared" si="133"/>
        <v>0.0939574888766447</v>
      </c>
      <c r="G1256" s="9">
        <f t="shared" si="134"/>
        <v>0.100233927355564</v>
      </c>
      <c r="H1256" s="9">
        <f t="shared" si="135"/>
        <v>0.101116898881331</v>
      </c>
      <c r="I1256" s="3" t="str">
        <f t="shared" si="136"/>
        <v>2021-07-01</v>
      </c>
      <c r="J1256" s="9">
        <f t="shared" si="137"/>
        <v>0.0920466355149428</v>
      </c>
      <c r="K1256" s="9">
        <f t="shared" si="138"/>
        <v>0.0979634016205698</v>
      </c>
      <c r="L1256" s="9">
        <f t="shared" si="139"/>
        <v>0.0988483658356736</v>
      </c>
    </row>
    <row r="1257" s="3" customFormat="1" ht="12.95" customHeight="1" spans="1:12">
      <c r="A1257" s="10">
        <v>44398</v>
      </c>
      <c r="B1257" s="8">
        <v>0.102155430481018</v>
      </c>
      <c r="C1257" s="8">
        <v>-0.0211285918386446</v>
      </c>
      <c r="D1257" s="8">
        <v>0.000169765059750516</v>
      </c>
      <c r="E1257" s="8">
        <v>0.456</v>
      </c>
      <c r="F1257" s="9">
        <f t="shared" si="133"/>
        <v>0.0936456907232064</v>
      </c>
      <c r="G1257" s="9">
        <f t="shared" si="134"/>
        <v>0.100244015606585</v>
      </c>
      <c r="H1257" s="9">
        <f t="shared" si="135"/>
        <v>0.101199707980136</v>
      </c>
      <c r="I1257" s="3" t="str">
        <f t="shared" si="136"/>
        <v>2021-07-01</v>
      </c>
      <c r="J1257" s="9">
        <f t="shared" si="137"/>
        <v>0.0920466355149428</v>
      </c>
      <c r="K1257" s="9">
        <f t="shared" si="138"/>
        <v>0.0979634016205698</v>
      </c>
      <c r="L1257" s="9">
        <f t="shared" si="139"/>
        <v>0.0988483658356736</v>
      </c>
    </row>
    <row r="1258" s="3" customFormat="1" ht="12.95" customHeight="1" spans="1:12">
      <c r="A1258" s="10">
        <v>44396</v>
      </c>
      <c r="B1258" s="8">
        <v>0.101191686563001</v>
      </c>
      <c r="C1258" s="8">
        <v>-0.0202570690670018</v>
      </c>
      <c r="D1258" s="8">
        <v>-0.000268753326017846</v>
      </c>
      <c r="E1258" s="8">
        <v>0.416</v>
      </c>
      <c r="F1258" s="9">
        <f t="shared" si="133"/>
        <v>0.0934488752406666</v>
      </c>
      <c r="G1258" s="9">
        <f t="shared" si="134"/>
        <v>0.0994839500526401</v>
      </c>
      <c r="H1258" s="9">
        <f t="shared" si="135"/>
        <v>0.100337812351492</v>
      </c>
      <c r="I1258" s="3" t="str">
        <f t="shared" si="136"/>
        <v>2021-07-01</v>
      </c>
      <c r="J1258" s="9">
        <f t="shared" si="137"/>
        <v>0.0920466355149428</v>
      </c>
      <c r="K1258" s="9">
        <f t="shared" si="138"/>
        <v>0.0979634016205698</v>
      </c>
      <c r="L1258" s="9">
        <f t="shared" si="139"/>
        <v>0.0988483658356736</v>
      </c>
    </row>
    <row r="1259" s="3" customFormat="1" ht="12.95" customHeight="1" spans="1:12">
      <c r="A1259" s="10">
        <v>44393</v>
      </c>
      <c r="B1259" s="8">
        <v>0.100067836949276</v>
      </c>
      <c r="C1259" s="8">
        <v>-0.0197790057204729</v>
      </c>
      <c r="D1259" s="8">
        <v>0.000183841083909673</v>
      </c>
      <c r="E1259" s="8">
        <v>0.296</v>
      </c>
      <c r="F1259" s="9">
        <f t="shared" si="133"/>
        <v>0.094459200218981</v>
      </c>
      <c r="G1259" s="9">
        <f t="shared" si="134"/>
        <v>0.0989078032478192</v>
      </c>
      <c r="H1259" s="9">
        <f t="shared" si="135"/>
        <v>0.0994878200760337</v>
      </c>
      <c r="I1259" s="3" t="str">
        <f t="shared" si="136"/>
        <v>2021-07-01</v>
      </c>
      <c r="J1259" s="9">
        <f t="shared" si="137"/>
        <v>0.0920466355149428</v>
      </c>
      <c r="K1259" s="9">
        <f t="shared" si="138"/>
        <v>0.0979634016205698</v>
      </c>
      <c r="L1259" s="9">
        <f t="shared" si="139"/>
        <v>0.0988483658356736</v>
      </c>
    </row>
    <row r="1260" s="3" customFormat="1" ht="12.95" customHeight="1" spans="1:12">
      <c r="A1260" s="10">
        <v>44392</v>
      </c>
      <c r="B1260" s="8">
        <v>0.100223808066107</v>
      </c>
      <c r="C1260" s="8">
        <v>-0.0195659050486524</v>
      </c>
      <c r="D1260" s="8">
        <v>0.000250627237087261</v>
      </c>
      <c r="E1260" s="8">
        <v>0.316</v>
      </c>
      <c r="F1260" s="9">
        <f t="shared" si="133"/>
        <v>0.0943673691627731</v>
      </c>
      <c r="G1260" s="9">
        <f t="shared" si="134"/>
        <v>0.0990030826387531</v>
      </c>
      <c r="H1260" s="9">
        <f t="shared" si="135"/>
        <v>0.0996134452872616</v>
      </c>
      <c r="I1260" s="3" t="str">
        <f t="shared" si="136"/>
        <v>2021-07-01</v>
      </c>
      <c r="J1260" s="9">
        <f t="shared" si="137"/>
        <v>0.0920466355149428</v>
      </c>
      <c r="K1260" s="9">
        <f t="shared" si="138"/>
        <v>0.0979634016205698</v>
      </c>
      <c r="L1260" s="9">
        <f t="shared" si="139"/>
        <v>0.0988483658356736</v>
      </c>
    </row>
    <row r="1261" s="3" customFormat="1" ht="12.95" customHeight="1" spans="1:12">
      <c r="A1261" s="10">
        <v>44391</v>
      </c>
      <c r="B1261" s="8">
        <v>0.100948701565787</v>
      </c>
      <c r="C1261" s="8">
        <v>-0.0212137335469333</v>
      </c>
      <c r="D1261" s="8">
        <v>0.000227190859436696</v>
      </c>
      <c r="E1261" s="8">
        <v>0.456</v>
      </c>
      <c r="F1261" s="9">
        <f t="shared" si="133"/>
        <v>0.092421325826734</v>
      </c>
      <c r="G1261" s="9">
        <f t="shared" si="134"/>
        <v>0.0990347580508551</v>
      </c>
      <c r="H1261" s="9">
        <f t="shared" si="135"/>
        <v>0.0999917152194555</v>
      </c>
      <c r="I1261" s="3" t="str">
        <f t="shared" si="136"/>
        <v>2021-07-01</v>
      </c>
      <c r="J1261" s="9">
        <f t="shared" si="137"/>
        <v>0.0920466355149428</v>
      </c>
      <c r="K1261" s="9">
        <f t="shared" si="138"/>
        <v>0.0979634016205698</v>
      </c>
      <c r="L1261" s="9">
        <f t="shared" si="139"/>
        <v>0.0988483658356736</v>
      </c>
    </row>
    <row r="1262" s="3" customFormat="1" ht="12.95" customHeight="1" spans="1:12">
      <c r="A1262" s="10">
        <v>44390</v>
      </c>
      <c r="B1262" s="8">
        <v>0.101955546367421</v>
      </c>
      <c r="C1262" s="8">
        <v>-0.0224052676094117</v>
      </c>
      <c r="D1262" s="8">
        <v>-5.26579379234095e-5</v>
      </c>
      <c r="E1262" s="8">
        <v>0.636</v>
      </c>
      <c r="F1262" s="9">
        <f t="shared" si="133"/>
        <v>0.090647887981133</v>
      </c>
      <c r="G1262" s="9">
        <f t="shared" si="134"/>
        <v>0.0991000190287561</v>
      </c>
      <c r="H1262" s="9">
        <f t="shared" si="135"/>
        <v>0.100527222522407</v>
      </c>
      <c r="I1262" s="3" t="str">
        <f t="shared" si="136"/>
        <v>2021-07-01</v>
      </c>
      <c r="J1262" s="9">
        <f t="shared" si="137"/>
        <v>0.0920466355149428</v>
      </c>
      <c r="K1262" s="9">
        <f t="shared" si="138"/>
        <v>0.0979634016205698</v>
      </c>
      <c r="L1262" s="9">
        <f t="shared" si="139"/>
        <v>0.0988483658356736</v>
      </c>
    </row>
    <row r="1263" s="3" customFormat="1" ht="12.95" customHeight="1" spans="1:12">
      <c r="A1263" s="10">
        <v>44389</v>
      </c>
      <c r="B1263" s="8">
        <v>0.0992065602457562</v>
      </c>
      <c r="C1263" s="8">
        <v>-0.0200257623713149</v>
      </c>
      <c r="D1263" s="8">
        <v>0.000231181565399593</v>
      </c>
      <c r="E1263" s="8">
        <v>0.456</v>
      </c>
      <c r="F1263" s="9">
        <f t="shared" si="133"/>
        <v>0.0911616243551219</v>
      </c>
      <c r="G1263" s="9">
        <f t="shared" si="134"/>
        <v>0.0974013217049665</v>
      </c>
      <c r="H1263" s="9">
        <f t="shared" si="135"/>
        <v>0.0983039273612074</v>
      </c>
      <c r="I1263" s="3" t="str">
        <f t="shared" si="136"/>
        <v>2021-07-01</v>
      </c>
      <c r="J1263" s="9">
        <f t="shared" si="137"/>
        <v>0.0920466355149428</v>
      </c>
      <c r="K1263" s="9">
        <f t="shared" si="138"/>
        <v>0.0979634016205698</v>
      </c>
      <c r="L1263" s="9">
        <f t="shared" si="139"/>
        <v>0.0988483658356736</v>
      </c>
    </row>
    <row r="1264" s="3" customFormat="1" ht="12.95" customHeight="1" spans="1:12">
      <c r="A1264" s="10">
        <v>44386</v>
      </c>
      <c r="B1264" s="8">
        <v>0.0992792681302083</v>
      </c>
      <c r="C1264" s="8">
        <v>-0.0198213467954928</v>
      </c>
      <c r="D1264" s="8">
        <v>0.000162848222104974</v>
      </c>
      <c r="E1264" s="8">
        <v>0.476</v>
      </c>
      <c r="F1264" s="9">
        <f t="shared" si="133"/>
        <v>0.0910468145606776</v>
      </c>
      <c r="G1264" s="9">
        <f t="shared" si="134"/>
        <v>0.0974078259186499</v>
      </c>
      <c r="H1264" s="9">
        <f t="shared" si="135"/>
        <v>0.0983435235986962</v>
      </c>
      <c r="I1264" s="3" t="str">
        <f t="shared" si="136"/>
        <v>2021-07-01</v>
      </c>
      <c r="J1264" s="9">
        <f t="shared" si="137"/>
        <v>0.0920466355149428</v>
      </c>
      <c r="K1264" s="9">
        <f t="shared" si="138"/>
        <v>0.0979634016205698</v>
      </c>
      <c r="L1264" s="9">
        <f t="shared" si="139"/>
        <v>0.0988483658356736</v>
      </c>
    </row>
    <row r="1265" s="3" customFormat="1" ht="12.95" customHeight="1" spans="1:12">
      <c r="A1265" s="10">
        <v>44385</v>
      </c>
      <c r="B1265" s="8">
        <v>0.0993559224227131</v>
      </c>
      <c r="C1265" s="8">
        <v>-0.0196209544038595</v>
      </c>
      <c r="D1265" s="8">
        <v>3.37850644389439e-5</v>
      </c>
      <c r="E1265" s="8">
        <v>0.496</v>
      </c>
      <c r="F1265" s="9">
        <f t="shared" si="133"/>
        <v>0.0909299649141998</v>
      </c>
      <c r="G1265" s="9">
        <f t="shared" si="134"/>
        <v>0.0974129551886994</v>
      </c>
      <c r="H1265" s="9">
        <f t="shared" si="135"/>
        <v>0.0983843988251228</v>
      </c>
      <c r="I1265" s="3" t="str">
        <f t="shared" si="136"/>
        <v>2021-07-01</v>
      </c>
      <c r="J1265" s="9">
        <f t="shared" si="137"/>
        <v>0.0920466355149428</v>
      </c>
      <c r="K1265" s="9">
        <f t="shared" si="138"/>
        <v>0.0979634016205698</v>
      </c>
      <c r="L1265" s="9">
        <f t="shared" si="139"/>
        <v>0.0988483658356736</v>
      </c>
    </row>
    <row r="1266" s="3" customFormat="1" ht="12.95" customHeight="1" spans="1:12">
      <c r="A1266" s="10">
        <v>44384</v>
      </c>
      <c r="B1266" s="8">
        <v>0.0991862438454536</v>
      </c>
      <c r="C1266" s="8">
        <v>-0.0188051318986413</v>
      </c>
      <c r="D1266" s="8">
        <v>-0.000206265147829064</v>
      </c>
      <c r="E1266" s="8">
        <v>0.556</v>
      </c>
      <c r="F1266" s="9">
        <f t="shared" si="133"/>
        <v>0.0903998323546422</v>
      </c>
      <c r="G1266" s="9">
        <f t="shared" si="134"/>
        <v>0.0970724649131782</v>
      </c>
      <c r="H1266" s="9">
        <f t="shared" si="135"/>
        <v>0.0981292101891887</v>
      </c>
      <c r="I1266" s="3" t="str">
        <f t="shared" si="136"/>
        <v>2021-07-01</v>
      </c>
      <c r="J1266" s="9">
        <f t="shared" si="137"/>
        <v>0.0920466355149428</v>
      </c>
      <c r="K1266" s="9">
        <f t="shared" si="138"/>
        <v>0.0979634016205698</v>
      </c>
      <c r="L1266" s="9">
        <f t="shared" si="139"/>
        <v>0.0988483658356736</v>
      </c>
    </row>
    <row r="1267" s="3" customFormat="1" ht="12.95" customHeight="1" spans="1:12">
      <c r="A1267" s="10">
        <v>44380</v>
      </c>
      <c r="B1267" s="8">
        <v>0.0991762757296608</v>
      </c>
      <c r="C1267" s="8">
        <v>-0.0187951637828484</v>
      </c>
      <c r="D1267" s="8">
        <v>-0.000162336826654242</v>
      </c>
      <c r="E1267" s="8">
        <v>0.556</v>
      </c>
      <c r="F1267" s="9">
        <f t="shared" si="133"/>
        <v>0.0904075983516303</v>
      </c>
      <c r="G1267" s="9">
        <f t="shared" si="134"/>
        <v>0.0970684838758785</v>
      </c>
      <c r="H1267" s="9">
        <f t="shared" si="135"/>
        <v>0.0981222387145663</v>
      </c>
      <c r="I1267" s="3" t="str">
        <f t="shared" si="136"/>
        <v>2021-07-01</v>
      </c>
      <c r="J1267" s="9">
        <f t="shared" si="137"/>
        <v>0.0920466355149428</v>
      </c>
      <c r="K1267" s="9">
        <f t="shared" si="138"/>
        <v>0.0979634016205698</v>
      </c>
      <c r="L1267" s="9">
        <f t="shared" si="139"/>
        <v>0.0988483658356736</v>
      </c>
    </row>
    <row r="1268" s="3" customFormat="1" ht="12.95" customHeight="1" spans="1:12">
      <c r="A1268" s="10">
        <v>44379</v>
      </c>
      <c r="B1268" s="8">
        <v>0.0998971757295762</v>
      </c>
      <c r="C1268" s="8">
        <v>-0.0187781244447841</v>
      </c>
      <c r="D1268" s="8">
        <v>2.76966135565811e-5</v>
      </c>
      <c r="E1268" s="8">
        <v>0.756</v>
      </c>
      <c r="F1268" s="9">
        <f t="shared" si="133"/>
        <v>0.0894907989867274</v>
      </c>
      <c r="G1268" s="9">
        <f t="shared" si="134"/>
        <v>0.0970658779177607</v>
      </c>
      <c r="H1268" s="9">
        <f t="shared" si="135"/>
        <v>0.0984796458877668</v>
      </c>
      <c r="I1268" s="3" t="str">
        <f t="shared" si="136"/>
        <v>2021-07-01</v>
      </c>
      <c r="J1268" s="9">
        <f t="shared" si="137"/>
        <v>0.0920466355149428</v>
      </c>
      <c r="K1268" s="9">
        <f t="shared" si="138"/>
        <v>0.0979634016205698</v>
      </c>
      <c r="L1268" s="9">
        <f t="shared" si="139"/>
        <v>0.0988483658356736</v>
      </c>
    </row>
    <row r="1269" s="3" customFormat="1" ht="12.95" customHeight="1" spans="1:12">
      <c r="A1269" s="10">
        <v>44378</v>
      </c>
      <c r="B1269" s="8">
        <v>0.0999137028119189</v>
      </c>
      <c r="C1269" s="8">
        <v>-0.0188868641695455</v>
      </c>
      <c r="D1269" s="8">
        <v>-1.88884097260151e-5</v>
      </c>
      <c r="E1269" s="8">
        <v>0.756</v>
      </c>
      <c r="F1269" s="9">
        <f t="shared" si="133"/>
        <v>0.0894335931847178</v>
      </c>
      <c r="G1269" s="9">
        <f t="shared" si="134"/>
        <v>0.0970590139170398</v>
      </c>
      <c r="H1269" s="9">
        <f t="shared" si="135"/>
        <v>0.0984844305241691</v>
      </c>
      <c r="I1269" s="3" t="str">
        <f t="shared" si="136"/>
        <v>2021-07-01</v>
      </c>
      <c r="J1269" s="9">
        <f t="shared" si="137"/>
        <v>0.0920466355149428</v>
      </c>
      <c r="K1269" s="9">
        <f t="shared" si="138"/>
        <v>0.0979634016205698</v>
      </c>
      <c r="L1269" s="9">
        <f t="shared" si="139"/>
        <v>0.0988483658356736</v>
      </c>
    </row>
    <row r="1270" s="3" customFormat="1" ht="12.95" customHeight="1" spans="1:12">
      <c r="A1270" s="10">
        <v>44377</v>
      </c>
      <c r="B1270" s="8">
        <v>0.102498537397785</v>
      </c>
      <c r="C1270" s="8">
        <v>-0.0209185504053624</v>
      </c>
      <c r="D1270" s="8">
        <v>4.74583574516732e-5</v>
      </c>
      <c r="E1270" s="8">
        <v>1.216</v>
      </c>
      <c r="F1270" s="9">
        <f t="shared" si="133"/>
        <v>0.0882498184389755</v>
      </c>
      <c r="G1270" s="9">
        <f t="shared" si="134"/>
        <v>0.0975050406787802</v>
      </c>
      <c r="H1270" s="9">
        <f t="shared" si="135"/>
        <v>0.0999612806102302</v>
      </c>
      <c r="I1270" s="3" t="str">
        <f t="shared" si="136"/>
        <v>2021-06-01</v>
      </c>
      <c r="J1270" s="9">
        <f t="shared" si="137"/>
        <v>0.090447345928197</v>
      </c>
      <c r="K1270" s="9">
        <f t="shared" si="138"/>
        <v>0.097178414403013</v>
      </c>
      <c r="L1270" s="9">
        <f t="shared" si="139"/>
        <v>0.0986798410126403</v>
      </c>
    </row>
    <row r="1271" s="3" customFormat="1" ht="12.95" customHeight="1" spans="1:12">
      <c r="A1271" s="10">
        <v>44376</v>
      </c>
      <c r="B1271" s="8">
        <v>0.101515978972877</v>
      </c>
      <c r="C1271" s="8">
        <v>-0.0202125279088423</v>
      </c>
      <c r="D1271" s="8">
        <v>1.19451344037535e-5</v>
      </c>
      <c r="E1271" s="8">
        <v>1.076</v>
      </c>
      <c r="F1271" s="9">
        <f t="shared" si="133"/>
        <v>0.0883568086067159</v>
      </c>
      <c r="G1271" s="9">
        <f t="shared" si="134"/>
        <v>0.097210396398614</v>
      </c>
      <c r="H1271" s="9">
        <f t="shared" si="135"/>
        <v>0.0993425951452939</v>
      </c>
      <c r="I1271" s="3" t="str">
        <f t="shared" si="136"/>
        <v>2021-06-01</v>
      </c>
      <c r="J1271" s="9">
        <f t="shared" si="137"/>
        <v>0.090447345928197</v>
      </c>
      <c r="K1271" s="9">
        <f t="shared" si="138"/>
        <v>0.097178414403013</v>
      </c>
      <c r="L1271" s="9">
        <f t="shared" si="139"/>
        <v>0.0986798410126403</v>
      </c>
    </row>
    <row r="1272" s="3" customFormat="1" ht="12.95" customHeight="1" spans="1:12">
      <c r="A1272" s="10">
        <v>44375</v>
      </c>
      <c r="B1272" s="8">
        <v>0.100859806552649</v>
      </c>
      <c r="C1272" s="8">
        <v>-0.0202941587130814</v>
      </c>
      <c r="D1272" s="8">
        <v>4.22535686266282e-5</v>
      </c>
      <c r="E1272" s="8">
        <v>0.896</v>
      </c>
      <c r="F1272" s="9">
        <f t="shared" si="133"/>
        <v>0.0886441415059771</v>
      </c>
      <c r="G1272" s="9">
        <f t="shared" si="134"/>
        <v>0.0972441920882104</v>
      </c>
      <c r="H1272" s="9">
        <f t="shared" si="135"/>
        <v>0.0990452610577567</v>
      </c>
      <c r="I1272" s="3" t="str">
        <f t="shared" si="136"/>
        <v>2021-06-01</v>
      </c>
      <c r="J1272" s="9">
        <f t="shared" si="137"/>
        <v>0.090447345928197</v>
      </c>
      <c r="K1272" s="9">
        <f t="shared" si="138"/>
        <v>0.097178414403013</v>
      </c>
      <c r="L1272" s="9">
        <f t="shared" si="139"/>
        <v>0.0986798410126403</v>
      </c>
    </row>
    <row r="1273" s="3" customFormat="1" ht="12.95" customHeight="1" spans="1:12">
      <c r="A1273" s="10">
        <v>44372</v>
      </c>
      <c r="B1273" s="8">
        <v>0.101879519274941</v>
      </c>
      <c r="C1273" s="8">
        <v>-0.0211293695898322</v>
      </c>
      <c r="D1273" s="8">
        <v>0.000100228670836312</v>
      </c>
      <c r="E1273" s="8">
        <v>0.996</v>
      </c>
      <c r="F1273" s="9">
        <f t="shared" si="133"/>
        <v>0.0885721317915236</v>
      </c>
      <c r="G1273" s="9">
        <f t="shared" si="134"/>
        <v>0.0977175166665563</v>
      </c>
      <c r="H1273" s="9">
        <f t="shared" si="135"/>
        <v>0.0997851038152049</v>
      </c>
      <c r="I1273" s="3" t="str">
        <f t="shared" si="136"/>
        <v>2021-06-01</v>
      </c>
      <c r="J1273" s="9">
        <f t="shared" si="137"/>
        <v>0.090447345928197</v>
      </c>
      <c r="K1273" s="9">
        <f t="shared" si="138"/>
        <v>0.097178414403013</v>
      </c>
      <c r="L1273" s="9">
        <f t="shared" si="139"/>
        <v>0.0986798410126403</v>
      </c>
    </row>
    <row r="1274" s="3" customFormat="1" ht="12.95" customHeight="1" spans="1:12">
      <c r="A1274" s="10">
        <v>44371</v>
      </c>
      <c r="B1274" s="8">
        <v>0.102477724582562</v>
      </c>
      <c r="C1274" s="8">
        <v>-0.0213586732977699</v>
      </c>
      <c r="D1274" s="8">
        <v>-7.50972618693726e-5</v>
      </c>
      <c r="E1274" s="8">
        <v>0.976</v>
      </c>
      <c r="F1274" s="9">
        <f t="shared" si="133"/>
        <v>0.08909418941882</v>
      </c>
      <c r="G1274" s="9">
        <f t="shared" si="134"/>
        <v>0.0983192292745461</v>
      </c>
      <c r="H1274" s="9">
        <f t="shared" si="135"/>
        <v>0.100385865511486</v>
      </c>
      <c r="I1274" s="3" t="str">
        <f t="shared" si="136"/>
        <v>2021-06-01</v>
      </c>
      <c r="J1274" s="9">
        <f t="shared" si="137"/>
        <v>0.090447345928197</v>
      </c>
      <c r="K1274" s="9">
        <f t="shared" si="138"/>
        <v>0.097178414403013</v>
      </c>
      <c r="L1274" s="9">
        <f t="shared" si="139"/>
        <v>0.0986798410126403</v>
      </c>
    </row>
    <row r="1275" s="3" customFormat="1" ht="12.95" customHeight="1" spans="1:12">
      <c r="A1275" s="10">
        <v>44370</v>
      </c>
      <c r="B1275" s="8">
        <v>0.102028780746273</v>
      </c>
      <c r="C1275" s="8">
        <v>-0.0212786310611639</v>
      </c>
      <c r="D1275" s="8">
        <v>0.000148905490186908</v>
      </c>
      <c r="E1275" s="8">
        <v>0.896</v>
      </c>
      <c r="F1275" s="9">
        <f t="shared" si="133"/>
        <v>0.0892492913189705</v>
      </c>
      <c r="G1275" s="9">
        <f t="shared" si="134"/>
        <v>0.0982560518868093</v>
      </c>
      <c r="H1275" s="9">
        <f t="shared" si="135"/>
        <v>0.100135582142957</v>
      </c>
      <c r="I1275" s="3" t="str">
        <f t="shared" si="136"/>
        <v>2021-06-01</v>
      </c>
      <c r="J1275" s="9">
        <f t="shared" si="137"/>
        <v>0.090447345928197</v>
      </c>
      <c r="K1275" s="9">
        <f t="shared" si="138"/>
        <v>0.097178414403013</v>
      </c>
      <c r="L1275" s="9">
        <f t="shared" si="139"/>
        <v>0.0986798410126403</v>
      </c>
    </row>
    <row r="1276" s="3" customFormat="1" ht="12.95" customHeight="1" spans="1:12">
      <c r="A1276" s="10">
        <v>44369</v>
      </c>
      <c r="B1276" s="8">
        <v>0.102578956489346</v>
      </c>
      <c r="C1276" s="8">
        <v>-0.0204461269508237</v>
      </c>
      <c r="D1276" s="8">
        <v>0.000125961782763603</v>
      </c>
      <c r="E1276" s="8">
        <v>1.096</v>
      </c>
      <c r="F1276" s="9">
        <f t="shared" si="133"/>
        <v>0.0892004844120218</v>
      </c>
      <c r="G1276" s="9">
        <f t="shared" si="134"/>
        <v>0.0981699659079594</v>
      </c>
      <c r="H1276" s="9">
        <f t="shared" si="135"/>
        <v>0.10035209542711</v>
      </c>
      <c r="I1276" s="3" t="str">
        <f t="shared" si="136"/>
        <v>2021-06-01</v>
      </c>
      <c r="J1276" s="9">
        <f t="shared" si="137"/>
        <v>0.090447345928197</v>
      </c>
      <c r="K1276" s="9">
        <f t="shared" si="138"/>
        <v>0.097178414403013</v>
      </c>
      <c r="L1276" s="9">
        <f t="shared" si="139"/>
        <v>0.0986798410126403</v>
      </c>
    </row>
    <row r="1277" s="3" customFormat="1" ht="12.95" customHeight="1" spans="1:12">
      <c r="A1277" s="10">
        <v>44368</v>
      </c>
      <c r="B1277" s="8">
        <v>0.102245594495388</v>
      </c>
      <c r="C1277" s="8">
        <v>-0.00748101805096507</v>
      </c>
      <c r="D1277" s="8">
        <v>-0.0414616800058592</v>
      </c>
      <c r="E1277" s="8">
        <v>1.216</v>
      </c>
      <c r="F1277" s="9">
        <f t="shared" si="133"/>
        <v>0.0870990945567451</v>
      </c>
      <c r="G1277" s="9">
        <f t="shared" si="134"/>
        <v>0.0912167122859222</v>
      </c>
      <c r="H1277" s="9">
        <f t="shared" si="135"/>
        <v>0.0963068797957911</v>
      </c>
      <c r="I1277" s="3" t="str">
        <f t="shared" si="136"/>
        <v>2021-06-01</v>
      </c>
      <c r="J1277" s="9">
        <f t="shared" si="137"/>
        <v>0.090447345928197</v>
      </c>
      <c r="K1277" s="9">
        <f t="shared" si="138"/>
        <v>0.097178414403013</v>
      </c>
      <c r="L1277" s="9">
        <f t="shared" si="139"/>
        <v>0.0986798410126403</v>
      </c>
    </row>
    <row r="1278" s="3" customFormat="1" ht="12.95" customHeight="1" spans="1:12">
      <c r="A1278" s="10">
        <v>44365</v>
      </c>
      <c r="B1278" s="8">
        <v>0.102279634680867</v>
      </c>
      <c r="C1278" s="8">
        <v>-0.0209761836168324</v>
      </c>
      <c r="D1278" s="8">
        <v>-0.000130997193733393</v>
      </c>
      <c r="E1278" s="8">
        <v>0.996</v>
      </c>
      <c r="F1278" s="9">
        <f t="shared" si="133"/>
        <v>0.0890077216007229</v>
      </c>
      <c r="G1278" s="9">
        <f t="shared" si="134"/>
        <v>0.0981037162035534</v>
      </c>
      <c r="H1278" s="9">
        <f t="shared" si="135"/>
        <v>0.100177456871322</v>
      </c>
      <c r="I1278" s="3" t="str">
        <f t="shared" si="136"/>
        <v>2021-06-01</v>
      </c>
      <c r="J1278" s="9">
        <f t="shared" si="137"/>
        <v>0.090447345928197</v>
      </c>
      <c r="K1278" s="9">
        <f t="shared" si="138"/>
        <v>0.097178414403013</v>
      </c>
      <c r="L1278" s="9">
        <f t="shared" si="139"/>
        <v>0.0986798410126403</v>
      </c>
    </row>
    <row r="1279" s="3" customFormat="1" ht="12.95" customHeight="1" spans="1:12">
      <c r="A1279" s="10">
        <v>44364</v>
      </c>
      <c r="B1279" s="8">
        <v>0.100758049415627</v>
      </c>
      <c r="C1279" s="8">
        <v>-0.0220392947042367</v>
      </c>
      <c r="D1279" s="8">
        <v>2.73226537887657e-5</v>
      </c>
      <c r="E1279" s="8">
        <v>0.576</v>
      </c>
      <c r="F1279" s="9">
        <f t="shared" si="133"/>
        <v>0.0903084152352599</v>
      </c>
      <c r="G1279" s="9">
        <f t="shared" si="134"/>
        <v>0.0982226963135043</v>
      </c>
      <c r="H1279" s="9">
        <f t="shared" si="135"/>
        <v>0.0994901598613131</v>
      </c>
      <c r="I1279" s="3" t="str">
        <f t="shared" si="136"/>
        <v>2021-06-01</v>
      </c>
      <c r="J1279" s="9">
        <f t="shared" si="137"/>
        <v>0.090447345928197</v>
      </c>
      <c r="K1279" s="9">
        <f t="shared" si="138"/>
        <v>0.097178414403013</v>
      </c>
      <c r="L1279" s="9">
        <f t="shared" si="139"/>
        <v>0.0986798410126403</v>
      </c>
    </row>
    <row r="1280" s="3" customFormat="1" ht="12.95" customHeight="1" spans="1:12">
      <c r="A1280" s="10">
        <v>44363</v>
      </c>
      <c r="B1280" s="8">
        <v>0.0988408232697936</v>
      </c>
      <c r="C1280" s="8">
        <v>-0.0206768023004393</v>
      </c>
      <c r="D1280" s="8">
        <v>7.0224636733111e-5</v>
      </c>
      <c r="E1280" s="8">
        <v>0.296</v>
      </c>
      <c r="F1280" s="9">
        <f t="shared" si="133"/>
        <v>0.092946892522726</v>
      </c>
      <c r="G1280" s="9">
        <f t="shared" si="134"/>
        <v>0.0976209139251324</v>
      </c>
      <c r="H1280" s="9">
        <f t="shared" si="135"/>
        <v>0.0982308685709479</v>
      </c>
      <c r="I1280" s="3" t="str">
        <f t="shared" si="136"/>
        <v>2021-06-01</v>
      </c>
      <c r="J1280" s="9">
        <f t="shared" si="137"/>
        <v>0.090447345928197</v>
      </c>
      <c r="K1280" s="9">
        <f t="shared" si="138"/>
        <v>0.097178414403013</v>
      </c>
      <c r="L1280" s="9">
        <f t="shared" si="139"/>
        <v>0.0986798410126403</v>
      </c>
    </row>
    <row r="1281" s="3" customFormat="1" ht="12.95" customHeight="1" spans="1:12">
      <c r="A1281" s="10">
        <v>44362</v>
      </c>
      <c r="B1281" s="8">
        <v>0.0987743462849792</v>
      </c>
      <c r="C1281" s="8">
        <v>-0.0207028108648238</v>
      </c>
      <c r="D1281" s="8">
        <v>-0.000276280996650559</v>
      </c>
      <c r="E1281" s="8">
        <v>0.276</v>
      </c>
      <c r="F1281" s="9">
        <f t="shared" si="133"/>
        <v>0.0931460770965232</v>
      </c>
      <c r="G1281" s="9">
        <f t="shared" si="134"/>
        <v>0.0976163004336792</v>
      </c>
      <c r="H1281" s="9">
        <f t="shared" si="135"/>
        <v>0.0981953233496025</v>
      </c>
      <c r="I1281" s="3" t="str">
        <f t="shared" si="136"/>
        <v>2021-06-01</v>
      </c>
      <c r="J1281" s="9">
        <f t="shared" si="137"/>
        <v>0.090447345928197</v>
      </c>
      <c r="K1281" s="9">
        <f t="shared" si="138"/>
        <v>0.097178414403013</v>
      </c>
      <c r="L1281" s="9">
        <f t="shared" si="139"/>
        <v>0.0986798410126403</v>
      </c>
    </row>
    <row r="1282" s="3" customFormat="1" ht="12.95" customHeight="1" spans="1:12">
      <c r="A1282" s="10">
        <v>44361</v>
      </c>
      <c r="B1282" s="8">
        <v>0.0988636313510426</v>
      </c>
      <c r="C1282" s="8">
        <v>-0.0207920959308872</v>
      </c>
      <c r="D1282" s="8">
        <v>0.000277108225896139</v>
      </c>
      <c r="E1282" s="8">
        <v>0.296</v>
      </c>
      <c r="F1282" s="9">
        <f t="shared" si="133"/>
        <v>0.0929888313944549</v>
      </c>
      <c r="G1282" s="9">
        <f t="shared" si="134"/>
        <v>0.0976491441221446</v>
      </c>
      <c r="H1282" s="9">
        <f t="shared" si="135"/>
        <v>0.0982563877149749</v>
      </c>
      <c r="I1282" s="3" t="str">
        <f t="shared" si="136"/>
        <v>2021-06-01</v>
      </c>
      <c r="J1282" s="9">
        <f t="shared" si="137"/>
        <v>0.090447345928197</v>
      </c>
      <c r="K1282" s="9">
        <f t="shared" si="138"/>
        <v>0.097178414403013</v>
      </c>
      <c r="L1282" s="9">
        <f t="shared" si="139"/>
        <v>0.0986798410126403</v>
      </c>
    </row>
    <row r="1283" s="3" customFormat="1" ht="12.95" customHeight="1" spans="1:12">
      <c r="A1283" s="10">
        <v>44358</v>
      </c>
      <c r="B1283" s="8">
        <v>0.0999985124231749</v>
      </c>
      <c r="C1283" s="8">
        <v>-0.0217420144574076</v>
      </c>
      <c r="D1283" s="8">
        <v>4.75364236603401e-5</v>
      </c>
      <c r="E1283" s="8">
        <v>0.556</v>
      </c>
      <c r="F1283" s="9">
        <f t="shared" si="133"/>
        <v>0.0899252411709568</v>
      </c>
      <c r="G1283" s="9">
        <f t="shared" si="134"/>
        <v>0.0975863804235913</v>
      </c>
      <c r="H1283" s="9">
        <f t="shared" si="135"/>
        <v>0.0987922994624009</v>
      </c>
      <c r="I1283" s="3" t="str">
        <f t="shared" si="136"/>
        <v>2021-06-01</v>
      </c>
      <c r="J1283" s="9">
        <f t="shared" si="137"/>
        <v>0.090447345928197</v>
      </c>
      <c r="K1283" s="9">
        <f t="shared" si="138"/>
        <v>0.097178414403013</v>
      </c>
      <c r="L1283" s="9">
        <f t="shared" si="139"/>
        <v>0.0986798410126403</v>
      </c>
    </row>
    <row r="1284" s="3" customFormat="1" ht="12.95" customHeight="1" spans="1:12">
      <c r="A1284" s="10">
        <v>44357</v>
      </c>
      <c r="B1284" s="8">
        <v>0.101501243277334</v>
      </c>
      <c r="C1284" s="8">
        <v>-0.0204744046349609</v>
      </c>
      <c r="D1284" s="8">
        <v>0.000143033463053681</v>
      </c>
      <c r="E1284" s="8">
        <v>0.996</v>
      </c>
      <c r="F1284" s="9">
        <f t="shared" si="133"/>
        <v>0.0886185069306132</v>
      </c>
      <c r="G1284" s="9">
        <f t="shared" si="134"/>
        <v>0.0974770357925791</v>
      </c>
      <c r="H1284" s="9">
        <f t="shared" si="135"/>
        <v>0.0994763207865783</v>
      </c>
      <c r="I1284" s="3" t="str">
        <f t="shared" si="136"/>
        <v>2021-06-01</v>
      </c>
      <c r="J1284" s="9">
        <f t="shared" si="137"/>
        <v>0.090447345928197</v>
      </c>
      <c r="K1284" s="9">
        <f t="shared" si="138"/>
        <v>0.097178414403013</v>
      </c>
      <c r="L1284" s="9">
        <f t="shared" si="139"/>
        <v>0.0986798410126403</v>
      </c>
    </row>
    <row r="1285" s="3" customFormat="1" ht="12.95" customHeight="1" spans="1:12">
      <c r="A1285" s="10">
        <v>44356</v>
      </c>
      <c r="B1285" s="8">
        <v>0.0997063479773852</v>
      </c>
      <c r="C1285" s="8">
        <v>-0.0199713799585317</v>
      </c>
      <c r="D1285" s="8">
        <v>1.48207013424404e-5</v>
      </c>
      <c r="E1285" s="8">
        <v>0.636</v>
      </c>
      <c r="F1285" s="9">
        <f t="shared" ref="F1285:F1348" si="140">B1285+(C1285+D1285)*(E1285/$F$3)*(1-EXP(-$F$3/E1285))-D1285*EXP(-$F$3/E1285)</f>
        <v>0.0896453492457204</v>
      </c>
      <c r="G1285" s="9">
        <f t="shared" ref="G1285:G1348" si="141">B1285+(C1285+D1285)*(E1285/$G$3)*(1-EXP(-$G$3/E1285))-D1285*EXP(-$G$3/E1285)</f>
        <v>0.0971688458607736</v>
      </c>
      <c r="H1285" s="9">
        <f t="shared" ref="H1285:H1348" si="142">B1285+(C1285+D1285)*(E1285/$H$3)*(1-EXP(-$H$3/E1285))-D1285*EXP(-$H$3/E1285)</f>
        <v>0.098437110994799</v>
      </c>
      <c r="I1285" s="3" t="str">
        <f t="shared" ref="I1285:I1348" si="143">TEXT(A1285,"yyyy-mm-01")</f>
        <v>2021-06-01</v>
      </c>
      <c r="J1285" s="9">
        <f t="shared" ref="J1285:J1348" si="144">AVERAGEIF($I:$I,I1285,$F:$F)</f>
        <v>0.090447345928197</v>
      </c>
      <c r="K1285" s="9">
        <f t="shared" ref="K1285:K1348" si="145">AVERAGEIF($I:$I,I1285,$G:$G)</f>
        <v>0.097178414403013</v>
      </c>
      <c r="L1285" s="9">
        <f t="shared" ref="L1285:L1348" si="146">AVERAGEIF($I:$I,I1285,$H:$H)</f>
        <v>0.0986798410126403</v>
      </c>
    </row>
    <row r="1286" s="3" customFormat="1" ht="12.95" customHeight="1" spans="1:12">
      <c r="A1286" s="10">
        <v>44355</v>
      </c>
      <c r="B1286" s="8">
        <v>0.0998578609731357</v>
      </c>
      <c r="C1286" s="8">
        <v>-0.0199382377972623</v>
      </c>
      <c r="D1286" s="8">
        <v>9.56389083605562e-5</v>
      </c>
      <c r="E1286" s="8">
        <v>0.676</v>
      </c>
      <c r="F1286" s="9">
        <f t="shared" si="140"/>
        <v>0.0894780867127473</v>
      </c>
      <c r="G1286" s="9">
        <f t="shared" si="141"/>
        <v>0.0971767285877056</v>
      </c>
      <c r="H1286" s="9">
        <f t="shared" si="142"/>
        <v>0.0985165017570012</v>
      </c>
      <c r="I1286" s="3" t="str">
        <f t="shared" si="143"/>
        <v>2021-06-01</v>
      </c>
      <c r="J1286" s="9">
        <f t="shared" si="144"/>
        <v>0.090447345928197</v>
      </c>
      <c r="K1286" s="9">
        <f t="shared" si="145"/>
        <v>0.097178414403013</v>
      </c>
      <c r="L1286" s="9">
        <f t="shared" si="146"/>
        <v>0.0986798410126403</v>
      </c>
    </row>
    <row r="1287" s="3" customFormat="1" ht="12.95" customHeight="1" spans="1:12">
      <c r="A1287" s="10">
        <v>44354</v>
      </c>
      <c r="B1287" s="8">
        <v>0.098577711508666</v>
      </c>
      <c r="C1287" s="8">
        <v>-0.019027432750657</v>
      </c>
      <c r="D1287" s="8">
        <v>-2.8028511681926e-5</v>
      </c>
      <c r="E1287" s="8">
        <v>0.376</v>
      </c>
      <c r="F1287" s="9">
        <f t="shared" si="140"/>
        <v>0.0919162015185252</v>
      </c>
      <c r="G1287" s="9">
        <f t="shared" si="141"/>
        <v>0.0971447432733821</v>
      </c>
      <c r="H1287" s="9">
        <f t="shared" si="142"/>
        <v>0.0978612261652042</v>
      </c>
      <c r="I1287" s="3" t="str">
        <f t="shared" si="143"/>
        <v>2021-06-01</v>
      </c>
      <c r="J1287" s="9">
        <f t="shared" si="144"/>
        <v>0.090447345928197</v>
      </c>
      <c r="K1287" s="9">
        <f t="shared" si="145"/>
        <v>0.097178414403013</v>
      </c>
      <c r="L1287" s="9">
        <f t="shared" si="146"/>
        <v>0.0986798410126403</v>
      </c>
    </row>
    <row r="1288" s="3" customFormat="1" ht="12.95" customHeight="1" spans="1:12">
      <c r="A1288" s="10">
        <v>44351</v>
      </c>
      <c r="B1288" s="8">
        <v>0.0983031650128569</v>
      </c>
      <c r="C1288" s="8">
        <v>-0.0201391440435027</v>
      </c>
      <c r="D1288" s="8">
        <v>0.000123342854115626</v>
      </c>
      <c r="E1288" s="8">
        <v>0.336</v>
      </c>
      <c r="F1288" s="9">
        <f t="shared" si="140"/>
        <v>0.0919144682867842</v>
      </c>
      <c r="G1288" s="9">
        <f t="shared" si="141"/>
        <v>0.0969581035939046</v>
      </c>
      <c r="H1288" s="9">
        <f t="shared" si="142"/>
        <v>0.0976306340928935</v>
      </c>
      <c r="I1288" s="3" t="str">
        <f t="shared" si="143"/>
        <v>2021-06-01</v>
      </c>
      <c r="J1288" s="9">
        <f t="shared" si="144"/>
        <v>0.090447345928197</v>
      </c>
      <c r="K1288" s="9">
        <f t="shared" si="145"/>
        <v>0.097178414403013</v>
      </c>
      <c r="L1288" s="9">
        <f t="shared" si="146"/>
        <v>0.0986798410126403</v>
      </c>
    </row>
    <row r="1289" s="3" customFormat="1" ht="12.95" customHeight="1" spans="1:12">
      <c r="A1289" s="10">
        <v>44350</v>
      </c>
      <c r="B1289" s="8">
        <v>0.0974535276359444</v>
      </c>
      <c r="C1289" s="8">
        <v>-0.0195669889788732</v>
      </c>
      <c r="D1289" s="8">
        <v>-0.000444610887492305</v>
      </c>
      <c r="E1289" s="8">
        <v>0.136</v>
      </c>
      <c r="F1289" s="9">
        <f t="shared" si="140"/>
        <v>0.0947339786474069</v>
      </c>
      <c r="G1289" s="9">
        <f t="shared" si="141"/>
        <v>0.0969092121195793</v>
      </c>
      <c r="H1289" s="9">
        <f t="shared" si="142"/>
        <v>0.0971813698777618</v>
      </c>
      <c r="I1289" s="3" t="str">
        <f t="shared" si="143"/>
        <v>2021-06-01</v>
      </c>
      <c r="J1289" s="9">
        <f t="shared" si="144"/>
        <v>0.090447345928197</v>
      </c>
      <c r="K1289" s="9">
        <f t="shared" si="145"/>
        <v>0.097178414403013</v>
      </c>
      <c r="L1289" s="9">
        <f t="shared" si="146"/>
        <v>0.0986798410126403</v>
      </c>
    </row>
    <row r="1290" s="3" customFormat="1" ht="12.95" customHeight="1" spans="1:12">
      <c r="A1290" s="10">
        <v>44349</v>
      </c>
      <c r="B1290" s="8">
        <v>0.0970410760413683</v>
      </c>
      <c r="C1290" s="8">
        <v>-0.0190620347247797</v>
      </c>
      <c r="D1290" s="8">
        <v>0.000341008086438203</v>
      </c>
      <c r="E1290" s="8">
        <v>0.196</v>
      </c>
      <c r="F1290" s="9">
        <f t="shared" si="140"/>
        <v>0.0933920053321512</v>
      </c>
      <c r="G1290" s="9">
        <f t="shared" si="141"/>
        <v>0.0963072117971486</v>
      </c>
      <c r="H1290" s="9">
        <f t="shared" si="142"/>
        <v>0.0966741439192568</v>
      </c>
      <c r="I1290" s="3" t="str">
        <f t="shared" si="143"/>
        <v>2021-06-01</v>
      </c>
      <c r="J1290" s="9">
        <f t="shared" si="144"/>
        <v>0.090447345928197</v>
      </c>
      <c r="K1290" s="9">
        <f t="shared" si="145"/>
        <v>0.097178414403013</v>
      </c>
      <c r="L1290" s="9">
        <f t="shared" si="146"/>
        <v>0.0986798410126403</v>
      </c>
    </row>
    <row r="1291" s="3" customFormat="1" ht="12.95" customHeight="1" spans="1:12">
      <c r="A1291" s="10">
        <v>44348</v>
      </c>
      <c r="B1291" s="8">
        <v>0.0970990914641974</v>
      </c>
      <c r="C1291" s="8">
        <v>-0.0188425934984301</v>
      </c>
      <c r="D1291" s="8">
        <v>-0.000394963440249998</v>
      </c>
      <c r="E1291" s="8">
        <v>0.196</v>
      </c>
      <c r="F1291" s="9">
        <f t="shared" si="140"/>
        <v>0.0933538746759937</v>
      </c>
      <c r="G1291" s="9">
        <f t="shared" si="141"/>
        <v>0.0963449792322107</v>
      </c>
      <c r="H1291" s="9">
        <f t="shared" si="142"/>
        <v>0.0967220353481993</v>
      </c>
      <c r="I1291" s="3" t="str">
        <f t="shared" si="143"/>
        <v>2021-06-01</v>
      </c>
      <c r="J1291" s="9">
        <f t="shared" si="144"/>
        <v>0.090447345928197</v>
      </c>
      <c r="K1291" s="9">
        <f t="shared" si="145"/>
        <v>0.097178414403013</v>
      </c>
      <c r="L1291" s="9">
        <f t="shared" si="146"/>
        <v>0.0986798410126403</v>
      </c>
    </row>
    <row r="1292" s="3" customFormat="1" ht="12.95" customHeight="1" spans="1:12">
      <c r="A1292" s="10">
        <v>44347</v>
      </c>
      <c r="B1292" s="8">
        <v>0.0971138405982388</v>
      </c>
      <c r="C1292" s="8">
        <v>-0.0188573426324714</v>
      </c>
      <c r="D1292" s="8">
        <v>0.0001939348517196</v>
      </c>
      <c r="E1292" s="8">
        <v>0.256</v>
      </c>
      <c r="F1292" s="9">
        <f t="shared" si="140"/>
        <v>0.0924282169451237</v>
      </c>
      <c r="G1292" s="9">
        <f t="shared" si="141"/>
        <v>0.0961582741223729</v>
      </c>
      <c r="H1292" s="9">
        <f t="shared" si="142"/>
        <v>0.0966360573590515</v>
      </c>
      <c r="I1292" s="3" t="str">
        <f t="shared" si="143"/>
        <v>2021-05-01</v>
      </c>
      <c r="J1292" s="9">
        <f t="shared" si="144"/>
        <v>0.090314360119136</v>
      </c>
      <c r="K1292" s="9">
        <f t="shared" si="145"/>
        <v>0.0971093376722075</v>
      </c>
      <c r="L1292" s="9">
        <f t="shared" si="146"/>
        <v>0.0985309904380295</v>
      </c>
    </row>
    <row r="1293" s="3" customFormat="1" ht="12.95" customHeight="1" spans="1:12">
      <c r="A1293" s="10">
        <v>44344</v>
      </c>
      <c r="B1293" s="8">
        <v>0.0958857103587786</v>
      </c>
      <c r="C1293" s="8">
        <v>-0.0176292123930113</v>
      </c>
      <c r="D1293" s="8">
        <v>0.00208131355068285</v>
      </c>
      <c r="E1293" s="8">
        <v>0.076</v>
      </c>
      <c r="F1293" s="9">
        <f t="shared" si="140"/>
        <v>0.0947040683102259</v>
      </c>
      <c r="G1293" s="9">
        <f t="shared" si="141"/>
        <v>0.0956493822963752</v>
      </c>
      <c r="H1293" s="9">
        <f t="shared" si="142"/>
        <v>0.0957675463275769</v>
      </c>
      <c r="I1293" s="3" t="str">
        <f t="shared" si="143"/>
        <v>2021-05-01</v>
      </c>
      <c r="J1293" s="9">
        <f t="shared" si="144"/>
        <v>0.090314360119136</v>
      </c>
      <c r="K1293" s="9">
        <f t="shared" si="145"/>
        <v>0.0971093376722075</v>
      </c>
      <c r="L1293" s="9">
        <f t="shared" si="146"/>
        <v>0.0985309904380295</v>
      </c>
    </row>
    <row r="1294" s="3" customFormat="1" ht="12.95" customHeight="1" spans="1:12">
      <c r="A1294" s="10">
        <v>44343</v>
      </c>
      <c r="B1294" s="8">
        <v>0.0977500272404716</v>
      </c>
      <c r="C1294" s="8">
        <v>-0.00243984743614669</v>
      </c>
      <c r="D1294" s="8">
        <v>-0.0518058997257085</v>
      </c>
      <c r="E1294" s="8">
        <v>0.116</v>
      </c>
      <c r="F1294" s="9">
        <f t="shared" si="140"/>
        <v>0.0914679977947478</v>
      </c>
      <c r="G1294" s="9">
        <f t="shared" si="141"/>
        <v>0.0964915259063166</v>
      </c>
      <c r="H1294" s="9">
        <f t="shared" si="142"/>
        <v>0.0971207765733941</v>
      </c>
      <c r="I1294" s="3" t="str">
        <f t="shared" si="143"/>
        <v>2021-05-01</v>
      </c>
      <c r="J1294" s="9">
        <f t="shared" si="144"/>
        <v>0.090314360119136</v>
      </c>
      <c r="K1294" s="9">
        <f t="shared" si="145"/>
        <v>0.0971093376722075</v>
      </c>
      <c r="L1294" s="9">
        <f t="shared" si="146"/>
        <v>0.0985309904380295</v>
      </c>
    </row>
    <row r="1295" s="3" customFormat="1" ht="12.95" customHeight="1" spans="1:12">
      <c r="A1295" s="10">
        <v>44342</v>
      </c>
      <c r="B1295" s="8">
        <v>0.10042364672158</v>
      </c>
      <c r="C1295" s="8">
        <v>-0.00966928345311573</v>
      </c>
      <c r="D1295" s="8">
        <v>-0.0258187326692684</v>
      </c>
      <c r="E1295" s="8">
        <v>0.496</v>
      </c>
      <c r="F1295" s="9">
        <f t="shared" si="140"/>
        <v>0.088603935643547</v>
      </c>
      <c r="G1295" s="9">
        <f t="shared" si="141"/>
        <v>0.0969044643156371</v>
      </c>
      <c r="H1295" s="9">
        <f t="shared" si="142"/>
        <v>0.0986634411702869</v>
      </c>
      <c r="I1295" s="3" t="str">
        <f t="shared" si="143"/>
        <v>2021-05-01</v>
      </c>
      <c r="J1295" s="9">
        <f t="shared" si="144"/>
        <v>0.090314360119136</v>
      </c>
      <c r="K1295" s="9">
        <f t="shared" si="145"/>
        <v>0.0971093376722075</v>
      </c>
      <c r="L1295" s="9">
        <f t="shared" si="146"/>
        <v>0.0985309904380295</v>
      </c>
    </row>
    <row r="1296" s="3" customFormat="1" ht="12.95" customHeight="1" spans="1:12">
      <c r="A1296" s="10">
        <v>44341</v>
      </c>
      <c r="B1296" s="8">
        <v>0.0883903006838492</v>
      </c>
      <c r="C1296" s="8">
        <v>-0.00221260444279682</v>
      </c>
      <c r="D1296" s="8">
        <v>0.039736024849449</v>
      </c>
      <c r="E1296" s="8">
        <v>5</v>
      </c>
      <c r="F1296" s="9">
        <f t="shared" si="140"/>
        <v>0.0898664059297951</v>
      </c>
      <c r="G1296" s="9">
        <f t="shared" si="141"/>
        <v>0.0974915595444712</v>
      </c>
      <c r="H1296" s="9">
        <f t="shared" si="142"/>
        <v>0.0992352033451076</v>
      </c>
      <c r="I1296" s="3" t="str">
        <f t="shared" si="143"/>
        <v>2021-05-01</v>
      </c>
      <c r="J1296" s="9">
        <f t="shared" si="144"/>
        <v>0.090314360119136</v>
      </c>
      <c r="K1296" s="9">
        <f t="shared" si="145"/>
        <v>0.0971093376722075</v>
      </c>
      <c r="L1296" s="9">
        <f t="shared" si="146"/>
        <v>0.0985309904380295</v>
      </c>
    </row>
    <row r="1297" s="3" customFormat="1" ht="12.95" customHeight="1" spans="1:12">
      <c r="A1297" s="10">
        <v>44340</v>
      </c>
      <c r="B1297" s="8">
        <v>0.103742881730995</v>
      </c>
      <c r="C1297" s="8">
        <v>-0.0221628947385724</v>
      </c>
      <c r="D1297" s="8">
        <v>-0.000107805914218513</v>
      </c>
      <c r="E1297" s="8">
        <v>1.196</v>
      </c>
      <c r="F1297" s="9">
        <f t="shared" si="140"/>
        <v>0.0886974805382005</v>
      </c>
      <c r="G1297" s="9">
        <f t="shared" si="141"/>
        <v>0.0984988268336155</v>
      </c>
      <c r="H1297" s="9">
        <f t="shared" si="142"/>
        <v>0.101079953778623</v>
      </c>
      <c r="I1297" s="3" t="str">
        <f t="shared" si="143"/>
        <v>2021-05-01</v>
      </c>
      <c r="J1297" s="9">
        <f t="shared" si="144"/>
        <v>0.090314360119136</v>
      </c>
      <c r="K1297" s="9">
        <f t="shared" si="145"/>
        <v>0.0971093376722075</v>
      </c>
      <c r="L1297" s="9">
        <f t="shared" si="146"/>
        <v>0.0985309904380295</v>
      </c>
    </row>
    <row r="1298" s="3" customFormat="1" ht="12.95" customHeight="1" spans="1:12">
      <c r="A1298" s="10">
        <v>44337</v>
      </c>
      <c r="B1298" s="8">
        <v>0.0959056144427771</v>
      </c>
      <c r="C1298" s="8">
        <v>-0.0185742715064536</v>
      </c>
      <c r="D1298" s="8">
        <v>0.00792128151581705</v>
      </c>
      <c r="E1298" s="8">
        <v>0.076</v>
      </c>
      <c r="F1298" s="9">
        <f t="shared" si="140"/>
        <v>0.0950959734766808</v>
      </c>
      <c r="G1298" s="9">
        <f t="shared" si="141"/>
        <v>0.0957436889949194</v>
      </c>
      <c r="H1298" s="9">
        <f t="shared" si="142"/>
        <v>0.0958246517188483</v>
      </c>
      <c r="I1298" s="3" t="str">
        <f t="shared" si="143"/>
        <v>2021-05-01</v>
      </c>
      <c r="J1298" s="9">
        <f t="shared" si="144"/>
        <v>0.090314360119136</v>
      </c>
      <c r="K1298" s="9">
        <f t="shared" si="145"/>
        <v>0.0971093376722075</v>
      </c>
      <c r="L1298" s="9">
        <f t="shared" si="146"/>
        <v>0.0985309904380295</v>
      </c>
    </row>
    <row r="1299" s="3" customFormat="1" ht="12.95" customHeight="1" spans="1:12">
      <c r="A1299" s="10">
        <v>44336</v>
      </c>
      <c r="B1299" s="8">
        <v>0.0962946060900288</v>
      </c>
      <c r="C1299" s="8">
        <v>-0.0190558257492266</v>
      </c>
      <c r="D1299" s="8">
        <v>0.00984689533606839</v>
      </c>
      <c r="E1299" s="8">
        <v>0.076</v>
      </c>
      <c r="F1299" s="9">
        <f t="shared" si="140"/>
        <v>0.095594709723195</v>
      </c>
      <c r="G1299" s="9">
        <f t="shared" si="141"/>
        <v>0.0961546303477488</v>
      </c>
      <c r="H1299" s="9">
        <f t="shared" si="142"/>
        <v>0.0962246182188888</v>
      </c>
      <c r="I1299" s="3" t="str">
        <f t="shared" si="143"/>
        <v>2021-05-01</v>
      </c>
      <c r="J1299" s="9">
        <f t="shared" si="144"/>
        <v>0.090314360119136</v>
      </c>
      <c r="K1299" s="9">
        <f t="shared" si="145"/>
        <v>0.0971093376722075</v>
      </c>
      <c r="L1299" s="9">
        <f t="shared" si="146"/>
        <v>0.0985309904380295</v>
      </c>
    </row>
    <row r="1300" s="3" customFormat="1" ht="12.95" customHeight="1" spans="1:12">
      <c r="A1300" s="10">
        <v>44335</v>
      </c>
      <c r="B1300" s="8">
        <v>0.101575284196983</v>
      </c>
      <c r="C1300" s="8">
        <v>-0.0242439412606597</v>
      </c>
      <c r="D1300" s="8">
        <v>-0.000153415483148965</v>
      </c>
      <c r="E1300" s="8">
        <v>0.696</v>
      </c>
      <c r="F1300" s="9">
        <f t="shared" si="140"/>
        <v>0.0886673245323585</v>
      </c>
      <c r="G1300" s="9">
        <f t="shared" si="141"/>
        <v>0.0981818651542063</v>
      </c>
      <c r="H1300" s="9">
        <f t="shared" si="142"/>
        <v>0.0998772292333601</v>
      </c>
      <c r="I1300" s="3" t="str">
        <f t="shared" si="143"/>
        <v>2021-05-01</v>
      </c>
      <c r="J1300" s="9">
        <f t="shared" si="144"/>
        <v>0.090314360119136</v>
      </c>
      <c r="K1300" s="9">
        <f t="shared" si="145"/>
        <v>0.0971093376722075</v>
      </c>
      <c r="L1300" s="9">
        <f t="shared" si="146"/>
        <v>0.0985309904380295</v>
      </c>
    </row>
    <row r="1301" s="3" customFormat="1" ht="12.95" customHeight="1" spans="1:12">
      <c r="A1301" s="10">
        <v>44334</v>
      </c>
      <c r="B1301" s="8">
        <v>0.100877188050858</v>
      </c>
      <c r="C1301" s="8">
        <v>-0.0235458451145349</v>
      </c>
      <c r="D1301" s="8">
        <v>0.000171044560118088</v>
      </c>
      <c r="E1301" s="8">
        <v>0.656</v>
      </c>
      <c r="F1301" s="9">
        <f t="shared" si="140"/>
        <v>0.0888450814586373</v>
      </c>
      <c r="G1301" s="9">
        <f t="shared" si="141"/>
        <v>0.0978118319254995</v>
      </c>
      <c r="H1301" s="9">
        <f t="shared" si="142"/>
        <v>0.0993438014610336</v>
      </c>
      <c r="I1301" s="3" t="str">
        <f t="shared" si="143"/>
        <v>2021-05-01</v>
      </c>
      <c r="J1301" s="9">
        <f t="shared" si="144"/>
        <v>0.090314360119136</v>
      </c>
      <c r="K1301" s="9">
        <f t="shared" si="145"/>
        <v>0.0971093376722075</v>
      </c>
      <c r="L1301" s="9">
        <f t="shared" si="146"/>
        <v>0.0985309904380295</v>
      </c>
    </row>
    <row r="1302" s="3" customFormat="1" ht="12.95" customHeight="1" spans="1:12">
      <c r="A1302" s="10">
        <v>44333</v>
      </c>
      <c r="B1302" s="8">
        <v>0.0961807720485783</v>
      </c>
      <c r="C1302" s="8">
        <v>-0.01866432962075</v>
      </c>
      <c r="D1302" s="8">
        <v>0.00929216143676706</v>
      </c>
      <c r="E1302" s="8">
        <v>0.076</v>
      </c>
      <c r="F1302" s="9">
        <f t="shared" si="140"/>
        <v>0.0954684707058469</v>
      </c>
      <c r="G1302" s="9">
        <f t="shared" si="141"/>
        <v>0.0960383150921818</v>
      </c>
      <c r="H1302" s="9">
        <f t="shared" si="142"/>
        <v>0.09610954357038</v>
      </c>
      <c r="I1302" s="3" t="str">
        <f t="shared" si="143"/>
        <v>2021-05-01</v>
      </c>
      <c r="J1302" s="9">
        <f t="shared" si="144"/>
        <v>0.090314360119136</v>
      </c>
      <c r="K1302" s="9">
        <f t="shared" si="145"/>
        <v>0.0971093376722075</v>
      </c>
      <c r="L1302" s="9">
        <f t="shared" si="146"/>
        <v>0.0985309904380295</v>
      </c>
    </row>
    <row r="1303" s="3" customFormat="1" ht="12.95" customHeight="1" spans="1:12">
      <c r="A1303" s="10">
        <v>44330</v>
      </c>
      <c r="B1303" s="8">
        <v>0.100987958380309</v>
      </c>
      <c r="C1303" s="8">
        <v>-0.0236566154439852</v>
      </c>
      <c r="D1303" s="8">
        <v>-4.87478383930304e-5</v>
      </c>
      <c r="E1303" s="8">
        <v>0.696</v>
      </c>
      <c r="F1303" s="9">
        <f t="shared" si="140"/>
        <v>0.0884222687968023</v>
      </c>
      <c r="G1303" s="9">
        <f t="shared" si="141"/>
        <v>0.0976907123344716</v>
      </c>
      <c r="H1303" s="9">
        <f t="shared" si="142"/>
        <v>0.0993380660736293</v>
      </c>
      <c r="I1303" s="3" t="str">
        <f t="shared" si="143"/>
        <v>2021-05-01</v>
      </c>
      <c r="J1303" s="9">
        <f t="shared" si="144"/>
        <v>0.090314360119136</v>
      </c>
      <c r="K1303" s="9">
        <f t="shared" si="145"/>
        <v>0.0971093376722075</v>
      </c>
      <c r="L1303" s="9">
        <f t="shared" si="146"/>
        <v>0.0985309904380295</v>
      </c>
    </row>
    <row r="1304" s="3" customFormat="1" ht="12.95" customHeight="1" spans="1:12">
      <c r="A1304" s="10">
        <v>44329</v>
      </c>
      <c r="B1304" s="8">
        <v>0.101151616486595</v>
      </c>
      <c r="C1304" s="8">
        <v>-0.0234501088227429</v>
      </c>
      <c r="D1304" s="8">
        <v>-7.69278902648717e-5</v>
      </c>
      <c r="E1304" s="8">
        <v>0.736</v>
      </c>
      <c r="F1304" s="9">
        <f t="shared" si="140"/>
        <v>0.0883056004156304</v>
      </c>
      <c r="G1304" s="9">
        <f t="shared" si="141"/>
        <v>0.0976924053649058</v>
      </c>
      <c r="H1304" s="9">
        <f t="shared" si="142"/>
        <v>0.0994200288574292</v>
      </c>
      <c r="I1304" s="3" t="str">
        <f t="shared" si="143"/>
        <v>2021-05-01</v>
      </c>
      <c r="J1304" s="9">
        <f t="shared" si="144"/>
        <v>0.090314360119136</v>
      </c>
      <c r="K1304" s="9">
        <f t="shared" si="145"/>
        <v>0.0971093376722075</v>
      </c>
      <c r="L1304" s="9">
        <f t="shared" si="146"/>
        <v>0.0985309904380295</v>
      </c>
    </row>
    <row r="1305" s="3" customFormat="1" ht="12.95" customHeight="1" spans="1:12">
      <c r="A1305" s="10">
        <v>44328</v>
      </c>
      <c r="B1305" s="8">
        <v>0.100862231425736</v>
      </c>
      <c r="C1305" s="8">
        <v>-0.0231607237618844</v>
      </c>
      <c r="D1305" s="8">
        <v>-8.04572607922376e-5</v>
      </c>
      <c r="E1305" s="8">
        <v>0.716</v>
      </c>
      <c r="F1305" s="9">
        <f t="shared" si="140"/>
        <v>0.0883587734656287</v>
      </c>
      <c r="G1305" s="9">
        <f t="shared" si="141"/>
        <v>0.0975372550713565</v>
      </c>
      <c r="H1305" s="9">
        <f t="shared" si="142"/>
        <v>0.099198164364584</v>
      </c>
      <c r="I1305" s="3" t="str">
        <f t="shared" si="143"/>
        <v>2021-05-01</v>
      </c>
      <c r="J1305" s="9">
        <f t="shared" si="144"/>
        <v>0.090314360119136</v>
      </c>
      <c r="K1305" s="9">
        <f t="shared" si="145"/>
        <v>0.0971093376722075</v>
      </c>
      <c r="L1305" s="9">
        <f t="shared" si="146"/>
        <v>0.0985309904380295</v>
      </c>
    </row>
    <row r="1306" s="3" customFormat="1" ht="12.95" customHeight="1" spans="1:12">
      <c r="A1306" s="10">
        <v>44327</v>
      </c>
      <c r="B1306" s="8">
        <v>0.101393396717326</v>
      </c>
      <c r="C1306" s="8">
        <v>-0.0225822162930366</v>
      </c>
      <c r="D1306" s="8">
        <v>-5.52887383272306e-5</v>
      </c>
      <c r="E1306" s="8">
        <v>0.856</v>
      </c>
      <c r="F1306" s="9">
        <f t="shared" si="140"/>
        <v>0.0880577704250761</v>
      </c>
      <c r="G1306" s="9">
        <f t="shared" si="141"/>
        <v>0.0975292772044766</v>
      </c>
      <c r="H1306" s="9">
        <f t="shared" si="142"/>
        <v>0.0994556431128598</v>
      </c>
      <c r="I1306" s="3" t="str">
        <f t="shared" si="143"/>
        <v>2021-05-01</v>
      </c>
      <c r="J1306" s="9">
        <f t="shared" si="144"/>
        <v>0.090314360119136</v>
      </c>
      <c r="K1306" s="9">
        <f t="shared" si="145"/>
        <v>0.0971093376722075</v>
      </c>
      <c r="L1306" s="9">
        <f t="shared" si="146"/>
        <v>0.0985309904380295</v>
      </c>
    </row>
    <row r="1307" s="3" customFormat="1" ht="12.95" customHeight="1" spans="1:12">
      <c r="A1307" s="10">
        <v>44322</v>
      </c>
      <c r="B1307" s="8">
        <v>0.102808239373931</v>
      </c>
      <c r="C1307" s="8">
        <v>-0.0222425915343637</v>
      </c>
      <c r="D1307" s="8">
        <v>5.14938278125275e-5</v>
      </c>
      <c r="E1307" s="8">
        <v>1.216</v>
      </c>
      <c r="F1307" s="9">
        <f t="shared" si="140"/>
        <v>0.0876578967067719</v>
      </c>
      <c r="G1307" s="9">
        <f t="shared" si="141"/>
        <v>0.0974989088054942</v>
      </c>
      <c r="H1307" s="9">
        <f t="shared" si="142"/>
        <v>0.100110511869394</v>
      </c>
      <c r="I1307" s="3" t="str">
        <f t="shared" si="143"/>
        <v>2021-05-01</v>
      </c>
      <c r="J1307" s="9">
        <f t="shared" si="144"/>
        <v>0.090314360119136</v>
      </c>
      <c r="K1307" s="9">
        <f t="shared" si="145"/>
        <v>0.0971093376722075</v>
      </c>
      <c r="L1307" s="9">
        <f t="shared" si="146"/>
        <v>0.0985309904380295</v>
      </c>
    </row>
    <row r="1308" s="3" customFormat="1" ht="12.95" customHeight="1" spans="1:12">
      <c r="A1308" s="10">
        <v>44321</v>
      </c>
      <c r="B1308" s="8">
        <v>0.102650660672641</v>
      </c>
      <c r="C1308" s="8">
        <v>-0.0220850128330733</v>
      </c>
      <c r="D1308" s="8">
        <v>2.83436433672314e-5</v>
      </c>
      <c r="E1308" s="8">
        <v>1.196</v>
      </c>
      <c r="F1308" s="9">
        <f t="shared" si="140"/>
        <v>0.0876912959076314</v>
      </c>
      <c r="G1308" s="9">
        <f t="shared" si="141"/>
        <v>0.0974549377137138</v>
      </c>
      <c r="H1308" s="9">
        <f t="shared" si="142"/>
        <v>0.100013293072668</v>
      </c>
      <c r="I1308" s="3" t="str">
        <f t="shared" si="143"/>
        <v>2021-05-01</v>
      </c>
      <c r="J1308" s="9">
        <f t="shared" si="144"/>
        <v>0.090314360119136</v>
      </c>
      <c r="K1308" s="9">
        <f t="shared" si="145"/>
        <v>0.0971093376722075</v>
      </c>
      <c r="L1308" s="9">
        <f t="shared" si="146"/>
        <v>0.0985309904380295</v>
      </c>
    </row>
    <row r="1309" s="3" customFormat="1" ht="12.95" customHeight="1" spans="1:12">
      <c r="A1309" s="10">
        <v>44320</v>
      </c>
      <c r="B1309" s="8">
        <v>0.102950083402563</v>
      </c>
      <c r="C1309" s="8">
        <v>-0.0219232447601898</v>
      </c>
      <c r="D1309" s="8">
        <v>-0.000113909734074401</v>
      </c>
      <c r="E1309" s="8">
        <v>1.276</v>
      </c>
      <c r="F1309" s="9">
        <f t="shared" si="140"/>
        <v>0.0877252113685485</v>
      </c>
      <c r="G1309" s="9">
        <f t="shared" si="141"/>
        <v>0.0974402170719716</v>
      </c>
      <c r="H1309" s="9">
        <f t="shared" si="142"/>
        <v>0.100139297777416</v>
      </c>
      <c r="I1309" s="3" t="str">
        <f t="shared" si="143"/>
        <v>2021-05-01</v>
      </c>
      <c r="J1309" s="9">
        <f t="shared" si="144"/>
        <v>0.090314360119136</v>
      </c>
      <c r="K1309" s="9">
        <f t="shared" si="145"/>
        <v>0.0971093376722075</v>
      </c>
      <c r="L1309" s="9">
        <f t="shared" si="146"/>
        <v>0.0985309904380295</v>
      </c>
    </row>
    <row r="1310" s="3" customFormat="1" ht="12.95" customHeight="1" spans="1:12">
      <c r="A1310" s="10">
        <v>44316</v>
      </c>
      <c r="B1310" s="8">
        <v>0.103716908663782</v>
      </c>
      <c r="C1310" s="8">
        <v>-0.0223212704597877</v>
      </c>
      <c r="D1310" s="8">
        <v>-5.17426566873311e-5</v>
      </c>
      <c r="E1310" s="8">
        <v>1.436</v>
      </c>
      <c r="F1310" s="9">
        <f t="shared" si="140"/>
        <v>0.0876270442465397</v>
      </c>
      <c r="G1310" s="9">
        <f t="shared" si="141"/>
        <v>0.0974905496621877</v>
      </c>
      <c r="H1310" s="9">
        <f t="shared" si="142"/>
        <v>0.100507230597778</v>
      </c>
      <c r="I1310" s="3" t="str">
        <f t="shared" si="143"/>
        <v>2021-04-01</v>
      </c>
      <c r="J1310" s="9">
        <f t="shared" si="144"/>
        <v>0.0878913723466249</v>
      </c>
      <c r="K1310" s="9">
        <f t="shared" si="145"/>
        <v>0.0959776325251237</v>
      </c>
      <c r="L1310" s="9">
        <f t="shared" si="146"/>
        <v>0.0984866616618534</v>
      </c>
    </row>
    <row r="1311" s="3" customFormat="1" ht="12.95" customHeight="1" spans="1:12">
      <c r="A1311" s="10">
        <v>44315</v>
      </c>
      <c r="B1311" s="8">
        <v>0.103550213519119</v>
      </c>
      <c r="C1311" s="8">
        <v>-0.0221545753151249</v>
      </c>
      <c r="D1311" s="8">
        <v>-6.59272337837228e-5</v>
      </c>
      <c r="E1311" s="8">
        <v>1.396</v>
      </c>
      <c r="F1311" s="9">
        <f t="shared" si="140"/>
        <v>0.0877170472045614</v>
      </c>
      <c r="G1311" s="9">
        <f t="shared" si="141"/>
        <v>0.0975207365921524</v>
      </c>
      <c r="H1311" s="9">
        <f t="shared" si="142"/>
        <v>0.100450684833339</v>
      </c>
      <c r="I1311" s="3" t="str">
        <f t="shared" si="143"/>
        <v>2021-04-01</v>
      </c>
      <c r="J1311" s="9">
        <f t="shared" si="144"/>
        <v>0.0878913723466249</v>
      </c>
      <c r="K1311" s="9">
        <f t="shared" si="145"/>
        <v>0.0959776325251237</v>
      </c>
      <c r="L1311" s="9">
        <f t="shared" si="146"/>
        <v>0.0984866616618534</v>
      </c>
    </row>
    <row r="1312" s="3" customFormat="1" ht="12.95" customHeight="1" spans="1:12">
      <c r="A1312" s="10">
        <v>44314</v>
      </c>
      <c r="B1312" s="8">
        <v>0.104352678204919</v>
      </c>
      <c r="C1312" s="8">
        <v>-0.0220356357157056</v>
      </c>
      <c r="D1312" s="8">
        <v>-5.10916437241512e-5</v>
      </c>
      <c r="E1312" s="8">
        <v>1.676</v>
      </c>
      <c r="F1312" s="9">
        <f t="shared" si="140"/>
        <v>0.0877470055424279</v>
      </c>
      <c r="G1312" s="9">
        <f t="shared" si="141"/>
        <v>0.0973266005411953</v>
      </c>
      <c r="H1312" s="9">
        <f t="shared" si="142"/>
        <v>0.100660561096579</v>
      </c>
      <c r="I1312" s="3" t="str">
        <f t="shared" si="143"/>
        <v>2021-04-01</v>
      </c>
      <c r="J1312" s="9">
        <f t="shared" si="144"/>
        <v>0.0878913723466249</v>
      </c>
      <c r="K1312" s="9">
        <f t="shared" si="145"/>
        <v>0.0959776325251237</v>
      </c>
      <c r="L1312" s="9">
        <f t="shared" si="146"/>
        <v>0.0984866616618534</v>
      </c>
    </row>
    <row r="1313" s="3" customFormat="1" ht="12.95" customHeight="1" spans="1:12">
      <c r="A1313" s="10">
        <v>44313</v>
      </c>
      <c r="B1313" s="8">
        <v>0.10347750550087</v>
      </c>
      <c r="C1313" s="8">
        <v>-0.0215289228537027</v>
      </c>
      <c r="D1313" s="8">
        <v>-0.000107682547467572</v>
      </c>
      <c r="E1313" s="8">
        <v>1.476</v>
      </c>
      <c r="F1313" s="9">
        <f t="shared" si="140"/>
        <v>0.0878160870695475</v>
      </c>
      <c r="G1313" s="9">
        <f t="shared" si="141"/>
        <v>0.0973098515648286</v>
      </c>
      <c r="H1313" s="9">
        <f t="shared" si="142"/>
        <v>0.10028771221323</v>
      </c>
      <c r="I1313" s="3" t="str">
        <f t="shared" si="143"/>
        <v>2021-04-01</v>
      </c>
      <c r="J1313" s="9">
        <f t="shared" si="144"/>
        <v>0.0878913723466249</v>
      </c>
      <c r="K1313" s="9">
        <f t="shared" si="145"/>
        <v>0.0959776325251237</v>
      </c>
      <c r="L1313" s="9">
        <f t="shared" si="146"/>
        <v>0.0984866616618534</v>
      </c>
    </row>
    <row r="1314" s="3" customFormat="1" ht="12.95" customHeight="1" spans="1:12">
      <c r="A1314" s="10">
        <v>44312</v>
      </c>
      <c r="B1314" s="8">
        <v>0.104256312066223</v>
      </c>
      <c r="C1314" s="8">
        <v>-0.0225841634221983</v>
      </c>
      <c r="D1314" s="8">
        <v>-5.84628808736796e-5</v>
      </c>
      <c r="E1314" s="8">
        <v>1.636</v>
      </c>
      <c r="F1314" s="9">
        <f t="shared" si="140"/>
        <v>0.0873471486026426</v>
      </c>
      <c r="G1314" s="9">
        <f t="shared" si="141"/>
        <v>0.097199082037323</v>
      </c>
      <c r="H1314" s="9">
        <f t="shared" si="142"/>
        <v>0.100560313276081</v>
      </c>
      <c r="I1314" s="3" t="str">
        <f t="shared" si="143"/>
        <v>2021-04-01</v>
      </c>
      <c r="J1314" s="9">
        <f t="shared" si="144"/>
        <v>0.0878913723466249</v>
      </c>
      <c r="K1314" s="9">
        <f t="shared" si="145"/>
        <v>0.0959776325251237</v>
      </c>
      <c r="L1314" s="9">
        <f t="shared" si="146"/>
        <v>0.0984866616618534</v>
      </c>
    </row>
    <row r="1315" s="3" customFormat="1" ht="12.95" customHeight="1" spans="1:12">
      <c r="A1315" s="10">
        <v>44309</v>
      </c>
      <c r="B1315" s="8">
        <v>0.105653886157315</v>
      </c>
      <c r="C1315" s="8">
        <v>-0.0225083050706462</v>
      </c>
      <c r="D1315" s="8">
        <v>-0.00180797148716442</v>
      </c>
      <c r="E1315" s="8">
        <v>2</v>
      </c>
      <c r="F1315" s="9">
        <f t="shared" si="140"/>
        <v>0.0876150577052727</v>
      </c>
      <c r="G1315" s="9">
        <f t="shared" si="141"/>
        <v>0.0968741834823412</v>
      </c>
      <c r="H1315" s="9">
        <f t="shared" si="142"/>
        <v>0.100835581218342</v>
      </c>
      <c r="I1315" s="3" t="str">
        <f t="shared" si="143"/>
        <v>2021-04-01</v>
      </c>
      <c r="J1315" s="9">
        <f t="shared" si="144"/>
        <v>0.0878913723466249</v>
      </c>
      <c r="K1315" s="9">
        <f t="shared" si="145"/>
        <v>0.0959776325251237</v>
      </c>
      <c r="L1315" s="9">
        <f t="shared" si="146"/>
        <v>0.0984866616618534</v>
      </c>
    </row>
    <row r="1316" s="3" customFormat="1" ht="12.95" customHeight="1" spans="1:12">
      <c r="A1316" s="10">
        <v>44308</v>
      </c>
      <c r="B1316" s="8">
        <v>0.105686696479333</v>
      </c>
      <c r="C1316" s="8">
        <v>-0.0225411153926641</v>
      </c>
      <c r="D1316" s="8">
        <v>-0.00179246942613891</v>
      </c>
      <c r="E1316" s="8">
        <v>2</v>
      </c>
      <c r="F1316" s="9">
        <f t="shared" si="140"/>
        <v>0.0876248450119216</v>
      </c>
      <c r="G1316" s="9">
        <f t="shared" si="141"/>
        <v>0.0968993663127362</v>
      </c>
      <c r="H1316" s="9">
        <f t="shared" si="142"/>
        <v>0.100864848760525</v>
      </c>
      <c r="I1316" s="3" t="str">
        <f t="shared" si="143"/>
        <v>2021-04-01</v>
      </c>
      <c r="J1316" s="9">
        <f t="shared" si="144"/>
        <v>0.0878913723466249</v>
      </c>
      <c r="K1316" s="9">
        <f t="shared" si="145"/>
        <v>0.0959776325251237</v>
      </c>
      <c r="L1316" s="9">
        <f t="shared" si="146"/>
        <v>0.0984866616618534</v>
      </c>
    </row>
    <row r="1317" s="3" customFormat="1" ht="12.95" customHeight="1" spans="1:12">
      <c r="A1317" s="10">
        <v>44307</v>
      </c>
      <c r="B1317" s="8">
        <v>0.106875798721943</v>
      </c>
      <c r="C1317" s="8">
        <v>-0.0224427427471132</v>
      </c>
      <c r="D1317" s="8">
        <v>-0.00111003708396629</v>
      </c>
      <c r="E1317" s="8">
        <v>2.5</v>
      </c>
      <c r="F1317" s="9">
        <f t="shared" si="140"/>
        <v>0.088207680405061</v>
      </c>
      <c r="G1317" s="9">
        <f t="shared" si="141"/>
        <v>0.0968433970542893</v>
      </c>
      <c r="H1317" s="9">
        <f t="shared" si="142"/>
        <v>0.101115780855109</v>
      </c>
      <c r="I1317" s="3" t="str">
        <f t="shared" si="143"/>
        <v>2021-04-01</v>
      </c>
      <c r="J1317" s="9">
        <f t="shared" si="144"/>
        <v>0.0878913723466249</v>
      </c>
      <c r="K1317" s="9">
        <f t="shared" si="145"/>
        <v>0.0959776325251237</v>
      </c>
      <c r="L1317" s="9">
        <f t="shared" si="146"/>
        <v>0.0984866616618534</v>
      </c>
    </row>
    <row r="1318" s="3" customFormat="1" ht="12.95" customHeight="1" spans="1:12">
      <c r="A1318" s="10">
        <v>44306</v>
      </c>
      <c r="B1318" s="8">
        <v>0.105906553377258</v>
      </c>
      <c r="C1318" s="8">
        <v>-0.0184452776072632</v>
      </c>
      <c r="D1318" s="8">
        <v>-0.0191869308311184</v>
      </c>
      <c r="E1318" s="8">
        <v>1.316</v>
      </c>
      <c r="F1318" s="9">
        <f t="shared" si="140"/>
        <v>0.0885202632670972</v>
      </c>
      <c r="G1318" s="9">
        <f t="shared" si="141"/>
        <v>0.0966529562743837</v>
      </c>
      <c r="H1318" s="9">
        <f t="shared" si="142"/>
        <v>0.100966250005344</v>
      </c>
      <c r="I1318" s="3" t="str">
        <f t="shared" si="143"/>
        <v>2021-04-01</v>
      </c>
      <c r="J1318" s="9">
        <f t="shared" si="144"/>
        <v>0.0878913723466249</v>
      </c>
      <c r="K1318" s="9">
        <f t="shared" si="145"/>
        <v>0.0959776325251237</v>
      </c>
      <c r="L1318" s="9">
        <f t="shared" si="146"/>
        <v>0.0984866616618534</v>
      </c>
    </row>
    <row r="1319" s="3" customFormat="1" ht="12.95" customHeight="1" spans="1:12">
      <c r="A1319" s="10">
        <v>44305</v>
      </c>
      <c r="B1319" s="8">
        <v>0.103936716442524</v>
      </c>
      <c r="C1319" s="8">
        <v>-0.0132736815452822</v>
      </c>
      <c r="D1319" s="8">
        <v>-0.0273934476844974</v>
      </c>
      <c r="E1319" s="8">
        <v>0.876</v>
      </c>
      <c r="F1319" s="9">
        <f t="shared" si="140"/>
        <v>0.0884353537883797</v>
      </c>
      <c r="G1319" s="9">
        <f t="shared" si="141"/>
        <v>0.0969264394547106</v>
      </c>
      <c r="H1319" s="9">
        <f t="shared" si="142"/>
        <v>0.100374617149244</v>
      </c>
      <c r="I1319" s="3" t="str">
        <f t="shared" si="143"/>
        <v>2021-04-01</v>
      </c>
      <c r="J1319" s="9">
        <f t="shared" si="144"/>
        <v>0.0878913723466249</v>
      </c>
      <c r="K1319" s="9">
        <f t="shared" si="145"/>
        <v>0.0959776325251237</v>
      </c>
      <c r="L1319" s="9">
        <f t="shared" si="146"/>
        <v>0.0984866616618534</v>
      </c>
    </row>
    <row r="1320" s="3" customFormat="1" ht="12.95" customHeight="1" spans="1:12">
      <c r="A1320" s="10">
        <v>44302</v>
      </c>
      <c r="B1320" s="8">
        <v>0.105063420688809</v>
      </c>
      <c r="C1320" s="8">
        <v>-0.0142177373892326</v>
      </c>
      <c r="D1320" s="8">
        <v>-0.0290312485321804</v>
      </c>
      <c r="E1320" s="8">
        <v>0.956</v>
      </c>
      <c r="F1320" s="9">
        <f t="shared" si="140"/>
        <v>0.0884431439881164</v>
      </c>
      <c r="G1320" s="9">
        <f t="shared" si="141"/>
        <v>0.09699387844437</v>
      </c>
      <c r="H1320" s="9">
        <f t="shared" si="142"/>
        <v>0.100929767937162</v>
      </c>
      <c r="I1320" s="3" t="str">
        <f t="shared" si="143"/>
        <v>2021-04-01</v>
      </c>
      <c r="J1320" s="9">
        <f t="shared" si="144"/>
        <v>0.0878913723466249</v>
      </c>
      <c r="K1320" s="9">
        <f t="shared" si="145"/>
        <v>0.0959776325251237</v>
      </c>
      <c r="L1320" s="9">
        <f t="shared" si="146"/>
        <v>0.0984866616618534</v>
      </c>
    </row>
    <row r="1321" s="3" customFormat="1" ht="12.95" customHeight="1" spans="1:12">
      <c r="A1321" s="10">
        <v>44301</v>
      </c>
      <c r="B1321" s="8">
        <v>0.104377072996176</v>
      </c>
      <c r="C1321" s="8">
        <v>-0.0170990648891158</v>
      </c>
      <c r="D1321" s="8">
        <v>-0.0176335413145079</v>
      </c>
      <c r="E1321" s="8">
        <v>1.196</v>
      </c>
      <c r="F1321" s="9">
        <f t="shared" si="140"/>
        <v>0.0884821019630444</v>
      </c>
      <c r="G1321" s="9">
        <f t="shared" si="141"/>
        <v>0.0964656622162121</v>
      </c>
      <c r="H1321" s="9">
        <f t="shared" si="142"/>
        <v>0.100228146413548</v>
      </c>
      <c r="I1321" s="3" t="str">
        <f t="shared" si="143"/>
        <v>2021-04-01</v>
      </c>
      <c r="J1321" s="9">
        <f t="shared" si="144"/>
        <v>0.0878913723466249</v>
      </c>
      <c r="K1321" s="9">
        <f t="shared" si="145"/>
        <v>0.0959776325251237</v>
      </c>
      <c r="L1321" s="9">
        <f t="shared" si="146"/>
        <v>0.0984866616618534</v>
      </c>
    </row>
    <row r="1322" s="3" customFormat="1" ht="12.95" customHeight="1" spans="1:12">
      <c r="A1322" s="10">
        <v>44300</v>
      </c>
      <c r="B1322" s="8">
        <v>0.0806573446417042</v>
      </c>
      <c r="C1322" s="8">
        <v>0.00441882771341505</v>
      </c>
      <c r="D1322" s="8">
        <v>0.0454281218783557</v>
      </c>
      <c r="E1322" s="8">
        <v>5</v>
      </c>
      <c r="F1322" s="9">
        <f t="shared" si="140"/>
        <v>0.0886425392746201</v>
      </c>
      <c r="G1322" s="9">
        <f t="shared" si="141"/>
        <v>0.0954545541834756</v>
      </c>
      <c r="H1322" s="9">
        <f t="shared" si="142"/>
        <v>0.0960597661755332</v>
      </c>
      <c r="I1322" s="3" t="str">
        <f t="shared" si="143"/>
        <v>2021-04-01</v>
      </c>
      <c r="J1322" s="9">
        <f t="shared" si="144"/>
        <v>0.0878913723466249</v>
      </c>
      <c r="K1322" s="9">
        <f t="shared" si="145"/>
        <v>0.0959776325251237</v>
      </c>
      <c r="L1322" s="9">
        <f t="shared" si="146"/>
        <v>0.0984866616618534</v>
      </c>
    </row>
    <row r="1323" s="3" customFormat="1" ht="12.95" customHeight="1" spans="1:12">
      <c r="A1323" s="10">
        <v>44299</v>
      </c>
      <c r="B1323" s="8">
        <v>0.0874470394039002</v>
      </c>
      <c r="C1323" s="8">
        <v>-0.00651242190790096</v>
      </c>
      <c r="D1323" s="8">
        <v>0.03996087932412</v>
      </c>
      <c r="E1323" s="8">
        <v>3</v>
      </c>
      <c r="F1323" s="9">
        <f t="shared" si="140"/>
        <v>0.0872585893314195</v>
      </c>
      <c r="G1323" s="9">
        <f t="shared" si="141"/>
        <v>0.0961779201462845</v>
      </c>
      <c r="H1323" s="9">
        <f t="shared" si="142"/>
        <v>0.0956980404714043</v>
      </c>
      <c r="I1323" s="3" t="str">
        <f t="shared" si="143"/>
        <v>2021-04-01</v>
      </c>
      <c r="J1323" s="9">
        <f t="shared" si="144"/>
        <v>0.0878913723466249</v>
      </c>
      <c r="K1323" s="9">
        <f t="shared" si="145"/>
        <v>0.0959776325251237</v>
      </c>
      <c r="L1323" s="9">
        <f t="shared" si="146"/>
        <v>0.0984866616618534</v>
      </c>
    </row>
    <row r="1324" s="3" customFormat="1" ht="12.95" customHeight="1" spans="1:12">
      <c r="A1324" s="10">
        <v>44298</v>
      </c>
      <c r="B1324" s="8">
        <v>0.0908508382177544</v>
      </c>
      <c r="C1324" s="8">
        <v>-0.0101006885326454</v>
      </c>
      <c r="D1324" s="8">
        <v>0.0312336877731608</v>
      </c>
      <c r="E1324" s="8">
        <v>2.5</v>
      </c>
      <c r="F1324" s="9">
        <f t="shared" si="140"/>
        <v>0.0873320867336414</v>
      </c>
      <c r="G1324" s="9">
        <f t="shared" si="141"/>
        <v>0.0957602976377803</v>
      </c>
      <c r="H1324" s="9">
        <f t="shared" si="142"/>
        <v>0.0954652569857853</v>
      </c>
      <c r="I1324" s="3" t="str">
        <f t="shared" si="143"/>
        <v>2021-04-01</v>
      </c>
      <c r="J1324" s="9">
        <f t="shared" si="144"/>
        <v>0.0878913723466249</v>
      </c>
      <c r="K1324" s="9">
        <f t="shared" si="145"/>
        <v>0.0959776325251237</v>
      </c>
      <c r="L1324" s="9">
        <f t="shared" si="146"/>
        <v>0.0984866616618534</v>
      </c>
    </row>
    <row r="1325" s="3" customFormat="1" ht="12.95" customHeight="1" spans="1:12">
      <c r="A1325" s="10">
        <v>44295</v>
      </c>
      <c r="B1325" s="8">
        <v>0.0971926522760643</v>
      </c>
      <c r="C1325" s="8">
        <v>-0.0164425025909552</v>
      </c>
      <c r="D1325" s="8">
        <v>-0.000126467820368997</v>
      </c>
      <c r="E1325" s="8">
        <v>0.776</v>
      </c>
      <c r="F1325" s="9">
        <f t="shared" si="140"/>
        <v>0.0879140372771929</v>
      </c>
      <c r="G1325" s="9">
        <f t="shared" si="141"/>
        <v>0.0946254409433486</v>
      </c>
      <c r="H1325" s="9">
        <f t="shared" si="142"/>
        <v>0.09590690374754</v>
      </c>
      <c r="I1325" s="3" t="str">
        <f t="shared" si="143"/>
        <v>2021-04-01</v>
      </c>
      <c r="J1325" s="9">
        <f t="shared" si="144"/>
        <v>0.0878913723466249</v>
      </c>
      <c r="K1325" s="9">
        <f t="shared" si="145"/>
        <v>0.0959776325251237</v>
      </c>
      <c r="L1325" s="9">
        <f t="shared" si="146"/>
        <v>0.0984866616618534</v>
      </c>
    </row>
    <row r="1326" s="3" customFormat="1" ht="12.95" customHeight="1" spans="1:12">
      <c r="A1326" s="10">
        <v>44294</v>
      </c>
      <c r="B1326" s="8">
        <v>0.0971520391346981</v>
      </c>
      <c r="C1326" s="8">
        <v>-0.016401889449589</v>
      </c>
      <c r="D1326" s="8">
        <v>2.1286561623177e-5</v>
      </c>
      <c r="E1326" s="8">
        <v>0.776</v>
      </c>
      <c r="F1326" s="9">
        <f t="shared" si="140"/>
        <v>0.0879385791504594</v>
      </c>
      <c r="G1326" s="9">
        <f t="shared" si="141"/>
        <v>0.0946137808257274</v>
      </c>
      <c r="H1326" s="9">
        <f t="shared" si="142"/>
        <v>0.0958809075149011</v>
      </c>
      <c r="I1326" s="3" t="str">
        <f t="shared" si="143"/>
        <v>2021-04-01</v>
      </c>
      <c r="J1326" s="9">
        <f t="shared" si="144"/>
        <v>0.0878913723466249</v>
      </c>
      <c r="K1326" s="9">
        <f t="shared" si="145"/>
        <v>0.0959776325251237</v>
      </c>
      <c r="L1326" s="9">
        <f t="shared" si="146"/>
        <v>0.0984866616618534</v>
      </c>
    </row>
    <row r="1327" s="3" customFormat="1" ht="12.95" customHeight="1" spans="1:12">
      <c r="A1327" s="10">
        <v>44293</v>
      </c>
      <c r="B1327" s="8">
        <v>0.0969545894528832</v>
      </c>
      <c r="C1327" s="8">
        <v>-0.0162044397677742</v>
      </c>
      <c r="D1327" s="8">
        <v>0.000119088410463155</v>
      </c>
      <c r="E1327" s="8">
        <v>0.776</v>
      </c>
      <c r="F1327" s="9">
        <f t="shared" si="140"/>
        <v>0.0878801332607955</v>
      </c>
      <c r="G1327" s="9">
        <f t="shared" si="141"/>
        <v>0.0944619256528956</v>
      </c>
      <c r="H1327" s="9">
        <f t="shared" si="142"/>
        <v>0.0957063690462483</v>
      </c>
      <c r="I1327" s="3" t="str">
        <f t="shared" si="143"/>
        <v>2021-04-01</v>
      </c>
      <c r="J1327" s="9">
        <f t="shared" si="144"/>
        <v>0.0878913723466249</v>
      </c>
      <c r="K1327" s="9">
        <f t="shared" si="145"/>
        <v>0.0959776325251237</v>
      </c>
      <c r="L1327" s="9">
        <f t="shared" si="146"/>
        <v>0.0984866616618534</v>
      </c>
    </row>
    <row r="1328" s="3" customFormat="1" ht="12.95" customHeight="1" spans="1:12">
      <c r="A1328" s="10">
        <v>44292</v>
      </c>
      <c r="B1328" s="8">
        <v>0.0975340412189148</v>
      </c>
      <c r="C1328" s="8">
        <v>-0.0144804860836291</v>
      </c>
      <c r="D1328" s="8">
        <v>-4.37423062322832e-5</v>
      </c>
      <c r="E1328" s="8">
        <v>1.116</v>
      </c>
      <c r="F1328" s="9">
        <f t="shared" si="140"/>
        <v>0.0879589940834569</v>
      </c>
      <c r="G1328" s="9">
        <f t="shared" si="141"/>
        <v>0.094329459263226</v>
      </c>
      <c r="H1328" s="9">
        <f t="shared" si="142"/>
        <v>0.0959133510255895</v>
      </c>
      <c r="I1328" s="3" t="str">
        <f t="shared" si="143"/>
        <v>2021-04-01</v>
      </c>
      <c r="J1328" s="9">
        <f t="shared" si="144"/>
        <v>0.0878913723466249</v>
      </c>
      <c r="K1328" s="9">
        <f t="shared" si="145"/>
        <v>0.0959776325251237</v>
      </c>
      <c r="L1328" s="9">
        <f t="shared" si="146"/>
        <v>0.0984866616618534</v>
      </c>
    </row>
    <row r="1329" s="3" customFormat="1" ht="12.95" customHeight="1" spans="1:12">
      <c r="A1329" s="10">
        <v>44291</v>
      </c>
      <c r="B1329" s="8">
        <v>0.0982825428819934</v>
      </c>
      <c r="C1329" s="8">
        <v>-0.013849486907164</v>
      </c>
      <c r="D1329" s="8">
        <v>-3.65368137661189e-5</v>
      </c>
      <c r="E1329" s="8">
        <v>1.676</v>
      </c>
      <c r="F1329" s="9">
        <f t="shared" si="140"/>
        <v>0.0878449138874683</v>
      </c>
      <c r="G1329" s="9">
        <f t="shared" si="141"/>
        <v>0.0938654401332116</v>
      </c>
      <c r="H1329" s="9">
        <f t="shared" si="142"/>
        <v>0.0959613037516209</v>
      </c>
      <c r="I1329" s="3" t="str">
        <f t="shared" si="143"/>
        <v>2021-04-01</v>
      </c>
      <c r="J1329" s="9">
        <f t="shared" si="144"/>
        <v>0.0878913723466249</v>
      </c>
      <c r="K1329" s="9">
        <f t="shared" si="145"/>
        <v>0.0959776325251237</v>
      </c>
      <c r="L1329" s="9">
        <f t="shared" si="146"/>
        <v>0.0984866616618534</v>
      </c>
    </row>
    <row r="1330" s="3" customFormat="1" ht="12.95" customHeight="1" spans="1:12">
      <c r="A1330" s="10">
        <v>44288</v>
      </c>
      <c r="B1330" s="8">
        <v>0.0997833907663512</v>
      </c>
      <c r="C1330" s="8">
        <v>-0.0108571815719496</v>
      </c>
      <c r="D1330" s="8">
        <v>-0.0178138840730116</v>
      </c>
      <c r="E1330" s="8">
        <v>1.176</v>
      </c>
      <c r="F1330" s="9">
        <f t="shared" si="140"/>
        <v>0.0880838706333902</v>
      </c>
      <c r="G1330" s="9">
        <f t="shared" si="141"/>
        <v>0.0933896522376728</v>
      </c>
      <c r="H1330" s="9">
        <f t="shared" si="142"/>
        <v>0.0964159694092687</v>
      </c>
      <c r="I1330" s="3" t="str">
        <f t="shared" si="143"/>
        <v>2021-04-01</v>
      </c>
      <c r="J1330" s="9">
        <f t="shared" si="144"/>
        <v>0.0878913723466249</v>
      </c>
      <c r="K1330" s="9">
        <f t="shared" si="145"/>
        <v>0.0959776325251237</v>
      </c>
      <c r="L1330" s="9">
        <f t="shared" si="146"/>
        <v>0.0984866616618534</v>
      </c>
    </row>
    <row r="1331" s="3" customFormat="1" ht="12.95" customHeight="1" spans="1:12">
      <c r="A1331" s="10">
        <v>44287</v>
      </c>
      <c r="B1331" s="8">
        <v>0.0975260798725176</v>
      </c>
      <c r="C1331" s="8">
        <v>-0.0165914623765184</v>
      </c>
      <c r="D1331" s="8">
        <v>0.000106430214139905</v>
      </c>
      <c r="E1331" s="8">
        <v>0.976</v>
      </c>
      <c r="F1331" s="9">
        <f t="shared" si="140"/>
        <v>0.0871736691986914</v>
      </c>
      <c r="G1331" s="9">
        <f t="shared" si="141"/>
        <v>0.0943267408923697</v>
      </c>
      <c r="H1331" s="9">
        <f t="shared" si="142"/>
        <v>0.0959171940766021</v>
      </c>
      <c r="I1331" s="3" t="str">
        <f t="shared" si="143"/>
        <v>2021-04-01</v>
      </c>
      <c r="J1331" s="9">
        <f t="shared" si="144"/>
        <v>0.0878913723466249</v>
      </c>
      <c r="K1331" s="9">
        <f t="shared" si="145"/>
        <v>0.0959776325251237</v>
      </c>
      <c r="L1331" s="9">
        <f t="shared" si="146"/>
        <v>0.0984866616618534</v>
      </c>
    </row>
    <row r="1332" s="3" customFormat="1" ht="12.95" customHeight="1" spans="1:12">
      <c r="A1332" s="10">
        <v>44286</v>
      </c>
      <c r="B1332" s="8">
        <v>0.0975867571559469</v>
      </c>
      <c r="C1332" s="8">
        <v>-0.0164677058711549</v>
      </c>
      <c r="D1332" s="8">
        <v>-7.95309193603194e-5</v>
      </c>
      <c r="E1332" s="8">
        <v>0.996</v>
      </c>
      <c r="F1332" s="9">
        <f t="shared" si="140"/>
        <v>0.0871735877841634</v>
      </c>
      <c r="G1332" s="9">
        <f t="shared" si="141"/>
        <v>0.0943128409647885</v>
      </c>
      <c r="H1332" s="9">
        <f t="shared" si="142"/>
        <v>0.095938727718584</v>
      </c>
      <c r="I1332" s="3" t="str">
        <f t="shared" si="143"/>
        <v>2021-03-01</v>
      </c>
      <c r="J1332" s="9">
        <f t="shared" si="144"/>
        <v>0.0873208942295593</v>
      </c>
      <c r="K1332" s="9">
        <f t="shared" si="145"/>
        <v>0.091200683964914</v>
      </c>
      <c r="L1332" s="9">
        <f t="shared" si="146"/>
        <v>0.0967002992856804</v>
      </c>
    </row>
    <row r="1333" s="3" customFormat="1" ht="12.95" customHeight="1" spans="1:12">
      <c r="A1333" s="10">
        <v>44285</v>
      </c>
      <c r="B1333" s="8">
        <v>0.0976271296095315</v>
      </c>
      <c r="C1333" s="8">
        <v>-0.0153100871203177</v>
      </c>
      <c r="D1333" s="8">
        <v>-3.64580198025624e-5</v>
      </c>
      <c r="E1333" s="8">
        <v>1.316</v>
      </c>
      <c r="F1333" s="9">
        <f t="shared" si="140"/>
        <v>0.0868942930054634</v>
      </c>
      <c r="G1333" s="9">
        <f t="shared" si="141"/>
        <v>0.0936791502262178</v>
      </c>
      <c r="H1333" s="9">
        <f t="shared" si="142"/>
        <v>0.0956085544807234</v>
      </c>
      <c r="I1333" s="3" t="str">
        <f t="shared" si="143"/>
        <v>2021-03-01</v>
      </c>
      <c r="J1333" s="9">
        <f t="shared" si="144"/>
        <v>0.0873208942295593</v>
      </c>
      <c r="K1333" s="9">
        <f t="shared" si="145"/>
        <v>0.091200683964914</v>
      </c>
      <c r="L1333" s="9">
        <f t="shared" si="146"/>
        <v>0.0967002992856804</v>
      </c>
    </row>
    <row r="1334" s="3" customFormat="1" ht="12.95" customHeight="1" spans="1:12">
      <c r="A1334" s="10">
        <v>44284</v>
      </c>
      <c r="B1334" s="8">
        <v>0.109284922286939</v>
      </c>
      <c r="C1334" s="8">
        <v>-0.0233824932862351</v>
      </c>
      <c r="D1334" s="8">
        <v>-0.00972528494696007</v>
      </c>
      <c r="E1334" s="8">
        <v>5</v>
      </c>
      <c r="F1334" s="9">
        <f t="shared" si="140"/>
        <v>0.0872402020174992</v>
      </c>
      <c r="G1334" s="9">
        <f t="shared" si="141"/>
        <v>0.0919345474001204</v>
      </c>
      <c r="H1334" s="9">
        <f t="shared" si="142"/>
        <v>0.0962875326354573</v>
      </c>
      <c r="I1334" s="3" t="str">
        <f t="shared" si="143"/>
        <v>2021-03-01</v>
      </c>
      <c r="J1334" s="9">
        <f t="shared" si="144"/>
        <v>0.0873208942295593</v>
      </c>
      <c r="K1334" s="9">
        <f t="shared" si="145"/>
        <v>0.091200683964914</v>
      </c>
      <c r="L1334" s="9">
        <f t="shared" si="146"/>
        <v>0.0967002992856804</v>
      </c>
    </row>
    <row r="1335" s="3" customFormat="1" ht="12.95" customHeight="1" spans="1:12">
      <c r="A1335" s="10">
        <v>44281</v>
      </c>
      <c r="B1335" s="8">
        <v>0.101064267168262</v>
      </c>
      <c r="C1335" s="8">
        <v>-0.00985338711487781</v>
      </c>
      <c r="D1335" s="8">
        <v>-0.0299168639284119</v>
      </c>
      <c r="E1335" s="8">
        <v>1.096</v>
      </c>
      <c r="F1335" s="9">
        <f t="shared" si="140"/>
        <v>0.0869924553350528</v>
      </c>
      <c r="G1335" s="9">
        <f t="shared" si="141"/>
        <v>0.0927499993354413</v>
      </c>
      <c r="H1335" s="9">
        <f t="shared" si="142"/>
        <v>0.0967091839839426</v>
      </c>
      <c r="I1335" s="3" t="str">
        <f t="shared" si="143"/>
        <v>2021-03-01</v>
      </c>
      <c r="J1335" s="9">
        <f t="shared" si="144"/>
        <v>0.0873208942295593</v>
      </c>
      <c r="K1335" s="9">
        <f t="shared" si="145"/>
        <v>0.091200683964914</v>
      </c>
      <c r="L1335" s="9">
        <f t="shared" si="146"/>
        <v>0.0967002992856804</v>
      </c>
    </row>
    <row r="1336" s="3" customFormat="1" ht="12.95" customHeight="1" spans="1:12">
      <c r="A1336" s="10">
        <v>44280</v>
      </c>
      <c r="B1336" s="8">
        <v>0.102605110139126</v>
      </c>
      <c r="C1336" s="8">
        <v>-0.011394230085742</v>
      </c>
      <c r="D1336" s="8">
        <v>-0.0327911893150614</v>
      </c>
      <c r="E1336" s="8">
        <v>1.276</v>
      </c>
      <c r="F1336" s="9">
        <f t="shared" si="140"/>
        <v>0.0869504703179779</v>
      </c>
      <c r="G1336" s="9">
        <f t="shared" si="141"/>
        <v>0.0922046513651699</v>
      </c>
      <c r="H1336" s="9">
        <f t="shared" si="142"/>
        <v>0.0969822246251678</v>
      </c>
      <c r="I1336" s="3" t="str">
        <f t="shared" si="143"/>
        <v>2021-03-01</v>
      </c>
      <c r="J1336" s="9">
        <f t="shared" si="144"/>
        <v>0.0873208942295593</v>
      </c>
      <c r="K1336" s="9">
        <f t="shared" si="145"/>
        <v>0.091200683964914</v>
      </c>
      <c r="L1336" s="9">
        <f t="shared" si="146"/>
        <v>0.0967002992856804</v>
      </c>
    </row>
    <row r="1337" s="3" customFormat="1" ht="12.95" customHeight="1" spans="1:12">
      <c r="A1337" s="10">
        <v>44274</v>
      </c>
      <c r="B1337" s="8">
        <v>0.103538723421493</v>
      </c>
      <c r="C1337" s="8">
        <v>-0.0109595421284002</v>
      </c>
      <c r="D1337" s="8">
        <v>-0.038647609837261</v>
      </c>
      <c r="E1337" s="8">
        <v>1.136</v>
      </c>
      <c r="F1337" s="9">
        <f t="shared" si="140"/>
        <v>0.0865788304966226</v>
      </c>
      <c r="G1337" s="9">
        <f t="shared" si="141"/>
        <v>0.0928799805217374</v>
      </c>
      <c r="H1337" s="9">
        <f t="shared" si="142"/>
        <v>0.0979100070921844</v>
      </c>
      <c r="I1337" s="3" t="str">
        <f t="shared" si="143"/>
        <v>2021-03-01</v>
      </c>
      <c r="J1337" s="9">
        <f t="shared" si="144"/>
        <v>0.0873208942295593</v>
      </c>
      <c r="K1337" s="9">
        <f t="shared" si="145"/>
        <v>0.091200683964914</v>
      </c>
      <c r="L1337" s="9">
        <f t="shared" si="146"/>
        <v>0.0967002992856804</v>
      </c>
    </row>
    <row r="1338" s="3" customFormat="1" ht="12.95" customHeight="1" spans="1:12">
      <c r="A1338" s="10">
        <v>44273</v>
      </c>
      <c r="B1338" s="8">
        <v>0.106016665445922</v>
      </c>
      <c r="C1338" s="8">
        <v>-0.0155363123175479</v>
      </c>
      <c r="D1338" s="8">
        <v>-0.0362093814420797</v>
      </c>
      <c r="E1338" s="8">
        <v>1.556</v>
      </c>
      <c r="F1338" s="9">
        <f t="shared" si="140"/>
        <v>0.0868846015332947</v>
      </c>
      <c r="G1338" s="9">
        <f t="shared" si="141"/>
        <v>0.0920174689759764</v>
      </c>
      <c r="H1338" s="9">
        <f t="shared" si="142"/>
        <v>0.0980366375856696</v>
      </c>
      <c r="I1338" s="3" t="str">
        <f t="shared" si="143"/>
        <v>2021-03-01</v>
      </c>
      <c r="J1338" s="9">
        <f t="shared" si="144"/>
        <v>0.0873208942295593</v>
      </c>
      <c r="K1338" s="9">
        <f t="shared" si="145"/>
        <v>0.091200683964914</v>
      </c>
      <c r="L1338" s="9">
        <f t="shared" si="146"/>
        <v>0.0967002992856804</v>
      </c>
    </row>
    <row r="1339" s="3" customFormat="1" ht="12.95" customHeight="1" spans="1:12">
      <c r="A1339" s="10">
        <v>44272</v>
      </c>
      <c r="B1339" s="8">
        <v>0.107918451656003</v>
      </c>
      <c r="C1339" s="8">
        <v>-0.016616293249217</v>
      </c>
      <c r="D1339" s="8">
        <v>-0.040588759488965</v>
      </c>
      <c r="E1339" s="8">
        <v>1.976</v>
      </c>
      <c r="F1339" s="9">
        <f t="shared" si="140"/>
        <v>0.0874959637313155</v>
      </c>
      <c r="G1339" s="9">
        <f t="shared" si="141"/>
        <v>0.0903433279289421</v>
      </c>
      <c r="H1339" s="9">
        <f t="shared" si="142"/>
        <v>0.0969437801631104</v>
      </c>
      <c r="I1339" s="3" t="str">
        <f t="shared" si="143"/>
        <v>2021-03-01</v>
      </c>
      <c r="J1339" s="9">
        <f t="shared" si="144"/>
        <v>0.0873208942295593</v>
      </c>
      <c r="K1339" s="9">
        <f t="shared" si="145"/>
        <v>0.091200683964914</v>
      </c>
      <c r="L1339" s="9">
        <f t="shared" si="146"/>
        <v>0.0967002992856804</v>
      </c>
    </row>
    <row r="1340" s="3" customFormat="1" ht="12.95" customHeight="1" spans="1:12">
      <c r="A1340" s="10">
        <v>44271</v>
      </c>
      <c r="B1340" s="8">
        <v>0.114647014941907</v>
      </c>
      <c r="C1340" s="8">
        <v>-0.0250805715828636</v>
      </c>
      <c r="D1340" s="8">
        <v>-0.0418048976464255</v>
      </c>
      <c r="E1340" s="8">
        <v>3</v>
      </c>
      <c r="F1340" s="9">
        <f t="shared" si="140"/>
        <v>0.0877217241286522</v>
      </c>
      <c r="G1340" s="9">
        <f t="shared" si="141"/>
        <v>0.0899914786419178</v>
      </c>
      <c r="H1340" s="9">
        <f t="shared" si="142"/>
        <v>0.0967885433489355</v>
      </c>
      <c r="I1340" s="3" t="str">
        <f t="shared" si="143"/>
        <v>2021-03-01</v>
      </c>
      <c r="J1340" s="9">
        <f t="shared" si="144"/>
        <v>0.0873208942295593</v>
      </c>
      <c r="K1340" s="9">
        <f t="shared" si="145"/>
        <v>0.091200683964914</v>
      </c>
      <c r="L1340" s="9">
        <f t="shared" si="146"/>
        <v>0.0967002992856804</v>
      </c>
    </row>
    <row r="1341" s="3" customFormat="1" ht="12.95" customHeight="1" spans="1:12">
      <c r="A1341" s="10">
        <v>44270</v>
      </c>
      <c r="B1341" s="8">
        <v>0.111497324767264</v>
      </c>
      <c r="C1341" s="8">
        <v>-0.0211996867864833</v>
      </c>
      <c r="D1341" s="8">
        <v>-0.0411061009558675</v>
      </c>
      <c r="E1341" s="8">
        <v>2.5</v>
      </c>
      <c r="F1341" s="9">
        <f t="shared" si="140"/>
        <v>0.0876991451658181</v>
      </c>
      <c r="G1341" s="9">
        <f t="shared" si="141"/>
        <v>0.0901236224273994</v>
      </c>
      <c r="H1341" s="9">
        <f t="shared" si="142"/>
        <v>0.0969590549101496</v>
      </c>
      <c r="I1341" s="3" t="str">
        <f t="shared" si="143"/>
        <v>2021-03-01</v>
      </c>
      <c r="J1341" s="9">
        <f t="shared" si="144"/>
        <v>0.0873208942295593</v>
      </c>
      <c r="K1341" s="9">
        <f t="shared" si="145"/>
        <v>0.091200683964914</v>
      </c>
      <c r="L1341" s="9">
        <f t="shared" si="146"/>
        <v>0.0967002992856804</v>
      </c>
    </row>
    <row r="1342" s="3" customFormat="1" ht="12.95" customHeight="1" spans="1:12">
      <c r="A1342" s="10">
        <v>44267</v>
      </c>
      <c r="B1342" s="8">
        <v>0.115679830974272</v>
      </c>
      <c r="C1342" s="8">
        <v>-0.0253821929934918</v>
      </c>
      <c r="D1342" s="8">
        <v>-0.0453123438439331</v>
      </c>
      <c r="E1342" s="8">
        <v>3</v>
      </c>
      <c r="F1342" s="9">
        <f t="shared" si="140"/>
        <v>0.0880284809732421</v>
      </c>
      <c r="G1342" s="9">
        <f t="shared" si="141"/>
        <v>0.0898329890888173</v>
      </c>
      <c r="H1342" s="9">
        <f t="shared" si="142"/>
        <v>0.096844529106929</v>
      </c>
      <c r="I1342" s="3" t="str">
        <f t="shared" si="143"/>
        <v>2021-03-01</v>
      </c>
      <c r="J1342" s="9">
        <f t="shared" si="144"/>
        <v>0.0873208942295593</v>
      </c>
      <c r="K1342" s="9">
        <f t="shared" si="145"/>
        <v>0.091200683964914</v>
      </c>
      <c r="L1342" s="9">
        <f t="shared" si="146"/>
        <v>0.0967002992856804</v>
      </c>
    </row>
    <row r="1343" s="3" customFormat="1" ht="12.95" customHeight="1" spans="1:12">
      <c r="A1343" s="10">
        <v>44266</v>
      </c>
      <c r="B1343" s="8">
        <v>0.124473806068229</v>
      </c>
      <c r="C1343" s="8">
        <v>-0.0364629287455156</v>
      </c>
      <c r="D1343" s="8">
        <v>-0.045220978540626</v>
      </c>
      <c r="E1343" s="8">
        <v>4.5</v>
      </c>
      <c r="F1343" s="9">
        <f t="shared" si="140"/>
        <v>0.08743947120638</v>
      </c>
      <c r="G1343" s="9">
        <f t="shared" si="141"/>
        <v>0.0900455110939014</v>
      </c>
      <c r="H1343" s="9">
        <f t="shared" si="142"/>
        <v>0.0965999214448106</v>
      </c>
      <c r="I1343" s="3" t="str">
        <f t="shared" si="143"/>
        <v>2021-03-01</v>
      </c>
      <c r="J1343" s="9">
        <f t="shared" si="144"/>
        <v>0.0873208942295593</v>
      </c>
      <c r="K1343" s="9">
        <f t="shared" si="145"/>
        <v>0.091200683964914</v>
      </c>
      <c r="L1343" s="9">
        <f t="shared" si="146"/>
        <v>0.0967002992856804</v>
      </c>
    </row>
    <row r="1344" s="3" customFormat="1" ht="12.95" customHeight="1" spans="1:12">
      <c r="A1344" s="10">
        <v>44265</v>
      </c>
      <c r="B1344" s="8">
        <v>0.121720225252272</v>
      </c>
      <c r="C1344" s="8">
        <v>-0.0353590596042285</v>
      </c>
      <c r="D1344" s="8">
        <v>-0.0335925976316088</v>
      </c>
      <c r="E1344" s="8">
        <v>5</v>
      </c>
      <c r="F1344" s="9">
        <f t="shared" si="140"/>
        <v>0.0867294431032179</v>
      </c>
      <c r="G1344" s="9">
        <f t="shared" si="141"/>
        <v>0.0904924911924127</v>
      </c>
      <c r="H1344" s="9">
        <f t="shared" si="142"/>
        <v>0.0964564563803036</v>
      </c>
      <c r="I1344" s="3" t="str">
        <f t="shared" si="143"/>
        <v>2021-03-01</v>
      </c>
      <c r="J1344" s="9">
        <f t="shared" si="144"/>
        <v>0.0873208942295593</v>
      </c>
      <c r="K1344" s="9">
        <f t="shared" si="145"/>
        <v>0.091200683964914</v>
      </c>
      <c r="L1344" s="9">
        <f t="shared" si="146"/>
        <v>0.0967002992856804</v>
      </c>
    </row>
    <row r="1345" s="3" customFormat="1" ht="12.95" customHeight="1" spans="1:12">
      <c r="A1345" s="10">
        <v>44264</v>
      </c>
      <c r="B1345" s="8">
        <v>0.116516915580675</v>
      </c>
      <c r="C1345" s="8">
        <v>-0.0316244485627126</v>
      </c>
      <c r="D1345" s="8">
        <v>-0.0214752010497525</v>
      </c>
      <c r="E1345" s="8">
        <v>5</v>
      </c>
      <c r="F1345" s="9">
        <f t="shared" si="140"/>
        <v>0.085972655623267</v>
      </c>
      <c r="G1345" s="9">
        <f t="shared" si="141"/>
        <v>0.0908518203552703</v>
      </c>
      <c r="H1345" s="9">
        <f t="shared" si="142"/>
        <v>0.0964665712511078</v>
      </c>
      <c r="I1345" s="3" t="str">
        <f t="shared" si="143"/>
        <v>2021-03-01</v>
      </c>
      <c r="J1345" s="9">
        <f t="shared" si="144"/>
        <v>0.0873208942295593</v>
      </c>
      <c r="K1345" s="9">
        <f t="shared" si="145"/>
        <v>0.091200683964914</v>
      </c>
      <c r="L1345" s="9">
        <f t="shared" si="146"/>
        <v>0.0967002992856804</v>
      </c>
    </row>
    <row r="1346" s="3" customFormat="1" ht="12.95" customHeight="1" spans="1:12">
      <c r="A1346" s="10">
        <v>44260</v>
      </c>
      <c r="B1346" s="8">
        <v>0.126162768994494</v>
      </c>
      <c r="C1346" s="8">
        <v>-0.0389764073155777</v>
      </c>
      <c r="D1346" s="8">
        <v>-0.0433532035317878</v>
      </c>
      <c r="E1346" s="8">
        <v>5</v>
      </c>
      <c r="F1346" s="9">
        <f t="shared" si="140"/>
        <v>0.0870382371819938</v>
      </c>
      <c r="G1346" s="9">
        <f t="shared" si="141"/>
        <v>0.0900692816657855</v>
      </c>
      <c r="H1346" s="9">
        <f t="shared" si="142"/>
        <v>0.0964362322513944</v>
      </c>
      <c r="I1346" s="3" t="str">
        <f t="shared" si="143"/>
        <v>2021-03-01</v>
      </c>
      <c r="J1346" s="9">
        <f t="shared" si="144"/>
        <v>0.0873208942295593</v>
      </c>
      <c r="K1346" s="9">
        <f t="shared" si="145"/>
        <v>0.091200683964914</v>
      </c>
      <c r="L1346" s="9">
        <f t="shared" si="146"/>
        <v>0.0967002992856804</v>
      </c>
    </row>
    <row r="1347" s="3" customFormat="1" ht="12.95" customHeight="1" spans="1:12">
      <c r="A1347" s="10">
        <v>44259</v>
      </c>
      <c r="B1347" s="8">
        <v>0.119294813138988</v>
      </c>
      <c r="C1347" s="8">
        <v>-0.0334841567258771</v>
      </c>
      <c r="D1347" s="8">
        <v>-0.0282328571711254</v>
      </c>
      <c r="E1347" s="8">
        <v>5</v>
      </c>
      <c r="F1347" s="9">
        <f t="shared" si="140"/>
        <v>0.0864729383953197</v>
      </c>
      <c r="G1347" s="9">
        <f t="shared" si="141"/>
        <v>0.0906685075439717</v>
      </c>
      <c r="H1347" s="9">
        <f t="shared" si="142"/>
        <v>0.0964334526904542</v>
      </c>
      <c r="I1347" s="3" t="str">
        <f t="shared" si="143"/>
        <v>2021-03-01</v>
      </c>
      <c r="J1347" s="9">
        <f t="shared" si="144"/>
        <v>0.0873208942295593</v>
      </c>
      <c r="K1347" s="9">
        <f t="shared" si="145"/>
        <v>0.091200683964914</v>
      </c>
      <c r="L1347" s="9">
        <f t="shared" si="146"/>
        <v>0.0967002992856804</v>
      </c>
    </row>
    <row r="1348" s="3" customFormat="1" ht="12.95" customHeight="1" spans="1:12">
      <c r="A1348" s="10">
        <v>44258</v>
      </c>
      <c r="B1348" s="8">
        <v>0.123927927257186</v>
      </c>
      <c r="C1348" s="8">
        <v>-0.0348187521854098</v>
      </c>
      <c r="D1348" s="8">
        <v>-0.0463911135499789</v>
      </c>
      <c r="E1348" s="8">
        <v>4.5</v>
      </c>
      <c r="F1348" s="9">
        <f t="shared" si="140"/>
        <v>0.0882556276411659</v>
      </c>
      <c r="G1348" s="9">
        <f t="shared" si="141"/>
        <v>0.0901710238794099</v>
      </c>
      <c r="H1348" s="9">
        <f t="shared" si="142"/>
        <v>0.0963710496238716</v>
      </c>
      <c r="I1348" s="3" t="str">
        <f t="shared" si="143"/>
        <v>2021-03-01</v>
      </c>
      <c r="J1348" s="9">
        <f t="shared" si="144"/>
        <v>0.0873208942295593</v>
      </c>
      <c r="K1348" s="9">
        <f t="shared" si="145"/>
        <v>0.091200683964914</v>
      </c>
      <c r="L1348" s="9">
        <f t="shared" si="146"/>
        <v>0.0967002992856804</v>
      </c>
    </row>
    <row r="1349" s="3" customFormat="1" ht="12.95" customHeight="1" spans="1:12">
      <c r="A1349" s="10">
        <v>44257</v>
      </c>
      <c r="B1349" s="8">
        <v>0.107957791476715</v>
      </c>
      <c r="C1349" s="8">
        <v>-0.0141942616645518</v>
      </c>
      <c r="D1349" s="8">
        <v>-0.0437523047719902</v>
      </c>
      <c r="E1349" s="8">
        <v>2</v>
      </c>
      <c r="F1349" s="9">
        <f t="shared" ref="F1349:F1412" si="147">B1349+(C1349+D1349)*(E1349/$F$3)*(1-EXP(-$F$3/E1349))-D1349*EXP(-$F$3/E1349)</f>
        <v>0.0888945112186099</v>
      </c>
      <c r="G1349" s="9">
        <f t="shared" ref="G1349:G1412" si="148">B1349+(C1349+D1349)*(E1349/$G$3)*(1-EXP(-$G$3/E1349))-D1349*EXP(-$G$3/E1349)</f>
        <v>0.0902731903095807</v>
      </c>
      <c r="H1349" s="9">
        <f t="shared" ref="H1349:H1412" si="149">B1349+(C1349+D1349)*(E1349/$H$3)*(1-EXP(-$H$3/E1349))-D1349*EXP(-$H$3/E1349)</f>
        <v>0.0967413670787338</v>
      </c>
      <c r="I1349" s="3" t="str">
        <f t="shared" ref="I1349:I1412" si="150">TEXT(A1349,"yyyy-mm-01")</f>
        <v>2021-03-01</v>
      </c>
      <c r="J1349" s="9">
        <f t="shared" ref="J1349:J1412" si="151">AVERAGEIF($I:$I,I1349,$F:$F)</f>
        <v>0.0873208942295593</v>
      </c>
      <c r="K1349" s="9">
        <f t="shared" ref="K1349:K1412" si="152">AVERAGEIF($I:$I,I1349,$G:$G)</f>
        <v>0.091200683964914</v>
      </c>
      <c r="L1349" s="9">
        <f t="shared" ref="L1349:L1412" si="153">AVERAGEIF($I:$I,I1349,$H:$H)</f>
        <v>0.0967002992856804</v>
      </c>
    </row>
    <row r="1350" s="3" customFormat="1" ht="12.95" customHeight="1" spans="1:12">
      <c r="A1350" s="10">
        <v>44256</v>
      </c>
      <c r="B1350" s="8">
        <v>0.107161542961795</v>
      </c>
      <c r="C1350" s="8">
        <v>-0.0123969665173723</v>
      </c>
      <c r="D1350" s="8">
        <v>-0.0465555860020545</v>
      </c>
      <c r="E1350" s="8">
        <v>1.796</v>
      </c>
      <c r="F1350" s="9">
        <f t="shared" si="147"/>
        <v>0.0886343515025712</v>
      </c>
      <c r="G1350" s="9">
        <f t="shared" si="148"/>
        <v>0.0901711124165046</v>
      </c>
      <c r="H1350" s="9">
        <f t="shared" si="149"/>
        <v>0.0967918600563983</v>
      </c>
      <c r="I1350" s="3" t="str">
        <f t="shared" si="150"/>
        <v>2021-03-01</v>
      </c>
      <c r="J1350" s="9">
        <f t="shared" si="151"/>
        <v>0.0873208942295593</v>
      </c>
      <c r="K1350" s="9">
        <f t="shared" si="152"/>
        <v>0.091200683964914</v>
      </c>
      <c r="L1350" s="9">
        <f t="shared" si="153"/>
        <v>0.0967002992856804</v>
      </c>
    </row>
    <row r="1351" s="3" customFormat="1" ht="12.95" customHeight="1" spans="1:12">
      <c r="A1351" s="10">
        <v>44253</v>
      </c>
      <c r="B1351" s="8">
        <v>0.0985744361036067</v>
      </c>
      <c r="C1351" s="8">
        <v>-0.00362795879465335</v>
      </c>
      <c r="D1351" s="8">
        <v>-0.0228635205732614</v>
      </c>
      <c r="E1351" s="8">
        <v>0.836</v>
      </c>
      <c r="F1351" s="9">
        <f t="shared" si="147"/>
        <v>0.0900364222742042</v>
      </c>
      <c r="G1351" s="9">
        <f t="shared" si="148"/>
        <v>0.094214020329489</v>
      </c>
      <c r="H1351" s="9">
        <f t="shared" si="149"/>
        <v>0.0963599085266434</v>
      </c>
      <c r="I1351" s="3" t="str">
        <f t="shared" si="150"/>
        <v>2021-02-01</v>
      </c>
      <c r="J1351" s="9">
        <f t="shared" si="151"/>
        <v>0.0924097236233504</v>
      </c>
      <c r="K1351" s="9">
        <f t="shared" si="152"/>
        <v>0.0928531809993428</v>
      </c>
      <c r="L1351" s="9">
        <f t="shared" si="153"/>
        <v>0.0931404755783237</v>
      </c>
    </row>
    <row r="1352" s="3" customFormat="1" ht="12.95" customHeight="1" spans="1:12">
      <c r="A1352" s="10">
        <v>44252</v>
      </c>
      <c r="B1352" s="8">
        <v>0.101576878813055</v>
      </c>
      <c r="C1352" s="8">
        <v>-0.0102747204062693</v>
      </c>
      <c r="D1352" s="8">
        <v>-0.0157430249340493</v>
      </c>
      <c r="E1352" s="8">
        <v>2</v>
      </c>
      <c r="F1352" s="9">
        <f t="shared" si="147"/>
        <v>0.0906511359225366</v>
      </c>
      <c r="G1352" s="9">
        <f t="shared" si="148"/>
        <v>0.0933163134931578</v>
      </c>
      <c r="H1352" s="9">
        <f t="shared" si="149"/>
        <v>0.0965144666504299</v>
      </c>
      <c r="I1352" s="3" t="str">
        <f t="shared" si="150"/>
        <v>2021-02-01</v>
      </c>
      <c r="J1352" s="9">
        <f t="shared" si="151"/>
        <v>0.0924097236233504</v>
      </c>
      <c r="K1352" s="9">
        <f t="shared" si="152"/>
        <v>0.0928531809993428</v>
      </c>
      <c r="L1352" s="9">
        <f t="shared" si="153"/>
        <v>0.0931404755783237</v>
      </c>
    </row>
    <row r="1353" s="3" customFormat="1" ht="12.95" customHeight="1" spans="1:12">
      <c r="A1353" s="10">
        <v>44251</v>
      </c>
      <c r="B1353" s="8">
        <v>0.095874461149546</v>
      </c>
      <c r="C1353" s="8">
        <v>-0.0105227940500424</v>
      </c>
      <c r="D1353" s="8">
        <v>0.000272817963641588</v>
      </c>
      <c r="E1353" s="8">
        <v>0.616</v>
      </c>
      <c r="F1353" s="9">
        <f t="shared" si="147"/>
        <v>0.0907519849534563</v>
      </c>
      <c r="G1353" s="9">
        <f t="shared" si="148"/>
        <v>0.0946119595623553</v>
      </c>
      <c r="H1353" s="9">
        <f t="shared" si="149"/>
        <v>0.0952430626545649</v>
      </c>
      <c r="I1353" s="3" t="str">
        <f t="shared" si="150"/>
        <v>2021-02-01</v>
      </c>
      <c r="J1353" s="9">
        <f t="shared" si="151"/>
        <v>0.0924097236233504</v>
      </c>
      <c r="K1353" s="9">
        <f t="shared" si="152"/>
        <v>0.0928531809993428</v>
      </c>
      <c r="L1353" s="9">
        <f t="shared" si="153"/>
        <v>0.0931404755783237</v>
      </c>
    </row>
    <row r="1354" s="3" customFormat="1" ht="12.95" customHeight="1" spans="1:12">
      <c r="A1354" s="10">
        <v>44250</v>
      </c>
      <c r="B1354" s="8">
        <v>0.0926733306861631</v>
      </c>
      <c r="C1354" s="8">
        <v>-0.00934372309915897</v>
      </c>
      <c r="D1354" s="8">
        <v>0.00618321673433614</v>
      </c>
      <c r="E1354" s="8">
        <v>0.076</v>
      </c>
      <c r="F1354" s="9">
        <f t="shared" si="147"/>
        <v>0.0924331207313122</v>
      </c>
      <c r="G1354" s="9">
        <f t="shared" si="148"/>
        <v>0.0926252909894178</v>
      </c>
      <c r="H1354" s="9">
        <f t="shared" si="149"/>
        <v>0.0926493108377904</v>
      </c>
      <c r="I1354" s="3" t="str">
        <f t="shared" si="150"/>
        <v>2021-02-01</v>
      </c>
      <c r="J1354" s="9">
        <f t="shared" si="151"/>
        <v>0.0924097236233504</v>
      </c>
      <c r="K1354" s="9">
        <f t="shared" si="152"/>
        <v>0.0928531809993428</v>
      </c>
      <c r="L1354" s="9">
        <f t="shared" si="153"/>
        <v>0.0931404755783237</v>
      </c>
    </row>
    <row r="1355" s="3" customFormat="1" ht="12.95" customHeight="1" spans="1:12">
      <c r="A1355" s="10">
        <v>44249</v>
      </c>
      <c r="B1355" s="8">
        <v>0.0930107962557303</v>
      </c>
      <c r="C1355" s="8">
        <v>-0.0114669497287759</v>
      </c>
      <c r="D1355" s="8">
        <v>0.0113636335914106</v>
      </c>
      <c r="E1355" s="8">
        <v>0.076</v>
      </c>
      <c r="F1355" s="9">
        <f t="shared" si="147"/>
        <v>0.093002922310532</v>
      </c>
      <c r="G1355" s="9">
        <f t="shared" si="148"/>
        <v>0.0930092258504424</v>
      </c>
      <c r="H1355" s="9">
        <f t="shared" si="149"/>
        <v>0.0930100110530863</v>
      </c>
      <c r="I1355" s="3" t="str">
        <f t="shared" si="150"/>
        <v>2021-02-01</v>
      </c>
      <c r="J1355" s="9">
        <f t="shared" si="151"/>
        <v>0.0924097236233504</v>
      </c>
      <c r="K1355" s="9">
        <f t="shared" si="152"/>
        <v>0.0928531809993428</v>
      </c>
      <c r="L1355" s="9">
        <f t="shared" si="153"/>
        <v>0.0931404755783237</v>
      </c>
    </row>
    <row r="1356" s="3" customFormat="1" ht="12.95" customHeight="1" spans="1:12">
      <c r="A1356" s="10">
        <v>44246</v>
      </c>
      <c r="B1356" s="8">
        <v>0.092881512612632</v>
      </c>
      <c r="C1356" s="8">
        <v>-0.0113015256202092</v>
      </c>
      <c r="D1356" s="8">
        <v>0.0116820037486682</v>
      </c>
      <c r="E1356" s="8">
        <v>0.076</v>
      </c>
      <c r="F1356" s="9">
        <f t="shared" si="147"/>
        <v>0.0929104063461533</v>
      </c>
      <c r="G1356" s="9">
        <f t="shared" si="148"/>
        <v>0.0928872958801846</v>
      </c>
      <c r="H1356" s="9">
        <f t="shared" si="149"/>
        <v>0.0928844042464083</v>
      </c>
      <c r="I1356" s="3" t="str">
        <f t="shared" si="150"/>
        <v>2021-02-01</v>
      </c>
      <c r="J1356" s="9">
        <f t="shared" si="151"/>
        <v>0.0924097236233504</v>
      </c>
      <c r="K1356" s="9">
        <f t="shared" si="152"/>
        <v>0.0928531809993428</v>
      </c>
      <c r="L1356" s="9">
        <f t="shared" si="153"/>
        <v>0.0931404755783237</v>
      </c>
    </row>
    <row r="1357" s="3" customFormat="1" ht="12.95" customHeight="1" spans="1:12">
      <c r="A1357" s="10">
        <v>44245</v>
      </c>
      <c r="B1357" s="8">
        <v>0.0923526559477402</v>
      </c>
      <c r="C1357" s="8">
        <v>-0.0102619864932509</v>
      </c>
      <c r="D1357" s="8">
        <v>0.0128478299291398</v>
      </c>
      <c r="E1357" s="8">
        <v>0.076</v>
      </c>
      <c r="F1357" s="9">
        <f t="shared" si="147"/>
        <v>0.0925491548708521</v>
      </c>
      <c r="G1357" s="9">
        <f t="shared" si="148"/>
        <v>0.0923919607679657</v>
      </c>
      <c r="H1357" s="9">
        <f t="shared" si="149"/>
        <v>0.092372308357853</v>
      </c>
      <c r="I1357" s="3" t="str">
        <f t="shared" si="150"/>
        <v>2021-02-01</v>
      </c>
      <c r="J1357" s="9">
        <f t="shared" si="151"/>
        <v>0.0924097236233504</v>
      </c>
      <c r="K1357" s="9">
        <f t="shared" si="152"/>
        <v>0.0928531809993428</v>
      </c>
      <c r="L1357" s="9">
        <f t="shared" si="153"/>
        <v>0.0931404755783237</v>
      </c>
    </row>
    <row r="1358" s="3" customFormat="1" ht="12.95" customHeight="1" spans="1:12">
      <c r="A1358" s="10">
        <v>44244</v>
      </c>
      <c r="B1358" s="8">
        <v>0.0923628366918463</v>
      </c>
      <c r="C1358" s="8">
        <v>-0.00996206223759018</v>
      </c>
      <c r="D1358" s="8">
        <v>0.0122101494798529</v>
      </c>
      <c r="E1358" s="8">
        <v>0.076</v>
      </c>
      <c r="F1358" s="9">
        <f t="shared" si="147"/>
        <v>0.0925336674246306</v>
      </c>
      <c r="G1358" s="9">
        <f t="shared" si="148"/>
        <v>0.0923970076179287</v>
      </c>
      <c r="H1358" s="9">
        <f t="shared" si="149"/>
        <v>0.0923799221548875</v>
      </c>
      <c r="I1358" s="3" t="str">
        <f t="shared" si="150"/>
        <v>2021-02-01</v>
      </c>
      <c r="J1358" s="9">
        <f t="shared" si="151"/>
        <v>0.0924097236233504</v>
      </c>
      <c r="K1358" s="9">
        <f t="shared" si="152"/>
        <v>0.0928531809993428</v>
      </c>
      <c r="L1358" s="9">
        <f t="shared" si="153"/>
        <v>0.0931404755783237</v>
      </c>
    </row>
    <row r="1359" s="3" customFormat="1" ht="12.95" customHeight="1" spans="1:12">
      <c r="A1359" s="10">
        <v>44243</v>
      </c>
      <c r="B1359" s="8">
        <v>0.092545702950486</v>
      </c>
      <c r="C1359" s="8">
        <v>-0.0101234310819294</v>
      </c>
      <c r="D1359" s="8">
        <v>0.0117187071316425</v>
      </c>
      <c r="E1359" s="8">
        <v>0.076</v>
      </c>
      <c r="F1359" s="9">
        <f t="shared" si="147"/>
        <v>0.0926669210769747</v>
      </c>
      <c r="G1359" s="9">
        <f t="shared" si="148"/>
        <v>0.0925699511464416</v>
      </c>
      <c r="H1359" s="9">
        <f t="shared" si="149"/>
        <v>0.0925578270484638</v>
      </c>
      <c r="I1359" s="3" t="str">
        <f t="shared" si="150"/>
        <v>2021-02-01</v>
      </c>
      <c r="J1359" s="9">
        <f t="shared" si="151"/>
        <v>0.0924097236233504</v>
      </c>
      <c r="K1359" s="9">
        <f t="shared" si="152"/>
        <v>0.0928531809993428</v>
      </c>
      <c r="L1359" s="9">
        <f t="shared" si="153"/>
        <v>0.0931404755783237</v>
      </c>
    </row>
    <row r="1360" s="3" customFormat="1" ht="12.95" customHeight="1" spans="1:12">
      <c r="A1360" s="10">
        <v>44242</v>
      </c>
      <c r="B1360" s="8">
        <v>0.0926212255654526</v>
      </c>
      <c r="C1360" s="8">
        <v>-0.00976010693222488</v>
      </c>
      <c r="D1360" s="8">
        <v>0.0108444743743432</v>
      </c>
      <c r="E1360" s="8">
        <v>0.076</v>
      </c>
      <c r="F1360" s="9">
        <f t="shared" si="147"/>
        <v>0.0927036164001422</v>
      </c>
      <c r="G1360" s="9">
        <f t="shared" si="148"/>
        <v>0.0926377079505728</v>
      </c>
      <c r="H1360" s="9">
        <f t="shared" si="149"/>
        <v>0.0926294667580127</v>
      </c>
      <c r="I1360" s="3" t="str">
        <f t="shared" si="150"/>
        <v>2021-02-01</v>
      </c>
      <c r="J1360" s="9">
        <f t="shared" si="151"/>
        <v>0.0924097236233504</v>
      </c>
      <c r="K1360" s="9">
        <f t="shared" si="152"/>
        <v>0.0928531809993428</v>
      </c>
      <c r="L1360" s="9">
        <f t="shared" si="153"/>
        <v>0.0931404755783237</v>
      </c>
    </row>
    <row r="1361" s="3" customFormat="1" ht="12.95" customHeight="1" spans="1:12">
      <c r="A1361" s="10">
        <v>44239</v>
      </c>
      <c r="B1361" s="8">
        <v>0.0926231954174162</v>
      </c>
      <c r="C1361" s="8">
        <v>-0.00975371759512158</v>
      </c>
      <c r="D1361" s="8">
        <v>0.0105797053452475</v>
      </c>
      <c r="E1361" s="8">
        <v>0.076</v>
      </c>
      <c r="F1361" s="9">
        <f t="shared" si="147"/>
        <v>0.0926859499444704</v>
      </c>
      <c r="G1361" s="9">
        <f t="shared" si="148"/>
        <v>0.0926357504312181</v>
      </c>
      <c r="H1361" s="9">
        <f t="shared" si="149"/>
        <v>0.0926294729243172</v>
      </c>
      <c r="I1361" s="3" t="str">
        <f t="shared" si="150"/>
        <v>2021-02-01</v>
      </c>
      <c r="J1361" s="9">
        <f t="shared" si="151"/>
        <v>0.0924097236233504</v>
      </c>
      <c r="K1361" s="9">
        <f t="shared" si="152"/>
        <v>0.0928531809993428</v>
      </c>
      <c r="L1361" s="9">
        <f t="shared" si="153"/>
        <v>0.0931404755783237</v>
      </c>
    </row>
    <row r="1362" s="3" customFormat="1" ht="12.95" customHeight="1" spans="1:12">
      <c r="A1362" s="10">
        <v>44238</v>
      </c>
      <c r="B1362" s="8">
        <v>0.0925436807348006</v>
      </c>
      <c r="C1362" s="8">
        <v>-0.0106872342649684</v>
      </c>
      <c r="D1362" s="8">
        <v>0.0127369271745239</v>
      </c>
      <c r="E1362" s="8">
        <v>0.076</v>
      </c>
      <c r="F1362" s="9">
        <f t="shared" si="147"/>
        <v>0.0926994325106241</v>
      </c>
      <c r="G1362" s="9">
        <f t="shared" si="148"/>
        <v>0.0925748360670258</v>
      </c>
      <c r="H1362" s="9">
        <f t="shared" si="149"/>
        <v>0.0925592584009132</v>
      </c>
      <c r="I1362" s="3" t="str">
        <f t="shared" si="150"/>
        <v>2021-02-01</v>
      </c>
      <c r="J1362" s="9">
        <f t="shared" si="151"/>
        <v>0.0924097236233504</v>
      </c>
      <c r="K1362" s="9">
        <f t="shared" si="152"/>
        <v>0.0928531809993428</v>
      </c>
      <c r="L1362" s="9">
        <f t="shared" si="153"/>
        <v>0.0931404755783237</v>
      </c>
    </row>
    <row r="1363" s="3" customFormat="1" ht="12.95" customHeight="1" spans="1:12">
      <c r="A1363" s="10">
        <v>44237</v>
      </c>
      <c r="B1363" s="8">
        <v>0.092618053636334</v>
      </c>
      <c r="C1363" s="8">
        <v>-0.00960733495821572</v>
      </c>
      <c r="D1363" s="8">
        <v>0.0103440088948984</v>
      </c>
      <c r="E1363" s="8">
        <v>0.076</v>
      </c>
      <c r="F1363" s="9">
        <f t="shared" si="147"/>
        <v>0.092674020781606</v>
      </c>
      <c r="G1363" s="9">
        <f t="shared" si="148"/>
        <v>0.0926292510801716</v>
      </c>
      <c r="H1363" s="9">
        <f t="shared" si="149"/>
        <v>0.0926236523582528</v>
      </c>
      <c r="I1363" s="3" t="str">
        <f t="shared" si="150"/>
        <v>2021-02-01</v>
      </c>
      <c r="J1363" s="9">
        <f t="shared" si="151"/>
        <v>0.0924097236233504</v>
      </c>
      <c r="K1363" s="9">
        <f t="shared" si="152"/>
        <v>0.0928531809993428</v>
      </c>
      <c r="L1363" s="9">
        <f t="shared" si="153"/>
        <v>0.0931404755783237</v>
      </c>
    </row>
    <row r="1364" s="3" customFormat="1" ht="12.95" customHeight="1" spans="1:12">
      <c r="A1364" s="10">
        <v>44236</v>
      </c>
      <c r="B1364" s="8">
        <v>0.0924450946316034</v>
      </c>
      <c r="C1364" s="8">
        <v>-0.00874753561003675</v>
      </c>
      <c r="D1364" s="8">
        <v>0.00956694958107106</v>
      </c>
      <c r="E1364" s="8">
        <v>0.076</v>
      </c>
      <c r="F1364" s="9">
        <f t="shared" si="147"/>
        <v>0.0925073515072169</v>
      </c>
      <c r="G1364" s="9">
        <f t="shared" si="148"/>
        <v>0.0924575497239631</v>
      </c>
      <c r="H1364" s="9">
        <f t="shared" si="149"/>
        <v>0.0924513221777833</v>
      </c>
      <c r="I1364" s="3" t="str">
        <f t="shared" si="150"/>
        <v>2021-02-01</v>
      </c>
      <c r="J1364" s="9">
        <f t="shared" si="151"/>
        <v>0.0924097236233504</v>
      </c>
      <c r="K1364" s="9">
        <f t="shared" si="152"/>
        <v>0.0928531809993428</v>
      </c>
      <c r="L1364" s="9">
        <f t="shared" si="153"/>
        <v>0.0931404755783237</v>
      </c>
    </row>
    <row r="1365" s="3" customFormat="1" ht="12.95" customHeight="1" spans="1:12">
      <c r="A1365" s="10">
        <v>44235</v>
      </c>
      <c r="B1365" s="8">
        <v>0.09249305453397</v>
      </c>
      <c r="C1365" s="8">
        <v>-0.0111896034699352</v>
      </c>
      <c r="D1365" s="8">
        <v>0.0141329299910015</v>
      </c>
      <c r="E1365" s="8">
        <v>0.076</v>
      </c>
      <c r="F1365" s="9">
        <f t="shared" si="147"/>
        <v>0.0927167196386339</v>
      </c>
      <c r="G1365" s="9">
        <f t="shared" si="148"/>
        <v>0.0925377930970902</v>
      </c>
      <c r="H1365" s="9">
        <f t="shared" si="149"/>
        <v>0.0925154238155301</v>
      </c>
      <c r="I1365" s="3" t="str">
        <f t="shared" si="150"/>
        <v>2021-02-01</v>
      </c>
      <c r="J1365" s="9">
        <f t="shared" si="151"/>
        <v>0.0924097236233504</v>
      </c>
      <c r="K1365" s="9">
        <f t="shared" si="152"/>
        <v>0.0928531809993428</v>
      </c>
      <c r="L1365" s="9">
        <f t="shared" si="153"/>
        <v>0.0931404755783237</v>
      </c>
    </row>
    <row r="1366" s="3" customFormat="1" ht="12.95" customHeight="1" spans="1:12">
      <c r="A1366" s="10">
        <v>44232</v>
      </c>
      <c r="B1366" s="8">
        <v>0.0925040483223529</v>
      </c>
      <c r="C1366" s="8">
        <v>-0.0109240613299301</v>
      </c>
      <c r="D1366" s="8">
        <v>0.0136024876885279</v>
      </c>
      <c r="E1366" s="8">
        <v>0.076</v>
      </c>
      <c r="F1366" s="9">
        <f t="shared" si="147"/>
        <v>0.0927075820773803</v>
      </c>
      <c r="G1366" s="9">
        <f t="shared" si="148"/>
        <v>0.0925447604030036</v>
      </c>
      <c r="H1366" s="9">
        <f t="shared" si="149"/>
        <v>0.0925244043626782</v>
      </c>
      <c r="I1366" s="3" t="str">
        <f t="shared" si="150"/>
        <v>2021-02-01</v>
      </c>
      <c r="J1366" s="9">
        <f t="shared" si="151"/>
        <v>0.0924097236233504</v>
      </c>
      <c r="K1366" s="9">
        <f t="shared" si="152"/>
        <v>0.0928531809993428</v>
      </c>
      <c r="L1366" s="9">
        <f t="shared" si="153"/>
        <v>0.0931404755783237</v>
      </c>
    </row>
    <row r="1367" s="3" customFormat="1" ht="12.95" customHeight="1" spans="1:12">
      <c r="A1367" s="10">
        <v>44231</v>
      </c>
      <c r="B1367" s="8">
        <v>0.0925948911555582</v>
      </c>
      <c r="C1367" s="8">
        <v>-0.0123358921309156</v>
      </c>
      <c r="D1367" s="8">
        <v>0.016016790670229</v>
      </c>
      <c r="E1367" s="8">
        <v>0.076</v>
      </c>
      <c r="F1367" s="9">
        <f t="shared" si="147"/>
        <v>0.092874607989212</v>
      </c>
      <c r="G1367" s="9">
        <f t="shared" si="148"/>
        <v>0.0926508408133558</v>
      </c>
      <c r="H1367" s="9">
        <f t="shared" si="149"/>
        <v>0.092622865984457</v>
      </c>
      <c r="I1367" s="3" t="str">
        <f t="shared" si="150"/>
        <v>2021-02-01</v>
      </c>
      <c r="J1367" s="9">
        <f t="shared" si="151"/>
        <v>0.0924097236233504</v>
      </c>
      <c r="K1367" s="9">
        <f t="shared" si="152"/>
        <v>0.0928531809993428</v>
      </c>
      <c r="L1367" s="9">
        <f t="shared" si="153"/>
        <v>0.0931404755783237</v>
      </c>
    </row>
    <row r="1368" s="3" customFormat="1" ht="12.95" customHeight="1" spans="1:12">
      <c r="A1368" s="10">
        <v>44230</v>
      </c>
      <c r="B1368" s="8">
        <v>0.0926509838239442</v>
      </c>
      <c r="C1368" s="8">
        <v>-0.0121775996740673</v>
      </c>
      <c r="D1368" s="8">
        <v>0.015373483560927</v>
      </c>
      <c r="E1368" s="8">
        <v>0.076</v>
      </c>
      <c r="F1368" s="9">
        <f t="shared" si="147"/>
        <v>0.0928938408568619</v>
      </c>
      <c r="G1368" s="9">
        <f t="shared" si="148"/>
        <v>0.0926995612590245</v>
      </c>
      <c r="H1368" s="9">
        <f t="shared" si="149"/>
        <v>0.0926752725414843</v>
      </c>
      <c r="I1368" s="3" t="str">
        <f t="shared" si="150"/>
        <v>2021-02-01</v>
      </c>
      <c r="J1368" s="9">
        <f t="shared" si="151"/>
        <v>0.0924097236233504</v>
      </c>
      <c r="K1368" s="9">
        <f t="shared" si="152"/>
        <v>0.0928531809993428</v>
      </c>
      <c r="L1368" s="9">
        <f t="shared" si="153"/>
        <v>0.0931404755783237</v>
      </c>
    </row>
    <row r="1369" s="3" customFormat="1" ht="12.95" customHeight="1" spans="1:12">
      <c r="A1369" s="10">
        <v>44229</v>
      </c>
      <c r="B1369" s="8">
        <v>0.0924681883652595</v>
      </c>
      <c r="C1369" s="8">
        <v>-0.0141192219542832</v>
      </c>
      <c r="D1369" s="8">
        <v>0.0199299121460737</v>
      </c>
      <c r="E1369" s="8">
        <v>0.076</v>
      </c>
      <c r="F1369" s="9">
        <f t="shared" si="147"/>
        <v>0.0929097614990256</v>
      </c>
      <c r="G1369" s="9">
        <f t="shared" si="148"/>
        <v>0.0925565108561747</v>
      </c>
      <c r="H1369" s="9">
        <f t="shared" si="149"/>
        <v>0.0925123496107171</v>
      </c>
      <c r="I1369" s="3" t="str">
        <f t="shared" si="150"/>
        <v>2021-02-01</v>
      </c>
      <c r="J1369" s="9">
        <f t="shared" si="151"/>
        <v>0.0924097236233504</v>
      </c>
      <c r="K1369" s="9">
        <f t="shared" si="152"/>
        <v>0.0928531809993428</v>
      </c>
      <c r="L1369" s="9">
        <f t="shared" si="153"/>
        <v>0.0931404755783237</v>
      </c>
    </row>
    <row r="1370" s="3" customFormat="1" ht="12.95" customHeight="1" spans="1:12">
      <c r="A1370" s="10">
        <v>44228</v>
      </c>
      <c r="B1370" s="8">
        <v>0.093073569536531</v>
      </c>
      <c r="C1370" s="8">
        <v>-0.0134909498996127</v>
      </c>
      <c r="D1370" s="8">
        <v>0.0162845769615159</v>
      </c>
      <c r="E1370" s="8">
        <v>0.076</v>
      </c>
      <c r="F1370" s="9">
        <f t="shared" si="147"/>
        <v>0.093285853351182</v>
      </c>
      <c r="G1370" s="9">
        <f t="shared" si="148"/>
        <v>0.0931160326678719</v>
      </c>
      <c r="H1370" s="9">
        <f t="shared" si="149"/>
        <v>0.0930948011022015</v>
      </c>
      <c r="I1370" s="3" t="str">
        <f t="shared" si="150"/>
        <v>2021-02-01</v>
      </c>
      <c r="J1370" s="9">
        <f t="shared" si="151"/>
        <v>0.0924097236233504</v>
      </c>
      <c r="K1370" s="9">
        <f t="shared" si="152"/>
        <v>0.0928531809993428</v>
      </c>
      <c r="L1370" s="9">
        <f t="shared" si="153"/>
        <v>0.0931404755783237</v>
      </c>
    </row>
    <row r="1371" s="3" customFormat="1" ht="12.95" customHeight="1" spans="1:12">
      <c r="A1371" s="10">
        <v>44225</v>
      </c>
      <c r="B1371" s="8">
        <v>0.0936664583137747</v>
      </c>
      <c r="C1371" s="8">
        <v>-0.0139648381990117</v>
      </c>
      <c r="D1371" s="8">
        <v>0.0160032326127515</v>
      </c>
      <c r="E1371" s="8">
        <v>0.076</v>
      </c>
      <c r="F1371" s="9">
        <f t="shared" si="147"/>
        <v>0.093821345101</v>
      </c>
      <c r="G1371" s="9">
        <f t="shared" si="148"/>
        <v>0.0936974419088635</v>
      </c>
      <c r="H1371" s="9">
        <f t="shared" si="149"/>
        <v>0.0936819501113191</v>
      </c>
      <c r="I1371" s="3" t="str">
        <f t="shared" si="150"/>
        <v>2021-01-01</v>
      </c>
      <c r="J1371" s="9">
        <f t="shared" si="151"/>
        <v>0.0942858055103706</v>
      </c>
      <c r="K1371" s="9">
        <f t="shared" si="152"/>
        <v>0.0944451797681461</v>
      </c>
      <c r="L1371" s="9">
        <f t="shared" si="153"/>
        <v>0.0944650993247885</v>
      </c>
    </row>
    <row r="1372" s="3" customFormat="1" ht="12.95" customHeight="1" spans="1:12">
      <c r="A1372" s="10">
        <v>44224</v>
      </c>
      <c r="B1372" s="8">
        <v>0.0935568468760743</v>
      </c>
      <c r="C1372" s="8">
        <v>-0.0138218788572208</v>
      </c>
      <c r="D1372" s="8">
        <v>0.016207468814475</v>
      </c>
      <c r="E1372" s="8">
        <v>0.076</v>
      </c>
      <c r="F1372" s="9">
        <f t="shared" si="147"/>
        <v>0.0937381200794616</v>
      </c>
      <c r="G1372" s="9">
        <f t="shared" si="148"/>
        <v>0.0935931078434246</v>
      </c>
      <c r="H1372" s="9">
        <f t="shared" si="149"/>
        <v>0.0935749773597494</v>
      </c>
      <c r="I1372" s="3" t="str">
        <f t="shared" si="150"/>
        <v>2021-01-01</v>
      </c>
      <c r="J1372" s="9">
        <f t="shared" si="151"/>
        <v>0.0942858055103706</v>
      </c>
      <c r="K1372" s="9">
        <f t="shared" si="152"/>
        <v>0.0944451797681461</v>
      </c>
      <c r="L1372" s="9">
        <f t="shared" si="153"/>
        <v>0.0944650993247885</v>
      </c>
    </row>
    <row r="1373" s="3" customFormat="1" ht="12.95" customHeight="1" spans="1:12">
      <c r="A1373" s="10">
        <v>44223</v>
      </c>
      <c r="B1373" s="8">
        <v>0.0930491834510656</v>
      </c>
      <c r="C1373" s="8">
        <v>-0.0137760025565577</v>
      </c>
      <c r="D1373" s="8">
        <v>0.0179199871782835</v>
      </c>
      <c r="E1373" s="8">
        <v>0.076</v>
      </c>
      <c r="F1373" s="9">
        <f t="shared" si="147"/>
        <v>0.0933640910855295</v>
      </c>
      <c r="G1373" s="9">
        <f t="shared" si="148"/>
        <v>0.0931121720173158</v>
      </c>
      <c r="H1373" s="9">
        <f t="shared" si="149"/>
        <v>0.0930806777341907</v>
      </c>
      <c r="I1373" s="3" t="str">
        <f t="shared" si="150"/>
        <v>2021-01-01</v>
      </c>
      <c r="J1373" s="9">
        <f t="shared" si="151"/>
        <v>0.0942858055103706</v>
      </c>
      <c r="K1373" s="9">
        <f t="shared" si="152"/>
        <v>0.0944451797681461</v>
      </c>
      <c r="L1373" s="9">
        <f t="shared" si="153"/>
        <v>0.0944650993247885</v>
      </c>
    </row>
    <row r="1374" s="3" customFormat="1" ht="12.95" customHeight="1" spans="1:12">
      <c r="A1374" s="10">
        <v>44222</v>
      </c>
      <c r="B1374" s="8">
        <v>0.0934876839721576</v>
      </c>
      <c r="C1374" s="8">
        <v>-0.0138450563199609</v>
      </c>
      <c r="D1374" s="8">
        <v>0.0156770488853948</v>
      </c>
      <c r="E1374" s="8">
        <v>0.076</v>
      </c>
      <c r="F1374" s="9">
        <f t="shared" si="147"/>
        <v>0.0936268848787845</v>
      </c>
      <c r="G1374" s="9">
        <f t="shared" si="148"/>
        <v>0.0935155302591522</v>
      </c>
      <c r="H1374" s="9">
        <f t="shared" si="149"/>
        <v>0.0935016071156549</v>
      </c>
      <c r="I1374" s="3" t="str">
        <f t="shared" si="150"/>
        <v>2021-01-01</v>
      </c>
      <c r="J1374" s="9">
        <f t="shared" si="151"/>
        <v>0.0942858055103706</v>
      </c>
      <c r="K1374" s="9">
        <f t="shared" si="152"/>
        <v>0.0944451797681461</v>
      </c>
      <c r="L1374" s="9">
        <f t="shared" si="153"/>
        <v>0.0944650993247885</v>
      </c>
    </row>
    <row r="1375" s="3" customFormat="1" ht="12.95" customHeight="1" spans="1:12">
      <c r="A1375" s="10">
        <v>44221</v>
      </c>
      <c r="B1375" s="8">
        <v>0.0941009580809913</v>
      </c>
      <c r="C1375" s="8">
        <v>-0.0144583304287947</v>
      </c>
      <c r="D1375" s="8">
        <v>0.0146300737122106</v>
      </c>
      <c r="E1375" s="8">
        <v>0.076</v>
      </c>
      <c r="F1375" s="9">
        <f t="shared" si="147"/>
        <v>0.0941139823065893</v>
      </c>
      <c r="G1375" s="9">
        <f t="shared" si="148"/>
        <v>0.0941035685788992</v>
      </c>
      <c r="H1375" s="9">
        <f t="shared" si="149"/>
        <v>0.0941022633299453</v>
      </c>
      <c r="I1375" s="3" t="str">
        <f t="shared" si="150"/>
        <v>2021-01-01</v>
      </c>
      <c r="J1375" s="9">
        <f t="shared" si="151"/>
        <v>0.0942858055103706</v>
      </c>
      <c r="K1375" s="9">
        <f t="shared" si="152"/>
        <v>0.0944451797681461</v>
      </c>
      <c r="L1375" s="9">
        <f t="shared" si="153"/>
        <v>0.0944650993247885</v>
      </c>
    </row>
    <row r="1376" s="3" customFormat="1" ht="12.95" customHeight="1" spans="1:12">
      <c r="A1376" s="10">
        <v>44218</v>
      </c>
      <c r="B1376" s="8">
        <v>0.0945999360632925</v>
      </c>
      <c r="C1376" s="8">
        <v>-0.0144956918216311</v>
      </c>
      <c r="D1376" s="8">
        <v>0.0129633963579804</v>
      </c>
      <c r="E1376" s="8">
        <v>0.076</v>
      </c>
      <c r="F1376" s="9">
        <f t="shared" si="147"/>
        <v>0.0944834568110813</v>
      </c>
      <c r="G1376" s="9">
        <f t="shared" si="148"/>
        <v>0.094576645172245</v>
      </c>
      <c r="H1376" s="9">
        <f t="shared" si="149"/>
        <v>0.0945882906177688</v>
      </c>
      <c r="I1376" s="3" t="str">
        <f t="shared" si="150"/>
        <v>2021-01-01</v>
      </c>
      <c r="J1376" s="9">
        <f t="shared" si="151"/>
        <v>0.0942858055103706</v>
      </c>
      <c r="K1376" s="9">
        <f t="shared" si="152"/>
        <v>0.0944451797681461</v>
      </c>
      <c r="L1376" s="9">
        <f t="shared" si="153"/>
        <v>0.0944650993247885</v>
      </c>
    </row>
    <row r="1377" s="3" customFormat="1" ht="12.95" customHeight="1" spans="1:12">
      <c r="A1377" s="10">
        <v>44217</v>
      </c>
      <c r="B1377" s="8">
        <v>0.0949330969796393</v>
      </c>
      <c r="C1377" s="8">
        <v>-0.0158446906606756</v>
      </c>
      <c r="D1377" s="8">
        <v>0.0140925290304966</v>
      </c>
      <c r="E1377" s="8">
        <v>0.076</v>
      </c>
      <c r="F1377" s="9">
        <f t="shared" si="147"/>
        <v>0.0947999057515901</v>
      </c>
      <c r="G1377" s="9">
        <f t="shared" si="148"/>
        <v>0.0949064641228606</v>
      </c>
      <c r="H1377" s="9">
        <f t="shared" si="149"/>
        <v>0.0949197805512499</v>
      </c>
      <c r="I1377" s="3" t="str">
        <f t="shared" si="150"/>
        <v>2021-01-01</v>
      </c>
      <c r="J1377" s="9">
        <f t="shared" si="151"/>
        <v>0.0942858055103706</v>
      </c>
      <c r="K1377" s="9">
        <f t="shared" si="152"/>
        <v>0.0944451797681461</v>
      </c>
      <c r="L1377" s="9">
        <f t="shared" si="153"/>
        <v>0.0944650993247885</v>
      </c>
    </row>
    <row r="1378" s="3" customFormat="1" ht="12.95" customHeight="1" spans="1:12">
      <c r="A1378" s="4">
        <v>44216</v>
      </c>
      <c r="B1378" s="8">
        <v>0.095331282363489</v>
      </c>
      <c r="C1378" s="8">
        <v>-0.0110820499185891</v>
      </c>
      <c r="D1378" s="8">
        <v>0.00413163575493369</v>
      </c>
      <c r="E1378" s="8">
        <v>0.076</v>
      </c>
      <c r="F1378" s="9">
        <f t="shared" si="147"/>
        <v>0.0948030439318145</v>
      </c>
      <c r="G1378" s="9">
        <f t="shared" si="148"/>
        <v>0.0952256360682014</v>
      </c>
      <c r="H1378" s="9">
        <f t="shared" si="149"/>
        <v>0.0952784592158452</v>
      </c>
      <c r="I1378" s="3" t="str">
        <f t="shared" si="150"/>
        <v>2021-01-01</v>
      </c>
      <c r="J1378" s="9">
        <f t="shared" si="151"/>
        <v>0.0942858055103706</v>
      </c>
      <c r="K1378" s="9">
        <f t="shared" si="152"/>
        <v>0.0944451797681461</v>
      </c>
      <c r="L1378" s="9">
        <f t="shared" si="153"/>
        <v>0.0944650993247885</v>
      </c>
    </row>
    <row r="1379" s="3" customFormat="1" ht="12.95" customHeight="1" spans="1:12">
      <c r="A1379" s="4">
        <v>44215</v>
      </c>
      <c r="B1379" s="8">
        <v>0.0946902288681182</v>
      </c>
      <c r="C1379" s="8">
        <v>-0.0104409964232183</v>
      </c>
      <c r="D1379" s="8">
        <v>0.00611768184202563</v>
      </c>
      <c r="E1379" s="8">
        <v>0.076</v>
      </c>
      <c r="F1379" s="9">
        <f t="shared" si="147"/>
        <v>0.0943616457858948</v>
      </c>
      <c r="G1379" s="9">
        <f t="shared" si="148"/>
        <v>0.0946245144864841</v>
      </c>
      <c r="H1379" s="9">
        <f t="shared" si="149"/>
        <v>0.0946573716773011</v>
      </c>
      <c r="I1379" s="3" t="str">
        <f t="shared" si="150"/>
        <v>2021-01-01</v>
      </c>
      <c r="J1379" s="9">
        <f t="shared" si="151"/>
        <v>0.0942858055103706</v>
      </c>
      <c r="K1379" s="9">
        <f t="shared" si="152"/>
        <v>0.0944451797681461</v>
      </c>
      <c r="L1379" s="9">
        <f t="shared" si="153"/>
        <v>0.0944650993247885</v>
      </c>
    </row>
    <row r="1380" s="3" customFormat="1" ht="12.95" customHeight="1" spans="1:12">
      <c r="A1380" s="4">
        <v>44214</v>
      </c>
      <c r="B1380" s="8">
        <v>0.0946905415133766</v>
      </c>
      <c r="C1380" s="8">
        <v>-0.0104413090684767</v>
      </c>
      <c r="D1380" s="8">
        <v>0.00612907333599684</v>
      </c>
      <c r="E1380" s="8">
        <v>0.076</v>
      </c>
      <c r="F1380" s="9">
        <f t="shared" si="147"/>
        <v>0.0943628004000424</v>
      </c>
      <c r="G1380" s="9">
        <f t="shared" si="148"/>
        <v>0.0946249955302429</v>
      </c>
      <c r="H1380" s="9">
        <f t="shared" si="149"/>
        <v>0.0946577685218098</v>
      </c>
      <c r="I1380" s="3" t="str">
        <f t="shared" si="150"/>
        <v>2021-01-01</v>
      </c>
      <c r="J1380" s="9">
        <f t="shared" si="151"/>
        <v>0.0942858055103706</v>
      </c>
      <c r="K1380" s="9">
        <f t="shared" si="152"/>
        <v>0.0944451797681461</v>
      </c>
      <c r="L1380" s="9">
        <f t="shared" si="153"/>
        <v>0.0944650993247885</v>
      </c>
    </row>
    <row r="1381" s="3" customFormat="1" ht="12.95" customHeight="1" spans="1:12">
      <c r="A1381" s="4">
        <v>44211</v>
      </c>
      <c r="B1381" s="8">
        <v>0.0948632938775732</v>
      </c>
      <c r="C1381" s="8">
        <v>-0.0106140614326733</v>
      </c>
      <c r="D1381" s="8">
        <v>0.00545561476652262</v>
      </c>
      <c r="E1381" s="8">
        <v>0.076</v>
      </c>
      <c r="F1381" s="9">
        <f t="shared" si="147"/>
        <v>0.0944712421573137</v>
      </c>
      <c r="G1381" s="9">
        <f t="shared" si="148"/>
        <v>0.0947848854882477</v>
      </c>
      <c r="H1381" s="9">
        <f t="shared" si="149"/>
        <v>0.0948240896829105</v>
      </c>
      <c r="I1381" s="3" t="str">
        <f t="shared" si="150"/>
        <v>2021-01-01</v>
      </c>
      <c r="J1381" s="9">
        <f t="shared" si="151"/>
        <v>0.0942858055103706</v>
      </c>
      <c r="K1381" s="9">
        <f t="shared" si="152"/>
        <v>0.0944451797681461</v>
      </c>
      <c r="L1381" s="9">
        <f t="shared" si="153"/>
        <v>0.0944650993247885</v>
      </c>
    </row>
    <row r="1382" s="3" customFormat="1" ht="12.95" customHeight="1" spans="1:12">
      <c r="A1382" s="4">
        <v>44210</v>
      </c>
      <c r="B1382" s="8">
        <v>0.0946940274736978</v>
      </c>
      <c r="C1382" s="8">
        <v>-0.0104447950287974</v>
      </c>
      <c r="D1382" s="8">
        <v>0.00613036366120531</v>
      </c>
      <c r="E1382" s="8">
        <v>0.076</v>
      </c>
      <c r="F1382" s="9">
        <f t="shared" si="147"/>
        <v>0.0943661194899266</v>
      </c>
      <c r="G1382" s="9">
        <f t="shared" si="148"/>
        <v>0.0946284481169104</v>
      </c>
      <c r="H1382" s="9">
        <f t="shared" si="149"/>
        <v>0.0946612377953041</v>
      </c>
      <c r="I1382" s="3" t="str">
        <f t="shared" si="150"/>
        <v>2021-01-01</v>
      </c>
      <c r="J1382" s="9">
        <f t="shared" si="151"/>
        <v>0.0942858055103706</v>
      </c>
      <c r="K1382" s="9">
        <f t="shared" si="152"/>
        <v>0.0944451797681461</v>
      </c>
      <c r="L1382" s="9">
        <f t="shared" si="153"/>
        <v>0.0944650993247885</v>
      </c>
    </row>
    <row r="1383" s="3" customFormat="1" ht="12.95" customHeight="1" spans="1:12">
      <c r="A1383" s="4">
        <v>44209</v>
      </c>
      <c r="B1383" s="8">
        <v>0.0949931128344263</v>
      </c>
      <c r="C1383" s="8">
        <v>-0.0107438803895264</v>
      </c>
      <c r="D1383" s="8">
        <v>0.00508278244363575</v>
      </c>
      <c r="E1383" s="8">
        <v>0.076</v>
      </c>
      <c r="F1383" s="9">
        <f t="shared" si="147"/>
        <v>0.0945628604102779</v>
      </c>
      <c r="G1383" s="9">
        <f t="shared" si="148"/>
        <v>0.0949070641456488</v>
      </c>
      <c r="H1383" s="9">
        <f t="shared" si="149"/>
        <v>0.0949500884900375</v>
      </c>
      <c r="I1383" s="3" t="str">
        <f t="shared" si="150"/>
        <v>2021-01-01</v>
      </c>
      <c r="J1383" s="9">
        <f t="shared" si="151"/>
        <v>0.0942858055103706</v>
      </c>
      <c r="K1383" s="9">
        <f t="shared" si="152"/>
        <v>0.0944451797681461</v>
      </c>
      <c r="L1383" s="9">
        <f t="shared" si="153"/>
        <v>0.0944650993247885</v>
      </c>
    </row>
    <row r="1384" s="3" customFormat="1" ht="12.95" customHeight="1" spans="1:12">
      <c r="A1384" s="4">
        <v>44208</v>
      </c>
      <c r="B1384" s="8">
        <v>0.0947705243590638</v>
      </c>
      <c r="C1384" s="8">
        <v>-0.0105212919141634</v>
      </c>
      <c r="D1384" s="8">
        <v>0.0056499067274819</v>
      </c>
      <c r="E1384" s="8">
        <v>0.076</v>
      </c>
      <c r="F1384" s="9">
        <f t="shared" si="147"/>
        <v>0.0944002888941144</v>
      </c>
      <c r="G1384" s="9">
        <f t="shared" si="148"/>
        <v>0.0946964793042262</v>
      </c>
      <c r="H1384" s="9">
        <f t="shared" si="149"/>
        <v>0.094733501831645</v>
      </c>
      <c r="I1384" s="3" t="str">
        <f t="shared" si="150"/>
        <v>2021-01-01</v>
      </c>
      <c r="J1384" s="9">
        <f t="shared" si="151"/>
        <v>0.0942858055103706</v>
      </c>
      <c r="K1384" s="9">
        <f t="shared" si="152"/>
        <v>0.0944451797681461</v>
      </c>
      <c r="L1384" s="9">
        <f t="shared" si="153"/>
        <v>0.0944650993247885</v>
      </c>
    </row>
    <row r="1385" s="3" customFormat="1" ht="12.95" customHeight="1" spans="1:12">
      <c r="A1385" s="4">
        <v>44207</v>
      </c>
      <c r="B1385" s="8">
        <v>0.0947733871056857</v>
      </c>
      <c r="C1385" s="8">
        <v>-0.0105241546607857</v>
      </c>
      <c r="D1385" s="8">
        <v>0.00565119099938074</v>
      </c>
      <c r="E1385" s="8">
        <v>0.076</v>
      </c>
      <c r="F1385" s="9">
        <f t="shared" si="147"/>
        <v>0.09440303167441</v>
      </c>
      <c r="G1385" s="9">
        <f t="shared" si="148"/>
        <v>0.0946993180580323</v>
      </c>
      <c r="H1385" s="9">
        <f t="shared" si="149"/>
        <v>0.094736352581859</v>
      </c>
      <c r="I1385" s="3" t="str">
        <f t="shared" si="150"/>
        <v>2021-01-01</v>
      </c>
      <c r="J1385" s="9">
        <f t="shared" si="151"/>
        <v>0.0942858055103706</v>
      </c>
      <c r="K1385" s="9">
        <f t="shared" si="152"/>
        <v>0.0944451797681461</v>
      </c>
      <c r="L1385" s="9">
        <f t="shared" si="153"/>
        <v>0.0944650993247885</v>
      </c>
    </row>
    <row r="1386" s="3" customFormat="1" ht="12.95" customHeight="1" spans="1:12">
      <c r="A1386" s="4">
        <v>44204</v>
      </c>
      <c r="B1386" s="8">
        <v>0.0948861417841481</v>
      </c>
      <c r="C1386" s="8">
        <v>-0.0106369093392481</v>
      </c>
      <c r="D1386" s="8">
        <v>0.00549743535885625</v>
      </c>
      <c r="E1386" s="8">
        <v>0.076</v>
      </c>
      <c r="F1386" s="9">
        <f t="shared" si="147"/>
        <v>0.0944955319045017</v>
      </c>
      <c r="G1386" s="9">
        <f t="shared" si="148"/>
        <v>0.0948080217796461</v>
      </c>
      <c r="H1386" s="9">
        <f t="shared" si="149"/>
        <v>0.0948470817818971</v>
      </c>
      <c r="I1386" s="3" t="str">
        <f t="shared" si="150"/>
        <v>2021-01-01</v>
      </c>
      <c r="J1386" s="9">
        <f t="shared" si="151"/>
        <v>0.0942858055103706</v>
      </c>
      <c r="K1386" s="9">
        <f t="shared" si="152"/>
        <v>0.0944451797681461</v>
      </c>
      <c r="L1386" s="9">
        <f t="shared" si="153"/>
        <v>0.0944650993247885</v>
      </c>
    </row>
    <row r="1387" s="3" customFormat="1" ht="12.95" customHeight="1" spans="1:12">
      <c r="A1387" s="4">
        <v>44202</v>
      </c>
      <c r="B1387" s="8">
        <v>0.094821713575673</v>
      </c>
      <c r="C1387" s="8">
        <v>-0.0105724811307731</v>
      </c>
      <c r="D1387" s="8">
        <v>0.0061414431752105</v>
      </c>
      <c r="E1387" s="8">
        <v>0.076</v>
      </c>
      <c r="F1387" s="9">
        <f t="shared" si="147"/>
        <v>0.094484943486936</v>
      </c>
      <c r="G1387" s="9">
        <f t="shared" si="148"/>
        <v>0.0947543617987485</v>
      </c>
      <c r="H1387" s="9">
        <f t="shared" si="149"/>
        <v>0.0947880376872107</v>
      </c>
      <c r="I1387" s="3" t="str">
        <f t="shared" si="150"/>
        <v>2021-01-01</v>
      </c>
      <c r="J1387" s="9">
        <f t="shared" si="151"/>
        <v>0.0942858055103706</v>
      </c>
      <c r="K1387" s="9">
        <f t="shared" si="152"/>
        <v>0.0944451797681461</v>
      </c>
      <c r="L1387" s="9">
        <f t="shared" si="153"/>
        <v>0.0944650993247885</v>
      </c>
    </row>
    <row r="1388" s="3" customFormat="1" ht="12.95" customHeight="1" spans="1:12">
      <c r="A1388" s="4">
        <v>44201</v>
      </c>
      <c r="B1388" s="8">
        <v>0.094821922373509</v>
      </c>
      <c r="C1388" s="8">
        <v>-0.0105726899286091</v>
      </c>
      <c r="D1388" s="8">
        <v>0.0061423461108709</v>
      </c>
      <c r="E1388" s="8">
        <v>0.076</v>
      </c>
      <c r="F1388" s="9">
        <f t="shared" si="147"/>
        <v>0.0944852050374021</v>
      </c>
      <c r="G1388" s="9">
        <f t="shared" si="148"/>
        <v>0.0947545811474794</v>
      </c>
      <c r="H1388" s="9">
        <f t="shared" si="149"/>
        <v>0.0947882517604942</v>
      </c>
      <c r="I1388" s="3" t="str">
        <f t="shared" si="150"/>
        <v>2021-01-01</v>
      </c>
      <c r="J1388" s="9">
        <f t="shared" si="151"/>
        <v>0.0942858055103706</v>
      </c>
      <c r="K1388" s="9">
        <f t="shared" si="152"/>
        <v>0.0944451797681461</v>
      </c>
      <c r="L1388" s="9">
        <f t="shared" si="153"/>
        <v>0.0944650993247885</v>
      </c>
    </row>
    <row r="1389" s="3" customFormat="1" ht="12.95" customHeight="1" spans="1:12">
      <c r="A1389" s="4">
        <v>44196</v>
      </c>
      <c r="B1389" s="8">
        <v>0.0948219853102156</v>
      </c>
      <c r="C1389" s="8">
        <v>-0.0105727528653157</v>
      </c>
      <c r="D1389" s="8">
        <v>0.00614261594610613</v>
      </c>
      <c r="E1389" s="8">
        <v>0.076</v>
      </c>
      <c r="F1389" s="9">
        <f t="shared" si="147"/>
        <v>0.0944852836978456</v>
      </c>
      <c r="G1389" s="9">
        <f t="shared" si="148"/>
        <v>0.0947546472290436</v>
      </c>
      <c r="H1389" s="9">
        <f t="shared" si="149"/>
        <v>0.0947883162696296</v>
      </c>
      <c r="I1389" s="3" t="str">
        <f t="shared" si="150"/>
        <v>2020-12-01</v>
      </c>
      <c r="J1389" s="9">
        <f t="shared" si="151"/>
        <v>0.0951294946038944</v>
      </c>
      <c r="K1389" s="9">
        <f t="shared" si="152"/>
        <v>0.0953923191762376</v>
      </c>
      <c r="L1389" s="9">
        <f t="shared" si="153"/>
        <v>0.0954265250391473</v>
      </c>
    </row>
    <row r="1390" s="3" customFormat="1" ht="12.95" customHeight="1" spans="1:12">
      <c r="A1390" s="4">
        <v>44195</v>
      </c>
      <c r="B1390" s="8">
        <v>0.0949389744792252</v>
      </c>
      <c r="C1390" s="8">
        <v>-0.010689742034325</v>
      </c>
      <c r="D1390" s="8">
        <v>0.00596678952997818</v>
      </c>
      <c r="E1390" s="8">
        <v>0.076</v>
      </c>
      <c r="F1390" s="9">
        <f t="shared" si="147"/>
        <v>0.0945800192647166</v>
      </c>
      <c r="G1390" s="9">
        <f t="shared" si="148"/>
        <v>0.0948671856011591</v>
      </c>
      <c r="H1390" s="9">
        <f t="shared" si="149"/>
        <v>0.0949030800401922</v>
      </c>
      <c r="I1390" s="3" t="str">
        <f t="shared" si="150"/>
        <v>2020-12-01</v>
      </c>
      <c r="J1390" s="9">
        <f t="shared" si="151"/>
        <v>0.0951294946038944</v>
      </c>
      <c r="K1390" s="9">
        <f t="shared" si="152"/>
        <v>0.0953923191762376</v>
      </c>
      <c r="L1390" s="9">
        <f t="shared" si="153"/>
        <v>0.0954265250391473</v>
      </c>
    </row>
    <row r="1391" s="3" customFormat="1" ht="12.95" customHeight="1" spans="1:12">
      <c r="A1391" s="4">
        <v>44194</v>
      </c>
      <c r="B1391" s="8">
        <v>0.0949392154208222</v>
      </c>
      <c r="C1391" s="8">
        <v>-0.0106899829759223</v>
      </c>
      <c r="D1391" s="8">
        <v>0.00596708661522243</v>
      </c>
      <c r="E1391" s="8">
        <v>0.076</v>
      </c>
      <c r="F1391" s="9">
        <f t="shared" si="147"/>
        <v>0.0945802644726491</v>
      </c>
      <c r="G1391" s="9">
        <f t="shared" si="148"/>
        <v>0.0948674273961396</v>
      </c>
      <c r="H1391" s="9">
        <f t="shared" si="149"/>
        <v>0.0949033214084809</v>
      </c>
      <c r="I1391" s="3" t="str">
        <f t="shared" si="150"/>
        <v>2020-12-01</v>
      </c>
      <c r="J1391" s="9">
        <f t="shared" si="151"/>
        <v>0.0951294946038944</v>
      </c>
      <c r="K1391" s="9">
        <f t="shared" si="152"/>
        <v>0.0953923191762376</v>
      </c>
      <c r="L1391" s="9">
        <f t="shared" si="153"/>
        <v>0.0954265250391473</v>
      </c>
    </row>
    <row r="1392" s="3" customFormat="1" ht="12.95" customHeight="1" spans="1:12">
      <c r="A1392" s="4">
        <v>44193</v>
      </c>
      <c r="B1392" s="8">
        <v>0.0948010289880698</v>
      </c>
      <c r="C1392" s="8">
        <v>-0.0105517965431699</v>
      </c>
      <c r="D1392" s="8">
        <v>0.00663760610944558</v>
      </c>
      <c r="E1392" s="8">
        <v>0.076</v>
      </c>
      <c r="F1392" s="9">
        <f t="shared" si="147"/>
        <v>0.0945035382774879</v>
      </c>
      <c r="G1392" s="9">
        <f t="shared" si="148"/>
        <v>0.0947415332934772</v>
      </c>
      <c r="H1392" s="9">
        <f t="shared" si="149"/>
        <v>0.0947712811407735</v>
      </c>
      <c r="I1392" s="3" t="str">
        <f t="shared" si="150"/>
        <v>2020-12-01</v>
      </c>
      <c r="J1392" s="9">
        <f t="shared" si="151"/>
        <v>0.0951294946038944</v>
      </c>
      <c r="K1392" s="9">
        <f t="shared" si="152"/>
        <v>0.0953923191762376</v>
      </c>
      <c r="L1392" s="9">
        <f t="shared" si="153"/>
        <v>0.0954265250391473</v>
      </c>
    </row>
    <row r="1393" s="3" customFormat="1" ht="12.95" customHeight="1" spans="1:12">
      <c r="A1393" s="4">
        <v>44190</v>
      </c>
      <c r="B1393" s="8">
        <v>0.0947447597712953</v>
      </c>
      <c r="C1393" s="8">
        <v>-0.0128883133014632</v>
      </c>
      <c r="D1393" s="8">
        <v>0.0112341221342436</v>
      </c>
      <c r="E1393" s="8">
        <v>0.076</v>
      </c>
      <c r="F1393" s="9">
        <f t="shared" si="147"/>
        <v>0.0946190198013133</v>
      </c>
      <c r="G1393" s="9">
        <f t="shared" si="148"/>
        <v>0.0947196160655536</v>
      </c>
      <c r="H1393" s="9">
        <f t="shared" si="149"/>
        <v>0.0947321879184244</v>
      </c>
      <c r="I1393" s="3" t="str">
        <f t="shared" si="150"/>
        <v>2020-12-01</v>
      </c>
      <c r="J1393" s="9">
        <f t="shared" si="151"/>
        <v>0.0951294946038944</v>
      </c>
      <c r="K1393" s="9">
        <f t="shared" si="152"/>
        <v>0.0953923191762376</v>
      </c>
      <c r="L1393" s="9">
        <f t="shared" si="153"/>
        <v>0.0954265250391473</v>
      </c>
    </row>
    <row r="1394" s="3" customFormat="1" ht="12.95" customHeight="1" spans="1:12">
      <c r="A1394" s="4">
        <v>44189</v>
      </c>
      <c r="B1394" s="8">
        <v>0.0945143666748937</v>
      </c>
      <c r="C1394" s="8">
        <v>-0.0139487188353264</v>
      </c>
      <c r="D1394" s="8">
        <v>0.0150627279630686</v>
      </c>
      <c r="E1394" s="8">
        <v>0.076</v>
      </c>
      <c r="F1394" s="9">
        <f t="shared" si="147"/>
        <v>0.094599002131333</v>
      </c>
      <c r="G1394" s="9">
        <f t="shared" si="148"/>
        <v>0.0945312996136354</v>
      </c>
      <c r="H1394" s="9">
        <f t="shared" si="149"/>
        <v>0.0945228331442645</v>
      </c>
      <c r="I1394" s="3" t="str">
        <f t="shared" si="150"/>
        <v>2020-12-01</v>
      </c>
      <c r="J1394" s="9">
        <f t="shared" si="151"/>
        <v>0.0951294946038944</v>
      </c>
      <c r="K1394" s="9">
        <f t="shared" si="152"/>
        <v>0.0953923191762376</v>
      </c>
      <c r="L1394" s="9">
        <f t="shared" si="153"/>
        <v>0.0954265250391473</v>
      </c>
    </row>
    <row r="1395" s="3" customFormat="1" ht="12.95" customHeight="1" spans="1:12">
      <c r="A1395" s="4">
        <v>44188</v>
      </c>
      <c r="B1395" s="8">
        <v>0.0946606809528203</v>
      </c>
      <c r="C1395" s="8">
        <v>-0.0144682783996276</v>
      </c>
      <c r="D1395" s="8">
        <v>0.0151228314454525</v>
      </c>
      <c r="E1395" s="8">
        <v>0.076</v>
      </c>
      <c r="F1395" s="9">
        <f t="shared" si="147"/>
        <v>0.0947103976984225</v>
      </c>
      <c r="G1395" s="9">
        <f t="shared" si="148"/>
        <v>0.0946706301591168</v>
      </c>
      <c r="H1395" s="9">
        <f t="shared" si="149"/>
        <v>0.0946656555559686</v>
      </c>
      <c r="I1395" s="3" t="str">
        <f t="shared" si="150"/>
        <v>2020-12-01</v>
      </c>
      <c r="J1395" s="9">
        <f t="shared" si="151"/>
        <v>0.0951294946038944</v>
      </c>
      <c r="K1395" s="9">
        <f t="shared" si="152"/>
        <v>0.0953923191762376</v>
      </c>
      <c r="L1395" s="9">
        <f t="shared" si="153"/>
        <v>0.0954265250391473</v>
      </c>
    </row>
    <row r="1396" s="3" customFormat="1" ht="12.95" customHeight="1" spans="1:12">
      <c r="A1396" s="4">
        <v>44187</v>
      </c>
      <c r="B1396" s="8">
        <v>0.0945153889650275</v>
      </c>
      <c r="C1396" s="8">
        <v>-0.0142265577362246</v>
      </c>
      <c r="D1396" s="8">
        <v>0.0155355356799783</v>
      </c>
      <c r="E1396" s="8">
        <v>0.076</v>
      </c>
      <c r="F1396" s="9">
        <f t="shared" si="147"/>
        <v>0.0946148411102765</v>
      </c>
      <c r="G1396" s="9">
        <f t="shared" si="148"/>
        <v>0.0945352854297725</v>
      </c>
      <c r="H1396" s="9">
        <f t="shared" si="149"/>
        <v>0.0945253371974</v>
      </c>
      <c r="I1396" s="3" t="str">
        <f t="shared" si="150"/>
        <v>2020-12-01</v>
      </c>
      <c r="J1396" s="9">
        <f t="shared" si="151"/>
        <v>0.0951294946038944</v>
      </c>
      <c r="K1396" s="9">
        <f t="shared" si="152"/>
        <v>0.0953923191762376</v>
      </c>
      <c r="L1396" s="9">
        <f t="shared" si="153"/>
        <v>0.0954265250391473</v>
      </c>
    </row>
    <row r="1397" s="3" customFormat="1" ht="12.95" customHeight="1" spans="1:12">
      <c r="A1397" s="4">
        <v>44186</v>
      </c>
      <c r="B1397" s="8">
        <v>0.0946822652096057</v>
      </c>
      <c r="C1397" s="8">
        <v>-0.0124573249539364</v>
      </c>
      <c r="D1397" s="8">
        <v>0.0116368038646562</v>
      </c>
      <c r="E1397" s="8">
        <v>0.076</v>
      </c>
      <c r="F1397" s="9">
        <f t="shared" si="147"/>
        <v>0.0946198832660024</v>
      </c>
      <c r="G1397" s="9">
        <f t="shared" si="148"/>
        <v>0.0946697932890486</v>
      </c>
      <c r="H1397" s="9">
        <f t="shared" si="149"/>
        <v>0.0946760292493272</v>
      </c>
      <c r="I1397" s="3" t="str">
        <f t="shared" si="150"/>
        <v>2020-12-01</v>
      </c>
      <c r="J1397" s="9">
        <f t="shared" si="151"/>
        <v>0.0951294946038944</v>
      </c>
      <c r="K1397" s="9">
        <f t="shared" si="152"/>
        <v>0.0953923191762376</v>
      </c>
      <c r="L1397" s="9">
        <f t="shared" si="153"/>
        <v>0.0954265250391473</v>
      </c>
    </row>
    <row r="1398" s="3" customFormat="1" ht="12.95" customHeight="1" spans="1:12">
      <c r="A1398" s="4">
        <v>44185</v>
      </c>
      <c r="B1398" s="8">
        <v>0.0947498701944115</v>
      </c>
      <c r="C1398" s="8">
        <v>-0.012524929938742</v>
      </c>
      <c r="D1398" s="8">
        <v>0.0111396944448264</v>
      </c>
      <c r="E1398" s="8">
        <v>0.076</v>
      </c>
      <c r="F1398" s="9">
        <f t="shared" si="147"/>
        <v>0.0946445709984093</v>
      </c>
      <c r="G1398" s="9">
        <f t="shared" si="148"/>
        <v>0.094728814614904</v>
      </c>
      <c r="H1398" s="9">
        <f t="shared" si="149"/>
        <v>0.0947393424046577</v>
      </c>
      <c r="I1398" s="3" t="str">
        <f t="shared" si="150"/>
        <v>2020-12-01</v>
      </c>
      <c r="J1398" s="9">
        <f t="shared" si="151"/>
        <v>0.0951294946038944</v>
      </c>
      <c r="K1398" s="9">
        <f t="shared" si="152"/>
        <v>0.0953923191762376</v>
      </c>
      <c r="L1398" s="9">
        <f t="shared" si="153"/>
        <v>0.0954265250391473</v>
      </c>
    </row>
    <row r="1399" s="3" customFormat="1" ht="12.95" customHeight="1" spans="1:12">
      <c r="A1399" s="4">
        <v>44180</v>
      </c>
      <c r="B1399" s="8">
        <v>0.0944295928720954</v>
      </c>
      <c r="C1399" s="8">
        <v>-0.0173759634298039</v>
      </c>
      <c r="D1399" s="8">
        <v>0.0213485609706167</v>
      </c>
      <c r="E1399" s="8">
        <v>0.076</v>
      </c>
      <c r="F1399" s="9">
        <f t="shared" si="147"/>
        <v>0.0947314684957699</v>
      </c>
      <c r="G1399" s="9">
        <f t="shared" si="148"/>
        <v>0.0944899763547158</v>
      </c>
      <c r="H1399" s="9">
        <f t="shared" si="149"/>
        <v>0.0944597846134056</v>
      </c>
      <c r="I1399" s="3" t="str">
        <f t="shared" si="150"/>
        <v>2020-12-01</v>
      </c>
      <c r="J1399" s="9">
        <f t="shared" si="151"/>
        <v>0.0951294946038944</v>
      </c>
      <c r="K1399" s="9">
        <f t="shared" si="152"/>
        <v>0.0953923191762376</v>
      </c>
      <c r="L1399" s="9">
        <f t="shared" si="153"/>
        <v>0.0954265250391473</v>
      </c>
    </row>
    <row r="1400" s="3" customFormat="1" ht="12.95" customHeight="1" spans="1:12">
      <c r="A1400" s="4">
        <v>44179</v>
      </c>
      <c r="B1400" s="8">
        <v>0.0944659272748045</v>
      </c>
      <c r="C1400" s="8">
        <v>-0.0151003718940637</v>
      </c>
      <c r="D1400" s="8">
        <v>0.0188839095490072</v>
      </c>
      <c r="E1400" s="8">
        <v>0.076</v>
      </c>
      <c r="F1400" s="9">
        <f t="shared" si="147"/>
        <v>0.0947534391321199</v>
      </c>
      <c r="G1400" s="9">
        <f t="shared" si="148"/>
        <v>0.0945234370471596</v>
      </c>
      <c r="H1400" s="9">
        <f t="shared" si="149"/>
        <v>0.0944946821609821</v>
      </c>
      <c r="I1400" s="3" t="str">
        <f t="shared" si="150"/>
        <v>2020-12-01</v>
      </c>
      <c r="J1400" s="9">
        <f t="shared" si="151"/>
        <v>0.0951294946038944</v>
      </c>
      <c r="K1400" s="9">
        <f t="shared" si="152"/>
        <v>0.0953923191762376</v>
      </c>
      <c r="L1400" s="9">
        <f t="shared" si="153"/>
        <v>0.0954265250391473</v>
      </c>
    </row>
    <row r="1401" s="3" customFormat="1" ht="12.95" customHeight="1" spans="1:12">
      <c r="A1401" s="4">
        <v>44176</v>
      </c>
      <c r="B1401" s="8">
        <v>0.0944318756025978</v>
      </c>
      <c r="C1401" s="8">
        <v>-0.0178412734408823</v>
      </c>
      <c r="D1401" s="8">
        <v>0.0245104336567513</v>
      </c>
      <c r="E1401" s="8">
        <v>0.076</v>
      </c>
      <c r="F1401" s="9">
        <f t="shared" si="147"/>
        <v>0.0949386834910078</v>
      </c>
      <c r="G1401" s="9">
        <f t="shared" si="148"/>
        <v>0.094533246837879</v>
      </c>
      <c r="H1401" s="9">
        <f t="shared" si="149"/>
        <v>0.0944825612202384</v>
      </c>
      <c r="I1401" s="3" t="str">
        <f t="shared" si="150"/>
        <v>2020-12-01</v>
      </c>
      <c r="J1401" s="9">
        <f t="shared" si="151"/>
        <v>0.0951294946038944</v>
      </c>
      <c r="K1401" s="9">
        <f t="shared" si="152"/>
        <v>0.0953923191762376</v>
      </c>
      <c r="L1401" s="9">
        <f t="shared" si="153"/>
        <v>0.0954265250391473</v>
      </c>
    </row>
    <row r="1402" s="3" customFormat="1" ht="12.95" customHeight="1" spans="1:12">
      <c r="A1402" s="4">
        <v>44175</v>
      </c>
      <c r="B1402" s="8">
        <v>0.0956168513477424</v>
      </c>
      <c r="C1402" s="8">
        <v>-0.0190262491860298</v>
      </c>
      <c r="D1402" s="8">
        <v>0.0225780174411508</v>
      </c>
      <c r="E1402" s="8">
        <v>0.076</v>
      </c>
      <c r="F1402" s="9">
        <f t="shared" si="147"/>
        <v>0.0958867416343591</v>
      </c>
      <c r="G1402" s="9">
        <f t="shared" si="148"/>
        <v>0.0956708382252202</v>
      </c>
      <c r="H1402" s="9">
        <f t="shared" si="149"/>
        <v>0.0956438447864813</v>
      </c>
      <c r="I1402" s="3" t="str">
        <f t="shared" si="150"/>
        <v>2020-12-01</v>
      </c>
      <c r="J1402" s="9">
        <f t="shared" si="151"/>
        <v>0.0951294946038944</v>
      </c>
      <c r="K1402" s="9">
        <f t="shared" si="152"/>
        <v>0.0953923191762376</v>
      </c>
      <c r="L1402" s="9">
        <f t="shared" si="153"/>
        <v>0.0954265250391473</v>
      </c>
    </row>
    <row r="1403" s="3" customFormat="1" ht="12.95" customHeight="1" spans="1:12">
      <c r="A1403" s="4">
        <v>44174</v>
      </c>
      <c r="B1403" s="8">
        <v>0.0960439642558415</v>
      </c>
      <c r="C1403" s="8">
        <v>-0.0200092779798439</v>
      </c>
      <c r="D1403" s="8">
        <v>0.0223086265436281</v>
      </c>
      <c r="E1403" s="8">
        <v>0.076</v>
      </c>
      <c r="F1403" s="9">
        <f t="shared" si="147"/>
        <v>0.0962186713496134</v>
      </c>
      <c r="G1403" s="9">
        <f t="shared" si="148"/>
        <v>0.096078914354011</v>
      </c>
      <c r="H1403" s="9">
        <f t="shared" si="149"/>
        <v>0.0960614393049262</v>
      </c>
      <c r="I1403" s="3" t="str">
        <f t="shared" si="150"/>
        <v>2020-12-01</v>
      </c>
      <c r="J1403" s="9">
        <f t="shared" si="151"/>
        <v>0.0951294946038944</v>
      </c>
      <c r="K1403" s="9">
        <f t="shared" si="152"/>
        <v>0.0953923191762376</v>
      </c>
      <c r="L1403" s="9">
        <f t="shared" si="153"/>
        <v>0.0954265250391473</v>
      </c>
    </row>
    <row r="1404" s="3" customFormat="1" ht="12.95" customHeight="1" spans="1:12">
      <c r="A1404" s="4">
        <v>44173</v>
      </c>
      <c r="B1404" s="8">
        <v>0.0963165622615582</v>
      </c>
      <c r="C1404" s="8">
        <v>-0.0157237717185219</v>
      </c>
      <c r="D1404" s="8">
        <v>0.0129850928108018</v>
      </c>
      <c r="E1404" s="8">
        <v>0.076</v>
      </c>
      <c r="F1404" s="9">
        <f t="shared" si="147"/>
        <v>0.0961083980026888</v>
      </c>
      <c r="G1404" s="9">
        <f t="shared" si="148"/>
        <v>0.0962749343421608</v>
      </c>
      <c r="H1404" s="9">
        <f t="shared" si="149"/>
        <v>0.0962957483018595</v>
      </c>
      <c r="I1404" s="3" t="str">
        <f t="shared" si="150"/>
        <v>2020-12-01</v>
      </c>
      <c r="J1404" s="9">
        <f t="shared" si="151"/>
        <v>0.0951294946038944</v>
      </c>
      <c r="K1404" s="9">
        <f t="shared" si="152"/>
        <v>0.0953923191762376</v>
      </c>
      <c r="L1404" s="9">
        <f t="shared" si="153"/>
        <v>0.0954265250391473</v>
      </c>
    </row>
    <row r="1405" s="3" customFormat="1" ht="12.95" customHeight="1" spans="1:12">
      <c r="A1405" s="4">
        <v>44172</v>
      </c>
      <c r="B1405" s="8">
        <v>0.0964223175900954</v>
      </c>
      <c r="C1405" s="8">
        <v>-0.0150375326371381</v>
      </c>
      <c r="D1405" s="8">
        <v>0.0112013566791777</v>
      </c>
      <c r="E1405" s="8">
        <v>0.076</v>
      </c>
      <c r="F1405" s="9">
        <f t="shared" si="147"/>
        <v>0.0961307471593447</v>
      </c>
      <c r="G1405" s="9">
        <f t="shared" si="148"/>
        <v>0.0963640077155344</v>
      </c>
      <c r="H1405" s="9">
        <f t="shared" si="149"/>
        <v>0.0963931626528149</v>
      </c>
      <c r="I1405" s="3" t="str">
        <f t="shared" si="150"/>
        <v>2020-12-01</v>
      </c>
      <c r="J1405" s="9">
        <f t="shared" si="151"/>
        <v>0.0951294946038944</v>
      </c>
      <c r="K1405" s="9">
        <f t="shared" si="152"/>
        <v>0.0953923191762376</v>
      </c>
      <c r="L1405" s="9">
        <f t="shared" si="153"/>
        <v>0.0954265250391473</v>
      </c>
    </row>
    <row r="1406" s="3" customFormat="1" ht="12.95" customHeight="1" spans="1:12">
      <c r="A1406" s="4">
        <v>44169</v>
      </c>
      <c r="B1406" s="8">
        <v>0.0965554740383294</v>
      </c>
      <c r="C1406" s="8">
        <v>-0.0129466391734866</v>
      </c>
      <c r="D1406" s="8">
        <v>0.00653667341041978</v>
      </c>
      <c r="E1406" s="8">
        <v>0.076</v>
      </c>
      <c r="F1406" s="9">
        <f t="shared" si="147"/>
        <v>0.0960683049636516</v>
      </c>
      <c r="G1406" s="9">
        <f t="shared" si="148"/>
        <v>0.0964580425587308</v>
      </c>
      <c r="H1406" s="9">
        <f t="shared" si="149"/>
        <v>0.0965067582985301</v>
      </c>
      <c r="I1406" s="3" t="str">
        <f t="shared" si="150"/>
        <v>2020-12-01</v>
      </c>
      <c r="J1406" s="9">
        <f t="shared" si="151"/>
        <v>0.0951294946038944</v>
      </c>
      <c r="K1406" s="9">
        <f t="shared" si="152"/>
        <v>0.0953923191762376</v>
      </c>
      <c r="L1406" s="9">
        <f t="shared" si="153"/>
        <v>0.0954265250391473</v>
      </c>
    </row>
    <row r="1407" s="3" customFormat="1" ht="12.95" customHeight="1" spans="1:12">
      <c r="A1407" s="4">
        <v>44168</v>
      </c>
      <c r="B1407" s="8">
        <v>0.0976672220099224</v>
      </c>
      <c r="C1407" s="8">
        <v>-0.0117647930092189</v>
      </c>
      <c r="D1407" s="8">
        <v>0.000730904591689262</v>
      </c>
      <c r="E1407" s="8">
        <v>0.096</v>
      </c>
      <c r="F1407" s="9">
        <f t="shared" si="147"/>
        <v>0.0966079785491447</v>
      </c>
      <c r="G1407" s="9">
        <f t="shared" si="148"/>
        <v>0.0974553713523058</v>
      </c>
      <c r="H1407" s="9">
        <f t="shared" si="149"/>
        <v>0.0975612966811141</v>
      </c>
      <c r="I1407" s="3" t="str">
        <f t="shared" si="150"/>
        <v>2020-12-01</v>
      </c>
      <c r="J1407" s="9">
        <f t="shared" si="151"/>
        <v>0.0951294946038944</v>
      </c>
      <c r="K1407" s="9">
        <f t="shared" si="152"/>
        <v>0.0953923191762376</v>
      </c>
      <c r="L1407" s="9">
        <f t="shared" si="153"/>
        <v>0.0954265250391473</v>
      </c>
    </row>
    <row r="1408" s="3" customFormat="1" ht="12.95" customHeight="1" spans="1:12">
      <c r="A1408" s="4">
        <v>44167</v>
      </c>
      <c r="B1408" s="8">
        <v>0.0998962948233817</v>
      </c>
      <c r="C1408" s="8">
        <v>-0.0054956194018974</v>
      </c>
      <c r="D1408" s="8">
        <v>-0.0173032875382798</v>
      </c>
      <c r="E1408" s="8">
        <v>0.216</v>
      </c>
      <c r="F1408" s="9">
        <f t="shared" si="147"/>
        <v>0.0951886385817317</v>
      </c>
      <c r="G1408" s="9">
        <f t="shared" si="148"/>
        <v>0.0989113820451843</v>
      </c>
      <c r="H1408" s="9">
        <f t="shared" si="149"/>
        <v>0.0994038384334739</v>
      </c>
      <c r="I1408" s="3" t="str">
        <f t="shared" si="150"/>
        <v>2020-12-01</v>
      </c>
      <c r="J1408" s="9">
        <f t="shared" si="151"/>
        <v>0.0951294946038944</v>
      </c>
      <c r="K1408" s="9">
        <f t="shared" si="152"/>
        <v>0.0953923191762376</v>
      </c>
      <c r="L1408" s="9">
        <f t="shared" si="153"/>
        <v>0.0954265250391473</v>
      </c>
    </row>
    <row r="1409" s="3" customFormat="1" ht="12.95" customHeight="1" spans="1:12">
      <c r="A1409" s="4">
        <v>44165</v>
      </c>
      <c r="B1409" s="8">
        <v>0.0992462044752603</v>
      </c>
      <c r="C1409" s="8">
        <v>-0.0016658761363963</v>
      </c>
      <c r="D1409" s="8">
        <v>-0.0263386026168302</v>
      </c>
      <c r="E1409" s="8">
        <v>0.116</v>
      </c>
      <c r="F1409" s="9">
        <f t="shared" si="147"/>
        <v>0.0960030205584793</v>
      </c>
      <c r="G1409" s="9">
        <f t="shared" si="148"/>
        <v>0.0985965005681854</v>
      </c>
      <c r="H1409" s="9">
        <f t="shared" si="149"/>
        <v>0.0989213525217229</v>
      </c>
      <c r="I1409" s="3" t="str">
        <f t="shared" si="150"/>
        <v>2020-11-01</v>
      </c>
      <c r="J1409" s="9">
        <f t="shared" si="151"/>
        <v>0.0964759027661703</v>
      </c>
      <c r="K1409" s="9">
        <f t="shared" si="152"/>
        <v>0.0977583857657062</v>
      </c>
      <c r="L1409" s="9">
        <f t="shared" si="153"/>
        <v>0.0978597323178163</v>
      </c>
    </row>
    <row r="1410" s="3" customFormat="1" ht="12.95" customHeight="1" spans="1:12">
      <c r="A1410" s="4">
        <v>44162</v>
      </c>
      <c r="B1410" s="8">
        <v>0.0992402492740951</v>
      </c>
      <c r="C1410" s="8">
        <v>-0.00175062799683798</v>
      </c>
      <c r="D1410" s="8">
        <v>-0.0261583573846047</v>
      </c>
      <c r="E1410" s="8">
        <v>0.116</v>
      </c>
      <c r="F1410" s="9">
        <f t="shared" si="147"/>
        <v>0.0960081080861435</v>
      </c>
      <c r="G1410" s="9">
        <f t="shared" si="148"/>
        <v>0.0985927608132456</v>
      </c>
      <c r="H1410" s="9">
        <f t="shared" si="149"/>
        <v>0.0989165050436704</v>
      </c>
      <c r="I1410" s="3" t="str">
        <f t="shared" si="150"/>
        <v>2020-11-01</v>
      </c>
      <c r="J1410" s="9">
        <f t="shared" si="151"/>
        <v>0.0964759027661703</v>
      </c>
      <c r="K1410" s="9">
        <f t="shared" si="152"/>
        <v>0.0977583857657062</v>
      </c>
      <c r="L1410" s="9">
        <f t="shared" si="153"/>
        <v>0.0978597323178163</v>
      </c>
    </row>
    <row r="1411" s="3" customFormat="1" ht="12.95" customHeight="1" spans="1:12">
      <c r="A1411" s="4">
        <v>44161</v>
      </c>
      <c r="B1411" s="8">
        <v>0.0998639913703042</v>
      </c>
      <c r="C1411" s="8">
        <v>-0.00291878531382542</v>
      </c>
      <c r="D1411" s="8">
        <v>-0.0198163201491789</v>
      </c>
      <c r="E1411" s="8">
        <v>0.216</v>
      </c>
      <c r="F1411" s="9">
        <f t="shared" si="147"/>
        <v>0.0951945048751149</v>
      </c>
      <c r="G1411" s="9">
        <f t="shared" si="148"/>
        <v>0.0988818348161428</v>
      </c>
      <c r="H1411" s="9">
        <f t="shared" si="149"/>
        <v>0.0993729130923033</v>
      </c>
      <c r="I1411" s="3" t="str">
        <f t="shared" si="150"/>
        <v>2020-11-01</v>
      </c>
      <c r="J1411" s="9">
        <f t="shared" si="151"/>
        <v>0.0964759027661703</v>
      </c>
      <c r="K1411" s="9">
        <f t="shared" si="152"/>
        <v>0.0977583857657062</v>
      </c>
      <c r="L1411" s="9">
        <f t="shared" si="153"/>
        <v>0.0978597323178163</v>
      </c>
    </row>
    <row r="1412" s="3" customFormat="1" ht="12.95" customHeight="1" spans="1:12">
      <c r="A1412" s="4">
        <v>44160</v>
      </c>
      <c r="B1412" s="8">
        <v>0.0991533525179123</v>
      </c>
      <c r="C1412" s="8">
        <v>-0.00940406037430414</v>
      </c>
      <c r="D1412" s="8">
        <v>0.000230957250587181</v>
      </c>
      <c r="E1412" s="8">
        <v>0.396</v>
      </c>
      <c r="F1412" s="9">
        <f t="shared" si="147"/>
        <v>0.0957930606036878</v>
      </c>
      <c r="G1412" s="9">
        <f t="shared" si="148"/>
        <v>0.0984268443782107</v>
      </c>
      <c r="H1412" s="9">
        <f t="shared" si="149"/>
        <v>0.0987900976342145</v>
      </c>
      <c r="I1412" s="3" t="str">
        <f t="shared" si="150"/>
        <v>2020-11-01</v>
      </c>
      <c r="J1412" s="9">
        <f t="shared" si="151"/>
        <v>0.0964759027661703</v>
      </c>
      <c r="K1412" s="9">
        <f t="shared" si="152"/>
        <v>0.0977583857657062</v>
      </c>
      <c r="L1412" s="9">
        <f t="shared" si="153"/>
        <v>0.0978597323178163</v>
      </c>
    </row>
    <row r="1413" s="3" customFormat="1" ht="12.95" customHeight="1" spans="1:12">
      <c r="A1413" s="4">
        <v>44159</v>
      </c>
      <c r="B1413" s="8">
        <v>0.0981511923699173</v>
      </c>
      <c r="C1413" s="8">
        <v>-0.0113315004173571</v>
      </c>
      <c r="D1413" s="8">
        <v>0.000370119002350649</v>
      </c>
      <c r="E1413" s="8">
        <v>0.096</v>
      </c>
      <c r="F1413" s="9">
        <f t="shared" ref="F1413:F1476" si="154">B1413+(C1413+D1413)*(E1413/$F$3)*(1-EXP(-$F$3/E1413))-D1413*EXP(-$F$3/E1413)</f>
        <v>0.097098920171177</v>
      </c>
      <c r="G1413" s="9">
        <f t="shared" ref="G1413:G1476" si="155">B1413+(C1413+D1413)*(E1413/$G$3)*(1-EXP(-$G$3/E1413))-D1413*EXP(-$G$3/E1413)</f>
        <v>0.0979407338467492</v>
      </c>
      <c r="H1413" s="9">
        <f t="shared" ref="H1413:H1476" si="156">B1413+(C1413+D1413)*(E1413/$H$3)*(1-EXP(-$H$3/E1413))-D1413*EXP(-$H$3/E1413)</f>
        <v>0.0980459631083332</v>
      </c>
      <c r="I1413" s="3" t="str">
        <f t="shared" ref="I1413:I1476" si="157">TEXT(A1413,"yyyy-mm-01")</f>
        <v>2020-11-01</v>
      </c>
      <c r="J1413" s="9">
        <f t="shared" ref="J1413:J1476" si="158">AVERAGEIF($I:$I,I1413,$F:$F)</f>
        <v>0.0964759027661703</v>
      </c>
      <c r="K1413" s="9">
        <f t="shared" ref="K1413:K1476" si="159">AVERAGEIF($I:$I,I1413,$G:$G)</f>
        <v>0.0977583857657062</v>
      </c>
      <c r="L1413" s="9">
        <f t="shared" ref="L1413:L1476" si="160">AVERAGEIF($I:$I,I1413,$H:$H)</f>
        <v>0.0978597323178163</v>
      </c>
    </row>
    <row r="1414" s="3" customFormat="1" ht="12.95" customHeight="1" spans="1:12">
      <c r="A1414" s="4">
        <v>44158</v>
      </c>
      <c r="B1414" s="8">
        <v>0.0981993577680679</v>
      </c>
      <c r="C1414" s="8">
        <v>-0.00753632287082565</v>
      </c>
      <c r="D1414" s="8">
        <v>0.0122956968324451</v>
      </c>
      <c r="E1414" s="8">
        <v>1.416</v>
      </c>
      <c r="F1414" s="9">
        <f t="shared" si="154"/>
        <v>0.0955447068633023</v>
      </c>
      <c r="G1414" s="9">
        <f t="shared" si="155"/>
        <v>0.0991478183024363</v>
      </c>
      <c r="H1414" s="9">
        <f t="shared" si="156"/>
        <v>0.0988621709783986</v>
      </c>
      <c r="I1414" s="3" t="str">
        <f t="shared" si="157"/>
        <v>2020-11-01</v>
      </c>
      <c r="J1414" s="9">
        <f t="shared" si="158"/>
        <v>0.0964759027661703</v>
      </c>
      <c r="K1414" s="9">
        <f t="shared" si="159"/>
        <v>0.0977583857657062</v>
      </c>
      <c r="L1414" s="9">
        <f t="shared" si="160"/>
        <v>0.0978597323178163</v>
      </c>
    </row>
    <row r="1415" s="3" customFormat="1" ht="12.95" customHeight="1" spans="1:12">
      <c r="A1415" s="4">
        <v>44155</v>
      </c>
      <c r="B1415" s="8">
        <v>0.100664956962867</v>
      </c>
      <c r="C1415" s="8">
        <v>-0.0059913433601865</v>
      </c>
      <c r="D1415" s="8">
        <v>-0.0144307103205887</v>
      </c>
      <c r="E1415" s="8">
        <v>0.356</v>
      </c>
      <c r="F1415" s="9">
        <f t="shared" si="154"/>
        <v>0.0947025339246719</v>
      </c>
      <c r="G1415" s="9">
        <f t="shared" si="155"/>
        <v>0.0992109193689266</v>
      </c>
      <c r="H1415" s="9">
        <f t="shared" si="156"/>
        <v>0.099937931851841</v>
      </c>
      <c r="I1415" s="3" t="str">
        <f t="shared" si="157"/>
        <v>2020-11-01</v>
      </c>
      <c r="J1415" s="9">
        <f t="shared" si="158"/>
        <v>0.0964759027661703</v>
      </c>
      <c r="K1415" s="9">
        <f t="shared" si="159"/>
        <v>0.0977583857657062</v>
      </c>
      <c r="L1415" s="9">
        <f t="shared" si="160"/>
        <v>0.0978597323178163</v>
      </c>
    </row>
    <row r="1416" s="3" customFormat="1" ht="12.95" customHeight="1" spans="1:12">
      <c r="A1416" s="4">
        <v>44154</v>
      </c>
      <c r="B1416" s="8">
        <v>0.093676118358399</v>
      </c>
      <c r="C1416" s="8">
        <v>-0.00118809892324767</v>
      </c>
      <c r="D1416" s="8">
        <v>0.0219869624960886</v>
      </c>
      <c r="E1416" s="8">
        <v>3.5</v>
      </c>
      <c r="F1416" s="9">
        <f t="shared" si="154"/>
        <v>0.0952448798651714</v>
      </c>
      <c r="G1416" s="9">
        <f t="shared" si="155"/>
        <v>0.0994769960605639</v>
      </c>
      <c r="H1416" s="9">
        <f t="shared" si="156"/>
        <v>0.0992748651385318</v>
      </c>
      <c r="I1416" s="3" t="str">
        <f t="shared" si="157"/>
        <v>2020-11-01</v>
      </c>
      <c r="J1416" s="9">
        <f t="shared" si="158"/>
        <v>0.0964759027661703</v>
      </c>
      <c r="K1416" s="9">
        <f t="shared" si="159"/>
        <v>0.0977583857657062</v>
      </c>
      <c r="L1416" s="9">
        <f t="shared" si="160"/>
        <v>0.0978597323178163</v>
      </c>
    </row>
    <row r="1417" s="3" customFormat="1" ht="12.95" customHeight="1" spans="1:12">
      <c r="A1417" s="4">
        <v>44153</v>
      </c>
      <c r="B1417" s="8">
        <v>0.0976140582439131</v>
      </c>
      <c r="C1417" s="8">
        <v>-0.0151128367321691</v>
      </c>
      <c r="D1417" s="8">
        <v>0.0084443449115996</v>
      </c>
      <c r="E1417" s="8">
        <v>0.076</v>
      </c>
      <c r="F1417" s="9">
        <f t="shared" si="154"/>
        <v>0.0971072375446306</v>
      </c>
      <c r="G1417" s="9">
        <f t="shared" si="155"/>
        <v>0.0975126971682404</v>
      </c>
      <c r="H1417" s="9">
        <f t="shared" si="156"/>
        <v>0.0975633777060768</v>
      </c>
      <c r="I1417" s="3" t="str">
        <f t="shared" si="157"/>
        <v>2020-11-01</v>
      </c>
      <c r="J1417" s="9">
        <f t="shared" si="158"/>
        <v>0.0964759027661703</v>
      </c>
      <c r="K1417" s="9">
        <f t="shared" si="159"/>
        <v>0.0977583857657062</v>
      </c>
      <c r="L1417" s="9">
        <f t="shared" si="160"/>
        <v>0.0978597323178163</v>
      </c>
    </row>
    <row r="1418" s="3" customFormat="1" ht="12.95" customHeight="1" spans="1:12">
      <c r="A1418" s="4">
        <v>44152</v>
      </c>
      <c r="B1418" s="8">
        <v>0.0971668494980271</v>
      </c>
      <c r="C1418" s="8">
        <v>-0.0167857375512145</v>
      </c>
      <c r="D1418" s="8">
        <v>0.0132520230870259</v>
      </c>
      <c r="E1418" s="8">
        <v>0.076</v>
      </c>
      <c r="F1418" s="9">
        <f t="shared" si="154"/>
        <v>0.0968982621382683</v>
      </c>
      <c r="G1418" s="9">
        <f t="shared" si="155"/>
        <v>0.0971131370381714</v>
      </c>
      <c r="H1418" s="9">
        <f t="shared" si="156"/>
        <v>0.0971399932680993</v>
      </c>
      <c r="I1418" s="3" t="str">
        <f t="shared" si="157"/>
        <v>2020-11-01</v>
      </c>
      <c r="J1418" s="9">
        <f t="shared" si="158"/>
        <v>0.0964759027661703</v>
      </c>
      <c r="K1418" s="9">
        <f t="shared" si="159"/>
        <v>0.0977583857657062</v>
      </c>
      <c r="L1418" s="9">
        <f t="shared" si="160"/>
        <v>0.0978597323178163</v>
      </c>
    </row>
    <row r="1419" s="3" customFormat="1" ht="12.95" customHeight="1" spans="1:12">
      <c r="A1419" s="4">
        <v>44151</v>
      </c>
      <c r="B1419" s="8">
        <v>0.0970729</v>
      </c>
      <c r="C1419" s="8">
        <v>-0.0192789</v>
      </c>
      <c r="D1419" s="8">
        <v>0.018046</v>
      </c>
      <c r="E1419" s="8">
        <v>0.076</v>
      </c>
      <c r="F1419" s="9">
        <f t="shared" si="154"/>
        <v>0.0969791649487417</v>
      </c>
      <c r="G1419" s="9">
        <f t="shared" si="155"/>
        <v>0.09705415992</v>
      </c>
      <c r="H1419" s="9">
        <f t="shared" si="156"/>
        <v>0.09706352996</v>
      </c>
      <c r="I1419" s="3" t="str">
        <f t="shared" si="157"/>
        <v>2020-11-01</v>
      </c>
      <c r="J1419" s="9">
        <f t="shared" si="158"/>
        <v>0.0964759027661703</v>
      </c>
      <c r="K1419" s="9">
        <f t="shared" si="159"/>
        <v>0.0977583857657062</v>
      </c>
      <c r="L1419" s="9">
        <f t="shared" si="160"/>
        <v>0.0978597323178163</v>
      </c>
    </row>
    <row r="1420" s="3" customFormat="1" ht="12.95" customHeight="1" spans="1:12">
      <c r="A1420" s="4">
        <v>44148</v>
      </c>
      <c r="B1420" s="8">
        <v>0.0969916162994781</v>
      </c>
      <c r="C1420" s="8">
        <v>-0.0208642559119272</v>
      </c>
      <c r="D1420" s="8">
        <v>0.0212174942830301</v>
      </c>
      <c r="E1420" s="8">
        <v>0.076</v>
      </c>
      <c r="F1420" s="9">
        <f t="shared" si="154"/>
        <v>0.0970184214101761</v>
      </c>
      <c r="G1420" s="9">
        <f t="shared" si="155"/>
        <v>0.0969969855227189</v>
      </c>
      <c r="H1420" s="9">
        <f t="shared" si="156"/>
        <v>0.0969943009110985</v>
      </c>
      <c r="I1420" s="3" t="str">
        <f t="shared" si="157"/>
        <v>2020-11-01</v>
      </c>
      <c r="J1420" s="9">
        <f t="shared" si="158"/>
        <v>0.0964759027661703</v>
      </c>
      <c r="K1420" s="9">
        <f t="shared" si="159"/>
        <v>0.0977583857657062</v>
      </c>
      <c r="L1420" s="9">
        <f t="shared" si="160"/>
        <v>0.0978597323178163</v>
      </c>
    </row>
    <row r="1421" s="3" customFormat="1" ht="12.95" customHeight="1" spans="1:12">
      <c r="A1421" s="4">
        <v>44147</v>
      </c>
      <c r="B1421" s="8">
        <v>0.096982678320615</v>
      </c>
      <c r="C1421" s="8">
        <v>-0.0189111429004595</v>
      </c>
      <c r="D1421" s="8">
        <v>0.0175380258358805</v>
      </c>
      <c r="E1421" s="8">
        <v>0.076</v>
      </c>
      <c r="F1421" s="9">
        <f t="shared" si="154"/>
        <v>0.0968782877735018</v>
      </c>
      <c r="G1421" s="9">
        <f t="shared" si="155"/>
        <v>0.0969618069412334</v>
      </c>
      <c r="H1421" s="9">
        <f t="shared" si="156"/>
        <v>0.0969722426309242</v>
      </c>
      <c r="I1421" s="3" t="str">
        <f t="shared" si="157"/>
        <v>2020-11-01</v>
      </c>
      <c r="J1421" s="9">
        <f t="shared" si="158"/>
        <v>0.0964759027661703</v>
      </c>
      <c r="K1421" s="9">
        <f t="shared" si="159"/>
        <v>0.0977583857657062</v>
      </c>
      <c r="L1421" s="9">
        <f t="shared" si="160"/>
        <v>0.0978597323178163</v>
      </c>
    </row>
    <row r="1422" s="3" customFormat="1" ht="12.95" customHeight="1" spans="1:12">
      <c r="A1422" s="4">
        <v>44146</v>
      </c>
      <c r="B1422" s="8">
        <v>0.0970714939263768</v>
      </c>
      <c r="C1422" s="8">
        <v>-0.0191897891877443</v>
      </c>
      <c r="D1422" s="8">
        <v>0.0175436637333707</v>
      </c>
      <c r="E1422" s="8">
        <v>0.076</v>
      </c>
      <c r="F1422" s="9">
        <f t="shared" si="154"/>
        <v>0.0969463547708057</v>
      </c>
      <c r="G1422" s="9">
        <f t="shared" si="155"/>
        <v>0.0970464728194703</v>
      </c>
      <c r="H1422" s="9">
        <f t="shared" si="156"/>
        <v>0.0970589833729236</v>
      </c>
      <c r="I1422" s="3" t="str">
        <f t="shared" si="157"/>
        <v>2020-11-01</v>
      </c>
      <c r="J1422" s="9">
        <f t="shared" si="158"/>
        <v>0.0964759027661703</v>
      </c>
      <c r="K1422" s="9">
        <f t="shared" si="159"/>
        <v>0.0977583857657062</v>
      </c>
      <c r="L1422" s="9">
        <f t="shared" si="160"/>
        <v>0.0978597323178163</v>
      </c>
    </row>
    <row r="1423" s="3" customFormat="1" ht="12.95" customHeight="1" spans="1:12">
      <c r="A1423" s="4">
        <v>44145</v>
      </c>
      <c r="B1423" s="8">
        <v>0.0971576581393854</v>
      </c>
      <c r="C1423" s="8">
        <v>-0.018716231832823</v>
      </c>
      <c r="D1423" s="8">
        <v>0.0161902745170145</v>
      </c>
      <c r="E1423" s="8">
        <v>0.076</v>
      </c>
      <c r="F1423" s="9">
        <f t="shared" si="154"/>
        <v>0.0969656545037029</v>
      </c>
      <c r="G1423" s="9">
        <f t="shared" si="155"/>
        <v>0.0971192635881851</v>
      </c>
      <c r="H1423" s="9">
        <f t="shared" si="156"/>
        <v>0.0971384608637853</v>
      </c>
      <c r="I1423" s="3" t="str">
        <f t="shared" si="157"/>
        <v>2020-11-01</v>
      </c>
      <c r="J1423" s="9">
        <f t="shared" si="158"/>
        <v>0.0964759027661703</v>
      </c>
      <c r="K1423" s="9">
        <f t="shared" si="159"/>
        <v>0.0977583857657062</v>
      </c>
      <c r="L1423" s="9">
        <f t="shared" si="160"/>
        <v>0.0978597323178163</v>
      </c>
    </row>
    <row r="1424" s="3" customFormat="1" ht="12.95" customHeight="1" spans="1:12">
      <c r="A1424" s="4">
        <v>44144</v>
      </c>
      <c r="B1424" s="8">
        <v>0.0971692696998371</v>
      </c>
      <c r="C1424" s="8">
        <v>-0.0176189909418281</v>
      </c>
      <c r="D1424" s="8">
        <v>0.0143191989356639</v>
      </c>
      <c r="E1424" s="8">
        <v>0.076</v>
      </c>
      <c r="F1424" s="9">
        <f t="shared" si="154"/>
        <v>0.0969184583527264</v>
      </c>
      <c r="G1424" s="9">
        <f t="shared" si="155"/>
        <v>0.0971191128613434</v>
      </c>
      <c r="H1424" s="9">
        <f t="shared" si="156"/>
        <v>0.0971441912805902</v>
      </c>
      <c r="I1424" s="3" t="str">
        <f t="shared" si="157"/>
        <v>2020-11-01</v>
      </c>
      <c r="J1424" s="9">
        <f t="shared" si="158"/>
        <v>0.0964759027661703</v>
      </c>
      <c r="K1424" s="9">
        <f t="shared" si="159"/>
        <v>0.0977583857657062</v>
      </c>
      <c r="L1424" s="9">
        <f t="shared" si="160"/>
        <v>0.0978597323178163</v>
      </c>
    </row>
    <row r="1425" s="3" customFormat="1" ht="12.95" customHeight="1" spans="1:12">
      <c r="A1425" s="4">
        <v>44141</v>
      </c>
      <c r="B1425" s="8">
        <v>0.0970720177085149</v>
      </c>
      <c r="C1425" s="8">
        <v>-0.0190929763919263</v>
      </c>
      <c r="D1425" s="8">
        <v>0.017279896375171</v>
      </c>
      <c r="E1425" s="8">
        <v>0.076</v>
      </c>
      <c r="F1425" s="9">
        <f t="shared" si="154"/>
        <v>0.0969341905398138</v>
      </c>
      <c r="G1425" s="9">
        <f t="shared" si="155"/>
        <v>0.0970444588922602</v>
      </c>
      <c r="H1425" s="9">
        <f t="shared" si="156"/>
        <v>0.0970582383003876</v>
      </c>
      <c r="I1425" s="3" t="str">
        <f t="shared" si="157"/>
        <v>2020-11-01</v>
      </c>
      <c r="J1425" s="9">
        <f t="shared" si="158"/>
        <v>0.0964759027661703</v>
      </c>
      <c r="K1425" s="9">
        <f t="shared" si="159"/>
        <v>0.0977583857657062</v>
      </c>
      <c r="L1425" s="9">
        <f t="shared" si="160"/>
        <v>0.0978597323178163</v>
      </c>
    </row>
    <row r="1426" s="3" customFormat="1" ht="12.95" customHeight="1" spans="1:12">
      <c r="A1426" s="4">
        <v>44140</v>
      </c>
      <c r="B1426" s="8">
        <v>0.0970720148553502</v>
      </c>
      <c r="C1426" s="8">
        <v>-0.0190929735387617</v>
      </c>
      <c r="D1426" s="8">
        <v>0.0172799040504161</v>
      </c>
      <c r="E1426" s="8">
        <v>0.076</v>
      </c>
      <c r="F1426" s="9">
        <f t="shared" si="154"/>
        <v>0.0969341884867919</v>
      </c>
      <c r="G1426" s="9">
        <f t="shared" si="155"/>
        <v>0.0970444561991274</v>
      </c>
      <c r="H1426" s="9">
        <f t="shared" si="156"/>
        <v>0.0970582355272388</v>
      </c>
      <c r="I1426" s="3" t="str">
        <f t="shared" si="157"/>
        <v>2020-11-01</v>
      </c>
      <c r="J1426" s="9">
        <f t="shared" si="158"/>
        <v>0.0964759027661703</v>
      </c>
      <c r="K1426" s="9">
        <f t="shared" si="159"/>
        <v>0.0977583857657062</v>
      </c>
      <c r="L1426" s="9">
        <f t="shared" si="160"/>
        <v>0.0978597323178163</v>
      </c>
    </row>
    <row r="1427" s="3" customFormat="1" ht="12.95" customHeight="1" spans="1:12">
      <c r="A1427" s="4">
        <v>44139</v>
      </c>
      <c r="B1427" s="8">
        <v>0.097088358953678</v>
      </c>
      <c r="C1427" s="8">
        <v>-0.0201273178175496</v>
      </c>
      <c r="D1427" s="8">
        <v>0.0190318515789693</v>
      </c>
      <c r="E1427" s="8">
        <v>0.076</v>
      </c>
      <c r="F1427" s="9">
        <f t="shared" si="154"/>
        <v>0.097005066945251</v>
      </c>
      <c r="G1427" s="9">
        <f t="shared" si="155"/>
        <v>0.0970717078668516</v>
      </c>
      <c r="H1427" s="9">
        <f t="shared" si="156"/>
        <v>0.0970800334102648</v>
      </c>
      <c r="I1427" s="3" t="str">
        <f t="shared" si="157"/>
        <v>2020-11-01</v>
      </c>
      <c r="J1427" s="9">
        <f t="shared" si="158"/>
        <v>0.0964759027661703</v>
      </c>
      <c r="K1427" s="9">
        <f t="shared" si="159"/>
        <v>0.0977583857657062</v>
      </c>
      <c r="L1427" s="9">
        <f t="shared" si="160"/>
        <v>0.0978597323178163</v>
      </c>
    </row>
    <row r="1428" s="3" customFormat="1" ht="12.95" customHeight="1" spans="1:12">
      <c r="A1428" s="4">
        <v>44138</v>
      </c>
      <c r="B1428" s="8">
        <v>0.0972978862751503</v>
      </c>
      <c r="C1428" s="8">
        <v>-0.0169167743283379</v>
      </c>
      <c r="D1428" s="8">
        <v>0.0122251175219404</v>
      </c>
      <c r="E1428" s="8">
        <v>0.076</v>
      </c>
      <c r="F1428" s="9">
        <f t="shared" si="154"/>
        <v>0.0969412974493646</v>
      </c>
      <c r="G1428" s="9">
        <f t="shared" si="155"/>
        <v>0.0972265730916931</v>
      </c>
      <c r="H1428" s="9">
        <f t="shared" si="156"/>
        <v>0.0972622296834217</v>
      </c>
      <c r="I1428" s="3" t="str">
        <f t="shared" si="157"/>
        <v>2020-11-01</v>
      </c>
      <c r="J1428" s="9">
        <f t="shared" si="158"/>
        <v>0.0964759027661703</v>
      </c>
      <c r="K1428" s="9">
        <f t="shared" si="159"/>
        <v>0.0977583857657062</v>
      </c>
      <c r="L1428" s="9">
        <f t="shared" si="160"/>
        <v>0.0978597323178163</v>
      </c>
    </row>
    <row r="1429" s="3" customFormat="1" ht="12.95" customHeight="1" spans="1:12">
      <c r="A1429" s="4">
        <v>44137</v>
      </c>
      <c r="B1429" s="8">
        <v>0.0974566637645593</v>
      </c>
      <c r="C1429" s="8">
        <v>-0.0142820482237108</v>
      </c>
      <c r="D1429" s="8">
        <v>0.00666344634968082</v>
      </c>
      <c r="E1429" s="8">
        <v>0.076</v>
      </c>
      <c r="F1429" s="9">
        <f t="shared" si="154"/>
        <v>0.0968776382780529</v>
      </c>
      <c r="G1429" s="9">
        <f t="shared" si="155"/>
        <v>0.097340861016074</v>
      </c>
      <c r="H1429" s="9">
        <f t="shared" si="156"/>
        <v>0.0973987623903167</v>
      </c>
      <c r="I1429" s="3" t="str">
        <f t="shared" si="157"/>
        <v>2020-11-01</v>
      </c>
      <c r="J1429" s="9">
        <f t="shared" si="158"/>
        <v>0.0964759027661703</v>
      </c>
      <c r="K1429" s="9">
        <f t="shared" si="159"/>
        <v>0.0977583857657062</v>
      </c>
      <c r="L1429" s="9">
        <f t="shared" si="160"/>
        <v>0.0978597323178163</v>
      </c>
    </row>
    <row r="1430" s="3" customFormat="1" ht="12.95" customHeight="1" spans="1:12">
      <c r="A1430" s="4">
        <v>44134</v>
      </c>
      <c r="B1430" s="8">
        <v>0.0976040117353315</v>
      </c>
      <c r="C1430" s="8">
        <v>-0.0141824035962591</v>
      </c>
      <c r="D1430" s="8">
        <v>0.00677949871968999</v>
      </c>
      <c r="E1430" s="8">
        <v>0.076</v>
      </c>
      <c r="F1430" s="9">
        <f t="shared" si="154"/>
        <v>0.0970413789649881</v>
      </c>
      <c r="G1430" s="9">
        <f t="shared" si="155"/>
        <v>0.0974914875812076</v>
      </c>
      <c r="H1430" s="9">
        <f t="shared" si="156"/>
        <v>0.0975477496582696</v>
      </c>
      <c r="I1430" s="3" t="str">
        <f t="shared" si="157"/>
        <v>2020-10-01</v>
      </c>
      <c r="J1430" s="9">
        <f t="shared" si="158"/>
        <v>0.0951304277386225</v>
      </c>
      <c r="K1430" s="9">
        <f t="shared" si="159"/>
        <v>0.0964380003280887</v>
      </c>
      <c r="L1430" s="9">
        <f t="shared" si="160"/>
        <v>0.0968158768841614</v>
      </c>
    </row>
    <row r="1431" s="3" customFormat="1" ht="12.95" customHeight="1" spans="1:12">
      <c r="A1431" s="4">
        <v>44133</v>
      </c>
      <c r="B1431" s="8">
        <v>0.0983289412085267</v>
      </c>
      <c r="C1431" s="8">
        <v>-0.010711144075581</v>
      </c>
      <c r="D1431" s="8">
        <v>0.000583914776048349</v>
      </c>
      <c r="E1431" s="8">
        <v>0.136</v>
      </c>
      <c r="F1431" s="9">
        <f t="shared" si="154"/>
        <v>0.0969521463518372</v>
      </c>
      <c r="G1431" s="9">
        <f t="shared" si="155"/>
        <v>0.0980534805715794</v>
      </c>
      <c r="H1431" s="9">
        <f t="shared" si="156"/>
        <v>0.0981912108900531</v>
      </c>
      <c r="I1431" s="3" t="str">
        <f t="shared" si="157"/>
        <v>2020-10-01</v>
      </c>
      <c r="J1431" s="9">
        <f t="shared" si="158"/>
        <v>0.0951304277386225</v>
      </c>
      <c r="K1431" s="9">
        <f t="shared" si="159"/>
        <v>0.0964380003280887</v>
      </c>
      <c r="L1431" s="9">
        <f t="shared" si="160"/>
        <v>0.0968158768841614</v>
      </c>
    </row>
    <row r="1432" s="3" customFormat="1" ht="12.95" customHeight="1" spans="1:12">
      <c r="A1432" s="4">
        <v>44132</v>
      </c>
      <c r="B1432" s="8">
        <v>0.0986749743424821</v>
      </c>
      <c r="C1432" s="8">
        <v>-0.00947432888418005</v>
      </c>
      <c r="D1432" s="8">
        <v>0.000288535649335493</v>
      </c>
      <c r="E1432" s="8">
        <v>0.356</v>
      </c>
      <c r="F1432" s="9">
        <f t="shared" si="154"/>
        <v>0.0955845211784765</v>
      </c>
      <c r="G1432" s="9">
        <f t="shared" si="155"/>
        <v>0.0980209461547221</v>
      </c>
      <c r="H1432" s="9">
        <f t="shared" si="156"/>
        <v>0.0983479601033217</v>
      </c>
      <c r="I1432" s="3" t="str">
        <f t="shared" si="157"/>
        <v>2020-10-01</v>
      </c>
      <c r="J1432" s="9">
        <f t="shared" si="158"/>
        <v>0.0951304277386225</v>
      </c>
      <c r="K1432" s="9">
        <f t="shared" si="159"/>
        <v>0.0964380003280887</v>
      </c>
      <c r="L1432" s="9">
        <f t="shared" si="160"/>
        <v>0.0968158768841614</v>
      </c>
    </row>
    <row r="1433" s="3" customFormat="1" ht="12.95" customHeight="1" spans="1:12">
      <c r="A1433" s="4">
        <v>44131</v>
      </c>
      <c r="B1433" s="8">
        <v>0.100074420098199</v>
      </c>
      <c r="C1433" s="8">
        <v>-0.00831599485865789</v>
      </c>
      <c r="D1433" s="8">
        <v>0.00498037041934103</v>
      </c>
      <c r="E1433" s="8">
        <v>1.196</v>
      </c>
      <c r="F1433" s="9">
        <f t="shared" si="154"/>
        <v>0.0956555409061498</v>
      </c>
      <c r="G1433" s="9">
        <f t="shared" si="155"/>
        <v>0.099212591400194</v>
      </c>
      <c r="H1433" s="9">
        <f t="shared" si="156"/>
        <v>0.099674408447822</v>
      </c>
      <c r="I1433" s="3" t="str">
        <f t="shared" si="157"/>
        <v>2020-10-01</v>
      </c>
      <c r="J1433" s="9">
        <f t="shared" si="158"/>
        <v>0.0951304277386225</v>
      </c>
      <c r="K1433" s="9">
        <f t="shared" si="159"/>
        <v>0.0964380003280887</v>
      </c>
      <c r="L1433" s="9">
        <f t="shared" si="160"/>
        <v>0.0968158768841614</v>
      </c>
    </row>
    <row r="1434" s="3" customFormat="1" ht="12.95" customHeight="1" spans="1:12">
      <c r="A1434" s="4">
        <v>44130</v>
      </c>
      <c r="B1434" s="8">
        <v>0.101177662234319</v>
      </c>
      <c r="C1434" s="8">
        <v>-0.00789237457798308</v>
      </c>
      <c r="D1434" s="8">
        <v>-0.0142021587860795</v>
      </c>
      <c r="E1434" s="8">
        <v>0.376</v>
      </c>
      <c r="F1434" s="9">
        <f t="shared" si="154"/>
        <v>0.0944453015578453</v>
      </c>
      <c r="G1434" s="9">
        <f t="shared" si="155"/>
        <v>0.0995161799455238</v>
      </c>
      <c r="H1434" s="9">
        <f t="shared" si="156"/>
        <v>0.100346907779873</v>
      </c>
      <c r="I1434" s="3" t="str">
        <f t="shared" si="157"/>
        <v>2020-10-01</v>
      </c>
      <c r="J1434" s="9">
        <f t="shared" si="158"/>
        <v>0.0951304277386225</v>
      </c>
      <c r="K1434" s="9">
        <f t="shared" si="159"/>
        <v>0.0964380003280887</v>
      </c>
      <c r="L1434" s="9">
        <f t="shared" si="160"/>
        <v>0.0968158768841614</v>
      </c>
    </row>
    <row r="1435" s="3" customFormat="1" ht="12.95" customHeight="1" spans="1:12">
      <c r="A1435" s="4">
        <v>44127</v>
      </c>
      <c r="B1435" s="8">
        <v>0.101145818552813</v>
      </c>
      <c r="C1435" s="8">
        <v>-0.00738228874064959</v>
      </c>
      <c r="D1435" s="8">
        <v>-0.0145819670749948</v>
      </c>
      <c r="E1435" s="8">
        <v>0.496</v>
      </c>
      <c r="F1435" s="9">
        <f t="shared" si="154"/>
        <v>0.0936442173925529</v>
      </c>
      <c r="G1435" s="9">
        <f t="shared" si="155"/>
        <v>0.0989676663591145</v>
      </c>
      <c r="H1435" s="9">
        <f t="shared" si="156"/>
        <v>0.100056391491847</v>
      </c>
      <c r="I1435" s="3" t="str">
        <f t="shared" si="157"/>
        <v>2020-10-01</v>
      </c>
      <c r="J1435" s="9">
        <f t="shared" si="158"/>
        <v>0.0951304277386225</v>
      </c>
      <c r="K1435" s="9">
        <f t="shared" si="159"/>
        <v>0.0964380003280887</v>
      </c>
      <c r="L1435" s="9">
        <f t="shared" si="160"/>
        <v>0.0968158768841614</v>
      </c>
    </row>
    <row r="1436" s="3" customFormat="1" ht="12.95" customHeight="1" spans="1:12">
      <c r="A1436" s="4">
        <v>44126</v>
      </c>
      <c r="B1436" s="8">
        <v>0.0984695012450369</v>
      </c>
      <c r="C1436" s="8">
        <v>-0.00552575560229902</v>
      </c>
      <c r="D1436" s="8">
        <v>-0.00528171747770313</v>
      </c>
      <c r="E1436" s="8">
        <v>0.676</v>
      </c>
      <c r="F1436" s="9">
        <f t="shared" si="154"/>
        <v>0.0940310899459171</v>
      </c>
      <c r="G1436" s="9">
        <f t="shared" si="155"/>
        <v>0.0970124671523667</v>
      </c>
      <c r="H1436" s="9">
        <f t="shared" si="156"/>
        <v>0.0977389183272124</v>
      </c>
      <c r="I1436" s="3" t="str">
        <f t="shared" si="157"/>
        <v>2020-10-01</v>
      </c>
      <c r="J1436" s="9">
        <f t="shared" si="158"/>
        <v>0.0951304277386225</v>
      </c>
      <c r="K1436" s="9">
        <f t="shared" si="159"/>
        <v>0.0964380003280887</v>
      </c>
      <c r="L1436" s="9">
        <f t="shared" si="160"/>
        <v>0.0968158768841614</v>
      </c>
    </row>
    <row r="1437" s="3" customFormat="1" ht="12.95" customHeight="1" spans="1:12">
      <c r="A1437" s="4">
        <v>44125</v>
      </c>
      <c r="B1437" s="8">
        <v>0.0947149760750303</v>
      </c>
      <c r="C1437" s="8">
        <v>-0.00432597634734906</v>
      </c>
      <c r="D1437" s="8">
        <v>0.000894661452618319</v>
      </c>
      <c r="E1437" s="8">
        <v>0.076</v>
      </c>
      <c r="F1437" s="9">
        <f t="shared" si="154"/>
        <v>0.0944541949195222</v>
      </c>
      <c r="G1437" s="9">
        <f t="shared" si="155"/>
        <v>0.0946628200886304</v>
      </c>
      <c r="H1437" s="9">
        <f t="shared" si="156"/>
        <v>0.0946888980818303</v>
      </c>
      <c r="I1437" s="3" t="str">
        <f t="shared" si="157"/>
        <v>2020-10-01</v>
      </c>
      <c r="J1437" s="9">
        <f t="shared" si="158"/>
        <v>0.0951304277386225</v>
      </c>
      <c r="K1437" s="9">
        <f t="shared" si="159"/>
        <v>0.0964380003280887</v>
      </c>
      <c r="L1437" s="9">
        <f t="shared" si="160"/>
        <v>0.0968158768841614</v>
      </c>
    </row>
    <row r="1438" s="3" customFormat="1" ht="12.95" customHeight="1" spans="1:12">
      <c r="A1438" s="4">
        <v>44124</v>
      </c>
      <c r="B1438" s="8">
        <v>0.0944150707877715</v>
      </c>
      <c r="C1438" s="8">
        <v>-0.0095226037698083</v>
      </c>
      <c r="D1438" s="8">
        <v>0.0118425698313089</v>
      </c>
      <c r="E1438" s="8">
        <v>0.076</v>
      </c>
      <c r="F1438" s="9">
        <f t="shared" si="154"/>
        <v>0.0945913650097704</v>
      </c>
      <c r="G1438" s="9">
        <f t="shared" si="155"/>
        <v>0.0944503342719063</v>
      </c>
      <c r="H1438" s="9">
        <f t="shared" si="156"/>
        <v>0.0944327025298389</v>
      </c>
      <c r="I1438" s="3" t="str">
        <f t="shared" si="157"/>
        <v>2020-10-01</v>
      </c>
      <c r="J1438" s="9">
        <f t="shared" si="158"/>
        <v>0.0951304277386225</v>
      </c>
      <c r="K1438" s="9">
        <f t="shared" si="159"/>
        <v>0.0964380003280887</v>
      </c>
      <c r="L1438" s="9">
        <f t="shared" si="160"/>
        <v>0.0968158768841614</v>
      </c>
    </row>
    <row r="1439" s="3" customFormat="1" ht="12.95" customHeight="1" spans="1:12">
      <c r="A1439" s="4">
        <v>44123</v>
      </c>
      <c r="B1439" s="8">
        <v>0.0940343626963148</v>
      </c>
      <c r="C1439" s="8">
        <v>-0.0158703417269605</v>
      </c>
      <c r="D1439" s="8">
        <v>0.0250681236182612</v>
      </c>
      <c r="E1439" s="8">
        <v>0.076</v>
      </c>
      <c r="F1439" s="9">
        <f t="shared" si="154"/>
        <v>0.0947333443846791</v>
      </c>
      <c r="G1439" s="9">
        <f t="shared" si="155"/>
        <v>0.0941741689810626</v>
      </c>
      <c r="H1439" s="9">
        <f t="shared" si="156"/>
        <v>0.0941042658386887</v>
      </c>
      <c r="I1439" s="3" t="str">
        <f t="shared" si="157"/>
        <v>2020-10-01</v>
      </c>
      <c r="J1439" s="9">
        <f t="shared" si="158"/>
        <v>0.0951304277386225</v>
      </c>
      <c r="K1439" s="9">
        <f t="shared" si="159"/>
        <v>0.0964380003280887</v>
      </c>
      <c r="L1439" s="9">
        <f t="shared" si="160"/>
        <v>0.0968158768841614</v>
      </c>
    </row>
    <row r="1440" s="3" customFormat="1" ht="12.95" customHeight="1" spans="1:12">
      <c r="A1440" s="4">
        <v>44120</v>
      </c>
      <c r="B1440" s="8">
        <v>0.0940280854562965</v>
      </c>
      <c r="C1440" s="8">
        <v>-0.0162728101911736</v>
      </c>
      <c r="D1440" s="8">
        <v>0.0257706568251391</v>
      </c>
      <c r="E1440" s="8">
        <v>0.076</v>
      </c>
      <c r="F1440" s="9">
        <f t="shared" si="154"/>
        <v>0.0947498706650666</v>
      </c>
      <c r="G1440" s="9">
        <f t="shared" si="155"/>
        <v>0.0941724527251328</v>
      </c>
      <c r="H1440" s="9">
        <f t="shared" si="156"/>
        <v>0.0941002690907146</v>
      </c>
      <c r="I1440" s="3" t="str">
        <f t="shared" si="157"/>
        <v>2020-10-01</v>
      </c>
      <c r="J1440" s="9">
        <f t="shared" si="158"/>
        <v>0.0951304277386225</v>
      </c>
      <c r="K1440" s="9">
        <f t="shared" si="159"/>
        <v>0.0964380003280887</v>
      </c>
      <c r="L1440" s="9">
        <f t="shared" si="160"/>
        <v>0.0968158768841614</v>
      </c>
    </row>
    <row r="1441" s="3" customFormat="1" ht="12.95" customHeight="1" spans="1:12">
      <c r="A1441" s="4">
        <v>44119</v>
      </c>
      <c r="B1441" s="8">
        <v>0.0941028059879589</v>
      </c>
      <c r="C1441" s="8">
        <v>-0.0147372506072185</v>
      </c>
      <c r="D1441" s="8">
        <v>0.0227203256039174</v>
      </c>
      <c r="E1441" s="8">
        <v>0.076</v>
      </c>
      <c r="F1441" s="9">
        <f t="shared" si="154"/>
        <v>0.0947094746622081</v>
      </c>
      <c r="G1441" s="9">
        <f t="shared" si="155"/>
        <v>0.0942241487279087</v>
      </c>
      <c r="H1441" s="9">
        <f t="shared" si="156"/>
        <v>0.0941634773579338</v>
      </c>
      <c r="I1441" s="3" t="str">
        <f t="shared" si="157"/>
        <v>2020-10-01</v>
      </c>
      <c r="J1441" s="9">
        <f t="shared" si="158"/>
        <v>0.0951304277386225</v>
      </c>
      <c r="K1441" s="9">
        <f t="shared" si="159"/>
        <v>0.0964380003280887</v>
      </c>
      <c r="L1441" s="9">
        <f t="shared" si="160"/>
        <v>0.0968158768841614</v>
      </c>
    </row>
    <row r="1442" s="3" customFormat="1" ht="12.95" customHeight="1" spans="1:12">
      <c r="A1442" s="4">
        <v>44118</v>
      </c>
      <c r="B1442" s="8">
        <v>0.0940015983453516</v>
      </c>
      <c r="C1442" s="8">
        <v>-0.0164851559175233</v>
      </c>
      <c r="D1442" s="8">
        <v>0.0262326919941112</v>
      </c>
      <c r="E1442" s="8">
        <v>0.076</v>
      </c>
      <c r="F1442" s="9">
        <f t="shared" si="154"/>
        <v>0.0947423590233197</v>
      </c>
      <c r="G1442" s="9">
        <f t="shared" si="155"/>
        <v>0.0941497608937157</v>
      </c>
      <c r="H1442" s="9">
        <f t="shared" si="156"/>
        <v>0.0940756796195337</v>
      </c>
      <c r="I1442" s="3" t="str">
        <f t="shared" si="157"/>
        <v>2020-10-01</v>
      </c>
      <c r="J1442" s="9">
        <f t="shared" si="158"/>
        <v>0.0951304277386225</v>
      </c>
      <c r="K1442" s="9">
        <f t="shared" si="159"/>
        <v>0.0964380003280887</v>
      </c>
      <c r="L1442" s="9">
        <f t="shared" si="160"/>
        <v>0.0968158768841614</v>
      </c>
    </row>
    <row r="1443" s="3" customFormat="1" ht="12.95" customHeight="1" spans="1:12">
      <c r="A1443" s="4">
        <v>44117</v>
      </c>
      <c r="B1443" s="8">
        <v>0.0947644911001176</v>
      </c>
      <c r="C1443" s="8">
        <v>-0.0172480486722892</v>
      </c>
      <c r="D1443" s="8">
        <v>0.023934546303689</v>
      </c>
      <c r="E1443" s="8">
        <v>0.076</v>
      </c>
      <c r="F1443" s="9">
        <f t="shared" si="154"/>
        <v>0.0952726177411338</v>
      </c>
      <c r="G1443" s="9">
        <f t="shared" si="155"/>
        <v>0.0948661258641149</v>
      </c>
      <c r="H1443" s="9">
        <f t="shared" si="156"/>
        <v>0.0948153084821162</v>
      </c>
      <c r="I1443" s="3" t="str">
        <f t="shared" si="157"/>
        <v>2020-10-01</v>
      </c>
      <c r="J1443" s="9">
        <f t="shared" si="158"/>
        <v>0.0951304277386225</v>
      </c>
      <c r="K1443" s="9">
        <f t="shared" si="159"/>
        <v>0.0964380003280887</v>
      </c>
      <c r="L1443" s="9">
        <f t="shared" si="160"/>
        <v>0.0968158768841614</v>
      </c>
    </row>
    <row r="1444" s="3" customFormat="1" ht="12.95" customHeight="1" spans="1:12">
      <c r="A1444" s="4">
        <v>44116</v>
      </c>
      <c r="B1444" s="8">
        <v>0.0956105718346041</v>
      </c>
      <c r="C1444" s="8">
        <v>-0.0161526504998886</v>
      </c>
      <c r="D1444" s="8">
        <v>0.0178702860113365</v>
      </c>
      <c r="E1444" s="8">
        <v>0.076</v>
      </c>
      <c r="F1444" s="9">
        <f t="shared" si="154"/>
        <v>0.0957410773885503</v>
      </c>
      <c r="G1444" s="9">
        <f t="shared" si="155"/>
        <v>0.0956366798943781</v>
      </c>
      <c r="H1444" s="9">
        <f t="shared" si="156"/>
        <v>0.0956236258644911</v>
      </c>
      <c r="I1444" s="3" t="str">
        <f t="shared" si="157"/>
        <v>2020-10-01</v>
      </c>
      <c r="J1444" s="9">
        <f t="shared" si="158"/>
        <v>0.0951304277386225</v>
      </c>
      <c r="K1444" s="9">
        <f t="shared" si="159"/>
        <v>0.0964380003280887</v>
      </c>
      <c r="L1444" s="9">
        <f t="shared" si="160"/>
        <v>0.0968158768841614</v>
      </c>
    </row>
    <row r="1445" s="3" customFormat="1" ht="12.95" customHeight="1" spans="1:12">
      <c r="A1445" s="4">
        <v>44113</v>
      </c>
      <c r="B1445" s="8">
        <v>0.0961904117499027</v>
      </c>
      <c r="C1445" s="8">
        <v>-0.0123089277692006</v>
      </c>
      <c r="D1445" s="8">
        <v>0.0102337906806047</v>
      </c>
      <c r="E1445" s="8">
        <v>0.076</v>
      </c>
      <c r="F1445" s="9">
        <f t="shared" si="154"/>
        <v>0.096032681882471</v>
      </c>
      <c r="G1445" s="9">
        <f t="shared" si="155"/>
        <v>0.096158869666156</v>
      </c>
      <c r="H1445" s="9">
        <f t="shared" si="156"/>
        <v>0.0961746407080294</v>
      </c>
      <c r="I1445" s="3" t="str">
        <f t="shared" si="157"/>
        <v>2020-10-01</v>
      </c>
      <c r="J1445" s="9">
        <f t="shared" si="158"/>
        <v>0.0951304277386225</v>
      </c>
      <c r="K1445" s="9">
        <f t="shared" si="159"/>
        <v>0.0964380003280887</v>
      </c>
      <c r="L1445" s="9">
        <f t="shared" si="160"/>
        <v>0.0968158768841614</v>
      </c>
    </row>
    <row r="1446" s="3" customFormat="1" ht="12.95" customHeight="1" spans="1:12">
      <c r="A1446" s="4">
        <v>44112</v>
      </c>
      <c r="B1446" s="8">
        <v>0.0963356</v>
      </c>
      <c r="C1446" s="8">
        <v>-0.0093815</v>
      </c>
      <c r="D1446" s="8">
        <v>0.0044357</v>
      </c>
      <c r="E1446" s="8">
        <v>0.076</v>
      </c>
      <c r="F1446" s="9">
        <f t="shared" si="154"/>
        <v>0.0959597113637981</v>
      </c>
      <c r="G1446" s="9">
        <f t="shared" si="155"/>
        <v>0.09626042384</v>
      </c>
      <c r="H1446" s="9">
        <f t="shared" si="156"/>
        <v>0.09629801192</v>
      </c>
      <c r="I1446" s="3" t="str">
        <f t="shared" si="157"/>
        <v>2020-10-01</v>
      </c>
      <c r="J1446" s="9">
        <f t="shared" si="158"/>
        <v>0.0951304277386225</v>
      </c>
      <c r="K1446" s="9">
        <f t="shared" si="159"/>
        <v>0.0964380003280887</v>
      </c>
      <c r="L1446" s="9">
        <f t="shared" si="160"/>
        <v>0.0968158768841614</v>
      </c>
    </row>
    <row r="1447" s="3" customFormat="1" ht="12.95" customHeight="1" spans="1:12">
      <c r="A1447" s="4">
        <v>44111</v>
      </c>
      <c r="B1447" s="8">
        <v>0.096363828494836</v>
      </c>
      <c r="C1447" s="8">
        <v>-0.00844453045695238</v>
      </c>
      <c r="D1447" s="8">
        <v>0.00240694902336191</v>
      </c>
      <c r="E1447" s="8">
        <v>0.076</v>
      </c>
      <c r="F1447" s="9">
        <f t="shared" si="154"/>
        <v>0.0959049685457037</v>
      </c>
      <c r="G1447" s="9">
        <f t="shared" si="155"/>
        <v>0.0962720572570454</v>
      </c>
      <c r="H1447" s="9">
        <f t="shared" si="156"/>
        <v>0.0963179428759407</v>
      </c>
      <c r="I1447" s="3" t="str">
        <f t="shared" si="157"/>
        <v>2020-10-01</v>
      </c>
      <c r="J1447" s="9">
        <f t="shared" si="158"/>
        <v>0.0951304277386225</v>
      </c>
      <c r="K1447" s="9">
        <f t="shared" si="159"/>
        <v>0.0964380003280887</v>
      </c>
      <c r="L1447" s="9">
        <f t="shared" si="160"/>
        <v>0.0968158768841614</v>
      </c>
    </row>
    <row r="1448" s="3" customFormat="1" ht="12.95" customHeight="1" spans="1:12">
      <c r="A1448" s="4">
        <v>44110</v>
      </c>
      <c r="B1448" s="8">
        <v>0.096397653097277</v>
      </c>
      <c r="C1448" s="8">
        <v>-0.00792900510966883</v>
      </c>
      <c r="D1448" s="8">
        <v>0.00136200590541429</v>
      </c>
      <c r="E1448" s="8">
        <v>0.076</v>
      </c>
      <c r="F1448" s="9">
        <f t="shared" si="154"/>
        <v>0.0958985594921701</v>
      </c>
      <c r="G1448" s="9">
        <f t="shared" si="155"/>
        <v>0.0962978347093723</v>
      </c>
      <c r="H1448" s="9">
        <f t="shared" si="156"/>
        <v>0.0963477439033247</v>
      </c>
      <c r="I1448" s="3" t="str">
        <f t="shared" si="157"/>
        <v>2020-10-01</v>
      </c>
      <c r="J1448" s="9">
        <f t="shared" si="158"/>
        <v>0.0951304277386225</v>
      </c>
      <c r="K1448" s="9">
        <f t="shared" si="159"/>
        <v>0.0964380003280887</v>
      </c>
      <c r="L1448" s="9">
        <f t="shared" si="160"/>
        <v>0.0968158768841614</v>
      </c>
    </row>
    <row r="1449" s="3" customFormat="1" ht="12.95" customHeight="1" spans="1:12">
      <c r="A1449" s="4">
        <v>44109</v>
      </c>
      <c r="B1449" s="8">
        <v>0.0979043348357181</v>
      </c>
      <c r="C1449" s="8">
        <v>-0.00815504269210986</v>
      </c>
      <c r="D1449" s="8">
        <v>0.000202331916639834</v>
      </c>
      <c r="E1449" s="8">
        <v>0.236</v>
      </c>
      <c r="F1449" s="9">
        <f t="shared" si="154"/>
        <v>0.0960516862322249</v>
      </c>
      <c r="G1449" s="9">
        <f t="shared" si="155"/>
        <v>0.0975289668872248</v>
      </c>
      <c r="H1449" s="9">
        <f t="shared" si="156"/>
        <v>0.097716650861417</v>
      </c>
      <c r="I1449" s="3" t="str">
        <f t="shared" si="157"/>
        <v>2020-10-01</v>
      </c>
      <c r="J1449" s="9">
        <f t="shared" si="158"/>
        <v>0.0951304277386225</v>
      </c>
      <c r="K1449" s="9">
        <f t="shared" si="159"/>
        <v>0.0964380003280887</v>
      </c>
      <c r="L1449" s="9">
        <f t="shared" si="160"/>
        <v>0.0968158768841614</v>
      </c>
    </row>
    <row r="1450" s="3" customFormat="1" ht="12.95" customHeight="1" spans="1:12">
      <c r="A1450" s="4">
        <v>44106</v>
      </c>
      <c r="B1450" s="8">
        <v>0.102544516129287</v>
      </c>
      <c r="C1450" s="8">
        <v>-0.010809528459792</v>
      </c>
      <c r="D1450" s="8">
        <v>0.00474814786935517</v>
      </c>
      <c r="E1450" s="8">
        <v>4.5</v>
      </c>
      <c r="F1450" s="9">
        <f t="shared" si="154"/>
        <v>0.0933073675630941</v>
      </c>
      <c r="G1450" s="9">
        <f t="shared" si="155"/>
        <v>0.0973220442023532</v>
      </c>
      <c r="H1450" s="9">
        <f t="shared" si="156"/>
        <v>0.0995979343896847</v>
      </c>
      <c r="I1450" s="3" t="str">
        <f t="shared" si="157"/>
        <v>2020-10-01</v>
      </c>
      <c r="J1450" s="9">
        <f t="shared" si="158"/>
        <v>0.0951304277386225</v>
      </c>
      <c r="K1450" s="9">
        <f t="shared" si="159"/>
        <v>0.0964380003280887</v>
      </c>
      <c r="L1450" s="9">
        <f t="shared" si="160"/>
        <v>0.0968158768841614</v>
      </c>
    </row>
    <row r="1451" s="3" customFormat="1" ht="12.95" customHeight="1" spans="1:12">
      <c r="A1451" s="4">
        <v>44105</v>
      </c>
      <c r="B1451" s="8">
        <v>0.103729939447098</v>
      </c>
      <c r="C1451" s="8">
        <v>-0.0117890657487401</v>
      </c>
      <c r="D1451" s="8">
        <v>-0.000925437164235577</v>
      </c>
      <c r="E1451" s="8">
        <v>3.5</v>
      </c>
      <c r="F1451" s="9">
        <f t="shared" si="154"/>
        <v>0.093365935078217</v>
      </c>
      <c r="G1451" s="9">
        <f t="shared" si="155"/>
        <v>0.0971845000442415</v>
      </c>
      <c r="H1451" s="9">
        <f t="shared" si="156"/>
        <v>0.0995885932296084</v>
      </c>
      <c r="I1451" s="3" t="str">
        <f t="shared" si="157"/>
        <v>2020-10-01</v>
      </c>
      <c r="J1451" s="9">
        <f t="shared" si="158"/>
        <v>0.0951304277386225</v>
      </c>
      <c r="K1451" s="9">
        <f t="shared" si="159"/>
        <v>0.0964380003280887</v>
      </c>
      <c r="L1451" s="9">
        <f t="shared" si="160"/>
        <v>0.0968158768841614</v>
      </c>
    </row>
    <row r="1452" s="3" customFormat="1" ht="12.95" customHeight="1" spans="1:12">
      <c r="A1452" s="4">
        <v>44104</v>
      </c>
      <c r="B1452" s="8">
        <v>0.108069530428537</v>
      </c>
      <c r="C1452" s="8">
        <v>-0.0134868879425889</v>
      </c>
      <c r="D1452" s="8">
        <v>-0.0160251031759033</v>
      </c>
      <c r="E1452" s="8">
        <v>3.5</v>
      </c>
      <c r="F1452" s="9">
        <f t="shared" si="154"/>
        <v>0.0944416318661467</v>
      </c>
      <c r="G1452" s="9">
        <f t="shared" si="155"/>
        <v>0.0962023747120891</v>
      </c>
      <c r="H1452" s="9">
        <f t="shared" si="156"/>
        <v>0.0992539300188988</v>
      </c>
      <c r="I1452" s="3" t="str">
        <f t="shared" si="157"/>
        <v>2020-09-01</v>
      </c>
      <c r="J1452" s="9">
        <f t="shared" si="158"/>
        <v>0.0958824541887127</v>
      </c>
      <c r="K1452" s="9">
        <f t="shared" si="159"/>
        <v>0.0952935802761981</v>
      </c>
      <c r="L1452" s="9">
        <f t="shared" si="160"/>
        <v>0.0953451060799394</v>
      </c>
    </row>
    <row r="1453" s="3" customFormat="1" ht="12.95" customHeight="1" spans="1:12">
      <c r="A1453" s="4">
        <v>44103</v>
      </c>
      <c r="B1453" s="8">
        <v>0.0954599424444492</v>
      </c>
      <c r="C1453" s="8">
        <v>0.00112215540179479</v>
      </c>
      <c r="D1453" s="8">
        <v>-0.0111730073730671</v>
      </c>
      <c r="E1453" s="8">
        <v>0.076</v>
      </c>
      <c r="F1453" s="9">
        <f t="shared" si="154"/>
        <v>0.0946961007350033</v>
      </c>
      <c r="G1453" s="9">
        <f t="shared" si="155"/>
        <v>0.0953071694944859</v>
      </c>
      <c r="H1453" s="9">
        <f t="shared" si="156"/>
        <v>0.0953835559694675</v>
      </c>
      <c r="I1453" s="3" t="str">
        <f t="shared" si="157"/>
        <v>2020-09-01</v>
      </c>
      <c r="J1453" s="9">
        <f t="shared" si="158"/>
        <v>0.0958824541887127</v>
      </c>
      <c r="K1453" s="9">
        <f t="shared" si="159"/>
        <v>0.0952935802761981</v>
      </c>
      <c r="L1453" s="9">
        <f t="shared" si="160"/>
        <v>0.0953451060799394</v>
      </c>
    </row>
    <row r="1454" s="3" customFormat="1" ht="12.95" customHeight="1" spans="1:12">
      <c r="A1454" s="4">
        <v>44102</v>
      </c>
      <c r="B1454" s="8">
        <v>0.0949832792275289</v>
      </c>
      <c r="C1454" s="8">
        <v>-0.00753298245548747</v>
      </c>
      <c r="D1454" s="8">
        <v>0.00669531495748903</v>
      </c>
      <c r="E1454" s="8">
        <v>0.076</v>
      </c>
      <c r="F1454" s="9">
        <f t="shared" si="154"/>
        <v>0.0949196036973658</v>
      </c>
      <c r="G1454" s="9">
        <f t="shared" si="155"/>
        <v>0.0949705466815593</v>
      </c>
      <c r="H1454" s="9">
        <f t="shared" si="156"/>
        <v>0.0949769129545441</v>
      </c>
      <c r="I1454" s="3" t="str">
        <f t="shared" si="157"/>
        <v>2020-09-01</v>
      </c>
      <c r="J1454" s="9">
        <f t="shared" si="158"/>
        <v>0.0958824541887127</v>
      </c>
      <c r="K1454" s="9">
        <f t="shared" si="159"/>
        <v>0.0952935802761981</v>
      </c>
      <c r="L1454" s="9">
        <f t="shared" si="160"/>
        <v>0.0953451060799394</v>
      </c>
    </row>
    <row r="1455" s="3" customFormat="1" ht="12.95" customHeight="1" spans="1:12">
      <c r="A1455" s="4">
        <v>44099</v>
      </c>
      <c r="B1455" s="8">
        <v>0.0950294930847645</v>
      </c>
      <c r="C1455" s="8">
        <v>-0.00683548234884818</v>
      </c>
      <c r="D1455" s="8">
        <v>0.00517190649455738</v>
      </c>
      <c r="E1455" s="8">
        <v>0.076</v>
      </c>
      <c r="F1455" s="9">
        <f t="shared" si="154"/>
        <v>0.0949030515811391</v>
      </c>
      <c r="G1455" s="9">
        <f t="shared" si="155"/>
        <v>0.0950042067317793</v>
      </c>
      <c r="H1455" s="9">
        <f t="shared" si="156"/>
        <v>0.0950168499082719</v>
      </c>
      <c r="I1455" s="3" t="str">
        <f t="shared" si="157"/>
        <v>2020-09-01</v>
      </c>
      <c r="J1455" s="9">
        <f t="shared" si="158"/>
        <v>0.0958824541887127</v>
      </c>
      <c r="K1455" s="9">
        <f t="shared" si="159"/>
        <v>0.0952935802761981</v>
      </c>
      <c r="L1455" s="9">
        <f t="shared" si="160"/>
        <v>0.0953451060799394</v>
      </c>
    </row>
    <row r="1456" s="3" customFormat="1" ht="12.95" customHeight="1" spans="1:12">
      <c r="A1456" s="4">
        <v>44098</v>
      </c>
      <c r="B1456" s="8">
        <v>0.0946345853617182</v>
      </c>
      <c r="C1456" s="8">
        <v>-0.0102934369279672</v>
      </c>
      <c r="D1456" s="8">
        <v>0.0132147706614193</v>
      </c>
      <c r="E1456" s="8">
        <v>0.076</v>
      </c>
      <c r="F1456" s="9">
        <f t="shared" si="154"/>
        <v>0.094856580789967</v>
      </c>
      <c r="G1456" s="9">
        <f t="shared" si="155"/>
        <v>0.0946789896344667</v>
      </c>
      <c r="H1456" s="9">
        <f t="shared" si="156"/>
        <v>0.0946567874980924</v>
      </c>
      <c r="I1456" s="3" t="str">
        <f t="shared" si="157"/>
        <v>2020-09-01</v>
      </c>
      <c r="J1456" s="9">
        <f t="shared" si="158"/>
        <v>0.0958824541887127</v>
      </c>
      <c r="K1456" s="9">
        <f t="shared" si="159"/>
        <v>0.0952935802761981</v>
      </c>
      <c r="L1456" s="9">
        <f t="shared" si="160"/>
        <v>0.0953451060799394</v>
      </c>
    </row>
    <row r="1457" s="3" customFormat="1" ht="12.95" customHeight="1" spans="1:12">
      <c r="A1457" s="4">
        <v>44097</v>
      </c>
      <c r="B1457" s="8">
        <v>0.0944838836607958</v>
      </c>
      <c r="C1457" s="8">
        <v>-0.00784757700124909</v>
      </c>
      <c r="D1457" s="8">
        <v>0.0119780217328079</v>
      </c>
      <c r="E1457" s="8">
        <v>0.096</v>
      </c>
      <c r="F1457" s="9">
        <f t="shared" si="154"/>
        <v>0.0948800359913664</v>
      </c>
      <c r="G1457" s="9">
        <f t="shared" si="155"/>
        <v>0.0945631881996417</v>
      </c>
      <c r="H1457" s="9">
        <f t="shared" si="156"/>
        <v>0.0945235359302188</v>
      </c>
      <c r="I1457" s="3" t="str">
        <f t="shared" si="157"/>
        <v>2020-09-01</v>
      </c>
      <c r="J1457" s="9">
        <f t="shared" si="158"/>
        <v>0.0958824541887127</v>
      </c>
      <c r="K1457" s="9">
        <f t="shared" si="159"/>
        <v>0.0952935802761981</v>
      </c>
      <c r="L1457" s="9">
        <f t="shared" si="160"/>
        <v>0.0953451060799394</v>
      </c>
    </row>
    <row r="1458" s="3" customFormat="1" ht="12.95" customHeight="1" spans="1:12">
      <c r="A1458" s="4">
        <v>44096</v>
      </c>
      <c r="B1458" s="8">
        <v>0.0931741637369298</v>
      </c>
      <c r="C1458" s="8">
        <v>-0.00397351827862757</v>
      </c>
      <c r="D1458" s="8">
        <v>0.0138666383442712</v>
      </c>
      <c r="E1458" s="8">
        <v>0.216</v>
      </c>
      <c r="F1458" s="9">
        <f t="shared" si="154"/>
        <v>0.0951549090443285</v>
      </c>
      <c r="G1458" s="9">
        <f t="shared" si="155"/>
        <v>0.0936015465225008</v>
      </c>
      <c r="H1458" s="9">
        <f t="shared" si="156"/>
        <v>0.0933878551303477</v>
      </c>
      <c r="I1458" s="3" t="str">
        <f t="shared" si="157"/>
        <v>2020-09-01</v>
      </c>
      <c r="J1458" s="9">
        <f t="shared" si="158"/>
        <v>0.0958824541887127</v>
      </c>
      <c r="K1458" s="9">
        <f t="shared" si="159"/>
        <v>0.0952935802761981</v>
      </c>
      <c r="L1458" s="9">
        <f t="shared" si="160"/>
        <v>0.0953451060799394</v>
      </c>
    </row>
    <row r="1459" s="3" customFormat="1" ht="12.95" customHeight="1" spans="1:12">
      <c r="A1459" s="4">
        <v>44095</v>
      </c>
      <c r="B1459" s="8">
        <v>0.0939306762405394</v>
      </c>
      <c r="C1459" s="8">
        <v>-0.0112453096219315</v>
      </c>
      <c r="D1459" s="8">
        <v>0.0189720814695153</v>
      </c>
      <c r="E1459" s="8">
        <v>0.076</v>
      </c>
      <c r="F1459" s="9">
        <f t="shared" si="154"/>
        <v>0.0945178731478584</v>
      </c>
      <c r="G1459" s="9">
        <f t="shared" si="155"/>
        <v>0.0940481231726227</v>
      </c>
      <c r="H1459" s="9">
        <f t="shared" si="156"/>
        <v>0.093989399706581</v>
      </c>
      <c r="I1459" s="3" t="str">
        <f t="shared" si="157"/>
        <v>2020-09-01</v>
      </c>
      <c r="J1459" s="9">
        <f t="shared" si="158"/>
        <v>0.0958824541887127</v>
      </c>
      <c r="K1459" s="9">
        <f t="shared" si="159"/>
        <v>0.0952935802761981</v>
      </c>
      <c r="L1459" s="9">
        <f t="shared" si="160"/>
        <v>0.0953451060799394</v>
      </c>
    </row>
    <row r="1460" s="3" customFormat="1" ht="12.95" customHeight="1" spans="1:12">
      <c r="A1460" s="4">
        <v>44092</v>
      </c>
      <c r="B1460" s="8">
        <v>0.093667912754132</v>
      </c>
      <c r="C1460" s="8">
        <v>-0.0115350832156098</v>
      </c>
      <c r="D1460" s="8">
        <v>0.0206331603805027</v>
      </c>
      <c r="E1460" s="8">
        <v>0.076</v>
      </c>
      <c r="F1460" s="9">
        <f t="shared" si="154"/>
        <v>0.0943593254582146</v>
      </c>
      <c r="G1460" s="9">
        <f t="shared" si="155"/>
        <v>0.0938062035270384</v>
      </c>
      <c r="H1460" s="9">
        <f t="shared" si="156"/>
        <v>0.0937370581405852</v>
      </c>
      <c r="I1460" s="3" t="str">
        <f t="shared" si="157"/>
        <v>2020-09-01</v>
      </c>
      <c r="J1460" s="9">
        <f t="shared" si="158"/>
        <v>0.0958824541887127</v>
      </c>
      <c r="K1460" s="9">
        <f t="shared" si="159"/>
        <v>0.0952935802761981</v>
      </c>
      <c r="L1460" s="9">
        <f t="shared" si="160"/>
        <v>0.0953451060799394</v>
      </c>
    </row>
    <row r="1461" s="3" customFormat="1" ht="12.95" customHeight="1" spans="1:12">
      <c r="A1461" s="4">
        <v>44091</v>
      </c>
      <c r="B1461" s="8">
        <v>0.0932634118859522</v>
      </c>
      <c r="C1461" s="8">
        <v>-0.0156544325589693</v>
      </c>
      <c r="D1461" s="8">
        <v>0.0327809262469969</v>
      </c>
      <c r="E1461" s="8">
        <v>0.076</v>
      </c>
      <c r="F1461" s="9">
        <f t="shared" si="154"/>
        <v>0.0945649596206374</v>
      </c>
      <c r="G1461" s="9">
        <f t="shared" si="155"/>
        <v>0.0935237345900102</v>
      </c>
      <c r="H1461" s="9">
        <f t="shared" si="156"/>
        <v>0.0933935732379812</v>
      </c>
      <c r="I1461" s="3" t="str">
        <f t="shared" si="157"/>
        <v>2020-09-01</v>
      </c>
      <c r="J1461" s="9">
        <f t="shared" si="158"/>
        <v>0.0958824541887127</v>
      </c>
      <c r="K1461" s="9">
        <f t="shared" si="159"/>
        <v>0.0952935802761981</v>
      </c>
      <c r="L1461" s="9">
        <f t="shared" si="160"/>
        <v>0.0953451060799394</v>
      </c>
    </row>
    <row r="1462" s="3" customFormat="1" ht="12.95" customHeight="1" spans="1:12">
      <c r="A1462" s="4">
        <v>44090</v>
      </c>
      <c r="B1462" s="8">
        <v>0.0937581329938693</v>
      </c>
      <c r="C1462" s="8">
        <v>-0.0175381070824603</v>
      </c>
      <c r="D1462" s="8">
        <v>0.0336169973577227</v>
      </c>
      <c r="E1462" s="8">
        <v>0.076</v>
      </c>
      <c r="F1462" s="9">
        <f t="shared" si="154"/>
        <v>0.0949800614090897</v>
      </c>
      <c r="G1462" s="9">
        <f t="shared" si="155"/>
        <v>0.0940025321260533</v>
      </c>
      <c r="H1462" s="9">
        <f t="shared" si="156"/>
        <v>0.0938803325599613</v>
      </c>
      <c r="I1462" s="3" t="str">
        <f t="shared" si="157"/>
        <v>2020-09-01</v>
      </c>
      <c r="J1462" s="9">
        <f t="shared" si="158"/>
        <v>0.0958824541887127</v>
      </c>
      <c r="K1462" s="9">
        <f t="shared" si="159"/>
        <v>0.0952935802761981</v>
      </c>
      <c r="L1462" s="9">
        <f t="shared" si="160"/>
        <v>0.0953451060799394</v>
      </c>
    </row>
    <row r="1463" s="3" customFormat="1" ht="12.95" customHeight="1" spans="1:12">
      <c r="A1463" s="4">
        <v>44089</v>
      </c>
      <c r="B1463" s="8">
        <v>0.0949661221836836</v>
      </c>
      <c r="C1463" s="8">
        <v>-0.0183755200219709</v>
      </c>
      <c r="D1463" s="8">
        <v>0.0291891036487704</v>
      </c>
      <c r="E1463" s="8">
        <v>0.076</v>
      </c>
      <c r="F1463" s="9">
        <f t="shared" si="154"/>
        <v>0.0957878966126637</v>
      </c>
      <c r="G1463" s="9">
        <f t="shared" si="155"/>
        <v>0.095130488654811</v>
      </c>
      <c r="H1463" s="9">
        <f t="shared" si="156"/>
        <v>0.0950483054192473</v>
      </c>
      <c r="I1463" s="3" t="str">
        <f t="shared" si="157"/>
        <v>2020-09-01</v>
      </c>
      <c r="J1463" s="9">
        <f t="shared" si="158"/>
        <v>0.0958824541887127</v>
      </c>
      <c r="K1463" s="9">
        <f t="shared" si="159"/>
        <v>0.0952935802761981</v>
      </c>
      <c r="L1463" s="9">
        <f t="shared" si="160"/>
        <v>0.0953451060799394</v>
      </c>
    </row>
    <row r="1464" s="3" customFormat="1" ht="12.95" customHeight="1" spans="1:12">
      <c r="A1464" s="4">
        <v>44088</v>
      </c>
      <c r="B1464" s="8">
        <v>0.0949494655898824</v>
      </c>
      <c r="C1464" s="8">
        <v>-0.017988424453754</v>
      </c>
      <c r="D1464" s="8">
        <v>0.0334345591802033</v>
      </c>
      <c r="E1464" s="8">
        <v>0.076</v>
      </c>
      <c r="F1464" s="9">
        <f t="shared" si="154"/>
        <v>0.0961233050283539</v>
      </c>
      <c r="G1464" s="9">
        <f t="shared" si="155"/>
        <v>0.0951842468377244</v>
      </c>
      <c r="H1464" s="9">
        <f t="shared" si="156"/>
        <v>0.0950668562138034</v>
      </c>
      <c r="I1464" s="3" t="str">
        <f t="shared" si="157"/>
        <v>2020-09-01</v>
      </c>
      <c r="J1464" s="9">
        <f t="shared" si="158"/>
        <v>0.0958824541887127</v>
      </c>
      <c r="K1464" s="9">
        <f t="shared" si="159"/>
        <v>0.0952935802761981</v>
      </c>
      <c r="L1464" s="9">
        <f t="shared" si="160"/>
        <v>0.0953451060799394</v>
      </c>
    </row>
    <row r="1465" s="3" customFormat="1" ht="12.95" customHeight="1" spans="1:12">
      <c r="A1465" s="4">
        <v>44085</v>
      </c>
      <c r="B1465" s="8">
        <v>0.0950863558504345</v>
      </c>
      <c r="C1465" s="8">
        <v>-0.019978883363629</v>
      </c>
      <c r="D1465" s="8">
        <v>0.0365837334323589</v>
      </c>
      <c r="E1465" s="8">
        <v>0.076</v>
      </c>
      <c r="F1465" s="9">
        <f t="shared" si="154"/>
        <v>0.0963482514064539</v>
      </c>
      <c r="G1465" s="9">
        <f t="shared" si="155"/>
        <v>0.0953387495714792</v>
      </c>
      <c r="H1465" s="9">
        <f t="shared" si="156"/>
        <v>0.0952125527109568</v>
      </c>
      <c r="I1465" s="3" t="str">
        <f t="shared" si="157"/>
        <v>2020-09-01</v>
      </c>
      <c r="J1465" s="9">
        <f t="shared" si="158"/>
        <v>0.0958824541887127</v>
      </c>
      <c r="K1465" s="9">
        <f t="shared" si="159"/>
        <v>0.0952935802761981</v>
      </c>
      <c r="L1465" s="9">
        <f t="shared" si="160"/>
        <v>0.0953451060799394</v>
      </c>
    </row>
    <row r="1466" s="3" customFormat="1" ht="12.95" customHeight="1" spans="1:12">
      <c r="A1466" s="4">
        <v>44084</v>
      </c>
      <c r="B1466" s="8">
        <v>0.0957547767224759</v>
      </c>
      <c r="C1466" s="8">
        <v>-0.0202820559574291</v>
      </c>
      <c r="D1466" s="8">
        <v>0.0371562977632159</v>
      </c>
      <c r="E1466" s="8">
        <v>0.076</v>
      </c>
      <c r="F1466" s="9">
        <f t="shared" si="154"/>
        <v>0.0970371449058384</v>
      </c>
      <c r="G1466" s="9">
        <f t="shared" si="155"/>
        <v>0.0960112651979239</v>
      </c>
      <c r="H1466" s="9">
        <f t="shared" si="156"/>
        <v>0.0958830209601999</v>
      </c>
      <c r="I1466" s="3" t="str">
        <f t="shared" si="157"/>
        <v>2020-09-01</v>
      </c>
      <c r="J1466" s="9">
        <f t="shared" si="158"/>
        <v>0.0958824541887127</v>
      </c>
      <c r="K1466" s="9">
        <f t="shared" si="159"/>
        <v>0.0952935802761981</v>
      </c>
      <c r="L1466" s="9">
        <f t="shared" si="160"/>
        <v>0.0953451060799394</v>
      </c>
    </row>
    <row r="1467" s="3" customFormat="1" ht="12.95" customHeight="1" spans="1:12">
      <c r="A1467" s="4">
        <v>44083</v>
      </c>
      <c r="B1467" s="8">
        <v>0.0956285852122125</v>
      </c>
      <c r="C1467" s="8">
        <v>-0.0201323309178474</v>
      </c>
      <c r="D1467" s="8">
        <v>0.0374458340750412</v>
      </c>
      <c r="E1467" s="8">
        <v>0.076</v>
      </c>
      <c r="F1467" s="9">
        <f t="shared" si="154"/>
        <v>0.0969443366349863</v>
      </c>
      <c r="G1467" s="9">
        <f t="shared" si="155"/>
        <v>0.0958917504602018</v>
      </c>
      <c r="H1467" s="9">
        <f t="shared" si="156"/>
        <v>0.0957601678362072</v>
      </c>
      <c r="I1467" s="3" t="str">
        <f t="shared" si="157"/>
        <v>2020-09-01</v>
      </c>
      <c r="J1467" s="9">
        <f t="shared" si="158"/>
        <v>0.0958824541887127</v>
      </c>
      <c r="K1467" s="9">
        <f t="shared" si="159"/>
        <v>0.0952935802761981</v>
      </c>
      <c r="L1467" s="9">
        <f t="shared" si="160"/>
        <v>0.0953451060799394</v>
      </c>
    </row>
    <row r="1468" s="3" customFormat="1" ht="12.95" customHeight="1" spans="1:12">
      <c r="A1468" s="4">
        <v>44082</v>
      </c>
      <c r="B1468" s="8">
        <v>0.0959279523371801</v>
      </c>
      <c r="C1468" s="8">
        <v>-0.0204274901871805</v>
      </c>
      <c r="D1468" s="8">
        <v>0.0366707459515495</v>
      </c>
      <c r="E1468" s="8">
        <v>0.076</v>
      </c>
      <c r="F1468" s="9">
        <f t="shared" si="154"/>
        <v>0.0971623666111616</v>
      </c>
      <c r="G1468" s="9">
        <f t="shared" si="155"/>
        <v>0.0961748498247985</v>
      </c>
      <c r="H1468" s="9">
        <f t="shared" si="156"/>
        <v>0.0960514010809893</v>
      </c>
      <c r="I1468" s="3" t="str">
        <f t="shared" si="157"/>
        <v>2020-09-01</v>
      </c>
      <c r="J1468" s="9">
        <f t="shared" si="158"/>
        <v>0.0958824541887127</v>
      </c>
      <c r="K1468" s="9">
        <f t="shared" si="159"/>
        <v>0.0952935802761981</v>
      </c>
      <c r="L1468" s="9">
        <f t="shared" si="160"/>
        <v>0.0953451060799394</v>
      </c>
    </row>
    <row r="1469" s="3" customFormat="1" ht="12.95" customHeight="1" spans="1:12">
      <c r="A1469" s="4">
        <v>44081</v>
      </c>
      <c r="B1469" s="8">
        <v>0.0958583844497096</v>
      </c>
      <c r="C1469" s="8">
        <v>-0.0202871976026355</v>
      </c>
      <c r="D1469" s="8">
        <v>0.0364125178531789</v>
      </c>
      <c r="E1469" s="8">
        <v>0.076</v>
      </c>
      <c r="F1469" s="9">
        <f t="shared" si="154"/>
        <v>0.0970838361403688</v>
      </c>
      <c r="G1469" s="9">
        <f t="shared" si="155"/>
        <v>0.0961034893175179</v>
      </c>
      <c r="H1469" s="9">
        <f t="shared" si="156"/>
        <v>0.0959809368836137</v>
      </c>
      <c r="I1469" s="3" t="str">
        <f t="shared" si="157"/>
        <v>2020-09-01</v>
      </c>
      <c r="J1469" s="9">
        <f t="shared" si="158"/>
        <v>0.0958824541887127</v>
      </c>
      <c r="K1469" s="9">
        <f t="shared" si="159"/>
        <v>0.0952935802761981</v>
      </c>
      <c r="L1469" s="9">
        <f t="shared" si="160"/>
        <v>0.0953451060799394</v>
      </c>
    </row>
    <row r="1470" s="3" customFormat="1" ht="12.95" customHeight="1" spans="1:12">
      <c r="A1470" s="4">
        <v>44078</v>
      </c>
      <c r="B1470" s="8">
        <v>0.0960636083896147</v>
      </c>
      <c r="C1470" s="8">
        <v>-0.020677881483725</v>
      </c>
      <c r="D1470" s="8">
        <v>0.0361552583931469</v>
      </c>
      <c r="E1470" s="8">
        <v>0.076</v>
      </c>
      <c r="F1470" s="9">
        <f t="shared" si="154"/>
        <v>0.0972398169779564</v>
      </c>
      <c r="G1470" s="9">
        <f t="shared" si="155"/>
        <v>0.0962988645186379</v>
      </c>
      <c r="H1470" s="9">
        <f t="shared" si="156"/>
        <v>0.0961812364541263</v>
      </c>
      <c r="I1470" s="3" t="str">
        <f t="shared" si="157"/>
        <v>2020-09-01</v>
      </c>
      <c r="J1470" s="9">
        <f t="shared" si="158"/>
        <v>0.0958824541887127</v>
      </c>
      <c r="K1470" s="9">
        <f t="shared" si="159"/>
        <v>0.0952935802761981</v>
      </c>
      <c r="L1470" s="9">
        <f t="shared" si="160"/>
        <v>0.0953451060799394</v>
      </c>
    </row>
    <row r="1471" s="3" customFormat="1" ht="12.95" customHeight="1" spans="1:12">
      <c r="A1471" s="4">
        <v>44077</v>
      </c>
      <c r="B1471" s="8">
        <v>0.0964909542994537</v>
      </c>
      <c r="C1471" s="8">
        <v>-0.0184194188792983</v>
      </c>
      <c r="D1471" s="8">
        <v>0.0295930927274826</v>
      </c>
      <c r="E1471" s="8">
        <v>0.076</v>
      </c>
      <c r="F1471" s="9">
        <f t="shared" si="154"/>
        <v>0.0973400947526623</v>
      </c>
      <c r="G1471" s="9">
        <f t="shared" si="155"/>
        <v>0.0966607941419461</v>
      </c>
      <c r="H1471" s="9">
        <f t="shared" si="156"/>
        <v>0.0965758742206999</v>
      </c>
      <c r="I1471" s="3" t="str">
        <f t="shared" si="157"/>
        <v>2020-09-01</v>
      </c>
      <c r="J1471" s="9">
        <f t="shared" si="158"/>
        <v>0.0958824541887127</v>
      </c>
      <c r="K1471" s="9">
        <f t="shared" si="159"/>
        <v>0.0952935802761981</v>
      </c>
      <c r="L1471" s="9">
        <f t="shared" si="160"/>
        <v>0.0953451060799394</v>
      </c>
    </row>
    <row r="1472" s="3" customFormat="1" ht="12.95" customHeight="1" spans="1:12">
      <c r="A1472" s="4">
        <v>44076</v>
      </c>
      <c r="B1472" s="8">
        <v>0.0966982838346738</v>
      </c>
      <c r="C1472" s="8">
        <v>-0.0148418373648417</v>
      </c>
      <c r="D1472" s="8">
        <v>0.0215745560961933</v>
      </c>
      <c r="E1472" s="8">
        <v>0.076</v>
      </c>
      <c r="F1472" s="9">
        <f t="shared" si="154"/>
        <v>0.0972099278277235</v>
      </c>
      <c r="G1472" s="9">
        <f t="shared" si="155"/>
        <v>0.0968006211593903</v>
      </c>
      <c r="H1472" s="9">
        <f t="shared" si="156"/>
        <v>0.0967494524970321</v>
      </c>
      <c r="I1472" s="3" t="str">
        <f t="shared" si="157"/>
        <v>2020-09-01</v>
      </c>
      <c r="J1472" s="9">
        <f t="shared" si="158"/>
        <v>0.0958824541887127</v>
      </c>
      <c r="K1472" s="9">
        <f t="shared" si="159"/>
        <v>0.0952935802761981</v>
      </c>
      <c r="L1472" s="9">
        <f t="shared" si="160"/>
        <v>0.0953451060799394</v>
      </c>
    </row>
    <row r="1473" s="3" customFormat="1" ht="12.95" customHeight="1" spans="1:12">
      <c r="A1473" s="4">
        <v>44075</v>
      </c>
      <c r="B1473" s="8">
        <v>0.0966104456445303</v>
      </c>
      <c r="C1473" s="8">
        <v>-0.00503450215732076</v>
      </c>
      <c r="D1473" s="8">
        <v>0.0149001826758448</v>
      </c>
      <c r="E1473" s="8">
        <v>0.276</v>
      </c>
      <c r="F1473" s="9">
        <f t="shared" si="154"/>
        <v>0.0988628819123938</v>
      </c>
      <c r="G1473" s="9">
        <f t="shared" si="155"/>
        <v>0.09715503099968</v>
      </c>
      <c r="H1473" s="9">
        <f t="shared" si="156"/>
        <v>0.0968827384268416</v>
      </c>
      <c r="I1473" s="3" t="str">
        <f t="shared" si="157"/>
        <v>2020-09-01</v>
      </c>
      <c r="J1473" s="9">
        <f t="shared" si="158"/>
        <v>0.0958824541887127</v>
      </c>
      <c r="K1473" s="9">
        <f t="shared" si="159"/>
        <v>0.0952935802761981</v>
      </c>
      <c r="L1473" s="9">
        <f t="shared" si="160"/>
        <v>0.0953451060799394</v>
      </c>
    </row>
    <row r="1474" s="3" customFormat="1" ht="12.95" customHeight="1" spans="1:12">
      <c r="A1474" s="4">
        <v>44071</v>
      </c>
      <c r="B1474" s="8">
        <v>0.0985359686804588</v>
      </c>
      <c r="C1474" s="8">
        <v>-0.000411570687259815</v>
      </c>
      <c r="D1474" s="8">
        <v>-0.0124445981665315</v>
      </c>
      <c r="E1474" s="8">
        <v>0.076</v>
      </c>
      <c r="F1474" s="9">
        <f t="shared" si="154"/>
        <v>0.0975589257538702</v>
      </c>
      <c r="G1474" s="9">
        <f t="shared" si="155"/>
        <v>0.0983405549138812</v>
      </c>
      <c r="H1474" s="9">
        <f t="shared" si="156"/>
        <v>0.09843826179717</v>
      </c>
      <c r="I1474" s="3" t="str">
        <f t="shared" si="157"/>
        <v>2020-08-01</v>
      </c>
      <c r="J1474" s="9">
        <f t="shared" si="158"/>
        <v>0.100067485346849</v>
      </c>
      <c r="K1474" s="9">
        <f t="shared" si="159"/>
        <v>0.0993816387564868</v>
      </c>
      <c r="L1474" s="9">
        <f t="shared" si="160"/>
        <v>0.0994607442913746</v>
      </c>
    </row>
    <row r="1475" s="3" customFormat="1" ht="12.95" customHeight="1" spans="1:12">
      <c r="A1475" s="4">
        <v>44070</v>
      </c>
      <c r="B1475" s="8">
        <v>0.126036537292993</v>
      </c>
      <c r="C1475" s="8">
        <v>-0.027187173250824</v>
      </c>
      <c r="D1475" s="8">
        <v>-0.0492313256135733</v>
      </c>
      <c r="E1475" s="8">
        <v>5.5</v>
      </c>
      <c r="F1475" s="9">
        <f t="shared" si="154"/>
        <v>0.0972093602569726</v>
      </c>
      <c r="G1475" s="9">
        <f t="shared" si="155"/>
        <v>0.0956781140839897</v>
      </c>
      <c r="H1475" s="9">
        <f t="shared" si="156"/>
        <v>0.0988199853731599</v>
      </c>
      <c r="I1475" s="3" t="str">
        <f t="shared" si="157"/>
        <v>2020-08-01</v>
      </c>
      <c r="J1475" s="9">
        <f t="shared" si="158"/>
        <v>0.100067485346849</v>
      </c>
      <c r="K1475" s="9">
        <f t="shared" si="159"/>
        <v>0.0993816387564868</v>
      </c>
      <c r="L1475" s="9">
        <f t="shared" si="160"/>
        <v>0.0994607442913746</v>
      </c>
    </row>
    <row r="1476" s="3" customFormat="1" ht="12.95" customHeight="1" spans="1:12">
      <c r="A1476" s="4">
        <v>44069</v>
      </c>
      <c r="B1476" s="8">
        <v>0.0993778107531484</v>
      </c>
      <c r="C1476" s="8">
        <v>-0.00161609297065262</v>
      </c>
      <c r="D1476" s="8">
        <v>-0.00648738144101877</v>
      </c>
      <c r="E1476" s="8">
        <v>0.076</v>
      </c>
      <c r="F1476" s="9">
        <f t="shared" si="154"/>
        <v>0.0987619604084388</v>
      </c>
      <c r="G1476" s="9">
        <f t="shared" si="155"/>
        <v>0.099254637942091</v>
      </c>
      <c r="H1476" s="9">
        <f t="shared" si="156"/>
        <v>0.0993162243476197</v>
      </c>
      <c r="I1476" s="3" t="str">
        <f t="shared" si="157"/>
        <v>2020-08-01</v>
      </c>
      <c r="J1476" s="9">
        <f t="shared" si="158"/>
        <v>0.100067485346849</v>
      </c>
      <c r="K1476" s="9">
        <f t="shared" si="159"/>
        <v>0.0993816387564868</v>
      </c>
      <c r="L1476" s="9">
        <f t="shared" si="160"/>
        <v>0.0994607442913746</v>
      </c>
    </row>
    <row r="1477" s="3" customFormat="1" ht="12.95" customHeight="1" spans="1:12">
      <c r="A1477" s="4">
        <v>44068</v>
      </c>
      <c r="B1477" s="8">
        <v>0.097837160121657</v>
      </c>
      <c r="C1477" s="8">
        <v>-0.00808786797804899</v>
      </c>
      <c r="D1477" s="8">
        <v>0.0204042784995841</v>
      </c>
      <c r="E1477" s="8">
        <v>0.196</v>
      </c>
      <c r="F1477" s="9">
        <f t="shared" ref="F1477:F1540" si="161">B1477+(C1477+D1477)*(E1477/$F$3)*(1-EXP(-$F$3/E1477))-D1477*EXP(-$F$3/E1477)</f>
        <v>0.100112342845911</v>
      </c>
      <c r="G1477" s="9">
        <f t="shared" ref="G1477:G1540" si="162">B1477+(C1477+D1477)*(E1477/$G$3)*(1-EXP(-$G$3/E1477))-D1477*EXP(-$G$3/E1477)</f>
        <v>0.098319963413927</v>
      </c>
      <c r="H1477" s="9">
        <f t="shared" ref="H1477:H1540" si="163">B1477+(C1477+D1477)*(E1477/$H$3)*(1-EXP(-$H$3/E1477))-D1477*EXP(-$H$3/E1477)</f>
        <v>0.0980785617678791</v>
      </c>
      <c r="I1477" s="3" t="str">
        <f t="shared" ref="I1477:I1540" si="164">TEXT(A1477,"yyyy-mm-01")</f>
        <v>2020-08-01</v>
      </c>
      <c r="J1477" s="9">
        <f t="shared" ref="J1477:J1540" si="165">AVERAGEIF($I:$I,I1477,$F:$F)</f>
        <v>0.100067485346849</v>
      </c>
      <c r="K1477" s="9">
        <f t="shared" ref="K1477:K1540" si="166">AVERAGEIF($I:$I,I1477,$G:$G)</f>
        <v>0.0993816387564868</v>
      </c>
      <c r="L1477" s="9">
        <f t="shared" ref="L1477:L1540" si="167">AVERAGEIF($I:$I,I1477,$H:$H)</f>
        <v>0.0994607442913746</v>
      </c>
    </row>
    <row r="1478" s="3" customFormat="1" ht="12.95" customHeight="1" spans="1:12">
      <c r="A1478" s="4">
        <v>44067</v>
      </c>
      <c r="B1478" s="8">
        <v>0.098630346559845</v>
      </c>
      <c r="C1478" s="8">
        <v>-0.0143811141149449</v>
      </c>
      <c r="D1478" s="8">
        <v>0.0209119048795622</v>
      </c>
      <c r="E1478" s="8">
        <v>0.076</v>
      </c>
      <c r="F1478" s="9">
        <f t="shared" si="161"/>
        <v>0.0991266453360839</v>
      </c>
      <c r="G1478" s="9">
        <f t="shared" si="162"/>
        <v>0.0987296145794672</v>
      </c>
      <c r="H1478" s="9">
        <f t="shared" si="163"/>
        <v>0.0986799805696561</v>
      </c>
      <c r="I1478" s="3" t="str">
        <f t="shared" si="164"/>
        <v>2020-08-01</v>
      </c>
      <c r="J1478" s="9">
        <f t="shared" si="165"/>
        <v>0.100067485346849</v>
      </c>
      <c r="K1478" s="9">
        <f t="shared" si="166"/>
        <v>0.0993816387564868</v>
      </c>
      <c r="L1478" s="9">
        <f t="shared" si="167"/>
        <v>0.0994607442913746</v>
      </c>
    </row>
    <row r="1479" s="3" customFormat="1" ht="12.95" customHeight="1" spans="1:12">
      <c r="A1479" s="4">
        <v>44064</v>
      </c>
      <c r="B1479" s="8">
        <v>0.0996402</v>
      </c>
      <c r="C1479" s="8">
        <v>-0.012179</v>
      </c>
      <c r="D1479" s="8">
        <v>0.0127671</v>
      </c>
      <c r="E1479" s="8">
        <v>0.076</v>
      </c>
      <c r="F1479" s="9">
        <f t="shared" si="161"/>
        <v>0.0996848708708651</v>
      </c>
      <c r="G1479" s="9">
        <f t="shared" si="162"/>
        <v>0.09964913912</v>
      </c>
      <c r="H1479" s="9">
        <f t="shared" si="163"/>
        <v>0.09964466956</v>
      </c>
      <c r="I1479" s="3" t="str">
        <f t="shared" si="164"/>
        <v>2020-08-01</v>
      </c>
      <c r="J1479" s="9">
        <f t="shared" si="165"/>
        <v>0.100067485346849</v>
      </c>
      <c r="K1479" s="9">
        <f t="shared" si="166"/>
        <v>0.0993816387564868</v>
      </c>
      <c r="L1479" s="9">
        <f t="shared" si="167"/>
        <v>0.0994607442913746</v>
      </c>
    </row>
    <row r="1480" s="3" customFormat="1" ht="12.95" customHeight="1" spans="1:12">
      <c r="A1480" s="4">
        <v>44063</v>
      </c>
      <c r="B1480" s="8">
        <v>0.098674</v>
      </c>
      <c r="C1480" s="8">
        <v>-0.0099308</v>
      </c>
      <c r="D1480" s="8">
        <v>0.0211179</v>
      </c>
      <c r="E1480" s="8">
        <v>0.176</v>
      </c>
      <c r="F1480" s="9">
        <f t="shared" si="161"/>
        <v>0.100564264515418</v>
      </c>
      <c r="G1480" s="9">
        <f t="shared" si="162"/>
        <v>0.0990677859199901</v>
      </c>
      <c r="H1480" s="9">
        <f t="shared" si="163"/>
        <v>0.09887089296</v>
      </c>
      <c r="I1480" s="3" t="str">
        <f t="shared" si="164"/>
        <v>2020-08-01</v>
      </c>
      <c r="J1480" s="9">
        <f t="shared" si="165"/>
        <v>0.100067485346849</v>
      </c>
      <c r="K1480" s="9">
        <f t="shared" si="166"/>
        <v>0.0993816387564868</v>
      </c>
      <c r="L1480" s="9">
        <f t="shared" si="167"/>
        <v>0.0994607442913746</v>
      </c>
    </row>
    <row r="1481" s="3" customFormat="1" ht="12.95" customHeight="1" spans="1:12">
      <c r="A1481" s="4">
        <v>44062</v>
      </c>
      <c r="B1481" s="8">
        <v>0.0995927</v>
      </c>
      <c r="C1481" s="8">
        <v>-0.0131398</v>
      </c>
      <c r="D1481" s="8">
        <v>0.0146501</v>
      </c>
      <c r="E1481" s="8">
        <v>0.076</v>
      </c>
      <c r="F1481" s="9">
        <f t="shared" si="161"/>
        <v>0.0997074543010456</v>
      </c>
      <c r="G1481" s="9">
        <f t="shared" si="162"/>
        <v>0.09961565656</v>
      </c>
      <c r="H1481" s="9">
        <f t="shared" si="163"/>
        <v>0.09960417828</v>
      </c>
      <c r="I1481" s="3" t="str">
        <f t="shared" si="164"/>
        <v>2020-08-01</v>
      </c>
      <c r="J1481" s="9">
        <f t="shared" si="165"/>
        <v>0.100067485346849</v>
      </c>
      <c r="K1481" s="9">
        <f t="shared" si="166"/>
        <v>0.0993816387564868</v>
      </c>
      <c r="L1481" s="9">
        <f t="shared" si="167"/>
        <v>0.0994607442913746</v>
      </c>
    </row>
    <row r="1482" s="3" customFormat="1" ht="12.95" customHeight="1" spans="1:12">
      <c r="A1482" s="4">
        <v>44061</v>
      </c>
      <c r="B1482" s="8">
        <v>0.099472630414313</v>
      </c>
      <c r="C1482" s="8">
        <v>-0.0153153224075895</v>
      </c>
      <c r="D1482" s="8">
        <v>0.0193100714395127</v>
      </c>
      <c r="E1482" s="8">
        <v>0.076</v>
      </c>
      <c r="F1482" s="9">
        <f t="shared" si="161"/>
        <v>0.0997761934827242</v>
      </c>
      <c r="G1482" s="9">
        <f t="shared" si="162"/>
        <v>0.0995333505995982</v>
      </c>
      <c r="H1482" s="9">
        <f t="shared" si="163"/>
        <v>0.0995029905069556</v>
      </c>
      <c r="I1482" s="3" t="str">
        <f t="shared" si="164"/>
        <v>2020-08-01</v>
      </c>
      <c r="J1482" s="9">
        <f t="shared" si="165"/>
        <v>0.100067485346849</v>
      </c>
      <c r="K1482" s="9">
        <f t="shared" si="166"/>
        <v>0.0993816387564868</v>
      </c>
      <c r="L1482" s="9">
        <f t="shared" si="167"/>
        <v>0.0994607442913746</v>
      </c>
    </row>
    <row r="1483" s="3" customFormat="1" ht="12.95" customHeight="1" spans="1:12">
      <c r="A1483" s="4">
        <v>44060</v>
      </c>
      <c r="B1483" s="8">
        <v>0.0995984222811008</v>
      </c>
      <c r="C1483" s="8">
        <v>-0.0131455345509017</v>
      </c>
      <c r="D1483" s="8">
        <v>0.0144515850019328</v>
      </c>
      <c r="E1483" s="8">
        <v>0.076</v>
      </c>
      <c r="F1483" s="9">
        <f t="shared" si="161"/>
        <v>0.0996976540295576</v>
      </c>
      <c r="G1483" s="9">
        <f t="shared" si="162"/>
        <v>0.0996182742479565</v>
      </c>
      <c r="H1483" s="9">
        <f t="shared" si="163"/>
        <v>0.0996083482645286</v>
      </c>
      <c r="I1483" s="3" t="str">
        <f t="shared" si="164"/>
        <v>2020-08-01</v>
      </c>
      <c r="J1483" s="9">
        <f t="shared" si="165"/>
        <v>0.100067485346849</v>
      </c>
      <c r="K1483" s="9">
        <f t="shared" si="166"/>
        <v>0.0993816387564868</v>
      </c>
      <c r="L1483" s="9">
        <f t="shared" si="167"/>
        <v>0.0994607442913746</v>
      </c>
    </row>
    <row r="1484" s="3" customFormat="1" ht="12.95" customHeight="1" spans="1:12">
      <c r="A1484" s="4">
        <v>44057</v>
      </c>
      <c r="B1484" s="8">
        <v>0.0989734007235876</v>
      </c>
      <c r="C1484" s="8">
        <v>-0.0102301908891991</v>
      </c>
      <c r="D1484" s="8">
        <v>0.0200241698791289</v>
      </c>
      <c r="E1484" s="8">
        <v>0.176</v>
      </c>
      <c r="F1484" s="9">
        <f t="shared" si="161"/>
        <v>0.100623038118507</v>
      </c>
      <c r="G1484" s="9">
        <f t="shared" si="162"/>
        <v>0.0993181487840238</v>
      </c>
      <c r="H1484" s="9">
        <f t="shared" si="163"/>
        <v>0.0991457747538104</v>
      </c>
      <c r="I1484" s="3" t="str">
        <f t="shared" si="164"/>
        <v>2020-08-01</v>
      </c>
      <c r="J1484" s="9">
        <f t="shared" si="165"/>
        <v>0.100067485346849</v>
      </c>
      <c r="K1484" s="9">
        <f t="shared" si="166"/>
        <v>0.0993816387564868</v>
      </c>
      <c r="L1484" s="9">
        <f t="shared" si="167"/>
        <v>0.0994607442913746</v>
      </c>
    </row>
    <row r="1485" s="3" customFormat="1" ht="12.95" customHeight="1" spans="1:12">
      <c r="A1485" s="4">
        <v>44056</v>
      </c>
      <c r="B1485" s="8">
        <v>0.100023779611776</v>
      </c>
      <c r="C1485" s="8">
        <v>-0.0204735008537667</v>
      </c>
      <c r="D1485" s="8">
        <v>0.0265937380303647</v>
      </c>
      <c r="E1485" s="8">
        <v>0.076</v>
      </c>
      <c r="F1485" s="9">
        <f t="shared" si="161"/>
        <v>0.100488865408562</v>
      </c>
      <c r="G1485" s="9">
        <f t="shared" si="162"/>
        <v>0.10011680721686</v>
      </c>
      <c r="H1485" s="9">
        <f t="shared" si="163"/>
        <v>0.100070293414318</v>
      </c>
      <c r="I1485" s="3" t="str">
        <f t="shared" si="164"/>
        <v>2020-08-01</v>
      </c>
      <c r="J1485" s="9">
        <f t="shared" si="165"/>
        <v>0.100067485346849</v>
      </c>
      <c r="K1485" s="9">
        <f t="shared" si="166"/>
        <v>0.0993816387564868</v>
      </c>
      <c r="L1485" s="9">
        <f t="shared" si="167"/>
        <v>0.0994607442913746</v>
      </c>
    </row>
    <row r="1486" s="3" customFormat="1" ht="12.95" customHeight="1" spans="1:12">
      <c r="A1486" s="4">
        <v>44055</v>
      </c>
      <c r="B1486" s="8">
        <v>0.0999554309229897</v>
      </c>
      <c r="C1486" s="8">
        <v>-0.0219763896064007</v>
      </c>
      <c r="D1486" s="8">
        <v>0.0295424505763941</v>
      </c>
      <c r="E1486" s="8">
        <v>0.076</v>
      </c>
      <c r="F1486" s="9">
        <f t="shared" si="161"/>
        <v>0.10053039342442</v>
      </c>
      <c r="G1486" s="9">
        <f t="shared" si="162"/>
        <v>0.100070435049734</v>
      </c>
      <c r="H1486" s="9">
        <f t="shared" si="163"/>
        <v>0.100012932986362</v>
      </c>
      <c r="I1486" s="3" t="str">
        <f t="shared" si="164"/>
        <v>2020-08-01</v>
      </c>
      <c r="J1486" s="9">
        <f t="shared" si="165"/>
        <v>0.100067485346849</v>
      </c>
      <c r="K1486" s="9">
        <f t="shared" si="166"/>
        <v>0.0993816387564868</v>
      </c>
      <c r="L1486" s="9">
        <f t="shared" si="167"/>
        <v>0.0994607442913746</v>
      </c>
    </row>
    <row r="1487" s="3" customFormat="1" ht="12.95" customHeight="1" spans="1:12">
      <c r="A1487" s="4">
        <v>44054</v>
      </c>
      <c r="B1487" s="8">
        <v>0.0996792561473594</v>
      </c>
      <c r="C1487" s="8">
        <v>-0.0260571162767457</v>
      </c>
      <c r="D1487" s="8">
        <v>0.038497552094167</v>
      </c>
      <c r="E1487" s="8">
        <v>0.076</v>
      </c>
      <c r="F1487" s="9">
        <f t="shared" si="161"/>
        <v>0.10062465313715</v>
      </c>
      <c r="G1487" s="9">
        <f t="shared" si="162"/>
        <v>0.0998683507717842</v>
      </c>
      <c r="H1487" s="9">
        <f t="shared" si="163"/>
        <v>0.0997738034595718</v>
      </c>
      <c r="I1487" s="3" t="str">
        <f t="shared" si="164"/>
        <v>2020-08-01</v>
      </c>
      <c r="J1487" s="9">
        <f t="shared" si="165"/>
        <v>0.100067485346849</v>
      </c>
      <c r="K1487" s="9">
        <f t="shared" si="166"/>
        <v>0.0993816387564868</v>
      </c>
      <c r="L1487" s="9">
        <f t="shared" si="167"/>
        <v>0.0994607442913746</v>
      </c>
    </row>
    <row r="1488" s="3" customFormat="1" ht="12.95" customHeight="1" spans="1:12">
      <c r="A1488" s="4">
        <v>44053</v>
      </c>
      <c r="B1488" s="8">
        <v>0.0995801754562192</v>
      </c>
      <c r="C1488" s="8">
        <v>-0.0249987322879849</v>
      </c>
      <c r="D1488" s="8">
        <v>0.0456182452167317</v>
      </c>
      <c r="E1488" s="8">
        <v>0.076</v>
      </c>
      <c r="F1488" s="9">
        <f t="shared" si="161"/>
        <v>0.101147167362394</v>
      </c>
      <c r="G1488" s="9">
        <f t="shared" si="162"/>
        <v>0.0998935920527362</v>
      </c>
      <c r="H1488" s="9">
        <f t="shared" si="163"/>
        <v>0.0997368837544777</v>
      </c>
      <c r="I1488" s="3" t="str">
        <f t="shared" si="164"/>
        <v>2020-08-01</v>
      </c>
      <c r="J1488" s="9">
        <f t="shared" si="165"/>
        <v>0.100067485346849</v>
      </c>
      <c r="K1488" s="9">
        <f t="shared" si="166"/>
        <v>0.0993816387564868</v>
      </c>
      <c r="L1488" s="9">
        <f t="shared" si="167"/>
        <v>0.0994607442913746</v>
      </c>
    </row>
    <row r="1489" s="3" customFormat="1" ht="12.95" customHeight="1" spans="1:12">
      <c r="A1489" s="4">
        <v>44050</v>
      </c>
      <c r="B1489" s="8">
        <v>0.0995802923279494</v>
      </c>
      <c r="C1489" s="8">
        <v>-0.0249985379329836</v>
      </c>
      <c r="D1489" s="8">
        <v>0.0456173634827146</v>
      </c>
      <c r="E1489" s="8">
        <v>0.076</v>
      </c>
      <c r="F1489" s="9">
        <f t="shared" si="161"/>
        <v>0.101147231995122</v>
      </c>
      <c r="G1489" s="9">
        <f t="shared" si="162"/>
        <v>0.0998936984763053</v>
      </c>
      <c r="H1489" s="9">
        <f t="shared" si="163"/>
        <v>0.0997369954021274</v>
      </c>
      <c r="I1489" s="3" t="str">
        <f t="shared" si="164"/>
        <v>2020-08-01</v>
      </c>
      <c r="J1489" s="9">
        <f t="shared" si="165"/>
        <v>0.100067485346849</v>
      </c>
      <c r="K1489" s="9">
        <f t="shared" si="166"/>
        <v>0.0993816387564868</v>
      </c>
      <c r="L1489" s="9">
        <f t="shared" si="167"/>
        <v>0.0994607442913746</v>
      </c>
    </row>
    <row r="1490" s="3" customFormat="1" ht="12.95" customHeight="1" spans="1:12">
      <c r="A1490" s="4">
        <v>44049</v>
      </c>
      <c r="B1490" s="8">
        <v>0.0995803329561951</v>
      </c>
      <c r="C1490" s="8">
        <v>-0.024998611693676</v>
      </c>
      <c r="D1490" s="8">
        <v>0.0456173940716865</v>
      </c>
      <c r="E1490" s="8">
        <v>0.076</v>
      </c>
      <c r="F1490" s="9">
        <f t="shared" si="161"/>
        <v>0.101147269342264</v>
      </c>
      <c r="G1490" s="9">
        <f t="shared" si="162"/>
        <v>0.0998937384483409</v>
      </c>
      <c r="H1490" s="9">
        <f t="shared" si="163"/>
        <v>0.099737035702268</v>
      </c>
      <c r="I1490" s="3" t="str">
        <f t="shared" si="164"/>
        <v>2020-08-01</v>
      </c>
      <c r="J1490" s="9">
        <f t="shared" si="165"/>
        <v>0.100067485346849</v>
      </c>
      <c r="K1490" s="9">
        <f t="shared" si="166"/>
        <v>0.0993816387564868</v>
      </c>
      <c r="L1490" s="9">
        <f t="shared" si="167"/>
        <v>0.0994607442913746</v>
      </c>
    </row>
    <row r="1491" s="3" customFormat="1" ht="12.95" customHeight="1" spans="1:12">
      <c r="A1491" s="4">
        <v>44048</v>
      </c>
      <c r="B1491" s="8">
        <v>0.0996655511189841</v>
      </c>
      <c r="C1491" s="8">
        <v>-0.0240724741258591</v>
      </c>
      <c r="D1491" s="8">
        <v>0.0430842373631132</v>
      </c>
      <c r="E1491" s="8">
        <v>0.076</v>
      </c>
      <c r="F1491" s="9">
        <f t="shared" si="161"/>
        <v>0.101110359175557</v>
      </c>
      <c r="G1491" s="9">
        <f t="shared" si="162"/>
        <v>0.0999545299201904</v>
      </c>
      <c r="H1491" s="9">
        <f t="shared" si="163"/>
        <v>0.0998100405195872</v>
      </c>
      <c r="I1491" s="3" t="str">
        <f t="shared" si="164"/>
        <v>2020-08-01</v>
      </c>
      <c r="J1491" s="9">
        <f t="shared" si="165"/>
        <v>0.100067485346849</v>
      </c>
      <c r="K1491" s="9">
        <f t="shared" si="166"/>
        <v>0.0993816387564868</v>
      </c>
      <c r="L1491" s="9">
        <f t="shared" si="167"/>
        <v>0.0994607442913746</v>
      </c>
    </row>
    <row r="1492" s="3" customFormat="1" ht="12.95" customHeight="1" spans="1:12">
      <c r="A1492" s="4">
        <f>A1493+1</f>
        <v>44047</v>
      </c>
      <c r="B1492" s="8">
        <v>0.0998413509143407</v>
      </c>
      <c r="C1492" s="8">
        <v>-0.0211225962029498</v>
      </c>
      <c r="D1492" s="8">
        <v>0.0361795243375164</v>
      </c>
      <c r="E1492" s="8">
        <v>0.076</v>
      </c>
      <c r="F1492" s="9">
        <f t="shared" si="161"/>
        <v>0.100985605410633</v>
      </c>
      <c r="G1492" s="9">
        <f t="shared" si="162"/>
        <v>0.100070216221986</v>
      </c>
      <c r="H1492" s="9">
        <f t="shared" si="163"/>
        <v>0.0999557835681634</v>
      </c>
      <c r="I1492" s="3" t="str">
        <f t="shared" si="164"/>
        <v>2020-08-01</v>
      </c>
      <c r="J1492" s="9">
        <f t="shared" si="165"/>
        <v>0.100067485346849</v>
      </c>
      <c r="K1492" s="9">
        <f t="shared" si="166"/>
        <v>0.0993816387564868</v>
      </c>
      <c r="L1492" s="9">
        <f t="shared" si="167"/>
        <v>0.0994607442913746</v>
      </c>
    </row>
    <row r="1493" s="3" customFormat="1" ht="12.95" customHeight="1" spans="1:12">
      <c r="A1493" s="4">
        <v>44046</v>
      </c>
      <c r="B1493" s="8">
        <v>0.100596330872801</v>
      </c>
      <c r="C1493" s="8">
        <v>-0.0198471036122483</v>
      </c>
      <c r="D1493" s="8">
        <v>0.029704730853952</v>
      </c>
      <c r="E1493" s="8">
        <v>0.076</v>
      </c>
      <c r="F1493" s="9">
        <f t="shared" si="161"/>
        <v>0.101345451761491</v>
      </c>
      <c r="G1493" s="9">
        <f t="shared" si="162"/>
        <v>0.100746166806875</v>
      </c>
      <c r="H1493" s="9">
        <f t="shared" si="163"/>
        <v>0.100671248839838</v>
      </c>
      <c r="I1493" s="3" t="str">
        <f t="shared" si="164"/>
        <v>2020-08-01</v>
      </c>
      <c r="J1493" s="9">
        <f t="shared" si="165"/>
        <v>0.100067485346849</v>
      </c>
      <c r="K1493" s="9">
        <f t="shared" si="166"/>
        <v>0.0993816387564868</v>
      </c>
      <c r="L1493" s="9">
        <f t="shared" si="167"/>
        <v>0.0994607442913746</v>
      </c>
    </row>
    <row r="1494" s="3" customFormat="1" ht="12.95" customHeight="1" spans="1:12">
      <c r="A1494" s="4">
        <v>44042</v>
      </c>
      <c r="B1494" s="8">
        <v>0.100764796723503</v>
      </c>
      <c r="C1494" s="8">
        <v>-0.0225554609573334</v>
      </c>
      <c r="D1494" s="8">
        <v>0.0348471906654915</v>
      </c>
      <c r="E1494" s="8">
        <v>0.076</v>
      </c>
      <c r="F1494" s="9">
        <f t="shared" si="161"/>
        <v>0.101698899116677</v>
      </c>
      <c r="G1494" s="9">
        <f t="shared" si="162"/>
        <v>0.100951631015067</v>
      </c>
      <c r="H1494" s="9">
        <f t="shared" si="163"/>
        <v>0.100858213869285</v>
      </c>
      <c r="I1494" s="3" t="str">
        <f t="shared" si="164"/>
        <v>2020-07-01</v>
      </c>
      <c r="J1494" s="9">
        <f t="shared" si="165"/>
        <v>0.102436639873642</v>
      </c>
      <c r="K1494" s="9">
        <f t="shared" si="166"/>
        <v>0.101655377581624</v>
      </c>
      <c r="L1494" s="9">
        <f t="shared" si="167"/>
        <v>0.101539738948271</v>
      </c>
    </row>
    <row r="1495" s="3" customFormat="1" ht="12.95" customHeight="1" spans="1:12">
      <c r="A1495" s="4">
        <v>44041</v>
      </c>
      <c r="B1495" s="8">
        <v>0.100760611586602</v>
      </c>
      <c r="C1495" s="8">
        <v>-0.0226678037326985</v>
      </c>
      <c r="D1495" s="8">
        <v>0.0350761377025593</v>
      </c>
      <c r="E1495" s="8">
        <v>0.076</v>
      </c>
      <c r="F1495" s="9">
        <f t="shared" si="161"/>
        <v>0.10170357544465</v>
      </c>
      <c r="G1495" s="9">
        <f t="shared" si="162"/>
        <v>0.100949218262944</v>
      </c>
      <c r="H1495" s="9">
        <f t="shared" si="163"/>
        <v>0.100854914924773</v>
      </c>
      <c r="I1495" s="3" t="str">
        <f t="shared" si="164"/>
        <v>2020-07-01</v>
      </c>
      <c r="J1495" s="9">
        <f t="shared" si="165"/>
        <v>0.102436639873642</v>
      </c>
      <c r="K1495" s="9">
        <f t="shared" si="166"/>
        <v>0.101655377581624</v>
      </c>
      <c r="L1495" s="9">
        <f t="shared" si="167"/>
        <v>0.101539738948271</v>
      </c>
    </row>
    <row r="1496" s="3" customFormat="1" ht="12.95" customHeight="1" spans="1:12">
      <c r="A1496" s="4">
        <v>44040</v>
      </c>
      <c r="B1496" s="8">
        <v>0.101612297527279</v>
      </c>
      <c r="C1496" s="8">
        <v>-0.0274143294233139</v>
      </c>
      <c r="D1496" s="8">
        <v>0.0427141009087586</v>
      </c>
      <c r="E1496" s="8">
        <v>0.076</v>
      </c>
      <c r="F1496" s="9">
        <f t="shared" si="161"/>
        <v>0.102774995469673</v>
      </c>
      <c r="G1496" s="9">
        <f t="shared" si="162"/>
        <v>0.101844854053858</v>
      </c>
      <c r="H1496" s="9">
        <f t="shared" si="163"/>
        <v>0.101728575790568</v>
      </c>
      <c r="I1496" s="3" t="str">
        <f t="shared" si="164"/>
        <v>2020-07-01</v>
      </c>
      <c r="J1496" s="9">
        <f t="shared" si="165"/>
        <v>0.102436639873642</v>
      </c>
      <c r="K1496" s="9">
        <f t="shared" si="166"/>
        <v>0.101655377581624</v>
      </c>
      <c r="L1496" s="9">
        <f t="shared" si="167"/>
        <v>0.101539738948271</v>
      </c>
    </row>
    <row r="1497" s="3" customFormat="1" ht="12.95" customHeight="1" spans="1:12">
      <c r="A1497" s="4">
        <v>44039</v>
      </c>
      <c r="B1497" s="8">
        <v>0.101612297527279</v>
      </c>
      <c r="C1497" s="8">
        <v>-0.0274143294233139</v>
      </c>
      <c r="D1497" s="8">
        <v>0.0427141009087586</v>
      </c>
      <c r="E1497" s="8">
        <v>0.076</v>
      </c>
      <c r="F1497" s="9">
        <f t="shared" si="161"/>
        <v>0.102774995469673</v>
      </c>
      <c r="G1497" s="9">
        <f t="shared" si="162"/>
        <v>0.101844854053858</v>
      </c>
      <c r="H1497" s="9">
        <f t="shared" si="163"/>
        <v>0.101728575790568</v>
      </c>
      <c r="I1497" s="3" t="str">
        <f t="shared" si="164"/>
        <v>2020-07-01</v>
      </c>
      <c r="J1497" s="9">
        <f t="shared" si="165"/>
        <v>0.102436639873642</v>
      </c>
      <c r="K1497" s="9">
        <f t="shared" si="166"/>
        <v>0.101655377581624</v>
      </c>
      <c r="L1497" s="9">
        <f t="shared" si="167"/>
        <v>0.101539738948271</v>
      </c>
    </row>
    <row r="1498" s="3" customFormat="1" ht="12.95" customHeight="1" spans="1:12">
      <c r="A1498" s="4">
        <v>44036</v>
      </c>
      <c r="B1498" s="8">
        <v>0.101741449694269</v>
      </c>
      <c r="C1498" s="8">
        <v>-0.0250341444500732</v>
      </c>
      <c r="D1498" s="8">
        <v>0.0370085667840214</v>
      </c>
      <c r="E1498" s="8">
        <v>0.076</v>
      </c>
      <c r="F1498" s="9">
        <f t="shared" si="161"/>
        <v>0.102651432601694</v>
      </c>
      <c r="G1498" s="9">
        <f t="shared" si="162"/>
        <v>0.101923460913745</v>
      </c>
      <c r="H1498" s="9">
        <f t="shared" si="163"/>
        <v>0.101832455304007</v>
      </c>
      <c r="I1498" s="3" t="str">
        <f t="shared" si="164"/>
        <v>2020-07-01</v>
      </c>
      <c r="J1498" s="9">
        <f t="shared" si="165"/>
        <v>0.102436639873642</v>
      </c>
      <c r="K1498" s="9">
        <f t="shared" si="166"/>
        <v>0.101655377581624</v>
      </c>
      <c r="L1498" s="9">
        <f t="shared" si="167"/>
        <v>0.101539738948271</v>
      </c>
    </row>
    <row r="1499" s="3" customFormat="1" ht="12.95" customHeight="1" spans="1:12">
      <c r="A1499" s="4">
        <v>44035</v>
      </c>
      <c r="B1499" s="8">
        <v>0.101867558288904</v>
      </c>
      <c r="C1499" s="8">
        <v>-0.0229279203115721</v>
      </c>
      <c r="D1499" s="8">
        <v>0.0338689245008973</v>
      </c>
      <c r="E1499" s="8">
        <v>0.076</v>
      </c>
      <c r="F1499" s="9">
        <f t="shared" si="161"/>
        <v>0.102699007629024</v>
      </c>
      <c r="G1499" s="9">
        <f t="shared" si="162"/>
        <v>0.102033861552582</v>
      </c>
      <c r="H1499" s="9">
        <f t="shared" si="163"/>
        <v>0.101950709920743</v>
      </c>
      <c r="I1499" s="3" t="str">
        <f t="shared" si="164"/>
        <v>2020-07-01</v>
      </c>
      <c r="J1499" s="9">
        <f t="shared" si="165"/>
        <v>0.102436639873642</v>
      </c>
      <c r="K1499" s="9">
        <f t="shared" si="166"/>
        <v>0.101655377581624</v>
      </c>
      <c r="L1499" s="9">
        <f t="shared" si="167"/>
        <v>0.101539738948271</v>
      </c>
    </row>
    <row r="1500" s="3" customFormat="1" ht="12.95" customHeight="1" spans="1:12">
      <c r="A1500" s="4">
        <v>44034</v>
      </c>
      <c r="B1500" s="8">
        <v>0.102003214512727</v>
      </c>
      <c r="C1500" s="8">
        <v>-0.0160402202175703</v>
      </c>
      <c r="D1500" s="8">
        <v>0.0238205056161447</v>
      </c>
      <c r="E1500" s="8">
        <v>0.096</v>
      </c>
      <c r="F1500" s="9">
        <f t="shared" si="161"/>
        <v>0.102749386621135</v>
      </c>
      <c r="G1500" s="9">
        <f t="shared" si="162"/>
        <v>0.10215259599238</v>
      </c>
      <c r="H1500" s="9">
        <f t="shared" si="163"/>
        <v>0.102077905252553</v>
      </c>
      <c r="I1500" s="3" t="str">
        <f t="shared" si="164"/>
        <v>2020-07-01</v>
      </c>
      <c r="J1500" s="9">
        <f t="shared" si="165"/>
        <v>0.102436639873642</v>
      </c>
      <c r="K1500" s="9">
        <f t="shared" si="166"/>
        <v>0.101655377581624</v>
      </c>
      <c r="L1500" s="9">
        <f t="shared" si="167"/>
        <v>0.101539738948271</v>
      </c>
    </row>
    <row r="1501" s="3" customFormat="1" ht="12.95" customHeight="1" spans="1:12">
      <c r="A1501" s="4">
        <v>44033</v>
      </c>
      <c r="B1501" s="8">
        <v>0.101616282241533</v>
      </c>
      <c r="C1501" s="8">
        <v>-0.00569265427137882</v>
      </c>
      <c r="D1501" s="8">
        <v>0.0132764963889073</v>
      </c>
      <c r="E1501" s="8">
        <v>0.396</v>
      </c>
      <c r="F1501" s="9">
        <f t="shared" si="161"/>
        <v>0.103316487657088</v>
      </c>
      <c r="G1501" s="9">
        <f t="shared" si="162"/>
        <v>0.102216876956259</v>
      </c>
      <c r="H1501" s="9">
        <f t="shared" si="163"/>
        <v>0.101916602389241</v>
      </c>
      <c r="I1501" s="3" t="str">
        <f t="shared" si="164"/>
        <v>2020-07-01</v>
      </c>
      <c r="J1501" s="9">
        <f t="shared" si="165"/>
        <v>0.102436639873642</v>
      </c>
      <c r="K1501" s="9">
        <f t="shared" si="166"/>
        <v>0.101655377581624</v>
      </c>
      <c r="L1501" s="9">
        <f t="shared" si="167"/>
        <v>0.101539738948271</v>
      </c>
    </row>
    <row r="1502" s="3" customFormat="1" ht="12.95" customHeight="1" spans="1:12">
      <c r="A1502" s="4">
        <v>44032</v>
      </c>
      <c r="B1502" s="8">
        <v>0.103033829585968</v>
      </c>
      <c r="C1502" s="8">
        <v>-0.00315139123219305</v>
      </c>
      <c r="D1502" s="8">
        <v>-0.0131648207321955</v>
      </c>
      <c r="E1502" s="8">
        <v>0.076</v>
      </c>
      <c r="F1502" s="9">
        <f t="shared" si="161"/>
        <v>0.101793825280704</v>
      </c>
      <c r="G1502" s="9">
        <f t="shared" si="162"/>
        <v>0.102785823164109</v>
      </c>
      <c r="H1502" s="9">
        <f t="shared" si="163"/>
        <v>0.102909826375039</v>
      </c>
      <c r="I1502" s="3" t="str">
        <f t="shared" si="164"/>
        <v>2020-07-01</v>
      </c>
      <c r="J1502" s="9">
        <f t="shared" si="165"/>
        <v>0.102436639873642</v>
      </c>
      <c r="K1502" s="9">
        <f t="shared" si="166"/>
        <v>0.101655377581624</v>
      </c>
      <c r="L1502" s="9">
        <f t="shared" si="167"/>
        <v>0.101539738948271</v>
      </c>
    </row>
    <row r="1503" s="3" customFormat="1" ht="12.95" customHeight="1" spans="1:12">
      <c r="A1503" s="4">
        <v>44029</v>
      </c>
      <c r="B1503" s="8">
        <v>0.102836014215378</v>
      </c>
      <c r="C1503" s="8">
        <v>-0.00208972775830273</v>
      </c>
      <c r="D1503" s="8">
        <v>-0.0143872568477554</v>
      </c>
      <c r="E1503" s="8">
        <v>0.076</v>
      </c>
      <c r="F1503" s="9">
        <f t="shared" si="161"/>
        <v>0.10158379357246</v>
      </c>
      <c r="G1503" s="9">
        <f t="shared" si="162"/>
        <v>0.102585564049366</v>
      </c>
      <c r="H1503" s="9">
        <f t="shared" si="163"/>
        <v>0.102710789132372</v>
      </c>
      <c r="I1503" s="3" t="str">
        <f t="shared" si="164"/>
        <v>2020-07-01</v>
      </c>
      <c r="J1503" s="9">
        <f t="shared" si="165"/>
        <v>0.102436639873642</v>
      </c>
      <c r="K1503" s="9">
        <f t="shared" si="166"/>
        <v>0.101655377581624</v>
      </c>
      <c r="L1503" s="9">
        <f t="shared" si="167"/>
        <v>0.101539738948271</v>
      </c>
    </row>
    <row r="1504" s="3" customFormat="1" ht="12.95" customHeight="1" spans="1:12">
      <c r="A1504" s="4">
        <v>44028</v>
      </c>
      <c r="B1504" s="8">
        <v>0.100169066881324</v>
      </c>
      <c r="C1504" s="8">
        <v>-0.00400833980399532</v>
      </c>
      <c r="D1504" s="8">
        <v>0.0165021751544122</v>
      </c>
      <c r="E1504" s="8">
        <v>0.396</v>
      </c>
      <c r="F1504" s="9">
        <f t="shared" si="161"/>
        <v>0.103399829759141</v>
      </c>
      <c r="G1504" s="9">
        <f t="shared" si="162"/>
        <v>0.101158521187707</v>
      </c>
      <c r="H1504" s="9">
        <f t="shared" si="163"/>
        <v>0.100663822761017</v>
      </c>
      <c r="I1504" s="3" t="str">
        <f t="shared" si="164"/>
        <v>2020-07-01</v>
      </c>
      <c r="J1504" s="9">
        <f t="shared" si="165"/>
        <v>0.102436639873642</v>
      </c>
      <c r="K1504" s="9">
        <f t="shared" si="166"/>
        <v>0.101655377581624</v>
      </c>
      <c r="L1504" s="9">
        <f t="shared" si="167"/>
        <v>0.101539738948271</v>
      </c>
    </row>
    <row r="1505" s="3" customFormat="1" ht="12.95" customHeight="1" spans="1:12">
      <c r="A1505" s="4">
        <v>44027</v>
      </c>
      <c r="B1505" s="8">
        <v>0.101311474898711</v>
      </c>
      <c r="C1505" s="8">
        <v>-0.0261142780296446</v>
      </c>
      <c r="D1505" s="8">
        <v>0.0445183243624862</v>
      </c>
      <c r="E1505" s="8">
        <v>0.076</v>
      </c>
      <c r="F1505" s="9">
        <f t="shared" si="161"/>
        <v>0.102710093791644</v>
      </c>
      <c r="G1505" s="9">
        <f t="shared" si="162"/>
        <v>0.10159121640297</v>
      </c>
      <c r="H1505" s="9">
        <f t="shared" si="163"/>
        <v>0.101451345650841</v>
      </c>
      <c r="I1505" s="3" t="str">
        <f t="shared" si="164"/>
        <v>2020-07-01</v>
      </c>
      <c r="J1505" s="9">
        <f t="shared" si="165"/>
        <v>0.102436639873642</v>
      </c>
      <c r="K1505" s="9">
        <f t="shared" si="166"/>
        <v>0.101655377581624</v>
      </c>
      <c r="L1505" s="9">
        <f t="shared" si="167"/>
        <v>0.101539738948271</v>
      </c>
    </row>
    <row r="1506" s="3" customFormat="1" ht="12.95" customHeight="1" spans="1:12">
      <c r="A1506" s="4">
        <v>44026</v>
      </c>
      <c r="B1506" s="8">
        <v>0.101164942734079</v>
      </c>
      <c r="C1506" s="8">
        <v>-0.0259623881963049</v>
      </c>
      <c r="D1506" s="8">
        <v>0.0449833599512829</v>
      </c>
      <c r="E1506" s="8">
        <v>0.076</v>
      </c>
      <c r="F1506" s="9">
        <f t="shared" si="161"/>
        <v>0.10261044697099</v>
      </c>
      <c r="G1506" s="9">
        <f t="shared" si="162"/>
        <v>0.101454061504755</v>
      </c>
      <c r="H1506" s="9">
        <f t="shared" si="163"/>
        <v>0.101309502119417</v>
      </c>
      <c r="I1506" s="3" t="str">
        <f t="shared" si="164"/>
        <v>2020-07-01</v>
      </c>
      <c r="J1506" s="9">
        <f t="shared" si="165"/>
        <v>0.102436639873642</v>
      </c>
      <c r="K1506" s="9">
        <f t="shared" si="166"/>
        <v>0.101655377581624</v>
      </c>
      <c r="L1506" s="9">
        <f t="shared" si="167"/>
        <v>0.101539738948271</v>
      </c>
    </row>
    <row r="1507" s="3" customFormat="1" ht="12.95" customHeight="1" spans="1:12">
      <c r="A1507" s="4">
        <v>44025</v>
      </c>
      <c r="B1507" s="8">
        <v>0.101065792409983</v>
      </c>
      <c r="C1507" s="8">
        <v>-0.0258619371899164</v>
      </c>
      <c r="D1507" s="8">
        <v>0.0448392627498288</v>
      </c>
      <c r="E1507" s="8">
        <v>0.076</v>
      </c>
      <c r="F1507" s="9">
        <f t="shared" si="161"/>
        <v>0.102507979820606</v>
      </c>
      <c r="G1507" s="9">
        <f t="shared" si="162"/>
        <v>0.101354247758494</v>
      </c>
      <c r="H1507" s="9">
        <f t="shared" si="163"/>
        <v>0.101210020084238</v>
      </c>
      <c r="I1507" s="3" t="str">
        <f t="shared" si="164"/>
        <v>2020-07-01</v>
      </c>
      <c r="J1507" s="9">
        <f t="shared" si="165"/>
        <v>0.102436639873642</v>
      </c>
      <c r="K1507" s="9">
        <f t="shared" si="166"/>
        <v>0.101655377581624</v>
      </c>
      <c r="L1507" s="9">
        <f t="shared" si="167"/>
        <v>0.101539738948271</v>
      </c>
    </row>
    <row r="1508" s="3" customFormat="1" ht="12.95" customHeight="1" spans="1:12">
      <c r="A1508" s="4">
        <v>44022</v>
      </c>
      <c r="B1508" s="8">
        <v>0.101138624134724</v>
      </c>
      <c r="C1508" s="8">
        <v>-0.0250764040438547</v>
      </c>
      <c r="D1508" s="8">
        <v>0.0428960468862951</v>
      </c>
      <c r="E1508" s="8">
        <v>0.076</v>
      </c>
      <c r="F1508" s="9">
        <f t="shared" si="161"/>
        <v>0.10249283157941</v>
      </c>
      <c r="G1508" s="9">
        <f t="shared" si="162"/>
        <v>0.101409482705929</v>
      </c>
      <c r="H1508" s="9">
        <f t="shared" si="163"/>
        <v>0.101274053420327</v>
      </c>
      <c r="I1508" s="3" t="str">
        <f t="shared" si="164"/>
        <v>2020-07-01</v>
      </c>
      <c r="J1508" s="9">
        <f t="shared" si="165"/>
        <v>0.102436639873642</v>
      </c>
      <c r="K1508" s="9">
        <f t="shared" si="166"/>
        <v>0.101655377581624</v>
      </c>
      <c r="L1508" s="9">
        <f t="shared" si="167"/>
        <v>0.101539738948271</v>
      </c>
    </row>
    <row r="1509" s="3" customFormat="1" ht="12.95" customHeight="1" spans="1:12">
      <c r="A1509" s="4">
        <v>44021</v>
      </c>
      <c r="B1509" s="8">
        <v>0.101039569736169</v>
      </c>
      <c r="C1509" s="8">
        <v>-0.0249766586471788</v>
      </c>
      <c r="D1509" s="8">
        <v>0.0426581645034871</v>
      </c>
      <c r="E1509" s="8">
        <v>0.076</v>
      </c>
      <c r="F1509" s="9">
        <f t="shared" si="161"/>
        <v>0.10238327924933</v>
      </c>
      <c r="G1509" s="9">
        <f t="shared" si="162"/>
        <v>0.101308328625185</v>
      </c>
      <c r="H1509" s="9">
        <f t="shared" si="163"/>
        <v>0.101173949180677</v>
      </c>
      <c r="I1509" s="3" t="str">
        <f t="shared" si="164"/>
        <v>2020-07-01</v>
      </c>
      <c r="J1509" s="9">
        <f t="shared" si="165"/>
        <v>0.102436639873642</v>
      </c>
      <c r="K1509" s="9">
        <f t="shared" si="166"/>
        <v>0.101655377581624</v>
      </c>
      <c r="L1509" s="9">
        <f t="shared" si="167"/>
        <v>0.101539738948271</v>
      </c>
    </row>
    <row r="1510" s="3" customFormat="1" ht="12.95" customHeight="1" spans="1:12">
      <c r="A1510" s="4">
        <v>44020</v>
      </c>
      <c r="B1510" s="8">
        <v>0.101039631041524</v>
      </c>
      <c r="C1510" s="8">
        <v>-0.0249762148723953</v>
      </c>
      <c r="D1510" s="8">
        <v>0.0426559748977113</v>
      </c>
      <c r="E1510" s="8">
        <v>0.076</v>
      </c>
      <c r="F1510" s="9">
        <f t="shared" si="161"/>
        <v>0.102383207876012</v>
      </c>
      <c r="G1510" s="9">
        <f t="shared" si="162"/>
        <v>0.101308363393909</v>
      </c>
      <c r="H1510" s="9">
        <f t="shared" si="163"/>
        <v>0.101173997217716</v>
      </c>
      <c r="I1510" s="3" t="str">
        <f t="shared" si="164"/>
        <v>2020-07-01</v>
      </c>
      <c r="J1510" s="9">
        <f t="shared" si="165"/>
        <v>0.102436639873642</v>
      </c>
      <c r="K1510" s="9">
        <f t="shared" si="166"/>
        <v>0.101655377581624</v>
      </c>
      <c r="L1510" s="9">
        <f t="shared" si="167"/>
        <v>0.101539738948271</v>
      </c>
    </row>
    <row r="1511" s="3" customFormat="1" ht="12.95" customHeight="1" spans="1:12">
      <c r="A1511" s="4">
        <v>44019</v>
      </c>
      <c r="B1511" s="8">
        <v>0.101293279081402</v>
      </c>
      <c r="C1511" s="8">
        <v>-0.0213643628300382</v>
      </c>
      <c r="D1511" s="8">
        <v>0.033994754140712</v>
      </c>
      <c r="E1511" s="8">
        <v>0.076</v>
      </c>
      <c r="F1511" s="9">
        <f t="shared" si="161"/>
        <v>0.102253121352047</v>
      </c>
      <c r="G1511" s="9">
        <f t="shared" si="162"/>
        <v>0.101485261029324</v>
      </c>
      <c r="H1511" s="9">
        <f t="shared" si="163"/>
        <v>0.101389270055363</v>
      </c>
      <c r="I1511" s="3" t="str">
        <f t="shared" si="164"/>
        <v>2020-07-01</v>
      </c>
      <c r="J1511" s="9">
        <f t="shared" si="165"/>
        <v>0.102436639873642</v>
      </c>
      <c r="K1511" s="9">
        <f t="shared" si="166"/>
        <v>0.101655377581624</v>
      </c>
      <c r="L1511" s="9">
        <f t="shared" si="167"/>
        <v>0.101539738948271</v>
      </c>
    </row>
    <row r="1512" s="3" customFormat="1" ht="12.95" customHeight="1" spans="1:12">
      <c r="A1512" s="4">
        <v>44015</v>
      </c>
      <c r="B1512" s="8">
        <v>0.101358478719422</v>
      </c>
      <c r="C1512" s="8">
        <v>-0.0214196955032651</v>
      </c>
      <c r="D1512" s="8">
        <v>0.0336269880552169</v>
      </c>
      <c r="E1512" s="8">
        <v>0.076</v>
      </c>
      <c r="F1512" s="9">
        <f t="shared" si="161"/>
        <v>0.102286166256327</v>
      </c>
      <c r="G1512" s="9">
        <f t="shared" si="162"/>
        <v>0.101544029566212</v>
      </c>
      <c r="H1512" s="9">
        <f t="shared" si="163"/>
        <v>0.101451254142817</v>
      </c>
      <c r="I1512" s="3" t="str">
        <f t="shared" si="164"/>
        <v>2020-07-01</v>
      </c>
      <c r="J1512" s="9">
        <f t="shared" si="165"/>
        <v>0.102436639873642</v>
      </c>
      <c r="K1512" s="9">
        <f t="shared" si="166"/>
        <v>0.101655377581624</v>
      </c>
      <c r="L1512" s="9">
        <f t="shared" si="167"/>
        <v>0.101539738948271</v>
      </c>
    </row>
    <row r="1513" s="3" customFormat="1" ht="12.95" customHeight="1" spans="1:12">
      <c r="A1513" s="4">
        <v>44014</v>
      </c>
      <c r="B1513" s="8">
        <v>0.101265410947952</v>
      </c>
      <c r="C1513" s="8">
        <v>-0.0209018316822889</v>
      </c>
      <c r="D1513" s="8">
        <v>0.0329236852427529</v>
      </c>
      <c r="E1513" s="8">
        <v>0.076</v>
      </c>
      <c r="F1513" s="9">
        <f t="shared" si="161"/>
        <v>0.102179006506211</v>
      </c>
      <c r="G1513" s="9">
        <f t="shared" si="162"/>
        <v>0.101448143122071</v>
      </c>
      <c r="H1513" s="9">
        <f t="shared" si="163"/>
        <v>0.101356777035012</v>
      </c>
      <c r="I1513" s="3" t="str">
        <f t="shared" si="164"/>
        <v>2020-07-01</v>
      </c>
      <c r="J1513" s="9">
        <f t="shared" si="165"/>
        <v>0.102436639873642</v>
      </c>
      <c r="K1513" s="9">
        <f t="shared" si="166"/>
        <v>0.101655377581624</v>
      </c>
      <c r="L1513" s="9">
        <f t="shared" si="167"/>
        <v>0.101539738948271</v>
      </c>
    </row>
    <row r="1514" s="3" customFormat="1" ht="12.95" customHeight="1" spans="1:12">
      <c r="A1514" s="4">
        <v>44013</v>
      </c>
      <c r="B1514" s="8">
        <v>0.101211381090868</v>
      </c>
      <c r="C1514" s="8">
        <v>-0.0219391239843158</v>
      </c>
      <c r="D1514" s="8">
        <v>0.0351728616495218</v>
      </c>
      <c r="E1514" s="8">
        <v>0.076</v>
      </c>
      <c r="F1514" s="9">
        <f t="shared" si="161"/>
        <v>0.102217075321985</v>
      </c>
      <c r="G1514" s="9">
        <f t="shared" si="162"/>
        <v>0.101412533903379</v>
      </c>
      <c r="H1514" s="9">
        <f t="shared" si="163"/>
        <v>0.101311957497124</v>
      </c>
      <c r="I1514" s="3" t="str">
        <f t="shared" si="164"/>
        <v>2020-07-01</v>
      </c>
      <c r="J1514" s="9">
        <f t="shared" si="165"/>
        <v>0.102436639873642</v>
      </c>
      <c r="K1514" s="9">
        <f t="shared" si="166"/>
        <v>0.101655377581624</v>
      </c>
      <c r="L1514" s="9">
        <f t="shared" si="167"/>
        <v>0.101539738948271</v>
      </c>
    </row>
    <row r="1515" s="3" customFormat="1" ht="12.95" customHeight="1" spans="1:12">
      <c r="A1515" s="4">
        <v>44012</v>
      </c>
      <c r="B1515" s="8">
        <v>0.101079208629518</v>
      </c>
      <c r="C1515" s="8">
        <v>-0.0243117047390333</v>
      </c>
      <c r="D1515" s="8">
        <v>0.0406171749678814</v>
      </c>
      <c r="E1515" s="8">
        <v>0.076</v>
      </c>
      <c r="F1515" s="9">
        <f t="shared" si="161"/>
        <v>0.102318343576336</v>
      </c>
      <c r="G1515" s="9">
        <f t="shared" si="162"/>
        <v>0.101327051776996</v>
      </c>
      <c r="H1515" s="9">
        <f t="shared" si="163"/>
        <v>0.101203130203257</v>
      </c>
      <c r="I1515" s="3" t="str">
        <f t="shared" si="164"/>
        <v>2020-06-01</v>
      </c>
      <c r="J1515" s="9">
        <f t="shared" si="165"/>
        <v>0.102943802124447</v>
      </c>
      <c r="K1515" s="9">
        <f t="shared" si="166"/>
        <v>0.101621175961092</v>
      </c>
      <c r="L1515" s="9">
        <f t="shared" si="167"/>
        <v>0.101455743628303</v>
      </c>
    </row>
    <row r="1516" s="3" customFormat="1" ht="12.95" customHeight="1" spans="1:12">
      <c r="A1516" s="4">
        <v>44011</v>
      </c>
      <c r="B1516" s="8">
        <v>0.101822721820763</v>
      </c>
      <c r="C1516" s="8">
        <v>-0.0215541934927839</v>
      </c>
      <c r="D1516" s="8">
        <v>0.0313922942189243</v>
      </c>
      <c r="E1516" s="8">
        <v>0.076</v>
      </c>
      <c r="F1516" s="9">
        <f t="shared" si="161"/>
        <v>0.102570355439825</v>
      </c>
      <c r="G1516" s="9">
        <f t="shared" si="162"/>
        <v>0.1019722609518</v>
      </c>
      <c r="H1516" s="9">
        <f t="shared" si="163"/>
        <v>0.101897491386282</v>
      </c>
      <c r="I1516" s="3" t="str">
        <f t="shared" si="164"/>
        <v>2020-06-01</v>
      </c>
      <c r="J1516" s="9">
        <f t="shared" si="165"/>
        <v>0.102943802124447</v>
      </c>
      <c r="K1516" s="9">
        <f t="shared" si="166"/>
        <v>0.101621175961092</v>
      </c>
      <c r="L1516" s="9">
        <f t="shared" si="167"/>
        <v>0.101455743628303</v>
      </c>
    </row>
    <row r="1517" s="3" customFormat="1" ht="12.95" customHeight="1" spans="1:12">
      <c r="A1517" s="4">
        <v>44008</v>
      </c>
      <c r="B1517" s="8">
        <v>0.101897817378524</v>
      </c>
      <c r="C1517" s="8">
        <v>-0.0232103040059705</v>
      </c>
      <c r="D1517" s="8">
        <v>0.0344315871538472</v>
      </c>
      <c r="E1517" s="8">
        <v>0.076</v>
      </c>
      <c r="F1517" s="9">
        <f t="shared" si="161"/>
        <v>0.102750566792336</v>
      </c>
      <c r="G1517" s="9">
        <f t="shared" si="162"/>
        <v>0.102068380882372</v>
      </c>
      <c r="H1517" s="9">
        <f t="shared" si="163"/>
        <v>0.101983099130448</v>
      </c>
      <c r="I1517" s="3" t="str">
        <f t="shared" si="164"/>
        <v>2020-06-01</v>
      </c>
      <c r="J1517" s="9">
        <f t="shared" si="165"/>
        <v>0.102943802124447</v>
      </c>
      <c r="K1517" s="9">
        <f t="shared" si="166"/>
        <v>0.101621175961092</v>
      </c>
      <c r="L1517" s="9">
        <f t="shared" si="167"/>
        <v>0.101455743628303</v>
      </c>
    </row>
    <row r="1518" s="3" customFormat="1" ht="12.95" customHeight="1" spans="1:12">
      <c r="A1518" s="4">
        <v>44007</v>
      </c>
      <c r="B1518" s="8">
        <v>0.10203626516968</v>
      </c>
      <c r="C1518" s="8">
        <v>-0.0229592956526371</v>
      </c>
      <c r="D1518" s="8">
        <v>0.0355116577253739</v>
      </c>
      <c r="E1518" s="8">
        <v>0.076</v>
      </c>
      <c r="F1518" s="9">
        <f t="shared" si="161"/>
        <v>0.102990174301784</v>
      </c>
      <c r="G1518" s="9">
        <f t="shared" si="162"/>
        <v>0.102227061073186</v>
      </c>
      <c r="H1518" s="9">
        <f t="shared" si="163"/>
        <v>0.102131663121433</v>
      </c>
      <c r="I1518" s="3" t="str">
        <f t="shared" si="164"/>
        <v>2020-06-01</v>
      </c>
      <c r="J1518" s="9">
        <f t="shared" si="165"/>
        <v>0.102943802124447</v>
      </c>
      <c r="K1518" s="9">
        <f t="shared" si="166"/>
        <v>0.101621175961092</v>
      </c>
      <c r="L1518" s="9">
        <f t="shared" si="167"/>
        <v>0.101455743628303</v>
      </c>
    </row>
    <row r="1519" s="3" customFormat="1" ht="12.95" customHeight="1" spans="1:12">
      <c r="A1519" s="4">
        <v>44006</v>
      </c>
      <c r="B1519" s="8">
        <v>0.102041511299232</v>
      </c>
      <c r="C1519" s="8">
        <v>-0.0229604966734832</v>
      </c>
      <c r="D1519" s="8">
        <v>0.0354541249399137</v>
      </c>
      <c r="E1519" s="8">
        <v>0.076</v>
      </c>
      <c r="F1519" s="9">
        <f t="shared" si="161"/>
        <v>0.102990956781722</v>
      </c>
      <c r="G1519" s="9">
        <f t="shared" si="162"/>
        <v>0.102231414448882</v>
      </c>
      <c r="H1519" s="9">
        <f t="shared" si="163"/>
        <v>0.102136462874057</v>
      </c>
      <c r="I1519" s="3" t="str">
        <f t="shared" si="164"/>
        <v>2020-06-01</v>
      </c>
      <c r="J1519" s="9">
        <f t="shared" si="165"/>
        <v>0.102943802124447</v>
      </c>
      <c r="K1519" s="9">
        <f t="shared" si="166"/>
        <v>0.101621175961092</v>
      </c>
      <c r="L1519" s="9">
        <f t="shared" si="167"/>
        <v>0.101455743628303</v>
      </c>
    </row>
    <row r="1520" s="3" customFormat="1" ht="12.95" customHeight="1" spans="1:12">
      <c r="A1520" s="4">
        <v>44005</v>
      </c>
      <c r="B1520" s="8">
        <v>0.102426683664371</v>
      </c>
      <c r="C1520" s="8">
        <v>-0.01500480760768</v>
      </c>
      <c r="D1520" s="8">
        <v>0.0177524569513068</v>
      </c>
      <c r="E1520" s="8">
        <v>0.076</v>
      </c>
      <c r="F1520" s="9">
        <f t="shared" si="161"/>
        <v>0.102635470345898</v>
      </c>
      <c r="G1520" s="9">
        <f t="shared" si="162"/>
        <v>0.102468447934394</v>
      </c>
      <c r="H1520" s="9">
        <f t="shared" si="163"/>
        <v>0.102447565799383</v>
      </c>
      <c r="I1520" s="3" t="str">
        <f t="shared" si="164"/>
        <v>2020-06-01</v>
      </c>
      <c r="J1520" s="9">
        <f t="shared" si="165"/>
        <v>0.102943802124447</v>
      </c>
      <c r="K1520" s="9">
        <f t="shared" si="166"/>
        <v>0.101621175961092</v>
      </c>
      <c r="L1520" s="9">
        <f t="shared" si="167"/>
        <v>0.101455743628303</v>
      </c>
    </row>
    <row r="1521" s="3" customFormat="1" ht="12.95" customHeight="1" spans="1:12">
      <c r="A1521" s="4">
        <v>44004</v>
      </c>
      <c r="B1521" s="8">
        <v>0.102215988118304</v>
      </c>
      <c r="C1521" s="8">
        <v>-0.00904172412259668</v>
      </c>
      <c r="D1521" s="8">
        <v>0.0120626723999303</v>
      </c>
      <c r="E1521" s="8">
        <v>0.136</v>
      </c>
      <c r="F1521" s="9">
        <f t="shared" si="161"/>
        <v>0.102618845234525</v>
      </c>
      <c r="G1521" s="9">
        <f t="shared" si="162"/>
        <v>0.102298157911447</v>
      </c>
      <c r="H1521" s="9">
        <f t="shared" si="163"/>
        <v>0.102257073014876</v>
      </c>
      <c r="I1521" s="3" t="str">
        <f t="shared" si="164"/>
        <v>2020-06-01</v>
      </c>
      <c r="J1521" s="9">
        <f t="shared" si="165"/>
        <v>0.102943802124447</v>
      </c>
      <c r="K1521" s="9">
        <f t="shared" si="166"/>
        <v>0.101621175961092</v>
      </c>
      <c r="L1521" s="9">
        <f t="shared" si="167"/>
        <v>0.101455743628303</v>
      </c>
    </row>
    <row r="1522" s="3" customFormat="1" ht="12.95" customHeight="1" spans="1:12">
      <c r="A1522" s="4">
        <v>44001</v>
      </c>
      <c r="B1522" s="8">
        <v>0.102182330764483</v>
      </c>
      <c r="C1522" s="8">
        <v>-0.00936525616587045</v>
      </c>
      <c r="D1522" s="8">
        <v>0.0128648377464959</v>
      </c>
      <c r="E1522" s="8">
        <v>0.136</v>
      </c>
      <c r="F1522" s="9">
        <f t="shared" si="161"/>
        <v>0.102649726352331</v>
      </c>
      <c r="G1522" s="9">
        <f t="shared" si="162"/>
        <v>0.102277519383476</v>
      </c>
      <c r="H1522" s="9">
        <f t="shared" si="163"/>
        <v>0.10222992507398</v>
      </c>
      <c r="I1522" s="3" t="str">
        <f t="shared" si="164"/>
        <v>2020-06-01</v>
      </c>
      <c r="J1522" s="9">
        <f t="shared" si="165"/>
        <v>0.102943802124447</v>
      </c>
      <c r="K1522" s="9">
        <f t="shared" si="166"/>
        <v>0.101621175961092</v>
      </c>
      <c r="L1522" s="9">
        <f t="shared" si="167"/>
        <v>0.101455743628303</v>
      </c>
    </row>
    <row r="1523" s="3" customFormat="1" ht="12.95" customHeight="1" spans="1:12">
      <c r="A1523" s="4">
        <v>44000</v>
      </c>
      <c r="B1523" s="8">
        <v>0.102447679556392</v>
      </c>
      <c r="C1523" s="8">
        <v>-0.0111464338918989</v>
      </c>
      <c r="D1523" s="8">
        <v>0.0130453354484463</v>
      </c>
      <c r="E1523" s="8">
        <v>0.076</v>
      </c>
      <c r="F1523" s="9">
        <f t="shared" si="161"/>
        <v>0.102591970616222</v>
      </c>
      <c r="G1523" s="9">
        <f t="shared" si="162"/>
        <v>0.102476542860052</v>
      </c>
      <c r="H1523" s="9">
        <f t="shared" si="163"/>
        <v>0.102462111208222</v>
      </c>
      <c r="I1523" s="3" t="str">
        <f t="shared" si="164"/>
        <v>2020-06-01</v>
      </c>
      <c r="J1523" s="9">
        <f t="shared" si="165"/>
        <v>0.102943802124447</v>
      </c>
      <c r="K1523" s="9">
        <f t="shared" si="166"/>
        <v>0.101621175961092</v>
      </c>
      <c r="L1523" s="9">
        <f t="shared" si="167"/>
        <v>0.101455743628303</v>
      </c>
    </row>
    <row r="1524" s="3" customFormat="1" ht="12.95" customHeight="1" spans="1:12">
      <c r="A1524" s="4">
        <v>43999</v>
      </c>
      <c r="B1524" s="8">
        <v>0.101980904585943</v>
      </c>
      <c r="C1524" s="8">
        <v>-0.0160647104234875</v>
      </c>
      <c r="D1524" s="8">
        <v>0.0244571328491782</v>
      </c>
      <c r="E1524" s="8">
        <v>0.076</v>
      </c>
      <c r="F1524" s="9">
        <f t="shared" si="161"/>
        <v>0.102618680252388</v>
      </c>
      <c r="G1524" s="9">
        <f t="shared" si="162"/>
        <v>0.102108469406813</v>
      </c>
      <c r="H1524" s="9">
        <f t="shared" si="163"/>
        <v>0.102044686996378</v>
      </c>
      <c r="I1524" s="3" t="str">
        <f t="shared" si="164"/>
        <v>2020-06-01</v>
      </c>
      <c r="J1524" s="9">
        <f t="shared" si="165"/>
        <v>0.102943802124447</v>
      </c>
      <c r="K1524" s="9">
        <f t="shared" si="166"/>
        <v>0.101621175961092</v>
      </c>
      <c r="L1524" s="9">
        <f t="shared" si="167"/>
        <v>0.101455743628303</v>
      </c>
    </row>
    <row r="1525" s="3" customFormat="1" ht="12.95" customHeight="1" spans="1:12">
      <c r="A1525" s="4">
        <v>43998</v>
      </c>
      <c r="B1525" s="8">
        <v>0.101545460485682</v>
      </c>
      <c r="C1525" s="8">
        <v>-0.0217375496055247</v>
      </c>
      <c r="D1525" s="8">
        <v>0.0372485921713578</v>
      </c>
      <c r="E1525" s="8">
        <v>0.076</v>
      </c>
      <c r="F1525" s="9">
        <f t="shared" si="161"/>
        <v>0.102724225548636</v>
      </c>
      <c r="G1525" s="9">
        <f t="shared" si="162"/>
        <v>0.101781228332683</v>
      </c>
      <c r="H1525" s="9">
        <f t="shared" si="163"/>
        <v>0.101663344409182</v>
      </c>
      <c r="I1525" s="3" t="str">
        <f t="shared" si="164"/>
        <v>2020-06-01</v>
      </c>
      <c r="J1525" s="9">
        <f t="shared" si="165"/>
        <v>0.102943802124447</v>
      </c>
      <c r="K1525" s="9">
        <f t="shared" si="166"/>
        <v>0.101621175961092</v>
      </c>
      <c r="L1525" s="9">
        <f t="shared" si="167"/>
        <v>0.101455743628303</v>
      </c>
    </row>
    <row r="1526" s="3" customFormat="1" ht="12.95" customHeight="1" spans="1:12">
      <c r="A1526" s="4">
        <v>43997</v>
      </c>
      <c r="B1526" s="8">
        <v>0.101376920116076</v>
      </c>
      <c r="C1526" s="8">
        <v>-0.0201343172202077</v>
      </c>
      <c r="D1526" s="8">
        <v>0.0438085978919467</v>
      </c>
      <c r="E1526" s="8">
        <v>0.076</v>
      </c>
      <c r="F1526" s="9">
        <f t="shared" si="161"/>
        <v>0.103176077415556</v>
      </c>
      <c r="G1526" s="9">
        <f t="shared" si="162"/>
        <v>0.101736769182286</v>
      </c>
      <c r="H1526" s="9">
        <f t="shared" si="163"/>
        <v>0.101556844649181</v>
      </c>
      <c r="I1526" s="3" t="str">
        <f t="shared" si="164"/>
        <v>2020-06-01</v>
      </c>
      <c r="J1526" s="9">
        <f t="shared" si="165"/>
        <v>0.102943802124447</v>
      </c>
      <c r="K1526" s="9">
        <f t="shared" si="166"/>
        <v>0.101621175961092</v>
      </c>
      <c r="L1526" s="9">
        <f t="shared" si="167"/>
        <v>0.101455743628303</v>
      </c>
    </row>
    <row r="1527" s="3" customFormat="1" ht="12.95" customHeight="1" spans="1:12">
      <c r="A1527" s="4">
        <v>43994</v>
      </c>
      <c r="B1527" s="8">
        <v>0.101001700488142</v>
      </c>
      <c r="C1527" s="8">
        <v>-0.0242758721975717</v>
      </c>
      <c r="D1527" s="8">
        <v>0.05442828061616</v>
      </c>
      <c r="E1527" s="8">
        <v>0.076</v>
      </c>
      <c r="F1527" s="9">
        <f t="shared" si="161"/>
        <v>0.103293174048128</v>
      </c>
      <c r="G1527" s="9">
        <f t="shared" si="162"/>
        <v>0.101460017096105</v>
      </c>
      <c r="H1527" s="9">
        <f t="shared" si="163"/>
        <v>0.101230858792123</v>
      </c>
      <c r="I1527" s="3" t="str">
        <f t="shared" si="164"/>
        <v>2020-06-01</v>
      </c>
      <c r="J1527" s="9">
        <f t="shared" si="165"/>
        <v>0.102943802124447</v>
      </c>
      <c r="K1527" s="9">
        <f t="shared" si="166"/>
        <v>0.101621175961092</v>
      </c>
      <c r="L1527" s="9">
        <f t="shared" si="167"/>
        <v>0.101455743628303</v>
      </c>
    </row>
    <row r="1528" s="3" customFormat="1" ht="12.95" customHeight="1" spans="1:12">
      <c r="A1528" s="4">
        <v>43993</v>
      </c>
      <c r="B1528" s="8">
        <v>0.100789221875688</v>
      </c>
      <c r="C1528" s="8">
        <v>-0.0226611333606411</v>
      </c>
      <c r="D1528" s="8">
        <v>0.0589049076638629</v>
      </c>
      <c r="E1528" s="8">
        <v>0.076</v>
      </c>
      <c r="F1528" s="9">
        <f t="shared" si="161"/>
        <v>0.103543629708621</v>
      </c>
      <c r="G1528" s="9">
        <f t="shared" si="162"/>
        <v>0.101340127245097</v>
      </c>
      <c r="H1528" s="9">
        <f t="shared" si="163"/>
        <v>0.101064674560392</v>
      </c>
      <c r="I1528" s="3" t="str">
        <f t="shared" si="164"/>
        <v>2020-06-01</v>
      </c>
      <c r="J1528" s="9">
        <f t="shared" si="165"/>
        <v>0.102943802124447</v>
      </c>
      <c r="K1528" s="9">
        <f t="shared" si="166"/>
        <v>0.101621175961092</v>
      </c>
      <c r="L1528" s="9">
        <f t="shared" si="167"/>
        <v>0.101455743628303</v>
      </c>
    </row>
    <row r="1529" s="3" customFormat="1" ht="12.95" customHeight="1" spans="1:12">
      <c r="A1529" s="4">
        <v>43992</v>
      </c>
      <c r="B1529" s="8">
        <v>0.100700078573057</v>
      </c>
      <c r="C1529" s="8">
        <v>-0.022375540046451</v>
      </c>
      <c r="D1529" s="8">
        <v>0.0586939911720188</v>
      </c>
      <c r="E1529" s="8">
        <v>0.076</v>
      </c>
      <c r="F1529" s="9">
        <f t="shared" si="161"/>
        <v>0.103460162240642</v>
      </c>
      <c r="G1529" s="9">
        <f t="shared" si="162"/>
        <v>0.101252119030166</v>
      </c>
      <c r="H1529" s="9">
        <f t="shared" si="163"/>
        <v>0.100976098801611</v>
      </c>
      <c r="I1529" s="3" t="str">
        <f t="shared" si="164"/>
        <v>2020-06-01</v>
      </c>
      <c r="J1529" s="9">
        <f t="shared" si="165"/>
        <v>0.102943802124447</v>
      </c>
      <c r="K1529" s="9">
        <f t="shared" si="166"/>
        <v>0.101621175961092</v>
      </c>
      <c r="L1529" s="9">
        <f t="shared" si="167"/>
        <v>0.101455743628303</v>
      </c>
    </row>
    <row r="1530" s="3" customFormat="1" ht="12.95" customHeight="1" spans="1:12">
      <c r="A1530" s="4">
        <v>43991</v>
      </c>
      <c r="B1530" s="8">
        <v>0.100598735765708</v>
      </c>
      <c r="C1530" s="8">
        <v>-0.0222246862402052</v>
      </c>
      <c r="D1530" s="8">
        <v>0.0586662864755467</v>
      </c>
      <c r="E1530" s="8">
        <v>0.076</v>
      </c>
      <c r="F1530" s="9">
        <f t="shared" si="161"/>
        <v>0.103368178801045</v>
      </c>
      <c r="G1530" s="9">
        <f t="shared" si="162"/>
        <v>0.101152648089285</v>
      </c>
      <c r="H1530" s="9">
        <f t="shared" si="163"/>
        <v>0.100875691927497</v>
      </c>
      <c r="I1530" s="3" t="str">
        <f t="shared" si="164"/>
        <v>2020-06-01</v>
      </c>
      <c r="J1530" s="9">
        <f t="shared" si="165"/>
        <v>0.102943802124447</v>
      </c>
      <c r="K1530" s="9">
        <f t="shared" si="166"/>
        <v>0.101621175961092</v>
      </c>
      <c r="L1530" s="9">
        <f t="shared" si="167"/>
        <v>0.101455743628303</v>
      </c>
    </row>
    <row r="1531" s="3" customFormat="1" ht="12.95" customHeight="1" spans="1:12">
      <c r="A1531" s="4">
        <v>43990</v>
      </c>
      <c r="B1531" s="8">
        <v>0.100527305593752</v>
      </c>
      <c r="C1531" s="8">
        <v>-0.0220498222449442</v>
      </c>
      <c r="D1531" s="8">
        <v>0.0582606624918824</v>
      </c>
      <c r="E1531" s="8">
        <v>0.076</v>
      </c>
      <c r="F1531" s="9">
        <f t="shared" si="161"/>
        <v>0.103279211686751</v>
      </c>
      <c r="G1531" s="9">
        <f t="shared" si="162"/>
        <v>0.101077710365505</v>
      </c>
      <c r="H1531" s="9">
        <f t="shared" si="163"/>
        <v>0.100802507979629</v>
      </c>
      <c r="I1531" s="3" t="str">
        <f t="shared" si="164"/>
        <v>2020-06-01</v>
      </c>
      <c r="J1531" s="9">
        <f t="shared" si="165"/>
        <v>0.102943802124447</v>
      </c>
      <c r="K1531" s="9">
        <f t="shared" si="166"/>
        <v>0.101621175961092</v>
      </c>
      <c r="L1531" s="9">
        <f t="shared" si="167"/>
        <v>0.101455743628303</v>
      </c>
    </row>
    <row r="1532" s="3" customFormat="1" ht="12.95" customHeight="1" spans="1:12">
      <c r="A1532" s="4">
        <v>43987</v>
      </c>
      <c r="B1532" s="8">
        <v>0.100650744154582</v>
      </c>
      <c r="C1532" s="8">
        <v>-0.0225921573939163</v>
      </c>
      <c r="D1532" s="8">
        <v>0.0585903814980677</v>
      </c>
      <c r="E1532" s="8">
        <v>0.076</v>
      </c>
      <c r="F1532" s="9">
        <f t="shared" si="161"/>
        <v>0.1033864908155</v>
      </c>
      <c r="G1532" s="9">
        <f t="shared" si="162"/>
        <v>0.101197917160965</v>
      </c>
      <c r="H1532" s="9">
        <f t="shared" si="163"/>
        <v>0.100924330657774</v>
      </c>
      <c r="I1532" s="3" t="str">
        <f t="shared" si="164"/>
        <v>2020-06-01</v>
      </c>
      <c r="J1532" s="9">
        <f t="shared" si="165"/>
        <v>0.102943802124447</v>
      </c>
      <c r="K1532" s="9">
        <f t="shared" si="166"/>
        <v>0.101621175961092</v>
      </c>
      <c r="L1532" s="9">
        <f t="shared" si="167"/>
        <v>0.101455743628303</v>
      </c>
    </row>
    <row r="1533" s="3" customFormat="1" ht="12.95" customHeight="1" spans="1:12">
      <c r="A1533" s="4">
        <v>43986</v>
      </c>
      <c r="B1533" s="8">
        <v>0.100562709044955</v>
      </c>
      <c r="C1533" s="8">
        <v>-0.0205720027234651</v>
      </c>
      <c r="D1533" s="8">
        <v>0.0548818457041783</v>
      </c>
      <c r="E1533" s="8">
        <v>0.076</v>
      </c>
      <c r="F1533" s="9">
        <f t="shared" si="161"/>
        <v>0.103170146146327</v>
      </c>
      <c r="G1533" s="9">
        <f t="shared" si="162"/>
        <v>0.101084218658262</v>
      </c>
      <c r="H1533" s="9">
        <f t="shared" si="163"/>
        <v>0.100823463851608</v>
      </c>
      <c r="I1533" s="3" t="str">
        <f t="shared" si="164"/>
        <v>2020-06-01</v>
      </c>
      <c r="J1533" s="9">
        <f t="shared" si="165"/>
        <v>0.102943802124447</v>
      </c>
      <c r="K1533" s="9">
        <f t="shared" si="166"/>
        <v>0.101621175961092</v>
      </c>
      <c r="L1533" s="9">
        <f t="shared" si="167"/>
        <v>0.101455743628303</v>
      </c>
    </row>
    <row r="1534" s="3" customFormat="1" ht="12.95" customHeight="1" spans="1:12">
      <c r="A1534" s="4">
        <v>43985</v>
      </c>
      <c r="B1534" s="8">
        <v>0.100604223036555</v>
      </c>
      <c r="C1534" s="8">
        <v>-0.0225234386765591</v>
      </c>
      <c r="D1534" s="8">
        <v>0.0586690281593499</v>
      </c>
      <c r="E1534" s="8">
        <v>0.076</v>
      </c>
      <c r="F1534" s="9">
        <f t="shared" si="161"/>
        <v>0.10335116929283</v>
      </c>
      <c r="G1534" s="9">
        <f t="shared" si="162"/>
        <v>0.101153635996693</v>
      </c>
      <c r="H1534" s="9">
        <f t="shared" si="163"/>
        <v>0.100878929516624</v>
      </c>
      <c r="I1534" s="3" t="str">
        <f t="shared" si="164"/>
        <v>2020-06-01</v>
      </c>
      <c r="J1534" s="9">
        <f t="shared" si="165"/>
        <v>0.102943802124447</v>
      </c>
      <c r="K1534" s="9">
        <f t="shared" si="166"/>
        <v>0.101621175961092</v>
      </c>
      <c r="L1534" s="9">
        <f t="shared" si="167"/>
        <v>0.101455743628303</v>
      </c>
    </row>
    <row r="1535" s="3" customFormat="1" ht="12.95" customHeight="1" spans="1:12">
      <c r="A1535" s="4">
        <v>43984</v>
      </c>
      <c r="B1535" s="8">
        <v>0.100167</v>
      </c>
      <c r="C1535" s="8">
        <v>-0.021009</v>
      </c>
      <c r="D1535" s="8">
        <v>0.057434</v>
      </c>
      <c r="E1535" s="8">
        <v>0.076</v>
      </c>
      <c r="F1535" s="9">
        <f t="shared" si="161"/>
        <v>0.102935183798427</v>
      </c>
      <c r="G1535" s="9">
        <f t="shared" si="162"/>
        <v>0.10072066</v>
      </c>
      <c r="H1535" s="9">
        <f t="shared" si="163"/>
        <v>0.10044383</v>
      </c>
      <c r="I1535" s="3" t="str">
        <f t="shared" si="164"/>
        <v>2020-06-01</v>
      </c>
      <c r="J1535" s="9">
        <f t="shared" si="165"/>
        <v>0.102943802124447</v>
      </c>
      <c r="K1535" s="9">
        <f t="shared" si="166"/>
        <v>0.101621175961092</v>
      </c>
      <c r="L1535" s="9">
        <f t="shared" si="167"/>
        <v>0.101455743628303</v>
      </c>
    </row>
    <row r="1536" s="3" customFormat="1" ht="12.95" customHeight="1" spans="1:12">
      <c r="A1536" s="4">
        <v>43983</v>
      </c>
      <c r="B1536" s="8">
        <v>0.0997316383798961</v>
      </c>
      <c r="C1536" s="8">
        <v>-0.0178318868494</v>
      </c>
      <c r="D1536" s="8">
        <v>0.0521657669582113</v>
      </c>
      <c r="E1536" s="8">
        <v>0.076</v>
      </c>
      <c r="F1536" s="9">
        <f t="shared" si="161"/>
        <v>0.102340907542012</v>
      </c>
      <c r="G1536" s="9">
        <f t="shared" si="162"/>
        <v>0.10025351335755</v>
      </c>
      <c r="H1536" s="9">
        <f t="shared" si="163"/>
        <v>0.0999925758687231</v>
      </c>
      <c r="I1536" s="3" t="str">
        <f t="shared" si="164"/>
        <v>2020-06-01</v>
      </c>
      <c r="J1536" s="9">
        <f t="shared" si="165"/>
        <v>0.102943802124447</v>
      </c>
      <c r="K1536" s="9">
        <f t="shared" si="166"/>
        <v>0.101621175961092</v>
      </c>
      <c r="L1536" s="9">
        <f t="shared" si="167"/>
        <v>0.101455743628303</v>
      </c>
    </row>
    <row r="1537" s="3" customFormat="1" ht="12.95" customHeight="1" spans="1:12">
      <c r="A1537" s="4">
        <v>43980</v>
      </c>
      <c r="B1537" s="8">
        <v>0.0998045150509424</v>
      </c>
      <c r="C1537" s="8">
        <v>-0.0168347108918415</v>
      </c>
      <c r="D1537" s="8">
        <v>0.049637630916326</v>
      </c>
      <c r="E1537" s="8">
        <v>0.076</v>
      </c>
      <c r="F1537" s="9">
        <f t="shared" si="161"/>
        <v>0.102297436351002</v>
      </c>
      <c r="G1537" s="9">
        <f t="shared" si="162"/>
        <v>0.100303119435315</v>
      </c>
      <c r="H1537" s="9">
        <f t="shared" si="163"/>
        <v>0.100053817243128</v>
      </c>
      <c r="I1537" s="3" t="str">
        <f t="shared" si="164"/>
        <v>2020-05-01</v>
      </c>
      <c r="J1537" s="9">
        <f t="shared" si="165"/>
        <v>0.104215115724336</v>
      </c>
      <c r="K1537" s="9">
        <f t="shared" si="166"/>
        <v>0.100392129802881</v>
      </c>
      <c r="L1537" s="9">
        <f t="shared" si="167"/>
        <v>0.0999139732771449</v>
      </c>
    </row>
    <row r="1538" s="3" customFormat="1" ht="12.95" customHeight="1" spans="1:12">
      <c r="A1538" s="4">
        <v>43979</v>
      </c>
      <c r="B1538" s="8">
        <v>0.0991290519004243</v>
      </c>
      <c r="C1538" s="8">
        <v>-0.0069884353133671</v>
      </c>
      <c r="D1538" s="8">
        <v>0.0428620998866721</v>
      </c>
      <c r="E1538" s="8">
        <v>0.096</v>
      </c>
      <c r="F1538" s="9">
        <f t="shared" si="161"/>
        <v>0.102571537785886</v>
      </c>
      <c r="G1538" s="9">
        <f t="shared" si="162"/>
        <v>0.0998178262602318</v>
      </c>
      <c r="H1538" s="9">
        <f t="shared" si="163"/>
        <v>0.099473439080328</v>
      </c>
      <c r="I1538" s="3" t="str">
        <f t="shared" si="164"/>
        <v>2020-05-01</v>
      </c>
      <c r="J1538" s="9">
        <f t="shared" si="165"/>
        <v>0.104215115724336</v>
      </c>
      <c r="K1538" s="9">
        <f t="shared" si="166"/>
        <v>0.100392129802881</v>
      </c>
      <c r="L1538" s="9">
        <f t="shared" si="167"/>
        <v>0.0999139732771449</v>
      </c>
    </row>
    <row r="1539" s="3" customFormat="1" ht="12.95" customHeight="1" spans="1:12">
      <c r="A1539" s="4">
        <v>43978</v>
      </c>
      <c r="B1539" s="8">
        <v>0.0996745728273885</v>
      </c>
      <c r="C1539" s="8">
        <v>-0.0104163053212286</v>
      </c>
      <c r="D1539" s="8">
        <v>0.0443502552816718</v>
      </c>
      <c r="E1539" s="8">
        <v>0.076</v>
      </c>
      <c r="F1539" s="9">
        <f t="shared" si="161"/>
        <v>0.102253462442279</v>
      </c>
      <c r="G1539" s="9">
        <f t="shared" si="162"/>
        <v>0.100190368866787</v>
      </c>
      <c r="H1539" s="9">
        <f t="shared" si="163"/>
        <v>0.0999324708470879</v>
      </c>
      <c r="I1539" s="3" t="str">
        <f t="shared" si="164"/>
        <v>2020-05-01</v>
      </c>
      <c r="J1539" s="9">
        <f t="shared" si="165"/>
        <v>0.104215115724336</v>
      </c>
      <c r="K1539" s="9">
        <f t="shared" si="166"/>
        <v>0.100392129802881</v>
      </c>
      <c r="L1539" s="9">
        <f t="shared" si="167"/>
        <v>0.0999139732771449</v>
      </c>
    </row>
    <row r="1540" s="3" customFormat="1" ht="12.95" customHeight="1" spans="1:12">
      <c r="A1540" s="4">
        <v>43977</v>
      </c>
      <c r="B1540" s="8">
        <v>0.0996473918390582</v>
      </c>
      <c r="C1540" s="8">
        <v>-0.0126360981827653</v>
      </c>
      <c r="D1540" s="8">
        <v>0.0488429526196315</v>
      </c>
      <c r="E1540" s="8">
        <v>0.076</v>
      </c>
      <c r="F1540" s="9">
        <f t="shared" si="161"/>
        <v>0.102399013188998</v>
      </c>
      <c r="G1540" s="9">
        <f t="shared" si="162"/>
        <v>0.100197736026499</v>
      </c>
      <c r="H1540" s="9">
        <f t="shared" si="163"/>
        <v>0.0999225639327784</v>
      </c>
      <c r="I1540" s="3" t="str">
        <f t="shared" si="164"/>
        <v>2020-05-01</v>
      </c>
      <c r="J1540" s="9">
        <f t="shared" si="165"/>
        <v>0.104215115724336</v>
      </c>
      <c r="K1540" s="9">
        <f t="shared" si="166"/>
        <v>0.100392129802881</v>
      </c>
      <c r="L1540" s="9">
        <f t="shared" si="167"/>
        <v>0.0999139732771449</v>
      </c>
    </row>
    <row r="1541" s="3" customFormat="1" ht="12.95" customHeight="1" spans="1:12">
      <c r="A1541" s="4">
        <v>43976</v>
      </c>
      <c r="B1541" s="8">
        <v>0.0994038085834677</v>
      </c>
      <c r="C1541" s="8">
        <v>-0.000944954696580863</v>
      </c>
      <c r="D1541" s="8">
        <v>0.0291225453633442</v>
      </c>
      <c r="E1541" s="8">
        <v>0.136</v>
      </c>
      <c r="F1541" s="9">
        <f t="shared" ref="F1541:F1604" si="168">B1541+(C1541+D1541)*(E1541/$F$3)*(1-EXP(-$F$3/E1541))-D1541*EXP(-$F$3/E1541)</f>
        <v>0.103214846669306</v>
      </c>
      <c r="G1541" s="9">
        <f t="shared" ref="G1541:G1604" si="169">B1541+(C1541+D1541)*(E1541/$G$3)*(1-EXP(-$G$3/E1541))-D1541*EXP(-$G$3/E1541)</f>
        <v>0.100170239049604</v>
      </c>
      <c r="H1541" s="9">
        <f t="shared" ref="H1541:H1604" si="170">B1541+(C1541+D1541)*(E1541/$H$3)*(1-EXP(-$H$3/E1541))-D1541*EXP(-$H$3/E1541)</f>
        <v>0.0997870238165357</v>
      </c>
      <c r="I1541" s="3" t="str">
        <f t="shared" ref="I1541:I1604" si="171">TEXT(A1541,"yyyy-mm-01")</f>
        <v>2020-05-01</v>
      </c>
      <c r="J1541" s="9">
        <f t="shared" ref="J1541:J1604" si="172">AVERAGEIF($I:$I,I1541,$F:$F)</f>
        <v>0.104215115724336</v>
      </c>
      <c r="K1541" s="9">
        <f t="shared" ref="K1541:K1604" si="173">AVERAGEIF($I:$I,I1541,$G:$G)</f>
        <v>0.100392129802881</v>
      </c>
      <c r="L1541" s="9">
        <f t="shared" ref="L1541:L1604" si="174">AVERAGEIF($I:$I,I1541,$H:$H)</f>
        <v>0.0999139732771449</v>
      </c>
    </row>
    <row r="1542" s="3" customFormat="1" ht="12.95" customHeight="1" spans="1:12">
      <c r="A1542" s="4">
        <v>43973</v>
      </c>
      <c r="B1542" s="8">
        <v>0.0995104753547641</v>
      </c>
      <c r="C1542" s="8">
        <v>-0.0206096501501664</v>
      </c>
      <c r="D1542" s="8">
        <v>0.0654154528508463</v>
      </c>
      <c r="E1542" s="8">
        <v>0.076</v>
      </c>
      <c r="F1542" s="9">
        <f t="shared" si="168"/>
        <v>0.102915583523349</v>
      </c>
      <c r="G1542" s="9">
        <f t="shared" si="169"/>
        <v>0.100191523555814</v>
      </c>
      <c r="H1542" s="9">
        <f t="shared" si="170"/>
        <v>0.0998509994552893</v>
      </c>
      <c r="I1542" s="3" t="str">
        <f t="shared" si="171"/>
        <v>2020-05-01</v>
      </c>
      <c r="J1542" s="9">
        <f t="shared" si="172"/>
        <v>0.104215115724336</v>
      </c>
      <c r="K1542" s="9">
        <f t="shared" si="173"/>
        <v>0.100392129802881</v>
      </c>
      <c r="L1542" s="9">
        <f t="shared" si="174"/>
        <v>0.0999139732771449</v>
      </c>
    </row>
    <row r="1543" s="3" customFormat="1" ht="12.95" customHeight="1" spans="1:12">
      <c r="A1543" s="4">
        <v>43972</v>
      </c>
      <c r="B1543" s="8">
        <v>0.0986770871245081</v>
      </c>
      <c r="C1543" s="8">
        <v>-0.0180745361924575</v>
      </c>
      <c r="D1543" s="8">
        <v>0.0706374456517362</v>
      </c>
      <c r="E1543" s="8">
        <v>0.076</v>
      </c>
      <c r="F1543" s="9">
        <f t="shared" si="168"/>
        <v>0.102671724189413</v>
      </c>
      <c r="G1543" s="9">
        <f t="shared" si="169"/>
        <v>0.0994760433482891</v>
      </c>
      <c r="H1543" s="9">
        <f t="shared" si="170"/>
        <v>0.0990765652363986</v>
      </c>
      <c r="I1543" s="3" t="str">
        <f t="shared" si="171"/>
        <v>2020-05-01</v>
      </c>
      <c r="J1543" s="9">
        <f t="shared" si="172"/>
        <v>0.104215115724336</v>
      </c>
      <c r="K1543" s="9">
        <f t="shared" si="173"/>
        <v>0.100392129802881</v>
      </c>
      <c r="L1543" s="9">
        <f t="shared" si="174"/>
        <v>0.0999139732771449</v>
      </c>
    </row>
    <row r="1544" s="3" customFormat="1" ht="12.95" customHeight="1" spans="1:12">
      <c r="A1544" s="4">
        <v>43971</v>
      </c>
      <c r="B1544" s="8">
        <v>0.0986425760591174</v>
      </c>
      <c r="C1544" s="8">
        <v>-0.0196807600308475</v>
      </c>
      <c r="D1544" s="8">
        <v>0.0738853905805491</v>
      </c>
      <c r="E1544" s="8">
        <v>0.076</v>
      </c>
      <c r="F1544" s="9">
        <f t="shared" si="168"/>
        <v>0.10276197741693</v>
      </c>
      <c r="G1544" s="9">
        <f t="shared" si="169"/>
        <v>0.0994664864434729</v>
      </c>
      <c r="H1544" s="9">
        <f t="shared" si="170"/>
        <v>0.0990545312512951</v>
      </c>
      <c r="I1544" s="3" t="str">
        <f t="shared" si="171"/>
        <v>2020-05-01</v>
      </c>
      <c r="J1544" s="9">
        <f t="shared" si="172"/>
        <v>0.104215115724336</v>
      </c>
      <c r="K1544" s="9">
        <f t="shared" si="173"/>
        <v>0.100392129802881</v>
      </c>
      <c r="L1544" s="9">
        <f t="shared" si="174"/>
        <v>0.0999139732771449</v>
      </c>
    </row>
    <row r="1545" s="3" customFormat="1" ht="12.95" customHeight="1" spans="1:12">
      <c r="A1545" s="4">
        <v>43970</v>
      </c>
      <c r="B1545" s="8">
        <v>0.0986713099083155</v>
      </c>
      <c r="C1545" s="8">
        <v>-0.0204684475588296</v>
      </c>
      <c r="D1545" s="8">
        <v>0.075138032368032</v>
      </c>
      <c r="E1545" s="8">
        <v>0.076</v>
      </c>
      <c r="F1545" s="9">
        <f t="shared" si="168"/>
        <v>0.102826045303813</v>
      </c>
      <c r="G1545" s="9">
        <f t="shared" si="169"/>
        <v>0.0995022875974154</v>
      </c>
      <c r="H1545" s="9">
        <f t="shared" si="170"/>
        <v>0.0990867987528654</v>
      </c>
      <c r="I1545" s="3" t="str">
        <f t="shared" si="171"/>
        <v>2020-05-01</v>
      </c>
      <c r="J1545" s="9">
        <f t="shared" si="172"/>
        <v>0.104215115724336</v>
      </c>
      <c r="K1545" s="9">
        <f t="shared" si="173"/>
        <v>0.100392129802881</v>
      </c>
      <c r="L1545" s="9">
        <f t="shared" si="174"/>
        <v>0.0999139732771449</v>
      </c>
    </row>
    <row r="1546" s="3" customFormat="1" ht="12.95" customHeight="1" spans="1:12">
      <c r="A1546" s="4">
        <v>43969</v>
      </c>
      <c r="B1546" s="8">
        <v>0.0994147917225207</v>
      </c>
      <c r="C1546" s="8">
        <v>-0.0147409780397537</v>
      </c>
      <c r="D1546" s="8">
        <v>0.0616998566271092</v>
      </c>
      <c r="E1546" s="8">
        <v>0.076</v>
      </c>
      <c r="F1546" s="9">
        <f t="shared" si="168"/>
        <v>0.102983540514437</v>
      </c>
      <c r="G1546" s="9">
        <f t="shared" si="169"/>
        <v>0.100128566677049</v>
      </c>
      <c r="H1546" s="9">
        <f t="shared" si="170"/>
        <v>0.0997716791997846</v>
      </c>
      <c r="I1546" s="3" t="str">
        <f t="shared" si="171"/>
        <v>2020-05-01</v>
      </c>
      <c r="J1546" s="9">
        <f t="shared" si="172"/>
        <v>0.104215115724336</v>
      </c>
      <c r="K1546" s="9">
        <f t="shared" si="173"/>
        <v>0.100392129802881</v>
      </c>
      <c r="L1546" s="9">
        <f t="shared" si="174"/>
        <v>0.0999139732771449</v>
      </c>
    </row>
    <row r="1547" s="3" customFormat="1" ht="12.95" customHeight="1" spans="1:12">
      <c r="A1547" s="4">
        <v>43966</v>
      </c>
      <c r="B1547" s="8">
        <v>0.0994717874999499</v>
      </c>
      <c r="C1547" s="8">
        <v>-0.0246862592249422</v>
      </c>
      <c r="D1547" s="8">
        <v>0.080967860595103</v>
      </c>
      <c r="E1547" s="8">
        <v>0.076</v>
      </c>
      <c r="F1547" s="9">
        <f t="shared" si="168"/>
        <v>0.103749024664961</v>
      </c>
      <c r="G1547" s="9">
        <f t="shared" si="169"/>
        <v>0.100327267840776</v>
      </c>
      <c r="H1547" s="9">
        <f t="shared" si="170"/>
        <v>0.0998995276703631</v>
      </c>
      <c r="I1547" s="3" t="str">
        <f t="shared" si="171"/>
        <v>2020-05-01</v>
      </c>
      <c r="J1547" s="9">
        <f t="shared" si="172"/>
        <v>0.104215115724336</v>
      </c>
      <c r="K1547" s="9">
        <f t="shared" si="173"/>
        <v>0.100392129802881</v>
      </c>
      <c r="L1547" s="9">
        <f t="shared" si="174"/>
        <v>0.0999139732771449</v>
      </c>
    </row>
    <row r="1548" s="3" customFormat="1" ht="12.95" customHeight="1" spans="1:12">
      <c r="A1548" s="4">
        <v>43965</v>
      </c>
      <c r="B1548" s="8">
        <v>0.100440946288533</v>
      </c>
      <c r="C1548" s="8">
        <v>-0.0260685906034249</v>
      </c>
      <c r="D1548" s="8">
        <v>0.0837614487169714</v>
      </c>
      <c r="E1548" s="8">
        <v>0.076</v>
      </c>
      <c r="F1548" s="9">
        <f t="shared" si="168"/>
        <v>0.104825433366877</v>
      </c>
      <c r="G1548" s="9">
        <f t="shared" si="169"/>
        <v>0.101317877731859</v>
      </c>
      <c r="H1548" s="9">
        <f t="shared" si="170"/>
        <v>0.100879412010196</v>
      </c>
      <c r="I1548" s="3" t="str">
        <f t="shared" si="171"/>
        <v>2020-05-01</v>
      </c>
      <c r="J1548" s="9">
        <f t="shared" si="172"/>
        <v>0.104215115724336</v>
      </c>
      <c r="K1548" s="9">
        <f t="shared" si="173"/>
        <v>0.100392129802881</v>
      </c>
      <c r="L1548" s="9">
        <f t="shared" si="174"/>
        <v>0.0999139732771449</v>
      </c>
    </row>
    <row r="1549" s="3" customFormat="1" ht="12.95" customHeight="1" spans="1:12">
      <c r="A1549" s="4">
        <v>43964</v>
      </c>
      <c r="B1549" s="8">
        <v>0.100312846835195</v>
      </c>
      <c r="C1549" s="8">
        <v>-0.0258437970207154</v>
      </c>
      <c r="D1549" s="8">
        <v>0.0839636800337888</v>
      </c>
      <c r="E1549" s="8">
        <v>0.076</v>
      </c>
      <c r="F1549" s="9">
        <f t="shared" si="168"/>
        <v>0.104729787352917</v>
      </c>
      <c r="G1549" s="9">
        <f t="shared" si="169"/>
        <v>0.101196269056994</v>
      </c>
      <c r="H1549" s="9">
        <f t="shared" si="170"/>
        <v>0.100754557946094</v>
      </c>
      <c r="I1549" s="3" t="str">
        <f t="shared" si="171"/>
        <v>2020-05-01</v>
      </c>
      <c r="J1549" s="9">
        <f t="shared" si="172"/>
        <v>0.104215115724336</v>
      </c>
      <c r="K1549" s="9">
        <f t="shared" si="173"/>
        <v>0.100392129802881</v>
      </c>
      <c r="L1549" s="9">
        <f t="shared" si="174"/>
        <v>0.0999139732771449</v>
      </c>
    </row>
    <row r="1550" s="3" customFormat="1" ht="12.95" customHeight="1" spans="1:12">
      <c r="A1550" s="4">
        <v>43963</v>
      </c>
      <c r="B1550" s="8">
        <v>0.0994152962145243</v>
      </c>
      <c r="C1550" s="8">
        <v>-0.024508214862195</v>
      </c>
      <c r="D1550" s="8">
        <v>0.105660303207434</v>
      </c>
      <c r="E1550" s="8">
        <v>0.096</v>
      </c>
      <c r="F1550" s="9">
        <f t="shared" si="168"/>
        <v>0.107202501169306</v>
      </c>
      <c r="G1550" s="9">
        <f t="shared" si="169"/>
        <v>0.100973416310753</v>
      </c>
      <c r="H1550" s="9">
        <f t="shared" si="170"/>
        <v>0.100194356262639</v>
      </c>
      <c r="I1550" s="3" t="str">
        <f t="shared" si="171"/>
        <v>2020-05-01</v>
      </c>
      <c r="J1550" s="9">
        <f t="shared" si="172"/>
        <v>0.104215115724336</v>
      </c>
      <c r="K1550" s="9">
        <f t="shared" si="173"/>
        <v>0.100392129802881</v>
      </c>
      <c r="L1550" s="9">
        <f t="shared" si="174"/>
        <v>0.0999139732771449</v>
      </c>
    </row>
    <row r="1551" s="3" customFormat="1" ht="12.95" customHeight="1" spans="1:12">
      <c r="A1551" s="4">
        <v>43962</v>
      </c>
      <c r="B1551" s="8">
        <v>0.0995096681686533</v>
      </c>
      <c r="C1551" s="8">
        <v>-0.0229746436906626</v>
      </c>
      <c r="D1551" s="8">
        <v>0.101904786210705</v>
      </c>
      <c r="E1551" s="8">
        <v>0.096</v>
      </c>
      <c r="F1551" s="9">
        <f t="shared" si="168"/>
        <v>0.107083685109042</v>
      </c>
      <c r="G1551" s="9">
        <f t="shared" si="169"/>
        <v>0.101025126905038</v>
      </c>
      <c r="H1551" s="9">
        <f t="shared" si="170"/>
        <v>0.100267397536846</v>
      </c>
      <c r="I1551" s="3" t="str">
        <f t="shared" si="171"/>
        <v>2020-05-01</v>
      </c>
      <c r="J1551" s="9">
        <f t="shared" si="172"/>
        <v>0.104215115724336</v>
      </c>
      <c r="K1551" s="9">
        <f t="shared" si="173"/>
        <v>0.100392129802881</v>
      </c>
      <c r="L1551" s="9">
        <f t="shared" si="174"/>
        <v>0.0999139732771449</v>
      </c>
    </row>
    <row r="1552" s="3" customFormat="1" ht="12.95" customHeight="1" spans="1:12">
      <c r="A1552" s="4">
        <v>43957</v>
      </c>
      <c r="B1552" s="8">
        <v>0.0993117138699899</v>
      </c>
      <c r="C1552" s="8">
        <v>-0.0247786918355696</v>
      </c>
      <c r="D1552" s="8">
        <v>0.106801195731804</v>
      </c>
      <c r="E1552" s="8">
        <v>0.096</v>
      </c>
      <c r="F1552" s="9">
        <f t="shared" si="168"/>
        <v>0.107182442070445</v>
      </c>
      <c r="G1552" s="9">
        <f t="shared" si="169"/>
        <v>0.100886545944798</v>
      </c>
      <c r="H1552" s="9">
        <f t="shared" si="170"/>
        <v>0.100099129907394</v>
      </c>
      <c r="I1552" s="3" t="str">
        <f t="shared" si="171"/>
        <v>2020-05-01</v>
      </c>
      <c r="J1552" s="9">
        <f t="shared" si="172"/>
        <v>0.104215115724336</v>
      </c>
      <c r="K1552" s="9">
        <f t="shared" si="173"/>
        <v>0.100392129802881</v>
      </c>
      <c r="L1552" s="9">
        <f t="shared" si="174"/>
        <v>0.0999139732771449</v>
      </c>
    </row>
    <row r="1553" s="3" customFormat="1" ht="12.95" customHeight="1" spans="1:12">
      <c r="A1553" s="4">
        <v>43956</v>
      </c>
      <c r="B1553" s="8">
        <v>0.0994078496978843</v>
      </c>
      <c r="C1553" s="8">
        <v>-0.024095388946171</v>
      </c>
      <c r="D1553" s="8">
        <v>0.10455122773855</v>
      </c>
      <c r="E1553" s="8">
        <v>0.096</v>
      </c>
      <c r="F1553" s="9">
        <f t="shared" si="168"/>
        <v>0.107128249890127</v>
      </c>
      <c r="G1553" s="9">
        <f t="shared" si="169"/>
        <v>0.100952601802698</v>
      </c>
      <c r="H1553" s="9">
        <f t="shared" si="170"/>
        <v>0.100180225750291</v>
      </c>
      <c r="I1553" s="3" t="str">
        <f t="shared" si="171"/>
        <v>2020-05-01</v>
      </c>
      <c r="J1553" s="9">
        <f t="shared" si="172"/>
        <v>0.104215115724336</v>
      </c>
      <c r="K1553" s="9">
        <f t="shared" si="173"/>
        <v>0.100392129802881</v>
      </c>
      <c r="L1553" s="9">
        <f t="shared" si="174"/>
        <v>0.0999139732771449</v>
      </c>
    </row>
    <row r="1554" s="3" customFormat="1" ht="12.95" customHeight="1" spans="1:12">
      <c r="A1554" s="4">
        <v>43955</v>
      </c>
      <c r="B1554" s="8">
        <v>0.0993990125801263</v>
      </c>
      <c r="C1554" s="8">
        <v>-0.0234347643733395</v>
      </c>
      <c r="D1554" s="8">
        <v>0.10343585907824</v>
      </c>
      <c r="E1554" s="8">
        <v>0.096</v>
      </c>
      <c r="F1554" s="9">
        <f t="shared" si="168"/>
        <v>0.107075792028957</v>
      </c>
      <c r="G1554" s="9">
        <f t="shared" si="169"/>
        <v>0.10093503359846</v>
      </c>
      <c r="H1554" s="9">
        <f t="shared" si="170"/>
        <v>0.100167023089293</v>
      </c>
      <c r="I1554" s="3" t="str">
        <f t="shared" si="171"/>
        <v>2020-05-01</v>
      </c>
      <c r="J1554" s="9">
        <f t="shared" si="172"/>
        <v>0.104215115724336</v>
      </c>
      <c r="K1554" s="9">
        <f t="shared" si="173"/>
        <v>0.100392129802881</v>
      </c>
      <c r="L1554" s="9">
        <f t="shared" si="174"/>
        <v>0.0999139732771449</v>
      </c>
    </row>
    <row r="1555" s="3" customFormat="1" ht="12.95" customHeight="1" spans="1:12">
      <c r="A1555" s="4">
        <v>43951</v>
      </c>
      <c r="B1555" s="8">
        <v>0.0997944772537613</v>
      </c>
      <c r="C1555" s="8">
        <v>-0.0204418537874154</v>
      </c>
      <c r="D1555" s="8">
        <v>0.094290787714863</v>
      </c>
      <c r="E1555" s="8">
        <v>0.096</v>
      </c>
      <c r="F1555" s="9">
        <f t="shared" si="168"/>
        <v>0.106880940651744</v>
      </c>
      <c r="G1555" s="9">
        <f t="shared" si="169"/>
        <v>0.101212376785168</v>
      </c>
      <c r="H1555" s="9">
        <f t="shared" si="170"/>
        <v>0.100503427019465</v>
      </c>
      <c r="I1555" s="3" t="str">
        <f t="shared" si="171"/>
        <v>2020-04-01</v>
      </c>
      <c r="J1555" s="9">
        <f t="shared" si="172"/>
        <v>0.108134037891306</v>
      </c>
      <c r="K1555" s="9">
        <f t="shared" si="173"/>
        <v>0.100334573112199</v>
      </c>
      <c r="L1555" s="9">
        <f t="shared" si="174"/>
        <v>0.0990887757682074</v>
      </c>
    </row>
    <row r="1556" s="3" customFormat="1" ht="12.95" customHeight="1" spans="1:12">
      <c r="A1556" s="4">
        <v>43950</v>
      </c>
      <c r="B1556" s="8">
        <v>0.0991476858507861</v>
      </c>
      <c r="C1556" s="8">
        <v>-0.0140724319384103</v>
      </c>
      <c r="D1556" s="8">
        <v>0.0863383451470437</v>
      </c>
      <c r="E1556" s="8">
        <v>0.116</v>
      </c>
      <c r="F1556" s="9">
        <f t="shared" si="168"/>
        <v>0.107513450157215</v>
      </c>
      <c r="G1556" s="9">
        <f t="shared" si="169"/>
        <v>0.100824255037226</v>
      </c>
      <c r="H1556" s="9">
        <f t="shared" si="170"/>
        <v>0.0999859704440062</v>
      </c>
      <c r="I1556" s="3" t="str">
        <f t="shared" si="171"/>
        <v>2020-04-01</v>
      </c>
      <c r="J1556" s="9">
        <f t="shared" si="172"/>
        <v>0.108134037891306</v>
      </c>
      <c r="K1556" s="9">
        <f t="shared" si="173"/>
        <v>0.100334573112199</v>
      </c>
      <c r="L1556" s="9">
        <f t="shared" si="174"/>
        <v>0.0990887757682074</v>
      </c>
    </row>
    <row r="1557" s="3" customFormat="1" ht="12.95" customHeight="1" spans="1:12">
      <c r="A1557" s="4">
        <v>43949</v>
      </c>
      <c r="B1557" s="8">
        <v>0.0985680586221192</v>
      </c>
      <c r="C1557" s="8">
        <v>-0.00387716144279243</v>
      </c>
      <c r="D1557" s="8">
        <v>0.0645528378223121</v>
      </c>
      <c r="E1557" s="8">
        <v>0.156</v>
      </c>
      <c r="F1557" s="9">
        <f t="shared" si="168"/>
        <v>0.107911733530412</v>
      </c>
      <c r="G1557" s="9">
        <f t="shared" si="169"/>
        <v>0.100461139725159</v>
      </c>
      <c r="H1557" s="9">
        <f t="shared" si="170"/>
        <v>0.0995145991736397</v>
      </c>
      <c r="I1557" s="3" t="str">
        <f t="shared" si="171"/>
        <v>2020-04-01</v>
      </c>
      <c r="J1557" s="9">
        <f t="shared" si="172"/>
        <v>0.108134037891306</v>
      </c>
      <c r="K1557" s="9">
        <f t="shared" si="173"/>
        <v>0.100334573112199</v>
      </c>
      <c r="L1557" s="9">
        <f t="shared" si="174"/>
        <v>0.0990887757682074</v>
      </c>
    </row>
    <row r="1558" s="3" customFormat="1" ht="12.95" customHeight="1" spans="1:12">
      <c r="A1558" s="4">
        <v>43948</v>
      </c>
      <c r="B1558" s="8">
        <v>0.0971815757393663</v>
      </c>
      <c r="C1558" s="8">
        <v>0.00936343812339688</v>
      </c>
      <c r="D1558" s="8">
        <v>0.0317032220953252</v>
      </c>
      <c r="E1558" s="8">
        <v>0.376</v>
      </c>
      <c r="F1558" s="9">
        <f t="shared" si="168"/>
        <v>0.109323577429117</v>
      </c>
      <c r="G1558" s="9">
        <f t="shared" si="169"/>
        <v>0.100269730205707</v>
      </c>
      <c r="H1558" s="9">
        <f t="shared" si="170"/>
        <v>0.0987256821634966</v>
      </c>
      <c r="I1558" s="3" t="str">
        <f t="shared" si="171"/>
        <v>2020-04-01</v>
      </c>
      <c r="J1558" s="9">
        <f t="shared" si="172"/>
        <v>0.108134037891306</v>
      </c>
      <c r="K1558" s="9">
        <f t="shared" si="173"/>
        <v>0.100334573112199</v>
      </c>
      <c r="L1558" s="9">
        <f t="shared" si="174"/>
        <v>0.0990887757682074</v>
      </c>
    </row>
    <row r="1559" s="3" customFormat="1" ht="12.95" customHeight="1" spans="1:12">
      <c r="A1559" s="4">
        <v>43945</v>
      </c>
      <c r="B1559" s="8">
        <v>0.0976144100384234</v>
      </c>
      <c r="C1559" s="8">
        <v>0.00602192006540344</v>
      </c>
      <c r="D1559" s="8">
        <v>0.0412474941826562</v>
      </c>
      <c r="E1559" s="8">
        <v>0.276</v>
      </c>
      <c r="F1559" s="9">
        <f t="shared" si="168"/>
        <v>0.109211262671436</v>
      </c>
      <c r="G1559" s="9">
        <f t="shared" si="169"/>
        <v>0.1002236811101</v>
      </c>
      <c r="H1559" s="9">
        <f t="shared" si="170"/>
        <v>0.0989190458716698</v>
      </c>
      <c r="I1559" s="3" t="str">
        <f t="shared" si="171"/>
        <v>2020-04-01</v>
      </c>
      <c r="J1559" s="9">
        <f t="shared" si="172"/>
        <v>0.108134037891306</v>
      </c>
      <c r="K1559" s="9">
        <f t="shared" si="173"/>
        <v>0.100334573112199</v>
      </c>
      <c r="L1559" s="9">
        <f t="shared" si="174"/>
        <v>0.0990887757682074</v>
      </c>
    </row>
    <row r="1560" s="3" customFormat="1" ht="12.95" customHeight="1" spans="1:12">
      <c r="A1560" s="4">
        <v>43944</v>
      </c>
      <c r="B1560" s="8">
        <v>0.0975973135773119</v>
      </c>
      <c r="C1560" s="8">
        <v>0.00553672531962212</v>
      </c>
      <c r="D1560" s="8">
        <v>0.0414935205436394</v>
      </c>
      <c r="E1560" s="8">
        <v>0.276</v>
      </c>
      <c r="F1560" s="9">
        <f t="shared" si="168"/>
        <v>0.109123349776665</v>
      </c>
      <c r="G1560" s="9">
        <f t="shared" si="169"/>
        <v>0.10019338255099</v>
      </c>
      <c r="H1560" s="9">
        <f t="shared" si="170"/>
        <v>0.0988953483631379</v>
      </c>
      <c r="I1560" s="3" t="str">
        <f t="shared" si="171"/>
        <v>2020-04-01</v>
      </c>
      <c r="J1560" s="9">
        <f t="shared" si="172"/>
        <v>0.108134037891306</v>
      </c>
      <c r="K1560" s="9">
        <f t="shared" si="173"/>
        <v>0.100334573112199</v>
      </c>
      <c r="L1560" s="9">
        <f t="shared" si="174"/>
        <v>0.0990887757682074</v>
      </c>
    </row>
    <row r="1561" s="3" customFormat="1" ht="12.95" customHeight="1" spans="1:12">
      <c r="A1561" s="4">
        <v>43943</v>
      </c>
      <c r="B1561" s="8">
        <v>0.0977467679605007</v>
      </c>
      <c r="C1561" s="8">
        <v>-0.0111774053114848</v>
      </c>
      <c r="D1561" s="8">
        <v>0.0880007209556858</v>
      </c>
      <c r="E1561" s="8">
        <v>0.136</v>
      </c>
      <c r="F1561" s="9">
        <f t="shared" si="168"/>
        <v>0.108131662303278</v>
      </c>
      <c r="G1561" s="9">
        <f t="shared" si="169"/>
        <v>0.099836362146023</v>
      </c>
      <c r="H1561" s="9">
        <f t="shared" si="170"/>
        <v>0.0987915650532618</v>
      </c>
      <c r="I1561" s="3" t="str">
        <f t="shared" si="171"/>
        <v>2020-04-01</v>
      </c>
      <c r="J1561" s="9">
        <f t="shared" si="172"/>
        <v>0.108134037891306</v>
      </c>
      <c r="K1561" s="9">
        <f t="shared" si="173"/>
        <v>0.100334573112199</v>
      </c>
      <c r="L1561" s="9">
        <f t="shared" si="174"/>
        <v>0.0990887757682074</v>
      </c>
    </row>
    <row r="1562" s="3" customFormat="1" ht="12.95" customHeight="1" spans="1:12">
      <c r="A1562" s="4">
        <v>43942</v>
      </c>
      <c r="B1562" s="8">
        <v>0.0981288275258708</v>
      </c>
      <c r="C1562" s="8">
        <v>-0.0161212821799636</v>
      </c>
      <c r="D1562" s="8">
        <v>0.0968101738240214</v>
      </c>
      <c r="E1562" s="8">
        <v>0.116</v>
      </c>
      <c r="F1562" s="9">
        <f t="shared" si="168"/>
        <v>0.107469592684834</v>
      </c>
      <c r="G1562" s="9">
        <f t="shared" si="169"/>
        <v>0.100000809812013</v>
      </c>
      <c r="H1562" s="9">
        <f t="shared" si="170"/>
        <v>0.0990648186689419</v>
      </c>
      <c r="I1562" s="3" t="str">
        <f t="shared" si="171"/>
        <v>2020-04-01</v>
      </c>
      <c r="J1562" s="9">
        <f t="shared" si="172"/>
        <v>0.108134037891306</v>
      </c>
      <c r="K1562" s="9">
        <f t="shared" si="173"/>
        <v>0.100334573112199</v>
      </c>
      <c r="L1562" s="9">
        <f t="shared" si="174"/>
        <v>0.0990887757682074</v>
      </c>
    </row>
    <row r="1563" s="3" customFormat="1" ht="12.95" customHeight="1" spans="1:12">
      <c r="A1563" s="4">
        <v>43941</v>
      </c>
      <c r="B1563" s="8">
        <v>0.0975196730580585</v>
      </c>
      <c r="C1563" s="8">
        <v>-0.0194980833912757</v>
      </c>
      <c r="D1563" s="8">
        <v>0.108708306526452</v>
      </c>
      <c r="E1563" s="8">
        <v>0.116</v>
      </c>
      <c r="F1563" s="9">
        <f t="shared" si="168"/>
        <v>0.107846588752837</v>
      </c>
      <c r="G1563" s="9">
        <f t="shared" si="169"/>
        <v>0.0995893502347946</v>
      </c>
      <c r="H1563" s="9">
        <f t="shared" si="170"/>
        <v>0.0985545116464265</v>
      </c>
      <c r="I1563" s="3" t="str">
        <f t="shared" si="171"/>
        <v>2020-04-01</v>
      </c>
      <c r="J1563" s="9">
        <f t="shared" si="172"/>
        <v>0.108134037891306</v>
      </c>
      <c r="K1563" s="9">
        <f t="shared" si="173"/>
        <v>0.100334573112199</v>
      </c>
      <c r="L1563" s="9">
        <f t="shared" si="174"/>
        <v>0.0990887757682074</v>
      </c>
    </row>
    <row r="1564" s="3" customFormat="1" ht="12.95" customHeight="1" spans="1:12">
      <c r="A1564" s="4">
        <v>43938</v>
      </c>
      <c r="B1564" s="8">
        <v>0.0978580937583729</v>
      </c>
      <c r="C1564" s="8">
        <v>-0.020664672217255</v>
      </c>
      <c r="D1564" s="8">
        <v>0.11043658848803</v>
      </c>
      <c r="E1564" s="8">
        <v>0.136</v>
      </c>
      <c r="F1564" s="9">
        <f t="shared" si="168"/>
        <v>0.109988494722288</v>
      </c>
      <c r="G1564" s="9">
        <f t="shared" si="169"/>
        <v>0.100299889880938</v>
      </c>
      <c r="H1564" s="9">
        <f t="shared" si="170"/>
        <v>0.0990789918196554</v>
      </c>
      <c r="I1564" s="3" t="str">
        <f t="shared" si="171"/>
        <v>2020-04-01</v>
      </c>
      <c r="J1564" s="9">
        <f t="shared" si="172"/>
        <v>0.108134037891306</v>
      </c>
      <c r="K1564" s="9">
        <f t="shared" si="173"/>
        <v>0.100334573112199</v>
      </c>
      <c r="L1564" s="9">
        <f t="shared" si="174"/>
        <v>0.0990887757682074</v>
      </c>
    </row>
    <row r="1565" s="3" customFormat="1" ht="12.95" customHeight="1" spans="1:12">
      <c r="A1565" s="4">
        <v>43937</v>
      </c>
      <c r="B1565" s="8">
        <v>0.097907435932095</v>
      </c>
      <c r="C1565" s="8">
        <v>-0.0224084246363387</v>
      </c>
      <c r="D1565" s="8">
        <v>0.10920171988514</v>
      </c>
      <c r="E1565" s="8">
        <v>0.136</v>
      </c>
      <c r="F1565" s="9">
        <f t="shared" si="168"/>
        <v>0.109633795168535</v>
      </c>
      <c r="G1565" s="9">
        <f t="shared" si="169"/>
        <v>0.100268213562862</v>
      </c>
      <c r="H1565" s="9">
        <f t="shared" si="170"/>
        <v>0.0990878247474787</v>
      </c>
      <c r="I1565" s="3" t="str">
        <f t="shared" si="171"/>
        <v>2020-04-01</v>
      </c>
      <c r="J1565" s="9">
        <f t="shared" si="172"/>
        <v>0.108134037891306</v>
      </c>
      <c r="K1565" s="9">
        <f t="shared" si="173"/>
        <v>0.100334573112199</v>
      </c>
      <c r="L1565" s="9">
        <f t="shared" si="174"/>
        <v>0.0990887757682074</v>
      </c>
    </row>
    <row r="1566" s="3" customFormat="1" ht="12.95" customHeight="1" spans="1:12">
      <c r="A1566" s="4">
        <v>43936</v>
      </c>
      <c r="B1566" s="8">
        <v>0.0980723792520083</v>
      </c>
      <c r="C1566" s="8">
        <v>-0.0218013909624056</v>
      </c>
      <c r="D1566" s="8">
        <v>0.106940793144476</v>
      </c>
      <c r="E1566" s="8">
        <v>0.136</v>
      </c>
      <c r="F1566" s="9">
        <f t="shared" si="168"/>
        <v>0.109575401732265</v>
      </c>
      <c r="G1566" s="9">
        <f t="shared" si="169"/>
        <v>0.100388170991361</v>
      </c>
      <c r="H1566" s="9">
        <f t="shared" si="170"/>
        <v>0.0992302751216845</v>
      </c>
      <c r="I1566" s="3" t="str">
        <f t="shared" si="171"/>
        <v>2020-04-01</v>
      </c>
      <c r="J1566" s="9">
        <f t="shared" si="172"/>
        <v>0.108134037891306</v>
      </c>
      <c r="K1566" s="9">
        <f t="shared" si="173"/>
        <v>0.100334573112199</v>
      </c>
      <c r="L1566" s="9">
        <f t="shared" si="174"/>
        <v>0.0990887757682074</v>
      </c>
    </row>
    <row r="1567" s="3" customFormat="1" ht="12.95" customHeight="1" spans="1:12">
      <c r="A1567" s="4">
        <v>43935</v>
      </c>
      <c r="B1567" s="8">
        <v>0.0955726914396945</v>
      </c>
      <c r="C1567" s="8">
        <v>-0.0143199469253434</v>
      </c>
      <c r="D1567" s="8">
        <v>0.102939270456705</v>
      </c>
      <c r="E1567" s="8">
        <v>0.176</v>
      </c>
      <c r="F1567" s="9">
        <f t="shared" si="168"/>
        <v>0.110765796914529</v>
      </c>
      <c r="G1567" s="9">
        <f t="shared" si="169"/>
        <v>0.0986920916279497</v>
      </c>
      <c r="H1567" s="9">
        <f t="shared" si="170"/>
        <v>0.0971323915338465</v>
      </c>
      <c r="I1567" s="3" t="str">
        <f t="shared" si="171"/>
        <v>2020-04-01</v>
      </c>
      <c r="J1567" s="9">
        <f t="shared" si="172"/>
        <v>0.108134037891306</v>
      </c>
      <c r="K1567" s="9">
        <f t="shared" si="173"/>
        <v>0.100334573112199</v>
      </c>
      <c r="L1567" s="9">
        <f t="shared" si="174"/>
        <v>0.0990887757682074</v>
      </c>
    </row>
    <row r="1568" s="3" customFormat="1" ht="12.95" customHeight="1" spans="1:12">
      <c r="A1568" s="4">
        <v>43934</v>
      </c>
      <c r="B1568" s="8">
        <v>0.0954033453160075</v>
      </c>
      <c r="C1568" s="8">
        <v>-0.0152483362562001</v>
      </c>
      <c r="D1568" s="8">
        <v>0.106189342905934</v>
      </c>
      <c r="E1568" s="8">
        <v>0.176</v>
      </c>
      <c r="F1568" s="9">
        <f t="shared" si="168"/>
        <v>0.110992600558957</v>
      </c>
      <c r="G1568" s="9">
        <f t="shared" si="169"/>
        <v>0.0986044687500279</v>
      </c>
      <c r="H1568" s="9">
        <f t="shared" si="170"/>
        <v>0.0970039070330428</v>
      </c>
      <c r="I1568" s="3" t="str">
        <f t="shared" si="171"/>
        <v>2020-04-01</v>
      </c>
      <c r="J1568" s="9">
        <f t="shared" si="172"/>
        <v>0.108134037891306</v>
      </c>
      <c r="K1568" s="9">
        <f t="shared" si="173"/>
        <v>0.100334573112199</v>
      </c>
      <c r="L1568" s="9">
        <f t="shared" si="174"/>
        <v>0.0990887757682074</v>
      </c>
    </row>
    <row r="1569" s="3" customFormat="1" ht="12.95" customHeight="1" spans="1:12">
      <c r="A1569" s="4">
        <v>43931</v>
      </c>
      <c r="B1569" s="8">
        <v>0.0964500858797813</v>
      </c>
      <c r="C1569" s="8">
        <v>-0.0170041716366393</v>
      </c>
      <c r="D1569" s="8">
        <v>0.105593193617753</v>
      </c>
      <c r="E1569" s="8">
        <v>0.156</v>
      </c>
      <c r="F1569" s="9">
        <f t="shared" si="168"/>
        <v>0.110073586226764</v>
      </c>
      <c r="G1569" s="9">
        <f t="shared" si="169"/>
        <v>0.0992140633655907</v>
      </c>
      <c r="H1569" s="9">
        <f t="shared" si="170"/>
        <v>0.0978320746226867</v>
      </c>
      <c r="I1569" s="3" t="str">
        <f t="shared" si="171"/>
        <v>2020-04-01</v>
      </c>
      <c r="J1569" s="9">
        <f t="shared" si="172"/>
        <v>0.108134037891306</v>
      </c>
      <c r="K1569" s="9">
        <f t="shared" si="173"/>
        <v>0.100334573112199</v>
      </c>
      <c r="L1569" s="9">
        <f t="shared" si="174"/>
        <v>0.0990887757682074</v>
      </c>
    </row>
    <row r="1570" s="3" customFormat="1" ht="12.95" customHeight="1" spans="1:12">
      <c r="A1570" s="4">
        <v>43930</v>
      </c>
      <c r="B1570" s="8">
        <v>0.0967609081127706</v>
      </c>
      <c r="C1570" s="8">
        <v>-0.0222686526624765</v>
      </c>
      <c r="D1570" s="8">
        <v>0.115148892475964</v>
      </c>
      <c r="E1570" s="8">
        <v>0.136</v>
      </c>
      <c r="F1570" s="9">
        <f t="shared" si="168"/>
        <v>0.109310751034442</v>
      </c>
      <c r="G1570" s="9">
        <f t="shared" si="169"/>
        <v>0.0992872506356974</v>
      </c>
      <c r="H1570" s="9">
        <f t="shared" si="170"/>
        <v>0.098024079374234</v>
      </c>
      <c r="I1570" s="3" t="str">
        <f t="shared" si="171"/>
        <v>2020-04-01</v>
      </c>
      <c r="J1570" s="9">
        <f t="shared" si="172"/>
        <v>0.108134037891306</v>
      </c>
      <c r="K1570" s="9">
        <f t="shared" si="173"/>
        <v>0.100334573112199</v>
      </c>
      <c r="L1570" s="9">
        <f t="shared" si="174"/>
        <v>0.0990887757682074</v>
      </c>
    </row>
    <row r="1571" s="3" customFormat="1" ht="12.95" customHeight="1" spans="1:12">
      <c r="A1571" s="4">
        <v>43929</v>
      </c>
      <c r="B1571" s="8">
        <v>0.0949667061176957</v>
      </c>
      <c r="C1571" s="8">
        <v>-0.0107928510884708</v>
      </c>
      <c r="D1571" s="8">
        <v>0.0966862008597257</v>
      </c>
      <c r="E1571" s="8">
        <v>0.196</v>
      </c>
      <c r="F1571" s="9">
        <f t="shared" si="168"/>
        <v>0.11111110312299</v>
      </c>
      <c r="G1571" s="9">
        <f t="shared" si="169"/>
        <v>0.0983337254278947</v>
      </c>
      <c r="H1571" s="9">
        <f t="shared" si="170"/>
        <v>0.0966502157732123</v>
      </c>
      <c r="I1571" s="3" t="str">
        <f t="shared" si="171"/>
        <v>2020-04-01</v>
      </c>
      <c r="J1571" s="9">
        <f t="shared" si="172"/>
        <v>0.108134037891306</v>
      </c>
      <c r="K1571" s="9">
        <f t="shared" si="173"/>
        <v>0.100334573112199</v>
      </c>
      <c r="L1571" s="9">
        <f t="shared" si="174"/>
        <v>0.0990887757682074</v>
      </c>
    </row>
    <row r="1572" s="3" customFormat="1" ht="12.95" customHeight="1" spans="1:12">
      <c r="A1572" s="4">
        <v>43928</v>
      </c>
      <c r="B1572" s="8">
        <v>0.0967133806355671</v>
      </c>
      <c r="C1572" s="8">
        <v>-0.0128962665426533</v>
      </c>
      <c r="D1572" s="8">
        <v>0.0860608410590684</v>
      </c>
      <c r="E1572" s="8">
        <v>0.156</v>
      </c>
      <c r="F1572" s="9">
        <f t="shared" si="168"/>
        <v>0.107966747404738</v>
      </c>
      <c r="G1572" s="9">
        <f t="shared" si="169"/>
        <v>0.0989961153604782</v>
      </c>
      <c r="H1572" s="9">
        <f t="shared" si="170"/>
        <v>0.0978547479980232</v>
      </c>
      <c r="I1572" s="3" t="str">
        <f t="shared" si="171"/>
        <v>2020-04-01</v>
      </c>
      <c r="J1572" s="9">
        <f t="shared" si="172"/>
        <v>0.108134037891306</v>
      </c>
      <c r="K1572" s="9">
        <f t="shared" si="173"/>
        <v>0.100334573112199</v>
      </c>
      <c r="L1572" s="9">
        <f t="shared" si="174"/>
        <v>0.0990887757682074</v>
      </c>
    </row>
    <row r="1573" s="3" customFormat="1" ht="12.95" customHeight="1" spans="1:12">
      <c r="A1573" s="4">
        <v>43927</v>
      </c>
      <c r="B1573" s="8">
        <v>0.0854014643298623</v>
      </c>
      <c r="C1573" s="8">
        <v>0.0241988506629213</v>
      </c>
      <c r="D1573" s="8">
        <v>0.0305032249202611</v>
      </c>
      <c r="E1573" s="8">
        <v>1.316</v>
      </c>
      <c r="F1573" s="9">
        <f t="shared" si="168"/>
        <v>0.109451894976078</v>
      </c>
      <c r="G1573" s="9">
        <f t="shared" si="169"/>
        <v>0.0987939740163907</v>
      </c>
      <c r="H1573" s="9">
        <f t="shared" si="170"/>
        <v>0.0925813664938201</v>
      </c>
      <c r="I1573" s="3" t="str">
        <f t="shared" si="171"/>
        <v>2020-04-01</v>
      </c>
      <c r="J1573" s="9">
        <f t="shared" si="172"/>
        <v>0.108134037891306</v>
      </c>
      <c r="K1573" s="9">
        <f t="shared" si="173"/>
        <v>0.100334573112199</v>
      </c>
      <c r="L1573" s="9">
        <f t="shared" si="174"/>
        <v>0.0990887757682074</v>
      </c>
    </row>
    <row r="1574" s="3" customFormat="1" ht="12.95" customHeight="1" spans="1:12">
      <c r="A1574" s="4">
        <v>43924</v>
      </c>
      <c r="B1574" s="8">
        <v>0.104691292370309</v>
      </c>
      <c r="C1574" s="8">
        <v>0.011928400198166</v>
      </c>
      <c r="D1574" s="8">
        <v>-0.0358070067970245</v>
      </c>
      <c r="E1574" s="8">
        <v>0.076</v>
      </c>
      <c r="F1574" s="9">
        <f t="shared" si="168"/>
        <v>0.102876590885791</v>
      </c>
      <c r="G1574" s="9">
        <f t="shared" si="169"/>
        <v>0.104328337550006</v>
      </c>
      <c r="H1574" s="9">
        <f t="shared" si="170"/>
        <v>0.104509814960158</v>
      </c>
      <c r="I1574" s="3" t="str">
        <f t="shared" si="171"/>
        <v>2020-04-01</v>
      </c>
      <c r="J1574" s="9">
        <f t="shared" si="172"/>
        <v>0.108134037891306</v>
      </c>
      <c r="K1574" s="9">
        <f t="shared" si="173"/>
        <v>0.100334573112199</v>
      </c>
      <c r="L1574" s="9">
        <f t="shared" si="174"/>
        <v>0.0990887757682074</v>
      </c>
    </row>
    <row r="1575" s="3" customFormat="1" ht="12.95" customHeight="1" spans="1:12">
      <c r="A1575" s="4">
        <v>43923</v>
      </c>
      <c r="B1575" s="8">
        <v>0.105260988876744</v>
      </c>
      <c r="C1575" s="8">
        <v>0.0200791972277283</v>
      </c>
      <c r="D1575" s="8">
        <v>-0.0554410889620837</v>
      </c>
      <c r="E1575" s="8">
        <v>0.076</v>
      </c>
      <c r="F1575" s="9">
        <f t="shared" si="168"/>
        <v>0.102573597303867</v>
      </c>
      <c r="G1575" s="9">
        <f t="shared" si="169"/>
        <v>0.104723488122382</v>
      </c>
      <c r="H1575" s="9">
        <f t="shared" si="170"/>
        <v>0.104992238499563</v>
      </c>
      <c r="I1575" s="3" t="str">
        <f t="shared" si="171"/>
        <v>2020-04-01</v>
      </c>
      <c r="J1575" s="9">
        <f t="shared" si="172"/>
        <v>0.108134037891306</v>
      </c>
      <c r="K1575" s="9">
        <f t="shared" si="173"/>
        <v>0.100334573112199</v>
      </c>
      <c r="L1575" s="9">
        <f t="shared" si="174"/>
        <v>0.0990887757682074</v>
      </c>
    </row>
    <row r="1576" s="3" customFormat="1" ht="12.95" customHeight="1" spans="1:12">
      <c r="A1576" s="4">
        <v>43922</v>
      </c>
      <c r="B1576" s="8">
        <v>0.1032206094686</v>
      </c>
      <c r="C1576" s="8">
        <v>0.0211645839022604</v>
      </c>
      <c r="D1576" s="8">
        <v>-0.0475381298875172</v>
      </c>
      <c r="E1576" s="8">
        <v>0.076</v>
      </c>
      <c r="F1576" s="9">
        <f t="shared" si="168"/>
        <v>0.101216315599945</v>
      </c>
      <c r="G1576" s="9">
        <f t="shared" si="169"/>
        <v>0.102819731569624</v>
      </c>
      <c r="H1576" s="9">
        <f t="shared" si="170"/>
        <v>0.103020170519112</v>
      </c>
      <c r="I1576" s="3" t="str">
        <f t="shared" si="171"/>
        <v>2020-04-01</v>
      </c>
      <c r="J1576" s="9">
        <f t="shared" si="172"/>
        <v>0.108134037891306</v>
      </c>
      <c r="K1576" s="9">
        <f t="shared" si="173"/>
        <v>0.100334573112199</v>
      </c>
      <c r="L1576" s="9">
        <f t="shared" si="174"/>
        <v>0.0990887757682074</v>
      </c>
    </row>
    <row r="1577" s="3" customFormat="1" ht="12.95" customHeight="1" spans="1:12">
      <c r="A1577" s="4">
        <v>43921</v>
      </c>
      <c r="B1577" s="8">
        <v>0.103041811873259</v>
      </c>
      <c r="C1577" s="8">
        <v>0.0185251667436323</v>
      </c>
      <c r="D1577" s="8">
        <v>-0.0411379502641632</v>
      </c>
      <c r="E1577" s="8">
        <v>0.076</v>
      </c>
      <c r="F1577" s="9">
        <f t="shared" si="168"/>
        <v>0.101323323046712</v>
      </c>
      <c r="G1577" s="9">
        <f t="shared" si="169"/>
        <v>0.102698097563747</v>
      </c>
      <c r="H1577" s="9">
        <f t="shared" si="170"/>
        <v>0.102869954718503</v>
      </c>
      <c r="I1577" s="3" t="str">
        <f t="shared" si="171"/>
        <v>2020-03-01</v>
      </c>
      <c r="J1577" s="9">
        <f t="shared" si="172"/>
        <v>0.0959911505560275</v>
      </c>
      <c r="K1577" s="9">
        <f t="shared" si="173"/>
        <v>0.0961498481437661</v>
      </c>
      <c r="L1577" s="9">
        <f t="shared" si="174"/>
        <v>0.0959863337844462</v>
      </c>
    </row>
    <row r="1578" s="3" customFormat="1" ht="12.95" customHeight="1" spans="1:12">
      <c r="A1578" s="4">
        <v>43920</v>
      </c>
      <c r="B1578" s="8">
        <v>0.100461483444492</v>
      </c>
      <c r="C1578" s="8">
        <v>0.0245866528965066</v>
      </c>
      <c r="D1578" s="8">
        <v>-0.0520142764169816</v>
      </c>
      <c r="E1578" s="8">
        <v>0.076</v>
      </c>
      <c r="F1578" s="9">
        <f t="shared" si="168"/>
        <v>0.0983770884775781</v>
      </c>
      <c r="G1578" s="9">
        <f t="shared" si="169"/>
        <v>0.100044583566981</v>
      </c>
      <c r="H1578" s="9">
        <f t="shared" si="170"/>
        <v>0.100253033505736</v>
      </c>
      <c r="I1578" s="3" t="str">
        <f t="shared" si="171"/>
        <v>2020-03-01</v>
      </c>
      <c r="J1578" s="9">
        <f t="shared" si="172"/>
        <v>0.0959911505560275</v>
      </c>
      <c r="K1578" s="9">
        <f t="shared" si="173"/>
        <v>0.0961498481437661</v>
      </c>
      <c r="L1578" s="9">
        <f t="shared" si="174"/>
        <v>0.0959863337844462</v>
      </c>
    </row>
    <row r="1579" s="3" customFormat="1" ht="12.95" customHeight="1" spans="1:12">
      <c r="A1579" s="4">
        <v>43917</v>
      </c>
      <c r="B1579" s="8">
        <v>0.101351903902493</v>
      </c>
      <c r="C1579" s="8">
        <v>0.0248172034878148</v>
      </c>
      <c r="D1579" s="8">
        <v>-0.0704255723336512</v>
      </c>
      <c r="E1579" s="8">
        <v>0.076</v>
      </c>
      <c r="F1579" s="9">
        <f t="shared" si="168"/>
        <v>0.097885810495065</v>
      </c>
      <c r="G1579" s="9">
        <f t="shared" si="169"/>
        <v>0.100658656696036</v>
      </c>
      <c r="H1579" s="9">
        <f t="shared" si="170"/>
        <v>0.101005280299265</v>
      </c>
      <c r="I1579" s="3" t="str">
        <f t="shared" si="171"/>
        <v>2020-03-01</v>
      </c>
      <c r="J1579" s="9">
        <f t="shared" si="172"/>
        <v>0.0959911505560275</v>
      </c>
      <c r="K1579" s="9">
        <f t="shared" si="173"/>
        <v>0.0961498481437661</v>
      </c>
      <c r="L1579" s="9">
        <f t="shared" si="174"/>
        <v>0.0959863337844462</v>
      </c>
    </row>
    <row r="1580" s="3" customFormat="1" ht="12.95" customHeight="1" spans="1:12">
      <c r="A1580" s="4">
        <v>43916</v>
      </c>
      <c r="B1580" s="8">
        <v>0.101456277454989</v>
      </c>
      <c r="C1580" s="8">
        <v>0.0248177188611285</v>
      </c>
      <c r="D1580" s="8">
        <v>-0.0708792970325375</v>
      </c>
      <c r="E1580" s="8">
        <v>0.076</v>
      </c>
      <c r="F1580" s="9">
        <f t="shared" si="168"/>
        <v>0.0979557410810732</v>
      </c>
      <c r="G1580" s="9">
        <f t="shared" si="169"/>
        <v>0.100756141466784</v>
      </c>
      <c r="H1580" s="9">
        <f t="shared" si="170"/>
        <v>0.101106209460886</v>
      </c>
      <c r="I1580" s="3" t="str">
        <f t="shared" si="171"/>
        <v>2020-03-01</v>
      </c>
      <c r="J1580" s="9">
        <f t="shared" si="172"/>
        <v>0.0959911505560275</v>
      </c>
      <c r="K1580" s="9">
        <f t="shared" si="173"/>
        <v>0.0961498481437661</v>
      </c>
      <c r="L1580" s="9">
        <f t="shared" si="174"/>
        <v>0.0959863337844462</v>
      </c>
    </row>
    <row r="1581" s="3" customFormat="1" ht="12.95" customHeight="1" spans="1:12">
      <c r="A1581" s="4">
        <v>43910</v>
      </c>
      <c r="B1581" s="8">
        <v>0.101484256668436</v>
      </c>
      <c r="C1581" s="8">
        <v>0.0249536616493771</v>
      </c>
      <c r="D1581" s="8">
        <v>-0.0712862862391115</v>
      </c>
      <c r="E1581" s="8">
        <v>0.076</v>
      </c>
      <c r="F1581" s="9">
        <f t="shared" si="168"/>
        <v>0.0979631215920528</v>
      </c>
      <c r="G1581" s="9">
        <f t="shared" si="169"/>
        <v>0.100780000774672</v>
      </c>
      <c r="H1581" s="9">
        <f t="shared" si="170"/>
        <v>0.101132128721554</v>
      </c>
      <c r="I1581" s="3" t="str">
        <f t="shared" si="171"/>
        <v>2020-03-01</v>
      </c>
      <c r="J1581" s="9">
        <f t="shared" si="172"/>
        <v>0.0959911505560275</v>
      </c>
      <c r="K1581" s="9">
        <f t="shared" si="173"/>
        <v>0.0961498481437661</v>
      </c>
      <c r="L1581" s="9">
        <f t="shared" si="174"/>
        <v>0.0959863337844462</v>
      </c>
    </row>
    <row r="1582" s="3" customFormat="1" ht="12.95" customHeight="1" spans="1:12">
      <c r="A1582" s="4">
        <v>43909</v>
      </c>
      <c r="B1582" s="8">
        <v>0.0988620801488411</v>
      </c>
      <c r="C1582" s="8">
        <v>0.0273951699339663</v>
      </c>
      <c r="D1582" s="8">
        <v>-0.066112358060938</v>
      </c>
      <c r="E1582" s="8">
        <v>0.076</v>
      </c>
      <c r="F1582" s="9">
        <f t="shared" si="168"/>
        <v>0.0959197071398503</v>
      </c>
      <c r="G1582" s="9">
        <f t="shared" si="169"/>
        <v>0.0982735788893111</v>
      </c>
      <c r="H1582" s="9">
        <f t="shared" si="170"/>
        <v>0.0985678295190761</v>
      </c>
      <c r="I1582" s="3" t="str">
        <f t="shared" si="171"/>
        <v>2020-03-01</v>
      </c>
      <c r="J1582" s="9">
        <f t="shared" si="172"/>
        <v>0.0959911505560275</v>
      </c>
      <c r="K1582" s="9">
        <f t="shared" si="173"/>
        <v>0.0961498481437661</v>
      </c>
      <c r="L1582" s="9">
        <f t="shared" si="174"/>
        <v>0.0959863337844462</v>
      </c>
    </row>
    <row r="1583" s="3" customFormat="1" ht="12.95" customHeight="1" spans="1:12">
      <c r="A1583" s="4">
        <v>43908</v>
      </c>
      <c r="B1583" s="8">
        <v>0.0988799453044842</v>
      </c>
      <c r="C1583" s="8">
        <v>0.027600271103841</v>
      </c>
      <c r="D1583" s="8">
        <v>-0.0666810855347281</v>
      </c>
      <c r="E1583" s="8">
        <v>0.076</v>
      </c>
      <c r="F1583" s="9">
        <f t="shared" si="168"/>
        <v>0.0959099378474869</v>
      </c>
      <c r="G1583" s="9">
        <f t="shared" si="169"/>
        <v>0.0982859169251347</v>
      </c>
      <c r="H1583" s="9">
        <f t="shared" si="170"/>
        <v>0.0985829311148095</v>
      </c>
      <c r="I1583" s="3" t="str">
        <f t="shared" si="171"/>
        <v>2020-03-01</v>
      </c>
      <c r="J1583" s="9">
        <f t="shared" si="172"/>
        <v>0.0959911505560275</v>
      </c>
      <c r="K1583" s="9">
        <f t="shared" si="173"/>
        <v>0.0961498481437661</v>
      </c>
      <c r="L1583" s="9">
        <f t="shared" si="174"/>
        <v>0.0959863337844462</v>
      </c>
    </row>
    <row r="1584" s="3" customFormat="1" ht="12.95" customHeight="1" spans="1:12">
      <c r="A1584" s="4">
        <v>43907</v>
      </c>
      <c r="B1584" s="8">
        <v>0.0988730537794947</v>
      </c>
      <c r="C1584" s="8">
        <v>0.0274688059795373</v>
      </c>
      <c r="D1584" s="8">
        <v>-0.0663355261663578</v>
      </c>
      <c r="E1584" s="8">
        <v>0.076</v>
      </c>
      <c r="F1584" s="9">
        <f t="shared" si="168"/>
        <v>0.0959193167866466</v>
      </c>
      <c r="G1584" s="9">
        <f t="shared" si="169"/>
        <v>0.098282279632655</v>
      </c>
      <c r="H1584" s="9">
        <f t="shared" si="170"/>
        <v>0.0985776667060749</v>
      </c>
      <c r="I1584" s="3" t="str">
        <f t="shared" si="171"/>
        <v>2020-03-01</v>
      </c>
      <c r="J1584" s="9">
        <f t="shared" si="172"/>
        <v>0.0959911505560275</v>
      </c>
      <c r="K1584" s="9">
        <f t="shared" si="173"/>
        <v>0.0961498481437661</v>
      </c>
      <c r="L1584" s="9">
        <f t="shared" si="174"/>
        <v>0.0959863337844462</v>
      </c>
    </row>
    <row r="1585" s="3" customFormat="1" ht="12.95" customHeight="1" spans="1:12">
      <c r="A1585" s="4">
        <v>43906</v>
      </c>
      <c r="B1585" s="8">
        <v>0.0974810291207763</v>
      </c>
      <c r="C1585" s="8">
        <v>0.0283839263287477</v>
      </c>
      <c r="D1585" s="8">
        <v>-0.0666992325802747</v>
      </c>
      <c r="E1585" s="8">
        <v>0.076</v>
      </c>
      <c r="F1585" s="9">
        <f t="shared" si="168"/>
        <v>0.094569200208142</v>
      </c>
      <c r="G1585" s="9">
        <f t="shared" si="169"/>
        <v>0.0968986364657531</v>
      </c>
      <c r="H1585" s="9">
        <f t="shared" si="170"/>
        <v>0.0971898327932647</v>
      </c>
      <c r="I1585" s="3" t="str">
        <f t="shared" si="171"/>
        <v>2020-03-01</v>
      </c>
      <c r="J1585" s="9">
        <f t="shared" si="172"/>
        <v>0.0959911505560275</v>
      </c>
      <c r="K1585" s="9">
        <f t="shared" si="173"/>
        <v>0.0961498481437661</v>
      </c>
      <c r="L1585" s="9">
        <f t="shared" si="174"/>
        <v>0.0959863337844462</v>
      </c>
    </row>
    <row r="1586" s="3" customFormat="1" ht="12.95" customHeight="1" spans="1:12">
      <c r="A1586" s="4">
        <v>43903</v>
      </c>
      <c r="B1586" s="8">
        <v>0.0951626611027042</v>
      </c>
      <c r="C1586" s="8">
        <v>0.031322842441139</v>
      </c>
      <c r="D1586" s="8">
        <v>-0.0704012142292597</v>
      </c>
      <c r="E1586" s="8">
        <v>0.076</v>
      </c>
      <c r="F1586" s="9">
        <f t="shared" si="168"/>
        <v>0.0921928464667352</v>
      </c>
      <c r="G1586" s="9">
        <f t="shared" si="169"/>
        <v>0.0945686698515248</v>
      </c>
      <c r="H1586" s="9">
        <f t="shared" si="170"/>
        <v>0.0948656654771145</v>
      </c>
      <c r="I1586" s="3" t="str">
        <f t="shared" si="171"/>
        <v>2020-03-01</v>
      </c>
      <c r="J1586" s="9">
        <f t="shared" si="172"/>
        <v>0.0959911505560275</v>
      </c>
      <c r="K1586" s="9">
        <f t="shared" si="173"/>
        <v>0.0961498481437661</v>
      </c>
      <c r="L1586" s="9">
        <f t="shared" si="174"/>
        <v>0.0959863337844462</v>
      </c>
    </row>
    <row r="1587" s="3" customFormat="1" ht="12.95" customHeight="1" spans="1:12">
      <c r="A1587" s="4">
        <v>43902</v>
      </c>
      <c r="B1587" s="8">
        <v>0.0951527095900053</v>
      </c>
      <c r="C1587" s="8">
        <v>0.0310396236538556</v>
      </c>
      <c r="D1587" s="8">
        <v>-0.068688575660109</v>
      </c>
      <c r="E1587" s="8">
        <v>0.076</v>
      </c>
      <c r="F1587" s="9">
        <f t="shared" si="168"/>
        <v>0.0922915273420616</v>
      </c>
      <c r="G1587" s="9">
        <f t="shared" si="169"/>
        <v>0.0945804455195102</v>
      </c>
      <c r="H1587" s="9">
        <f t="shared" si="170"/>
        <v>0.0948665775547578</v>
      </c>
      <c r="I1587" s="3" t="str">
        <f t="shared" si="171"/>
        <v>2020-03-01</v>
      </c>
      <c r="J1587" s="9">
        <f t="shared" si="172"/>
        <v>0.0959911505560275</v>
      </c>
      <c r="K1587" s="9">
        <f t="shared" si="173"/>
        <v>0.0961498481437661</v>
      </c>
      <c r="L1587" s="9">
        <f t="shared" si="174"/>
        <v>0.0959863337844462</v>
      </c>
    </row>
    <row r="1588" s="3" customFormat="1" ht="12.95" customHeight="1" spans="1:12">
      <c r="A1588" s="4">
        <v>43901</v>
      </c>
      <c r="B1588" s="8">
        <v>0.0952303443625581</v>
      </c>
      <c r="C1588" s="8">
        <v>0.0307033839672003</v>
      </c>
      <c r="D1588" s="8">
        <v>-0.0681517764363903</v>
      </c>
      <c r="E1588" s="8">
        <v>0.076</v>
      </c>
      <c r="F1588" s="9">
        <f t="shared" si="168"/>
        <v>0.0923844035738886</v>
      </c>
      <c r="G1588" s="9">
        <f t="shared" si="169"/>
        <v>0.0946611287970264</v>
      </c>
      <c r="H1588" s="9">
        <f t="shared" si="170"/>
        <v>0.0949457365797923</v>
      </c>
      <c r="I1588" s="3" t="str">
        <f t="shared" si="171"/>
        <v>2020-03-01</v>
      </c>
      <c r="J1588" s="9">
        <f t="shared" si="172"/>
        <v>0.0959911505560275</v>
      </c>
      <c r="K1588" s="9">
        <f t="shared" si="173"/>
        <v>0.0961498481437661</v>
      </c>
      <c r="L1588" s="9">
        <f t="shared" si="174"/>
        <v>0.0959863337844462</v>
      </c>
    </row>
    <row r="1589" s="3" customFormat="1" ht="12.95" customHeight="1" spans="1:12">
      <c r="A1589" s="4">
        <v>43900</v>
      </c>
      <c r="B1589" s="8">
        <v>0.0903576372782519</v>
      </c>
      <c r="C1589" s="8">
        <v>-0.00678283299865974</v>
      </c>
      <c r="D1589" s="8">
        <v>0.0433174635697447</v>
      </c>
      <c r="E1589" s="8">
        <v>0.156</v>
      </c>
      <c r="F1589" s="9">
        <f t="shared" si="168"/>
        <v>0.0959764263745772</v>
      </c>
      <c r="G1589" s="9">
        <f t="shared" si="169"/>
        <v>0.0914975177520692</v>
      </c>
      <c r="H1589" s="9">
        <f t="shared" si="170"/>
        <v>0.0909275775151608</v>
      </c>
      <c r="I1589" s="3" t="str">
        <f t="shared" si="171"/>
        <v>2020-03-01</v>
      </c>
      <c r="J1589" s="9">
        <f t="shared" si="172"/>
        <v>0.0959911505560275</v>
      </c>
      <c r="K1589" s="9">
        <f t="shared" si="173"/>
        <v>0.0961498481437661</v>
      </c>
      <c r="L1589" s="9">
        <f t="shared" si="174"/>
        <v>0.0959863337844462</v>
      </c>
    </row>
    <row r="1590" s="3" customFormat="1" ht="12.95" customHeight="1" spans="1:12">
      <c r="A1590" s="4">
        <v>43896</v>
      </c>
      <c r="B1590" s="8">
        <v>0.0906360526803314</v>
      </c>
      <c r="C1590" s="8">
        <v>-0.0055644725473654</v>
      </c>
      <c r="D1590" s="8">
        <v>0.0388251085161158</v>
      </c>
      <c r="E1590" s="8">
        <v>0.156</v>
      </c>
      <c r="F1590" s="9">
        <f t="shared" si="168"/>
        <v>0.0957523267277948</v>
      </c>
      <c r="G1590" s="9">
        <f t="shared" si="169"/>
        <v>0.0916737845225559</v>
      </c>
      <c r="H1590" s="9">
        <f t="shared" si="170"/>
        <v>0.0911549186014439</v>
      </c>
      <c r="I1590" s="3" t="str">
        <f t="shared" si="171"/>
        <v>2020-03-01</v>
      </c>
      <c r="J1590" s="9">
        <f t="shared" si="172"/>
        <v>0.0959911505560275</v>
      </c>
      <c r="K1590" s="9">
        <f t="shared" si="173"/>
        <v>0.0961498481437661</v>
      </c>
      <c r="L1590" s="9">
        <f t="shared" si="174"/>
        <v>0.0959863337844462</v>
      </c>
    </row>
    <row r="1591" s="3" customFormat="1" ht="12.95" customHeight="1" spans="1:12">
      <c r="A1591" s="4">
        <v>43895</v>
      </c>
      <c r="B1591" s="8">
        <v>0.0899375740467494</v>
      </c>
      <c r="C1591" s="8">
        <v>0.00213281785320074</v>
      </c>
      <c r="D1591" s="8">
        <v>0.0211542831633826</v>
      </c>
      <c r="E1591" s="8">
        <v>0.336</v>
      </c>
      <c r="F1591" s="9">
        <f t="shared" si="168"/>
        <v>0.0962845092184842</v>
      </c>
      <c r="G1591" s="9">
        <f t="shared" si="169"/>
        <v>0.0915024594065904</v>
      </c>
      <c r="H1591" s="9">
        <f t="shared" si="170"/>
        <v>0.090720020640904</v>
      </c>
      <c r="I1591" s="3" t="str">
        <f t="shared" si="171"/>
        <v>2020-03-01</v>
      </c>
      <c r="J1591" s="9">
        <f t="shared" si="172"/>
        <v>0.0959911505560275</v>
      </c>
      <c r="K1591" s="9">
        <f t="shared" si="173"/>
        <v>0.0961498481437661</v>
      </c>
      <c r="L1591" s="9">
        <f t="shared" si="174"/>
        <v>0.0959863337844462</v>
      </c>
    </row>
    <row r="1592" s="3" customFormat="1" ht="12.95" customHeight="1" spans="1:12">
      <c r="A1592" s="4">
        <v>43894</v>
      </c>
      <c r="B1592" s="8">
        <v>0.089359526863012</v>
      </c>
      <c r="C1592" s="8">
        <v>0.00804391508407735</v>
      </c>
      <c r="D1592" s="8">
        <v>-0.00603620509268286</v>
      </c>
      <c r="E1592" s="8">
        <v>3.5</v>
      </c>
      <c r="F1592" s="9">
        <f t="shared" si="168"/>
        <v>0.0956419632527426</v>
      </c>
      <c r="G1592" s="9">
        <f t="shared" si="169"/>
        <v>0.0918747018174062</v>
      </c>
      <c r="H1592" s="9">
        <f t="shared" si="170"/>
        <v>0.0903685426136719</v>
      </c>
      <c r="I1592" s="3" t="str">
        <f t="shared" si="171"/>
        <v>2020-03-01</v>
      </c>
      <c r="J1592" s="9">
        <f t="shared" si="172"/>
        <v>0.0959911505560275</v>
      </c>
      <c r="K1592" s="9">
        <f t="shared" si="173"/>
        <v>0.0961498481437661</v>
      </c>
      <c r="L1592" s="9">
        <f t="shared" si="174"/>
        <v>0.0959863337844462</v>
      </c>
    </row>
    <row r="1593" s="3" customFormat="1" ht="12.95" customHeight="1" spans="1:12">
      <c r="A1593" s="4">
        <v>43893</v>
      </c>
      <c r="B1593" s="8">
        <v>0.0887388574559205</v>
      </c>
      <c r="C1593" s="8">
        <v>0.00827532425762459</v>
      </c>
      <c r="D1593" s="8">
        <v>0.00649966669929008</v>
      </c>
      <c r="E1593" s="8">
        <v>1.056</v>
      </c>
      <c r="F1593" s="9">
        <f t="shared" si="168"/>
        <v>0.0957675340782121</v>
      </c>
      <c r="G1593" s="9">
        <f t="shared" si="169"/>
        <v>0.0917748343144069</v>
      </c>
      <c r="H1593" s="9">
        <f t="shared" si="170"/>
        <v>0.0902984746406825</v>
      </c>
      <c r="I1593" s="3" t="str">
        <f t="shared" si="171"/>
        <v>2020-03-01</v>
      </c>
      <c r="J1593" s="9">
        <f t="shared" si="172"/>
        <v>0.0959911505560275</v>
      </c>
      <c r="K1593" s="9">
        <f t="shared" si="173"/>
        <v>0.0961498481437661</v>
      </c>
      <c r="L1593" s="9">
        <f t="shared" si="174"/>
        <v>0.0959863337844462</v>
      </c>
    </row>
    <row r="1594" s="3" customFormat="1" ht="12.95" customHeight="1" spans="1:12">
      <c r="A1594" s="4">
        <v>43892</v>
      </c>
      <c r="B1594" s="8">
        <v>0.089190289562411</v>
      </c>
      <c r="C1594" s="8">
        <v>0.00831928797435432</v>
      </c>
      <c r="D1594" s="8">
        <v>-0.00592067793680568</v>
      </c>
      <c r="E1594" s="8">
        <v>3.5</v>
      </c>
      <c r="F1594" s="9">
        <f t="shared" si="168"/>
        <v>0.0957259262993916</v>
      </c>
      <c r="G1594" s="9">
        <f t="shared" si="169"/>
        <v>0.0918858326256258</v>
      </c>
      <c r="H1594" s="9">
        <f t="shared" si="170"/>
        <v>0.0903216276573335</v>
      </c>
      <c r="I1594" s="3" t="str">
        <f t="shared" si="171"/>
        <v>2020-03-01</v>
      </c>
      <c r="J1594" s="9">
        <f t="shared" si="172"/>
        <v>0.0959911505560275</v>
      </c>
      <c r="K1594" s="9">
        <f t="shared" si="173"/>
        <v>0.0961498481437661</v>
      </c>
      <c r="L1594" s="9">
        <f t="shared" si="174"/>
        <v>0.0959863337844462</v>
      </c>
    </row>
    <row r="1595" s="3" customFormat="1" ht="12.95" customHeight="1" spans="1:12">
      <c r="A1595" s="4">
        <v>43889</v>
      </c>
      <c r="B1595" s="8">
        <v>0.0887303917464636</v>
      </c>
      <c r="C1595" s="8">
        <v>0.00842717150287057</v>
      </c>
      <c r="D1595" s="8">
        <v>0.00581970348486794</v>
      </c>
      <c r="E1595" s="8">
        <v>1.096</v>
      </c>
      <c r="F1595" s="9">
        <f t="shared" si="168"/>
        <v>0.0957379077451182</v>
      </c>
      <c r="G1595" s="9">
        <f t="shared" si="169"/>
        <v>0.0917599395606816</v>
      </c>
      <c r="H1595" s="9">
        <f t="shared" si="170"/>
        <v>0.0902910446381613</v>
      </c>
      <c r="I1595" s="3" t="str">
        <f t="shared" si="171"/>
        <v>2020-02-01</v>
      </c>
      <c r="J1595" s="9">
        <f t="shared" si="172"/>
        <v>0.095758378129942</v>
      </c>
      <c r="K1595" s="9">
        <f t="shared" si="173"/>
        <v>0.0914739897018569</v>
      </c>
      <c r="L1595" s="9">
        <f t="shared" si="174"/>
        <v>0.0907170501565607</v>
      </c>
    </row>
    <row r="1596" s="3" customFormat="1" ht="12.95" customHeight="1" spans="1:12">
      <c r="A1596" s="4">
        <v>43888</v>
      </c>
      <c r="B1596" s="8">
        <v>0.0934519496708639</v>
      </c>
      <c r="C1596" s="8">
        <v>0.00397291295299925</v>
      </c>
      <c r="D1596" s="8">
        <v>-0.017210969158916</v>
      </c>
      <c r="E1596" s="8">
        <v>5.5</v>
      </c>
      <c r="F1596" s="9">
        <f t="shared" si="168"/>
        <v>0.0956973102497648</v>
      </c>
      <c r="G1596" s="9">
        <f t="shared" si="169"/>
        <v>0.0916910539359639</v>
      </c>
      <c r="H1596" s="9">
        <f t="shared" si="170"/>
        <v>0.0901465589463291</v>
      </c>
      <c r="I1596" s="3" t="str">
        <f t="shared" si="171"/>
        <v>2020-02-01</v>
      </c>
      <c r="J1596" s="9">
        <f t="shared" si="172"/>
        <v>0.095758378129942</v>
      </c>
      <c r="K1596" s="9">
        <f t="shared" si="173"/>
        <v>0.0914739897018569</v>
      </c>
      <c r="L1596" s="9">
        <f t="shared" si="174"/>
        <v>0.0907170501565607</v>
      </c>
    </row>
    <row r="1597" s="3" customFormat="1" ht="12.95" customHeight="1" spans="1:12">
      <c r="A1597" s="4">
        <v>43887</v>
      </c>
      <c r="B1597" s="8">
        <v>0.0939717941352638</v>
      </c>
      <c r="C1597" s="8">
        <v>0.00341011523391774</v>
      </c>
      <c r="D1597" s="8">
        <v>-0.0179521413789128</v>
      </c>
      <c r="E1597" s="8">
        <v>5.5</v>
      </c>
      <c r="F1597" s="9">
        <f t="shared" si="168"/>
        <v>0.0956428126302913</v>
      </c>
      <c r="G1597" s="9">
        <f t="shared" si="169"/>
        <v>0.0916530351362222</v>
      </c>
      <c r="H1597" s="9">
        <f t="shared" si="170"/>
        <v>0.0901859411305875</v>
      </c>
      <c r="I1597" s="3" t="str">
        <f t="shared" si="171"/>
        <v>2020-02-01</v>
      </c>
      <c r="J1597" s="9">
        <f t="shared" si="172"/>
        <v>0.095758378129942</v>
      </c>
      <c r="K1597" s="9">
        <f t="shared" si="173"/>
        <v>0.0914739897018569</v>
      </c>
      <c r="L1597" s="9">
        <f t="shared" si="174"/>
        <v>0.0907170501565607</v>
      </c>
    </row>
    <row r="1598" s="3" customFormat="1" ht="12.95" customHeight="1" spans="1:12">
      <c r="A1598" s="4">
        <v>43886</v>
      </c>
      <c r="B1598" s="8">
        <v>0.0945561490357129</v>
      </c>
      <c r="C1598" s="8">
        <v>0.00280374684643703</v>
      </c>
      <c r="D1598" s="8">
        <v>-0.0189090696270089</v>
      </c>
      <c r="E1598" s="8">
        <v>5.5</v>
      </c>
      <c r="F1598" s="9">
        <f t="shared" si="168"/>
        <v>0.0955955949788177</v>
      </c>
      <c r="G1598" s="9">
        <f t="shared" si="169"/>
        <v>0.0915961216596608</v>
      </c>
      <c r="H1598" s="9">
        <f t="shared" si="170"/>
        <v>0.0902053774554974</v>
      </c>
      <c r="I1598" s="3" t="str">
        <f t="shared" si="171"/>
        <v>2020-02-01</v>
      </c>
      <c r="J1598" s="9">
        <f t="shared" si="172"/>
        <v>0.095758378129942</v>
      </c>
      <c r="K1598" s="9">
        <f t="shared" si="173"/>
        <v>0.0914739897018569</v>
      </c>
      <c r="L1598" s="9">
        <f t="shared" si="174"/>
        <v>0.0907170501565607</v>
      </c>
    </row>
    <row r="1599" s="3" customFormat="1" ht="12.95" customHeight="1" spans="1:12">
      <c r="A1599" s="4">
        <v>43885</v>
      </c>
      <c r="B1599" s="8">
        <v>0.0895318768421976</v>
      </c>
      <c r="C1599" s="8">
        <v>0.00415698934322705</v>
      </c>
      <c r="D1599" s="8">
        <v>0.016771901247117</v>
      </c>
      <c r="E1599" s="8">
        <v>0.456</v>
      </c>
      <c r="F1599" s="9">
        <f t="shared" si="168"/>
        <v>0.0961390791837769</v>
      </c>
      <c r="G1599" s="9">
        <f t="shared" si="169"/>
        <v>0.0914402685243524</v>
      </c>
      <c r="H1599" s="9">
        <f t="shared" si="170"/>
        <v>0.0904862342478131</v>
      </c>
      <c r="I1599" s="3" t="str">
        <f t="shared" si="171"/>
        <v>2020-02-01</v>
      </c>
      <c r="J1599" s="9">
        <f t="shared" si="172"/>
        <v>0.095758378129942</v>
      </c>
      <c r="K1599" s="9">
        <f t="shared" si="173"/>
        <v>0.0914739897018569</v>
      </c>
      <c r="L1599" s="9">
        <f t="shared" si="174"/>
        <v>0.0907170501565607</v>
      </c>
    </row>
    <row r="1600" s="3" customFormat="1" ht="12.95" customHeight="1" spans="1:12">
      <c r="A1600" s="4">
        <v>43882</v>
      </c>
      <c r="B1600" s="8">
        <v>0.0902890251275659</v>
      </c>
      <c r="C1600" s="8">
        <v>-0.00420491124685747</v>
      </c>
      <c r="D1600" s="8">
        <v>0.0372559883891466</v>
      </c>
      <c r="E1600" s="8">
        <v>0.176</v>
      </c>
      <c r="F1600" s="9">
        <f t="shared" si="168"/>
        <v>0.0959592496652502</v>
      </c>
      <c r="G1600" s="9">
        <f t="shared" si="169"/>
        <v>0.0914524230429568</v>
      </c>
      <c r="H1600" s="9">
        <f t="shared" si="170"/>
        <v>0.0908707240852702</v>
      </c>
      <c r="I1600" s="3" t="str">
        <f t="shared" si="171"/>
        <v>2020-02-01</v>
      </c>
      <c r="J1600" s="9">
        <f t="shared" si="172"/>
        <v>0.095758378129942</v>
      </c>
      <c r="K1600" s="9">
        <f t="shared" si="173"/>
        <v>0.0914739897018569</v>
      </c>
      <c r="L1600" s="9">
        <f t="shared" si="174"/>
        <v>0.0907170501565607</v>
      </c>
    </row>
    <row r="1601" s="3" customFormat="1" ht="12.95" customHeight="1" spans="1:12">
      <c r="A1601" s="4">
        <v>43881</v>
      </c>
      <c r="B1601" s="8">
        <v>0.0905721438830291</v>
      </c>
      <c r="C1601" s="8">
        <v>-0.00531138165898168</v>
      </c>
      <c r="D1601" s="8">
        <v>0.0381367158880334</v>
      </c>
      <c r="E1601" s="8">
        <v>0.156</v>
      </c>
      <c r="F1601" s="9">
        <f t="shared" si="168"/>
        <v>0.0956217546716689</v>
      </c>
      <c r="G1601" s="9">
        <f t="shared" si="169"/>
        <v>0.091596294310975</v>
      </c>
      <c r="H1601" s="9">
        <f t="shared" si="170"/>
        <v>0.0910842190970023</v>
      </c>
      <c r="I1601" s="3" t="str">
        <f t="shared" si="171"/>
        <v>2020-02-01</v>
      </c>
      <c r="J1601" s="9">
        <f t="shared" si="172"/>
        <v>0.095758378129942</v>
      </c>
      <c r="K1601" s="9">
        <f t="shared" si="173"/>
        <v>0.0914739897018569</v>
      </c>
      <c r="L1601" s="9">
        <f t="shared" si="174"/>
        <v>0.0907170501565607</v>
      </c>
    </row>
    <row r="1602" s="3" customFormat="1" ht="12.95" customHeight="1" spans="1:12">
      <c r="A1602" s="4">
        <v>43880</v>
      </c>
      <c r="B1602" s="8">
        <v>0.0905324835213095</v>
      </c>
      <c r="C1602" s="8">
        <v>-0.00612436320687648</v>
      </c>
      <c r="D1602" s="8">
        <v>0.0401319533413034</v>
      </c>
      <c r="E1602" s="8">
        <v>0.156</v>
      </c>
      <c r="F1602" s="9">
        <f t="shared" si="168"/>
        <v>0.0957629415409295</v>
      </c>
      <c r="G1602" s="9">
        <f t="shared" si="169"/>
        <v>0.0915935203335031</v>
      </c>
      <c r="H1602" s="9">
        <f t="shared" si="170"/>
        <v>0.0910630019274066</v>
      </c>
      <c r="I1602" s="3" t="str">
        <f t="shared" si="171"/>
        <v>2020-02-01</v>
      </c>
      <c r="J1602" s="9">
        <f t="shared" si="172"/>
        <v>0.095758378129942</v>
      </c>
      <c r="K1602" s="9">
        <f t="shared" si="173"/>
        <v>0.0914739897018569</v>
      </c>
      <c r="L1602" s="9">
        <f t="shared" si="174"/>
        <v>0.0907170501565607</v>
      </c>
    </row>
    <row r="1603" s="3" customFormat="1" ht="12.95" customHeight="1" spans="1:12">
      <c r="A1603" s="4">
        <v>43879</v>
      </c>
      <c r="B1603" s="8">
        <v>0.0903311196015329</v>
      </c>
      <c r="C1603" s="8">
        <v>-0.00591276826564982</v>
      </c>
      <c r="D1603" s="8">
        <v>0.0409433760627454</v>
      </c>
      <c r="E1603" s="8">
        <v>0.156</v>
      </c>
      <c r="F1603" s="9">
        <f t="shared" si="168"/>
        <v>0.0957195714450901</v>
      </c>
      <c r="G1603" s="9">
        <f t="shared" si="169"/>
        <v>0.0914240745648018</v>
      </c>
      <c r="H1603" s="9">
        <f t="shared" si="170"/>
        <v>0.0908775970831676</v>
      </c>
      <c r="I1603" s="3" t="str">
        <f t="shared" si="171"/>
        <v>2020-02-01</v>
      </c>
      <c r="J1603" s="9">
        <f t="shared" si="172"/>
        <v>0.095758378129942</v>
      </c>
      <c r="K1603" s="9">
        <f t="shared" si="173"/>
        <v>0.0914739897018569</v>
      </c>
      <c r="L1603" s="9">
        <f t="shared" si="174"/>
        <v>0.0907170501565607</v>
      </c>
    </row>
    <row r="1604" s="3" customFormat="1" ht="12.95" customHeight="1" spans="1:12">
      <c r="A1604" s="4">
        <v>43878</v>
      </c>
      <c r="B1604" s="8">
        <v>0.0907436192074976</v>
      </c>
      <c r="C1604" s="8">
        <v>-0.00733673058798039</v>
      </c>
      <c r="D1604" s="8">
        <v>0.0415914141163149</v>
      </c>
      <c r="E1604" s="8">
        <v>0.136</v>
      </c>
      <c r="F1604" s="9">
        <f t="shared" si="168"/>
        <v>0.0953726235210003</v>
      </c>
      <c r="G1604" s="9">
        <f t="shared" si="169"/>
        <v>0.0916753465994683</v>
      </c>
      <c r="H1604" s="9">
        <f t="shared" si="170"/>
        <v>0.0912094829034829</v>
      </c>
      <c r="I1604" s="3" t="str">
        <f t="shared" si="171"/>
        <v>2020-02-01</v>
      </c>
      <c r="J1604" s="9">
        <f t="shared" si="172"/>
        <v>0.095758378129942</v>
      </c>
      <c r="K1604" s="9">
        <f t="shared" si="173"/>
        <v>0.0914739897018569</v>
      </c>
      <c r="L1604" s="9">
        <f t="shared" si="174"/>
        <v>0.0907170501565607</v>
      </c>
    </row>
    <row r="1605" s="3" customFormat="1" ht="12.95" customHeight="1" spans="1:12">
      <c r="A1605" s="4">
        <v>43875</v>
      </c>
      <c r="B1605" s="8">
        <v>0.0906369397565644</v>
      </c>
      <c r="C1605" s="8">
        <v>-0.00762295838424721</v>
      </c>
      <c r="D1605" s="8">
        <v>0.0427560735784746</v>
      </c>
      <c r="E1605" s="8">
        <v>0.136</v>
      </c>
      <c r="F1605" s="9">
        <f t="shared" ref="F1605:F1668" si="175">B1605+(C1605+D1605)*(E1605/$F$3)*(1-EXP(-$F$3/E1605))-D1605*EXP(-$F$3/E1605)</f>
        <v>0.0953845880303668</v>
      </c>
      <c r="G1605" s="9">
        <f t="shared" ref="G1605:G1668" si="176">B1605+(C1605+D1605)*(E1605/$G$3)*(1-EXP(-$G$3/E1605))-D1605*EXP(-$G$3/E1605)</f>
        <v>0.0915925604898474</v>
      </c>
      <c r="H1605" s="9">
        <f t="shared" ref="H1605:H1668" si="177">B1605+(C1605+D1605)*(E1605/$H$3)*(1-EXP(-$H$3/E1605))-D1605*EXP(-$H$3/E1605)</f>
        <v>0.0911147501232059</v>
      </c>
      <c r="I1605" s="3" t="str">
        <f t="shared" ref="I1605:I1668" si="178">TEXT(A1605,"yyyy-mm-01")</f>
        <v>2020-02-01</v>
      </c>
      <c r="J1605" s="9">
        <f t="shared" ref="J1605:J1668" si="179">AVERAGEIF($I:$I,I1605,$F:$F)</f>
        <v>0.095758378129942</v>
      </c>
      <c r="K1605" s="9">
        <f t="shared" ref="K1605:K1668" si="180">AVERAGEIF($I:$I,I1605,$G:$G)</f>
        <v>0.0914739897018569</v>
      </c>
      <c r="L1605" s="9">
        <f t="shared" ref="L1605:L1668" si="181">AVERAGEIF($I:$I,I1605,$H:$H)</f>
        <v>0.0907170501565607</v>
      </c>
    </row>
    <row r="1606" s="3" customFormat="1" ht="12.95" customHeight="1" spans="1:12">
      <c r="A1606" s="4">
        <v>43874</v>
      </c>
      <c r="B1606" s="8">
        <v>0.0905296996566176</v>
      </c>
      <c r="C1606" s="8">
        <v>-0.00804505286786921</v>
      </c>
      <c r="D1606" s="8">
        <v>0.0438456200363443</v>
      </c>
      <c r="E1606" s="8">
        <v>0.136</v>
      </c>
      <c r="F1606" s="9">
        <f t="shared" si="175"/>
        <v>0.0953673651618511</v>
      </c>
      <c r="G1606" s="9">
        <f t="shared" si="176"/>
        <v>0.0915034750836001</v>
      </c>
      <c r="H1606" s="9">
        <f t="shared" si="177"/>
        <v>0.0910165873701089</v>
      </c>
      <c r="I1606" s="3" t="str">
        <f t="shared" si="178"/>
        <v>2020-02-01</v>
      </c>
      <c r="J1606" s="9">
        <f t="shared" si="179"/>
        <v>0.095758378129942</v>
      </c>
      <c r="K1606" s="9">
        <f t="shared" si="180"/>
        <v>0.0914739897018569</v>
      </c>
      <c r="L1606" s="9">
        <f t="shared" si="181"/>
        <v>0.0907170501565607</v>
      </c>
    </row>
    <row r="1607" s="3" customFormat="1" ht="12.95" customHeight="1" spans="1:12">
      <c r="A1607" s="4">
        <v>43873</v>
      </c>
      <c r="B1607" s="8">
        <v>0.090205260800491</v>
      </c>
      <c r="C1607" s="8">
        <v>-0.0066907406945204</v>
      </c>
      <c r="D1607" s="8">
        <v>0.0430410553476272</v>
      </c>
      <c r="E1607" s="8">
        <v>0.156</v>
      </c>
      <c r="F1607" s="9">
        <f t="shared" si="175"/>
        <v>0.0957957984830641</v>
      </c>
      <c r="G1607" s="9">
        <f t="shared" si="176"/>
        <v>0.0913393906176674</v>
      </c>
      <c r="H1607" s="9">
        <f t="shared" si="177"/>
        <v>0.0907723257090795</v>
      </c>
      <c r="I1607" s="3" t="str">
        <f t="shared" si="178"/>
        <v>2020-02-01</v>
      </c>
      <c r="J1607" s="9">
        <f t="shared" si="179"/>
        <v>0.095758378129942</v>
      </c>
      <c r="K1607" s="9">
        <f t="shared" si="180"/>
        <v>0.0914739897018569</v>
      </c>
      <c r="L1607" s="9">
        <f t="shared" si="181"/>
        <v>0.0907170501565607</v>
      </c>
    </row>
    <row r="1608" s="3" customFormat="1" ht="12.95" customHeight="1" spans="1:12">
      <c r="A1608" s="4">
        <v>43872</v>
      </c>
      <c r="B1608" s="8">
        <v>0.0902932527922398</v>
      </c>
      <c r="C1608" s="8">
        <v>-0.00557166202996735</v>
      </c>
      <c r="D1608" s="8">
        <v>0.0399053625765051</v>
      </c>
      <c r="E1608" s="8">
        <v>0.156</v>
      </c>
      <c r="F1608" s="9">
        <f t="shared" si="175"/>
        <v>0.0955748730217003</v>
      </c>
      <c r="G1608" s="9">
        <f t="shared" si="176"/>
        <v>0.0913644642492913</v>
      </c>
      <c r="H1608" s="9">
        <f t="shared" si="177"/>
        <v>0.0908288585207658</v>
      </c>
      <c r="I1608" s="3" t="str">
        <f t="shared" si="178"/>
        <v>2020-02-01</v>
      </c>
      <c r="J1608" s="9">
        <f t="shared" si="179"/>
        <v>0.095758378129942</v>
      </c>
      <c r="K1608" s="9">
        <f t="shared" si="180"/>
        <v>0.0914739897018569</v>
      </c>
      <c r="L1608" s="9">
        <f t="shared" si="181"/>
        <v>0.0907170501565607</v>
      </c>
    </row>
    <row r="1609" s="3" customFormat="1" ht="12.95" customHeight="1" spans="1:12">
      <c r="A1609" s="4">
        <v>43871</v>
      </c>
      <c r="B1609" s="8">
        <v>0.0899077808429781</v>
      </c>
      <c r="C1609" s="8">
        <v>-0.00449000629681357</v>
      </c>
      <c r="D1609" s="8">
        <v>0.0397329740367037</v>
      </c>
      <c r="E1609" s="8">
        <v>0.176</v>
      </c>
      <c r="F1609" s="9">
        <f t="shared" si="175"/>
        <v>0.0959540236842384</v>
      </c>
      <c r="G1609" s="9">
        <f t="shared" si="176"/>
        <v>0.0911483333074034</v>
      </c>
      <c r="H1609" s="9">
        <f t="shared" si="177"/>
        <v>0.0905280570752002</v>
      </c>
      <c r="I1609" s="3" t="str">
        <f t="shared" si="178"/>
        <v>2020-02-01</v>
      </c>
      <c r="J1609" s="9">
        <f t="shared" si="179"/>
        <v>0.095758378129942</v>
      </c>
      <c r="K1609" s="9">
        <f t="shared" si="180"/>
        <v>0.0914739897018569</v>
      </c>
      <c r="L1609" s="9">
        <f t="shared" si="181"/>
        <v>0.0907170501565607</v>
      </c>
    </row>
    <row r="1610" s="3" customFormat="1" ht="12.95" customHeight="1" spans="1:12">
      <c r="A1610" s="4">
        <v>43868</v>
      </c>
      <c r="B1610" s="8">
        <v>0.0901540403663696</v>
      </c>
      <c r="C1610" s="8">
        <v>-0.00614290961775909</v>
      </c>
      <c r="D1610" s="8">
        <v>0.0425083681091737</v>
      </c>
      <c r="E1610" s="8">
        <v>0.156</v>
      </c>
      <c r="F1610" s="9">
        <f t="shared" si="175"/>
        <v>0.0957478126613453</v>
      </c>
      <c r="G1610" s="9">
        <f t="shared" si="176"/>
        <v>0.0912886426713012</v>
      </c>
      <c r="H1610" s="9">
        <f t="shared" si="177"/>
        <v>0.0907213415188357</v>
      </c>
      <c r="I1610" s="3" t="str">
        <f t="shared" si="178"/>
        <v>2020-02-01</v>
      </c>
      <c r="J1610" s="9">
        <f t="shared" si="179"/>
        <v>0.095758378129942</v>
      </c>
      <c r="K1610" s="9">
        <f t="shared" si="180"/>
        <v>0.0914739897018569</v>
      </c>
      <c r="L1610" s="9">
        <f t="shared" si="181"/>
        <v>0.0907170501565607</v>
      </c>
    </row>
    <row r="1611" s="3" customFormat="1" ht="12.95" customHeight="1" spans="1:12">
      <c r="A1611" s="4">
        <v>43867</v>
      </c>
      <c r="B1611" s="8">
        <v>0.090302372223997</v>
      </c>
      <c r="C1611" s="8">
        <v>-0.00691020334070237</v>
      </c>
      <c r="D1611" s="8">
        <v>0.0432719557194699</v>
      </c>
      <c r="E1611" s="8">
        <v>0.156</v>
      </c>
      <c r="F1611" s="9">
        <f t="shared" si="175"/>
        <v>0.0958943115179452</v>
      </c>
      <c r="G1611" s="9">
        <f t="shared" si="176"/>
        <v>0.091436858898214</v>
      </c>
      <c r="H1611" s="9">
        <f t="shared" si="177"/>
        <v>0.0908696155611058</v>
      </c>
      <c r="I1611" s="3" t="str">
        <f t="shared" si="178"/>
        <v>2020-02-01</v>
      </c>
      <c r="J1611" s="9">
        <f t="shared" si="179"/>
        <v>0.095758378129942</v>
      </c>
      <c r="K1611" s="9">
        <f t="shared" si="180"/>
        <v>0.0914739897018569</v>
      </c>
      <c r="L1611" s="9">
        <f t="shared" si="181"/>
        <v>0.0907170501565607</v>
      </c>
    </row>
    <row r="1612" s="3" customFormat="1" ht="12.95" customHeight="1" spans="1:12">
      <c r="A1612" s="4">
        <v>43866</v>
      </c>
      <c r="B1612" s="8">
        <v>0.0901588934028527</v>
      </c>
      <c r="C1612" s="8">
        <v>-0.00476952859322914</v>
      </c>
      <c r="D1612" s="8">
        <v>0.0392645086337568</v>
      </c>
      <c r="E1612" s="8">
        <v>0.176</v>
      </c>
      <c r="F1612" s="9">
        <f t="shared" si="175"/>
        <v>0.0960755352026204</v>
      </c>
      <c r="G1612" s="9">
        <f t="shared" si="176"/>
        <v>0.0913731167002607</v>
      </c>
      <c r="H1612" s="9">
        <f t="shared" si="177"/>
        <v>0.090766005051566</v>
      </c>
      <c r="I1612" s="3" t="str">
        <f t="shared" si="178"/>
        <v>2020-02-01</v>
      </c>
      <c r="J1612" s="9">
        <f t="shared" si="179"/>
        <v>0.095758378129942</v>
      </c>
      <c r="K1612" s="9">
        <f t="shared" si="180"/>
        <v>0.0914739897018569</v>
      </c>
      <c r="L1612" s="9">
        <f t="shared" si="181"/>
        <v>0.0907170501565607</v>
      </c>
    </row>
    <row r="1613" s="3" customFormat="1" ht="12.95" customHeight="1" spans="1:12">
      <c r="A1613" s="4">
        <v>43865</v>
      </c>
      <c r="B1613" s="8">
        <v>0.0901611401904713</v>
      </c>
      <c r="C1613" s="8">
        <v>-0.00420548694776497</v>
      </c>
      <c r="D1613" s="8">
        <v>0.0379356362934133</v>
      </c>
      <c r="E1613" s="8">
        <v>0.176</v>
      </c>
      <c r="F1613" s="9">
        <f t="shared" si="175"/>
        <v>0.0959481583963224</v>
      </c>
      <c r="G1613" s="9">
        <f t="shared" si="176"/>
        <v>0.0913484414474202</v>
      </c>
      <c r="H1613" s="9">
        <f t="shared" si="177"/>
        <v>0.0907547908189547</v>
      </c>
      <c r="I1613" s="3" t="str">
        <f t="shared" si="178"/>
        <v>2020-02-01</v>
      </c>
      <c r="J1613" s="9">
        <f t="shared" si="179"/>
        <v>0.095758378129942</v>
      </c>
      <c r="K1613" s="9">
        <f t="shared" si="180"/>
        <v>0.0914739897018569</v>
      </c>
      <c r="L1613" s="9">
        <f t="shared" si="181"/>
        <v>0.0907170501565607</v>
      </c>
    </row>
    <row r="1614" s="3" customFormat="1" ht="12.95" customHeight="1" spans="1:12">
      <c r="A1614" s="4">
        <v>43864</v>
      </c>
      <c r="B1614" s="8">
        <v>0.0898945468314908</v>
      </c>
      <c r="C1614" s="8">
        <v>-0.00245526140773519</v>
      </c>
      <c r="D1614" s="8">
        <v>0.0358197020292792</v>
      </c>
      <c r="E1614" s="8">
        <v>0.196</v>
      </c>
      <c r="F1614" s="9">
        <f t="shared" si="175"/>
        <v>0.096176250807677</v>
      </c>
      <c r="G1614" s="9">
        <f t="shared" si="176"/>
        <v>0.0912024329035458</v>
      </c>
      <c r="H1614" s="9">
        <f t="shared" si="177"/>
        <v>0.0905484898676731</v>
      </c>
      <c r="I1614" s="3" t="str">
        <f t="shared" si="178"/>
        <v>2020-02-01</v>
      </c>
      <c r="J1614" s="9">
        <f t="shared" si="179"/>
        <v>0.095758378129942</v>
      </c>
      <c r="K1614" s="9">
        <f t="shared" si="180"/>
        <v>0.0914739897018569</v>
      </c>
      <c r="L1614" s="9">
        <f t="shared" si="181"/>
        <v>0.0907170501565607</v>
      </c>
    </row>
    <row r="1615" s="3" customFormat="1" ht="12.95" customHeight="1" spans="1:12">
      <c r="A1615" s="4">
        <v>43861</v>
      </c>
      <c r="B1615" s="8">
        <v>0.0901561452560275</v>
      </c>
      <c r="C1615" s="8">
        <v>-0.00369500295107439</v>
      </c>
      <c r="D1615" s="8">
        <v>0.0377661805237269</v>
      </c>
      <c r="E1615" s="8">
        <v>0.176</v>
      </c>
      <c r="F1615" s="9">
        <f t="shared" si="175"/>
        <v>0.096003557313336</v>
      </c>
      <c r="G1615" s="9">
        <f t="shared" si="176"/>
        <v>0.091355450706567</v>
      </c>
      <c r="H1615" s="9">
        <f t="shared" si="177"/>
        <v>0.0907557979813062</v>
      </c>
      <c r="I1615" s="3" t="str">
        <f t="shared" si="178"/>
        <v>2020-01-01</v>
      </c>
      <c r="J1615" s="9">
        <f t="shared" si="179"/>
        <v>0.0958422810153898</v>
      </c>
      <c r="K1615" s="9">
        <f t="shared" si="180"/>
        <v>0.0910062020782123</v>
      </c>
      <c r="L1615" s="9">
        <f t="shared" si="181"/>
        <v>0.0902050408009967</v>
      </c>
    </row>
    <row r="1616" s="3" customFormat="1" ht="12.95" customHeight="1" spans="1:12">
      <c r="A1616" s="4">
        <v>43860</v>
      </c>
      <c r="B1616" s="8">
        <v>0.0897393805377272</v>
      </c>
      <c r="C1616" s="8">
        <v>-0.00131544010418078</v>
      </c>
      <c r="D1616" s="8">
        <v>0.0333227903957979</v>
      </c>
      <c r="E1616" s="8">
        <v>0.216</v>
      </c>
      <c r="F1616" s="9">
        <f t="shared" si="175"/>
        <v>0.096260326629725</v>
      </c>
      <c r="G1616" s="9">
        <f t="shared" si="176"/>
        <v>0.091122098067254</v>
      </c>
      <c r="H1616" s="9">
        <f t="shared" si="177"/>
        <v>0.0904307393040261</v>
      </c>
      <c r="I1616" s="3" t="str">
        <f t="shared" si="178"/>
        <v>2020-01-01</v>
      </c>
      <c r="J1616" s="9">
        <f t="shared" si="179"/>
        <v>0.0958422810153898</v>
      </c>
      <c r="K1616" s="9">
        <f t="shared" si="180"/>
        <v>0.0910062020782123</v>
      </c>
      <c r="L1616" s="9">
        <f t="shared" si="181"/>
        <v>0.0902050408009967</v>
      </c>
    </row>
    <row r="1617" s="3" customFormat="1" ht="12.95" customHeight="1" spans="1:12">
      <c r="A1617" s="4">
        <v>43859</v>
      </c>
      <c r="B1617" s="8">
        <v>0.0896073924713151</v>
      </c>
      <c r="C1617" s="8">
        <v>-0.000642757665690037</v>
      </c>
      <c r="D1617" s="8">
        <v>0.0317442343352001</v>
      </c>
      <c r="E1617" s="8">
        <v>0.236</v>
      </c>
      <c r="F1617" s="9">
        <f t="shared" si="175"/>
        <v>0.0963827028639826</v>
      </c>
      <c r="G1617" s="9">
        <f t="shared" si="176"/>
        <v>0.0910753821492161</v>
      </c>
      <c r="H1617" s="9">
        <f t="shared" si="177"/>
        <v>0.0903413873207155</v>
      </c>
      <c r="I1617" s="3" t="str">
        <f t="shared" si="178"/>
        <v>2020-01-01</v>
      </c>
      <c r="J1617" s="9">
        <f t="shared" si="179"/>
        <v>0.0958422810153898</v>
      </c>
      <c r="K1617" s="9">
        <f t="shared" si="180"/>
        <v>0.0910062020782123</v>
      </c>
      <c r="L1617" s="9">
        <f t="shared" si="181"/>
        <v>0.0902050408009967</v>
      </c>
    </row>
    <row r="1618" s="3" customFormat="1" ht="12.95" customHeight="1" spans="1:12">
      <c r="A1618" s="4">
        <v>43858</v>
      </c>
      <c r="B1618" s="8">
        <v>0.0896932733569059</v>
      </c>
      <c r="C1618" s="8">
        <v>-0.00232179454505401</v>
      </c>
      <c r="D1618" s="8">
        <v>0.0365911340539597</v>
      </c>
      <c r="E1618" s="8">
        <v>0.196</v>
      </c>
      <c r="F1618" s="9">
        <f t="shared" si="175"/>
        <v>0.0961465647625452</v>
      </c>
      <c r="G1618" s="9">
        <f t="shared" si="176"/>
        <v>0.0910366314653387</v>
      </c>
      <c r="H1618" s="9">
        <f t="shared" si="177"/>
        <v>0.0903649524112805</v>
      </c>
      <c r="I1618" s="3" t="str">
        <f t="shared" si="178"/>
        <v>2020-01-01</v>
      </c>
      <c r="J1618" s="9">
        <f t="shared" si="179"/>
        <v>0.0958422810153898</v>
      </c>
      <c r="K1618" s="9">
        <f t="shared" si="180"/>
        <v>0.0910062020782123</v>
      </c>
      <c r="L1618" s="9">
        <f t="shared" si="181"/>
        <v>0.0902050408009967</v>
      </c>
    </row>
    <row r="1619" s="3" customFormat="1" ht="12.95" customHeight="1" spans="1:12">
      <c r="A1619" s="4">
        <v>43857</v>
      </c>
      <c r="B1619" s="8">
        <v>0.0899533657088094</v>
      </c>
      <c r="C1619" s="8">
        <v>-0.00565909337372529</v>
      </c>
      <c r="D1619" s="8">
        <v>0.0440260593465248</v>
      </c>
      <c r="E1619" s="8">
        <v>0.156</v>
      </c>
      <c r="F1619" s="9">
        <f t="shared" si="175"/>
        <v>0.095856363668875</v>
      </c>
      <c r="G1619" s="9">
        <f t="shared" si="176"/>
        <v>0.0911504150471602</v>
      </c>
      <c r="H1619" s="9">
        <f t="shared" si="177"/>
        <v>0.0905518903779851</v>
      </c>
      <c r="I1619" s="3" t="str">
        <f t="shared" si="178"/>
        <v>2020-01-01</v>
      </c>
      <c r="J1619" s="9">
        <f t="shared" si="179"/>
        <v>0.0958422810153898</v>
      </c>
      <c r="K1619" s="9">
        <f t="shared" si="180"/>
        <v>0.0910062020782123</v>
      </c>
      <c r="L1619" s="9">
        <f t="shared" si="181"/>
        <v>0.0902050408009967</v>
      </c>
    </row>
    <row r="1620" s="3" customFormat="1" ht="12.95" customHeight="1" spans="1:12">
      <c r="A1620" s="4">
        <v>43854</v>
      </c>
      <c r="B1620" s="8">
        <v>0.0900041046986819</v>
      </c>
      <c r="C1620" s="8">
        <v>-0.00901599790191346</v>
      </c>
      <c r="D1620" s="8">
        <v>0.0515889771054347</v>
      </c>
      <c r="E1620" s="8">
        <v>0.136</v>
      </c>
      <c r="F1620" s="9">
        <f t="shared" si="175"/>
        <v>0.0957572669116265</v>
      </c>
      <c r="G1620" s="9">
        <f t="shared" si="176"/>
        <v>0.0911620897330177</v>
      </c>
      <c r="H1620" s="9">
        <f t="shared" si="177"/>
        <v>0.0905830972158498</v>
      </c>
      <c r="I1620" s="3" t="str">
        <f t="shared" si="178"/>
        <v>2020-01-01</v>
      </c>
      <c r="J1620" s="9">
        <f t="shared" si="179"/>
        <v>0.0958422810153898</v>
      </c>
      <c r="K1620" s="9">
        <f t="shared" si="180"/>
        <v>0.0910062020782123</v>
      </c>
      <c r="L1620" s="9">
        <f t="shared" si="181"/>
        <v>0.0902050408009967</v>
      </c>
    </row>
    <row r="1621" s="3" customFormat="1" ht="12.95" customHeight="1" spans="1:12">
      <c r="A1621" s="4">
        <v>43853</v>
      </c>
      <c r="B1621" s="8">
        <v>0.0898599055435821</v>
      </c>
      <c r="C1621" s="8">
        <v>-0.00916156972339103</v>
      </c>
      <c r="D1621" s="8">
        <v>0.0527073262797401</v>
      </c>
      <c r="E1621" s="8">
        <v>0.136</v>
      </c>
      <c r="F1621" s="9">
        <f t="shared" si="175"/>
        <v>0.0957445641805934</v>
      </c>
      <c r="G1621" s="9">
        <f t="shared" si="176"/>
        <v>0.0910443501219148</v>
      </c>
      <c r="H1621" s="9">
        <f t="shared" si="177"/>
        <v>0.0904521278327484</v>
      </c>
      <c r="I1621" s="3" t="str">
        <f t="shared" si="178"/>
        <v>2020-01-01</v>
      </c>
      <c r="J1621" s="9">
        <f t="shared" si="179"/>
        <v>0.0958422810153898</v>
      </c>
      <c r="K1621" s="9">
        <f t="shared" si="180"/>
        <v>0.0910062020782123</v>
      </c>
      <c r="L1621" s="9">
        <f t="shared" si="181"/>
        <v>0.0902050408009967</v>
      </c>
    </row>
    <row r="1622" s="3" customFormat="1" ht="12.95" customHeight="1" spans="1:12">
      <c r="A1622" s="4">
        <v>43852</v>
      </c>
      <c r="B1622" s="8">
        <v>0.0900176165346903</v>
      </c>
      <c r="C1622" s="8">
        <v>-0.00807732579586421</v>
      </c>
      <c r="D1622" s="8">
        <v>0.0492653822331089</v>
      </c>
      <c r="E1622" s="8">
        <v>0.136</v>
      </c>
      <c r="F1622" s="9">
        <f t="shared" si="175"/>
        <v>0.0955840386671385</v>
      </c>
      <c r="G1622" s="9">
        <f t="shared" si="176"/>
        <v>0.0911379316697834</v>
      </c>
      <c r="H1622" s="9">
        <f t="shared" si="177"/>
        <v>0.0905777741022368</v>
      </c>
      <c r="I1622" s="3" t="str">
        <f t="shared" si="178"/>
        <v>2020-01-01</v>
      </c>
      <c r="J1622" s="9">
        <f t="shared" si="179"/>
        <v>0.0958422810153898</v>
      </c>
      <c r="K1622" s="9">
        <f t="shared" si="180"/>
        <v>0.0910062020782123</v>
      </c>
      <c r="L1622" s="9">
        <f t="shared" si="181"/>
        <v>0.0902050408009967</v>
      </c>
    </row>
    <row r="1623" s="3" customFormat="1" ht="12.95" customHeight="1" spans="1:12">
      <c r="A1623" s="4">
        <v>43851</v>
      </c>
      <c r="B1623" s="8">
        <v>0.0897604396666353</v>
      </c>
      <c r="C1623" s="8">
        <v>-0.00893337831475004</v>
      </c>
      <c r="D1623" s="8">
        <v>0.0529598241676432</v>
      </c>
      <c r="E1623" s="8">
        <v>0.136</v>
      </c>
      <c r="F1623" s="9">
        <f t="shared" si="175"/>
        <v>0.0957102683859818</v>
      </c>
      <c r="G1623" s="9">
        <f t="shared" si="176"/>
        <v>0.090957958993834</v>
      </c>
      <c r="H1623" s="9">
        <f t="shared" si="177"/>
        <v>0.0903591993302346</v>
      </c>
      <c r="I1623" s="3" t="str">
        <f t="shared" si="178"/>
        <v>2020-01-01</v>
      </c>
      <c r="J1623" s="9">
        <f t="shared" si="179"/>
        <v>0.0958422810153898</v>
      </c>
      <c r="K1623" s="9">
        <f t="shared" si="180"/>
        <v>0.0910062020782123</v>
      </c>
      <c r="L1623" s="9">
        <f t="shared" si="181"/>
        <v>0.0902050408009967</v>
      </c>
    </row>
    <row r="1624" s="3" customFormat="1" ht="12.95" customHeight="1" spans="1:12">
      <c r="A1624" s="4">
        <v>43850</v>
      </c>
      <c r="B1624" s="8">
        <v>0.0897917117531007</v>
      </c>
      <c r="C1624" s="8">
        <v>-0.00895379648077109</v>
      </c>
      <c r="D1624" s="8">
        <v>0.0530391903008085</v>
      </c>
      <c r="E1624" s="8">
        <v>0.136</v>
      </c>
      <c r="F1624" s="9">
        <f t="shared" si="175"/>
        <v>0.0957495014092035</v>
      </c>
      <c r="G1624" s="9">
        <f t="shared" si="176"/>
        <v>0.0909908344650057</v>
      </c>
      <c r="H1624" s="9">
        <f t="shared" si="177"/>
        <v>0.0903912731090532</v>
      </c>
      <c r="I1624" s="3" t="str">
        <f t="shared" si="178"/>
        <v>2020-01-01</v>
      </c>
      <c r="J1624" s="9">
        <f t="shared" si="179"/>
        <v>0.0958422810153898</v>
      </c>
      <c r="K1624" s="9">
        <f t="shared" si="180"/>
        <v>0.0910062020782123</v>
      </c>
      <c r="L1624" s="9">
        <f t="shared" si="181"/>
        <v>0.0902050408009967</v>
      </c>
    </row>
    <row r="1625" s="3" customFormat="1" ht="12.95" customHeight="1" spans="1:12">
      <c r="A1625" s="4">
        <v>43847</v>
      </c>
      <c r="B1625" s="8">
        <v>0.0898704643569614</v>
      </c>
      <c r="C1625" s="8">
        <v>-0.00871436432442572</v>
      </c>
      <c r="D1625" s="8">
        <v>0.0520728435298784</v>
      </c>
      <c r="E1625" s="8">
        <v>0.136</v>
      </c>
      <c r="F1625" s="9">
        <f t="shared" si="175"/>
        <v>0.0957300761092031</v>
      </c>
      <c r="G1625" s="9">
        <f t="shared" si="176"/>
        <v>0.0910498149913497</v>
      </c>
      <c r="H1625" s="9">
        <f t="shared" si="177"/>
        <v>0.0904601396741556</v>
      </c>
      <c r="I1625" s="3" t="str">
        <f t="shared" si="178"/>
        <v>2020-01-01</v>
      </c>
      <c r="J1625" s="9">
        <f t="shared" si="179"/>
        <v>0.0958422810153898</v>
      </c>
      <c r="K1625" s="9">
        <f t="shared" si="180"/>
        <v>0.0910062020782123</v>
      </c>
      <c r="L1625" s="9">
        <f t="shared" si="181"/>
        <v>0.0902050408009967</v>
      </c>
    </row>
    <row r="1626" s="3" customFormat="1" ht="12.95" customHeight="1" spans="1:12">
      <c r="A1626" s="4">
        <v>43846</v>
      </c>
      <c r="B1626" s="8">
        <v>0.0898794954954751</v>
      </c>
      <c r="C1626" s="8">
        <v>-0.00872171743636973</v>
      </c>
      <c r="D1626" s="8">
        <v>0.0507924313524414</v>
      </c>
      <c r="E1626" s="8">
        <v>0.136</v>
      </c>
      <c r="F1626" s="9">
        <f t="shared" si="175"/>
        <v>0.095564903745639</v>
      </c>
      <c r="G1626" s="9">
        <f t="shared" si="176"/>
        <v>0.0910238189139922</v>
      </c>
      <c r="H1626" s="9">
        <f t="shared" si="177"/>
        <v>0.0904516572047337</v>
      </c>
      <c r="I1626" s="3" t="str">
        <f t="shared" si="178"/>
        <v>2020-01-01</v>
      </c>
      <c r="J1626" s="9">
        <f t="shared" si="179"/>
        <v>0.0958422810153898</v>
      </c>
      <c r="K1626" s="9">
        <f t="shared" si="180"/>
        <v>0.0910062020782123</v>
      </c>
      <c r="L1626" s="9">
        <f t="shared" si="181"/>
        <v>0.0902050408009967</v>
      </c>
    </row>
    <row r="1627" s="3" customFormat="1" ht="12.95" customHeight="1" spans="1:12">
      <c r="A1627" s="4">
        <v>43845</v>
      </c>
      <c r="B1627" s="8">
        <v>0.0898525267332801</v>
      </c>
      <c r="C1627" s="8">
        <v>-0.00892805408261582</v>
      </c>
      <c r="D1627" s="8">
        <v>0.051396778456417</v>
      </c>
      <c r="E1627" s="8">
        <v>0.136</v>
      </c>
      <c r="F1627" s="9">
        <f t="shared" si="175"/>
        <v>0.0955916425163874</v>
      </c>
      <c r="G1627" s="9">
        <f t="shared" si="176"/>
        <v>0.0910076760362475</v>
      </c>
      <c r="H1627" s="9">
        <f t="shared" si="177"/>
        <v>0.0904301013847638</v>
      </c>
      <c r="I1627" s="3" t="str">
        <f t="shared" si="178"/>
        <v>2020-01-01</v>
      </c>
      <c r="J1627" s="9">
        <f t="shared" si="179"/>
        <v>0.0958422810153898</v>
      </c>
      <c r="K1627" s="9">
        <f t="shared" si="180"/>
        <v>0.0910062020782123</v>
      </c>
      <c r="L1627" s="9">
        <f t="shared" si="181"/>
        <v>0.0902050408009967</v>
      </c>
    </row>
    <row r="1628" s="3" customFormat="1" ht="12.95" customHeight="1" spans="1:12">
      <c r="A1628" s="4">
        <v>43844</v>
      </c>
      <c r="B1628" s="8">
        <v>0.0896516092046644</v>
      </c>
      <c r="C1628" s="8">
        <v>-0.00861278243791122</v>
      </c>
      <c r="D1628" s="8">
        <v>0.0518474585056171</v>
      </c>
      <c r="E1628" s="8">
        <v>0.136</v>
      </c>
      <c r="F1628" s="9">
        <f t="shared" si="175"/>
        <v>0.0954945389232185</v>
      </c>
      <c r="G1628" s="9">
        <f t="shared" si="176"/>
        <v>0.090827592393706</v>
      </c>
      <c r="H1628" s="9">
        <f t="shared" si="177"/>
        <v>0.0902396007991852</v>
      </c>
      <c r="I1628" s="3" t="str">
        <f t="shared" si="178"/>
        <v>2020-01-01</v>
      </c>
      <c r="J1628" s="9">
        <f t="shared" si="179"/>
        <v>0.0958422810153898</v>
      </c>
      <c r="K1628" s="9">
        <f t="shared" si="180"/>
        <v>0.0910062020782123</v>
      </c>
      <c r="L1628" s="9">
        <f t="shared" si="181"/>
        <v>0.0902050408009967</v>
      </c>
    </row>
    <row r="1629" s="3" customFormat="1" ht="12.95" customHeight="1" spans="1:12">
      <c r="A1629" s="4">
        <v>43843</v>
      </c>
      <c r="B1629" s="8">
        <v>0.0896459790432355</v>
      </c>
      <c r="C1629" s="8">
        <v>-0.00866248328039469</v>
      </c>
      <c r="D1629" s="8">
        <v>0.052016784848496</v>
      </c>
      <c r="E1629" s="8">
        <v>0.136</v>
      </c>
      <c r="F1629" s="9">
        <f t="shared" si="175"/>
        <v>0.095505058917906</v>
      </c>
      <c r="G1629" s="9">
        <f t="shared" si="176"/>
        <v>0.0908252160458878</v>
      </c>
      <c r="H1629" s="9">
        <f t="shared" si="177"/>
        <v>0.0902355975445617</v>
      </c>
      <c r="I1629" s="3" t="str">
        <f t="shared" si="178"/>
        <v>2020-01-01</v>
      </c>
      <c r="J1629" s="9">
        <f t="shared" si="179"/>
        <v>0.0958422810153898</v>
      </c>
      <c r="K1629" s="9">
        <f t="shared" si="180"/>
        <v>0.0910062020782123</v>
      </c>
      <c r="L1629" s="9">
        <f t="shared" si="181"/>
        <v>0.0902050408009967</v>
      </c>
    </row>
    <row r="1630" s="3" customFormat="1" ht="12.95" customHeight="1" spans="1:12">
      <c r="A1630" s="4">
        <v>43840</v>
      </c>
      <c r="B1630" s="8">
        <v>0.0896035350599008</v>
      </c>
      <c r="C1630" s="8">
        <v>-0.00921963471864561</v>
      </c>
      <c r="D1630" s="8">
        <v>0.0534721562602177</v>
      </c>
      <c r="E1630" s="8">
        <v>0.136</v>
      </c>
      <c r="F1630" s="9">
        <f t="shared" si="175"/>
        <v>0.0955837621197836</v>
      </c>
      <c r="G1630" s="9">
        <f t="shared" si="176"/>
        <v>0.0908072036458316</v>
      </c>
      <c r="H1630" s="9">
        <f t="shared" si="177"/>
        <v>0.0902053693528662</v>
      </c>
      <c r="I1630" s="3" t="str">
        <f t="shared" si="178"/>
        <v>2020-01-01</v>
      </c>
      <c r="J1630" s="9">
        <f t="shared" si="179"/>
        <v>0.0958422810153898</v>
      </c>
      <c r="K1630" s="9">
        <f t="shared" si="180"/>
        <v>0.0910062020782123</v>
      </c>
      <c r="L1630" s="9">
        <f t="shared" si="181"/>
        <v>0.0902050408009967</v>
      </c>
    </row>
    <row r="1631" s="3" customFormat="1" ht="12.95" customHeight="1" spans="1:12">
      <c r="A1631" s="4">
        <v>43839</v>
      </c>
      <c r="B1631" s="8">
        <v>0.0896119622448991</v>
      </c>
      <c r="C1631" s="8">
        <v>-0.00915795455142885</v>
      </c>
      <c r="D1631" s="8">
        <v>0.0532052349323075</v>
      </c>
      <c r="E1631" s="8">
        <v>0.136</v>
      </c>
      <c r="F1631" s="9">
        <f t="shared" si="175"/>
        <v>0.0955644654086731</v>
      </c>
      <c r="G1631" s="9">
        <f t="shared" si="176"/>
        <v>0.090810048271259</v>
      </c>
      <c r="H1631" s="9">
        <f t="shared" si="177"/>
        <v>0.0902110052580791</v>
      </c>
      <c r="I1631" s="3" t="str">
        <f t="shared" si="178"/>
        <v>2020-01-01</v>
      </c>
      <c r="J1631" s="9">
        <f t="shared" si="179"/>
        <v>0.0958422810153898</v>
      </c>
      <c r="K1631" s="9">
        <f t="shared" si="180"/>
        <v>0.0910062020782123</v>
      </c>
      <c r="L1631" s="9">
        <f t="shared" si="181"/>
        <v>0.0902050408009967</v>
      </c>
    </row>
    <row r="1632" s="3" customFormat="1" ht="12.95" customHeight="1" spans="1:12">
      <c r="A1632" s="4">
        <v>43838</v>
      </c>
      <c r="B1632" s="8">
        <v>0.0895897797170263</v>
      </c>
      <c r="C1632" s="8">
        <v>-0.00908963822075711</v>
      </c>
      <c r="D1632" s="8">
        <v>0.053350934374187</v>
      </c>
      <c r="E1632" s="8">
        <v>0.136</v>
      </c>
      <c r="F1632" s="9">
        <f t="shared" si="175"/>
        <v>0.0955712770270258</v>
      </c>
      <c r="G1632" s="9">
        <f t="shared" si="176"/>
        <v>0.0907936869723996</v>
      </c>
      <c r="H1632" s="9">
        <f t="shared" si="177"/>
        <v>0.0901917333447129</v>
      </c>
      <c r="I1632" s="3" t="str">
        <f t="shared" si="178"/>
        <v>2020-01-01</v>
      </c>
      <c r="J1632" s="9">
        <f t="shared" si="179"/>
        <v>0.0958422810153898</v>
      </c>
      <c r="K1632" s="9">
        <f t="shared" si="180"/>
        <v>0.0910062020782123</v>
      </c>
      <c r="L1632" s="9">
        <f t="shared" si="181"/>
        <v>0.0902050408009967</v>
      </c>
    </row>
    <row r="1633" s="3" customFormat="1" ht="12.95" customHeight="1" spans="1:12">
      <c r="A1633" s="4">
        <v>43836</v>
      </c>
      <c r="B1633" s="8">
        <v>0.0856326899156652</v>
      </c>
      <c r="C1633" s="8">
        <v>0.0101555574143494</v>
      </c>
      <c r="D1633" s="8">
        <v>0.016335461823716</v>
      </c>
      <c r="E1633" s="8">
        <v>1.056</v>
      </c>
      <c r="F1633" s="9">
        <f t="shared" si="175"/>
        <v>0.0964187124304937</v>
      </c>
      <c r="G1633" s="9">
        <f t="shared" si="176"/>
        <v>0.091034961685129</v>
      </c>
      <c r="H1633" s="9">
        <f t="shared" si="177"/>
        <v>0.0884286653513966</v>
      </c>
      <c r="I1633" s="3" t="str">
        <f t="shared" si="178"/>
        <v>2020-01-01</v>
      </c>
      <c r="J1633" s="9">
        <f t="shared" si="179"/>
        <v>0.0958422810153898</v>
      </c>
      <c r="K1633" s="9">
        <f t="shared" si="180"/>
        <v>0.0910062020782123</v>
      </c>
      <c r="L1633" s="9">
        <f t="shared" si="181"/>
        <v>0.0902050408009967</v>
      </c>
    </row>
    <row r="1634" s="3" customFormat="1" ht="12.95" customHeight="1" spans="1:12">
      <c r="A1634" s="4">
        <v>43835</v>
      </c>
      <c r="B1634" s="8">
        <v>0.0858480451712862</v>
      </c>
      <c r="C1634" s="8">
        <v>0.00994020215872822</v>
      </c>
      <c r="D1634" s="8">
        <v>0.0171646934055393</v>
      </c>
      <c r="E1634" s="8">
        <v>0.956</v>
      </c>
      <c r="F1634" s="9">
        <f t="shared" si="175"/>
        <v>0.0966260283164587</v>
      </c>
      <c r="G1634" s="9">
        <f t="shared" si="176"/>
        <v>0.090910880189351</v>
      </c>
      <c r="H1634" s="9">
        <f t="shared" si="177"/>
        <v>0.0884387071200426</v>
      </c>
      <c r="I1634" s="3" t="str">
        <f t="shared" si="178"/>
        <v>2020-01-01</v>
      </c>
      <c r="J1634" s="9">
        <f t="shared" si="179"/>
        <v>0.0958422810153898</v>
      </c>
      <c r="K1634" s="9">
        <f t="shared" si="180"/>
        <v>0.0910062020782123</v>
      </c>
      <c r="L1634" s="9">
        <f t="shared" si="181"/>
        <v>0.0902050408009967</v>
      </c>
    </row>
    <row r="1635" s="3" customFormat="1" ht="12.95" customHeight="1" spans="1:12">
      <c r="A1635" s="4">
        <v>43830</v>
      </c>
      <c r="B1635" s="8">
        <v>0.0862736911486318</v>
      </c>
      <c r="C1635" s="8">
        <v>0.00706350234134976</v>
      </c>
      <c r="D1635" s="8">
        <v>0.0219543466490055</v>
      </c>
      <c r="E1635" s="8">
        <v>0.776</v>
      </c>
      <c r="F1635" s="9">
        <f t="shared" si="175"/>
        <v>0.0965332276784449</v>
      </c>
      <c r="G1635" s="9">
        <f t="shared" si="176"/>
        <v>0.0907351628277133</v>
      </c>
      <c r="H1635" s="9">
        <f t="shared" si="177"/>
        <v>0.0885254149462956</v>
      </c>
      <c r="I1635" s="3" t="str">
        <f t="shared" si="178"/>
        <v>2019-12-01</v>
      </c>
      <c r="J1635" s="9">
        <f t="shared" si="179"/>
        <v>0.096004148883217</v>
      </c>
      <c r="K1635" s="9">
        <f t="shared" si="180"/>
        <v>0.090582830962835</v>
      </c>
      <c r="L1635" s="9">
        <f t="shared" si="181"/>
        <v>0.0893642443092413</v>
      </c>
    </row>
    <row r="1636" s="3" customFormat="1" ht="12.95" customHeight="1" spans="1:12">
      <c r="A1636" s="4">
        <v>43829</v>
      </c>
      <c r="B1636" s="8">
        <v>0.0862736911486318</v>
      </c>
      <c r="C1636" s="8">
        <v>0.00706350234134976</v>
      </c>
      <c r="D1636" s="8">
        <v>0.0219543466490055</v>
      </c>
      <c r="E1636" s="8">
        <v>0.776</v>
      </c>
      <c r="F1636" s="9">
        <f t="shared" si="175"/>
        <v>0.0965332276784449</v>
      </c>
      <c r="G1636" s="9">
        <f t="shared" si="176"/>
        <v>0.0907351628277133</v>
      </c>
      <c r="H1636" s="9">
        <f t="shared" si="177"/>
        <v>0.0885254149462956</v>
      </c>
      <c r="I1636" s="3" t="str">
        <f t="shared" si="178"/>
        <v>2019-12-01</v>
      </c>
      <c r="J1636" s="9">
        <f t="shared" si="179"/>
        <v>0.096004148883217</v>
      </c>
      <c r="K1636" s="9">
        <f t="shared" si="180"/>
        <v>0.090582830962835</v>
      </c>
      <c r="L1636" s="9">
        <f t="shared" si="181"/>
        <v>0.0893642443092413</v>
      </c>
    </row>
    <row r="1637" s="3" customFormat="1" ht="12.95" customHeight="1" spans="1:12">
      <c r="A1637" s="4">
        <v>43826</v>
      </c>
      <c r="B1637" s="8">
        <v>0.0863121830529596</v>
      </c>
      <c r="C1637" s="8">
        <v>0.00702514286336824</v>
      </c>
      <c r="D1637" s="8">
        <v>0.0223349912623858</v>
      </c>
      <c r="E1637" s="8">
        <v>0.756</v>
      </c>
      <c r="F1637" s="9">
        <f t="shared" si="175"/>
        <v>0.0966452592188691</v>
      </c>
      <c r="G1637" s="9">
        <f t="shared" si="176"/>
        <v>0.0907155101317079</v>
      </c>
      <c r="H1637" s="9">
        <f t="shared" si="177"/>
        <v>0.0885317649852432</v>
      </c>
      <c r="I1637" s="3" t="str">
        <f t="shared" si="178"/>
        <v>2019-12-01</v>
      </c>
      <c r="J1637" s="9">
        <f t="shared" si="179"/>
        <v>0.096004148883217</v>
      </c>
      <c r="K1637" s="9">
        <f t="shared" si="180"/>
        <v>0.090582830962835</v>
      </c>
      <c r="L1637" s="9">
        <f t="shared" si="181"/>
        <v>0.0893642443092413</v>
      </c>
    </row>
    <row r="1638" s="3" customFormat="1" ht="12.95" customHeight="1" spans="1:12">
      <c r="A1638" s="4">
        <v>43825</v>
      </c>
      <c r="B1638" s="8">
        <v>0.089110555250101</v>
      </c>
      <c r="C1638" s="8">
        <v>-0.00437150804738939</v>
      </c>
      <c r="D1638" s="8">
        <v>0.0461758367611103</v>
      </c>
      <c r="E1638" s="8">
        <v>0.176</v>
      </c>
      <c r="F1638" s="9">
        <f t="shared" si="175"/>
        <v>0.0962857096704323</v>
      </c>
      <c r="G1638" s="9">
        <f t="shared" si="176"/>
        <v>0.0905820676208021</v>
      </c>
      <c r="H1638" s="9">
        <f t="shared" si="177"/>
        <v>0.0898463114354625</v>
      </c>
      <c r="I1638" s="3" t="str">
        <f t="shared" si="178"/>
        <v>2019-12-01</v>
      </c>
      <c r="J1638" s="9">
        <f t="shared" si="179"/>
        <v>0.096004148883217</v>
      </c>
      <c r="K1638" s="9">
        <f t="shared" si="180"/>
        <v>0.090582830962835</v>
      </c>
      <c r="L1638" s="9">
        <f t="shared" si="181"/>
        <v>0.0893642443092413</v>
      </c>
    </row>
    <row r="1639" s="3" customFormat="1" ht="12.95" customHeight="1" spans="1:12">
      <c r="A1639" s="4">
        <v>43824</v>
      </c>
      <c r="B1639" s="8">
        <v>0.0896015590477249</v>
      </c>
      <c r="C1639" s="8">
        <v>-0.00899510650433681</v>
      </c>
      <c r="D1639" s="8">
        <v>0.0539466554765707</v>
      </c>
      <c r="E1639" s="8">
        <v>0.136</v>
      </c>
      <c r="F1639" s="9">
        <f t="shared" si="175"/>
        <v>0.0956764889136961</v>
      </c>
      <c r="G1639" s="9">
        <f t="shared" si="176"/>
        <v>0.0908242411797697</v>
      </c>
      <c r="H1639" s="9">
        <f t="shared" si="177"/>
        <v>0.0902129001137473</v>
      </c>
      <c r="I1639" s="3" t="str">
        <f t="shared" si="178"/>
        <v>2019-12-01</v>
      </c>
      <c r="J1639" s="9">
        <f t="shared" si="179"/>
        <v>0.096004148883217</v>
      </c>
      <c r="K1639" s="9">
        <f t="shared" si="180"/>
        <v>0.090582830962835</v>
      </c>
      <c r="L1639" s="9">
        <f t="shared" si="181"/>
        <v>0.0893642443092413</v>
      </c>
    </row>
    <row r="1640" s="3" customFormat="1" ht="12.95" customHeight="1" spans="1:12">
      <c r="A1640" s="4">
        <v>43823</v>
      </c>
      <c r="B1640" s="8">
        <v>0.089514964910386</v>
      </c>
      <c r="C1640" s="8">
        <v>-0.0092455137143358</v>
      </c>
      <c r="D1640" s="8">
        <v>0.055081845186753</v>
      </c>
      <c r="E1640" s="8">
        <v>0.136</v>
      </c>
      <c r="F1640" s="9">
        <f t="shared" si="175"/>
        <v>0.0957094207781569</v>
      </c>
      <c r="G1640" s="9">
        <f t="shared" si="176"/>
        <v>0.0907617131264358</v>
      </c>
      <c r="H1640" s="9">
        <f t="shared" si="177"/>
        <v>0.0901383390184109</v>
      </c>
      <c r="I1640" s="3" t="str">
        <f t="shared" si="178"/>
        <v>2019-12-01</v>
      </c>
      <c r="J1640" s="9">
        <f t="shared" si="179"/>
        <v>0.096004148883217</v>
      </c>
      <c r="K1640" s="9">
        <f t="shared" si="180"/>
        <v>0.090582830962835</v>
      </c>
      <c r="L1640" s="9">
        <f t="shared" si="181"/>
        <v>0.0893642443092413</v>
      </c>
    </row>
    <row r="1641" s="3" customFormat="1" ht="12.95" customHeight="1" spans="1:12">
      <c r="A1641" s="4">
        <v>43822</v>
      </c>
      <c r="B1641" s="8">
        <v>0.0896083451520955</v>
      </c>
      <c r="C1641" s="8">
        <v>-0.00873742460705237</v>
      </c>
      <c r="D1641" s="8">
        <v>0.0534346354852207</v>
      </c>
      <c r="E1641" s="8">
        <v>0.136</v>
      </c>
      <c r="F1641" s="9">
        <f t="shared" si="175"/>
        <v>0.0956490352531031</v>
      </c>
      <c r="G1641" s="9">
        <f t="shared" si="176"/>
        <v>0.0908241092879817</v>
      </c>
      <c r="H1641" s="9">
        <f t="shared" si="177"/>
        <v>0.0902162272200386</v>
      </c>
      <c r="I1641" s="3" t="str">
        <f t="shared" si="178"/>
        <v>2019-12-01</v>
      </c>
      <c r="J1641" s="9">
        <f t="shared" si="179"/>
        <v>0.096004148883217</v>
      </c>
      <c r="K1641" s="9">
        <f t="shared" si="180"/>
        <v>0.090582830962835</v>
      </c>
      <c r="L1641" s="9">
        <f t="shared" si="181"/>
        <v>0.0893642443092413</v>
      </c>
    </row>
    <row r="1642" s="3" customFormat="1" ht="12.95" customHeight="1" spans="1:12">
      <c r="A1642" s="4">
        <v>43819</v>
      </c>
      <c r="B1642" s="8">
        <v>0.089608365946275</v>
      </c>
      <c r="C1642" s="8">
        <v>-0.00873738600032541</v>
      </c>
      <c r="D1642" s="8">
        <v>0.0534343939501015</v>
      </c>
      <c r="E1642" s="8">
        <v>0.136</v>
      </c>
      <c r="F1642" s="9">
        <f t="shared" si="175"/>
        <v>0.0956490286214565</v>
      </c>
      <c r="G1642" s="9">
        <f t="shared" si="176"/>
        <v>0.0908241245625089</v>
      </c>
      <c r="H1642" s="9">
        <f t="shared" si="177"/>
        <v>0.090216245254392</v>
      </c>
      <c r="I1642" s="3" t="str">
        <f t="shared" si="178"/>
        <v>2019-12-01</v>
      </c>
      <c r="J1642" s="9">
        <f t="shared" si="179"/>
        <v>0.096004148883217</v>
      </c>
      <c r="K1642" s="9">
        <f t="shared" si="180"/>
        <v>0.090582830962835</v>
      </c>
      <c r="L1642" s="9">
        <f t="shared" si="181"/>
        <v>0.0893642443092413</v>
      </c>
    </row>
    <row r="1643" s="3" customFormat="1" ht="12.95" customHeight="1" spans="1:12">
      <c r="A1643" s="4">
        <v>43818</v>
      </c>
      <c r="B1643" s="8">
        <v>0.0893414520534153</v>
      </c>
      <c r="C1643" s="8">
        <v>-0.00668094304443648</v>
      </c>
      <c r="D1643" s="8">
        <v>0.0492260343159763</v>
      </c>
      <c r="E1643" s="8">
        <v>0.156</v>
      </c>
      <c r="F1643" s="9">
        <f t="shared" si="175"/>
        <v>0.0958866137353289</v>
      </c>
      <c r="G1643" s="9">
        <f t="shared" si="176"/>
        <v>0.0906688589010867</v>
      </c>
      <c r="H1643" s="9">
        <f t="shared" si="177"/>
        <v>0.0900051554772513</v>
      </c>
      <c r="I1643" s="3" t="str">
        <f t="shared" si="178"/>
        <v>2019-12-01</v>
      </c>
      <c r="J1643" s="9">
        <f t="shared" si="179"/>
        <v>0.096004148883217</v>
      </c>
      <c r="K1643" s="9">
        <f t="shared" si="180"/>
        <v>0.090582830962835</v>
      </c>
      <c r="L1643" s="9">
        <f t="shared" si="181"/>
        <v>0.0893642443092413</v>
      </c>
    </row>
    <row r="1644" s="3" customFormat="1" ht="12.95" customHeight="1" spans="1:12">
      <c r="A1644" s="4">
        <v>43817</v>
      </c>
      <c r="B1644" s="8">
        <v>0.0892541431814721</v>
      </c>
      <c r="C1644" s="8">
        <v>-0.00719316589264694</v>
      </c>
      <c r="D1644" s="8">
        <v>0.0509381823960659</v>
      </c>
      <c r="E1644" s="8">
        <v>0.156</v>
      </c>
      <c r="F1644" s="9">
        <f t="shared" si="175"/>
        <v>0.095983369545656</v>
      </c>
      <c r="G1644" s="9">
        <f t="shared" si="176"/>
        <v>0.0906189876963781</v>
      </c>
      <c r="H1644" s="9">
        <f t="shared" si="177"/>
        <v>0.0899365654389254</v>
      </c>
      <c r="I1644" s="3" t="str">
        <f t="shared" si="178"/>
        <v>2019-12-01</v>
      </c>
      <c r="J1644" s="9">
        <f t="shared" si="179"/>
        <v>0.096004148883217</v>
      </c>
      <c r="K1644" s="9">
        <f t="shared" si="180"/>
        <v>0.090582830962835</v>
      </c>
      <c r="L1644" s="9">
        <f t="shared" si="181"/>
        <v>0.0893642443092413</v>
      </c>
    </row>
    <row r="1645" s="3" customFormat="1" ht="12.95" customHeight="1" spans="1:12">
      <c r="A1645" s="4">
        <v>43812</v>
      </c>
      <c r="B1645" s="8">
        <v>0.0893945673727074</v>
      </c>
      <c r="C1645" s="8">
        <v>-0.00959496617023152</v>
      </c>
      <c r="D1645" s="8">
        <v>0.0552457594800454</v>
      </c>
      <c r="E1645" s="8">
        <v>0.136</v>
      </c>
      <c r="F1645" s="9">
        <f t="shared" si="175"/>
        <v>0.0955637011966659</v>
      </c>
      <c r="G1645" s="9">
        <f t="shared" si="176"/>
        <v>0.0906362689507343</v>
      </c>
      <c r="H1645" s="9">
        <f t="shared" si="177"/>
        <v>0.0900154181617209</v>
      </c>
      <c r="I1645" s="3" t="str">
        <f t="shared" si="178"/>
        <v>2019-12-01</v>
      </c>
      <c r="J1645" s="9">
        <f t="shared" si="179"/>
        <v>0.096004148883217</v>
      </c>
      <c r="K1645" s="9">
        <f t="shared" si="180"/>
        <v>0.090582830962835</v>
      </c>
      <c r="L1645" s="9">
        <f t="shared" si="181"/>
        <v>0.0893642443092413</v>
      </c>
    </row>
    <row r="1646" s="3" customFormat="1" ht="12.95" customHeight="1" spans="1:12">
      <c r="A1646" s="4">
        <v>43811</v>
      </c>
      <c r="B1646" s="8">
        <v>0.0893945673727074</v>
      </c>
      <c r="C1646" s="8">
        <v>-0.00959496617023152</v>
      </c>
      <c r="D1646" s="8">
        <v>0.0552457594800454</v>
      </c>
      <c r="E1646" s="8">
        <v>0.136</v>
      </c>
      <c r="F1646" s="9">
        <f t="shared" si="175"/>
        <v>0.0955637011966659</v>
      </c>
      <c r="G1646" s="9">
        <f t="shared" si="176"/>
        <v>0.0906362689507343</v>
      </c>
      <c r="H1646" s="9">
        <f t="shared" si="177"/>
        <v>0.0900154181617209</v>
      </c>
      <c r="I1646" s="3" t="str">
        <f t="shared" si="178"/>
        <v>2019-12-01</v>
      </c>
      <c r="J1646" s="9">
        <f t="shared" si="179"/>
        <v>0.096004148883217</v>
      </c>
      <c r="K1646" s="9">
        <f t="shared" si="180"/>
        <v>0.090582830962835</v>
      </c>
      <c r="L1646" s="9">
        <f t="shared" si="181"/>
        <v>0.0893642443092413</v>
      </c>
    </row>
    <row r="1647" s="3" customFormat="1" ht="12.95" customHeight="1" spans="1:12">
      <c r="A1647" s="4">
        <v>43810</v>
      </c>
      <c r="B1647" s="8">
        <v>0.0893090510820334</v>
      </c>
      <c r="C1647" s="8">
        <v>-0.00840302386838368</v>
      </c>
      <c r="D1647" s="8">
        <v>0.0521846573300843</v>
      </c>
      <c r="E1647" s="8">
        <v>0.136</v>
      </c>
      <c r="F1647" s="9">
        <f t="shared" si="175"/>
        <v>0.0952261033015184</v>
      </c>
      <c r="G1647" s="9">
        <f t="shared" si="176"/>
        <v>0.0904999115121917</v>
      </c>
      <c r="H1647" s="9">
        <f t="shared" si="177"/>
        <v>0.0899044812971125</v>
      </c>
      <c r="I1647" s="3" t="str">
        <f t="shared" si="178"/>
        <v>2019-12-01</v>
      </c>
      <c r="J1647" s="9">
        <f t="shared" si="179"/>
        <v>0.096004148883217</v>
      </c>
      <c r="K1647" s="9">
        <f t="shared" si="180"/>
        <v>0.090582830962835</v>
      </c>
      <c r="L1647" s="9">
        <f t="shared" si="181"/>
        <v>0.0893642443092413</v>
      </c>
    </row>
    <row r="1648" s="3" customFormat="1" ht="12.95" customHeight="1" spans="1:12">
      <c r="A1648" s="4">
        <v>43809</v>
      </c>
      <c r="B1648" s="8">
        <v>0.0890019598313436</v>
      </c>
      <c r="C1648" s="8">
        <v>-0.00599626153784682</v>
      </c>
      <c r="D1648" s="8">
        <v>0.0485703936739536</v>
      </c>
      <c r="E1648" s="8">
        <v>0.156</v>
      </c>
      <c r="F1648" s="9">
        <f t="shared" si="175"/>
        <v>0.0955527227058688</v>
      </c>
      <c r="G1648" s="9">
        <f t="shared" si="176"/>
        <v>0.0903302727539895</v>
      </c>
      <c r="H1648" s="9">
        <f t="shared" si="177"/>
        <v>0.0896661162926669</v>
      </c>
      <c r="I1648" s="3" t="str">
        <f t="shared" si="178"/>
        <v>2019-12-01</v>
      </c>
      <c r="J1648" s="9">
        <f t="shared" si="179"/>
        <v>0.096004148883217</v>
      </c>
      <c r="K1648" s="9">
        <f t="shared" si="180"/>
        <v>0.090582830962835</v>
      </c>
      <c r="L1648" s="9">
        <f t="shared" si="181"/>
        <v>0.0893642443092413</v>
      </c>
    </row>
    <row r="1649" s="3" customFormat="1" ht="12.95" customHeight="1" spans="1:12">
      <c r="A1649" s="4">
        <v>43808</v>
      </c>
      <c r="B1649" s="8">
        <v>0.0886412657170281</v>
      </c>
      <c r="C1649" s="8">
        <v>-0.00204164015204935</v>
      </c>
      <c r="D1649" s="8">
        <v>0.041049535028676</v>
      </c>
      <c r="E1649" s="8">
        <v>0.196</v>
      </c>
      <c r="F1649" s="9">
        <f t="shared" si="175"/>
        <v>0.095990536799261</v>
      </c>
      <c r="G1649" s="9">
        <f t="shared" si="176"/>
        <v>0.0901703751958368</v>
      </c>
      <c r="H1649" s="9">
        <f t="shared" si="177"/>
        <v>0.08940582045661</v>
      </c>
      <c r="I1649" s="3" t="str">
        <f t="shared" si="178"/>
        <v>2019-12-01</v>
      </c>
      <c r="J1649" s="9">
        <f t="shared" si="179"/>
        <v>0.096004148883217</v>
      </c>
      <c r="K1649" s="9">
        <f t="shared" si="180"/>
        <v>0.090582830962835</v>
      </c>
      <c r="L1649" s="9">
        <f t="shared" si="181"/>
        <v>0.0893642443092413</v>
      </c>
    </row>
    <row r="1650" s="3" customFormat="1" ht="12.95" customHeight="1" spans="1:12">
      <c r="A1650" s="4">
        <v>43805</v>
      </c>
      <c r="B1650" s="8">
        <v>0.0872801509704403</v>
      </c>
      <c r="C1650" s="8">
        <v>0.00412240400286738</v>
      </c>
      <c r="D1650" s="8">
        <v>0.0277605679799671</v>
      </c>
      <c r="E1650" s="8">
        <v>0.416</v>
      </c>
      <c r="F1650" s="9">
        <f t="shared" si="175"/>
        <v>0.0968361508589856</v>
      </c>
      <c r="G1650" s="9">
        <f t="shared" si="176"/>
        <v>0.0899326309332924</v>
      </c>
      <c r="H1650" s="9">
        <f t="shared" si="177"/>
        <v>0.0886064826038696</v>
      </c>
      <c r="I1650" s="3" t="str">
        <f t="shared" si="178"/>
        <v>2019-12-01</v>
      </c>
      <c r="J1650" s="9">
        <f t="shared" si="179"/>
        <v>0.096004148883217</v>
      </c>
      <c r="K1650" s="9">
        <f t="shared" si="180"/>
        <v>0.090582830962835</v>
      </c>
      <c r="L1650" s="9">
        <f t="shared" si="181"/>
        <v>0.0893642443092413</v>
      </c>
    </row>
    <row r="1651" s="3" customFormat="1" ht="12.95" customHeight="1" spans="1:12">
      <c r="A1651" s="4">
        <v>43804</v>
      </c>
      <c r="B1651" s="8">
        <v>0.0877921123641257</v>
      </c>
      <c r="C1651" s="8">
        <v>0.00201385611465956</v>
      </c>
      <c r="D1651" s="8">
        <v>0.0328777065377642</v>
      </c>
      <c r="E1651" s="8">
        <v>0.296</v>
      </c>
      <c r="F1651" s="9">
        <f t="shared" si="175"/>
        <v>0.096646586482577</v>
      </c>
      <c r="G1651" s="9">
        <f t="shared" si="176"/>
        <v>0.0898576912613597</v>
      </c>
      <c r="H1651" s="9">
        <f t="shared" si="177"/>
        <v>0.0888249026186374</v>
      </c>
      <c r="I1651" s="3" t="str">
        <f t="shared" si="178"/>
        <v>2019-12-01</v>
      </c>
      <c r="J1651" s="9">
        <f t="shared" si="179"/>
        <v>0.096004148883217</v>
      </c>
      <c r="K1651" s="9">
        <f t="shared" si="180"/>
        <v>0.090582830962835</v>
      </c>
      <c r="L1651" s="9">
        <f t="shared" si="181"/>
        <v>0.0893642443092413</v>
      </c>
    </row>
    <row r="1652" s="3" customFormat="1" ht="12.95" customHeight="1" spans="1:12">
      <c r="A1652" s="4">
        <v>43803</v>
      </c>
      <c r="B1652" s="8">
        <v>0.0841412569067568</v>
      </c>
      <c r="C1652" s="8">
        <v>0.0107642955924347</v>
      </c>
      <c r="D1652" s="8">
        <v>0.0192764755748248</v>
      </c>
      <c r="E1652" s="8">
        <v>1.156</v>
      </c>
      <c r="F1652" s="9">
        <f t="shared" si="175"/>
        <v>0.0961312659407711</v>
      </c>
      <c r="G1652" s="9">
        <f t="shared" si="176"/>
        <v>0.0907397643911374</v>
      </c>
      <c r="H1652" s="9">
        <f t="shared" si="177"/>
        <v>0.0876099881272533</v>
      </c>
      <c r="I1652" s="3" t="str">
        <f t="shared" si="178"/>
        <v>2019-12-01</v>
      </c>
      <c r="J1652" s="9">
        <f t="shared" si="179"/>
        <v>0.096004148883217</v>
      </c>
      <c r="K1652" s="9">
        <f t="shared" si="180"/>
        <v>0.090582830962835</v>
      </c>
      <c r="L1652" s="9">
        <f t="shared" si="181"/>
        <v>0.0893642443092413</v>
      </c>
    </row>
    <row r="1653" s="3" customFormat="1" ht="12.95" customHeight="1" spans="1:12">
      <c r="A1653" s="4">
        <v>43802</v>
      </c>
      <c r="B1653" s="8">
        <v>0.0834966705722978</v>
      </c>
      <c r="C1653" s="8">
        <v>0.0133850010643882</v>
      </c>
      <c r="D1653" s="8">
        <v>0.0120494418111717</v>
      </c>
      <c r="E1653" s="8">
        <v>1.676</v>
      </c>
      <c r="F1653" s="9">
        <f t="shared" si="175"/>
        <v>0.0960166792052197</v>
      </c>
      <c r="G1653" s="9">
        <f t="shared" si="176"/>
        <v>0.0909806661824904</v>
      </c>
      <c r="H1653" s="9">
        <f t="shared" si="177"/>
        <v>0.0877176753199304</v>
      </c>
      <c r="I1653" s="3" t="str">
        <f t="shared" si="178"/>
        <v>2019-12-01</v>
      </c>
      <c r="J1653" s="9">
        <f t="shared" si="179"/>
        <v>0.096004148883217</v>
      </c>
      <c r="K1653" s="9">
        <f t="shared" si="180"/>
        <v>0.090582830962835</v>
      </c>
      <c r="L1653" s="9">
        <f t="shared" si="181"/>
        <v>0.0893642443092413</v>
      </c>
    </row>
    <row r="1654" s="3" customFormat="1" ht="12.95" customHeight="1" spans="1:12">
      <c r="A1654" s="4">
        <v>43798</v>
      </c>
      <c r="B1654" s="8">
        <v>0.0834916550092622</v>
      </c>
      <c r="C1654" s="8">
        <v>0.0139136013160487</v>
      </c>
      <c r="D1654" s="8">
        <v>0.00951436684021111</v>
      </c>
      <c r="E1654" s="8">
        <v>1.856</v>
      </c>
      <c r="F1654" s="9">
        <f t="shared" si="175"/>
        <v>0.0960529477821671</v>
      </c>
      <c r="G1654" s="9">
        <f t="shared" si="176"/>
        <v>0.0909568409748012</v>
      </c>
      <c r="H1654" s="9">
        <f t="shared" si="177"/>
        <v>0.0877765141193704</v>
      </c>
      <c r="I1654" s="3" t="str">
        <f t="shared" si="178"/>
        <v>2019-11-01</v>
      </c>
      <c r="J1654" s="9">
        <f t="shared" si="179"/>
        <v>0.0955317748010932</v>
      </c>
      <c r="K1654" s="9">
        <f t="shared" si="180"/>
        <v>0.0897354793223288</v>
      </c>
      <c r="L1654" s="9">
        <f t="shared" si="181"/>
        <v>0.0882764437308848</v>
      </c>
    </row>
    <row r="1655" s="3" customFormat="1" ht="12.95" customHeight="1" spans="1:12">
      <c r="A1655" s="4">
        <v>43797</v>
      </c>
      <c r="B1655" s="8">
        <v>0.0818092995083974</v>
      </c>
      <c r="C1655" s="8">
        <v>0.0152384607373966</v>
      </c>
      <c r="D1655" s="8">
        <v>0.0125118514556397</v>
      </c>
      <c r="E1655" s="8">
        <v>1.936</v>
      </c>
      <c r="F1655" s="9">
        <f t="shared" si="175"/>
        <v>0.0960180451703238</v>
      </c>
      <c r="G1655" s="9">
        <f t="shared" si="176"/>
        <v>0.0907966159907308</v>
      </c>
      <c r="H1655" s="9">
        <f t="shared" si="177"/>
        <v>0.0870796153015198</v>
      </c>
      <c r="I1655" s="3" t="str">
        <f t="shared" si="178"/>
        <v>2019-11-01</v>
      </c>
      <c r="J1655" s="9">
        <f t="shared" si="179"/>
        <v>0.0955317748010932</v>
      </c>
      <c r="K1655" s="9">
        <f t="shared" si="180"/>
        <v>0.0897354793223288</v>
      </c>
      <c r="L1655" s="9">
        <f t="shared" si="181"/>
        <v>0.0882764437308848</v>
      </c>
    </row>
    <row r="1656" s="3" customFormat="1" ht="12.95" customHeight="1" spans="1:12">
      <c r="A1656" s="4">
        <v>43796</v>
      </c>
      <c r="B1656" s="8">
        <v>0.081682152382186</v>
      </c>
      <c r="C1656" s="8">
        <v>0.0155607040534539</v>
      </c>
      <c r="D1656" s="8">
        <v>0.0124342114792577</v>
      </c>
      <c r="E1656" s="8">
        <v>1.936</v>
      </c>
      <c r="F1656" s="9">
        <f t="shared" si="175"/>
        <v>0.0961282538037847</v>
      </c>
      <c r="G1656" s="9">
        <f t="shared" si="176"/>
        <v>0.0907628891985942</v>
      </c>
      <c r="H1656" s="9">
        <f t="shared" si="177"/>
        <v>0.0869999963506231</v>
      </c>
      <c r="I1656" s="3" t="str">
        <f t="shared" si="178"/>
        <v>2019-11-01</v>
      </c>
      <c r="J1656" s="9">
        <f t="shared" si="179"/>
        <v>0.0955317748010932</v>
      </c>
      <c r="K1656" s="9">
        <f t="shared" si="180"/>
        <v>0.0897354793223288</v>
      </c>
      <c r="L1656" s="9">
        <f t="shared" si="181"/>
        <v>0.0882764437308848</v>
      </c>
    </row>
    <row r="1657" s="3" customFormat="1" ht="12.95" customHeight="1" spans="1:12">
      <c r="A1657" s="4">
        <v>43795</v>
      </c>
      <c r="B1657" s="8">
        <v>0.0820883492812295</v>
      </c>
      <c r="C1657" s="8">
        <v>0.0152706393710694</v>
      </c>
      <c r="D1657" s="8">
        <v>0.0102597368020306</v>
      </c>
      <c r="E1657" s="8">
        <v>2</v>
      </c>
      <c r="F1657" s="9">
        <f t="shared" si="175"/>
        <v>0.0959563448904518</v>
      </c>
      <c r="G1657" s="9">
        <f t="shared" si="176"/>
        <v>0.0906200649119786</v>
      </c>
      <c r="H1657" s="9">
        <f t="shared" si="177"/>
        <v>0.0870908904887486</v>
      </c>
      <c r="I1657" s="3" t="str">
        <f t="shared" si="178"/>
        <v>2019-11-01</v>
      </c>
      <c r="J1657" s="9">
        <f t="shared" si="179"/>
        <v>0.0955317748010932</v>
      </c>
      <c r="K1657" s="9">
        <f t="shared" si="180"/>
        <v>0.0897354793223288</v>
      </c>
      <c r="L1657" s="9">
        <f t="shared" si="181"/>
        <v>0.0882764437308848</v>
      </c>
    </row>
    <row r="1658" s="3" customFormat="1" ht="12.95" customHeight="1" spans="1:12">
      <c r="A1658" s="4">
        <v>43794</v>
      </c>
      <c r="B1658" s="8">
        <v>0.082909746278648</v>
      </c>
      <c r="C1658" s="8">
        <v>0.0129793568263315</v>
      </c>
      <c r="D1658" s="8">
        <v>0.0165205197005135</v>
      </c>
      <c r="E1658" s="8">
        <v>1.436</v>
      </c>
      <c r="F1658" s="9">
        <f t="shared" si="175"/>
        <v>0.0959253877517116</v>
      </c>
      <c r="G1658" s="9">
        <f t="shared" si="176"/>
        <v>0.0906136018106694</v>
      </c>
      <c r="H1658" s="9">
        <f t="shared" si="177"/>
        <v>0.0871263029219438</v>
      </c>
      <c r="I1658" s="3" t="str">
        <f t="shared" si="178"/>
        <v>2019-11-01</v>
      </c>
      <c r="J1658" s="9">
        <f t="shared" si="179"/>
        <v>0.0955317748010932</v>
      </c>
      <c r="K1658" s="9">
        <f t="shared" si="180"/>
        <v>0.0897354793223288</v>
      </c>
      <c r="L1658" s="9">
        <f t="shared" si="181"/>
        <v>0.0882764437308848</v>
      </c>
    </row>
    <row r="1659" s="3" customFormat="1" ht="12.95" customHeight="1" spans="1:12">
      <c r="A1659" s="4">
        <v>43791</v>
      </c>
      <c r="B1659" s="8">
        <v>0.087757509631002</v>
      </c>
      <c r="C1659" s="8">
        <v>0.00136538653214974</v>
      </c>
      <c r="D1659" s="8">
        <v>0.035736934077874</v>
      </c>
      <c r="E1659" s="8">
        <v>0.256</v>
      </c>
      <c r="F1659" s="9">
        <f t="shared" si="175"/>
        <v>0.0963457631864482</v>
      </c>
      <c r="G1659" s="9">
        <f t="shared" si="176"/>
        <v>0.0896571483222711</v>
      </c>
      <c r="H1659" s="9">
        <f t="shared" si="177"/>
        <v>0.0887073290386186</v>
      </c>
      <c r="I1659" s="3" t="str">
        <f t="shared" si="178"/>
        <v>2019-11-01</v>
      </c>
      <c r="J1659" s="9">
        <f t="shared" si="179"/>
        <v>0.0955317748010932</v>
      </c>
      <c r="K1659" s="9">
        <f t="shared" si="180"/>
        <v>0.0897354793223288</v>
      </c>
      <c r="L1659" s="9">
        <f t="shared" si="181"/>
        <v>0.0882764437308848</v>
      </c>
    </row>
    <row r="1660" s="3" customFormat="1" ht="12.95" customHeight="1" spans="1:12">
      <c r="A1660" s="4">
        <v>43790</v>
      </c>
      <c r="B1660" s="8">
        <v>0.0882760196501284</v>
      </c>
      <c r="C1660" s="8">
        <v>-0.00694122400496979</v>
      </c>
      <c r="D1660" s="8">
        <v>0.0547766688693933</v>
      </c>
      <c r="E1660" s="8">
        <v>0.156</v>
      </c>
      <c r="F1660" s="9">
        <f t="shared" si="175"/>
        <v>0.0956359906209588</v>
      </c>
      <c r="G1660" s="9">
        <f t="shared" si="176"/>
        <v>0.0897684855298977</v>
      </c>
      <c r="H1660" s="9">
        <f t="shared" si="177"/>
        <v>0.0890222525900134</v>
      </c>
      <c r="I1660" s="3" t="str">
        <f t="shared" si="178"/>
        <v>2019-11-01</v>
      </c>
      <c r="J1660" s="9">
        <f t="shared" si="179"/>
        <v>0.0955317748010932</v>
      </c>
      <c r="K1660" s="9">
        <f t="shared" si="180"/>
        <v>0.0897354793223288</v>
      </c>
      <c r="L1660" s="9">
        <f t="shared" si="181"/>
        <v>0.0882764437308848</v>
      </c>
    </row>
    <row r="1661" s="3" customFormat="1" ht="12.95" customHeight="1" spans="1:12">
      <c r="A1661" s="4">
        <v>43789</v>
      </c>
      <c r="B1661" s="8">
        <v>0.0888164854223725</v>
      </c>
      <c r="C1661" s="8" t="s">
        <v>1106</v>
      </c>
      <c r="D1661" s="8">
        <v>0.0555855720649382</v>
      </c>
      <c r="E1661" s="8">
        <v>0.136</v>
      </c>
      <c r="F1661" s="9">
        <f t="shared" ref="F1661:H1661" si="182">(F1660+F1662)/2</f>
        <v>0.0954327905665419</v>
      </c>
      <c r="G1661" s="9">
        <f t="shared" si="182"/>
        <v>0.0900016273402527</v>
      </c>
      <c r="H1661" s="9">
        <f t="shared" si="182"/>
        <v>0.0893138722125947</v>
      </c>
      <c r="I1661" s="3" t="str">
        <f t="shared" si="178"/>
        <v>2019-11-01</v>
      </c>
      <c r="J1661" s="9">
        <f t="shared" si="179"/>
        <v>0.0955317748010932</v>
      </c>
      <c r="K1661" s="9">
        <f t="shared" si="180"/>
        <v>0.0897354793223288</v>
      </c>
      <c r="L1661" s="9">
        <f t="shared" si="181"/>
        <v>0.0882764437308848</v>
      </c>
    </row>
    <row r="1662" s="3" customFormat="1" ht="12.95" customHeight="1" spans="1:12">
      <c r="A1662" s="4">
        <v>43788</v>
      </c>
      <c r="B1662" s="8">
        <v>0.0889762145197443</v>
      </c>
      <c r="C1662" s="8">
        <v>-0.00892715078339631</v>
      </c>
      <c r="D1662" s="8">
        <v>0.0551975416239637</v>
      </c>
      <c r="E1662" s="8">
        <v>0.136</v>
      </c>
      <c r="F1662" s="9">
        <f t="shared" si="175"/>
        <v>0.0952295905121249</v>
      </c>
      <c r="G1662" s="9">
        <f t="shared" si="176"/>
        <v>0.0902347691506077</v>
      </c>
      <c r="H1662" s="9">
        <f t="shared" si="177"/>
        <v>0.089605491835176</v>
      </c>
      <c r="I1662" s="3" t="str">
        <f t="shared" si="178"/>
        <v>2019-11-01</v>
      </c>
      <c r="J1662" s="9">
        <f t="shared" si="179"/>
        <v>0.0955317748010932</v>
      </c>
      <c r="K1662" s="9">
        <f t="shared" si="180"/>
        <v>0.0897354793223288</v>
      </c>
      <c r="L1662" s="9">
        <f t="shared" si="181"/>
        <v>0.0882764437308848</v>
      </c>
    </row>
    <row r="1663" s="3" customFormat="1" ht="12.95" customHeight="1" spans="1:12">
      <c r="A1663" s="4">
        <v>43787</v>
      </c>
      <c r="B1663" s="8">
        <v>0.0890077924299502</v>
      </c>
      <c r="C1663" s="8">
        <v>-0.008856337484292</v>
      </c>
      <c r="D1663" s="8">
        <v>0.0549732831646807</v>
      </c>
      <c r="E1663" s="8">
        <v>0.136</v>
      </c>
      <c r="F1663" s="9">
        <f t="shared" si="175"/>
        <v>0.0952404569346808</v>
      </c>
      <c r="G1663" s="9">
        <f t="shared" si="176"/>
        <v>0.0902621733524568</v>
      </c>
      <c r="H1663" s="9">
        <f t="shared" si="177"/>
        <v>0.0896349828912035</v>
      </c>
      <c r="I1663" s="3" t="str">
        <f t="shared" si="178"/>
        <v>2019-11-01</v>
      </c>
      <c r="J1663" s="9">
        <f t="shared" si="179"/>
        <v>0.0955317748010932</v>
      </c>
      <c r="K1663" s="9">
        <f t="shared" si="180"/>
        <v>0.0897354793223288</v>
      </c>
      <c r="L1663" s="9">
        <f t="shared" si="181"/>
        <v>0.0882764437308848</v>
      </c>
    </row>
    <row r="1664" s="3" customFormat="1" ht="12.95" customHeight="1" spans="1:12">
      <c r="A1664" s="4">
        <v>43784</v>
      </c>
      <c r="B1664" s="8">
        <v>0.0884476570070638</v>
      </c>
      <c r="C1664" s="8">
        <v>-0.00791688440526024</v>
      </c>
      <c r="D1664" s="8">
        <v>0.0561995234841831</v>
      </c>
      <c r="E1664" s="8">
        <v>0.156</v>
      </c>
      <c r="F1664" s="9">
        <f t="shared" si="175"/>
        <v>0.0958749355134701</v>
      </c>
      <c r="G1664" s="9">
        <f t="shared" si="176"/>
        <v>0.0899540753463255</v>
      </c>
      <c r="H1664" s="9">
        <f t="shared" si="177"/>
        <v>0.089200866176695</v>
      </c>
      <c r="I1664" s="3" t="str">
        <f t="shared" si="178"/>
        <v>2019-11-01</v>
      </c>
      <c r="J1664" s="9">
        <f t="shared" si="179"/>
        <v>0.0955317748010932</v>
      </c>
      <c r="K1664" s="9">
        <f t="shared" si="180"/>
        <v>0.0897354793223288</v>
      </c>
      <c r="L1664" s="9">
        <f t="shared" si="181"/>
        <v>0.0882764437308848</v>
      </c>
    </row>
    <row r="1665" s="3" customFormat="1" ht="12.95" customHeight="1" spans="1:12">
      <c r="A1665" s="4">
        <v>43783</v>
      </c>
      <c r="B1665" s="8">
        <v>0.0881915669103968</v>
      </c>
      <c r="C1665" s="8">
        <v>-0.00763226065879965</v>
      </c>
      <c r="D1665" s="8">
        <v>0.0553093641318448</v>
      </c>
      <c r="E1665" s="8">
        <v>0.156</v>
      </c>
      <c r="F1665" s="9">
        <f t="shared" si="175"/>
        <v>0.0955260011758314</v>
      </c>
      <c r="G1665" s="9">
        <f t="shared" si="176"/>
        <v>0.0896790925387551</v>
      </c>
      <c r="H1665" s="9">
        <f t="shared" si="177"/>
        <v>0.0889353297245763</v>
      </c>
      <c r="I1665" s="3" t="str">
        <f t="shared" si="178"/>
        <v>2019-11-01</v>
      </c>
      <c r="J1665" s="9">
        <f t="shared" si="179"/>
        <v>0.0955317748010932</v>
      </c>
      <c r="K1665" s="9">
        <f t="shared" si="180"/>
        <v>0.0897354793223288</v>
      </c>
      <c r="L1665" s="9">
        <f t="shared" si="181"/>
        <v>0.0882764437308848</v>
      </c>
    </row>
    <row r="1666" s="3" customFormat="1" ht="12.95" customHeight="1" spans="1:12">
      <c r="A1666" s="4">
        <v>43782</v>
      </c>
      <c r="B1666" s="8">
        <v>0.0881930969275602</v>
      </c>
      <c r="C1666" s="8">
        <v>-0.00763049175881396</v>
      </c>
      <c r="D1666" s="8">
        <v>0.0552952536676783</v>
      </c>
      <c r="E1666" s="8">
        <v>0.156</v>
      </c>
      <c r="F1666" s="9">
        <f t="shared" si="175"/>
        <v>0.0955256322814182</v>
      </c>
      <c r="G1666" s="9">
        <f t="shared" si="176"/>
        <v>0.0896802374991161</v>
      </c>
      <c r="H1666" s="9">
        <f t="shared" si="177"/>
        <v>0.0889366672133385</v>
      </c>
      <c r="I1666" s="3" t="str">
        <f t="shared" si="178"/>
        <v>2019-11-01</v>
      </c>
      <c r="J1666" s="9">
        <f t="shared" si="179"/>
        <v>0.0955317748010932</v>
      </c>
      <c r="K1666" s="9">
        <f t="shared" si="180"/>
        <v>0.0897354793223288</v>
      </c>
      <c r="L1666" s="9">
        <f t="shared" si="181"/>
        <v>0.0882764437308848</v>
      </c>
    </row>
    <row r="1667" s="3" customFormat="1" ht="12.95" customHeight="1" spans="1:12">
      <c r="A1667" s="4">
        <v>43781</v>
      </c>
      <c r="B1667" s="8">
        <v>0.0868865062357984</v>
      </c>
      <c r="C1667" s="8">
        <v>-0.00585396645269442</v>
      </c>
      <c r="D1667" s="8">
        <v>0.0576124172196319</v>
      </c>
      <c r="E1667" s="8">
        <v>0.176</v>
      </c>
      <c r="F1667" s="9">
        <f t="shared" si="175"/>
        <v>0.0957686481813864</v>
      </c>
      <c r="G1667" s="9">
        <f t="shared" si="176"/>
        <v>0.0887084037027673</v>
      </c>
      <c r="H1667" s="9">
        <f t="shared" si="177"/>
        <v>0.0877974549692965</v>
      </c>
      <c r="I1667" s="3" t="str">
        <f t="shared" si="178"/>
        <v>2019-11-01</v>
      </c>
      <c r="J1667" s="9">
        <f t="shared" si="179"/>
        <v>0.0955317748010932</v>
      </c>
      <c r="K1667" s="9">
        <f t="shared" si="180"/>
        <v>0.0897354793223288</v>
      </c>
      <c r="L1667" s="9">
        <f t="shared" si="181"/>
        <v>0.0882764437308848</v>
      </c>
    </row>
    <row r="1668" s="3" customFormat="1" ht="12.95" customHeight="1" spans="1:12">
      <c r="A1668" s="4">
        <v>43780</v>
      </c>
      <c r="B1668" s="8">
        <v>0.0874363101809746</v>
      </c>
      <c r="C1668" s="8">
        <v>-0.00605911099457685</v>
      </c>
      <c r="D1668" s="8">
        <v>0.0546642775957615</v>
      </c>
      <c r="E1668" s="8">
        <v>0.156</v>
      </c>
      <c r="F1668" s="9">
        <f t="shared" si="175"/>
        <v>0.0949163451034457</v>
      </c>
      <c r="G1668" s="9">
        <f t="shared" si="176"/>
        <v>0.0889527913789309</v>
      </c>
      <c r="H1668" s="9">
        <f t="shared" si="177"/>
        <v>0.0881945507799531</v>
      </c>
      <c r="I1668" s="3" t="str">
        <f t="shared" si="178"/>
        <v>2019-11-01</v>
      </c>
      <c r="J1668" s="9">
        <f t="shared" si="179"/>
        <v>0.0955317748010932</v>
      </c>
      <c r="K1668" s="9">
        <f t="shared" si="180"/>
        <v>0.0897354793223288</v>
      </c>
      <c r="L1668" s="9">
        <f t="shared" si="181"/>
        <v>0.0882764437308848</v>
      </c>
    </row>
    <row r="1669" s="3" customFormat="1" ht="12.95" customHeight="1" spans="1:12">
      <c r="A1669" s="4">
        <v>43777</v>
      </c>
      <c r="B1669" s="8">
        <v>0.0875125722969077</v>
      </c>
      <c r="C1669" s="8">
        <v>-0.00576105677731227</v>
      </c>
      <c r="D1669" s="8">
        <v>0.0536331812787827</v>
      </c>
      <c r="E1669" s="8">
        <v>0.156</v>
      </c>
      <c r="F1669" s="9">
        <f t="shared" ref="F1669:F1673" si="183">B1669+(C1669+D1669)*(E1669/$F$3)*(1-EXP(-$F$3/E1669))-D1669*EXP(-$F$3/E1669)</f>
        <v>0.0948801364635038</v>
      </c>
      <c r="G1669" s="9">
        <f t="shared" ref="G1669:G1673" si="184">B1669+(C1669+D1669)*(E1669/$G$3)*(1-EXP(-$G$3/E1669))-D1669*EXP(-$G$3/E1669)</f>
        <v>0.0890061825813529</v>
      </c>
      <c r="H1669" s="9">
        <f t="shared" ref="H1669:H1673" si="185">B1669+(C1669+D1669)*(E1669/$H$3)*(1-EXP(-$H$3/E1669))-D1669*EXP(-$H$3/E1669)</f>
        <v>0.0882593774391306</v>
      </c>
      <c r="I1669" s="3" t="str">
        <f t="shared" ref="I1669:I1673" si="186">TEXT(A1669,"yyyy-mm-01")</f>
        <v>2019-11-01</v>
      </c>
      <c r="J1669" s="9">
        <f t="shared" ref="J1669:J1673" si="187">AVERAGEIF($I:$I,I1669,$F:$F)</f>
        <v>0.0955317748010932</v>
      </c>
      <c r="K1669" s="9">
        <f t="shared" ref="K1669:K1673" si="188">AVERAGEIF($I:$I,I1669,$G:$G)</f>
        <v>0.0897354793223288</v>
      </c>
      <c r="L1669" s="9">
        <f t="shared" ref="L1669:L1673" si="189">AVERAGEIF($I:$I,I1669,$H:$H)</f>
        <v>0.0882764437308848</v>
      </c>
    </row>
    <row r="1670" s="3" customFormat="1" ht="12.95" customHeight="1" spans="1:12">
      <c r="A1670" s="4">
        <v>43776</v>
      </c>
      <c r="B1670" s="8">
        <v>0.0869205984430633</v>
      </c>
      <c r="C1670" s="8">
        <v>-0.00516274708511272</v>
      </c>
      <c r="D1670" s="8">
        <v>0.0540398536357008</v>
      </c>
      <c r="E1670" s="8">
        <v>0.176</v>
      </c>
      <c r="F1670" s="9">
        <f t="shared" si="183"/>
        <v>0.0953095247358433</v>
      </c>
      <c r="G1670" s="9">
        <f t="shared" si="184"/>
        <v>0.0886410725936184</v>
      </c>
      <c r="H1670" s="9">
        <f t="shared" si="185"/>
        <v>0.0877808355183536</v>
      </c>
      <c r="I1670" s="3" t="str">
        <f t="shared" si="186"/>
        <v>2019-11-01</v>
      </c>
      <c r="J1670" s="9">
        <f t="shared" si="187"/>
        <v>0.0955317748010932</v>
      </c>
      <c r="K1670" s="9">
        <f t="shared" si="188"/>
        <v>0.0897354793223288</v>
      </c>
      <c r="L1670" s="9">
        <f t="shared" si="189"/>
        <v>0.0882764437308848</v>
      </c>
    </row>
    <row r="1671" s="3" customFormat="1" ht="12.95" customHeight="1" spans="1:12">
      <c r="A1671" s="4">
        <v>43775</v>
      </c>
      <c r="B1671" s="8">
        <v>0.0873350398848489</v>
      </c>
      <c r="C1671" s="8">
        <v>-0.00652493442863302</v>
      </c>
      <c r="D1671" s="8">
        <v>0.0553573645154725</v>
      </c>
      <c r="E1671" s="8">
        <v>0.156</v>
      </c>
      <c r="F1671" s="9">
        <f t="shared" si="183"/>
        <v>0.0948493297521524</v>
      </c>
      <c r="G1671" s="9">
        <f t="shared" si="184"/>
        <v>0.0888586117035576</v>
      </c>
      <c r="H1671" s="9">
        <f t="shared" si="185"/>
        <v>0.0880968257942036</v>
      </c>
      <c r="I1671" s="3" t="str">
        <f t="shared" si="186"/>
        <v>2019-11-01</v>
      </c>
      <c r="J1671" s="9">
        <f t="shared" si="187"/>
        <v>0.0955317748010932</v>
      </c>
      <c r="K1671" s="9">
        <f t="shared" si="188"/>
        <v>0.0897354793223288</v>
      </c>
      <c r="L1671" s="9">
        <f t="shared" si="189"/>
        <v>0.0882764437308848</v>
      </c>
    </row>
    <row r="1672" s="3" customFormat="1" ht="12.95" customHeight="1" spans="1:12">
      <c r="A1672" s="4">
        <v>43774</v>
      </c>
      <c r="B1672" s="8">
        <v>0.0872609375211797</v>
      </c>
      <c r="C1672" s="8">
        <v>-0.00738839817160522</v>
      </c>
      <c r="D1672" s="8">
        <v>0.0574002697802541</v>
      </c>
      <c r="E1672" s="8">
        <v>0.156</v>
      </c>
      <c r="F1672" s="9">
        <f t="shared" si="183"/>
        <v>0.0949555579030658</v>
      </c>
      <c r="G1672" s="9">
        <f t="shared" si="184"/>
        <v>0.0888213079153688</v>
      </c>
      <c r="H1672" s="9">
        <f t="shared" si="185"/>
        <v>0.0880411227182746</v>
      </c>
      <c r="I1672" s="3" t="str">
        <f t="shared" si="186"/>
        <v>2019-11-01</v>
      </c>
      <c r="J1672" s="9">
        <f t="shared" si="187"/>
        <v>0.0955317748010932</v>
      </c>
      <c r="K1672" s="9">
        <f t="shared" si="188"/>
        <v>0.0897354793223288</v>
      </c>
      <c r="L1672" s="9">
        <f t="shared" si="189"/>
        <v>0.0882764437308848</v>
      </c>
    </row>
    <row r="1673" s="3" customFormat="1" ht="12.95" customHeight="1" spans="1:12">
      <c r="A1673" s="4">
        <v>43773</v>
      </c>
      <c r="B1673" s="8">
        <v>0.0871235984635991</v>
      </c>
      <c r="C1673" s="8">
        <v>-0.00709042929709246</v>
      </c>
      <c r="D1673" s="8">
        <v>0.058692869711346</v>
      </c>
      <c r="E1673" s="8">
        <v>0.156</v>
      </c>
      <c r="F1673" s="9">
        <f t="shared" si="183"/>
        <v>0.0950638136925527</v>
      </c>
      <c r="G1673" s="9">
        <f t="shared" si="184"/>
        <v>0.0887335946045231</v>
      </c>
      <c r="H1673" s="9">
        <f t="shared" si="185"/>
        <v>0.0879285965340615</v>
      </c>
      <c r="I1673" s="3" t="str">
        <f t="shared" si="186"/>
        <v>2019-11-01</v>
      </c>
      <c r="J1673" s="9">
        <f t="shared" si="187"/>
        <v>0.0955317748010932</v>
      </c>
      <c r="K1673" s="9">
        <f t="shared" si="188"/>
        <v>0.0897354793223288</v>
      </c>
      <c r="L1673" s="9">
        <f t="shared" si="189"/>
        <v>0.0882764437308848</v>
      </c>
    </row>
    <row r="1674" s="3" customFormat="1" ht="12.95" customHeight="1" spans="1:12">
      <c r="B1674" s="12"/>
      <c r="C1674" s="12"/>
      <c r="D1674" s="12"/>
      <c r="E1674" s="12"/>
    </row>
    <row r="1675" s="3" customFormat="1" ht="12.95" customHeight="1" spans="1:12">
      <c r="B1675" s="12"/>
      <c r="C1675" s="12"/>
      <c r="D1675" s="12"/>
      <c r="E1675" s="12"/>
    </row>
    <row r="1676" s="3" customFormat="1" ht="12.75" customHeight="1" spans="1:12">
      <c r="B1676" s="12"/>
      <c r="C1676" s="12"/>
      <c r="D1676" s="12"/>
      <c r="E1676" s="12"/>
    </row>
    <row r="1677" s="3" customFormat="1" ht="12.75" customHeight="1" spans="1:12">
      <c r="B1677" s="12"/>
      <c r="C1677" s="12"/>
      <c r="D1677" s="12"/>
      <c r="E1677" s="12"/>
    </row>
    <row r="1678" s="3" customFormat="1" ht="12.75" customHeight="1" spans="1:12">
      <c r="B1678" s="12"/>
      <c r="C1678" s="12"/>
      <c r="D1678" s="12"/>
      <c r="E1678" s="12"/>
    </row>
    <row r="1679" s="3" customFormat="1" ht="12.75" customHeight="1" spans="1:12">
      <c r="B1679" s="12"/>
      <c r="C1679" s="12"/>
      <c r="D1679" s="12"/>
      <c r="E1679" s="12"/>
    </row>
    <row r="1680" s="3" customFormat="1" ht="12.75" customHeight="1" spans="1:12">
      <c r="B1680" s="12"/>
      <c r="C1680" s="12"/>
      <c r="D1680" s="12"/>
      <c r="E1680" s="12"/>
    </row>
    <row r="1681" s="3" customFormat="1" ht="12.75" customHeight="1" spans="2:5">
      <c r="B1681" s="12"/>
      <c r="C1681" s="12"/>
      <c r="D1681" s="12"/>
      <c r="E1681" s="12"/>
    </row>
    <row r="1682" s="3" customFormat="1" ht="12.75" customHeight="1" spans="2:5">
      <c r="B1682" s="12"/>
      <c r="C1682" s="12"/>
      <c r="D1682" s="12"/>
      <c r="E1682" s="12"/>
    </row>
    <row r="1683" s="3" customFormat="1" ht="12.75" customHeight="1" spans="2:5">
      <c r="B1683" s="12"/>
      <c r="C1683" s="12"/>
      <c r="D1683" s="12"/>
      <c r="E1683" s="12"/>
    </row>
    <row r="1684" s="3" customFormat="1" ht="12.75" customHeight="1" spans="2:5">
      <c r="B1684" s="12"/>
      <c r="C1684" s="12"/>
      <c r="D1684" s="12"/>
      <c r="E1684" s="12"/>
    </row>
    <row r="1685" s="3" customFormat="1" ht="12.75" customHeight="1" spans="2:5">
      <c r="B1685" s="12"/>
      <c r="C1685" s="12"/>
      <c r="D1685" s="12"/>
      <c r="E1685" s="12"/>
    </row>
    <row r="1686" s="3" customFormat="1" ht="12.75" customHeight="1" spans="2:5">
      <c r="B1686" s="12"/>
      <c r="C1686" s="12"/>
      <c r="D1686" s="12"/>
      <c r="E1686" s="12"/>
    </row>
    <row r="1687" s="3" customFormat="1" ht="12.75" customHeight="1" spans="2:5">
      <c r="B1687" s="12"/>
      <c r="C1687" s="12"/>
      <c r="D1687" s="12"/>
      <c r="E1687" s="12"/>
    </row>
    <row r="1688" s="3" customFormat="1" ht="12.75" customHeight="1" spans="2:5">
      <c r="B1688" s="12"/>
      <c r="C1688" s="12"/>
      <c r="D1688" s="12"/>
      <c r="E1688" s="12"/>
    </row>
    <row r="1689" s="3" customFormat="1" ht="12.75" customHeight="1" spans="2:5">
      <c r="B1689" s="12"/>
      <c r="C1689" s="12"/>
      <c r="D1689" s="12"/>
      <c r="E1689" s="12"/>
    </row>
    <row r="1690" s="3" customFormat="1" ht="12.75" customHeight="1" spans="2:5">
      <c r="B1690" s="12"/>
      <c r="C1690" s="12"/>
      <c r="D1690" s="12"/>
      <c r="E1690" s="12"/>
    </row>
    <row r="1691" s="3" customFormat="1" ht="12.75" customHeight="1" spans="2:5">
      <c r="B1691" s="12"/>
      <c r="C1691" s="12"/>
      <c r="D1691" s="12"/>
      <c r="E1691" s="12"/>
    </row>
    <row r="1692" s="3" customFormat="1" ht="12.75" customHeight="1" spans="2:5">
      <c r="B1692" s="12"/>
      <c r="C1692" s="12"/>
      <c r="D1692" s="12"/>
      <c r="E1692" s="12"/>
    </row>
    <row r="1693" s="3" customFormat="1" ht="12.75" customHeight="1" spans="2:5">
      <c r="B1693" s="12"/>
      <c r="C1693" s="12"/>
      <c r="D1693" s="12"/>
      <c r="E1693" s="12"/>
    </row>
    <row r="1694" s="3" customFormat="1" ht="12.75" customHeight="1" spans="2:5">
      <c r="B1694" s="12"/>
      <c r="C1694" s="12"/>
      <c r="D1694" s="12"/>
      <c r="E1694" s="12"/>
    </row>
    <row r="1695" s="3" customFormat="1" ht="12.75" customHeight="1" spans="2:5">
      <c r="B1695" s="12"/>
      <c r="C1695" s="12"/>
      <c r="D1695" s="12"/>
      <c r="E1695" s="12"/>
    </row>
    <row r="1696" s="3" customFormat="1" ht="12.75" customHeight="1" spans="2:5">
      <c r="B1696" s="12"/>
      <c r="C1696" s="12"/>
      <c r="D1696" s="12"/>
      <c r="E1696" s="12"/>
    </row>
    <row r="1697" s="3" customFormat="1" ht="12.75" customHeight="1" spans="2:5">
      <c r="B1697" s="12"/>
      <c r="C1697" s="12"/>
      <c r="D1697" s="12"/>
      <c r="E1697" s="12"/>
    </row>
    <row r="1698" s="3" customFormat="1" ht="12.75" customHeight="1" spans="2:5">
      <c r="B1698" s="12"/>
      <c r="C1698" s="12"/>
      <c r="D1698" s="12"/>
      <c r="E1698" s="12"/>
    </row>
    <row r="1699" s="3" customFormat="1" ht="12.75" customHeight="1" spans="2:5">
      <c r="B1699" s="12"/>
      <c r="C1699" s="12"/>
      <c r="D1699" s="12"/>
      <c r="E1699" s="12"/>
    </row>
    <row r="1700" s="3" customFormat="1" ht="12.75" customHeight="1" spans="2:5">
      <c r="B1700" s="12"/>
      <c r="C1700" s="12"/>
      <c r="D1700" s="12"/>
      <c r="E1700" s="12"/>
    </row>
    <row r="1701" s="3" customFormat="1" ht="12.75" customHeight="1" spans="2:5">
      <c r="B1701" s="12"/>
      <c r="C1701" s="12"/>
      <c r="D1701" s="12"/>
      <c r="E1701" s="12"/>
    </row>
    <row r="1702" s="3" customFormat="1" ht="12.75" customHeight="1" spans="2:5">
      <c r="B1702" s="12"/>
      <c r="C1702" s="12"/>
      <c r="D1702" s="12"/>
      <c r="E1702" s="12"/>
    </row>
    <row r="1703" s="3" customFormat="1" ht="12.75" customHeight="1" spans="2:5">
      <c r="B1703" s="12"/>
      <c r="C1703" s="12"/>
      <c r="D1703" s="12"/>
      <c r="E1703" s="12"/>
    </row>
    <row r="1704" s="3" customFormat="1" ht="12.75" customHeight="1" spans="2:5">
      <c r="B1704" s="12"/>
      <c r="C1704" s="12"/>
      <c r="D1704" s="12"/>
      <c r="E1704" s="12"/>
    </row>
    <row r="1705" s="3" customFormat="1" ht="12.75" customHeight="1" spans="2:5">
      <c r="B1705" s="12"/>
      <c r="C1705" s="12"/>
      <c r="D1705" s="12"/>
      <c r="E1705" s="12"/>
    </row>
    <row r="1706" s="3" customFormat="1" ht="12.75" customHeight="1" spans="2:5">
      <c r="B1706" s="12"/>
      <c r="C1706" s="12"/>
      <c r="D1706" s="12"/>
      <c r="E1706" s="12"/>
    </row>
    <row r="1707" s="3" customFormat="1" ht="12.75" customHeight="1" spans="2:5">
      <c r="B1707" s="12"/>
      <c r="C1707" s="12"/>
      <c r="D1707" s="12"/>
      <c r="E1707" s="12"/>
    </row>
    <row r="1708" s="3" customFormat="1" ht="12.75" customHeight="1" spans="2:5">
      <c r="B1708" s="12"/>
      <c r="C1708" s="12"/>
      <c r="D1708" s="12"/>
      <c r="E1708" s="12"/>
    </row>
    <row r="1709" s="3" customFormat="1" ht="12.75" customHeight="1" spans="2:5">
      <c r="B1709" s="12"/>
      <c r="C1709" s="12"/>
      <c r="D1709" s="12"/>
      <c r="E1709" s="12"/>
    </row>
    <row r="1710" s="3" customFormat="1" ht="12.75" customHeight="1" spans="2:5">
      <c r="B1710" s="12"/>
      <c r="C1710" s="12"/>
      <c r="D1710" s="12"/>
      <c r="E1710" s="12"/>
    </row>
    <row r="1711" s="3" customFormat="1" ht="12.75" customHeight="1" spans="2:5">
      <c r="B1711" s="12"/>
      <c r="C1711" s="12"/>
      <c r="D1711" s="12"/>
      <c r="E1711" s="12"/>
    </row>
    <row r="1712" s="3" customFormat="1" ht="12.75" customHeight="1" spans="2:5">
      <c r="B1712" s="12"/>
      <c r="C1712" s="12"/>
      <c r="D1712" s="12"/>
      <c r="E1712" s="12"/>
    </row>
    <row r="1713" s="3" customFormat="1" ht="12.75" customHeight="1" spans="2:5">
      <c r="B1713" s="12"/>
      <c r="C1713" s="12"/>
      <c r="D1713" s="12"/>
      <c r="E1713" s="12"/>
    </row>
    <row r="1714" s="3" customFormat="1" ht="12.75" customHeight="1" spans="2:5">
      <c r="B1714" s="12"/>
      <c r="C1714" s="12"/>
      <c r="D1714" s="12"/>
      <c r="E1714" s="12"/>
    </row>
    <row r="1715" s="3" customFormat="1" ht="12.75" customHeight="1" spans="2:5">
      <c r="B1715" s="12"/>
      <c r="C1715" s="12"/>
      <c r="D1715" s="12"/>
      <c r="E1715" s="12"/>
    </row>
    <row r="1716" s="3" customFormat="1" ht="12.75" customHeight="1" spans="2:5">
      <c r="B1716" s="12"/>
      <c r="C1716" s="12"/>
      <c r="D1716" s="12"/>
      <c r="E1716" s="12"/>
    </row>
    <row r="1717" s="3" customFormat="1" ht="12.75" customHeight="1" spans="2:5">
      <c r="B1717" s="12"/>
      <c r="C1717" s="12"/>
      <c r="D1717" s="12"/>
      <c r="E1717" s="12"/>
    </row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</sheetData>
  <mergeCells count="2">
    <mergeCell ref="A1:E1"/>
    <mergeCell ref="A3:E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abSelected="1" workbookViewId="0">
      <selection activeCell="F4" sqref="F4"/>
    </sheetView>
  </sheetViews>
  <sheetFormatPr defaultColWidth="9" defaultRowHeight="16.8" outlineLevelCol="3"/>
  <cols>
    <col min="1" max="1" width="11" customWidth="1"/>
    <col min="2" max="3" width="16.4375" customWidth="1"/>
    <col min="4" max="4" width="17.375" customWidth="1"/>
  </cols>
  <sheetData>
    <row r="1" spans="1:4">
      <c r="A1" s="1" t="s">
        <v>1107</v>
      </c>
      <c r="B1" s="1" t="s">
        <v>1108</v>
      </c>
      <c r="C1" s="1" t="s">
        <v>1109</v>
      </c>
      <c r="D1" s="1" t="s">
        <v>1110</v>
      </c>
    </row>
    <row r="2" spans="1:4">
      <c r="A2" t="str" cm="1">
        <f t="array" ref="A2:D83">_xlfn.UNIQUE('NS Combined'!I5:L1673)</f>
        <v>2026-08-01</v>
      </c>
      <c r="B2" s="2">
        <v>0.146852254159215</v>
      </c>
      <c r="C2" s="2">
        <v>0.135694937669423</v>
      </c>
      <c r="D2" s="2">
        <v>0.128017664366604</v>
      </c>
    </row>
    <row r="3" spans="1:4">
      <c r="A3" t="str">
        <v>2026-07-01</v>
      </c>
      <c r="B3" s="2">
        <v>0.1489068364479</v>
      </c>
      <c r="C3" s="2">
        <v>0.135775220873885</v>
      </c>
      <c r="D3" s="2">
        <v>0.130210170331561</v>
      </c>
    </row>
    <row r="4" spans="1:4">
      <c r="A4" t="str">
        <v>2026-06-01</v>
      </c>
      <c r="B4" s="2">
        <v>0.164596735904588</v>
      </c>
      <c r="C4" s="2">
        <v>0.144632365310194</v>
      </c>
      <c r="D4" s="2">
        <v>0.135527518553001</v>
      </c>
    </row>
    <row r="5" spans="1:4">
      <c r="A5" t="str">
        <v>2026-05-01</v>
      </c>
      <c r="B5" s="2">
        <v>0.166014520206024</v>
      </c>
      <c r="C5" s="2">
        <v>0.140982951198773</v>
      </c>
      <c r="D5" s="2">
        <v>0.136321266876594</v>
      </c>
    </row>
    <row r="6" spans="1:4">
      <c r="A6" t="str">
        <v>2026-04-01</v>
      </c>
      <c r="B6" s="2">
        <v>0.159616260995543</v>
      </c>
      <c r="C6" s="2">
        <v>0.141994846587846</v>
      </c>
      <c r="D6" s="2">
        <v>0.137356899713909</v>
      </c>
    </row>
    <row r="7" spans="1:4">
      <c r="A7" t="str">
        <v>2026-03-01</v>
      </c>
      <c r="B7" s="2">
        <v>0.157308268009133</v>
      </c>
      <c r="C7" s="2">
        <v>0.142007880398106</v>
      </c>
      <c r="D7" s="2">
        <v>0.137566160883752</v>
      </c>
    </row>
    <row r="8" spans="1:4">
      <c r="A8" t="str">
        <v>2026-02-01</v>
      </c>
      <c r="B8" s="2">
        <v>0.158111177155417</v>
      </c>
      <c r="C8" s="2">
        <v>0.144298654261698</v>
      </c>
      <c r="D8" s="2">
        <v>0.139598175498477</v>
      </c>
    </row>
    <row r="9" spans="1:4">
      <c r="A9" t="str">
        <v>2026-01-01</v>
      </c>
      <c r="B9" s="2">
        <v>0.15773741016872</v>
      </c>
      <c r="C9" s="2">
        <v>0.145110745718886</v>
      </c>
      <c r="D9" s="2">
        <v>0.14130090919093</v>
      </c>
    </row>
    <row r="10" spans="1:4">
      <c r="A10" t="str">
        <v>2025-12-01</v>
      </c>
      <c r="B10" s="2">
        <v>0.158079556787061</v>
      </c>
      <c r="C10" s="2">
        <v>0.148573900208988</v>
      </c>
      <c r="D10" s="2">
        <v>0.144473235506037</v>
      </c>
    </row>
    <row r="11" spans="1:4">
      <c r="A11" t="str">
        <v>2025-11-01</v>
      </c>
      <c r="B11" s="2">
        <v>0.160060932919815</v>
      </c>
      <c r="C11" s="2">
        <v>0.156609522513301</v>
      </c>
      <c r="D11" s="2">
        <v>0.15540248882757</v>
      </c>
    </row>
    <row r="12" spans="1:4">
      <c r="A12" t="str">
        <v>2025-10-01</v>
      </c>
      <c r="B12" s="2">
        <v>0.158727672100424</v>
      </c>
      <c r="C12" s="2">
        <v>0.156644066384116</v>
      </c>
      <c r="D12" s="2">
        <v>0.155998422102907</v>
      </c>
    </row>
    <row r="13" spans="1:4">
      <c r="A13" t="str">
        <v>2025-09-01</v>
      </c>
      <c r="B13" s="2">
        <v>0.159270502147931</v>
      </c>
      <c r="C13" s="2">
        <v>0.156150817126568</v>
      </c>
      <c r="D13" s="2">
        <v>0.154890682696136</v>
      </c>
    </row>
    <row r="14" spans="1:4">
      <c r="A14" t="str">
        <v>2025-08-01</v>
      </c>
      <c r="B14" s="2">
        <v>0.15668234319644</v>
      </c>
      <c r="C14" s="2">
        <v>0.154696113610114</v>
      </c>
      <c r="D14" s="2">
        <v>0.153057276731508</v>
      </c>
    </row>
    <row r="15" spans="1:4">
      <c r="A15" t="str">
        <v>2025-07-01</v>
      </c>
      <c r="B15" s="2">
        <v>0.160213039439589</v>
      </c>
      <c r="C15" s="2">
        <v>0.149857745389966</v>
      </c>
      <c r="D15" s="2">
        <v>0.141883893331176</v>
      </c>
    </row>
    <row r="16" spans="1:4">
      <c r="A16" t="str">
        <v>2025-06-01</v>
      </c>
      <c r="B16" s="2">
        <v>0.161805569918883</v>
      </c>
      <c r="C16" s="2">
        <v>0.140376166494265</v>
      </c>
      <c r="D16" s="2">
        <v>0.127056595947308</v>
      </c>
    </row>
    <row r="17" spans="1:4">
      <c r="A17" t="str">
        <v>2025-05-01</v>
      </c>
      <c r="B17" s="2">
        <v>0.153537176184259</v>
      </c>
      <c r="C17" s="2">
        <v>0.137740251846784</v>
      </c>
      <c r="D17" s="2">
        <v>0.129273313981321</v>
      </c>
    </row>
    <row r="18" spans="1:4">
      <c r="A18" t="str">
        <v>2025-04-01</v>
      </c>
      <c r="B18" s="2">
        <v>0.142852759539024</v>
      </c>
      <c r="C18" s="2">
        <v>0.135030215596446</v>
      </c>
      <c r="D18" s="2">
        <v>0.13400191992036</v>
      </c>
    </row>
    <row r="19" spans="1:4">
      <c r="A19" t="str">
        <v>2025-03-01</v>
      </c>
      <c r="B19" s="2">
        <v>0.134806812711819</v>
      </c>
      <c r="C19" s="2">
        <v>0.128137478907829</v>
      </c>
      <c r="D19" s="2">
        <v>0.125890512199773</v>
      </c>
    </row>
    <row r="20" spans="1:4">
      <c r="A20" t="str">
        <v>2025-02-01</v>
      </c>
      <c r="B20" s="2">
        <v>0.121255331548431</v>
      </c>
      <c r="C20" s="2">
        <v>0.119342095886203</v>
      </c>
      <c r="D20" s="2">
        <v>0.11907965269352</v>
      </c>
    </row>
    <row r="21" spans="1:4">
      <c r="A21" t="str">
        <v>2025-01-01</v>
      </c>
      <c r="B21" s="2">
        <v>0.115114796900461</v>
      </c>
      <c r="C21" s="2">
        <v>0.116300601545854</v>
      </c>
      <c r="D21" s="2">
        <v>0.116515683090469</v>
      </c>
    </row>
    <row r="22" spans="1:4">
      <c r="A22" t="str">
        <v>2024-12-01</v>
      </c>
      <c r="B22" s="2">
        <v>0.113539983457724</v>
      </c>
      <c r="C22" s="2">
        <v>0.111579591100683</v>
      </c>
      <c r="D22" s="2">
        <v>0.111514901154618</v>
      </c>
    </row>
    <row r="23" spans="1:4">
      <c r="A23" t="str">
        <v>2024-11-01</v>
      </c>
      <c r="B23" s="2">
        <v>0.117206545952491</v>
      </c>
      <c r="C23" s="2">
        <v>0.114016633831034</v>
      </c>
      <c r="D23" s="2">
        <v>0.113402202141568</v>
      </c>
    </row>
    <row r="24" spans="1:4">
      <c r="A24" t="str">
        <v>2024-10-01</v>
      </c>
      <c r="B24" s="2">
        <v>0.120952680001657</v>
      </c>
      <c r="C24" s="2">
        <v>0.116283529622904</v>
      </c>
      <c r="D24" s="2">
        <v>0.11505750965945</v>
      </c>
    </row>
    <row r="25" spans="1:4">
      <c r="A25" t="str">
        <v>2024-09-01</v>
      </c>
      <c r="B25" s="2">
        <v>0.126261118817147</v>
      </c>
      <c r="C25" s="2">
        <v>0.118394867672996</v>
      </c>
      <c r="D25" s="2">
        <v>0.115095505910667</v>
      </c>
    </row>
    <row r="26" spans="1:4">
      <c r="A26" t="str">
        <v>2024-08-01</v>
      </c>
      <c r="B26" s="2">
        <v>0.124690149870692</v>
      </c>
      <c r="C26" s="2">
        <v>0.118337990613334</v>
      </c>
      <c r="D26" s="2">
        <v>0.115679844936076</v>
      </c>
    </row>
    <row r="27" spans="1:4">
      <c r="A27" t="str">
        <v>2024-07-01</v>
      </c>
      <c r="B27" s="2">
        <v>0.124741486177562</v>
      </c>
      <c r="C27" s="2">
        <v>0.121565903949726</v>
      </c>
      <c r="D27" s="2">
        <v>0.120151173929994</v>
      </c>
    </row>
    <row r="28" spans="1:4">
      <c r="A28" t="str">
        <v>2024-06-01</v>
      </c>
      <c r="B28" s="2">
        <v>0.125071874754941</v>
      </c>
      <c r="C28" s="2">
        <v>0.120191081669786</v>
      </c>
      <c r="D28" s="2">
        <v>0.118997165605589</v>
      </c>
    </row>
    <row r="29" spans="1:4">
      <c r="A29" t="str">
        <v>2024-05-01</v>
      </c>
      <c r="B29" s="2">
        <v>0.117447224936198</v>
      </c>
      <c r="C29" s="2">
        <v>0.116157316861607</v>
      </c>
      <c r="D29" s="2">
        <v>0.116240549362981</v>
      </c>
    </row>
    <row r="30" spans="1:4">
      <c r="A30" t="str">
        <v>2024-04-01</v>
      </c>
      <c r="B30" s="2">
        <v>0.112457827839495</v>
      </c>
      <c r="C30" s="2">
        <v>0.112703867352744</v>
      </c>
      <c r="D30" s="2">
        <v>0.114463928695941</v>
      </c>
    </row>
    <row r="31" spans="1:4">
      <c r="A31" t="str">
        <v>2024-03-01</v>
      </c>
      <c r="B31" s="2">
        <v>0.114646146324441</v>
      </c>
      <c r="C31" s="2">
        <v>0.111146890278552</v>
      </c>
      <c r="D31" s="2">
        <v>0.115282725456331</v>
      </c>
    </row>
    <row r="32" spans="1:4">
      <c r="A32" t="str">
        <v>2024-02-01</v>
      </c>
      <c r="B32" s="2">
        <v>0.11959336979665</v>
      </c>
      <c r="C32" s="2">
        <v>0.114487698510763</v>
      </c>
      <c r="D32" s="2">
        <v>0.115941832964477</v>
      </c>
    </row>
    <row r="33" spans="1:4">
      <c r="A33" t="str">
        <v>2024-01-01</v>
      </c>
      <c r="B33" s="2">
        <v>0.130089888171251</v>
      </c>
      <c r="C33" s="2">
        <v>0.117731402928765</v>
      </c>
      <c r="D33" s="2">
        <v>0.114132714734238</v>
      </c>
    </row>
    <row r="34" spans="1:4">
      <c r="A34" t="str">
        <v>2023-12-01</v>
      </c>
      <c r="B34" s="2">
        <v>0.138126030582598</v>
      </c>
      <c r="C34" s="2">
        <v>0.121421071229983</v>
      </c>
      <c r="D34" s="2">
        <v>0.111889493639636</v>
      </c>
    </row>
    <row r="35" spans="1:4">
      <c r="A35" t="str">
        <v>2023-11-01</v>
      </c>
      <c r="B35" s="2">
        <v>0.141137120815795</v>
      </c>
      <c r="C35" s="2">
        <v>0.121869921711657</v>
      </c>
      <c r="D35" s="2">
        <v>0.10941698665962</v>
      </c>
    </row>
    <row r="36" spans="1:4">
      <c r="A36" t="str">
        <v>2023-10-01</v>
      </c>
      <c r="B36" s="2">
        <v>0.140994790457637</v>
      </c>
      <c r="C36" s="2">
        <v>0.119922365517102</v>
      </c>
      <c r="D36" s="2">
        <v>0.111338122324743</v>
      </c>
    </row>
    <row r="37" spans="1:4">
      <c r="A37" t="str">
        <v>2023-09-01</v>
      </c>
      <c r="B37" s="2">
        <v>0.142940027236055</v>
      </c>
      <c r="C37" s="2">
        <v>0.117842833776756</v>
      </c>
      <c r="D37" s="2">
        <v>0.108751137888751</v>
      </c>
    </row>
    <row r="38" spans="1:4">
      <c r="A38" t="str">
        <v>2023-08-01</v>
      </c>
      <c r="B38" s="2">
        <v>0.144127250920659</v>
      </c>
      <c r="C38" s="2">
        <v>0.117769602694548</v>
      </c>
      <c r="D38" s="2">
        <v>0.107152415346607</v>
      </c>
    </row>
    <row r="39" spans="1:4">
      <c r="A39" t="str">
        <v>2023-07-01</v>
      </c>
      <c r="B39" s="2">
        <v>0.142873360981224</v>
      </c>
      <c r="C39" s="2">
        <v>0.119810564043489</v>
      </c>
      <c r="D39" s="2">
        <v>0.1111720523388</v>
      </c>
    </row>
    <row r="40" spans="1:4">
      <c r="A40" t="str">
        <v>2023-06-01</v>
      </c>
      <c r="B40" s="2">
        <v>0.141507878730284</v>
      </c>
      <c r="C40" s="2">
        <v>0.121205187395649</v>
      </c>
      <c r="D40" s="2">
        <v>0.112308396297825</v>
      </c>
    </row>
    <row r="41" spans="1:4">
      <c r="A41" t="str">
        <v>2023-05-01</v>
      </c>
      <c r="B41" s="2">
        <v>0.141882852659224</v>
      </c>
      <c r="C41" s="2">
        <v>0.116443198669241</v>
      </c>
      <c r="D41" s="2">
        <v>0.105897569651158</v>
      </c>
    </row>
    <row r="42" spans="1:4">
      <c r="A42" t="str">
        <v>2023-04-01</v>
      </c>
      <c r="B42" s="2">
        <v>0.134274482781368</v>
      </c>
      <c r="C42" s="2">
        <v>0.113006353183198</v>
      </c>
      <c r="D42" s="2">
        <v>0.110048165610839</v>
      </c>
    </row>
    <row r="43" spans="1:4">
      <c r="A43" t="str">
        <v>2023-03-01</v>
      </c>
      <c r="B43" s="2">
        <v>0.140640051201319</v>
      </c>
      <c r="C43" s="2">
        <v>0.114229871522422</v>
      </c>
      <c r="D43" s="2">
        <v>0.104721466919511</v>
      </c>
    </row>
    <row r="44" spans="1:4">
      <c r="A44" t="str">
        <v>2023-02-01</v>
      </c>
      <c r="B44" s="2">
        <v>0.148051717381373</v>
      </c>
      <c r="C44" s="2">
        <v>0.116863526607658</v>
      </c>
      <c r="D44" s="2">
        <v>0.101380241631028</v>
      </c>
    </row>
    <row r="45" spans="1:4">
      <c r="A45" t="str">
        <v>2023-01-01</v>
      </c>
      <c r="B45" s="2">
        <v>0.14890459054622</v>
      </c>
      <c r="C45" s="2">
        <v>0.122032761327877</v>
      </c>
      <c r="D45" s="2">
        <v>0.101156074307784</v>
      </c>
    </row>
    <row r="46" spans="1:4">
      <c r="A46" t="str">
        <v>2022-12-01</v>
      </c>
      <c r="B46" s="2">
        <v>0.139188471276184</v>
      </c>
      <c r="C46" s="2">
        <v>0.114173279568402</v>
      </c>
      <c r="D46" s="2">
        <v>0.100554697891172</v>
      </c>
    </row>
    <row r="47" spans="1:4">
      <c r="A47" t="str">
        <v>2022-11-01</v>
      </c>
      <c r="B47" s="2">
        <v>0.133732416762148</v>
      </c>
      <c r="C47" s="2">
        <v>0.11108422301593</v>
      </c>
      <c r="D47" s="2">
        <v>0.0992534396585662</v>
      </c>
    </row>
    <row r="48" spans="1:4">
      <c r="A48" t="str">
        <v>2022-10-01</v>
      </c>
      <c r="B48" s="2">
        <v>0.13846830391636</v>
      </c>
      <c r="C48" s="2">
        <v>0.109347409258308</v>
      </c>
      <c r="D48" s="2">
        <v>0.0954989786319884</v>
      </c>
    </row>
    <row r="49" spans="1:4">
      <c r="A49" t="str">
        <v>2022-09-01</v>
      </c>
      <c r="B49" s="2">
        <v>0.1364117112014</v>
      </c>
      <c r="C49" s="2">
        <v>0.110327953289474</v>
      </c>
      <c r="D49" s="2">
        <v>0.0959706806100128</v>
      </c>
    </row>
    <row r="50" spans="1:4">
      <c r="A50" t="str">
        <v>2022-08-01</v>
      </c>
      <c r="B50" s="2">
        <v>0.13553413902234</v>
      </c>
      <c r="C50" s="2">
        <v>0.110791099838962</v>
      </c>
      <c r="D50" s="2">
        <v>0.0977235581325421</v>
      </c>
    </row>
    <row r="51" spans="1:4">
      <c r="A51" t="str">
        <v>2022-07-01</v>
      </c>
      <c r="B51" s="2">
        <v>0.134390572903242</v>
      </c>
      <c r="C51" s="2">
        <v>0.114457917986552</v>
      </c>
      <c r="D51" s="2">
        <v>0.100190366081559</v>
      </c>
    </row>
    <row r="52" spans="1:4">
      <c r="A52" t="str">
        <v>2022-06-01</v>
      </c>
      <c r="B52" s="2">
        <v>0.134277012054618</v>
      </c>
      <c r="C52" s="2">
        <v>0.118390027338824</v>
      </c>
      <c r="D52" s="2">
        <v>0.102402944976986</v>
      </c>
    </row>
    <row r="53" spans="1:4">
      <c r="A53" t="str">
        <v>2022-05-01</v>
      </c>
      <c r="B53" s="2">
        <v>0.133968120501348</v>
      </c>
      <c r="C53" s="2">
        <v>0.116017418435346</v>
      </c>
      <c r="D53" s="2">
        <v>0.0996903280892346</v>
      </c>
    </row>
    <row r="54" spans="1:4">
      <c r="A54" t="str">
        <v>2022-04-01</v>
      </c>
      <c r="B54" s="2">
        <v>0.131061703546211</v>
      </c>
      <c r="C54" s="2">
        <v>0.112759486939386</v>
      </c>
      <c r="D54" s="2">
        <v>0.0989272528103585</v>
      </c>
    </row>
    <row r="55" spans="1:4">
      <c r="A55" t="str">
        <v>2022-03-01</v>
      </c>
      <c r="B55" s="2">
        <v>0.11196407190398</v>
      </c>
      <c r="C55" s="2">
        <v>0.10509623480655</v>
      </c>
      <c r="D55" s="2">
        <v>0.10239353623546</v>
      </c>
    </row>
    <row r="56" spans="1:4">
      <c r="A56" t="str">
        <v>2022-02-01</v>
      </c>
      <c r="B56" s="2">
        <v>0.0991217028219053</v>
      </c>
      <c r="C56" s="2">
        <v>0.103126142607971</v>
      </c>
      <c r="D56" s="2">
        <v>0.103601528112942</v>
      </c>
    </row>
    <row r="57" spans="1:4">
      <c r="A57" t="str">
        <v>2022-01-01</v>
      </c>
      <c r="B57" s="2">
        <v>0.0964243537153181</v>
      </c>
      <c r="C57" s="2">
        <v>0.0984028694307579</v>
      </c>
      <c r="D57" s="2">
        <v>0.0986501993443231</v>
      </c>
    </row>
    <row r="58" spans="1:4">
      <c r="A58" t="str">
        <v>2021-12-01</v>
      </c>
      <c r="B58" s="2">
        <v>0.0959459184501979</v>
      </c>
      <c r="C58" s="2">
        <v>0.0979991713095272</v>
      </c>
      <c r="D58" s="2">
        <v>0.098255837003304</v>
      </c>
    </row>
    <row r="59" spans="1:4">
      <c r="A59" t="str">
        <v>2021-11-01</v>
      </c>
      <c r="B59" s="2">
        <v>0.0976531484628018</v>
      </c>
      <c r="C59" s="2">
        <v>0.0972510482570601</v>
      </c>
      <c r="D59" s="2">
        <v>0.096708597065954</v>
      </c>
    </row>
    <row r="60" spans="1:4">
      <c r="A60" t="str">
        <v>2021-10-01</v>
      </c>
      <c r="B60" s="2">
        <v>0.095933202972208</v>
      </c>
      <c r="C60" s="2">
        <v>0.096489492193344</v>
      </c>
      <c r="D60" s="2">
        <v>0.0958508979362254</v>
      </c>
    </row>
    <row r="61" spans="1:4">
      <c r="A61" t="str">
        <v>2021-09-01</v>
      </c>
      <c r="B61" s="2">
        <v>0.0934401788985021</v>
      </c>
      <c r="C61" s="2">
        <v>0.0955141524775219</v>
      </c>
      <c r="D61" s="2">
        <v>0.0956585882899533</v>
      </c>
    </row>
    <row r="62" spans="1:4">
      <c r="A62" t="str">
        <v>2021-08-01</v>
      </c>
      <c r="B62" s="2">
        <v>0.0925358279716225</v>
      </c>
      <c r="C62" s="2">
        <v>0.0959173598963034</v>
      </c>
      <c r="D62" s="2">
        <v>0.0958374650287532</v>
      </c>
    </row>
    <row r="63" spans="1:4">
      <c r="A63" t="str">
        <v>2021-07-01</v>
      </c>
      <c r="B63" s="2">
        <v>0.0920466355149428</v>
      </c>
      <c r="C63" s="2">
        <v>0.0979634016205698</v>
      </c>
      <c r="D63" s="2">
        <v>0.0988483658356736</v>
      </c>
    </row>
    <row r="64" spans="1:4">
      <c r="A64" t="str">
        <v>2021-06-01</v>
      </c>
      <c r="B64" s="2">
        <v>0.090447345928197</v>
      </c>
      <c r="C64" s="2">
        <v>0.097178414403013</v>
      </c>
      <c r="D64" s="2">
        <v>0.0986798410126403</v>
      </c>
    </row>
    <row r="65" spans="1:4">
      <c r="A65" t="str">
        <v>2021-05-01</v>
      </c>
      <c r="B65" s="2">
        <v>0.090314360119136</v>
      </c>
      <c r="C65" s="2">
        <v>0.0971093376722075</v>
      </c>
      <c r="D65" s="2">
        <v>0.0985309904380295</v>
      </c>
    </row>
    <row r="66" spans="1:4">
      <c r="A66" t="str">
        <v>2021-04-01</v>
      </c>
      <c r="B66" s="2">
        <v>0.0878913723466249</v>
      </c>
      <c r="C66" s="2">
        <v>0.0959776325251237</v>
      </c>
      <c r="D66" s="2">
        <v>0.0984866616618534</v>
      </c>
    </row>
    <row r="67" spans="1:4">
      <c r="A67" t="str">
        <v>2021-03-01</v>
      </c>
      <c r="B67" s="2">
        <v>0.0873208942295593</v>
      </c>
      <c r="C67" s="2">
        <v>0.091200683964914</v>
      </c>
      <c r="D67" s="2">
        <v>0.0967002992856804</v>
      </c>
    </row>
    <row r="68" spans="1:4">
      <c r="A68" t="str">
        <v>2021-02-01</v>
      </c>
      <c r="B68" s="2">
        <v>0.0924097236233504</v>
      </c>
      <c r="C68" s="2">
        <v>0.0928531809993428</v>
      </c>
      <c r="D68" s="2">
        <v>0.0931404755783237</v>
      </c>
    </row>
    <row r="69" spans="1:4">
      <c r="A69" t="str">
        <v>2021-01-01</v>
      </c>
      <c r="B69" s="2">
        <v>0.0942858055103706</v>
      </c>
      <c r="C69" s="2">
        <v>0.0944451797681461</v>
      </c>
      <c r="D69" s="2">
        <v>0.0944650993247885</v>
      </c>
    </row>
    <row r="70" spans="1:4">
      <c r="A70" t="str">
        <v>2020-12-01</v>
      </c>
      <c r="B70" s="2">
        <v>0.0951294946038944</v>
      </c>
      <c r="C70" s="2">
        <v>0.0953923191762376</v>
      </c>
      <c r="D70" s="2">
        <v>0.0954265250391473</v>
      </c>
    </row>
    <row r="71" spans="1:4">
      <c r="A71" t="str">
        <v>2020-11-01</v>
      </c>
      <c r="B71" s="2">
        <v>0.0964759027661703</v>
      </c>
      <c r="C71" s="2">
        <v>0.0977583857657062</v>
      </c>
      <c r="D71" s="2">
        <v>0.0978597323178163</v>
      </c>
    </row>
    <row r="72" spans="1:4">
      <c r="A72" t="str">
        <v>2020-10-01</v>
      </c>
      <c r="B72" s="2">
        <v>0.0951304277386225</v>
      </c>
      <c r="C72" s="2">
        <v>0.0964380003280887</v>
      </c>
      <c r="D72" s="2">
        <v>0.0968158768841614</v>
      </c>
    </row>
    <row r="73" spans="1:4">
      <c r="A73" t="str">
        <v>2020-09-01</v>
      </c>
      <c r="B73" s="2">
        <v>0.0958824541887127</v>
      </c>
      <c r="C73" s="2">
        <v>0.0952935802761981</v>
      </c>
      <c r="D73" s="2">
        <v>0.0953451060799394</v>
      </c>
    </row>
    <row r="74" spans="1:4">
      <c r="A74" t="str">
        <v>2020-08-01</v>
      </c>
      <c r="B74" s="2">
        <v>0.100067485346849</v>
      </c>
      <c r="C74" s="2">
        <v>0.0993816387564868</v>
      </c>
      <c r="D74" s="2">
        <v>0.0994607442913746</v>
      </c>
    </row>
    <row r="75" spans="1:4">
      <c r="A75" t="str">
        <v>2020-07-01</v>
      </c>
      <c r="B75" s="2">
        <v>0.102436639873642</v>
      </c>
      <c r="C75" s="2">
        <v>0.101655377581624</v>
      </c>
      <c r="D75" s="2">
        <v>0.101539738948271</v>
      </c>
    </row>
    <row r="76" spans="1:4">
      <c r="A76" t="str">
        <v>2020-06-01</v>
      </c>
      <c r="B76" s="2">
        <v>0.102943802124447</v>
      </c>
      <c r="C76" s="2">
        <v>0.101621175961092</v>
      </c>
      <c r="D76" s="2">
        <v>0.101455743628303</v>
      </c>
    </row>
    <row r="77" spans="1:4">
      <c r="A77" t="str">
        <v>2020-05-01</v>
      </c>
      <c r="B77" s="2">
        <v>0.104215115724336</v>
      </c>
      <c r="C77" s="2">
        <v>0.100392129802881</v>
      </c>
      <c r="D77" s="2">
        <v>0.0999139732771449</v>
      </c>
    </row>
    <row r="78" spans="1:4">
      <c r="A78" t="str">
        <v>2020-04-01</v>
      </c>
      <c r="B78" s="2">
        <v>0.108134037891306</v>
      </c>
      <c r="C78" s="2">
        <v>0.100334573112199</v>
      </c>
      <c r="D78" s="2">
        <v>0.0990887757682074</v>
      </c>
    </row>
    <row r="79" spans="1:4">
      <c r="A79" t="str">
        <v>2020-03-01</v>
      </c>
      <c r="B79" s="2">
        <v>0.0959911505560275</v>
      </c>
      <c r="C79" s="2">
        <v>0.0961498481437661</v>
      </c>
      <c r="D79" s="2">
        <v>0.0959863337844462</v>
      </c>
    </row>
    <row r="80" spans="1:4">
      <c r="A80" t="str">
        <v>2020-02-01</v>
      </c>
      <c r="B80" s="2">
        <v>0.095758378129942</v>
      </c>
      <c r="C80" s="2">
        <v>0.0914739897018569</v>
      </c>
      <c r="D80" s="2">
        <v>0.0907170501565607</v>
      </c>
    </row>
    <row r="81" spans="1:4">
      <c r="A81" t="str">
        <v>2020-01-01</v>
      </c>
      <c r="B81" s="2">
        <v>0.0958422810153898</v>
      </c>
      <c r="C81" s="2">
        <v>0.0910062020782123</v>
      </c>
      <c r="D81" s="2">
        <v>0.0902050408009967</v>
      </c>
    </row>
    <row r="82" spans="1:4">
      <c r="A82" t="str">
        <v>2019-12-01</v>
      </c>
      <c r="B82" s="2">
        <v>0.096004148883217</v>
      </c>
      <c r="C82" s="2">
        <v>0.090582830962835</v>
      </c>
      <c r="D82" s="2">
        <v>0.0893642443092413</v>
      </c>
    </row>
    <row r="83" spans="1:4">
      <c r="A83" t="str">
        <v>2019-11-01</v>
      </c>
      <c r="B83" s="2">
        <v>0.0955317748010932</v>
      </c>
      <c r="C83" s="2">
        <v>0.0897354793223288</v>
      </c>
      <c r="D83" s="2">
        <v>0.0882764437308848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KZGB_Y 09.08.2026</vt:lpstr>
      <vt:lpstr>Kazakhstan 5-Year Bond Yield Hi</vt:lpstr>
      <vt:lpstr>Kazakhstan 1-Year Bond Yield Hi</vt:lpstr>
      <vt:lpstr>Kazakhstan 10-Year Bond Yield H</vt:lpstr>
      <vt:lpstr>NS Combined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Darkhan Mashirapov</cp:lastModifiedBy>
  <dcterms:created xsi:type="dcterms:W3CDTF">2026-08-10T17:05:00Z</dcterms:created>
  <dcterms:modified xsi:type="dcterms:W3CDTF">2026-08-25T11:04:28Z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21D26504AA3CAEB975C7786A866C8F55_42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