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W3C Example Table" sheetId="1" r:id="rId1"/>
    <sheet name="Final Clean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<sst xmlns="http://schemas.openxmlformats.org/spreadsheetml/2006/main" count="288" uniqueCount="166">
  <si>
    <t>ӘАОЖ(каталог бойынша)</t>
  </si>
  <si>
    <t>REPUBLIC OF KAZAKHSTAN</t>
  </si>
  <si>
    <t>Даты</t>
  </si>
  <si>
    <t>Апрель 2013 г.</t>
  </si>
  <si>
    <t>Май 2013 г.</t>
  </si>
  <si>
    <t>Июнь 2013 г.</t>
  </si>
  <si>
    <t>Июль 2013 г.</t>
  </si>
  <si>
    <t>Январь 2014 г.</t>
  </si>
  <si>
    <t>Февраль 2014 г.</t>
  </si>
  <si>
    <t>Июнь 2014 г.</t>
  </si>
  <si>
    <t>Август 2014 г.</t>
  </si>
  <si>
    <t>Сентябрь 2014 г.</t>
  </si>
  <si>
    <t>Октябрь 2014 г.</t>
  </si>
  <si>
    <t>Ноябрь 2014 г.</t>
  </si>
  <si>
    <t>Январь 2015 г.</t>
  </si>
  <si>
    <t>Февраль 2015 г.</t>
  </si>
  <si>
    <t>Март 2015 г.</t>
  </si>
  <si>
    <t>Апрель 2015 г.</t>
  </si>
  <si>
    <t>Май 2015 г.</t>
  </si>
  <si>
    <t>Июнь 2015 г.</t>
  </si>
  <si>
    <t>Июль 2015 г.</t>
  </si>
  <si>
    <t>Август 2015 г.</t>
  </si>
  <si>
    <t>Сентябрь 2015 г.</t>
  </si>
  <si>
    <t>Октябрь 2015 г.</t>
  </si>
  <si>
    <t>Ноябрь 2015 г.</t>
  </si>
  <si>
    <t>Декабрь 2015 г.</t>
  </si>
  <si>
    <t>Январь 2016 г.</t>
  </si>
  <si>
    <t>Февраль 2016 г.</t>
  </si>
  <si>
    <t>Март 2016 г.</t>
  </si>
  <si>
    <t>Апрель 2016 г.</t>
  </si>
  <si>
    <t>Май 2016 г.</t>
  </si>
  <si>
    <t>Июль 2016 г.</t>
  </si>
  <si>
    <t>Август 2016 г.</t>
  </si>
  <si>
    <t>Сентябрь 2016 г.</t>
  </si>
  <si>
    <t>Октябрь 2016 г.</t>
  </si>
  <si>
    <t>Ноябрь 2016 г.</t>
  </si>
  <si>
    <t>Декабрь 2016 г.</t>
  </si>
  <si>
    <t>Январь 2017 г.</t>
  </si>
  <si>
    <t>Февраль 2017 г.</t>
  </si>
  <si>
    <t>Март 2017 г.</t>
  </si>
  <si>
    <t>Апрель 2017 г.</t>
  </si>
  <si>
    <t>Май 2017 г.</t>
  </si>
  <si>
    <t>Июнь 2017 г.</t>
  </si>
  <si>
    <t>Август 2017 г.</t>
  </si>
  <si>
    <t>Сентябрь 2017 г.</t>
  </si>
  <si>
    <t>Октябрь 2017 г.</t>
  </si>
  <si>
    <t>Ноябрь 2017 г.</t>
  </si>
  <si>
    <t>Декабрь 2017 г.</t>
  </si>
  <si>
    <t>Январь 2018 г.</t>
  </si>
  <si>
    <t>Февраль 2018 г.</t>
  </si>
  <si>
    <t>Март 2018 г.</t>
  </si>
  <si>
    <t>Апрель 2018 г.</t>
  </si>
  <si>
    <t>Май 2018 г.</t>
  </si>
  <si>
    <t>Июнь 2018 г.</t>
  </si>
  <si>
    <t>Июль 2018 г.</t>
  </si>
  <si>
    <t>Август 2018 г.</t>
  </si>
  <si>
    <t>Сентябрь 2018 г.</t>
  </si>
  <si>
    <t>Октябрь 2018 г.</t>
  </si>
  <si>
    <t>Ноябрь 2018 г.</t>
  </si>
  <si>
    <t>Декабрь 2018 г.</t>
  </si>
  <si>
    <t>Январь 2019 г.</t>
  </si>
  <si>
    <t>Февраль 2019 г.</t>
  </si>
  <si>
    <t>Март 2019 г.</t>
  </si>
  <si>
    <t>Апрель 2019 г.</t>
  </si>
  <si>
    <t>Май 2019 г.</t>
  </si>
  <si>
    <t>Июнь 2019 г.</t>
  </si>
  <si>
    <t>Июль 2019 г.</t>
  </si>
  <si>
    <t>Август 2019 г.</t>
  </si>
  <si>
    <t>Сентябрь 2019 г.</t>
  </si>
  <si>
    <t>Октябрь 2019 г.</t>
  </si>
  <si>
    <t>Ноябрь 2019 г.</t>
  </si>
  <si>
    <t>Декабрь 2019 г.</t>
  </si>
  <si>
    <t>Январь 2020 г.</t>
  </si>
  <si>
    <t>Февраль 2020 г.</t>
  </si>
  <si>
    <t>Март 2020 г.</t>
  </si>
  <si>
    <t>Июль 2021 г.</t>
  </si>
  <si>
    <t>Август 2021 г.</t>
  </si>
  <si>
    <t>Сентябрь 2021 г.</t>
  </si>
  <si>
    <t>Октябрь 2021 г.</t>
  </si>
  <si>
    <t>Ноябрь 2021 г.</t>
  </si>
  <si>
    <t>Февраль 2022 г.</t>
  </si>
  <si>
    <t>Октябрь 2022 г.</t>
  </si>
  <si>
    <t>Ноябрь 2022 г.</t>
  </si>
  <si>
    <t>Декабрь 2022 г.</t>
  </si>
  <si>
    <t>Январь 2023 г.</t>
  </si>
  <si>
    <t>Февраль 2023 г.</t>
  </si>
  <si>
    <t>Март 2023 г.</t>
  </si>
  <si>
    <t>Апрель 2023 г.</t>
  </si>
  <si>
    <t>Май 2023 г.</t>
  </si>
  <si>
    <t>Июнь 2023 г.</t>
  </si>
  <si>
    <t>Июль 2023 г.</t>
  </si>
  <si>
    <t>Август 2023 г.</t>
  </si>
  <si>
    <t>Сентябрь 2023 г.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</si>
  <si>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</si>
  <si>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</si>
  <si>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</si>
  <si>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</si>
  <si>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</si>
  <si>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</si>
  <si>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</si>
  <si>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</si>
  <si>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</si>
  <si>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</si>
  <si>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</si>
  <si>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</si>
  <si>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</si>
  <si>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</si>
  <si>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</si>
  <si>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</si>
  <si>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</si>
  <si>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</si>
  <si>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</si>
  <si>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</si>
  <si>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</si>
  <si>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</si>
  <si>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</si>
  <si>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</si>
  <si>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</si>
  <si>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</si>
  <si>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Январь 2026 г.</t>
  </si>
  <si>
    <t>Февраль 2026 г.</t>
  </si>
  <si>
    <t>Март 2026 г.</t>
  </si>
  <si>
    <t>Апрель 2026 г.</t>
  </si>
  <si>
    <t>Показатели</t>
  </si>
  <si>
    <t>unemployment rate()</t>
  </si>
  <si>
    <t>DATE</t>
  </si>
  <si>
    <t>Numerical Date</t>
  </si>
  <si>
    <t>Август 2013 г.</t>
  </si>
  <si>
    <t>Сентябрь 2013 г.</t>
  </si>
  <si>
    <t>Октябрь 2013 г.</t>
  </si>
  <si>
    <t>Ноябрь 2013 г.</t>
  </si>
  <si>
    <t>Декабрь 2013 г.</t>
  </si>
  <si>
    <t>Март 2014 г.</t>
  </si>
  <si>
    <t>Апрель 2014 г.</t>
  </si>
  <si>
    <t>Май 2014 г.</t>
  </si>
  <si>
    <t>Июль 2014 г.</t>
  </si>
  <si>
    <t>Декабрь 2014 г.</t>
  </si>
  <si>
    <t>Июнь 2016 г.</t>
  </si>
  <si>
    <t>Июль 2017 г.</t>
  </si>
  <si>
    <t>Апрель 2020 г.</t>
  </si>
  <si>
    <t>Май 2020 г.</t>
  </si>
  <si>
    <t>Июнь 2020 г.</t>
  </si>
  <si>
    <t>Июль 2020 г.</t>
  </si>
  <si>
    <t>Август 2020 г.</t>
  </si>
  <si>
    <t>Сентябрь 2020 г.</t>
  </si>
  <si>
    <t>Октябрь 2020 г.</t>
  </si>
  <si>
    <t>Ноябрь 2020 г.</t>
  </si>
  <si>
    <t>Декабрь 2020 г.</t>
  </si>
  <si>
    <t>Январь 2021 г.</t>
  </si>
  <si>
    <t>Февраль 2021 г.</t>
  </si>
  <si>
    <t>Март 2021 г.</t>
  </si>
  <si>
    <t>Апрель 2021 г.</t>
  </si>
  <si>
    <t>Май 2021 г.</t>
  </si>
  <si>
    <t>Июнь 2021 г.</t>
  </si>
  <si>
    <t>Декабрь 2021 г.</t>
  </si>
  <si>
    <t>Январь 2022 г.</t>
  </si>
  <si>
    <t>Март 2022 г.</t>
  </si>
  <si>
    <t>Апрель 2022 г.</t>
  </si>
  <si>
    <t>Май 2022 г.</t>
  </si>
  <si>
    <t>Июнь 2022 г.</t>
  </si>
  <si>
    <t>Июль 2022 г.</t>
  </si>
  <si>
    <t>Август 2022 г.</t>
  </si>
  <si>
    <t>Сентябрь 2022 г.</t>
  </si>
  <si>
    <t>Декабрь 2025 г.</t>
  </si>
  <si>
    <t>date</t>
  </si>
  <si>
    <t>kz_unemp_m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</si>
</sst>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  <scheme val="minor"/>
    </font>
    <font>
      <b/>
      <sz val="10"/>
      <color rgb="FF000000"/>
      <name val="Arial Unicode MS"/>
      <charset val="134"/>
    </font>
    <font>
      <sz val="10"/>
      <color rgb="FF000000"/>
      <name val="Arial Unicode MS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rgb="FF44546A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rgb="FF44546A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1"/>
      <color rgb="FF44546A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00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rgb="FF000000"/>
      <name val="Calibri"/>
      <charset val="0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 applyFill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DS5"/>
  <sheetViews>
    <sheetView topLeftCell="BW1" workbookViewId="0">
      <selection activeCell="CD2" sqref="CB2:CD3"/>
    </sheetView>
  </sheetViews>
  <sheetFormatPr defaultColWidth="9" defaultRowHeight="16.8" outlineLevelRow="4"/>
  <cols>
    <col min="1" max="1" width="8.765625" customWidth="1"/>
    <col min="2" max="2" width="18.8671875" customWidth="1"/>
    <col min="3" max="3" width="11.21875" customWidth="1"/>
    <col min="4" max="4" width="8.9296875" customWidth="1"/>
    <col min="5" max="6" width="9.7734375" customWidth="1"/>
    <col min="7" max="7" width="11.21875" customWidth="1"/>
    <col min="8" max="8" width="12.171875" customWidth="1"/>
    <col min="9" max="9" width="9.7734375" customWidth="1"/>
    <col min="10" max="10" width="10.609375" customWidth="1"/>
    <col min="11" max="11" width="12.78125" customWidth="1"/>
    <col min="12" max="12" width="11.78125" customWidth="1"/>
    <col min="13" max="13" width="11.2734375" customWidth="1"/>
    <col min="14" max="14" width="11.21875" customWidth="1"/>
    <col min="15" max="15" width="12.171875" customWidth="1"/>
    <col min="16" max="16" width="9.546875" customWidth="1"/>
    <col min="17" max="17" width="11.21875" customWidth="1"/>
    <col min="18" max="18" width="8.9296875" customWidth="1"/>
    <col min="19" max="20" width="9.7734375" customWidth="1"/>
    <col min="21" max="21" width="10.609375" customWidth="1"/>
    <col min="22" max="22" width="12.78125" customWidth="1"/>
    <col min="23" max="23" width="11.78125" customWidth="1"/>
    <col min="24" max="24" width="11.2734375" customWidth="1"/>
    <col min="25" max="25" width="11.8359375" customWidth="1"/>
    <col min="26" max="26" width="11.21875" customWidth="1"/>
    <col min="27" max="27" width="12.171875" customWidth="1"/>
    <col min="28" max="28" width="9.546875" customWidth="1"/>
    <col min="29" max="29" width="11.21875" customWidth="1"/>
    <col min="30" max="30" width="8.9296875" customWidth="1"/>
    <col min="31" max="31" width="9.7734375" customWidth="1"/>
    <col min="32" max="32" width="10.609375" customWidth="1"/>
    <col min="33" max="33" width="12.78125" customWidth="1"/>
    <col min="34" max="34" width="11.78125" customWidth="1"/>
    <col min="35" max="35" width="11.2734375" customWidth="1"/>
    <col min="36" max="36" width="11.8359375" customWidth="1"/>
    <col min="37" max="37" width="11.21875" customWidth="1"/>
    <col min="38" max="38" width="12.171875" customWidth="1"/>
    <col min="39" max="39" width="9.546875" customWidth="1"/>
    <col min="40" max="40" width="11.21875" customWidth="1"/>
    <col min="41" max="41" width="8.9296875" customWidth="1"/>
    <col min="42" max="42" width="9.7734375" customWidth="1"/>
    <col min="43" max="43" width="10.609375" customWidth="1"/>
    <col min="44" max="44" width="12.78125" customWidth="1"/>
    <col min="45" max="45" width="11.78125" customWidth="1"/>
    <col min="46" max="46" width="11.2734375" customWidth="1"/>
    <col min="47" max="47" width="11.8359375" customWidth="1"/>
    <col min="48" max="48" width="11.21875" customWidth="1"/>
    <col min="49" max="49" width="12.171875" customWidth="1"/>
    <col min="50" max="50" width="9.546875" customWidth="1"/>
    <col min="51" max="51" width="11.21875" customWidth="1"/>
    <col min="52" max="52" width="8.9296875" customWidth="1"/>
    <col min="53" max="54" width="9.7734375" customWidth="1"/>
    <col min="55" max="55" width="10.609375" customWidth="1"/>
    <col min="56" max="56" width="12.78125" customWidth="1"/>
    <col min="57" max="57" width="11.78125" customWidth="1"/>
    <col min="58" max="58" width="11.2734375" customWidth="1"/>
    <col min="59" max="59" width="11.8359375" customWidth="1"/>
    <col min="60" max="60" width="11.21875" customWidth="1"/>
    <col min="61" max="61" width="12.171875" customWidth="1"/>
    <col min="62" max="62" width="9.546875" customWidth="1"/>
    <col min="63" max="63" width="11.21875" customWidth="1"/>
    <col min="64" max="64" width="8.9296875" customWidth="1"/>
    <col min="65" max="66" width="9.7734375" customWidth="1"/>
    <col min="67" max="67" width="10.609375" customWidth="1"/>
    <col min="68" max="68" width="12.78125" customWidth="1"/>
    <col min="69" max="69" width="11.78125" customWidth="1"/>
    <col min="70" max="70" width="11.2734375" customWidth="1"/>
    <col min="71" max="71" width="11.8359375" customWidth="1"/>
    <col min="72" max="72" width="11.21875" customWidth="1"/>
    <col min="73" max="73" width="12.171875" customWidth="1"/>
    <col min="74" max="74" width="9.546875" customWidth="1"/>
    <col min="75" max="75" width="9.7734375" customWidth="1"/>
    <col min="76" max="76" width="10.609375" customWidth="1"/>
    <col min="77" max="77" width="12.78125" customWidth="1"/>
    <col min="78" max="78" width="11.78125" customWidth="1"/>
    <col min="79" max="79" width="11.2734375" customWidth="1"/>
    <col min="80" max="80" width="12.171875" customWidth="1"/>
    <col min="81" max="81" width="11.78125" customWidth="1"/>
    <col min="82" max="82" width="11.2734375" customWidth="1"/>
    <col min="83" max="83" width="11.8359375" customWidth="1"/>
    <col min="84" max="84" width="11.21875" customWidth="1"/>
    <col min="85" max="85" width="12.171875" customWidth="1"/>
    <col min="86" max="86" width="9.546875" customWidth="1"/>
    <col min="87" max="87" width="11.21875" customWidth="1"/>
    <col min="88" max="88" width="8.9296875" customWidth="1"/>
    <col min="89" max="90" width="9.7734375" customWidth="1"/>
    <col min="91" max="91" width="10.609375" customWidth="1"/>
    <col min="92" max="92" width="12.78125" customWidth="1"/>
    <col min="93" max="93" width="11.78125" customWidth="1"/>
    <col min="94" max="94" width="11.2734375" customWidth="1"/>
    <col min="95" max="95" width="11.8359375" customWidth="1"/>
    <col min="96" max="96" width="11.21875" customWidth="1"/>
    <col min="97" max="97" width="12.171875" customWidth="1"/>
    <col min="98" max="98" width="9.546875" customWidth="1"/>
    <col min="99" max="99" width="11.21875" customWidth="1"/>
    <col min="100" max="100" width="8.9296875" customWidth="1"/>
    <col min="101" max="102" width="9.7734375" customWidth="1"/>
    <col min="103" max="103" width="10.609375" customWidth="1"/>
    <col min="104" max="104" width="12.78125" customWidth="1"/>
    <col min="105" max="105" width="11.78125" customWidth="1"/>
    <col min="106" max="106" width="11.2734375" customWidth="1"/>
    <col min="107" max="107" width="11.8359375" customWidth="1"/>
    <col min="108" max="108" width="11.21875" customWidth="1"/>
    <col min="109" max="109" width="12.171875" customWidth="1"/>
    <col min="110" max="110" width="9.546875" customWidth="1"/>
    <col min="111" max="111" width="11.21875" customWidth="1"/>
    <col min="112" max="112" width="8.9296875" customWidth="1"/>
    <col min="113" max="114" width="9.7734375" customWidth="1"/>
    <col min="115" max="115" width="10.609375" customWidth="1"/>
    <col min="116" max="116" width="12.78125" customWidth="1"/>
    <col min="117" max="117" width="11.78125" customWidth="1"/>
    <col min="118" max="118" width="11.2734375" customWidth="1"/>
    <col min="119" max="119" width="11.21875" customWidth="1"/>
    <col min="120" max="120" width="12.171875" customWidth="1"/>
    <col min="121" max="121" width="9.546875" customWidth="1"/>
    <col min="122" max="122" width="11.21875" customWidth="1"/>
    <col min="123" max="123" width="8.53125" customWidth="1"/>
  </cols>
  <sheetData>
    <row r="1" customHeight="1" spans="1:123">
      <c r="A1" s="7"/>
      <c r="B1" s="8" t="s">
        <v>0</v>
      </c>
      <c r="C1" s="8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7"/>
    </row>
    <row r="2" customHeight="1" spans="1:123">
      <c r="A2" s="7"/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8" t="s">
        <v>34</v>
      </c>
      <c r="AI2" s="8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8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8" t="s">
        <v>50</v>
      </c>
      <c r="AY2" s="8" t="s">
        <v>51</v>
      </c>
      <c r="AZ2" s="8" t="s">
        <v>52</v>
      </c>
      <c r="BA2" s="8" t="s">
        <v>53</v>
      </c>
      <c r="BB2" s="8" t="s">
        <v>54</v>
      </c>
      <c r="BC2" s="8" t="s">
        <v>55</v>
      </c>
      <c r="BD2" s="8" t="s">
        <v>56</v>
      </c>
      <c r="BE2" s="8" t="s">
        <v>57</v>
      </c>
      <c r="BF2" s="8" t="s">
        <v>58</v>
      </c>
      <c r="BG2" s="8" t="s">
        <v>59</v>
      </c>
      <c r="BH2" s="8" t="s">
        <v>60</v>
      </c>
      <c r="BI2" s="8" t="s">
        <v>61</v>
      </c>
      <c r="BJ2" s="8" t="s">
        <v>62</v>
      </c>
      <c r="BK2" s="8" t="s">
        <v>63</v>
      </c>
      <c r="BL2" s="8" t="s">
        <v>64</v>
      </c>
      <c r="BM2" s="8" t="s">
        <v>65</v>
      </c>
      <c r="BN2" s="8" t="s">
        <v>66</v>
      </c>
      <c r="BO2" s="8" t="s">
        <v>67</v>
      </c>
      <c r="BP2" s="8" t="s">
        <v>68</v>
      </c>
      <c r="BQ2" s="8" t="s">
        <v>69</v>
      </c>
      <c r="BR2" s="8" t="s">
        <v>70</v>
      </c>
      <c r="BS2" s="8" t="s">
        <v>71</v>
      </c>
      <c r="BT2" s="8" t="s">
        <v>72</v>
      </c>
      <c r="BU2" s="8" t="s">
        <v>73</v>
      </c>
      <c r="BV2" s="8" t="s">
        <v>74</v>
      </c>
      <c r="BW2" s="8" t="s">
        <v>75</v>
      </c>
      <c r="BX2" s="8" t="s">
        <v>76</v>
      </c>
      <c r="BY2" s="8" t="s">
        <v>77</v>
      </c>
      <c r="BZ2" s="8" t="s">
        <v>78</v>
      </c>
      <c r="CA2" s="8" t="s">
        <v>79</v>
      </c>
      <c r="CB2" s="8" t="s">
        <v>80</v>
      </c>
      <c r="CC2" s="8" t="s">
        <v>81</v>
      </c>
      <c r="CD2" s="8" t="s">
        <v>82</v>
      </c>
      <c r="CE2" s="8" t="s">
        <v>83</v>
      </c>
      <c r="CF2" s="8" t="s">
        <v>84</v>
      </c>
      <c r="CG2" s="8" t="s">
        <v>85</v>
      </c>
      <c r="CH2" s="8" t="s">
        <v>86</v>
      </c>
      <c r="CI2" s="8" t="s">
        <v>87</v>
      </c>
      <c r="CJ2" s="8" t="s">
        <v>88</v>
      </c>
      <c r="CK2" s="8" t="s">
        <v>89</v>
      </c>
      <c r="CL2" s="8" t="s">
        <v>90</v>
      </c>
      <c r="CM2" s="8" t="s">
        <v>91</v>
      </c>
      <c r="CN2" s="8" t="s">
        <v>92</v>
      </c>
      <c r="CO2" s="8" t="s">
        <v>93</v>
      </c>
      <c r="CP2" s="8" t="s">
        <v>94</v>
      </c>
      <c r="CQ2" s="8" t="s">
        <v>95</v>
      </c>
      <c r="CR2" s="8" t="s">
        <v>96</v>
      </c>
      <c r="CS2" s="8" t="s">
        <v>97</v>
      </c>
      <c r="CT2" s="8" t="s">
        <v>98</v>
      </c>
      <c r="CU2" s="8" t="s">
        <v>99</v>
      </c>
      <c r="CV2" s="8" t="s">
        <v>100</v>
      </c>
      <c r="CW2" s="8" t="s">
        <v>101</v>
      </c>
      <c r="CX2" s="8" t="s">
        <v>102</v>
      </c>
      <c r="CY2" s="8" t="s">
        <v>103</v>
      </c>
      <c r="CZ2" s="8" t="s">
        <v>104</v>
      </c>
      <c r="DA2" s="8" t="s">
        <v>105</v>
      </c>
      <c r="DB2" s="8" t="s">
        <v>106</v>
      </c>
      <c r="DC2" s="8" t="s">
        <v>107</v>
      </c>
      <c r="DD2" s="8" t="s">
        <v>108</v>
      </c>
      <c r="DE2" s="8" t="s">
        <v>109</v>
      </c>
      <c r="DF2" s="8" t="s">
        <v>110</v>
      </c>
      <c r="DG2" s="8" t="s">
        <v>111</v>
      </c>
      <c r="DH2" s="8" t="s">
        <v>112</v>
      </c>
      <c r="DI2" s="8" t="s">
        <v>113</v>
      </c>
      <c r="DJ2" s="8" t="s">
        <v>114</v>
      </c>
      <c r="DK2" s="8" t="s">
        <v>115</v>
      </c>
      <c r="DL2" s="8" t="s">
        <v>116</v>
      </c>
      <c r="DM2" s="8" t="s">
        <v>117</v>
      </c>
      <c r="DN2" s="8" t="s">
        <v>118</v>
      </c>
      <c r="DO2" s="8" t="s">
        <v>119</v>
      </c>
      <c r="DP2" s="8" t="s">
        <v>120</v>
      </c>
      <c r="DQ2" s="8" t="s">
        <v>121</v>
      </c>
      <c r="DR2" s="8" t="s">
        <v>122</v>
      </c>
      <c r="DS2" s="7"/>
    </row>
    <row r="3" ht="29" spans="1:123">
      <c r="A3" s="8" t="s">
        <v>123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7"/>
    </row>
    <row r="4" customHeight="1" spans="1:123">
      <c r="A4" s="9" t="s">
        <v>124</v>
      </c>
      <c r="B4" s="9"/>
      <c r="C4" s="10">
        <v>5.3</v>
      </c>
      <c r="D4" s="10">
        <v>5.3</v>
      </c>
      <c r="E4" s="10">
        <v>5.2</v>
      </c>
      <c r="F4" s="10">
        <v>5.2</v>
      </c>
      <c r="G4" s="10">
        <v>5.2</v>
      </c>
      <c r="H4" s="10">
        <v>5.2</v>
      </c>
      <c r="I4" s="10">
        <v>5</v>
      </c>
      <c r="J4" s="10">
        <v>5.1</v>
      </c>
      <c r="K4" s="10">
        <v>5</v>
      </c>
      <c r="L4" s="10">
        <v>5</v>
      </c>
      <c r="M4" s="10">
        <v>5.1</v>
      </c>
      <c r="N4" s="10">
        <v>5</v>
      </c>
      <c r="O4" s="10">
        <v>5</v>
      </c>
      <c r="P4" s="10">
        <v>5</v>
      </c>
      <c r="Q4" s="10">
        <v>5</v>
      </c>
      <c r="R4" s="10">
        <v>5</v>
      </c>
      <c r="S4" s="10">
        <v>4.9</v>
      </c>
      <c r="T4" s="10">
        <v>4.9</v>
      </c>
      <c r="U4" s="10">
        <v>4.9</v>
      </c>
      <c r="V4" s="10">
        <v>4.9</v>
      </c>
      <c r="W4" s="10">
        <v>4.9</v>
      </c>
      <c r="X4" s="10">
        <v>5</v>
      </c>
      <c r="Y4" s="10">
        <v>5</v>
      </c>
      <c r="Z4" s="10">
        <v>5.1</v>
      </c>
      <c r="AA4" s="10">
        <v>5.1</v>
      </c>
      <c r="AB4" s="10">
        <v>5.1</v>
      </c>
      <c r="AC4" s="10">
        <v>4.9</v>
      </c>
      <c r="AD4" s="10">
        <v>4.9</v>
      </c>
      <c r="AE4" s="10">
        <v>5.1</v>
      </c>
      <c r="AF4" s="10">
        <v>5</v>
      </c>
      <c r="AG4" s="10">
        <v>5</v>
      </c>
      <c r="AH4" s="10">
        <v>4.9</v>
      </c>
      <c r="AI4" s="10">
        <v>5</v>
      </c>
      <c r="AJ4" s="10">
        <v>5</v>
      </c>
      <c r="AK4" s="10">
        <v>4.9</v>
      </c>
      <c r="AL4" s="10">
        <v>4.9</v>
      </c>
      <c r="AM4" s="10">
        <v>4.9</v>
      </c>
      <c r="AN4" s="10">
        <v>4.9</v>
      </c>
      <c r="AO4" s="10">
        <v>4.8</v>
      </c>
      <c r="AP4" s="10">
        <v>4.9</v>
      </c>
      <c r="AQ4" s="10">
        <v>4.9</v>
      </c>
      <c r="AR4" s="10">
        <v>4.9</v>
      </c>
      <c r="AS4" s="10">
        <v>4.9</v>
      </c>
      <c r="AT4" s="10">
        <v>5</v>
      </c>
      <c r="AU4" s="10">
        <v>5</v>
      </c>
      <c r="AV4" s="10">
        <v>4.9</v>
      </c>
      <c r="AW4" s="10">
        <v>4.9</v>
      </c>
      <c r="AX4" s="10">
        <v>4.9</v>
      </c>
      <c r="AY4" s="10">
        <v>4.9</v>
      </c>
      <c r="AZ4" s="10">
        <v>4.9</v>
      </c>
      <c r="BA4" s="10">
        <v>4.9</v>
      </c>
      <c r="BB4" s="10">
        <v>4.8</v>
      </c>
      <c r="BC4" s="10">
        <v>4.8</v>
      </c>
      <c r="BD4" s="10">
        <v>4.8</v>
      </c>
      <c r="BE4" s="10">
        <v>4.8</v>
      </c>
      <c r="BF4" s="10">
        <v>4.8</v>
      </c>
      <c r="BG4" s="10">
        <v>4.8</v>
      </c>
      <c r="BH4" s="10">
        <v>4.8</v>
      </c>
      <c r="BI4" s="10">
        <v>4.8</v>
      </c>
      <c r="BJ4" s="10">
        <v>4.8</v>
      </c>
      <c r="BK4" s="10">
        <v>4.8</v>
      </c>
      <c r="BL4" s="10">
        <v>4.8</v>
      </c>
      <c r="BM4" s="10">
        <v>4.8</v>
      </c>
      <c r="BN4" s="10">
        <v>4.8</v>
      </c>
      <c r="BO4" s="10">
        <v>4.8</v>
      </c>
      <c r="BP4" s="10">
        <v>4.8</v>
      </c>
      <c r="BQ4" s="10">
        <v>4.8</v>
      </c>
      <c r="BR4" s="10">
        <v>4.8</v>
      </c>
      <c r="BS4" s="10">
        <v>4.8</v>
      </c>
      <c r="BT4" s="10">
        <v>4.8</v>
      </c>
      <c r="BU4" s="10">
        <v>4.8</v>
      </c>
      <c r="BV4" s="10">
        <v>4.8</v>
      </c>
      <c r="BW4" s="10">
        <v>4.9</v>
      </c>
      <c r="BX4" s="10">
        <v>4.9</v>
      </c>
      <c r="BY4" s="10">
        <v>4.9</v>
      </c>
      <c r="BZ4" s="10">
        <v>4.9</v>
      </c>
      <c r="CA4" s="10">
        <v>4.9</v>
      </c>
      <c r="CB4" s="10">
        <v>4.9</v>
      </c>
      <c r="CC4" s="10">
        <v>4.9</v>
      </c>
      <c r="CD4" s="10">
        <v>4.9</v>
      </c>
      <c r="CE4" s="10">
        <v>4.9</v>
      </c>
      <c r="CF4" s="10">
        <v>4.8</v>
      </c>
      <c r="CG4" s="10">
        <v>4.8</v>
      </c>
      <c r="CH4" s="10">
        <v>4.8</v>
      </c>
      <c r="CI4" s="10">
        <v>4.7</v>
      </c>
      <c r="CJ4" s="10">
        <v>4.7</v>
      </c>
      <c r="CK4" s="10">
        <v>4.7</v>
      </c>
      <c r="CL4" s="10">
        <v>4.7</v>
      </c>
      <c r="CM4" s="10">
        <v>4.7</v>
      </c>
      <c r="CN4" s="10">
        <v>4.7</v>
      </c>
      <c r="CO4" s="10">
        <v>4.7</v>
      </c>
      <c r="CP4" s="10">
        <v>4.7</v>
      </c>
      <c r="CQ4" s="10">
        <v>4.7</v>
      </c>
      <c r="CR4" s="10">
        <v>4.7</v>
      </c>
      <c r="CS4" s="10">
        <v>4.7</v>
      </c>
      <c r="CT4" s="10">
        <v>4.7</v>
      </c>
      <c r="CU4" s="10">
        <v>4.7</v>
      </c>
      <c r="CV4" s="10">
        <v>4.7</v>
      </c>
      <c r="CW4" s="10">
        <v>4.7</v>
      </c>
      <c r="CX4" s="10">
        <v>4.6</v>
      </c>
      <c r="CY4" s="10">
        <v>4.6</v>
      </c>
      <c r="CZ4" s="10">
        <v>4.6</v>
      </c>
      <c r="DA4" s="10">
        <v>4.6</v>
      </c>
      <c r="DB4" s="10">
        <v>4.6</v>
      </c>
      <c r="DC4" s="10">
        <v>4.6</v>
      </c>
      <c r="DD4" s="10">
        <v>4.6</v>
      </c>
      <c r="DE4" s="10">
        <v>4.6</v>
      </c>
      <c r="DF4" s="10">
        <v>4.6</v>
      </c>
      <c r="DG4" s="10">
        <v>4.6</v>
      </c>
      <c r="DH4" s="10">
        <v>4.6</v>
      </c>
      <c r="DI4" s="10">
        <v>4.6</v>
      </c>
      <c r="DJ4" s="10">
        <v>4.6</v>
      </c>
      <c r="DK4" s="10">
        <v>4.6</v>
      </c>
      <c r="DL4" s="10">
        <v>4.6</v>
      </c>
      <c r="DM4" s="10">
        <v>4.6</v>
      </c>
      <c r="DN4" s="10">
        <v>4.6</v>
      </c>
      <c r="DO4" s="10">
        <v>4.5</v>
      </c>
      <c r="DP4" s="10">
        <v>4.5</v>
      </c>
      <c r="DQ4" s="10">
        <v>4.5</v>
      </c>
      <c r="DR4" s="10">
        <v>4.5</v>
      </c>
      <c r="DS4" s="11"/>
    </row>
    <row r="5" spans="1:123">
      <c r="A5" s="7"/>
      <c r="B5" s="7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</row>
  </sheetData>
  <sheetProtection objects="1" scenarios="1"/>
  <mergeCells count="125">
    <mergeCell ref="C1:DR1"/>
    <mergeCell ref="A4:B4"/>
    <mergeCell ref="A5:B5"/>
    <mergeCell ref="A1:A2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1:DS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D158"/>
  <sheetViews>
    <sheetView workbookViewId="0">
      <selection activeCell="D15" sqref="D15"/>
    </sheetView>
  </sheetViews>
  <sheetFormatPr defaultColWidth="9" defaultRowHeight="16.8" outlineLevelCol="3"/>
  <cols>
    <col min="1" max="1" width="14.65625" style="2" customWidth="1"/>
    <col min="2" max="2" width="12.5234375" style="2" customWidth="1"/>
    <col min="3" max="3" width="9.890625" style="3" customWidth="1"/>
    <col min="4" max="4" width="16.5703125" customWidth="1"/>
  </cols>
  <sheetData>
    <row r="1" spans="1:4">
      <c r="A1" s="4" t="s">
        <v>125</v>
      </c>
      <c r="B1" s="4" t="s">
        <v>126</v>
      </c>
      <c r="C1" s="4" t="s">
        <v>125</v>
      </c>
      <c r="D1" s="1" t="s">
        <v>124</v>
      </c>
    </row>
    <row r="2" spans="1:4">
      <c r="A2" s="4" t="s">
        <v>3</v>
      </c>
      <c r="B2" s="5">
        <f>DATE(VALUE(MID(A2,FIND(" ",A2)+1,4)),MATCH(LEFT(A2,FIND(" ",A2)-1),{"Январь","Февраль","Март","Апрель","Май","Июнь","Июль","Август","Сентябрь","Октябрь","Ноябрь","Декабрь"},0),1)</f>
        <v>41365</v>
      </c>
      <c r="C2" s="6" t="str">
        <f t="shared" ref="C2:C65" si="0">TEXT(B2,"yyyy-mm-01")</f>
        <v>2013-04-01</v>
      </c>
      <c r="D2" s="1">
        <v>5.3</v>
      </c>
    </row>
    <row r="3" spans="1:4">
      <c r="A3" s="4" t="s">
        <v>4</v>
      </c>
      <c r="B3" s="5">
        <f>DATE(VALUE(MID(A3,FIND(" ",A3)+1,4)),MATCH(LEFT(A3,FIND(" ",A3)-1),{"Январь","Февраль","Март","Апрель","Май","Июнь","Июль","Август","Сентябрь","Октябрь","Ноябрь","Декабрь"},0),1)</f>
        <v>41395</v>
      </c>
      <c r="C3" s="6" t="str">
        <f t="shared" si="0"/>
        <v>2013-05-01</v>
      </c>
      <c r="D3" s="1">
        <v>5.3</v>
      </c>
    </row>
    <row r="4" spans="1:4">
      <c r="A4" s="4" t="s">
        <v>5</v>
      </c>
      <c r="B4" s="5">
        <f>DATE(VALUE(MID(A4,FIND(" ",A4)+1,4)),MATCH(LEFT(A4,FIND(" ",A4)-1),{"Январь","Февраль","Март","Апрель","Май","Июнь","Июль","Август","Сентябрь","Октябрь","Ноябрь","Декабрь"},0),1)</f>
        <v>41426</v>
      </c>
      <c r="C4" s="6" t="str">
        <f t="shared" si="0"/>
        <v>2013-06-01</v>
      </c>
      <c r="D4" s="1">
        <v>5.2</v>
      </c>
    </row>
    <row r="5" spans="1:4">
      <c r="A5" s="4" t="s">
        <v>6</v>
      </c>
      <c r="B5" s="5">
        <f>DATE(VALUE(MID(A5,FIND(" ",A5)+1,4)),MATCH(LEFT(A5,FIND(" ",A5)-1),{"Январь","Февраль","Март","Апрель","Май","Июнь","Июль","Август","Сентябрь","Октябрь","Ноябрь","Декабрь"},0),1)</f>
        <v>41456</v>
      </c>
      <c r="C5" s="6" t="str">
        <f t="shared" si="0"/>
        <v>2013-07-01</v>
      </c>
      <c r="D5" s="1">
        <v>5.2</v>
      </c>
    </row>
    <row r="6" spans="1:4">
      <c r="A6" s="4" t="s">
        <v>127</v>
      </c>
      <c r="B6" s="5">
        <f>DATE(VALUE(MID(A6,FIND(" ",A6)+1,4)),MATCH(LEFT(A6,FIND(" ",A6)-1),{"Январь","Февраль","Март","Апрель","Май","Июнь","Июль","Август","Сентябрь","Октябрь","Ноябрь","Декабрь"},0),1)</f>
        <v>41487</v>
      </c>
      <c r="C6" s="6" t="str">
        <f t="shared" si="0"/>
        <v>2013-08-01</v>
      </c>
      <c r="D6" s="1">
        <f>D5</f>
        <v>5.2</v>
      </c>
    </row>
    <row r="7" spans="1:4">
      <c r="A7" s="4" t="s">
        <v>128</v>
      </c>
      <c r="B7" s="5">
        <f>DATE(VALUE(MID(A7,FIND(" ",A7)+1,4)),MATCH(LEFT(A7,FIND(" ",A7)-1),{"Январь","Февраль","Март","Апрель","Май","Июнь","Июль","Август","Сентябрь","Октябрь","Ноябрь","Декабрь"},0),1)</f>
        <v>41518</v>
      </c>
      <c r="C7" s="6" t="str">
        <f t="shared" si="0"/>
        <v>2013-09-01</v>
      </c>
      <c r="D7" s="1">
        <f>D6</f>
        <v>5.2</v>
      </c>
    </row>
    <row r="8" spans="1:4">
      <c r="A8" s="4" t="s">
        <v>129</v>
      </c>
      <c r="B8" s="5">
        <f>DATE(VALUE(MID(A8,FIND(" ",A8)+1,4)),MATCH(LEFT(A8,FIND(" ",A8)-1),{"Январь","Февраль","Март","Апрель","Май","Июнь","Июль","Август","Сентябрь","Октябрь","Ноябрь","Декабрь"},0),1)</f>
        <v>41548</v>
      </c>
      <c r="C8" s="6" t="str">
        <f t="shared" si="0"/>
        <v>2013-10-01</v>
      </c>
      <c r="D8" s="1">
        <f>D7</f>
        <v>5.2</v>
      </c>
    </row>
    <row r="9" spans="1:4">
      <c r="A9" s="4" t="s">
        <v>130</v>
      </c>
      <c r="B9" s="5">
        <f>DATE(VALUE(MID(A9,FIND(" ",A9)+1,4)),MATCH(LEFT(A9,FIND(" ",A9)-1),{"Январь","Февраль","Март","Апрель","Май","Июнь","Июль","Август","Сентябрь","Октябрь","Ноябрь","Декабрь"},0),1)</f>
        <v>41579</v>
      </c>
      <c r="C9" s="6" t="str">
        <f t="shared" si="0"/>
        <v>2013-11-01</v>
      </c>
      <c r="D9" s="1">
        <f>D8</f>
        <v>5.2</v>
      </c>
    </row>
    <row r="10" spans="1:4">
      <c r="A10" s="4" t="s">
        <v>131</v>
      </c>
      <c r="B10" s="5">
        <f>DATE(VALUE(MID(A10,FIND(" ",A10)+1,4)),MATCH(LEFT(A10,FIND(" ",A10)-1),{"Январь","Февраль","Март","Апрель","Май","Июнь","Июль","Август","Сентябрь","Октябрь","Ноябрь","Декабрь"},0),1)</f>
        <v>41609</v>
      </c>
      <c r="C10" s="6" t="str">
        <f t="shared" si="0"/>
        <v>2013-12-01</v>
      </c>
      <c r="D10" s="1">
        <f>D9</f>
        <v>5.2</v>
      </c>
    </row>
    <row r="11" spans="1:4">
      <c r="A11" s="4" t="s">
        <v>7</v>
      </c>
      <c r="B11" s="5">
        <f>DATE(VALUE(MID(A11,FIND(" ",A11)+1,4)),MATCH(LEFT(A11,FIND(" ",A11)-1),{"Январь","Февраль","Март","Апрель","Май","Июнь","Июль","Август","Сентябрь","Октябрь","Ноябрь","Декабрь"},0),1)</f>
        <v>41640</v>
      </c>
      <c r="C11" s="6" t="str">
        <f t="shared" si="0"/>
        <v>2014-01-01</v>
      </c>
      <c r="D11" s="1">
        <v>5.2</v>
      </c>
    </row>
    <row r="12" spans="1:4">
      <c r="A12" s="4" t="s">
        <v>8</v>
      </c>
      <c r="B12" s="5">
        <f>DATE(VALUE(MID(A12,FIND(" ",A12)+1,4)),MATCH(LEFT(A12,FIND(" ",A12)-1),{"Январь","Февраль","Март","Апрель","Май","Июнь","Июль","Август","Сентябрь","Октябрь","Ноябрь","Декабрь"},0),1)</f>
        <v>41671</v>
      </c>
      <c r="C12" s="6" t="str">
        <f t="shared" si="0"/>
        <v>2014-02-01</v>
      </c>
      <c r="D12" s="1">
        <v>5.2</v>
      </c>
    </row>
    <row r="13" spans="1:4">
      <c r="A13" s="4" t="s">
        <v>132</v>
      </c>
      <c r="B13" s="5">
        <f>DATE(VALUE(MID(A13,FIND(" ",A13)+1,4)),MATCH(LEFT(A13,FIND(" ",A13)-1),{"Январь","Февраль","Март","Апрель","Май","Июнь","Июль","Август","Сентябрь","Октябрь","Ноябрь","Декабрь"},0),1)</f>
        <v>41699</v>
      </c>
      <c r="C13" s="6" t="str">
        <f t="shared" si="0"/>
        <v>2014-03-01</v>
      </c>
      <c r="D13" s="1">
        <f>D12</f>
        <v>5.2</v>
      </c>
    </row>
    <row r="14" spans="1:4">
      <c r="A14" s="4" t="s">
        <v>133</v>
      </c>
      <c r="B14" s="5">
        <f>DATE(VALUE(MID(A14,FIND(" ",A14)+1,4)),MATCH(LEFT(A14,FIND(" ",A14)-1),{"Январь","Февраль","Март","Апрель","Май","Июнь","Июль","Август","Сентябрь","Октябрь","Ноябрь","Декабрь"},0),1)</f>
        <v>41730</v>
      </c>
      <c r="C14" s="6" t="str">
        <f t="shared" si="0"/>
        <v>2014-04-01</v>
      </c>
      <c r="D14" s="1">
        <f>D13</f>
        <v>5.2</v>
      </c>
    </row>
    <row r="15" spans="1:4">
      <c r="A15" s="4" t="s">
        <v>134</v>
      </c>
      <c r="B15" s="5">
        <f>DATE(VALUE(MID(A15,FIND(" ",A15)+1,4)),MATCH(LEFT(A15,FIND(" ",A15)-1),{"Январь","Февраль","Март","Апрель","Май","Июнь","Июль","Август","Сентябрь","Октябрь","Ноябрь","Декабрь"},0),1)</f>
        <v>41760</v>
      </c>
      <c r="C15" s="6" t="str">
        <f t="shared" si="0"/>
        <v>2014-05-01</v>
      </c>
      <c r="D15" s="1">
        <f>D14</f>
        <v>5.2</v>
      </c>
    </row>
    <row r="16" spans="1:4">
      <c r="A16" s="4" t="s">
        <v>9</v>
      </c>
      <c r="B16" s="5">
        <f>DATE(VALUE(MID(A16,FIND(" ",A16)+1,4)),MATCH(LEFT(A16,FIND(" ",A16)-1),{"Январь","Февраль","Март","Апрель","Май","Июнь","Июль","Август","Сентябрь","Октябрь","Ноябрь","Декабрь"},0),1)</f>
        <v>41791</v>
      </c>
      <c r="C16" s="6" t="str">
        <f t="shared" si="0"/>
        <v>2014-06-01</v>
      </c>
      <c r="D16" s="1">
        <v>5</v>
      </c>
    </row>
    <row r="17" spans="1:4">
      <c r="A17" s="4" t="s">
        <v>135</v>
      </c>
      <c r="B17" s="5">
        <f>DATE(VALUE(MID(A17,FIND(" ",A17)+1,4)),MATCH(LEFT(A17,FIND(" ",A17)-1),{"Январь","Февраль","Март","Апрель","Май","Июнь","Июль","Август","Сентябрь","Октябрь","Ноябрь","Декабрь"},0),1)</f>
        <v>41821</v>
      </c>
      <c r="C17" s="6" t="str">
        <f t="shared" si="0"/>
        <v>2014-07-01</v>
      </c>
      <c r="D17" s="1">
        <f>D16</f>
        <v>5</v>
      </c>
    </row>
    <row r="18" spans="1:4">
      <c r="A18" s="4" t="s">
        <v>10</v>
      </c>
      <c r="B18" s="5">
        <f>DATE(VALUE(MID(A18,FIND(" ",A18)+1,4)),MATCH(LEFT(A18,FIND(" ",A18)-1),{"Январь","Февраль","Март","Апрель","Май","Июнь","Июль","Август","Сентябрь","Октябрь","Ноябрь","Декабрь"},0),1)</f>
        <v>41852</v>
      </c>
      <c r="C18" s="6" t="str">
        <f t="shared" si="0"/>
        <v>2014-08-01</v>
      </c>
      <c r="D18" s="1">
        <v>5.1</v>
      </c>
    </row>
    <row r="19" spans="1:4">
      <c r="A19" s="4" t="s">
        <v>11</v>
      </c>
      <c r="B19" s="5">
        <f>DATE(VALUE(MID(A19,FIND(" ",A19)+1,4)),MATCH(LEFT(A19,FIND(" ",A19)-1),{"Январь","Февраль","Март","Апрель","Май","Июнь","Июль","Август","Сентябрь","Октябрь","Ноябрь","Декабрь"},0),1)</f>
        <v>41883</v>
      </c>
      <c r="C19" s="6" t="str">
        <f t="shared" si="0"/>
        <v>2014-09-01</v>
      </c>
      <c r="D19" s="1">
        <v>5</v>
      </c>
    </row>
    <row r="20" spans="1:4">
      <c r="A20" s="4" t="s">
        <v>12</v>
      </c>
      <c r="B20" s="5">
        <f>DATE(VALUE(MID(A20,FIND(" ",A20)+1,4)),MATCH(LEFT(A20,FIND(" ",A20)-1),{"Январь","Февраль","Март","Апрель","Май","Июнь","Июль","Август","Сентябрь","Октябрь","Ноябрь","Декабрь"},0),1)</f>
        <v>41913</v>
      </c>
      <c r="C20" s="6" t="str">
        <f t="shared" si="0"/>
        <v>2014-10-01</v>
      </c>
      <c r="D20" s="1">
        <v>5</v>
      </c>
    </row>
    <row r="21" spans="1:4">
      <c r="A21" s="4" t="s">
        <v>13</v>
      </c>
      <c r="B21" s="5">
        <f>DATE(VALUE(MID(A21,FIND(" ",A21)+1,4)),MATCH(LEFT(A21,FIND(" ",A21)-1),{"Январь","Февраль","Март","Апрель","Май","Июнь","Июль","Август","Сентябрь","Октябрь","Ноябрь","Декабрь"},0),1)</f>
        <v>41944</v>
      </c>
      <c r="C21" s="6" t="str">
        <f t="shared" si="0"/>
        <v>2014-11-01</v>
      </c>
      <c r="D21" s="1">
        <v>5.1</v>
      </c>
    </row>
    <row r="22" spans="1:4">
      <c r="A22" s="4" t="s">
        <v>136</v>
      </c>
      <c r="B22" s="5">
        <f>DATE(VALUE(MID(A22,FIND(" ",A22)+1,4)),MATCH(LEFT(A22,FIND(" ",A22)-1),{"Январь","Февраль","Март","Апрель","Май","Июнь","Июль","Август","Сентябрь","Октябрь","Ноябрь","Декабрь"},0),1)</f>
        <v>41974</v>
      </c>
      <c r="C22" s="6" t="str">
        <f t="shared" si="0"/>
        <v>2014-12-01</v>
      </c>
      <c r="D22" s="1">
        <f>D21</f>
        <v>5.1</v>
      </c>
    </row>
    <row r="23" spans="1:4">
      <c r="A23" s="4" t="s">
        <v>14</v>
      </c>
      <c r="B23" s="5">
        <f>DATE(VALUE(MID(A23,FIND(" ",A23)+1,4)),MATCH(LEFT(A23,FIND(" ",A23)-1),{"Январь","Февраль","Март","Апрель","Май","Июнь","Июль","Август","Сентябрь","Октябрь","Ноябрь","Декабрь"},0),1)</f>
        <v>42005</v>
      </c>
      <c r="C23" s="6" t="str">
        <f t="shared" si="0"/>
        <v>2015-01-01</v>
      </c>
      <c r="D23" s="1">
        <v>5</v>
      </c>
    </row>
    <row r="24" spans="1:4">
      <c r="A24" s="4" t="s">
        <v>15</v>
      </c>
      <c r="B24" s="5">
        <f>DATE(VALUE(MID(A24,FIND(" ",A24)+1,4)),MATCH(LEFT(A24,FIND(" ",A24)-1),{"Январь","Февраль","Март","Апрель","Май","Июнь","Июль","Август","Сентябрь","Октябрь","Ноябрь","Декабрь"},0),1)</f>
        <v>42036</v>
      </c>
      <c r="C24" s="6" t="str">
        <f t="shared" si="0"/>
        <v>2015-02-01</v>
      </c>
      <c r="D24" s="1">
        <v>5</v>
      </c>
    </row>
    <row r="25" spans="1:4">
      <c r="A25" s="4" t="s">
        <v>16</v>
      </c>
      <c r="B25" s="5">
        <f>DATE(VALUE(MID(A25,FIND(" ",A25)+1,4)),MATCH(LEFT(A25,FIND(" ",A25)-1),{"Январь","Февраль","Март","Апрель","Май","Июнь","Июль","Август","Сентябрь","Октябрь","Ноябрь","Декабрь"},0),1)</f>
        <v>42064</v>
      </c>
      <c r="C25" s="6" t="str">
        <f t="shared" si="0"/>
        <v>2015-03-01</v>
      </c>
      <c r="D25" s="1">
        <v>5</v>
      </c>
    </row>
    <row r="26" spans="1:4">
      <c r="A26" s="4" t="s">
        <v>17</v>
      </c>
      <c r="B26" s="5">
        <f>DATE(VALUE(MID(A26,FIND(" ",A26)+1,4)),MATCH(LEFT(A26,FIND(" ",A26)-1),{"Январь","Февраль","Март","Апрель","Май","Июнь","Июль","Август","Сентябрь","Октябрь","Ноябрь","Декабрь"},0),1)</f>
        <v>42095</v>
      </c>
      <c r="C26" s="6" t="str">
        <f t="shared" si="0"/>
        <v>2015-04-01</v>
      </c>
      <c r="D26" s="1">
        <v>5</v>
      </c>
    </row>
    <row r="27" spans="1:4">
      <c r="A27" s="4" t="s">
        <v>18</v>
      </c>
      <c r="B27" s="5">
        <f>DATE(VALUE(MID(A27,FIND(" ",A27)+1,4)),MATCH(LEFT(A27,FIND(" ",A27)-1),{"Январь","Февраль","Март","Апрель","Май","Июнь","Июль","Август","Сентябрь","Октябрь","Ноябрь","Декабрь"},0),1)</f>
        <v>42125</v>
      </c>
      <c r="C27" s="6" t="str">
        <f t="shared" si="0"/>
        <v>2015-05-01</v>
      </c>
      <c r="D27" s="1">
        <v>5</v>
      </c>
    </row>
    <row r="28" spans="1:4">
      <c r="A28" s="4" t="s">
        <v>19</v>
      </c>
      <c r="B28" s="5">
        <f>DATE(VALUE(MID(A28,FIND(" ",A28)+1,4)),MATCH(LEFT(A28,FIND(" ",A28)-1),{"Январь","Февраль","Март","Апрель","Май","Июнь","Июль","Август","Сентябрь","Октябрь","Ноябрь","Декабрь"},0),1)</f>
        <v>42156</v>
      </c>
      <c r="C28" s="6" t="str">
        <f t="shared" si="0"/>
        <v>2015-06-01</v>
      </c>
      <c r="D28" s="1">
        <v>4.9</v>
      </c>
    </row>
    <row r="29" spans="1:4">
      <c r="A29" s="4" t="s">
        <v>20</v>
      </c>
      <c r="B29" s="5">
        <f>DATE(VALUE(MID(A29,FIND(" ",A29)+1,4)),MATCH(LEFT(A29,FIND(" ",A29)-1),{"Январь","Февраль","Март","Апрель","Май","Июнь","Июль","Август","Сентябрь","Октябрь","Ноябрь","Декабрь"},0),1)</f>
        <v>42186</v>
      </c>
      <c r="C29" s="6" t="str">
        <f t="shared" si="0"/>
        <v>2015-07-01</v>
      </c>
      <c r="D29" s="1">
        <v>4.9</v>
      </c>
    </row>
    <row r="30" spans="1:4">
      <c r="A30" s="4" t="s">
        <v>21</v>
      </c>
      <c r="B30" s="5">
        <f>DATE(VALUE(MID(A30,FIND(" ",A30)+1,4)),MATCH(LEFT(A30,FIND(" ",A30)-1),{"Январь","Февраль","Март","Апрель","Май","Июнь","Июль","Август","Сентябрь","Октябрь","Ноябрь","Декабрь"},0),1)</f>
        <v>42217</v>
      </c>
      <c r="C30" s="6" t="str">
        <f t="shared" si="0"/>
        <v>2015-08-01</v>
      </c>
      <c r="D30" s="1">
        <v>4.9</v>
      </c>
    </row>
    <row r="31" spans="1:4">
      <c r="A31" s="4" t="s">
        <v>22</v>
      </c>
      <c r="B31" s="5">
        <f>DATE(VALUE(MID(A31,FIND(" ",A31)+1,4)),MATCH(LEFT(A31,FIND(" ",A31)-1),{"Январь","Февраль","Март","Апрель","Май","Июнь","Июль","Август","Сентябрь","Октябрь","Ноябрь","Декабрь"},0),1)</f>
        <v>42248</v>
      </c>
      <c r="C31" s="6" t="str">
        <f t="shared" si="0"/>
        <v>2015-09-01</v>
      </c>
      <c r="D31" s="1">
        <v>4.9</v>
      </c>
    </row>
    <row r="32" spans="1:4">
      <c r="A32" s="4" t="s">
        <v>23</v>
      </c>
      <c r="B32" s="5">
        <f>DATE(VALUE(MID(A32,FIND(" ",A32)+1,4)),MATCH(LEFT(A32,FIND(" ",A32)-1),{"Январь","Февраль","Март","Апрель","Май","Июнь","Июль","Август","Сентябрь","Октябрь","Ноябрь","Декабрь"},0),1)</f>
        <v>42278</v>
      </c>
      <c r="C32" s="6" t="str">
        <f t="shared" si="0"/>
        <v>2015-10-01</v>
      </c>
      <c r="D32" s="1">
        <v>4.9</v>
      </c>
    </row>
    <row r="33" spans="1:4">
      <c r="A33" s="4" t="s">
        <v>24</v>
      </c>
      <c r="B33" s="5">
        <f>DATE(VALUE(MID(A33,FIND(" ",A33)+1,4)),MATCH(LEFT(A33,FIND(" ",A33)-1),{"Январь","Февраль","Март","Апрель","Май","Июнь","Июль","Август","Сентябрь","Октябрь","Ноябрь","Декабрь"},0),1)</f>
        <v>42309</v>
      </c>
      <c r="C33" s="6" t="str">
        <f t="shared" si="0"/>
        <v>2015-11-01</v>
      </c>
      <c r="D33" s="1">
        <v>5</v>
      </c>
    </row>
    <row r="34" spans="1:4">
      <c r="A34" s="4" t="s">
        <v>25</v>
      </c>
      <c r="B34" s="5">
        <f>DATE(VALUE(MID(A34,FIND(" ",A34)+1,4)),MATCH(LEFT(A34,FIND(" ",A34)-1),{"Январь","Февраль","Март","Апрель","Май","Июнь","Июль","Август","Сентябрь","Октябрь","Ноябрь","Декабрь"},0),1)</f>
        <v>42339</v>
      </c>
      <c r="C34" s="6" t="str">
        <f t="shared" si="0"/>
        <v>2015-12-01</v>
      </c>
      <c r="D34" s="1">
        <v>5</v>
      </c>
    </row>
    <row r="35" spans="1:4">
      <c r="A35" s="4" t="s">
        <v>26</v>
      </c>
      <c r="B35" s="5">
        <f>DATE(VALUE(MID(A35,FIND(" ",A35)+1,4)),MATCH(LEFT(A35,FIND(" ",A35)-1),{"Январь","Февраль","Март","Апрель","Май","Июнь","Июль","Август","Сентябрь","Октябрь","Ноябрь","Декабрь"},0),1)</f>
        <v>42370</v>
      </c>
      <c r="C35" s="6" t="str">
        <f t="shared" si="0"/>
        <v>2016-01-01</v>
      </c>
      <c r="D35" s="1">
        <v>5.1</v>
      </c>
    </row>
    <row r="36" spans="1:4">
      <c r="A36" s="4" t="s">
        <v>27</v>
      </c>
      <c r="B36" s="5">
        <f>DATE(VALUE(MID(A36,FIND(" ",A36)+1,4)),MATCH(LEFT(A36,FIND(" ",A36)-1),{"Январь","Февраль","Март","Апрель","Май","Июнь","Июль","Август","Сентябрь","Октябрь","Ноябрь","Декабрь"},0),1)</f>
        <v>42401</v>
      </c>
      <c r="C36" s="6" t="str">
        <f t="shared" si="0"/>
        <v>2016-02-01</v>
      </c>
      <c r="D36" s="1">
        <v>5.1</v>
      </c>
    </row>
    <row r="37" spans="1:4">
      <c r="A37" s="4" t="s">
        <v>28</v>
      </c>
      <c r="B37" s="5">
        <f>DATE(VALUE(MID(A37,FIND(" ",A37)+1,4)),MATCH(LEFT(A37,FIND(" ",A37)-1),{"Январь","Февраль","Март","Апрель","Май","Июнь","Июль","Август","Сентябрь","Октябрь","Ноябрь","Декабрь"},0),1)</f>
        <v>42430</v>
      </c>
      <c r="C37" s="6" t="str">
        <f t="shared" si="0"/>
        <v>2016-03-01</v>
      </c>
      <c r="D37" s="1">
        <v>5.1</v>
      </c>
    </row>
    <row r="38" spans="1:4">
      <c r="A38" s="4" t="s">
        <v>29</v>
      </c>
      <c r="B38" s="5">
        <f>DATE(VALUE(MID(A38,FIND(" ",A38)+1,4)),MATCH(LEFT(A38,FIND(" ",A38)-1),{"Январь","Февраль","Март","Апрель","Май","Июнь","Июль","Август","Сентябрь","Октябрь","Ноябрь","Декабрь"},0),1)</f>
        <v>42461</v>
      </c>
      <c r="C38" s="6" t="str">
        <f t="shared" si="0"/>
        <v>2016-04-01</v>
      </c>
      <c r="D38" s="1">
        <v>4.9</v>
      </c>
    </row>
    <row r="39" spans="1:4">
      <c r="A39" s="4" t="s">
        <v>30</v>
      </c>
      <c r="B39" s="5">
        <f>DATE(VALUE(MID(A39,FIND(" ",A39)+1,4)),MATCH(LEFT(A39,FIND(" ",A39)-1),{"Январь","Февраль","Март","Апрель","Май","Июнь","Июль","Август","Сентябрь","Октябрь","Ноябрь","Декабрь"},0),1)</f>
        <v>42491</v>
      </c>
      <c r="C39" s="6" t="str">
        <f t="shared" si="0"/>
        <v>2016-05-01</v>
      </c>
      <c r="D39" s="1">
        <v>4.9</v>
      </c>
    </row>
    <row r="40" spans="1:4">
      <c r="A40" s="4" t="s">
        <v>137</v>
      </c>
      <c r="B40" s="5">
        <f>DATE(VALUE(MID(A40,FIND(" ",A40)+1,4)),MATCH(LEFT(A40,FIND(" ",A40)-1),{"Январь","Февраль","Март","Апрель","Май","Июнь","Июль","Август","Сентябрь","Октябрь","Ноябрь","Декабрь"},0),1)</f>
        <v>42522</v>
      </c>
      <c r="C40" s="6" t="str">
        <f t="shared" si="0"/>
        <v>2016-06-01</v>
      </c>
      <c r="D40" s="1">
        <f>D39</f>
        <v>4.9</v>
      </c>
    </row>
    <row r="41" spans="1:4">
      <c r="A41" s="4" t="s">
        <v>31</v>
      </c>
      <c r="B41" s="5">
        <f>DATE(VALUE(MID(A41,FIND(" ",A41)+1,4)),MATCH(LEFT(A41,FIND(" ",A41)-1),{"Январь","Февраль","Март","Апрель","Май","Июнь","Июль","Август","Сентябрь","Октябрь","Ноябрь","Декабрь"},0),1)</f>
        <v>42552</v>
      </c>
      <c r="C41" s="6" t="str">
        <f t="shared" si="0"/>
        <v>2016-07-01</v>
      </c>
      <c r="D41" s="1">
        <v>5.1</v>
      </c>
    </row>
    <row r="42" spans="1:4">
      <c r="A42" s="4" t="s">
        <v>32</v>
      </c>
      <c r="B42" s="5">
        <f>DATE(VALUE(MID(A42,FIND(" ",A42)+1,4)),MATCH(LEFT(A42,FIND(" ",A42)-1),{"Январь","Февраль","Март","Апрель","Май","Июнь","Июль","Август","Сентябрь","Октябрь","Ноябрь","Декабрь"},0),1)</f>
        <v>42583</v>
      </c>
      <c r="C42" s="6" t="str">
        <f t="shared" si="0"/>
        <v>2016-08-01</v>
      </c>
      <c r="D42" s="1">
        <v>5</v>
      </c>
    </row>
    <row r="43" spans="1:4">
      <c r="A43" s="4" t="s">
        <v>33</v>
      </c>
      <c r="B43" s="5">
        <f>DATE(VALUE(MID(A43,FIND(" ",A43)+1,4)),MATCH(LEFT(A43,FIND(" ",A43)-1),{"Январь","Февраль","Март","Апрель","Май","Июнь","Июль","Август","Сентябрь","Октябрь","Ноябрь","Декабрь"},0),1)</f>
        <v>42614</v>
      </c>
      <c r="C43" s="6" t="str">
        <f t="shared" si="0"/>
        <v>2016-09-01</v>
      </c>
      <c r="D43" s="1">
        <v>5</v>
      </c>
    </row>
    <row r="44" spans="1:4">
      <c r="A44" s="4" t="s">
        <v>34</v>
      </c>
      <c r="B44" s="5">
        <f>DATE(VALUE(MID(A44,FIND(" ",A44)+1,4)),MATCH(LEFT(A44,FIND(" ",A44)-1),{"Январь","Февраль","Март","Апрель","Май","Июнь","Июль","Август","Сентябрь","Октябрь","Ноябрь","Декабрь"},0),1)</f>
        <v>42644</v>
      </c>
      <c r="C44" s="6" t="str">
        <f t="shared" si="0"/>
        <v>2016-10-01</v>
      </c>
      <c r="D44" s="1">
        <v>4.9</v>
      </c>
    </row>
    <row r="45" spans="1:4">
      <c r="A45" s="4" t="s">
        <v>35</v>
      </c>
      <c r="B45" s="5">
        <f>DATE(VALUE(MID(A45,FIND(" ",A45)+1,4)),MATCH(LEFT(A45,FIND(" ",A45)-1),{"Январь","Февраль","Март","Апрель","Май","Июнь","Июль","Август","Сентябрь","Октябрь","Ноябрь","Декабрь"},0),1)</f>
        <v>42675</v>
      </c>
      <c r="C45" s="6" t="str">
        <f t="shared" si="0"/>
        <v>2016-11-01</v>
      </c>
      <c r="D45" s="1">
        <v>5</v>
      </c>
    </row>
    <row r="46" spans="1:4">
      <c r="A46" s="4" t="s">
        <v>36</v>
      </c>
      <c r="B46" s="5">
        <f>DATE(VALUE(MID(A46,FIND(" ",A46)+1,4)),MATCH(LEFT(A46,FIND(" ",A46)-1),{"Январь","Февраль","Март","Апрель","Май","Июнь","Июль","Август","Сентябрь","Октябрь","Ноябрь","Декабрь"},0),1)</f>
        <v>42705</v>
      </c>
      <c r="C46" s="6" t="str">
        <f t="shared" si="0"/>
        <v>2016-12-01</v>
      </c>
      <c r="D46" s="1">
        <v>5</v>
      </c>
    </row>
    <row r="47" spans="1:4">
      <c r="A47" s="4" t="s">
        <v>37</v>
      </c>
      <c r="B47" s="5">
        <f>DATE(VALUE(MID(A47,FIND(" ",A47)+1,4)),MATCH(LEFT(A47,FIND(" ",A47)-1),{"Январь","Февраль","Март","Апрель","Май","Июнь","Июль","Август","Сентябрь","Октябрь","Ноябрь","Декабрь"},0),1)</f>
        <v>42736</v>
      </c>
      <c r="C47" s="6" t="str">
        <f t="shared" si="0"/>
        <v>2017-01-01</v>
      </c>
      <c r="D47" s="1">
        <v>4.9</v>
      </c>
    </row>
    <row r="48" spans="1:4">
      <c r="A48" s="4" t="s">
        <v>38</v>
      </c>
      <c r="B48" s="5">
        <f>DATE(VALUE(MID(A48,FIND(" ",A48)+1,4)),MATCH(LEFT(A48,FIND(" ",A48)-1),{"Январь","Февраль","Март","Апрель","Май","Июнь","Июль","Август","Сентябрь","Октябрь","Ноябрь","Декабрь"},0),1)</f>
        <v>42767</v>
      </c>
      <c r="C48" s="6" t="str">
        <f t="shared" si="0"/>
        <v>2017-02-01</v>
      </c>
      <c r="D48" s="1">
        <v>4.9</v>
      </c>
    </row>
    <row r="49" spans="1:4">
      <c r="A49" s="4" t="s">
        <v>39</v>
      </c>
      <c r="B49" s="5">
        <f>DATE(VALUE(MID(A49,FIND(" ",A49)+1,4)),MATCH(LEFT(A49,FIND(" ",A49)-1),{"Январь","Февраль","Март","Апрель","Май","Июнь","Июль","Август","Сентябрь","Октябрь","Ноябрь","Декабрь"},0),1)</f>
        <v>42795</v>
      </c>
      <c r="C49" s="6" t="str">
        <f t="shared" si="0"/>
        <v>2017-03-01</v>
      </c>
      <c r="D49" s="1">
        <v>4.9</v>
      </c>
    </row>
    <row r="50" spans="1:4">
      <c r="A50" s="4" t="s">
        <v>40</v>
      </c>
      <c r="B50" s="5">
        <f>DATE(VALUE(MID(A50,FIND(" ",A50)+1,4)),MATCH(LEFT(A50,FIND(" ",A50)-1),{"Январь","Февраль","Март","Апрель","Май","Июнь","Июль","Август","Сентябрь","Октябрь","Ноябрь","Декабрь"},0),1)</f>
        <v>42826</v>
      </c>
      <c r="C50" s="6" t="str">
        <f t="shared" si="0"/>
        <v>2017-04-01</v>
      </c>
      <c r="D50" s="1">
        <v>4.9</v>
      </c>
    </row>
    <row r="51" spans="1:4">
      <c r="A51" s="4" t="s">
        <v>41</v>
      </c>
      <c r="B51" s="5">
        <f>DATE(VALUE(MID(A51,FIND(" ",A51)+1,4)),MATCH(LEFT(A51,FIND(" ",A51)-1),{"Январь","Февраль","Март","Апрель","Май","Июнь","Июль","Август","Сентябрь","Октябрь","Ноябрь","Декабрь"},0),1)</f>
        <v>42856</v>
      </c>
      <c r="C51" s="6" t="str">
        <f t="shared" si="0"/>
        <v>2017-05-01</v>
      </c>
      <c r="D51" s="1">
        <v>4.8</v>
      </c>
    </row>
    <row r="52" spans="1:4">
      <c r="A52" s="4" t="s">
        <v>42</v>
      </c>
      <c r="B52" s="5">
        <f>DATE(VALUE(MID(A52,FIND(" ",A52)+1,4)),MATCH(LEFT(A52,FIND(" ",A52)-1),{"Январь","Февраль","Март","Апрель","Май","Июнь","Июль","Август","Сентябрь","Октябрь","Ноябрь","Декабрь"},0),1)</f>
        <v>42887</v>
      </c>
      <c r="C52" s="6" t="str">
        <f t="shared" si="0"/>
        <v>2017-06-01</v>
      </c>
      <c r="D52" s="1">
        <v>4.9</v>
      </c>
    </row>
    <row r="53" spans="1:4">
      <c r="A53" s="4" t="s">
        <v>138</v>
      </c>
      <c r="B53" s="5">
        <f>DATE(VALUE(MID(A53,FIND(" ",A53)+1,4)),MATCH(LEFT(A53,FIND(" ",A53)-1),{"Январь","Февраль","Март","Апрель","Май","Июнь","Июль","Август","Сентябрь","Октябрь","Ноябрь","Декабрь"},0),1)</f>
        <v>42917</v>
      </c>
      <c r="C53" s="6" t="str">
        <f t="shared" si="0"/>
        <v>2017-07-01</v>
      </c>
      <c r="D53" s="1">
        <f>D52</f>
        <v>4.9</v>
      </c>
    </row>
    <row r="54" spans="1:4">
      <c r="A54" s="4" t="s">
        <v>43</v>
      </c>
      <c r="B54" s="5">
        <f>DATE(VALUE(MID(A54,FIND(" ",A54)+1,4)),MATCH(LEFT(A54,FIND(" ",A54)-1),{"Январь","Февраль","Март","Апрель","Май","Июнь","Июль","Август","Сентябрь","Октябрь","Ноябрь","Декабрь"},0),1)</f>
        <v>42948</v>
      </c>
      <c r="C54" s="6" t="str">
        <f t="shared" si="0"/>
        <v>2017-08-01</v>
      </c>
      <c r="D54" s="1">
        <v>4.9</v>
      </c>
    </row>
    <row r="55" spans="1:4">
      <c r="A55" s="4" t="s">
        <v>44</v>
      </c>
      <c r="B55" s="5">
        <f>DATE(VALUE(MID(A55,FIND(" ",A55)+1,4)),MATCH(LEFT(A55,FIND(" ",A55)-1),{"Январь","Февраль","Март","Апрель","Май","Июнь","Июль","Август","Сентябрь","Октябрь","Ноябрь","Декабрь"},0),1)</f>
        <v>42979</v>
      </c>
      <c r="C55" s="6" t="str">
        <f t="shared" si="0"/>
        <v>2017-09-01</v>
      </c>
      <c r="D55" s="1">
        <v>4.9</v>
      </c>
    </row>
    <row r="56" spans="1:4">
      <c r="A56" s="4" t="s">
        <v>45</v>
      </c>
      <c r="B56" s="5">
        <f>DATE(VALUE(MID(A56,FIND(" ",A56)+1,4)),MATCH(LEFT(A56,FIND(" ",A56)-1),{"Январь","Февраль","Март","Апрель","Май","Июнь","Июль","Август","Сентябрь","Октябрь","Ноябрь","Декабрь"},0),1)</f>
        <v>43009</v>
      </c>
      <c r="C56" s="6" t="str">
        <f t="shared" si="0"/>
        <v>2017-10-01</v>
      </c>
      <c r="D56" s="1">
        <v>4.9</v>
      </c>
    </row>
    <row r="57" spans="1:4">
      <c r="A57" s="4" t="s">
        <v>46</v>
      </c>
      <c r="B57" s="5">
        <f>DATE(VALUE(MID(A57,FIND(" ",A57)+1,4)),MATCH(LEFT(A57,FIND(" ",A57)-1),{"Январь","Февраль","Март","Апрель","Май","Июнь","Июль","Август","Сентябрь","Октябрь","Ноябрь","Декабрь"},0),1)</f>
        <v>43040</v>
      </c>
      <c r="C57" s="6" t="str">
        <f t="shared" si="0"/>
        <v>2017-11-01</v>
      </c>
      <c r="D57" s="1">
        <v>5</v>
      </c>
    </row>
    <row r="58" spans="1:4">
      <c r="A58" s="4" t="s">
        <v>47</v>
      </c>
      <c r="B58" s="5">
        <f>DATE(VALUE(MID(A58,FIND(" ",A58)+1,4)),MATCH(LEFT(A58,FIND(" ",A58)-1),{"Январь","Февраль","Март","Апрель","Май","Июнь","Июль","Август","Сентябрь","Октябрь","Ноябрь","Декабрь"},0),1)</f>
        <v>43070</v>
      </c>
      <c r="C58" s="6" t="str">
        <f t="shared" si="0"/>
        <v>2017-12-01</v>
      </c>
      <c r="D58" s="1">
        <v>5</v>
      </c>
    </row>
    <row r="59" spans="1:4">
      <c r="A59" s="4" t="s">
        <v>48</v>
      </c>
      <c r="B59" s="5">
        <f>DATE(VALUE(MID(A59,FIND(" ",A59)+1,4)),MATCH(LEFT(A59,FIND(" ",A59)-1),{"Январь","Февраль","Март","Апрель","Май","Июнь","Июль","Август","Сентябрь","Октябрь","Ноябрь","Декабрь"},0),1)</f>
        <v>43101</v>
      </c>
      <c r="C59" s="6" t="str">
        <f t="shared" si="0"/>
        <v>2018-01-01</v>
      </c>
      <c r="D59" s="1">
        <v>4.9</v>
      </c>
    </row>
    <row r="60" spans="1:4">
      <c r="A60" s="4" t="s">
        <v>49</v>
      </c>
      <c r="B60" s="5">
        <f>DATE(VALUE(MID(A60,FIND(" ",A60)+1,4)),MATCH(LEFT(A60,FIND(" ",A60)-1),{"Январь","Февраль","Март","Апрель","Май","Июнь","Июль","Август","Сентябрь","Октябрь","Ноябрь","Декабрь"},0),1)</f>
        <v>43132</v>
      </c>
      <c r="C60" s="6" t="str">
        <f t="shared" si="0"/>
        <v>2018-02-01</v>
      </c>
      <c r="D60" s="1">
        <v>4.9</v>
      </c>
    </row>
    <row r="61" spans="1:4">
      <c r="A61" s="4" t="s">
        <v>50</v>
      </c>
      <c r="B61" s="5">
        <f>DATE(VALUE(MID(A61,FIND(" ",A61)+1,4)),MATCH(LEFT(A61,FIND(" ",A61)-1),{"Январь","Февраль","Март","Апрель","Май","Июнь","Июль","Август","Сентябрь","Октябрь","Ноябрь","Декабрь"},0),1)</f>
        <v>43160</v>
      </c>
      <c r="C61" s="6" t="str">
        <f t="shared" si="0"/>
        <v>2018-03-01</v>
      </c>
      <c r="D61" s="1">
        <v>4.9</v>
      </c>
    </row>
    <row r="62" spans="1:4">
      <c r="A62" s="4" t="s">
        <v>51</v>
      </c>
      <c r="B62" s="5">
        <f>DATE(VALUE(MID(A62,FIND(" ",A62)+1,4)),MATCH(LEFT(A62,FIND(" ",A62)-1),{"Январь","Февраль","Март","Апрель","Май","Июнь","Июль","Август","Сентябрь","Октябрь","Ноябрь","Декабрь"},0),1)</f>
        <v>43191</v>
      </c>
      <c r="C62" s="6" t="str">
        <f t="shared" si="0"/>
        <v>2018-04-01</v>
      </c>
      <c r="D62" s="1">
        <v>4.9</v>
      </c>
    </row>
    <row r="63" spans="1:4">
      <c r="A63" s="4" t="s">
        <v>52</v>
      </c>
      <c r="B63" s="5">
        <f>DATE(VALUE(MID(A63,FIND(" ",A63)+1,4)),MATCH(LEFT(A63,FIND(" ",A63)-1),{"Январь","Февраль","Март","Апрель","Май","Июнь","Июль","Август","Сентябрь","Октябрь","Ноябрь","Декабрь"},0),1)</f>
        <v>43221</v>
      </c>
      <c r="C63" s="6" t="str">
        <f t="shared" si="0"/>
        <v>2018-05-01</v>
      </c>
      <c r="D63" s="1">
        <v>4.9</v>
      </c>
    </row>
    <row r="64" spans="1:4">
      <c r="A64" s="4" t="s">
        <v>53</v>
      </c>
      <c r="B64" s="5">
        <f>DATE(VALUE(MID(A64,FIND(" ",A64)+1,4)),MATCH(LEFT(A64,FIND(" ",A64)-1),{"Январь","Февраль","Март","Апрель","Май","Июнь","Июль","Август","Сентябрь","Октябрь","Ноябрь","Декабрь"},0),1)</f>
        <v>43252</v>
      </c>
      <c r="C64" s="6" t="str">
        <f t="shared" si="0"/>
        <v>2018-06-01</v>
      </c>
      <c r="D64" s="1">
        <v>4.9</v>
      </c>
    </row>
    <row r="65" spans="1:4">
      <c r="A65" s="4" t="s">
        <v>54</v>
      </c>
      <c r="B65" s="5">
        <f>DATE(VALUE(MID(A65,FIND(" ",A65)+1,4)),MATCH(LEFT(A65,FIND(" ",A65)-1),{"Январь","Февраль","Март","Апрель","Май","Июнь","Июль","Август","Сентябрь","Октябрь","Ноябрь","Декабрь"},0),1)</f>
        <v>43282</v>
      </c>
      <c r="C65" s="6" t="str">
        <f t="shared" si="0"/>
        <v>2018-07-01</v>
      </c>
      <c r="D65" s="1">
        <v>4.8</v>
      </c>
    </row>
    <row r="66" spans="1:4">
      <c r="A66" s="4" t="s">
        <v>55</v>
      </c>
      <c r="B66" s="5">
        <f>DATE(VALUE(MID(A66,FIND(" ",A66)+1,4)),MATCH(LEFT(A66,FIND(" ",A66)-1),{"Январь","Февраль","Март","Апрель","Май","Июнь","Июль","Август","Сентябрь","Октябрь","Ноябрь","Декабрь"},0),1)</f>
        <v>43313</v>
      </c>
      <c r="C66" s="6" t="str">
        <f t="shared" ref="C66:C129" si="1">TEXT(B66,"yyyy-mm-01")</f>
        <v>2018-08-01</v>
      </c>
      <c r="D66" s="1">
        <v>4.8</v>
      </c>
    </row>
    <row r="67" spans="1:4">
      <c r="A67" s="4" t="s">
        <v>56</v>
      </c>
      <c r="B67" s="5">
        <f>DATE(VALUE(MID(A67,FIND(" ",A67)+1,4)),MATCH(LEFT(A67,FIND(" ",A67)-1),{"Январь","Февраль","Март","Апрель","Май","Июнь","Июль","Август","Сентябрь","Октябрь","Ноябрь","Декабрь"},0),1)</f>
        <v>43344</v>
      </c>
      <c r="C67" s="6" t="str">
        <f t="shared" si="1"/>
        <v>2018-09-01</v>
      </c>
      <c r="D67" s="1">
        <v>4.8</v>
      </c>
    </row>
    <row r="68" spans="1:4">
      <c r="A68" s="4" t="s">
        <v>57</v>
      </c>
      <c r="B68" s="5">
        <f>DATE(VALUE(MID(A68,FIND(" ",A68)+1,4)),MATCH(LEFT(A68,FIND(" ",A68)-1),{"Январь","Февраль","Март","Апрель","Май","Июнь","Июль","Август","Сентябрь","Октябрь","Ноябрь","Декабрь"},0),1)</f>
        <v>43374</v>
      </c>
      <c r="C68" s="6" t="str">
        <f t="shared" si="1"/>
        <v>2018-10-01</v>
      </c>
      <c r="D68" s="1">
        <v>4.8</v>
      </c>
    </row>
    <row r="69" spans="1:4">
      <c r="A69" s="4" t="s">
        <v>58</v>
      </c>
      <c r="B69" s="5">
        <f>DATE(VALUE(MID(A69,FIND(" ",A69)+1,4)),MATCH(LEFT(A69,FIND(" ",A69)-1),{"Январь","Февраль","Март","Апрель","Май","Июнь","Июль","Август","Сентябрь","Октябрь","Ноябрь","Декабрь"},0),1)</f>
        <v>43405</v>
      </c>
      <c r="C69" s="6" t="str">
        <f t="shared" si="1"/>
        <v>2018-11-01</v>
      </c>
      <c r="D69" s="1">
        <v>4.8</v>
      </c>
    </row>
    <row r="70" spans="1:4">
      <c r="A70" s="4" t="s">
        <v>59</v>
      </c>
      <c r="B70" s="5">
        <f>DATE(VALUE(MID(A70,FIND(" ",A70)+1,4)),MATCH(LEFT(A70,FIND(" ",A70)-1),{"Январь","Февраль","Март","Апрель","Май","Июнь","Июль","Август","Сентябрь","Октябрь","Ноябрь","Декабрь"},0),1)</f>
        <v>43435</v>
      </c>
      <c r="C70" s="6" t="str">
        <f t="shared" si="1"/>
        <v>2018-12-01</v>
      </c>
      <c r="D70" s="1">
        <v>4.8</v>
      </c>
    </row>
    <row r="71" spans="1:4">
      <c r="A71" s="4" t="s">
        <v>60</v>
      </c>
      <c r="B71" s="5">
        <f>DATE(VALUE(MID(A71,FIND(" ",A71)+1,4)),MATCH(LEFT(A71,FIND(" ",A71)-1),{"Январь","Февраль","Март","Апрель","Май","Июнь","Июль","Август","Сентябрь","Октябрь","Ноябрь","Декабрь"},0),1)</f>
        <v>43466</v>
      </c>
      <c r="C71" s="6" t="str">
        <f t="shared" si="1"/>
        <v>2019-01-01</v>
      </c>
      <c r="D71" s="1">
        <v>4.8</v>
      </c>
    </row>
    <row r="72" spans="1:4">
      <c r="A72" s="4" t="s">
        <v>61</v>
      </c>
      <c r="B72" s="5">
        <f>DATE(VALUE(MID(A72,FIND(" ",A72)+1,4)),MATCH(LEFT(A72,FIND(" ",A72)-1),{"Январь","Февраль","Март","Апрель","Май","Июнь","Июль","Август","Сентябрь","Октябрь","Ноябрь","Декабрь"},0),1)</f>
        <v>43497</v>
      </c>
      <c r="C72" s="6" t="str">
        <f t="shared" si="1"/>
        <v>2019-02-01</v>
      </c>
      <c r="D72" s="1">
        <v>4.8</v>
      </c>
    </row>
    <row r="73" spans="1:4">
      <c r="A73" s="4" t="s">
        <v>62</v>
      </c>
      <c r="B73" s="5">
        <f>DATE(VALUE(MID(A73,FIND(" ",A73)+1,4)),MATCH(LEFT(A73,FIND(" ",A73)-1),{"Январь","Февраль","Март","Апрель","Май","Июнь","Июль","Август","Сентябрь","Октябрь","Ноябрь","Декабрь"},0),1)</f>
        <v>43525</v>
      </c>
      <c r="C73" s="6" t="str">
        <f t="shared" si="1"/>
        <v>2019-03-01</v>
      </c>
      <c r="D73" s="1">
        <v>4.8</v>
      </c>
    </row>
    <row r="74" spans="1:4">
      <c r="A74" s="4" t="s">
        <v>63</v>
      </c>
      <c r="B74" s="5">
        <f>DATE(VALUE(MID(A74,FIND(" ",A74)+1,4)),MATCH(LEFT(A74,FIND(" ",A74)-1),{"Январь","Февраль","Март","Апрель","Май","Июнь","Июль","Август","Сентябрь","Октябрь","Ноябрь","Декабрь"},0),1)</f>
        <v>43556</v>
      </c>
      <c r="C74" s="6" t="str">
        <f t="shared" si="1"/>
        <v>2019-04-01</v>
      </c>
      <c r="D74" s="1">
        <v>4.8</v>
      </c>
    </row>
    <row r="75" spans="1:4">
      <c r="A75" s="4" t="s">
        <v>64</v>
      </c>
      <c r="B75" s="5">
        <f>DATE(VALUE(MID(A75,FIND(" ",A75)+1,4)),MATCH(LEFT(A75,FIND(" ",A75)-1),{"Январь","Февраль","Март","Апрель","Май","Июнь","Июль","Август","Сентябрь","Октябрь","Ноябрь","Декабрь"},0),1)</f>
        <v>43586</v>
      </c>
      <c r="C75" s="6" t="str">
        <f t="shared" si="1"/>
        <v>2019-05-01</v>
      </c>
      <c r="D75" s="1">
        <v>4.8</v>
      </c>
    </row>
    <row r="76" spans="1:4">
      <c r="A76" s="4" t="s">
        <v>65</v>
      </c>
      <c r="B76" s="5">
        <f>DATE(VALUE(MID(A76,FIND(" ",A76)+1,4)),MATCH(LEFT(A76,FIND(" ",A76)-1),{"Январь","Февраль","Март","Апрель","Май","Июнь","Июль","Август","Сентябрь","Октябрь","Ноябрь","Декабрь"},0),1)</f>
        <v>43617</v>
      </c>
      <c r="C76" s="6" t="str">
        <f t="shared" si="1"/>
        <v>2019-06-01</v>
      </c>
      <c r="D76" s="1">
        <v>4.8</v>
      </c>
    </row>
    <row r="77" spans="1:4">
      <c r="A77" s="4" t="s">
        <v>66</v>
      </c>
      <c r="B77" s="5">
        <f>DATE(VALUE(MID(A77,FIND(" ",A77)+1,4)),MATCH(LEFT(A77,FIND(" ",A77)-1),{"Январь","Февраль","Март","Апрель","Май","Июнь","Июль","Август","Сентябрь","Октябрь","Ноябрь","Декабрь"},0),1)</f>
        <v>43647</v>
      </c>
      <c r="C77" s="6" t="str">
        <f t="shared" si="1"/>
        <v>2019-07-01</v>
      </c>
      <c r="D77" s="1">
        <v>4.8</v>
      </c>
    </row>
    <row r="78" spans="1:4">
      <c r="A78" s="4" t="s">
        <v>67</v>
      </c>
      <c r="B78" s="5">
        <f>DATE(VALUE(MID(A78,FIND(" ",A78)+1,4)),MATCH(LEFT(A78,FIND(" ",A78)-1),{"Январь","Февраль","Март","Апрель","Май","Июнь","Июль","Август","Сентябрь","Октябрь","Ноябрь","Декабрь"},0),1)</f>
        <v>43678</v>
      </c>
      <c r="C78" s="6" t="str">
        <f t="shared" si="1"/>
        <v>2019-08-01</v>
      </c>
      <c r="D78" s="1">
        <v>4.8</v>
      </c>
    </row>
    <row r="79" spans="1:4">
      <c r="A79" s="4" t="s">
        <v>68</v>
      </c>
      <c r="B79" s="5">
        <f>DATE(VALUE(MID(A79,FIND(" ",A79)+1,4)),MATCH(LEFT(A79,FIND(" ",A79)-1),{"Январь","Февраль","Март","Апрель","Май","Июнь","Июль","Август","Сентябрь","Октябрь","Ноябрь","Декабрь"},0),1)</f>
        <v>43709</v>
      </c>
      <c r="C79" s="6" t="str">
        <f t="shared" si="1"/>
        <v>2019-09-01</v>
      </c>
      <c r="D79" s="1">
        <v>4.8</v>
      </c>
    </row>
    <row r="80" spans="1:4">
      <c r="A80" s="4" t="s">
        <v>69</v>
      </c>
      <c r="B80" s="5">
        <f>DATE(VALUE(MID(A80,FIND(" ",A80)+1,4)),MATCH(LEFT(A80,FIND(" ",A80)-1),{"Январь","Февраль","Март","Апрель","Май","Июнь","Июль","Август","Сентябрь","Октябрь","Ноябрь","Декабрь"},0),1)</f>
        <v>43739</v>
      </c>
      <c r="C80" s="6" t="str">
        <f t="shared" si="1"/>
        <v>2019-10-01</v>
      </c>
      <c r="D80" s="1">
        <v>4.8</v>
      </c>
    </row>
    <row r="81" spans="1:4">
      <c r="A81" s="4" t="s">
        <v>70</v>
      </c>
      <c r="B81" s="5">
        <f>DATE(VALUE(MID(A81,FIND(" ",A81)+1,4)),MATCH(LEFT(A81,FIND(" ",A81)-1),{"Январь","Февраль","Март","Апрель","Май","Июнь","Июль","Август","Сентябрь","Октябрь","Ноябрь","Декабрь"},0),1)</f>
        <v>43770</v>
      </c>
      <c r="C81" s="6" t="str">
        <f t="shared" si="1"/>
        <v>2019-11-01</v>
      </c>
      <c r="D81" s="1">
        <v>4.8</v>
      </c>
    </row>
    <row r="82" spans="1:4">
      <c r="A82" s="4" t="s">
        <v>71</v>
      </c>
      <c r="B82" s="5">
        <f>DATE(VALUE(MID(A82,FIND(" ",A82)+1,4)),MATCH(LEFT(A82,FIND(" ",A82)-1),{"Январь","Февраль","Март","Апрель","Май","Июнь","Июль","Август","Сентябрь","Октябрь","Ноябрь","Декабрь"},0),1)</f>
        <v>43800</v>
      </c>
      <c r="C82" s="6" t="str">
        <f t="shared" si="1"/>
        <v>2019-12-01</v>
      </c>
      <c r="D82" s="1">
        <v>4.8</v>
      </c>
    </row>
    <row r="83" spans="1:4">
      <c r="A83" s="4" t="s">
        <v>72</v>
      </c>
      <c r="B83" s="5">
        <f>DATE(VALUE(MID(A83,FIND(" ",A83)+1,4)),MATCH(LEFT(A83,FIND(" ",A83)-1),{"Январь","Февраль","Март","Апрель","Май","Июнь","Июль","Август","Сентябрь","Октябрь","Ноябрь","Декабрь"},0),1)</f>
        <v>43831</v>
      </c>
      <c r="C83" s="6" t="str">
        <f t="shared" si="1"/>
        <v>2020-01-01</v>
      </c>
      <c r="D83" s="1">
        <v>4.8</v>
      </c>
    </row>
    <row r="84" spans="1:4">
      <c r="A84" s="4" t="s">
        <v>73</v>
      </c>
      <c r="B84" s="5">
        <f>DATE(VALUE(MID(A84,FIND(" ",A84)+1,4)),MATCH(LEFT(A84,FIND(" ",A84)-1),{"Январь","Февраль","Март","Апрель","Май","Июнь","Июль","Август","Сентябрь","Октябрь","Ноябрь","Декабрь"},0),1)</f>
        <v>43862</v>
      </c>
      <c r="C84" s="6" t="str">
        <f t="shared" si="1"/>
        <v>2020-02-01</v>
      </c>
      <c r="D84" s="1">
        <v>4.8</v>
      </c>
    </row>
    <row r="85" spans="1:4">
      <c r="A85" s="4" t="s">
        <v>74</v>
      </c>
      <c r="B85" s="5">
        <f>DATE(VALUE(MID(A85,FIND(" ",A85)+1,4)),MATCH(LEFT(A85,FIND(" ",A85)-1),{"Январь","Февраль","Март","Апрель","Май","Июнь","Июль","Август","Сентябрь","Октябрь","Ноябрь","Декабрь"},0),1)</f>
        <v>43891</v>
      </c>
      <c r="C85" s="6" t="str">
        <f t="shared" si="1"/>
        <v>2020-03-01</v>
      </c>
      <c r="D85" s="1">
        <v>4.8</v>
      </c>
    </row>
    <row r="86" spans="1:4">
      <c r="A86" s="4" t="s">
        <v>139</v>
      </c>
      <c r="B86" s="5">
        <f>DATE(VALUE(MID(A86,FIND(" ",A86)+1,4)),MATCH(LEFT(A86,FIND(" ",A86)-1),{"Январь","Февраль","Март","Апрель","Май","Июнь","Июль","Август","Сентябрь","Октябрь","Ноябрь","Декабрь"},0),1)</f>
        <v>43922</v>
      </c>
      <c r="C86" s="6" t="str">
        <f t="shared" si="1"/>
        <v>2020-04-01</v>
      </c>
      <c r="D86" s="1">
        <f t="shared" ref="D86:D100" si="2">D85</f>
        <v>4.8</v>
      </c>
    </row>
    <row r="87" spans="1:4">
      <c r="A87" s="4" t="s">
        <v>140</v>
      </c>
      <c r="B87" s="5">
        <f>DATE(VALUE(MID(A87,FIND(" ",A87)+1,4)),MATCH(LEFT(A87,FIND(" ",A87)-1),{"Январь","Февраль","Март","Апрель","Май","Июнь","Июль","Август","Сентябрь","Октябрь","Ноябрь","Декабрь"},0),1)</f>
        <v>43952</v>
      </c>
      <c r="C87" s="6" t="str">
        <f t="shared" si="1"/>
        <v>2020-05-01</v>
      </c>
      <c r="D87" s="1">
        <f t="shared" si="2"/>
        <v>4.8</v>
      </c>
    </row>
    <row r="88" spans="1:4">
      <c r="A88" s="4" t="s">
        <v>141</v>
      </c>
      <c r="B88" s="5">
        <f>DATE(VALUE(MID(A88,FIND(" ",A88)+1,4)),MATCH(LEFT(A88,FIND(" ",A88)-1),{"Январь","Февраль","Март","Апрель","Май","Июнь","Июль","Август","Сентябрь","Октябрь","Ноябрь","Декабрь"},0),1)</f>
        <v>43983</v>
      </c>
      <c r="C88" s="6" t="str">
        <f t="shared" si="1"/>
        <v>2020-06-01</v>
      </c>
      <c r="D88" s="1">
        <f t="shared" si="2"/>
        <v>4.8</v>
      </c>
    </row>
    <row r="89" spans="1:4">
      <c r="A89" s="4" t="s">
        <v>142</v>
      </c>
      <c r="B89" s="5">
        <f>DATE(VALUE(MID(A89,FIND(" ",A89)+1,4)),MATCH(LEFT(A89,FIND(" ",A89)-1),{"Январь","Февраль","Март","Апрель","Май","Июнь","Июль","Август","Сентябрь","Октябрь","Ноябрь","Декабрь"},0),1)</f>
        <v>44013</v>
      </c>
      <c r="C89" s="6" t="str">
        <f t="shared" si="1"/>
        <v>2020-07-01</v>
      </c>
      <c r="D89" s="1">
        <f t="shared" si="2"/>
        <v>4.8</v>
      </c>
    </row>
    <row r="90" spans="1:4">
      <c r="A90" s="4" t="s">
        <v>143</v>
      </c>
      <c r="B90" s="5">
        <f>DATE(VALUE(MID(A90,FIND(" ",A90)+1,4)),MATCH(LEFT(A90,FIND(" ",A90)-1),{"Январь","Февраль","Март","Апрель","Май","Июнь","Июль","Август","Сентябрь","Октябрь","Ноябрь","Декабрь"},0),1)</f>
        <v>44044</v>
      </c>
      <c r="C90" s="6" t="str">
        <f t="shared" si="1"/>
        <v>2020-08-01</v>
      </c>
      <c r="D90" s="1">
        <f t="shared" si="2"/>
        <v>4.8</v>
      </c>
    </row>
    <row r="91" spans="1:4">
      <c r="A91" s="4" t="s">
        <v>144</v>
      </c>
      <c r="B91" s="5">
        <f>DATE(VALUE(MID(A91,FIND(" ",A91)+1,4)),MATCH(LEFT(A91,FIND(" ",A91)-1),{"Январь","Февраль","Март","Апрель","Май","Июнь","Июль","Август","Сентябрь","Октябрь","Ноябрь","Декабрь"},0),1)</f>
        <v>44075</v>
      </c>
      <c r="C91" s="6" t="str">
        <f t="shared" si="1"/>
        <v>2020-09-01</v>
      </c>
      <c r="D91" s="1">
        <f t="shared" si="2"/>
        <v>4.8</v>
      </c>
    </row>
    <row r="92" spans="1:4">
      <c r="A92" s="4" t="s">
        <v>145</v>
      </c>
      <c r="B92" s="5">
        <f>DATE(VALUE(MID(A92,FIND(" ",A92)+1,4)),MATCH(LEFT(A92,FIND(" ",A92)-1),{"Январь","Февраль","Март","Апрель","Май","Июнь","Июль","Август","Сентябрь","Октябрь","Ноябрь","Декабрь"},0),1)</f>
        <v>44105</v>
      </c>
      <c r="C92" s="6" t="str">
        <f t="shared" si="1"/>
        <v>2020-10-01</v>
      </c>
      <c r="D92" s="1">
        <f t="shared" si="2"/>
        <v>4.8</v>
      </c>
    </row>
    <row r="93" spans="1:4">
      <c r="A93" s="4" t="s">
        <v>146</v>
      </c>
      <c r="B93" s="5">
        <f>DATE(VALUE(MID(A93,FIND(" ",A93)+1,4)),MATCH(LEFT(A93,FIND(" ",A93)-1),{"Январь","Февраль","Март","Апрель","Май","Июнь","Июль","Август","Сентябрь","Октябрь","Ноябрь","Декабрь"},0),1)</f>
        <v>44136</v>
      </c>
      <c r="C93" s="6" t="str">
        <f t="shared" si="1"/>
        <v>2020-11-01</v>
      </c>
      <c r="D93" s="1">
        <f t="shared" si="2"/>
        <v>4.8</v>
      </c>
    </row>
    <row r="94" spans="1:4">
      <c r="A94" s="4" t="s">
        <v>147</v>
      </c>
      <c r="B94" s="5">
        <f>DATE(VALUE(MID(A94,FIND(" ",A94)+1,4)),MATCH(LEFT(A94,FIND(" ",A94)-1),{"Январь","Февраль","Март","Апрель","Май","Июнь","Июль","Август","Сентябрь","Октябрь","Ноябрь","Декабрь"},0),1)</f>
        <v>44166</v>
      </c>
      <c r="C94" s="6" t="str">
        <f t="shared" si="1"/>
        <v>2020-12-01</v>
      </c>
      <c r="D94" s="1">
        <f t="shared" si="2"/>
        <v>4.8</v>
      </c>
    </row>
    <row r="95" spans="1:4">
      <c r="A95" s="4" t="s">
        <v>148</v>
      </c>
      <c r="B95" s="5">
        <f>DATE(VALUE(MID(A95,FIND(" ",A95)+1,4)),MATCH(LEFT(A95,FIND(" ",A95)-1),{"Январь","Февраль","Март","Апрель","Май","Июнь","Июль","Август","Сентябрь","Октябрь","Ноябрь","Декабрь"},0),1)</f>
        <v>44197</v>
      </c>
      <c r="C95" s="6" t="str">
        <f t="shared" si="1"/>
        <v>2021-01-01</v>
      </c>
      <c r="D95" s="1">
        <f t="shared" si="2"/>
        <v>4.8</v>
      </c>
    </row>
    <row r="96" spans="1:4">
      <c r="A96" s="4" t="s">
        <v>149</v>
      </c>
      <c r="B96" s="5">
        <f>DATE(VALUE(MID(A96,FIND(" ",A96)+1,4)),MATCH(LEFT(A96,FIND(" ",A96)-1),{"Январь","Февраль","Март","Апрель","Май","Июнь","Июль","Август","Сентябрь","Октябрь","Ноябрь","Декабрь"},0),1)</f>
        <v>44228</v>
      </c>
      <c r="C96" s="6" t="str">
        <f t="shared" si="1"/>
        <v>2021-02-01</v>
      </c>
      <c r="D96" s="1">
        <f t="shared" si="2"/>
        <v>4.8</v>
      </c>
    </row>
    <row r="97" spans="1:4">
      <c r="A97" s="4" t="s">
        <v>150</v>
      </c>
      <c r="B97" s="5">
        <f>DATE(VALUE(MID(A97,FIND(" ",A97)+1,4)),MATCH(LEFT(A97,FIND(" ",A97)-1),{"Январь","Февраль","Март","Апрель","Май","Июнь","Июль","Август","Сентябрь","Октябрь","Ноябрь","Декабрь"},0),1)</f>
        <v>44256</v>
      </c>
      <c r="C97" s="6" t="str">
        <f t="shared" si="1"/>
        <v>2021-03-01</v>
      </c>
      <c r="D97" s="1">
        <f t="shared" si="2"/>
        <v>4.8</v>
      </c>
    </row>
    <row r="98" spans="1:4">
      <c r="A98" s="4" t="s">
        <v>151</v>
      </c>
      <c r="B98" s="5">
        <f>DATE(VALUE(MID(A98,FIND(" ",A98)+1,4)),MATCH(LEFT(A98,FIND(" ",A98)-1),{"Январь","Февраль","Март","Апрель","Май","Июнь","Июль","Август","Сентябрь","Октябрь","Ноябрь","Декабрь"},0),1)</f>
        <v>44287</v>
      </c>
      <c r="C98" s="6" t="str">
        <f t="shared" si="1"/>
        <v>2021-04-01</v>
      </c>
      <c r="D98" s="1">
        <f t="shared" si="2"/>
        <v>4.8</v>
      </c>
    </row>
    <row r="99" spans="1:4">
      <c r="A99" s="4" t="s">
        <v>152</v>
      </c>
      <c r="B99" s="5">
        <f>DATE(VALUE(MID(A99,FIND(" ",A99)+1,4)),MATCH(LEFT(A99,FIND(" ",A99)-1),{"Январь","Февраль","Март","Апрель","Май","Июнь","Июль","Август","Сентябрь","Октябрь","Ноябрь","Декабрь"},0),1)</f>
        <v>44317</v>
      </c>
      <c r="C99" s="6" t="str">
        <f t="shared" si="1"/>
        <v>2021-05-01</v>
      </c>
      <c r="D99" s="1">
        <f t="shared" si="2"/>
        <v>4.8</v>
      </c>
    </row>
    <row r="100" spans="1:4">
      <c r="A100" s="4" t="s">
        <v>153</v>
      </c>
      <c r="B100" s="5">
        <f>DATE(VALUE(MID(A100,FIND(" ",A100)+1,4)),MATCH(LEFT(A100,FIND(" ",A100)-1),{"Январь","Февраль","Март","Апрель","Май","Июнь","Июль","Август","Сентябрь","Октябрь","Ноябрь","Декабрь"},0),1)</f>
        <v>44348</v>
      </c>
      <c r="C100" s="6" t="str">
        <f t="shared" si="1"/>
        <v>2021-06-01</v>
      </c>
      <c r="D100" s="1">
        <f t="shared" si="2"/>
        <v>4.8</v>
      </c>
    </row>
    <row r="101" spans="1:4">
      <c r="A101" s="4" t="s">
        <v>75</v>
      </c>
      <c r="B101" s="5">
        <f>DATE(VALUE(MID(A101,FIND(" ",A101)+1,4)),MATCH(LEFT(A101,FIND(" ",A101)-1),{"Январь","Февраль","Март","Апрель","Май","Июнь","Июль","Август","Сентябрь","Октябрь","Ноябрь","Декабрь"},0),1)</f>
        <v>44378</v>
      </c>
      <c r="C101" s="6" t="str">
        <f t="shared" si="1"/>
        <v>2021-07-01</v>
      </c>
      <c r="D101" s="1">
        <v>4.9</v>
      </c>
    </row>
    <row r="102" spans="1:4">
      <c r="A102" s="4" t="s">
        <v>76</v>
      </c>
      <c r="B102" s="5">
        <f>DATE(VALUE(MID(A102,FIND(" ",A102)+1,4)),MATCH(LEFT(A102,FIND(" ",A102)-1),{"Январь","Февраль","Март","Апрель","Май","Июнь","Июль","Август","Сентябрь","Октябрь","Ноябрь","Декабрь"},0),1)</f>
        <v>44409</v>
      </c>
      <c r="C102" s="6" t="str">
        <f t="shared" si="1"/>
        <v>2021-08-01</v>
      </c>
      <c r="D102" s="1">
        <v>4.9</v>
      </c>
    </row>
    <row r="103" spans="1:4">
      <c r="A103" s="4" t="s">
        <v>77</v>
      </c>
      <c r="B103" s="5">
        <f>DATE(VALUE(MID(A103,FIND(" ",A103)+1,4)),MATCH(LEFT(A103,FIND(" ",A103)-1),{"Январь","Февраль","Март","Апрель","Май","Июнь","Июль","Август","Сентябрь","Октябрь","Ноябрь","Декабрь"},0),1)</f>
        <v>44440</v>
      </c>
      <c r="C103" s="6" t="str">
        <f t="shared" si="1"/>
        <v>2021-09-01</v>
      </c>
      <c r="D103" s="1">
        <v>4.9</v>
      </c>
    </row>
    <row r="104" spans="1:4">
      <c r="A104" s="4" t="s">
        <v>78</v>
      </c>
      <c r="B104" s="5">
        <f>DATE(VALUE(MID(A104,FIND(" ",A104)+1,4)),MATCH(LEFT(A104,FIND(" ",A104)-1),{"Январь","Февраль","Март","Апрель","Май","Июнь","Июль","Август","Сентябрь","Октябрь","Ноябрь","Декабрь"},0),1)</f>
        <v>44470</v>
      </c>
      <c r="C104" s="6" t="str">
        <f t="shared" si="1"/>
        <v>2021-10-01</v>
      </c>
      <c r="D104" s="1">
        <v>4.9</v>
      </c>
    </row>
    <row r="105" spans="1:4">
      <c r="A105" s="4" t="s">
        <v>79</v>
      </c>
      <c r="B105" s="5">
        <f>DATE(VALUE(MID(A105,FIND(" ",A105)+1,4)),MATCH(LEFT(A105,FIND(" ",A105)-1),{"Январь","Февраль","Март","Апрель","Май","Июнь","Июль","Август","Сентябрь","Октябрь","Ноябрь","Декабрь"},0),1)</f>
        <v>44501</v>
      </c>
      <c r="C105" s="6" t="str">
        <f t="shared" si="1"/>
        <v>2021-11-01</v>
      </c>
      <c r="D105" s="1">
        <v>4.9</v>
      </c>
    </row>
    <row r="106" spans="1:4">
      <c r="A106" s="4" t="s">
        <v>154</v>
      </c>
      <c r="B106" s="5">
        <f>DATE(VALUE(MID(A106,FIND(" ",A106)+1,4)),MATCH(LEFT(A106,FIND(" ",A106)-1),{"Январь","Февраль","Март","Апрель","Май","Июнь","Июль","Август","Сентябрь","Октябрь","Ноябрь","Декабрь"},0),1)</f>
        <v>44531</v>
      </c>
      <c r="C106" s="6" t="str">
        <f t="shared" si="1"/>
        <v>2021-12-01</v>
      </c>
      <c r="D106" s="1">
        <f>D105</f>
        <v>4.9</v>
      </c>
    </row>
    <row r="107" spans="1:4">
      <c r="A107" s="4" t="s">
        <v>155</v>
      </c>
      <c r="B107" s="5">
        <f>DATE(VALUE(MID(A107,FIND(" ",A107)+1,4)),MATCH(LEFT(A107,FIND(" ",A107)-1),{"Январь","Февраль","Март","Апрель","Май","Июнь","Июль","Август","Сентябрь","Октябрь","Ноябрь","Декабрь"},0),1)</f>
        <v>44562</v>
      </c>
      <c r="C107" s="6" t="str">
        <f t="shared" si="1"/>
        <v>2022-01-01</v>
      </c>
      <c r="D107" s="1">
        <f>D106</f>
        <v>4.9</v>
      </c>
    </row>
    <row r="108" spans="1:4">
      <c r="A108" s="4" t="s">
        <v>80</v>
      </c>
      <c r="B108" s="5">
        <f>DATE(VALUE(MID(A108,FIND(" ",A108)+1,4)),MATCH(LEFT(A108,FIND(" ",A108)-1),{"Январь","Февраль","Март","Апрель","Май","Июнь","Июль","Август","Сентябрь","Октябрь","Ноябрь","Декабрь"},0),1)</f>
        <v>44593</v>
      </c>
      <c r="C108" s="6" t="str">
        <f t="shared" si="1"/>
        <v>2022-02-01</v>
      </c>
      <c r="D108" s="1">
        <v>4.9</v>
      </c>
    </row>
    <row r="109" spans="1:4">
      <c r="A109" s="4" t="s">
        <v>156</v>
      </c>
      <c r="B109" s="5">
        <f>DATE(VALUE(MID(A109,FIND(" ",A109)+1,4)),MATCH(LEFT(A109,FIND(" ",A109)-1),{"Январь","Февраль","Март","Апрель","Май","Июнь","Июль","Август","Сентябрь","Октябрь","Ноябрь","Декабрь"},0),1)</f>
        <v>44621</v>
      </c>
      <c r="C109" s="6" t="str">
        <f t="shared" si="1"/>
        <v>2022-03-01</v>
      </c>
      <c r="D109" s="1">
        <f t="shared" ref="D109:D115" si="3">D108</f>
        <v>4.9</v>
      </c>
    </row>
    <row r="110" spans="1:4">
      <c r="A110" s="4" t="s">
        <v>157</v>
      </c>
      <c r="B110" s="5">
        <f>DATE(VALUE(MID(A110,FIND(" ",A110)+1,4)),MATCH(LEFT(A110,FIND(" ",A110)-1),{"Январь","Февраль","Март","Апрель","Май","Июнь","Июль","Август","Сентябрь","Октябрь","Ноябрь","Декабрь"},0),1)</f>
        <v>44652</v>
      </c>
      <c r="C110" s="6" t="str">
        <f t="shared" si="1"/>
        <v>2022-04-01</v>
      </c>
      <c r="D110" s="1">
        <f t="shared" si="3"/>
        <v>4.9</v>
      </c>
    </row>
    <row r="111" spans="1:4">
      <c r="A111" s="4" t="s">
        <v>158</v>
      </c>
      <c r="B111" s="5">
        <f>DATE(VALUE(MID(A111,FIND(" ",A111)+1,4)),MATCH(LEFT(A111,FIND(" ",A111)-1),{"Январь","Февраль","Март","Апрель","Май","Июнь","Июль","Август","Сентябрь","Октябрь","Ноябрь","Декабрь"},0),1)</f>
        <v>44682</v>
      </c>
      <c r="C111" s="6" t="str">
        <f t="shared" si="1"/>
        <v>2022-05-01</v>
      </c>
      <c r="D111" s="1">
        <f t="shared" si="3"/>
        <v>4.9</v>
      </c>
    </row>
    <row r="112" spans="1:4">
      <c r="A112" s="4" t="s">
        <v>159</v>
      </c>
      <c r="B112" s="5">
        <f>DATE(VALUE(MID(A112,FIND(" ",A112)+1,4)),MATCH(LEFT(A112,FIND(" ",A112)-1),{"Январь","Февраль","Март","Апрель","Май","Июнь","Июль","Август","Сентябрь","Октябрь","Ноябрь","Декабрь"},0),1)</f>
        <v>44713</v>
      </c>
      <c r="C112" s="6" t="str">
        <f t="shared" si="1"/>
        <v>2022-06-01</v>
      </c>
      <c r="D112" s="1">
        <f t="shared" si="3"/>
        <v>4.9</v>
      </c>
    </row>
    <row r="113" spans="1:4">
      <c r="A113" s="4" t="s">
        <v>160</v>
      </c>
      <c r="B113" s="5">
        <f>DATE(VALUE(MID(A113,FIND(" ",A113)+1,4)),MATCH(LEFT(A113,FIND(" ",A113)-1),{"Январь","Февраль","Март","Апрель","Май","Июнь","Июль","Август","Сентябрь","Октябрь","Ноябрь","Декабрь"},0),1)</f>
        <v>44743</v>
      </c>
      <c r="C113" s="6" t="str">
        <f t="shared" si="1"/>
        <v>2022-07-01</v>
      </c>
      <c r="D113" s="1">
        <f t="shared" si="3"/>
        <v>4.9</v>
      </c>
    </row>
    <row r="114" spans="1:4">
      <c r="A114" s="4" t="s">
        <v>161</v>
      </c>
      <c r="B114" s="5">
        <f>DATE(VALUE(MID(A114,FIND(" ",A114)+1,4)),MATCH(LEFT(A114,FIND(" ",A114)-1),{"Январь","Февраль","Март","Апрель","Май","Июнь","Июль","Август","Сентябрь","Октябрь","Ноябрь","Декабрь"},0),1)</f>
        <v>44774</v>
      </c>
      <c r="C114" s="6" t="str">
        <f t="shared" si="1"/>
        <v>2022-08-01</v>
      </c>
      <c r="D114" s="1">
        <f t="shared" si="3"/>
        <v>4.9</v>
      </c>
    </row>
    <row r="115" spans="1:4">
      <c r="A115" s="4" t="s">
        <v>162</v>
      </c>
      <c r="B115" s="5">
        <f>DATE(VALUE(MID(A115,FIND(" ",A115)+1,4)),MATCH(LEFT(A115,FIND(" ",A115)-1),{"Январь","Февраль","Март","Апрель","Май","Июнь","Июль","Август","Сентябрь","Октябрь","Ноябрь","Декабрь"},0),1)</f>
        <v>44805</v>
      </c>
      <c r="C115" s="6" t="str">
        <f t="shared" si="1"/>
        <v>2022-09-01</v>
      </c>
      <c r="D115" s="1">
        <f t="shared" si="3"/>
        <v>4.9</v>
      </c>
    </row>
    <row r="116" spans="1:4">
      <c r="A116" s="4" t="s">
        <v>81</v>
      </c>
      <c r="B116" s="5">
        <f>DATE(VALUE(MID(A116,FIND(" ",A116)+1,4)),MATCH(LEFT(A116,FIND(" ",A116)-1),{"Январь","Февраль","Март","Апрель","Май","Июнь","Июль","Август","Сентябрь","Октябрь","Ноябрь","Декабрь"},0),1)</f>
        <v>44835</v>
      </c>
      <c r="C116" s="6" t="str">
        <f t="shared" si="1"/>
        <v>2022-10-01</v>
      </c>
      <c r="D116" s="1">
        <v>4.9</v>
      </c>
    </row>
    <row r="117" spans="1:4">
      <c r="A117" s="4" t="s">
        <v>82</v>
      </c>
      <c r="B117" s="5">
        <f>DATE(VALUE(MID(A117,FIND(" ",A117)+1,4)),MATCH(LEFT(A117,FIND(" ",A117)-1),{"Январь","Февраль","Март","Апрель","Май","Июнь","Июль","Август","Сентябрь","Октябрь","Ноябрь","Декабрь"},0),1)</f>
        <v>44866</v>
      </c>
      <c r="C117" s="6" t="str">
        <f t="shared" si="1"/>
        <v>2022-11-01</v>
      </c>
      <c r="D117" s="1">
        <v>4.9</v>
      </c>
    </row>
    <row r="118" spans="1:4">
      <c r="A118" s="4" t="s">
        <v>83</v>
      </c>
      <c r="B118" s="5">
        <f>DATE(VALUE(MID(A118,FIND(" ",A118)+1,4)),MATCH(LEFT(A118,FIND(" ",A118)-1),{"Январь","Февраль","Март","Апрель","Май","Июнь","Июль","Август","Сентябрь","Октябрь","Ноябрь","Декабрь"},0),1)</f>
        <v>44896</v>
      </c>
      <c r="C118" s="6" t="str">
        <f t="shared" si="1"/>
        <v>2022-12-01</v>
      </c>
      <c r="D118" s="1">
        <v>4.9</v>
      </c>
    </row>
    <row r="119" spans="1:4">
      <c r="A119" s="4" t="s">
        <v>84</v>
      </c>
      <c r="B119" s="5">
        <f>DATE(VALUE(MID(A119,FIND(" ",A119)+1,4)),MATCH(LEFT(A119,FIND(" ",A119)-1),{"Январь","Февраль","Март","Апрель","Май","Июнь","Июль","Август","Сентябрь","Октябрь","Ноябрь","Декабрь"},0),1)</f>
        <v>44927</v>
      </c>
      <c r="C119" s="6" t="str">
        <f t="shared" si="1"/>
        <v>2023-01-01</v>
      </c>
      <c r="D119" s="1">
        <v>4.8</v>
      </c>
    </row>
    <row r="120" spans="1:4">
      <c r="A120" s="4" t="s">
        <v>85</v>
      </c>
      <c r="B120" s="5">
        <f>DATE(VALUE(MID(A120,FIND(" ",A120)+1,4)),MATCH(LEFT(A120,FIND(" ",A120)-1),{"Январь","Февраль","Март","Апрель","Май","Июнь","Июль","Август","Сентябрь","Октябрь","Ноябрь","Декабрь"},0),1)</f>
        <v>44958</v>
      </c>
      <c r="C120" s="6" t="str">
        <f t="shared" si="1"/>
        <v>2023-02-01</v>
      </c>
      <c r="D120" s="1">
        <v>4.8</v>
      </c>
    </row>
    <row r="121" spans="1:4">
      <c r="A121" s="4" t="s">
        <v>86</v>
      </c>
      <c r="B121" s="5">
        <f>DATE(VALUE(MID(A121,FIND(" ",A121)+1,4)),MATCH(LEFT(A121,FIND(" ",A121)-1),{"Январь","Февраль","Март","Апрель","Май","Июнь","Июль","Август","Сентябрь","Октябрь","Ноябрь","Декабрь"},0),1)</f>
        <v>44986</v>
      </c>
      <c r="C121" s="6" t="str">
        <f t="shared" si="1"/>
        <v>2023-03-01</v>
      </c>
      <c r="D121" s="1">
        <v>4.8</v>
      </c>
    </row>
    <row r="122" spans="1:4">
      <c r="A122" s="4" t="s">
        <v>87</v>
      </c>
      <c r="B122" s="5">
        <f>DATE(VALUE(MID(A122,FIND(" ",A122)+1,4)),MATCH(LEFT(A122,FIND(" ",A122)-1),{"Январь","Февраль","Март","Апрель","Май","Июнь","Июль","Август","Сентябрь","Октябрь","Ноябрь","Декабрь"},0),1)</f>
        <v>45017</v>
      </c>
      <c r="C122" s="6" t="str">
        <f t="shared" si="1"/>
        <v>2023-04-01</v>
      </c>
      <c r="D122" s="1">
        <v>4.7</v>
      </c>
    </row>
    <row r="123" spans="1:4">
      <c r="A123" s="4" t="s">
        <v>88</v>
      </c>
      <c r="B123" s="5">
        <f>DATE(VALUE(MID(A123,FIND(" ",A123)+1,4)),MATCH(LEFT(A123,FIND(" ",A123)-1),{"Январь","Февраль","Март","Апрель","Май","Июнь","Июль","Август","Сентябрь","Октябрь","Ноябрь","Декабрь"},0),1)</f>
        <v>45047</v>
      </c>
      <c r="C123" s="6" t="str">
        <f t="shared" si="1"/>
        <v>2023-05-01</v>
      </c>
      <c r="D123" s="1">
        <v>4.7</v>
      </c>
    </row>
    <row r="124" spans="1:4">
      <c r="A124" s="4" t="s">
        <v>89</v>
      </c>
      <c r="B124" s="5">
        <f>DATE(VALUE(MID(A124,FIND(" ",A124)+1,4)),MATCH(LEFT(A124,FIND(" ",A124)-1),{"Январь","Февраль","Март","Апрель","Май","Июнь","Июль","Август","Сентябрь","Октябрь","Ноябрь","Декабрь"},0),1)</f>
        <v>45078</v>
      </c>
      <c r="C124" s="6" t="str">
        <f t="shared" si="1"/>
        <v>2023-06-01</v>
      </c>
      <c r="D124" s="1">
        <v>4.7</v>
      </c>
    </row>
    <row r="125" spans="1:4">
      <c r="A125" s="4" t="s">
        <v>90</v>
      </c>
      <c r="B125" s="5">
        <f>DATE(VALUE(MID(A125,FIND(" ",A125)+1,4)),MATCH(LEFT(A125,FIND(" ",A125)-1),{"Январь","Февраль","Март","Апрель","Май","Июнь","Июль","Август","Сентябрь","Октябрь","Ноябрь","Декабрь"},0),1)</f>
        <v>45108</v>
      </c>
      <c r="C125" s="6" t="str">
        <f t="shared" si="1"/>
        <v>2023-07-01</v>
      </c>
      <c r="D125" s="1">
        <v>4.7</v>
      </c>
    </row>
    <row r="126" spans="1:4">
      <c r="A126" s="4" t="s">
        <v>91</v>
      </c>
      <c r="B126" s="5">
        <f>DATE(VALUE(MID(A126,FIND(" ",A126)+1,4)),MATCH(LEFT(A126,FIND(" ",A126)-1),{"Январь","Февраль","Март","Апрель","Май","Июнь","Июль","Август","Сентябрь","Октябрь","Ноябрь","Декабрь"},0),1)</f>
        <v>45139</v>
      </c>
      <c r="C126" s="6" t="str">
        <f t="shared" si="1"/>
        <v>2023-08-01</v>
      </c>
      <c r="D126" s="1">
        <v>4.7</v>
      </c>
    </row>
    <row r="127" spans="1:4">
      <c r="A127" s="4" t="s">
        <v>92</v>
      </c>
      <c r="B127" s="5">
        <f>DATE(VALUE(MID(A127,FIND(" ",A127)+1,4)),MATCH(LEFT(A127,FIND(" ",A127)-1),{"Январь","Февраль","Март","Апрель","Май","Июнь","Июль","Август","Сентябрь","Октябрь","Ноябрь","Декабрь"},0),1)</f>
        <v>45170</v>
      </c>
      <c r="C127" s="6" t="str">
        <f t="shared" si="1"/>
        <v>2023-09-01</v>
      </c>
      <c r="D127" s="1">
        <v>4.7</v>
      </c>
    </row>
    <row r="128" spans="1:4">
      <c r="A128" s="4" t="s">
        <v>93</v>
      </c>
      <c r="B128" s="5">
        <f>DATE(VALUE(MID(A128,FIND(" ",A128)+1,4)),MATCH(LEFT(A128,FIND(" ",A128)-1),{"Январь","Февраль","Март","Апрель","Май","Июнь","Июль","Август","Сентябрь","Октябрь","Ноябрь","Декабрь"},0),1)</f>
        <v>45200</v>
      </c>
      <c r="C128" s="6" t="str">
        <f t="shared" si="1"/>
        <v>2023-10-01</v>
      </c>
      <c r="D128" s="1">
        <v>4.7</v>
      </c>
    </row>
    <row r="129" spans="1:4">
      <c r="A129" s="4" t="s">
        <v>94</v>
      </c>
      <c r="B129" s="5">
        <f>DATE(VALUE(MID(A129,FIND(" ",A129)+1,4)),MATCH(LEFT(A129,FIND(" ",A129)-1),{"Январь","Февраль","Март","Апрель","Май","Июнь","Июль","Август","Сентябрь","Октябрь","Ноябрь","Декабрь"},0),1)</f>
        <v>45231</v>
      </c>
      <c r="C129" s="6" t="str">
        <f t="shared" si="1"/>
        <v>2023-11-01</v>
      </c>
      <c r="D129" s="1">
        <v>4.7</v>
      </c>
    </row>
    <row r="130" spans="1:4">
      <c r="A130" s="4" t="s">
        <v>95</v>
      </c>
      <c r="B130" s="5">
        <f>DATE(VALUE(MID(A130,FIND(" ",A130)+1,4)),MATCH(LEFT(A130,FIND(" ",A130)-1),{"Январь","Февраль","Март","Апрель","Май","Июнь","Июль","Август","Сентябрь","Октябрь","Ноябрь","Декабрь"},0),1)</f>
        <v>45261</v>
      </c>
      <c r="C130" s="6" t="str">
        <f t="shared" ref="C130:C158" si="4">TEXT(B130,"yyyy-mm-01")</f>
        <v>2023-12-01</v>
      </c>
      <c r="D130" s="1">
        <v>4.7</v>
      </c>
    </row>
    <row r="131" spans="1:4">
      <c r="A131" s="4" t="s">
        <v>96</v>
      </c>
      <c r="B131" s="5">
        <f>DATE(VALUE(MID(A131,FIND(" ",A131)+1,4)),MATCH(LEFT(A131,FIND(" ",A131)-1),{"Январь","Февраль","Март","Апрель","Май","Июнь","Июль","Август","Сентябрь","Октябрь","Ноябрь","Декабрь"},0),1)</f>
        <v>45292</v>
      </c>
      <c r="C131" s="6" t="str">
        <f t="shared" si="4"/>
        <v>2024-01-01</v>
      </c>
      <c r="D131" s="1">
        <v>4.7</v>
      </c>
    </row>
    <row r="132" spans="1:4">
      <c r="A132" s="4" t="s">
        <v>97</v>
      </c>
      <c r="B132" s="5">
        <f>DATE(VALUE(MID(A132,FIND(" ",A132)+1,4)),MATCH(LEFT(A132,FIND(" ",A132)-1),{"Январь","Февраль","Март","Апрель","Май","Июнь","Июль","Август","Сентябрь","Октябрь","Ноябрь","Декабрь"},0),1)</f>
        <v>45323</v>
      </c>
      <c r="C132" s="6" t="str">
        <f t="shared" si="4"/>
        <v>2024-02-01</v>
      </c>
      <c r="D132" s="1">
        <v>4.7</v>
      </c>
    </row>
    <row r="133" spans="1:4">
      <c r="A133" s="4" t="s">
        <v>98</v>
      </c>
      <c r="B133" s="5">
        <f>DATE(VALUE(MID(A133,FIND(" ",A133)+1,4)),MATCH(LEFT(A133,FIND(" ",A133)-1),{"Январь","Февраль","Март","Апрель","Май","Июнь","Июль","Август","Сентябрь","Октябрь","Ноябрь","Декабрь"},0),1)</f>
        <v>45352</v>
      </c>
      <c r="C133" s="6" t="str">
        <f t="shared" si="4"/>
        <v>2024-03-01</v>
      </c>
      <c r="D133" s="1">
        <v>4.7</v>
      </c>
    </row>
    <row r="134" spans="1:4">
      <c r="A134" s="4" t="s">
        <v>99</v>
      </c>
      <c r="B134" s="5">
        <f>DATE(VALUE(MID(A134,FIND(" ",A134)+1,4)),MATCH(LEFT(A134,FIND(" ",A134)-1),{"Январь","Февраль","Март","Апрель","Май","Июнь","Июль","Август","Сентябрь","Октябрь","Ноябрь","Декабрь"},0),1)</f>
        <v>45383</v>
      </c>
      <c r="C134" s="6" t="str">
        <f t="shared" si="4"/>
        <v>2024-04-01</v>
      </c>
      <c r="D134" s="1">
        <v>4.7</v>
      </c>
    </row>
    <row r="135" spans="1:4">
      <c r="A135" s="4" t="s">
        <v>100</v>
      </c>
      <c r="B135" s="5">
        <f>DATE(VALUE(MID(A135,FIND(" ",A135)+1,4)),MATCH(LEFT(A135,FIND(" ",A135)-1),{"Январь","Февраль","Март","Апрель","Май","Июнь","Июль","Август","Сентябрь","Октябрь","Ноябрь","Декабрь"},0),1)</f>
        <v>45413</v>
      </c>
      <c r="C135" s="6" t="str">
        <f t="shared" si="4"/>
        <v>2024-05-01</v>
      </c>
      <c r="D135" s="1">
        <v>4.7</v>
      </c>
    </row>
    <row r="136" spans="1:4">
      <c r="A136" s="4" t="s">
        <v>101</v>
      </c>
      <c r="B136" s="5">
        <f>DATE(VALUE(MID(A136,FIND(" ",A136)+1,4)),MATCH(LEFT(A136,FIND(" ",A136)-1),{"Январь","Февраль","Март","Апрель","Май","Июнь","Июль","Август","Сентябрь","Октябрь","Ноябрь","Декабрь"},0),1)</f>
        <v>45444</v>
      </c>
      <c r="C136" s="6" t="str">
        <f t="shared" si="4"/>
        <v>2024-06-01</v>
      </c>
      <c r="D136" s="1">
        <v>4.7</v>
      </c>
    </row>
    <row r="137" spans="1:4">
      <c r="A137" s="4" t="s">
        <v>102</v>
      </c>
      <c r="B137" s="5">
        <f>DATE(VALUE(MID(A137,FIND(" ",A137)+1,4)),MATCH(LEFT(A137,FIND(" ",A137)-1),{"Январь","Февраль","Март","Апрель","Май","Июнь","Июль","Август","Сентябрь","Октябрь","Ноябрь","Декабрь"},0),1)</f>
        <v>45474</v>
      </c>
      <c r="C137" s="6" t="str">
        <f t="shared" si="4"/>
        <v>2024-07-01</v>
      </c>
      <c r="D137" s="1">
        <v>4.6</v>
      </c>
    </row>
    <row r="138" spans="1:4">
      <c r="A138" s="4" t="s">
        <v>103</v>
      </c>
      <c r="B138" s="5">
        <f>DATE(VALUE(MID(A138,FIND(" ",A138)+1,4)),MATCH(LEFT(A138,FIND(" ",A138)-1),{"Январь","Февраль","Март","Апрель","Май","Июнь","Июль","Август","Сентябрь","Октябрь","Ноябрь","Декабрь"},0),1)</f>
        <v>45505</v>
      </c>
      <c r="C138" s="6" t="str">
        <f t="shared" si="4"/>
        <v>2024-08-01</v>
      </c>
      <c r="D138" s="1">
        <v>4.6</v>
      </c>
    </row>
    <row r="139" spans="1:4">
      <c r="A139" s="4" t="s">
        <v>104</v>
      </c>
      <c r="B139" s="5">
        <f>DATE(VALUE(MID(A139,FIND(" ",A139)+1,4)),MATCH(LEFT(A139,FIND(" ",A139)-1),{"Январь","Февраль","Март","Апрель","Май","Июнь","Июль","Август","Сентябрь","Октябрь","Ноябрь","Декабрь"},0),1)</f>
        <v>45536</v>
      </c>
      <c r="C139" s="6" t="str">
        <f t="shared" si="4"/>
        <v>2024-09-01</v>
      </c>
      <c r="D139" s="1">
        <v>4.6</v>
      </c>
    </row>
    <row r="140" spans="1:4">
      <c r="A140" s="4" t="s">
        <v>105</v>
      </c>
      <c r="B140" s="5">
        <f>DATE(VALUE(MID(A140,FIND(" ",A140)+1,4)),MATCH(LEFT(A140,FIND(" ",A140)-1),{"Январь","Февраль","Март","Апрель","Май","Июнь","Июль","Август","Сентябрь","Октябрь","Ноябрь","Декабрь"},0),1)</f>
        <v>45566</v>
      </c>
      <c r="C140" s="6" t="str">
        <f t="shared" si="4"/>
        <v>2024-10-01</v>
      </c>
      <c r="D140" s="1">
        <v>4.6</v>
      </c>
    </row>
    <row r="141" spans="1:4">
      <c r="A141" s="4" t="s">
        <v>106</v>
      </c>
      <c r="B141" s="5">
        <f>DATE(VALUE(MID(A141,FIND(" ",A141)+1,4)),MATCH(LEFT(A141,FIND(" ",A141)-1),{"Январь","Февраль","Март","Апрель","Май","Июнь","Июль","Август","Сентябрь","Октябрь","Ноябрь","Декабрь"},0),1)</f>
        <v>45597</v>
      </c>
      <c r="C141" s="6" t="str">
        <f t="shared" si="4"/>
        <v>2024-11-01</v>
      </c>
      <c r="D141" s="1">
        <v>4.6</v>
      </c>
    </row>
    <row r="142" spans="1:4">
      <c r="A142" s="4" t="s">
        <v>107</v>
      </c>
      <c r="B142" s="5">
        <f>DATE(VALUE(MID(A142,FIND(" ",A142)+1,4)),MATCH(LEFT(A142,FIND(" ",A142)-1),{"Январь","Февраль","Март","Апрель","Май","Июнь","Июль","Август","Сентябрь","Октябрь","Ноябрь","Декабрь"},0),1)</f>
        <v>45627</v>
      </c>
      <c r="C142" s="6" t="str">
        <f t="shared" si="4"/>
        <v>2024-12-01</v>
      </c>
      <c r="D142" s="1">
        <v>4.6</v>
      </c>
    </row>
    <row r="143" spans="1:4">
      <c r="A143" s="4" t="s">
        <v>108</v>
      </c>
      <c r="B143" s="5">
        <f>DATE(VALUE(MID(A143,FIND(" ",A143)+1,4)),MATCH(LEFT(A143,FIND(" ",A143)-1),{"Январь","Февраль","Март","Апрель","Май","Июнь","Июль","Август","Сентябрь","Октябрь","Ноябрь","Декабрь"},0),1)</f>
        <v>45658</v>
      </c>
      <c r="C143" s="6" t="str">
        <f t="shared" si="4"/>
        <v>2025-01-01</v>
      </c>
      <c r="D143" s="1">
        <v>4.6</v>
      </c>
    </row>
    <row r="144" spans="1:4">
      <c r="A144" s="4" t="s">
        <v>109</v>
      </c>
      <c r="B144" s="5">
        <f>DATE(VALUE(MID(A144,FIND(" ",A144)+1,4)),MATCH(LEFT(A144,FIND(" ",A144)-1),{"Январь","Февраль","Март","Апрель","Май","Июнь","Июль","Август","Сентябрь","Октябрь","Ноябрь","Декабрь"},0),1)</f>
        <v>45689</v>
      </c>
      <c r="C144" s="6" t="str">
        <f t="shared" si="4"/>
        <v>2025-02-01</v>
      </c>
      <c r="D144" s="1">
        <v>4.6</v>
      </c>
    </row>
    <row r="145" spans="1:4">
      <c r="A145" s="4" t="s">
        <v>110</v>
      </c>
      <c r="B145" s="5">
        <f>DATE(VALUE(MID(A145,FIND(" ",A145)+1,4)),MATCH(LEFT(A145,FIND(" ",A145)-1),{"Январь","Февраль","Март","Апрель","Май","Июнь","Июль","Август","Сентябрь","Октябрь","Ноябрь","Декабрь"},0),1)</f>
        <v>45717</v>
      </c>
      <c r="C145" s="6" t="str">
        <f t="shared" si="4"/>
        <v>2025-03-01</v>
      </c>
      <c r="D145" s="1">
        <v>4.6</v>
      </c>
    </row>
    <row r="146" spans="1:4">
      <c r="A146" s="4" t="s">
        <v>111</v>
      </c>
      <c r="B146" s="5">
        <f>DATE(VALUE(MID(A146,FIND(" ",A146)+1,4)),MATCH(LEFT(A146,FIND(" ",A146)-1),{"Январь","Февраль","Март","Апрель","Май","Июнь","Июль","Август","Сентябрь","Октябрь","Ноябрь","Декабрь"},0),1)</f>
        <v>45748</v>
      </c>
      <c r="C146" s="6" t="str">
        <f t="shared" si="4"/>
        <v>2025-04-01</v>
      </c>
      <c r="D146" s="1">
        <v>4.6</v>
      </c>
    </row>
    <row r="147" spans="1:4">
      <c r="A147" s="4" t="s">
        <v>112</v>
      </c>
      <c r="B147" s="5">
        <f>DATE(VALUE(MID(A147,FIND(" ",A147)+1,4)),MATCH(LEFT(A147,FIND(" ",A147)-1),{"Январь","Февраль","Март","Апрель","Май","Июнь","Июль","Август","Сентябрь","Октябрь","Ноябрь","Декабрь"},0),1)</f>
        <v>45778</v>
      </c>
      <c r="C147" s="6" t="str">
        <f t="shared" si="4"/>
        <v>2025-05-01</v>
      </c>
      <c r="D147" s="1">
        <v>4.6</v>
      </c>
    </row>
    <row r="148" spans="1:4">
      <c r="A148" s="4" t="s">
        <v>113</v>
      </c>
      <c r="B148" s="5">
        <f>DATE(VALUE(MID(A148,FIND(" ",A148)+1,4)),MATCH(LEFT(A148,FIND(" ",A148)-1),{"Январь","Февраль","Март","Апрель","Май","Июнь","Июль","Август","Сентябрь","Октябрь","Ноябрь","Декабрь"},0),1)</f>
        <v>45809</v>
      </c>
      <c r="C148" s="6" t="str">
        <f t="shared" si="4"/>
        <v>2025-06-01</v>
      </c>
      <c r="D148" s="1">
        <v>4.6</v>
      </c>
    </row>
    <row r="149" spans="1:4">
      <c r="A149" s="4" t="s">
        <v>114</v>
      </c>
      <c r="B149" s="5">
        <f>DATE(VALUE(MID(A149,FIND(" ",A149)+1,4)),MATCH(LEFT(A149,FIND(" ",A149)-1),{"Январь","Февраль","Март","Апрель","Май","Июнь","Июль","Август","Сентябрь","Октябрь","Ноябрь","Декабрь"},0),1)</f>
        <v>45839</v>
      </c>
      <c r="C149" s="6" t="str">
        <f t="shared" si="4"/>
        <v>2025-07-01</v>
      </c>
      <c r="D149" s="1">
        <v>4.6</v>
      </c>
    </row>
    <row r="150" spans="1:4">
      <c r="A150" s="4" t="s">
        <v>115</v>
      </c>
      <c r="B150" s="5">
        <f>DATE(VALUE(MID(A150,FIND(" ",A150)+1,4)),MATCH(LEFT(A150,FIND(" ",A150)-1),{"Январь","Февраль","Март","Апрель","Май","Июнь","Июль","Август","Сентябрь","Октябрь","Ноябрь","Декабрь"},0),1)</f>
        <v>45870</v>
      </c>
      <c r="C150" s="6" t="str">
        <f t="shared" si="4"/>
        <v>2025-08-01</v>
      </c>
      <c r="D150" s="1">
        <v>4.6</v>
      </c>
    </row>
    <row r="151" spans="1:4">
      <c r="A151" s="4" t="s">
        <v>116</v>
      </c>
      <c r="B151" s="5">
        <f>DATE(VALUE(MID(A151,FIND(" ",A151)+1,4)),MATCH(LEFT(A151,FIND(" ",A151)-1),{"Январь","Февраль","Март","Апрель","Май","Июнь","Июль","Август","Сентябрь","Октябрь","Ноябрь","Декабрь"},0),1)</f>
        <v>45901</v>
      </c>
      <c r="C151" s="6" t="str">
        <f t="shared" si="4"/>
        <v>2025-09-01</v>
      </c>
      <c r="D151" s="1">
        <v>4.6</v>
      </c>
    </row>
    <row r="152" spans="1:4">
      <c r="A152" s="4" t="s">
        <v>117</v>
      </c>
      <c r="B152" s="5">
        <f>DATE(VALUE(MID(A152,FIND(" ",A152)+1,4)),MATCH(LEFT(A152,FIND(" ",A152)-1),{"Январь","Февраль","Март","Апрель","Май","Июнь","Июль","Август","Сентябрь","Октябрь","Ноябрь","Декабрь"},0),1)</f>
        <v>45931</v>
      </c>
      <c r="C152" s="6" t="str">
        <f t="shared" si="4"/>
        <v>2025-10-01</v>
      </c>
      <c r="D152" s="1">
        <v>4.6</v>
      </c>
    </row>
    <row r="153" spans="1:4">
      <c r="A153" s="4" t="s">
        <v>118</v>
      </c>
      <c r="B153" s="5">
        <f>DATE(VALUE(MID(A153,FIND(" ",A153)+1,4)),MATCH(LEFT(A153,FIND(" ",A153)-1),{"Январь","Февраль","Март","Апрель","Май","Июнь","Июль","Август","Сентябрь","Октябрь","Ноябрь","Декабрь"},0),1)</f>
        <v>45962</v>
      </c>
      <c r="C153" s="6" t="str">
        <f t="shared" si="4"/>
        <v>2025-11-01</v>
      </c>
      <c r="D153" s="1">
        <v>4.6</v>
      </c>
    </row>
    <row r="154" spans="1:4">
      <c r="A154" s="4" t="s">
        <v>163</v>
      </c>
      <c r="B154" s="5">
        <f>DATE(VALUE(MID(A154,FIND(" ",A154)+1,4)),MATCH(LEFT(A154,FIND(" ",A154)-1),{"Январь","Февраль","Март","Апрель","Май","Июнь","Июль","Август","Сентябрь","Октябрь","Ноябрь","Декабрь"},0),1)</f>
        <v>45992</v>
      </c>
      <c r="C154" s="6" t="str">
        <f t="shared" si="4"/>
        <v>2025-12-01</v>
      </c>
      <c r="D154" s="1">
        <f>D153</f>
        <v>4.6</v>
      </c>
    </row>
    <row r="155" spans="1:4">
      <c r="A155" s="4" t="s">
        <v>119</v>
      </c>
      <c r="B155" s="5">
        <f>DATE(VALUE(MID(A155,FIND(" ",A155)+1,4)),MATCH(LEFT(A155,FIND(" ",A155)-1),{"Январь","Февраль","Март","Апрель","Май","Июнь","Июль","Август","Сентябрь","Октябрь","Ноябрь","Декабрь"},0),1)</f>
        <v>46023</v>
      </c>
      <c r="C155" s="6" t="str">
        <f t="shared" si="4"/>
        <v>2026-01-01</v>
      </c>
      <c r="D155" s="1">
        <v>4.5</v>
      </c>
    </row>
    <row r="156" spans="1:4">
      <c r="A156" s="4" t="s">
        <v>120</v>
      </c>
      <c r="B156" s="5">
        <f>DATE(VALUE(MID(A156,FIND(" ",A156)+1,4)),MATCH(LEFT(A156,FIND(" ",A156)-1),{"Январь","Февраль","Март","Апрель","Май","Июнь","Июль","Август","Сентябрь","Октябрь","Ноябрь","Декабрь"},0),1)</f>
        <v>46054</v>
      </c>
      <c r="C156" s="6" t="str">
        <f t="shared" si="4"/>
        <v>2026-02-01</v>
      </c>
      <c r="D156" s="1">
        <v>4.5</v>
      </c>
    </row>
    <row r="157" spans="1:4">
      <c r="A157" s="4" t="s">
        <v>121</v>
      </c>
      <c r="B157" s="5">
        <f>DATE(VALUE(MID(A157,FIND(" ",A157)+1,4)),MATCH(LEFT(A157,FIND(" ",A157)-1),{"Январь","Февраль","Март","Апрель","Май","Июнь","Июль","Август","Сентябрь","Октябрь","Ноябрь","Декабрь"},0),1)</f>
        <v>46082</v>
      </c>
      <c r="C157" s="6" t="str">
        <f t="shared" si="4"/>
        <v>2026-03-01</v>
      </c>
      <c r="D157" s="1">
        <v>4.5</v>
      </c>
    </row>
    <row r="158" spans="1:4">
      <c r="A158" s="4" t="s">
        <v>122</v>
      </c>
      <c r="B158" s="5">
        <f>DATE(VALUE(MID(A158,FIND(" ",A158)+1,4)),MATCH(LEFT(A158,FIND(" ",A158)-1),{"Январь","Февраль","Март","Апрель","Май","Июнь","Июль","Август","Сентябрь","Октябрь","Ноябрь","Декабрь"},0),1)</f>
        <v>46113</v>
      </c>
      <c r="C158" s="6" t="str">
        <f t="shared" si="4"/>
        <v>2026-04-01</v>
      </c>
      <c r="D158" s="1">
        <v>4.5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B158"/>
  <sheetViews>
    <sheetView tabSelected="1" workbookViewId="0">
      <selection activeCell="B1" sqref="B1"/>
    </sheetView>
  </sheetViews>
  <sheetFormatPr defaultColWidth="9" defaultRowHeight="16.8" outlineLevelCol="1"/>
  <cols>
    <col min="1" max="1" width="10.4296875" customWidth="1"/>
    <col min="2" max="2" width="11.609375" customWidth="1"/>
  </cols>
  <sheetData>
    <row r="1" spans="1:2">
      <c r="A1" s="1" t="s">
        <v>164</v>
      </c>
      <c r="B1" s="1" t="s">
        <v>165</v>
      </c>
    </row>
    <row r="2" spans="1:2">
      <c r="A2" s="1" t="str">
        <f>'Final Clean'!C2</f>
        <v>2013-04-01</v>
      </c>
      <c r="B2" s="1">
        <f>'Final Clean'!D2</f>
        <v>5.3</v>
      </c>
    </row>
    <row r="3" spans="1:2">
      <c r="A3" s="1" t="str">
        <f>'Final Clean'!C3</f>
        <v>2013-05-01</v>
      </c>
      <c r="B3" s="1">
        <f>'Final Clean'!D3</f>
        <v>5.3</v>
      </c>
    </row>
    <row r="4" spans="1:2">
      <c r="A4" s="1" t="str">
        <f>'Final Clean'!C4</f>
        <v>2013-06-01</v>
      </c>
      <c r="B4" s="1">
        <f>'Final Clean'!D4</f>
        <v>5.2</v>
      </c>
    </row>
    <row r="5" spans="1:2">
      <c r="A5" s="1" t="str">
        <f>'Final Clean'!C5</f>
        <v>2013-07-01</v>
      </c>
      <c r="B5" s="1">
        <f>'Final Clean'!D5</f>
        <v>5.2</v>
      </c>
    </row>
    <row r="6" spans="1:2">
      <c r="A6" s="1" t="str">
        <f>'Final Clean'!C6</f>
        <v>2013-08-01</v>
      </c>
      <c r="B6" s="1">
        <f>'Final Clean'!D6</f>
        <v>5.2</v>
      </c>
    </row>
    <row r="7" spans="1:2">
      <c r="A7" s="1" t="str">
        <f>'Final Clean'!C7</f>
        <v>2013-09-01</v>
      </c>
      <c r="B7" s="1">
        <f>'Final Clean'!D7</f>
        <v>5.2</v>
      </c>
    </row>
    <row r="8" spans="1:2">
      <c r="A8" s="1" t="str">
        <f>'Final Clean'!C8</f>
        <v>2013-10-01</v>
      </c>
      <c r="B8" s="1">
        <f>'Final Clean'!D8</f>
        <v>5.2</v>
      </c>
    </row>
    <row r="9" spans="1:2">
      <c r="A9" s="1" t="str">
        <f>'Final Clean'!C9</f>
        <v>2013-11-01</v>
      </c>
      <c r="B9" s="1">
        <f>'Final Clean'!D9</f>
        <v>5.2</v>
      </c>
    </row>
    <row r="10" spans="1:2">
      <c r="A10" s="1" t="str">
        <f>'Final Clean'!C10</f>
        <v>2013-12-01</v>
      </c>
      <c r="B10" s="1">
        <f>'Final Clean'!D10</f>
        <v>5.2</v>
      </c>
    </row>
    <row r="11" spans="1:2">
      <c r="A11" s="1" t="str">
        <f>'Final Clean'!C11</f>
        <v>2014-01-01</v>
      </c>
      <c r="B11" s="1">
        <f>'Final Clean'!D11</f>
        <v>5.2</v>
      </c>
    </row>
    <row r="12" spans="1:2">
      <c r="A12" s="1" t="str">
        <f>'Final Clean'!C12</f>
        <v>2014-02-01</v>
      </c>
      <c r="B12" s="1">
        <f>'Final Clean'!D12</f>
        <v>5.2</v>
      </c>
    </row>
    <row r="13" spans="1:2">
      <c r="A13" s="1" t="str">
        <f>'Final Clean'!C13</f>
        <v>2014-03-01</v>
      </c>
      <c r="B13" s="1">
        <f>'Final Clean'!D13</f>
        <v>5.2</v>
      </c>
    </row>
    <row r="14" spans="1:2">
      <c r="A14" s="1" t="str">
        <f>'Final Clean'!C14</f>
        <v>2014-04-01</v>
      </c>
      <c r="B14" s="1">
        <f>'Final Clean'!D14</f>
        <v>5.2</v>
      </c>
    </row>
    <row r="15" spans="1:2">
      <c r="A15" s="1" t="str">
        <f>'Final Clean'!C15</f>
        <v>2014-05-01</v>
      </c>
      <c r="B15" s="1">
        <f>'Final Clean'!D15</f>
        <v>5.2</v>
      </c>
    </row>
    <row r="16" spans="1:2">
      <c r="A16" s="1" t="str">
        <f>'Final Clean'!C16</f>
        <v>2014-06-01</v>
      </c>
      <c r="B16" s="1">
        <f>'Final Clean'!D16</f>
        <v>5</v>
      </c>
    </row>
    <row r="17" spans="1:2">
      <c r="A17" s="1" t="str">
        <f>'Final Clean'!C17</f>
        <v>2014-07-01</v>
      </c>
      <c r="B17" s="1">
        <f>'Final Clean'!D17</f>
        <v>5</v>
      </c>
    </row>
    <row r="18" spans="1:2">
      <c r="A18" s="1" t="str">
        <f>'Final Clean'!C18</f>
        <v>2014-08-01</v>
      </c>
      <c r="B18" s="1">
        <f>'Final Clean'!D18</f>
        <v>5.1</v>
      </c>
    </row>
    <row r="19" spans="1:2">
      <c r="A19" s="1" t="str">
        <f>'Final Clean'!C19</f>
        <v>2014-09-01</v>
      </c>
      <c r="B19" s="1">
        <f>'Final Clean'!D19</f>
        <v>5</v>
      </c>
    </row>
    <row r="20" spans="1:2">
      <c r="A20" s="1" t="str">
        <f>'Final Clean'!C20</f>
        <v>2014-10-01</v>
      </c>
      <c r="B20" s="1">
        <f>'Final Clean'!D20</f>
        <v>5</v>
      </c>
    </row>
    <row r="21" spans="1:2">
      <c r="A21" s="1" t="str">
        <f>'Final Clean'!C21</f>
        <v>2014-11-01</v>
      </c>
      <c r="B21" s="1">
        <f>'Final Clean'!D21</f>
        <v>5.1</v>
      </c>
    </row>
    <row r="22" spans="1:2">
      <c r="A22" s="1" t="str">
        <f>'Final Clean'!C22</f>
        <v>2014-12-01</v>
      </c>
      <c r="B22" s="1">
        <f>'Final Clean'!D22</f>
        <v>5.1</v>
      </c>
    </row>
    <row r="23" spans="1:2">
      <c r="A23" s="1" t="str">
        <f>'Final Clean'!C23</f>
        <v>2015-01-01</v>
      </c>
      <c r="B23" s="1">
        <f>'Final Clean'!D23</f>
        <v>5</v>
      </c>
    </row>
    <row r="24" spans="1:2">
      <c r="A24" s="1" t="str">
        <f>'Final Clean'!C24</f>
        <v>2015-02-01</v>
      </c>
      <c r="B24" s="1">
        <f>'Final Clean'!D24</f>
        <v>5</v>
      </c>
    </row>
    <row r="25" spans="1:2">
      <c r="A25" s="1" t="str">
        <f>'Final Clean'!C25</f>
        <v>2015-03-01</v>
      </c>
      <c r="B25" s="1">
        <f>'Final Clean'!D25</f>
        <v>5</v>
      </c>
    </row>
    <row r="26" spans="1:2">
      <c r="A26" s="1" t="str">
        <f>'Final Clean'!C26</f>
        <v>2015-04-01</v>
      </c>
      <c r="B26" s="1">
        <f>'Final Clean'!D26</f>
        <v>5</v>
      </c>
    </row>
    <row r="27" spans="1:2">
      <c r="A27" s="1" t="str">
        <f>'Final Clean'!C27</f>
        <v>2015-05-01</v>
      </c>
      <c r="B27" s="1">
        <f>'Final Clean'!D27</f>
        <v>5</v>
      </c>
    </row>
    <row r="28" spans="1:2">
      <c r="A28" s="1" t="str">
        <f>'Final Clean'!C28</f>
        <v>2015-06-01</v>
      </c>
      <c r="B28" s="1">
        <f>'Final Clean'!D28</f>
        <v>4.9</v>
      </c>
    </row>
    <row r="29" spans="1:2">
      <c r="A29" s="1" t="str">
        <f>'Final Clean'!C29</f>
        <v>2015-07-01</v>
      </c>
      <c r="B29" s="1">
        <f>'Final Clean'!D29</f>
        <v>4.9</v>
      </c>
    </row>
    <row r="30" spans="1:2">
      <c r="A30" s="1" t="str">
        <f>'Final Clean'!C30</f>
        <v>2015-08-01</v>
      </c>
      <c r="B30" s="1">
        <f>'Final Clean'!D30</f>
        <v>4.9</v>
      </c>
    </row>
    <row r="31" spans="1:2">
      <c r="A31" s="1" t="str">
        <f>'Final Clean'!C31</f>
        <v>2015-09-01</v>
      </c>
      <c r="B31" s="1">
        <f>'Final Clean'!D31</f>
        <v>4.9</v>
      </c>
    </row>
    <row r="32" spans="1:2">
      <c r="A32" s="1" t="str">
        <f>'Final Clean'!C32</f>
        <v>2015-10-01</v>
      </c>
      <c r="B32" s="1">
        <f>'Final Clean'!D32</f>
        <v>4.9</v>
      </c>
    </row>
    <row r="33" spans="1:2">
      <c r="A33" s="1" t="str">
        <f>'Final Clean'!C33</f>
        <v>2015-11-01</v>
      </c>
      <c r="B33" s="1">
        <f>'Final Clean'!D33</f>
        <v>5</v>
      </c>
    </row>
    <row r="34" spans="1:2">
      <c r="A34" s="1" t="str">
        <f>'Final Clean'!C34</f>
        <v>2015-12-01</v>
      </c>
      <c r="B34" s="1">
        <f>'Final Clean'!D34</f>
        <v>5</v>
      </c>
    </row>
    <row r="35" spans="1:2">
      <c r="A35" s="1" t="str">
        <f>'Final Clean'!C35</f>
        <v>2016-01-01</v>
      </c>
      <c r="B35" s="1">
        <f>'Final Clean'!D35</f>
        <v>5.1</v>
      </c>
    </row>
    <row r="36" spans="1:2">
      <c r="A36" s="1" t="str">
        <f>'Final Clean'!C36</f>
        <v>2016-02-01</v>
      </c>
      <c r="B36" s="1">
        <f>'Final Clean'!D36</f>
        <v>5.1</v>
      </c>
    </row>
    <row r="37" spans="1:2">
      <c r="A37" s="1" t="str">
        <f>'Final Clean'!C37</f>
        <v>2016-03-01</v>
      </c>
      <c r="B37" s="1">
        <f>'Final Clean'!D37</f>
        <v>5.1</v>
      </c>
    </row>
    <row r="38" spans="1:2">
      <c r="A38" s="1" t="str">
        <f>'Final Clean'!C38</f>
        <v>2016-04-01</v>
      </c>
      <c r="B38" s="1">
        <f>'Final Clean'!D38</f>
        <v>4.9</v>
      </c>
    </row>
    <row r="39" spans="1:2">
      <c r="A39" s="1" t="str">
        <f>'Final Clean'!C39</f>
        <v>2016-05-01</v>
      </c>
      <c r="B39" s="1">
        <f>'Final Clean'!D39</f>
        <v>4.9</v>
      </c>
    </row>
    <row r="40" spans="1:2">
      <c r="A40" s="1" t="str">
        <f>'Final Clean'!C40</f>
        <v>2016-06-01</v>
      </c>
      <c r="B40" s="1">
        <f>'Final Clean'!D40</f>
        <v>4.9</v>
      </c>
    </row>
    <row r="41" spans="1:2">
      <c r="A41" s="1" t="str">
        <f>'Final Clean'!C41</f>
        <v>2016-07-01</v>
      </c>
      <c r="B41" s="1">
        <f>'Final Clean'!D41</f>
        <v>5.1</v>
      </c>
    </row>
    <row r="42" spans="1:2">
      <c r="A42" s="1" t="str">
        <f>'Final Clean'!C42</f>
        <v>2016-08-01</v>
      </c>
      <c r="B42" s="1">
        <f>'Final Clean'!D42</f>
        <v>5</v>
      </c>
    </row>
    <row r="43" spans="1:2">
      <c r="A43" s="1" t="str">
        <f>'Final Clean'!C43</f>
        <v>2016-09-01</v>
      </c>
      <c r="B43" s="1">
        <f>'Final Clean'!D43</f>
        <v>5</v>
      </c>
    </row>
    <row r="44" spans="1:2">
      <c r="A44" s="1" t="str">
        <f>'Final Clean'!C44</f>
        <v>2016-10-01</v>
      </c>
      <c r="B44" s="1">
        <f>'Final Clean'!D44</f>
        <v>4.9</v>
      </c>
    </row>
    <row r="45" spans="1:2">
      <c r="A45" s="1" t="str">
        <f>'Final Clean'!C45</f>
        <v>2016-11-01</v>
      </c>
      <c r="B45" s="1">
        <f>'Final Clean'!D45</f>
        <v>5</v>
      </c>
    </row>
    <row r="46" spans="1:2">
      <c r="A46" s="1" t="str">
        <f>'Final Clean'!C46</f>
        <v>2016-12-01</v>
      </c>
      <c r="B46" s="1">
        <f>'Final Clean'!D46</f>
        <v>5</v>
      </c>
    </row>
    <row r="47" spans="1:2">
      <c r="A47" s="1" t="str">
        <f>'Final Clean'!C47</f>
        <v>2017-01-01</v>
      </c>
      <c r="B47" s="1">
        <f>'Final Clean'!D47</f>
        <v>4.9</v>
      </c>
    </row>
    <row r="48" spans="1:2">
      <c r="A48" s="1" t="str">
        <f>'Final Clean'!C48</f>
        <v>2017-02-01</v>
      </c>
      <c r="B48" s="1">
        <f>'Final Clean'!D48</f>
        <v>4.9</v>
      </c>
    </row>
    <row r="49" spans="1:2">
      <c r="A49" s="1" t="str">
        <f>'Final Clean'!C49</f>
        <v>2017-03-01</v>
      </c>
      <c r="B49" s="1">
        <f>'Final Clean'!D49</f>
        <v>4.9</v>
      </c>
    </row>
    <row r="50" spans="1:2">
      <c r="A50" s="1" t="str">
        <f>'Final Clean'!C50</f>
        <v>2017-04-01</v>
      </c>
      <c r="B50" s="1">
        <f>'Final Clean'!D50</f>
        <v>4.9</v>
      </c>
    </row>
    <row r="51" spans="1:2">
      <c r="A51" s="1" t="str">
        <f>'Final Clean'!C51</f>
        <v>2017-05-01</v>
      </c>
      <c r="B51" s="1">
        <f>'Final Clean'!D51</f>
        <v>4.8</v>
      </c>
    </row>
    <row r="52" spans="1:2">
      <c r="A52" s="1" t="str">
        <f>'Final Clean'!C52</f>
        <v>2017-06-01</v>
      </c>
      <c r="B52" s="1">
        <f>'Final Clean'!D52</f>
        <v>4.9</v>
      </c>
    </row>
    <row r="53" spans="1:2">
      <c r="A53" s="1" t="str">
        <f>'Final Clean'!C53</f>
        <v>2017-07-01</v>
      </c>
      <c r="B53" s="1">
        <f>'Final Clean'!D53</f>
        <v>4.9</v>
      </c>
    </row>
    <row r="54" spans="1:2">
      <c r="A54" s="1" t="str">
        <f>'Final Clean'!C54</f>
        <v>2017-08-01</v>
      </c>
      <c r="B54" s="1">
        <f>'Final Clean'!D54</f>
        <v>4.9</v>
      </c>
    </row>
    <row r="55" spans="1:2">
      <c r="A55" s="1" t="str">
        <f>'Final Clean'!C55</f>
        <v>2017-09-01</v>
      </c>
      <c r="B55" s="1">
        <f>'Final Clean'!D55</f>
        <v>4.9</v>
      </c>
    </row>
    <row r="56" spans="1:2">
      <c r="A56" s="1" t="str">
        <f>'Final Clean'!C56</f>
        <v>2017-10-01</v>
      </c>
      <c r="B56" s="1">
        <f>'Final Clean'!D56</f>
        <v>4.9</v>
      </c>
    </row>
    <row r="57" spans="1:2">
      <c r="A57" s="1" t="str">
        <f>'Final Clean'!C57</f>
        <v>2017-11-01</v>
      </c>
      <c r="B57" s="1">
        <f>'Final Clean'!D57</f>
        <v>5</v>
      </c>
    </row>
    <row r="58" spans="1:2">
      <c r="A58" s="1" t="str">
        <f>'Final Clean'!C58</f>
        <v>2017-12-01</v>
      </c>
      <c r="B58" s="1">
        <f>'Final Clean'!D58</f>
        <v>5</v>
      </c>
    </row>
    <row r="59" spans="1:2">
      <c r="A59" s="1" t="str">
        <f>'Final Clean'!C59</f>
        <v>2018-01-01</v>
      </c>
      <c r="B59" s="1">
        <f>'Final Clean'!D59</f>
        <v>4.9</v>
      </c>
    </row>
    <row r="60" spans="1:2">
      <c r="A60" s="1" t="str">
        <f>'Final Clean'!C60</f>
        <v>2018-02-01</v>
      </c>
      <c r="B60" s="1">
        <f>'Final Clean'!D60</f>
        <v>4.9</v>
      </c>
    </row>
    <row r="61" spans="1:2">
      <c r="A61" s="1" t="str">
        <f>'Final Clean'!C61</f>
        <v>2018-03-01</v>
      </c>
      <c r="B61" s="1">
        <f>'Final Clean'!D61</f>
        <v>4.9</v>
      </c>
    </row>
    <row r="62" spans="1:2">
      <c r="A62" s="1" t="str">
        <f>'Final Clean'!C62</f>
        <v>2018-04-01</v>
      </c>
      <c r="B62" s="1">
        <f>'Final Clean'!D62</f>
        <v>4.9</v>
      </c>
    </row>
    <row r="63" spans="1:2">
      <c r="A63" s="1" t="str">
        <f>'Final Clean'!C63</f>
        <v>2018-05-01</v>
      </c>
      <c r="B63" s="1">
        <f>'Final Clean'!D63</f>
        <v>4.9</v>
      </c>
    </row>
    <row r="64" spans="1:2">
      <c r="A64" s="1" t="str">
        <f>'Final Clean'!C64</f>
        <v>2018-06-01</v>
      </c>
      <c r="B64" s="1">
        <f>'Final Clean'!D64</f>
        <v>4.9</v>
      </c>
    </row>
    <row r="65" spans="1:2">
      <c r="A65" s="1" t="str">
        <f>'Final Clean'!C65</f>
        <v>2018-07-01</v>
      </c>
      <c r="B65" s="1">
        <f>'Final Clean'!D65</f>
        <v>4.8</v>
      </c>
    </row>
    <row r="66" spans="1:2">
      <c r="A66" s="1" t="str">
        <f>'Final Clean'!C66</f>
        <v>2018-08-01</v>
      </c>
      <c r="B66" s="1">
        <f>'Final Clean'!D66</f>
        <v>4.8</v>
      </c>
    </row>
    <row r="67" spans="1:2">
      <c r="A67" s="1" t="str">
        <f>'Final Clean'!C67</f>
        <v>2018-09-01</v>
      </c>
      <c r="B67" s="1">
        <f>'Final Clean'!D67</f>
        <v>4.8</v>
      </c>
    </row>
    <row r="68" spans="1:2">
      <c r="A68" s="1" t="str">
        <f>'Final Clean'!C68</f>
        <v>2018-10-01</v>
      </c>
      <c r="B68" s="1">
        <f>'Final Clean'!D68</f>
        <v>4.8</v>
      </c>
    </row>
    <row r="69" spans="1:2">
      <c r="A69" s="1" t="str">
        <f>'Final Clean'!C69</f>
        <v>2018-11-01</v>
      </c>
      <c r="B69" s="1">
        <f>'Final Clean'!D69</f>
        <v>4.8</v>
      </c>
    </row>
    <row r="70" spans="1:2">
      <c r="A70" s="1" t="str">
        <f>'Final Clean'!C70</f>
        <v>2018-12-01</v>
      </c>
      <c r="B70" s="1">
        <f>'Final Clean'!D70</f>
        <v>4.8</v>
      </c>
    </row>
    <row r="71" spans="1:2">
      <c r="A71" s="1" t="str">
        <f>'Final Clean'!C71</f>
        <v>2019-01-01</v>
      </c>
      <c r="B71" s="1">
        <f>'Final Clean'!D71</f>
        <v>4.8</v>
      </c>
    </row>
    <row r="72" spans="1:2">
      <c r="A72" s="1" t="str">
        <f>'Final Clean'!C72</f>
        <v>2019-02-01</v>
      </c>
      <c r="B72" s="1">
        <f>'Final Clean'!D72</f>
        <v>4.8</v>
      </c>
    </row>
    <row r="73" spans="1:2">
      <c r="A73" s="1" t="str">
        <f>'Final Clean'!C73</f>
        <v>2019-03-01</v>
      </c>
      <c r="B73" s="1">
        <f>'Final Clean'!D73</f>
        <v>4.8</v>
      </c>
    </row>
    <row r="74" spans="1:2">
      <c r="A74" s="1" t="str">
        <f>'Final Clean'!C74</f>
        <v>2019-04-01</v>
      </c>
      <c r="B74" s="1">
        <f>'Final Clean'!D74</f>
        <v>4.8</v>
      </c>
    </row>
    <row r="75" spans="1:2">
      <c r="A75" s="1" t="str">
        <f>'Final Clean'!C75</f>
        <v>2019-05-01</v>
      </c>
      <c r="B75" s="1">
        <f>'Final Clean'!D75</f>
        <v>4.8</v>
      </c>
    </row>
    <row r="76" spans="1:2">
      <c r="A76" s="1" t="str">
        <f>'Final Clean'!C76</f>
        <v>2019-06-01</v>
      </c>
      <c r="B76" s="1">
        <f>'Final Clean'!D76</f>
        <v>4.8</v>
      </c>
    </row>
    <row r="77" spans="1:2">
      <c r="A77" s="1" t="str">
        <f>'Final Clean'!C77</f>
        <v>2019-07-01</v>
      </c>
      <c r="B77" s="1">
        <f>'Final Clean'!D77</f>
        <v>4.8</v>
      </c>
    </row>
    <row r="78" spans="1:2">
      <c r="A78" s="1" t="str">
        <f>'Final Clean'!C78</f>
        <v>2019-08-01</v>
      </c>
      <c r="B78" s="1">
        <f>'Final Clean'!D78</f>
        <v>4.8</v>
      </c>
    </row>
    <row r="79" spans="1:2">
      <c r="A79" s="1" t="str">
        <f>'Final Clean'!C79</f>
        <v>2019-09-01</v>
      </c>
      <c r="B79" s="1">
        <f>'Final Clean'!D79</f>
        <v>4.8</v>
      </c>
    </row>
    <row r="80" spans="1:2">
      <c r="A80" s="1" t="str">
        <f>'Final Clean'!C80</f>
        <v>2019-10-01</v>
      </c>
      <c r="B80" s="1">
        <f>'Final Clean'!D80</f>
        <v>4.8</v>
      </c>
    </row>
    <row r="81" spans="1:2">
      <c r="A81" s="1" t="str">
        <f>'Final Clean'!C81</f>
        <v>2019-11-01</v>
      </c>
      <c r="B81" s="1">
        <f>'Final Clean'!D81</f>
        <v>4.8</v>
      </c>
    </row>
    <row r="82" spans="1:2">
      <c r="A82" s="1" t="str">
        <f>'Final Clean'!C82</f>
        <v>2019-12-01</v>
      </c>
      <c r="B82" s="1">
        <f>'Final Clean'!D82</f>
        <v>4.8</v>
      </c>
    </row>
    <row r="83" spans="1:2">
      <c r="A83" s="1" t="str">
        <f>'Final Clean'!C83</f>
        <v>2020-01-01</v>
      </c>
      <c r="B83" s="1">
        <f>'Final Clean'!D83</f>
        <v>4.8</v>
      </c>
    </row>
    <row r="84" spans="1:2">
      <c r="A84" s="1" t="str">
        <f>'Final Clean'!C84</f>
        <v>2020-02-01</v>
      </c>
      <c r="B84" s="1">
        <f>'Final Clean'!D84</f>
        <v>4.8</v>
      </c>
    </row>
    <row r="85" spans="1:2">
      <c r="A85" s="1" t="str">
        <f>'Final Clean'!C85</f>
        <v>2020-03-01</v>
      </c>
      <c r="B85" s="1">
        <f>'Final Clean'!D85</f>
        <v>4.8</v>
      </c>
    </row>
    <row r="86" spans="1:2">
      <c r="A86" s="1" t="str">
        <f>'Final Clean'!C86</f>
        <v>2020-04-01</v>
      </c>
      <c r="B86" s="1">
        <f>'Final Clean'!D86</f>
        <v>4.8</v>
      </c>
    </row>
    <row r="87" spans="1:2">
      <c r="A87" s="1" t="str">
        <f>'Final Clean'!C87</f>
        <v>2020-05-01</v>
      </c>
      <c r="B87" s="1">
        <f>'Final Clean'!D87</f>
        <v>4.8</v>
      </c>
    </row>
    <row r="88" spans="1:2">
      <c r="A88" s="1" t="str">
        <f>'Final Clean'!C88</f>
        <v>2020-06-01</v>
      </c>
      <c r="B88" s="1">
        <f>'Final Clean'!D88</f>
        <v>4.8</v>
      </c>
    </row>
    <row r="89" spans="1:2">
      <c r="A89" s="1" t="str">
        <f>'Final Clean'!C89</f>
        <v>2020-07-01</v>
      </c>
      <c r="B89" s="1">
        <f>'Final Clean'!D89</f>
        <v>4.8</v>
      </c>
    </row>
    <row r="90" spans="1:2">
      <c r="A90" s="1" t="str">
        <f>'Final Clean'!C90</f>
        <v>2020-08-01</v>
      </c>
      <c r="B90" s="1">
        <f>'Final Clean'!D90</f>
        <v>4.8</v>
      </c>
    </row>
    <row r="91" spans="1:2">
      <c r="A91" s="1" t="str">
        <f>'Final Clean'!C91</f>
        <v>2020-09-01</v>
      </c>
      <c r="B91" s="1">
        <f>'Final Clean'!D91</f>
        <v>4.8</v>
      </c>
    </row>
    <row r="92" spans="1:2">
      <c r="A92" s="1" t="str">
        <f>'Final Clean'!C92</f>
        <v>2020-10-01</v>
      </c>
      <c r="B92" s="1">
        <f>'Final Clean'!D92</f>
        <v>4.8</v>
      </c>
    </row>
    <row r="93" spans="1:2">
      <c r="A93" s="1" t="str">
        <f>'Final Clean'!C93</f>
        <v>2020-11-01</v>
      </c>
      <c r="B93" s="1">
        <f>'Final Clean'!D93</f>
        <v>4.8</v>
      </c>
    </row>
    <row r="94" spans="1:2">
      <c r="A94" s="1" t="str">
        <f>'Final Clean'!C94</f>
        <v>2020-12-01</v>
      </c>
      <c r="B94" s="1">
        <f>'Final Clean'!D94</f>
        <v>4.8</v>
      </c>
    </row>
    <row r="95" spans="1:2">
      <c r="A95" s="1" t="str">
        <f>'Final Clean'!C95</f>
        <v>2021-01-01</v>
      </c>
      <c r="B95" s="1">
        <f>'Final Clean'!D95</f>
        <v>4.8</v>
      </c>
    </row>
    <row r="96" spans="1:2">
      <c r="A96" s="1" t="str">
        <f>'Final Clean'!C96</f>
        <v>2021-02-01</v>
      </c>
      <c r="B96" s="1">
        <f>'Final Clean'!D96</f>
        <v>4.8</v>
      </c>
    </row>
    <row r="97" spans="1:2">
      <c r="A97" s="1" t="str">
        <f>'Final Clean'!C97</f>
        <v>2021-03-01</v>
      </c>
      <c r="B97" s="1">
        <f>'Final Clean'!D97</f>
        <v>4.8</v>
      </c>
    </row>
    <row r="98" spans="1:2">
      <c r="A98" s="1" t="str">
        <f>'Final Clean'!C98</f>
        <v>2021-04-01</v>
      </c>
      <c r="B98" s="1">
        <f>'Final Clean'!D98</f>
        <v>4.8</v>
      </c>
    </row>
    <row r="99" spans="1:2">
      <c r="A99" s="1" t="str">
        <f>'Final Clean'!C99</f>
        <v>2021-05-01</v>
      </c>
      <c r="B99" s="1">
        <f>'Final Clean'!D99</f>
        <v>4.8</v>
      </c>
    </row>
    <row r="100" spans="1:2">
      <c r="A100" s="1" t="str">
        <f>'Final Clean'!C100</f>
        <v>2021-06-01</v>
      </c>
      <c r="B100" s="1">
        <f>'Final Clean'!D100</f>
        <v>4.8</v>
      </c>
    </row>
    <row r="101" spans="1:2">
      <c r="A101" s="1" t="str">
        <f>'Final Clean'!C101</f>
        <v>2021-07-01</v>
      </c>
      <c r="B101" s="1">
        <f>'Final Clean'!D101</f>
        <v>4.9</v>
      </c>
    </row>
    <row r="102" spans="1:2">
      <c r="A102" s="1" t="str">
        <f>'Final Clean'!C102</f>
        <v>2021-08-01</v>
      </c>
      <c r="B102" s="1">
        <f>'Final Clean'!D102</f>
        <v>4.9</v>
      </c>
    </row>
    <row r="103" spans="1:2">
      <c r="A103" s="1" t="str">
        <f>'Final Clean'!C103</f>
        <v>2021-09-01</v>
      </c>
      <c r="B103" s="1">
        <f>'Final Clean'!D103</f>
        <v>4.9</v>
      </c>
    </row>
    <row r="104" spans="1:2">
      <c r="A104" s="1" t="str">
        <f>'Final Clean'!C104</f>
        <v>2021-10-01</v>
      </c>
      <c r="B104" s="1">
        <f>'Final Clean'!D104</f>
        <v>4.9</v>
      </c>
    </row>
    <row r="105" spans="1:2">
      <c r="A105" s="1" t="str">
        <f>'Final Clean'!C105</f>
        <v>2021-11-01</v>
      </c>
      <c r="B105" s="1">
        <f>'Final Clean'!D105</f>
        <v>4.9</v>
      </c>
    </row>
    <row r="106" spans="1:2">
      <c r="A106" s="1" t="str">
        <f>'Final Clean'!C106</f>
        <v>2021-12-01</v>
      </c>
      <c r="B106" s="1">
        <f>'Final Clean'!D106</f>
        <v>4.9</v>
      </c>
    </row>
    <row r="107" spans="1:2">
      <c r="A107" s="1" t="str">
        <f>'Final Clean'!C107</f>
        <v>2022-01-01</v>
      </c>
      <c r="B107" s="1">
        <f>'Final Clean'!D107</f>
        <v>4.9</v>
      </c>
    </row>
    <row r="108" spans="1:2">
      <c r="A108" s="1" t="str">
        <f>'Final Clean'!C108</f>
        <v>2022-02-01</v>
      </c>
      <c r="B108" s="1">
        <f>'Final Clean'!D108</f>
        <v>4.9</v>
      </c>
    </row>
    <row r="109" spans="1:2">
      <c r="A109" s="1" t="str">
        <f>'Final Clean'!C109</f>
        <v>2022-03-01</v>
      </c>
      <c r="B109" s="1">
        <f>'Final Clean'!D109</f>
        <v>4.9</v>
      </c>
    </row>
    <row r="110" spans="1:2">
      <c r="A110" s="1" t="str">
        <f>'Final Clean'!C110</f>
        <v>2022-04-01</v>
      </c>
      <c r="B110" s="1">
        <f>'Final Clean'!D110</f>
        <v>4.9</v>
      </c>
    </row>
    <row r="111" spans="1:2">
      <c r="A111" s="1" t="str">
        <f>'Final Clean'!C111</f>
        <v>2022-05-01</v>
      </c>
      <c r="B111" s="1">
        <f>'Final Clean'!D111</f>
        <v>4.9</v>
      </c>
    </row>
    <row r="112" spans="1:2">
      <c r="A112" s="1" t="str">
        <f>'Final Clean'!C112</f>
        <v>2022-06-01</v>
      </c>
      <c r="B112" s="1">
        <f>'Final Clean'!D112</f>
        <v>4.9</v>
      </c>
    </row>
    <row r="113" spans="1:2">
      <c r="A113" s="1" t="str">
        <f>'Final Clean'!C113</f>
        <v>2022-07-01</v>
      </c>
      <c r="B113" s="1">
        <f>'Final Clean'!D113</f>
        <v>4.9</v>
      </c>
    </row>
    <row r="114" spans="1:2">
      <c r="A114" s="1" t="str">
        <f>'Final Clean'!C114</f>
        <v>2022-08-01</v>
      </c>
      <c r="B114" s="1">
        <f>'Final Clean'!D114</f>
        <v>4.9</v>
      </c>
    </row>
    <row r="115" spans="1:2">
      <c r="A115" s="1" t="str">
        <f>'Final Clean'!C115</f>
        <v>2022-09-01</v>
      </c>
      <c r="B115" s="1">
        <f>'Final Clean'!D115</f>
        <v>4.9</v>
      </c>
    </row>
    <row r="116" spans="1:2">
      <c r="A116" s="1" t="str">
        <f>'Final Clean'!C116</f>
        <v>2022-10-01</v>
      </c>
      <c r="B116" s="1">
        <f>'Final Clean'!D116</f>
        <v>4.9</v>
      </c>
    </row>
    <row r="117" spans="1:2">
      <c r="A117" s="1" t="str">
        <f>'Final Clean'!C117</f>
        <v>2022-11-01</v>
      </c>
      <c r="B117" s="1">
        <f>'Final Clean'!D117</f>
        <v>4.9</v>
      </c>
    </row>
    <row r="118" spans="1:2">
      <c r="A118" s="1" t="str">
        <f>'Final Clean'!C118</f>
        <v>2022-12-01</v>
      </c>
      <c r="B118" s="1">
        <f>'Final Clean'!D118</f>
        <v>4.9</v>
      </c>
    </row>
    <row r="119" spans="1:2">
      <c r="A119" s="1" t="str">
        <f>'Final Clean'!C119</f>
        <v>2023-01-01</v>
      </c>
      <c r="B119" s="1">
        <f>'Final Clean'!D119</f>
        <v>4.8</v>
      </c>
    </row>
    <row r="120" spans="1:2">
      <c r="A120" s="1" t="str">
        <f>'Final Clean'!C120</f>
        <v>2023-02-01</v>
      </c>
      <c r="B120" s="1">
        <f>'Final Clean'!D120</f>
        <v>4.8</v>
      </c>
    </row>
    <row r="121" spans="1:2">
      <c r="A121" s="1" t="str">
        <f>'Final Clean'!C121</f>
        <v>2023-03-01</v>
      </c>
      <c r="B121" s="1">
        <f>'Final Clean'!D121</f>
        <v>4.8</v>
      </c>
    </row>
    <row r="122" spans="1:2">
      <c r="A122" s="1" t="str">
        <f>'Final Clean'!C122</f>
        <v>2023-04-01</v>
      </c>
      <c r="B122" s="1">
        <f>'Final Clean'!D122</f>
        <v>4.7</v>
      </c>
    </row>
    <row r="123" spans="1:2">
      <c r="A123" s="1" t="str">
        <f>'Final Clean'!C123</f>
        <v>2023-05-01</v>
      </c>
      <c r="B123" s="1">
        <f>'Final Clean'!D123</f>
        <v>4.7</v>
      </c>
    </row>
    <row r="124" spans="1:2">
      <c r="A124" s="1" t="str">
        <f>'Final Clean'!C124</f>
        <v>2023-06-01</v>
      </c>
      <c r="B124" s="1">
        <f>'Final Clean'!D124</f>
        <v>4.7</v>
      </c>
    </row>
    <row r="125" spans="1:2">
      <c r="A125" s="1" t="str">
        <f>'Final Clean'!C125</f>
        <v>2023-07-01</v>
      </c>
      <c r="B125" s="1">
        <f>'Final Clean'!D125</f>
        <v>4.7</v>
      </c>
    </row>
    <row r="126" spans="1:2">
      <c r="A126" s="1" t="str">
        <f>'Final Clean'!C126</f>
        <v>2023-08-01</v>
      </c>
      <c r="B126" s="1">
        <f>'Final Clean'!D126</f>
        <v>4.7</v>
      </c>
    </row>
    <row r="127" spans="1:2">
      <c r="A127" s="1" t="str">
        <f>'Final Clean'!C127</f>
        <v>2023-09-01</v>
      </c>
      <c r="B127" s="1">
        <f>'Final Clean'!D127</f>
        <v>4.7</v>
      </c>
    </row>
    <row r="128" spans="1:2">
      <c r="A128" s="1" t="str">
        <f>'Final Clean'!C128</f>
        <v>2023-10-01</v>
      </c>
      <c r="B128" s="1">
        <f>'Final Clean'!D128</f>
        <v>4.7</v>
      </c>
    </row>
    <row r="129" spans="1:2">
      <c r="A129" s="1" t="str">
        <f>'Final Clean'!C129</f>
        <v>2023-11-01</v>
      </c>
      <c r="B129" s="1">
        <f>'Final Clean'!D129</f>
        <v>4.7</v>
      </c>
    </row>
    <row r="130" spans="1:2">
      <c r="A130" s="1" t="str">
        <f>'Final Clean'!C130</f>
        <v>2023-12-01</v>
      </c>
      <c r="B130" s="1">
        <f>'Final Clean'!D130</f>
        <v>4.7</v>
      </c>
    </row>
    <row r="131" spans="1:2">
      <c r="A131" s="1" t="str">
        <f>'Final Clean'!C131</f>
        <v>2024-01-01</v>
      </c>
      <c r="B131" s="1">
        <f>'Final Clean'!D131</f>
        <v>4.7</v>
      </c>
    </row>
    <row r="132" spans="1:2">
      <c r="A132" s="1" t="str">
        <f>'Final Clean'!C132</f>
        <v>2024-02-01</v>
      </c>
      <c r="B132" s="1">
        <f>'Final Clean'!D132</f>
        <v>4.7</v>
      </c>
    </row>
    <row r="133" spans="1:2">
      <c r="A133" s="1" t="str">
        <f>'Final Clean'!C133</f>
        <v>2024-03-01</v>
      </c>
      <c r="B133" s="1">
        <f>'Final Clean'!D133</f>
        <v>4.7</v>
      </c>
    </row>
    <row r="134" spans="1:2">
      <c r="A134" s="1" t="str">
        <f>'Final Clean'!C134</f>
        <v>2024-04-01</v>
      </c>
      <c r="B134" s="1">
        <f>'Final Clean'!D134</f>
        <v>4.7</v>
      </c>
    </row>
    <row r="135" spans="1:2">
      <c r="A135" s="1" t="str">
        <f>'Final Clean'!C135</f>
        <v>2024-05-01</v>
      </c>
      <c r="B135" s="1">
        <f>'Final Clean'!D135</f>
        <v>4.7</v>
      </c>
    </row>
    <row r="136" spans="1:2">
      <c r="A136" s="1" t="str">
        <f>'Final Clean'!C136</f>
        <v>2024-06-01</v>
      </c>
      <c r="B136" s="1">
        <f>'Final Clean'!D136</f>
        <v>4.7</v>
      </c>
    </row>
    <row r="137" spans="1:2">
      <c r="A137" s="1" t="str">
        <f>'Final Clean'!C137</f>
        <v>2024-07-01</v>
      </c>
      <c r="B137" s="1">
        <f>'Final Clean'!D137</f>
        <v>4.6</v>
      </c>
    </row>
    <row r="138" spans="1:2">
      <c r="A138" s="1" t="str">
        <f>'Final Clean'!C138</f>
        <v>2024-08-01</v>
      </c>
      <c r="B138" s="1">
        <f>'Final Clean'!D138</f>
        <v>4.6</v>
      </c>
    </row>
    <row r="139" spans="1:2">
      <c r="A139" s="1" t="str">
        <f>'Final Clean'!C139</f>
        <v>2024-09-01</v>
      </c>
      <c r="B139" s="1">
        <f>'Final Clean'!D139</f>
        <v>4.6</v>
      </c>
    </row>
    <row r="140" spans="1:2">
      <c r="A140" s="1" t="str">
        <f>'Final Clean'!C140</f>
        <v>2024-10-01</v>
      </c>
      <c r="B140" s="1">
        <f>'Final Clean'!D140</f>
        <v>4.6</v>
      </c>
    </row>
    <row r="141" spans="1:2">
      <c r="A141" s="1" t="str">
        <f>'Final Clean'!C141</f>
        <v>2024-11-01</v>
      </c>
      <c r="B141" s="1">
        <f>'Final Clean'!D141</f>
        <v>4.6</v>
      </c>
    </row>
    <row r="142" spans="1:2">
      <c r="A142" s="1" t="str">
        <f>'Final Clean'!C142</f>
        <v>2024-12-01</v>
      </c>
      <c r="B142" s="1">
        <f>'Final Clean'!D142</f>
        <v>4.6</v>
      </c>
    </row>
    <row r="143" spans="1:2">
      <c r="A143" s="1" t="str">
        <f>'Final Clean'!C143</f>
        <v>2025-01-01</v>
      </c>
      <c r="B143" s="1">
        <f>'Final Clean'!D143</f>
        <v>4.6</v>
      </c>
    </row>
    <row r="144" spans="1:2">
      <c r="A144" s="1" t="str">
        <f>'Final Clean'!C144</f>
        <v>2025-02-01</v>
      </c>
      <c r="B144" s="1">
        <f>'Final Clean'!D144</f>
        <v>4.6</v>
      </c>
    </row>
    <row r="145" spans="1:2">
      <c r="A145" s="1" t="str">
        <f>'Final Clean'!C145</f>
        <v>2025-03-01</v>
      </c>
      <c r="B145" s="1">
        <f>'Final Clean'!D145</f>
        <v>4.6</v>
      </c>
    </row>
    <row r="146" spans="1:2">
      <c r="A146" s="1" t="str">
        <f>'Final Clean'!C146</f>
        <v>2025-04-01</v>
      </c>
      <c r="B146" s="1">
        <f>'Final Clean'!D146</f>
        <v>4.6</v>
      </c>
    </row>
    <row r="147" spans="1:2">
      <c r="A147" s="1" t="str">
        <f>'Final Clean'!C147</f>
        <v>2025-05-01</v>
      </c>
      <c r="B147" s="1">
        <f>'Final Clean'!D147</f>
        <v>4.6</v>
      </c>
    </row>
    <row r="148" spans="1:2">
      <c r="A148" s="1" t="str">
        <f>'Final Clean'!C148</f>
        <v>2025-06-01</v>
      </c>
      <c r="B148" s="1">
        <f>'Final Clean'!D148</f>
        <v>4.6</v>
      </c>
    </row>
    <row r="149" spans="1:2">
      <c r="A149" s="1" t="str">
        <f>'Final Clean'!C149</f>
        <v>2025-07-01</v>
      </c>
      <c r="B149" s="1">
        <f>'Final Clean'!D149</f>
        <v>4.6</v>
      </c>
    </row>
    <row r="150" spans="1:2">
      <c r="A150" s="1" t="str">
        <f>'Final Clean'!C150</f>
        <v>2025-08-01</v>
      </c>
      <c r="B150" s="1">
        <f>'Final Clean'!D150</f>
        <v>4.6</v>
      </c>
    </row>
    <row r="151" spans="1:2">
      <c r="A151" s="1" t="str">
        <f>'Final Clean'!C151</f>
        <v>2025-09-01</v>
      </c>
      <c r="B151" s="1">
        <f>'Final Clean'!D151</f>
        <v>4.6</v>
      </c>
    </row>
    <row r="152" spans="1:2">
      <c r="A152" s="1" t="str">
        <f>'Final Clean'!C152</f>
        <v>2025-10-01</v>
      </c>
      <c r="B152" s="1">
        <f>'Final Clean'!D152</f>
        <v>4.6</v>
      </c>
    </row>
    <row r="153" spans="1:2">
      <c r="A153" s="1" t="str">
        <f>'Final Clean'!C153</f>
        <v>2025-11-01</v>
      </c>
      <c r="B153" s="1">
        <f>'Final Clean'!D153</f>
        <v>4.6</v>
      </c>
    </row>
    <row r="154" spans="1:2">
      <c r="A154" s="1" t="str">
        <f>'Final Clean'!C154</f>
        <v>2025-12-01</v>
      </c>
      <c r="B154" s="1">
        <f>'Final Clean'!D154</f>
        <v>4.6</v>
      </c>
    </row>
    <row r="155" spans="1:2">
      <c r="A155" s="1" t="str">
        <f>'Final Clean'!C155</f>
        <v>2026-01-01</v>
      </c>
      <c r="B155" s="1">
        <f>'Final Clean'!D155</f>
        <v>4.5</v>
      </c>
    </row>
    <row r="156" spans="1:2">
      <c r="A156" s="1" t="str">
        <f>'Final Clean'!C156</f>
        <v>2026-02-01</v>
      </c>
      <c r="B156" s="1">
        <f>'Final Clean'!D156</f>
        <v>4.5</v>
      </c>
    </row>
    <row r="157" spans="1:2">
      <c r="A157" s="1" t="str">
        <f>'Final Clean'!C157</f>
        <v>2026-03-01</v>
      </c>
      <c r="B157" s="1">
        <f>'Final Clean'!D157</f>
        <v>4.5</v>
      </c>
    </row>
    <row r="158" spans="1:2">
      <c r="A158" s="1" t="str">
        <f>'Final Clean'!C158</f>
        <v>2026-04-01</v>
      </c>
      <c r="B158" s="1">
        <f>'Final Clean'!D158</f>
        <v>4.5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W3C Example Table</vt:lpstr>
      <vt:lpstr>Final Clean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2026-08-21T10:24:25Z</dcterms:created>
  <dcterms:modified xsi:type="dcterms:W3CDTF">2026-08-25T14:41:50Z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1033-12.1.26050.26050</vt:lpwstr>
  </property>
  <property fmtid="{D5CDD505-2E9C-101B-9397-08002B2CF9AE}" pid="3" name="CalculationRule">
    <vt:i4>0</vt:i4>
  </property>
  <property fmtid="{D5CDD505-2E9C-101B-9397-08002B2CF9AE}" pid="4" name="ICV">
    <vt:lpwstr>FFCE0CFDAFCC33EE5E638D6A3C354BFE_43</vt:lpwstr>
  </property>
</Properties>
</file>