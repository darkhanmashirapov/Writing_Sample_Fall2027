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660" windowHeight="11300" tabRatio="783" activeTab="2"/>
  </bookViews>
  <sheets>
    <sheet name="Sheet2" sheetId="11" r:id="rId1"/>
    <sheet name="Final Cle" sheetId="10" r:id="rId2"/>
    <sheet name="Final Cleaned" sheetId="12" r:id="rId3"/>
    <sheet name="Metadata" sheetId="8" r:id="rId4"/>
    <sheet name="Content" sheetId="1" r:id="rId5"/>
    <sheet name="1. standard presentation" sheetId="2" r:id="rId6"/>
    <sheet name="2. analytical presentation" sheetId="3" r:id="rId7"/>
    <sheet name="3. indicators" sheetId="4" r:id="rId8"/>
    <sheet name="4. reconciliation" sheetId="5" r:id="rId9"/>
    <sheet name="5. net external debt" sheetId="6" r:id="rId10"/>
    <sheet name="6. bonds_location of issue" sheetId="7" r:id="rId11"/>
    <sheet name="7. ED indicators" sheetId="9" r:id="rId12"/>
  </sheets>
  <externalReferences>
    <externalReference r:id="rId13"/>
    <externalReference r:id="rId14"/>
    <externalReference r:id="rId15"/>
    <externalReference r:id="rId16"/>
    <externalReference r:id="rId17"/>
    <externalReference r:id="rId18"/>
  </externalReferences>
  <definedNames>
    <definedName name="_xlnm._FilterDatabase" localSheetId="0" hidden="1">Sheet2!$A$1:$C$313</definedName>
    <definedName name="_xlnm._FilterDatabase" localSheetId="8" hidden="1">'4. reconciliation'!$CU$1:$CW$29</definedName>
    <definedName name="_xlnm._FilterDatabase" localSheetId="9" hidden="1">'5. net external debt'!$AO$1:$AP$68</definedName>
    <definedName name="_xlnm._FilterDatabase" localSheetId="10" hidden="1">'6. bonds_location of issue'!$V$1:$X$26</definedName>
    <definedName name="Agency_List">[1]Control!$H$17:$H$19</definedName>
    <definedName name="BUControlSheet_CurrencySelections">[2]Control!$A$19:$A$20</definedName>
    <definedName name="BUControlSheet_FormulaSelections">[2]Control!$A$16:$A$17</definedName>
    <definedName name="BUControlSheet_RevisionSelections">[2]Control!$A$21:$A$22</definedName>
    <definedName name="BUControlSheet_ScaleSelections">[2]Control!$J$35:$J$36</definedName>
    <definedName name="Coordinator_List">[1]Control!$J$20:$J$21</definedName>
    <definedName name="Country">[3]Control!$C$1</definedName>
    <definedName name="ctylist" localSheetId="5">#REF!</definedName>
    <definedName name="ctylist" localSheetId="6">#REF!</definedName>
    <definedName name="ctylist" localSheetId="9">#REF!</definedName>
    <definedName name="ctylist" localSheetId="10">#REF!</definedName>
    <definedName name="ctylist" localSheetId="11">#REF!</definedName>
    <definedName name="ctylist" localSheetId="3">#REF!</definedName>
    <definedName name="ctylist">#REF!</definedName>
    <definedName name="Currency_Def">[1]Control!$BA$330:$BA$487</definedName>
    <definedName name="DelKreditor" localSheetId="10">#REF!,#REF!</definedName>
    <definedName name="DelKreditor" localSheetId="11">#REF!,#REF!</definedName>
    <definedName name="DelKreditor" localSheetId="3">#REF!,#REF!</definedName>
    <definedName name="DelKreditor">#REF!,#REF!</definedName>
    <definedName name="delstr" localSheetId="10">#REF!,#REF!,#REF!</definedName>
    <definedName name="delstr" localSheetId="11">#REF!,#REF!,#REF!</definedName>
    <definedName name="delstr" localSheetId="3">#REF!,#REF!,#REF!</definedName>
    <definedName name="delstr">#REF!,#REF!,#REF!</definedName>
    <definedName name="DELVD" localSheetId="10">#REF!,#REF!,#REF!,#REF!,#REF!,#REF!,#REF!,#REF!,#REF!,#REF!,#REF!,#REF!,#REF!,#REF!,#REF!,#REF!,#REF!</definedName>
    <definedName name="DELVD" localSheetId="11">#REF!,#REF!,#REF!,#REF!,#REF!,#REF!,#REF!,#REF!,#REF!,#REF!,#REF!,#REF!,#REF!,#REF!,#REF!,#REF!,#REF!</definedName>
    <definedName name="DELVD" localSheetId="3">#REF!,#REF!,#REF!,#REF!,#REF!,#REF!,#REF!,#REF!,#REF!,#REF!,#REF!,#REF!,#REF!,#REF!,#REF!,#REF!,#REF!</definedName>
    <definedName name="DELVD">#REF!,#REF!,#REF!,#REF!,#REF!,#REF!,#REF!,#REF!,#REF!,#REF!,#REF!,#REF!,#REF!,#REF!,#REF!,#REF!,#REF!</definedName>
    <definedName name="DelVd1" localSheetId="10">#REF!,#REF!,#REF!,#REF!,#REF!,#REF!,#REF!,#REF!,#REF!,#REF!,#REF!,#REF!</definedName>
    <definedName name="DelVd1" localSheetId="11">#REF!,#REF!,#REF!,#REF!,#REF!,#REF!,#REF!,#REF!,#REF!,#REF!,#REF!,#REF!</definedName>
    <definedName name="DelVd1" localSheetId="3">#REF!,#REF!,#REF!,#REF!,#REF!,#REF!,#REF!,#REF!,#REF!,#REF!,#REF!,#REF!</definedName>
    <definedName name="DelVd1">#REF!,#REF!,#REF!,#REF!,#REF!,#REF!,#REF!,#REF!,#REF!,#REF!,#REF!,#REF!</definedName>
    <definedName name="DelZaim" localSheetId="10">#REF!</definedName>
    <definedName name="DelZaim" localSheetId="11">#REF!</definedName>
    <definedName name="DelZaim" localSheetId="3">#REF!</definedName>
    <definedName name="DelZaim">#REF!</definedName>
    <definedName name="fullpilot" localSheetId="5">#REF!</definedName>
    <definedName name="fullpilot" localSheetId="6">#REF!</definedName>
    <definedName name="fullpilot" localSheetId="9">#REF!</definedName>
    <definedName name="fullpilot" localSheetId="10">#REF!</definedName>
    <definedName name="fullpilot" localSheetId="11">#REF!</definedName>
    <definedName name="fullpilot" localSheetId="3">#REF!</definedName>
    <definedName name="fullpilot">#REF!</definedName>
    <definedName name="IIPpilot" localSheetId="5">#REF!</definedName>
    <definedName name="IIPpilot" localSheetId="6">#REF!</definedName>
    <definedName name="IIPpilot" localSheetId="9">#REF!</definedName>
    <definedName name="IIPpilot" localSheetId="10">#REF!</definedName>
    <definedName name="IIPpilot" localSheetId="11">#REF!</definedName>
    <definedName name="IIPpilot" localSheetId="3">#REF!</definedName>
    <definedName name="IIPpilot">#REF!</definedName>
    <definedName name="pilot" localSheetId="5">#REF!</definedName>
    <definedName name="pilot" localSheetId="6">#REF!</definedName>
    <definedName name="pilot" localSheetId="9">#REF!</definedName>
    <definedName name="pilot" localSheetId="10">#REF!</definedName>
    <definedName name="pilot" localSheetId="11">#REF!</definedName>
    <definedName name="pilot" localSheetId="3">#REF!</definedName>
    <definedName name="pilot">#REF!</definedName>
    <definedName name="Range_DownloadAnnual">[2]Control!$C$4</definedName>
    <definedName name="Range_DownloadMonth">[2]Control!$C$2</definedName>
    <definedName name="Range_DownloadQuarter">[2]Control!$C$3</definedName>
    <definedName name="Range_DSTNotes" localSheetId="5">#REF!</definedName>
    <definedName name="Range_DSTNotes" localSheetId="6">#REF!</definedName>
    <definedName name="Range_DSTNotes" localSheetId="9">#REF!</definedName>
    <definedName name="Range_DSTNotes" localSheetId="10">#REF!</definedName>
    <definedName name="Range_DSTNotes" localSheetId="11">#REF!</definedName>
    <definedName name="Range_DSTNotes" localSheetId="3">#REF!</definedName>
    <definedName name="Range_DSTNotes">#REF!</definedName>
    <definedName name="Range_InValidResultsStart" localSheetId="5">#REF!</definedName>
    <definedName name="Range_InValidResultsStart" localSheetId="6">#REF!</definedName>
    <definedName name="Range_InValidResultsStart" localSheetId="9">#REF!</definedName>
    <definedName name="Range_InValidResultsStart" localSheetId="10">#REF!</definedName>
    <definedName name="Range_InValidResultsStart" localSheetId="11">#REF!</definedName>
    <definedName name="Range_InValidResultsStart" localSheetId="3">#REF!</definedName>
    <definedName name="Range_InValidResultsStart">#REF!</definedName>
    <definedName name="Range_NumberofFailuresStart" localSheetId="5">#REF!</definedName>
    <definedName name="Range_NumberofFailuresStart" localSheetId="6">#REF!</definedName>
    <definedName name="Range_NumberofFailuresStart" localSheetId="9">#REF!</definedName>
    <definedName name="Range_NumberofFailuresStart" localSheetId="10">#REF!</definedName>
    <definedName name="Range_NumberofFailuresStart" localSheetId="11">#REF!</definedName>
    <definedName name="Range_NumberofFailuresStart" localSheetId="3">#REF!</definedName>
    <definedName name="Range_NumberofFailuresStart">#REF!</definedName>
    <definedName name="Range_ValidationResultsStart" localSheetId="5">#REF!</definedName>
    <definedName name="Range_ValidationResultsStart" localSheetId="6">#REF!</definedName>
    <definedName name="Range_ValidationResultsStart" localSheetId="9">#REF!</definedName>
    <definedName name="Range_ValidationResultsStart" localSheetId="10">#REF!</definedName>
    <definedName name="Range_ValidationResultsStart" localSheetId="11">#REF!</definedName>
    <definedName name="Range_ValidationResultsStart" localSheetId="3">#REF!</definedName>
    <definedName name="Range_ValidationResultsStart">#REF!</definedName>
    <definedName name="Range_ValidationRulesStart" localSheetId="5">#REF!</definedName>
    <definedName name="Range_ValidationRulesStart" localSheetId="6">#REF!</definedName>
    <definedName name="Range_ValidationRulesStart" localSheetId="9">#REF!</definedName>
    <definedName name="Range_ValidationRulesStart" localSheetId="10">#REF!</definedName>
    <definedName name="Range_ValidationRulesStart" localSheetId="11">#REF!</definedName>
    <definedName name="Range_ValidationRulesStart" localSheetId="3">#REF!</definedName>
    <definedName name="Range_ValidationRulesStart">#REF!</definedName>
    <definedName name="Reporting_Country">[1]Control!$C$1</definedName>
    <definedName name="Reporting_CountryCode">[2]Control!$B$28</definedName>
    <definedName name="Reporting_Currency">[1]Control!$C$5</definedName>
    <definedName name="Reporting_Frequency">[1]Control!$C$8</definedName>
    <definedName name="rrrrr">[4]Control!$A$19:$A$20</definedName>
    <definedName name="rrrrrrrrrr">[4]Control!$C$4</definedName>
    <definedName name="Scale_Def">[1]Control!$V$42:$V$45</definedName>
    <definedName name="Test" localSheetId="5">#REF!</definedName>
    <definedName name="Test" localSheetId="6">#REF!</definedName>
    <definedName name="Test" localSheetId="9">#REF!</definedName>
    <definedName name="Test" localSheetId="10">#REF!</definedName>
    <definedName name="Test" localSheetId="11">#REF!</definedName>
    <definedName name="Test" localSheetId="3">#REF!</definedName>
    <definedName name="Test">#REF!</definedName>
    <definedName name="Test1" localSheetId="5">#REF!</definedName>
    <definedName name="Test1" localSheetId="6">#REF!</definedName>
    <definedName name="Test1" localSheetId="9">#REF!</definedName>
    <definedName name="Test1" localSheetId="10">#REF!</definedName>
    <definedName name="Test1" localSheetId="11">#REF!</definedName>
    <definedName name="Test1" localSheetId="3">#REF!</definedName>
    <definedName name="Test1">#REF!</definedName>
    <definedName name="Uploaded_Currency">[3]Control!$F$17</definedName>
    <definedName name="Uploaded_Scale">[3]Control!$F$18</definedName>
    <definedName name="www">[5]Control!$B$13</definedName>
    <definedName name="Year">[3]Control!$C$3</definedName>
    <definedName name="_xlnm.Print_Titles" localSheetId="5">'1. standard presentation'!$A:$B,'1. standard presentation'!$3:$3</definedName>
    <definedName name="_xlnm.Print_Titles" localSheetId="6">'2. analytical presentation'!$A:$B,'2. analytical presentation'!$3:$3</definedName>
    <definedName name="_xlnm.Print_Titles" localSheetId="7">'3. indicators'!$A:$A</definedName>
    <definedName name="_xlnm.Print_Titles" localSheetId="8">'4. reconciliation'!$A:$A</definedName>
    <definedName name="_xlnm.Print_Titles" localSheetId="9">'5. net external debt'!$A:$A,'5. net external debt'!$3:$4</definedName>
    <definedName name="_xlnm.Print_Titles" localSheetId="10">'6. bonds_location of issue'!$A:$A</definedName>
    <definedName name="_xlnm.Print_Area" localSheetId="5">'1. standard presentation'!$BY$1:$CZ$80</definedName>
    <definedName name="_xlnm.Print_Area" localSheetId="6">'2. analytical presentation'!$AD$1:$AY$34</definedName>
    <definedName name="_xlnm.Print_Area" localSheetId="7">'3. indicators'!$CC$1:$DC$32</definedName>
    <definedName name="_xlnm.Print_Area" localSheetId="8">'4. reconciliation'!$FF$1:$FZ$29</definedName>
    <definedName name="_xlnm.Print_Area" localSheetId="9">'5. net external debt'!$CM$1:$DH$67</definedName>
    <definedName name="_xlnm.Print_Area" localSheetId="10">'6. bonds_location of issue'!$AK$1:$BF$20</definedName>
    <definedName name="р2_графа1_сравн_пред_гр7" localSheetId="10">#REF!</definedName>
    <definedName name="р2_графа1_сравн_пред_гр7" localSheetId="11">#REF!</definedName>
    <definedName name="р2_графа1_сравн_пред_гр7" localSheetId="3">#REF!</definedName>
    <definedName name="р2_графа1_сравн_пред_гр7">#REF!</definedName>
    <definedName name="р2_графа7_контроль" localSheetId="10">#REF!</definedName>
    <definedName name="р2_графа7_контроль" localSheetId="11">#REF!</definedName>
    <definedName name="р2_графа7_контроль" localSheetId="3">#REF!</definedName>
    <definedName name="р2_графа7_контроль">#REF!</definedName>
    <definedName name="рр1" localSheetId="10">'[6]р1 СНГ'!#REF!</definedName>
    <definedName name="рр1" localSheetId="11">'[6]р1 СНГ'!#REF!</definedName>
    <definedName name="рр1" localSheetId="3">'[6]р1 СНГ'!#REF!</definedName>
    <definedName name="рр1">'[6]р1 СНГ'!#REF!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<sst xmlns="http://schemas.openxmlformats.org/spreadsheetml/2006/main" count="938" uniqueCount="444">
  <si>
    <t>Date Initialisation</t>
  </si>
  <si>
    <t>Date needed</t>
  </si>
  <si>
    <t>External Debt interpolated</t>
  </si>
  <si>
    <t>Date</t>
  </si>
  <si>
    <t xml:space="preserve">Date </t>
  </si>
  <si>
    <t>date</t>
  </si>
  <si>
    <t>kz_extdebt_m</t>
  </si>
  <si>
    <t>Name of the Statistical Indicator</t>
  </si>
  <si>
    <t>External Debt of Kazakhstan</t>
  </si>
  <si>
    <t>Responsible institution</t>
  </si>
  <si>
    <t>The National Bank of the Republic of Kazakhstan</t>
  </si>
  <si>
    <t>Unit of measurement</t>
  </si>
  <si>
    <t>Million US dollars</t>
  </si>
  <si>
    <t>Frequency</t>
  </si>
  <si>
    <t>Quarterly</t>
  </si>
  <si>
    <t>History of the Indicator</t>
  </si>
  <si>
    <t>Since 2001</t>
  </si>
  <si>
    <t>Definition of the Indicator</t>
  </si>
  <si>
    <t>External Debt indicators</t>
  </si>
  <si>
    <t>Data</t>
  </si>
  <si>
    <t>Aggregated statistical and administrative data</t>
  </si>
  <si>
    <t>Methodology for Calculation</t>
  </si>
  <si>
    <t>The methodological and conceptual framework for the compilation of external debt statistics is the joint document of international organizations "External Debt Statistics: a Guide for compilers and users", "Public Sector Debt Statistics in an expanded definition: a guide for compilers and users", as well as the sixth edition of the "Balance of Payments and International Investment Position Guide" of the International Monetary Fund (BPM6)</t>
  </si>
  <si>
    <t>Source of the Indicator</t>
  </si>
  <si>
    <t>Statistical and administrative reports of banks, professional participants of the securities market, other financial and non-financial organizations, including branches of foreign companies and government agencies, administrative reports of individuals, financial statements of individual organizations, accounting data of the National Bank of Kazakhstan and reports of the global custodian on the assets of the National Fund.</t>
  </si>
  <si>
    <t>Methodological Explanations</t>
  </si>
  <si>
    <t>https://nationalbank.kz/en/news/metodologicheskiy-kommentariy/7348</t>
  </si>
  <si>
    <t>Related Publications</t>
  </si>
  <si>
    <t>https://nationalbank.kz/en/news/platezhnyy-balans/rubrics/2358</t>
  </si>
  <si>
    <t>Useful Links</t>
  </si>
  <si>
    <t xml:space="preserve">https://nationalbank.kz/en/news/vneshniy-dolg
https://data.nationalbank.kz/ </t>
  </si>
  <si>
    <t>Date of Last Update</t>
  </si>
  <si>
    <t>Date of Next Update</t>
  </si>
  <si>
    <t>Responsible Structural Division</t>
  </si>
  <si>
    <t>Balance of Payments Department</t>
  </si>
  <si>
    <t>Responsible Officer</t>
  </si>
  <si>
    <t>Aigul Kassymova</t>
  </si>
  <si>
    <t>Telephone Number</t>
  </si>
  <si>
    <t>+7 (7172) 77 55 10</t>
  </si>
  <si>
    <t>E-mail</t>
  </si>
  <si>
    <t>kasimova@nationalbank.kz</t>
  </si>
  <si>
    <t xml:space="preserve">Terms of use </t>
  </si>
  <si>
    <t>Users without conclusion of the contract with the National Bank of the Republic of Kazakhstan have the right to use official statistical information
Use of data, including its reuse, is permitted free of charge, in perpetuity, and without territorial restrictions.
Users are granted the right to:
- reproduce, copy, and distribute information, subject to mandatory citation of the source;
- publish and integrate data with other information;
- use data for software development and other applications.</t>
  </si>
  <si>
    <t>External Debt of the Republic of Kazakhstan as of April 1st, 2026</t>
  </si>
  <si>
    <t>Content:</t>
  </si>
  <si>
    <t>Sheet 1.</t>
  </si>
  <si>
    <t xml:space="preserve">Standard presentation </t>
  </si>
  <si>
    <t>Sheet 2.</t>
  </si>
  <si>
    <t xml:space="preserve">Analytical presentation </t>
  </si>
  <si>
    <t>Sheet 3.</t>
  </si>
  <si>
    <t>Absolute and comparative indicators</t>
  </si>
  <si>
    <t>Sheet 4.</t>
  </si>
  <si>
    <t>Reconciliation of positions and flows of the external debt</t>
  </si>
  <si>
    <t>Sheet 5.</t>
  </si>
  <si>
    <t>Net external debt</t>
  </si>
  <si>
    <t>Sheet 6.</t>
  </si>
  <si>
    <t>Debt securities (issued by residents and belonging to non-residents) by the location of the issue</t>
  </si>
  <si>
    <t>External debt: standard presentation</t>
  </si>
  <si>
    <t>mln.US dollars</t>
  </si>
  <si>
    <t>Row's code</t>
  </si>
  <si>
    <t>01.01.2001</t>
  </si>
  <si>
    <t>01.04.2001</t>
  </si>
  <si>
    <t>01.07.2001</t>
  </si>
  <si>
    <t>01.10.2001</t>
  </si>
  <si>
    <t>01.01.2002</t>
  </si>
  <si>
    <t>01.04.2002</t>
  </si>
  <si>
    <t>01.07.2002</t>
  </si>
  <si>
    <t>01.10.2002</t>
  </si>
  <si>
    <t>01.01.2003</t>
  </si>
  <si>
    <t>01.04.2003</t>
  </si>
  <si>
    <t>01.07.2003</t>
  </si>
  <si>
    <t>01.10.2003</t>
  </si>
  <si>
    <t>01.01.2004</t>
  </si>
  <si>
    <t>01.04.2004</t>
  </si>
  <si>
    <t>01.07.2004</t>
  </si>
  <si>
    <t>01.10.2004</t>
  </si>
  <si>
    <t>01.01.2005</t>
  </si>
  <si>
    <t>01.04.2005</t>
  </si>
  <si>
    <t>01.07.2005</t>
  </si>
  <si>
    <t>01.10.2005</t>
  </si>
  <si>
    <t>01.01.2006</t>
  </si>
  <si>
    <t>01.04.2006</t>
  </si>
  <si>
    <t>01.07.2006</t>
  </si>
  <si>
    <t>01.10.2006</t>
  </si>
  <si>
    <t>01.01.2007</t>
  </si>
  <si>
    <t>01.04.2007</t>
  </si>
  <si>
    <t>01.07.2007</t>
  </si>
  <si>
    <t>01.10.2007</t>
  </si>
  <si>
    <t>01.01.2008</t>
  </si>
  <si>
    <t>01.04.2008</t>
  </si>
  <si>
    <t>01.07.2008</t>
  </si>
  <si>
    <t>01.10.2008</t>
  </si>
  <si>
    <t>01.01.2009</t>
  </si>
  <si>
    <t>01.04.2009</t>
  </si>
  <si>
    <t>01.07.2009</t>
  </si>
  <si>
    <t>01.10.2009</t>
  </si>
  <si>
    <t>01.01.2010</t>
  </si>
  <si>
    <t>01.04.2010</t>
  </si>
  <si>
    <t>01.07.2010</t>
  </si>
  <si>
    <t>01.10.2010</t>
  </si>
  <si>
    <t>01.01.2011</t>
  </si>
  <si>
    <t>01.04.2011</t>
  </si>
  <si>
    <t>01.07.2011</t>
  </si>
  <si>
    <t>01.10.2011</t>
  </si>
  <si>
    <t>01.01.2012</t>
  </si>
  <si>
    <t>01.04.2012</t>
  </si>
  <si>
    <t>01.07.2012</t>
  </si>
  <si>
    <t>01.10.2012</t>
  </si>
  <si>
    <t>01.01.2013</t>
  </si>
  <si>
    <t>01.04.2013</t>
  </si>
  <si>
    <t>01.07.2013</t>
  </si>
  <si>
    <t>01.10.2013</t>
  </si>
  <si>
    <t>01.01.2014</t>
  </si>
  <si>
    <t>01.04.2014</t>
  </si>
  <si>
    <t>01.07.2014</t>
  </si>
  <si>
    <t>01.10.2014</t>
  </si>
  <si>
    <t>01.01.2015</t>
  </si>
  <si>
    <t>01.04.2015</t>
  </si>
  <si>
    <t>01.07.2015</t>
  </si>
  <si>
    <t>01.10.2015</t>
  </si>
  <si>
    <t>01.01.2016</t>
  </si>
  <si>
    <t>01.04.2016</t>
  </si>
  <si>
    <t>01.07.2016</t>
  </si>
  <si>
    <t>01.10.2016</t>
  </si>
  <si>
    <t>01.01.2017</t>
  </si>
  <si>
    <t>01.04.2017</t>
  </si>
  <si>
    <t>01.07.2017</t>
  </si>
  <si>
    <t>01.10.2017</t>
  </si>
  <si>
    <t>01.01.2018</t>
  </si>
  <si>
    <t>01.04.2018</t>
  </si>
  <si>
    <t>01.07.2018</t>
  </si>
  <si>
    <t>01.10.2018</t>
  </si>
  <si>
    <t>01.01.2019</t>
  </si>
  <si>
    <t>01.04.2019</t>
  </si>
  <si>
    <t>01.07.2019</t>
  </si>
  <si>
    <t>01.10.2019</t>
  </si>
  <si>
    <t>01.01.2020</t>
  </si>
  <si>
    <t>01.04.2020</t>
  </si>
  <si>
    <t>01.07.2020</t>
  </si>
  <si>
    <t>01.10.2020</t>
  </si>
  <si>
    <t>01.01.2021</t>
  </si>
  <si>
    <t>01.04.2021</t>
  </si>
  <si>
    <t>01.07.2021</t>
  </si>
  <si>
    <t>01.10.2021</t>
  </si>
  <si>
    <t>01.01.2022</t>
  </si>
  <si>
    <t>01.04.2022</t>
  </si>
  <si>
    <t>01.07.2022</t>
  </si>
  <si>
    <t>01.10.2022</t>
  </si>
  <si>
    <t>01.01.2023</t>
  </si>
  <si>
    <t>01.04.2023</t>
  </si>
  <si>
    <t>01.07.2023</t>
  </si>
  <si>
    <t>01.10.2023</t>
  </si>
  <si>
    <t>01.01.2024</t>
  </si>
  <si>
    <t>01.04.2024</t>
  </si>
  <si>
    <t>01.07.2024</t>
  </si>
  <si>
    <t>01.10.2024</t>
  </si>
  <si>
    <t>01.01.2025</t>
  </si>
  <si>
    <t>01.04.2025</t>
  </si>
  <si>
    <t>01.07.2025</t>
  </si>
  <si>
    <t>01.10.2025</t>
  </si>
  <si>
    <t>01.01.2026</t>
  </si>
  <si>
    <t>01.04.2026</t>
  </si>
  <si>
    <t>External debt</t>
  </si>
  <si>
    <t>1=2+3=
4+18+32+45+65</t>
  </si>
  <si>
    <t>Short-term</t>
  </si>
  <si>
    <t>2=5+19+33+47</t>
  </si>
  <si>
    <t>Long-term</t>
  </si>
  <si>
    <t>3=11+25+39+53+65</t>
  </si>
  <si>
    <t>General Government</t>
  </si>
  <si>
    <t>4=5+11</t>
  </si>
  <si>
    <t>5=6+7+8+9+10</t>
  </si>
  <si>
    <t>Currency and deposits</t>
  </si>
  <si>
    <r>
      <rPr>
        <sz val="10"/>
        <color indexed="8"/>
        <rFont val="Times New Roman"/>
        <charset val="204"/>
      </rPr>
      <t>Debt securities</t>
    </r>
    <r>
      <rPr>
        <vertAlign val="superscript"/>
        <sz val="10"/>
        <color indexed="8"/>
        <rFont val="Times New Roman"/>
        <charset val="204"/>
      </rPr>
      <t>1</t>
    </r>
  </si>
  <si>
    <t>Loans</t>
  </si>
  <si>
    <t>Trade credit and advances</t>
  </si>
  <si>
    <t>Other debt liabilities</t>
  </si>
  <si>
    <t>11=12+13+14+15+16+17</t>
  </si>
  <si>
    <t>Special Drawing Rights</t>
  </si>
  <si>
    <t>Central Bank</t>
  </si>
  <si>
    <t>18=19+25</t>
  </si>
  <si>
    <t>19=20+21+22+23+24</t>
  </si>
  <si>
    <t>25=26+27+28+29+30+31</t>
  </si>
  <si>
    <t>Banks</t>
  </si>
  <si>
    <t>32=33+39</t>
  </si>
  <si>
    <t>33=34+35+36+37+38</t>
  </si>
  <si>
    <t>39=40+41+42+43+44</t>
  </si>
  <si>
    <t>Other Sectors</t>
  </si>
  <si>
    <t>45=47+53=59+62</t>
  </si>
  <si>
    <t>47=48+49+50+51+52=
60+63</t>
  </si>
  <si>
    <t>53=54+55+56+57+58=
61+64</t>
  </si>
  <si>
    <r>
      <rPr>
        <sz val="10"/>
        <color indexed="8"/>
        <rFont val="Times New Roman"/>
        <charset val="204"/>
      </rPr>
      <t>Other debt liabilities</t>
    </r>
    <r>
      <rPr>
        <vertAlign val="superscript"/>
        <sz val="10"/>
        <color indexed="8"/>
        <rFont val="Times New Roman"/>
        <charset val="204"/>
      </rPr>
      <t>2</t>
    </r>
  </si>
  <si>
    <t>Other financial corporations</t>
  </si>
  <si>
    <t>59=60+61</t>
  </si>
  <si>
    <t>Nonfinancial corporations, households, and NPISHs</t>
  </si>
  <si>
    <t>62=63+64</t>
  </si>
  <si>
    <t>Direct investment: Intercompany lending</t>
  </si>
  <si>
    <t>65=66+67+68</t>
  </si>
  <si>
    <t>Debt liabilities of direct investment enterprises to direct investors</t>
  </si>
  <si>
    <t xml:space="preserve">Debt liabilities of direct investors to direct investment enterprises (reverse investment) </t>
  </si>
  <si>
    <t>Debt liabilities between fellow enterprises</t>
  </si>
  <si>
    <t>Memorandum Items</t>
  </si>
  <si>
    <t>Government guaranteed external debt</t>
  </si>
  <si>
    <t>Debt securities (nominal value)</t>
  </si>
  <si>
    <t>70=71+72+73+74</t>
  </si>
  <si>
    <r>
      <rPr>
        <sz val="10"/>
        <color indexed="8"/>
        <rFont val="Times New Roman"/>
        <charset val="204"/>
      </rPr>
      <t xml:space="preserve">Other Sectors </t>
    </r>
    <r>
      <rPr>
        <i/>
        <sz val="10"/>
        <color indexed="8"/>
        <rFont val="Times New Roman"/>
        <charset val="204"/>
      </rPr>
      <t>(inc. bonds held by affilated non-residents)</t>
    </r>
  </si>
  <si>
    <r>
      <rPr>
        <vertAlign val="superscript"/>
        <sz val="10"/>
        <rFont val="Times New Roman"/>
        <charset val="204"/>
      </rPr>
      <t>1</t>
    </r>
    <r>
      <rPr>
        <sz val="10"/>
        <rFont val="Times New Roman"/>
        <charset val="204"/>
      </rPr>
      <t>Debt securities are recorded at market value (at its existence)</t>
    </r>
  </si>
  <si>
    <r>
      <rPr>
        <vertAlign val="superscript"/>
        <sz val="10"/>
        <color indexed="8"/>
        <rFont val="Times New Roman"/>
        <charset val="204"/>
      </rPr>
      <t>2</t>
    </r>
    <r>
      <rPr>
        <sz val="10"/>
        <color indexed="8"/>
        <rFont val="Times New Roman"/>
        <charset val="204"/>
      </rPr>
      <t>Including insurance and pension programs, standardized guarantees as well as other long-term liabilities listed in the structure of IIP</t>
    </r>
  </si>
  <si>
    <t>External debt: analytical presentation</t>
  </si>
  <si>
    <t>Indicator's name</t>
  </si>
  <si>
    <t>External Debt (ED)</t>
  </si>
  <si>
    <t>1=2=7=14=21</t>
  </si>
  <si>
    <t>by remaining maturity:</t>
  </si>
  <si>
    <t>2=3+4</t>
  </si>
  <si>
    <t>Short-term (an original maturity basis)</t>
  </si>
  <si>
    <t>inc. long-term debt obligations due for payment within one year</t>
  </si>
  <si>
    <t>Reference: ED due for payment within one year</t>
  </si>
  <si>
    <t>6=3+5</t>
  </si>
  <si>
    <t>by resident's sector:</t>
  </si>
  <si>
    <t>7=8+9+10+11+12</t>
  </si>
  <si>
    <t>Reference: ED not included intercompany lending</t>
  </si>
  <si>
    <t>13=8+9+10+11</t>
  </si>
  <si>
    <t>by government participation:</t>
  </si>
  <si>
    <t>14=15+16+18</t>
  </si>
  <si>
    <t>Public ED</t>
  </si>
  <si>
    <t>ED of banks and organizations controlled by government</t>
  </si>
  <si>
    <t>inc. government guaranteed ED</t>
  </si>
  <si>
    <t>Private sector ED</t>
  </si>
  <si>
    <t>inc. banks and organizations with 10–50% state ownership</t>
  </si>
  <si>
    <t>18a</t>
  </si>
  <si>
    <t>Reference: Government and government guaranteed ED</t>
  </si>
  <si>
    <t>19=15+17</t>
  </si>
  <si>
    <t>Reference: Public sector ED</t>
  </si>
  <si>
    <t>20=15+16</t>
  </si>
  <si>
    <t>by financial instruments:</t>
  </si>
  <si>
    <t>21=22+23+24+25+26+27</t>
  </si>
  <si>
    <t>special drawing rights</t>
  </si>
  <si>
    <t>currency and deposits</t>
  </si>
  <si>
    <t>debt securities</t>
  </si>
  <si>
    <t>loans</t>
  </si>
  <si>
    <t>trade credits and advances</t>
  </si>
  <si>
    <t>other debt liabilities</t>
  </si>
  <si>
    <t>Reference: Debt securities by nominal value</t>
  </si>
  <si>
    <t>*The long-term debt that is due for repayment within one year is estimated based on the external debt service payment schedule as of specific date; therefore, historical data is not subject for revision</t>
  </si>
  <si>
    <t>Absolute and comparative indicators of the external debt</t>
  </si>
  <si>
    <t>1 q 2005</t>
  </si>
  <si>
    <t>2 q 2005</t>
  </si>
  <si>
    <t>3 q 2005</t>
  </si>
  <si>
    <t>4 q 2005</t>
  </si>
  <si>
    <t>1 q 2006</t>
  </si>
  <si>
    <t>2 q 2006</t>
  </si>
  <si>
    <t>3 q 2006</t>
  </si>
  <si>
    <t>4 q 2006</t>
  </si>
  <si>
    <t>1 q 2007</t>
  </si>
  <si>
    <t>2 q 2007</t>
  </si>
  <si>
    <t>3 q 2007</t>
  </si>
  <si>
    <t>4 q 2007</t>
  </si>
  <si>
    <t>1 q 2008</t>
  </si>
  <si>
    <t>2 q 2008</t>
  </si>
  <si>
    <t>3 q 2008</t>
  </si>
  <si>
    <t>4 q 2008</t>
  </si>
  <si>
    <t>1 q 2009</t>
  </si>
  <si>
    <t>2 q 2009</t>
  </si>
  <si>
    <t>3 q 2009</t>
  </si>
  <si>
    <t>4 q 2009</t>
  </si>
  <si>
    <t>1 q 2010</t>
  </si>
  <si>
    <t>2 q 2010</t>
  </si>
  <si>
    <t>3 q 2010</t>
  </si>
  <si>
    <t>4 q 2010</t>
  </si>
  <si>
    <t>1 q 2011</t>
  </si>
  <si>
    <t>2 q 2011</t>
  </si>
  <si>
    <t>3 q 2011</t>
  </si>
  <si>
    <t>4 q 2011</t>
  </si>
  <si>
    <t>1 q 2012</t>
  </si>
  <si>
    <t>2 q 2012</t>
  </si>
  <si>
    <t>3 q 2012</t>
  </si>
  <si>
    <t>4 q 2012</t>
  </si>
  <si>
    <t>1 q 2013</t>
  </si>
  <si>
    <t>2 q 2013</t>
  </si>
  <si>
    <t>3 q 2013</t>
  </si>
  <si>
    <t>4 q 2013</t>
  </si>
  <si>
    <t>1 q 2014</t>
  </si>
  <si>
    <t>2 q 2014</t>
  </si>
  <si>
    <t>3 q 2014</t>
  </si>
  <si>
    <t>4 q 2014</t>
  </si>
  <si>
    <t>1 q 2015</t>
  </si>
  <si>
    <t>2 q 2015</t>
  </si>
  <si>
    <t>3 q 2015</t>
  </si>
  <si>
    <t>4 q 2015</t>
  </si>
  <si>
    <t>1 q 2016</t>
  </si>
  <si>
    <t>2 q 2016</t>
  </si>
  <si>
    <t>3 q 2016</t>
  </si>
  <si>
    <t>4 q 2016</t>
  </si>
  <si>
    <t>1 q 2017</t>
  </si>
  <si>
    <t>2 q 2017</t>
  </si>
  <si>
    <t>3 q 2017</t>
  </si>
  <si>
    <t>4 q 2017</t>
  </si>
  <si>
    <t>1 q 2018</t>
  </si>
  <si>
    <t>2 q 2018</t>
  </si>
  <si>
    <t>3 q 2018</t>
  </si>
  <si>
    <t>4 q 2018</t>
  </si>
  <si>
    <t>1 q 2019</t>
  </si>
  <si>
    <t>2 q 2019</t>
  </si>
  <si>
    <t>3 q 2019</t>
  </si>
  <si>
    <t>4 q 2019</t>
  </si>
  <si>
    <t>1 q 2020</t>
  </si>
  <si>
    <t>2 q 2020</t>
  </si>
  <si>
    <t>3 q 2020</t>
  </si>
  <si>
    <t>4 q 2020</t>
  </si>
  <si>
    <t>1 q 2021</t>
  </si>
  <si>
    <t>2 q 2021</t>
  </si>
  <si>
    <t>3 q 2021</t>
  </si>
  <si>
    <t>4 q 2021</t>
  </si>
  <si>
    <t>1 q 2022</t>
  </si>
  <si>
    <t>2 q 2022</t>
  </si>
  <si>
    <t>3 q 2022</t>
  </si>
  <si>
    <t>4 q 2022</t>
  </si>
  <si>
    <t>1 q 2023</t>
  </si>
  <si>
    <t>2 q 2023</t>
  </si>
  <si>
    <t>3 q 2023</t>
  </si>
  <si>
    <t>4 q 2023</t>
  </si>
  <si>
    <t>1 q 2024</t>
  </si>
  <si>
    <t>2 q 2024</t>
  </si>
  <si>
    <t>3 q 2024</t>
  </si>
  <si>
    <t>4 q 2024</t>
  </si>
  <si>
    <t>1 q 2025</t>
  </si>
  <si>
    <t>2 q 2025</t>
  </si>
  <si>
    <t>3 q 2025</t>
  </si>
  <si>
    <t>4 q 2025</t>
  </si>
  <si>
    <t>1 q 2026</t>
  </si>
  <si>
    <t xml:space="preserve">      А. Absolute indicators (mln.US dollars)</t>
  </si>
  <si>
    <t>1. External debt (estimate at the end of period)</t>
  </si>
  <si>
    <t>inc. intercompany lending</t>
  </si>
  <si>
    <t>2. External debt, excluding intercompany lending (estimate at the end of period)</t>
  </si>
  <si>
    <t>3. Long-term external debt service (incl. intercompany lending)</t>
  </si>
  <si>
    <t>4. Long-term external debt service (excl. intercompany lending)</t>
  </si>
  <si>
    <t xml:space="preserve">      Б. Comparative indicators</t>
  </si>
  <si>
    <t>1. External debt to GDP ratio (incl. intercompany lending, %)</t>
  </si>
  <si>
    <t>2. External debt to GDP ratio (excl. intercompany lending, %)</t>
  </si>
  <si>
    <t>3. External debt to EGSy ratio (incl. intercompany lending, %)</t>
  </si>
  <si>
    <t>4. External debt to EGSy ratio (excl. intercompany lending, %)</t>
  </si>
  <si>
    <t>5. Long-term external debt service to EGSp ratio (incl. intercompany lending, %)</t>
  </si>
  <si>
    <t>6. Long-term external debt service to EGSp ratio (excl. intercompany lending, %)</t>
  </si>
  <si>
    <t>7. Interest payments to EGSp ratio (%)</t>
  </si>
  <si>
    <t>8. ﻿﻿Ratio of payments on repayment and servicing of external public and publicly guaranteed debt to EGSp (%)*</t>
  </si>
  <si>
    <t>9. Reserve assets of the National Bank of Kazakhstan to a short-term external debt (%)</t>
  </si>
  <si>
    <t>10. Reserve assets of the National Bank of Kazakhstan to a short-term debt on remaining maturity basis (Guidotti rule) (%)</t>
  </si>
  <si>
    <t>11. Reserve assets of the National Bank of Kazakhstan to a short-term debt on remaining maturity basis (Guidotti rule), excluding repayment of goods, works and services (%)</t>
  </si>
  <si>
    <t>12. Reserve assets of the National Bank of Kazakhstan and foreign assets of the National Fund of Kazakhstan to a short-term debt on remaining maturity basis (%)</t>
  </si>
  <si>
    <t>Reference:</t>
  </si>
  <si>
    <t xml:space="preserve">  GDP (bln. KZT), the period**</t>
  </si>
  <si>
    <t xml:space="preserve">  GDP for the 12 months (bln. USD)***</t>
  </si>
  <si>
    <t xml:space="preserve">  Exports of goods and services for the period (EGSp)</t>
  </si>
  <si>
    <t xml:space="preserve">  Exports of goods and services for the 12 months (EGSy)</t>
  </si>
  <si>
    <t>*Excluding securities’ transactions in the secondary market</t>
  </si>
  <si>
    <t>**Source: Bureau of National statistics of Agency for Strategic planning and reforms of the Republic of Kazakhstan (BNS) (The reported data for January-March 2026 was published on June 29, 2026)</t>
  </si>
  <si>
    <t>***GDP in USD for the calendar year is the information of BNS. GDP in USD dollars for 12 months for the reasons of calculating relative parameters on quarterly basis is calculated as the sum of quarter data in USD, using corresponding average value of the exchange rate for the quarter</t>
  </si>
  <si>
    <t>External Debt: reconciliation of positions and flows</t>
  </si>
  <si>
    <t>Position at the 01.01.2015</t>
  </si>
  <si>
    <t>changes in position due to</t>
  </si>
  <si>
    <t>Position at the 01.04.2015</t>
  </si>
  <si>
    <t>Position at the 01.07.2015</t>
  </si>
  <si>
    <t xml:space="preserve">Position at the 01.10.2015 </t>
  </si>
  <si>
    <t>Position at the 01.01.2016</t>
  </si>
  <si>
    <t>Position at the 01.04.2016</t>
  </si>
  <si>
    <t>Position at the 01.07.2016</t>
  </si>
  <si>
    <t>Position at the 01.10.2016</t>
  </si>
  <si>
    <t>Position at the 01.01.2017</t>
  </si>
  <si>
    <t>Position at the 01.04.2017</t>
  </si>
  <si>
    <t>Position at the 01.07.2017</t>
  </si>
  <si>
    <t>Position at the 01.10.2017</t>
  </si>
  <si>
    <t>Position at the 01.01.2018</t>
  </si>
  <si>
    <t>Position at the 01.04.2018</t>
  </si>
  <si>
    <t>Position at the 01.07.2018</t>
  </si>
  <si>
    <t>Position at the 01.10.2018</t>
  </si>
  <si>
    <t>Position at the 01.01.2019</t>
  </si>
  <si>
    <t>Position at the 01.04.2019</t>
  </si>
  <si>
    <t>Position at the 01.07.2019</t>
  </si>
  <si>
    <t>Position at the 01.10.2019</t>
  </si>
  <si>
    <t>Position at the 01.01.2020</t>
  </si>
  <si>
    <t>Position at the 01.04.2020</t>
  </si>
  <si>
    <t>Position at the 01.07.2020</t>
  </si>
  <si>
    <t>Position at the 01.10.2020</t>
  </si>
  <si>
    <t>Position at the 01.01.2021</t>
  </si>
  <si>
    <t>Position at the 01.04.2021</t>
  </si>
  <si>
    <t>Position at the 01.07.2021</t>
  </si>
  <si>
    <t>Position at the 01.10.2021</t>
  </si>
  <si>
    <t>Position at the 01.01.2022</t>
  </si>
  <si>
    <t>Position at the 01.04.2022</t>
  </si>
  <si>
    <t>Position at the 01.07.2022</t>
  </si>
  <si>
    <t>Position at the 01.10.2022</t>
  </si>
  <si>
    <t>Position at the 01.01.2023</t>
  </si>
  <si>
    <t>Position at the 01.04.2023</t>
  </si>
  <si>
    <t>Position at the 01.07.2023</t>
  </si>
  <si>
    <t>Position at the 01.10.2023</t>
  </si>
  <si>
    <t>Position at the 01.01.2024</t>
  </si>
  <si>
    <t>Position at the 01.04.2024</t>
  </si>
  <si>
    <t>Position at the 01.07.2024</t>
  </si>
  <si>
    <t>Position at the 01.10.2024</t>
  </si>
  <si>
    <t>Position at the 01.01.2025</t>
  </si>
  <si>
    <t>Position at the 01.04.2025</t>
  </si>
  <si>
    <t>Position at the 01.07.2025</t>
  </si>
  <si>
    <t>Position at the 01.10.2025</t>
  </si>
  <si>
    <t>Position at the 01.01.2026</t>
  </si>
  <si>
    <t>Position at the 01.04.2026</t>
  </si>
  <si>
    <t>transactions</t>
  </si>
  <si>
    <r>
      <rPr>
        <sz val="10"/>
        <color theme="1"/>
        <rFont val="Times New Roman"/>
        <charset val="204"/>
      </rPr>
      <t>revaluation</t>
    </r>
    <r>
      <rPr>
        <b/>
        <vertAlign val="superscript"/>
        <sz val="10"/>
        <color indexed="8"/>
        <rFont val="Times New Roman"/>
        <charset val="204"/>
      </rPr>
      <t>1</t>
    </r>
  </si>
  <si>
    <r>
      <rPr>
        <sz val="10"/>
        <color theme="1"/>
        <rFont val="Times New Roman"/>
        <charset val="204"/>
      </rPr>
      <t>other changes in volume</t>
    </r>
    <r>
      <rPr>
        <b/>
        <vertAlign val="superscript"/>
        <sz val="10"/>
        <color indexed="8"/>
        <rFont val="Times New Roman"/>
        <charset val="204"/>
      </rPr>
      <t>2</t>
    </r>
  </si>
  <si>
    <t>External Debt</t>
  </si>
  <si>
    <r>
      <rPr>
        <vertAlign val="superscript"/>
        <sz val="10"/>
        <color indexed="8"/>
        <rFont val="Times New Roman"/>
        <charset val="204"/>
      </rPr>
      <t>1</t>
    </r>
    <r>
      <rPr>
        <sz val="10"/>
        <color indexed="8"/>
        <rFont val="Times New Roman"/>
        <charset val="204"/>
      </rPr>
      <t>as a result of fluctuations in price and exchange rate</t>
    </r>
  </si>
  <si>
    <r>
      <rPr>
        <vertAlign val="superscript"/>
        <sz val="10"/>
        <rFont val="Times New Roman"/>
        <charset val="204"/>
      </rPr>
      <t>2</t>
    </r>
    <r>
      <rPr>
        <sz val="10"/>
        <rFont val="Times New Roman"/>
        <charset val="204"/>
      </rPr>
      <t xml:space="preserve"> changes in the value of assets that are neither to transactions nor revaluation, including those due to cancellation and write-offs, economic appearance and disappearance of assets, reclassifications, changes in financial volume arising from entities changing their economy of residence, as well as corrections of errors of previous periods</t>
    </r>
  </si>
  <si>
    <t>Net External Debt</t>
  </si>
  <si>
    <t>mln US dollars</t>
  </si>
  <si>
    <t>Period</t>
  </si>
  <si>
    <t>Indicator</t>
  </si>
  <si>
    <t>External Debt      (1)</t>
  </si>
  <si>
    <t>External assets in debt instruments (2)</t>
  </si>
  <si>
    <t>Net External Debt           (3) = (1)-(2)</t>
  </si>
  <si>
    <t>TOTAL</t>
  </si>
  <si>
    <t>Debt securities</t>
  </si>
  <si>
    <t>Other liabilities/claims</t>
  </si>
  <si>
    <t>Liabilities of Kazakhstani direct investment enterprises to foreign direct investors/Claims of Kazakhstani direct investors to foreign direct investment enterprises</t>
  </si>
  <si>
    <t xml:space="preserve">Liabilities of Kazakhstani direct investors to foreign direct investment enterprises (reverse investment)/Claims of Kazakhstani direct investment enterprises to foreign direct investor (reverse investment) </t>
  </si>
  <si>
    <t>Liabilities of Kazakhstani enterprises to foreign fellow enterprises/Claims of Kazakhstani enterprises to foreign fellow enterprises</t>
  </si>
  <si>
    <t>The negative value of net external debt indicates that external debt assets exceed external liabilities, respectively, the sector is a net lender to the rest of the world</t>
  </si>
  <si>
    <t>Debt securities issued by residents and belonging to non-residents</t>
  </si>
  <si>
    <t xml:space="preserve">Domectic </t>
  </si>
  <si>
    <t xml:space="preserve">Foreign  </t>
  </si>
  <si>
    <t>General government</t>
  </si>
  <si>
    <r>
      <rPr>
        <sz val="10"/>
        <rFont val="Times New Roman"/>
        <charset val="204"/>
      </rPr>
      <t xml:space="preserve">Other Sectors </t>
    </r>
    <r>
      <rPr>
        <i/>
        <sz val="10"/>
        <rFont val="Times New Roman"/>
        <charset val="204"/>
      </rPr>
      <t>(inc. bonds held by affilated non-residents)</t>
    </r>
  </si>
  <si>
    <t>Debt securities include money market instruments, bonds and notes</t>
  </si>
  <si>
    <t>External debt indicators</t>
  </si>
  <si>
    <t>Definition</t>
  </si>
  <si>
    <t>External debt at the reporting date is the outstanding amount of current unconditional obligations of residents of the Republic of Kazakhstan to non-residents, which requires repayment of principal and / or interest in the future.</t>
  </si>
  <si>
    <t>Special drawing rights</t>
  </si>
  <si>
    <t>Special drawing rights (SDRs) are international reserve assets created by the IMF and allocated to members to supplement existing  official  reserves.</t>
  </si>
  <si>
    <t>Cash and deposits</t>
  </si>
  <si>
    <t>Currency and deposits consists of notes and coins  and  deposits. Notes and coins represent claims of a fixed nominal value on a central bank; commemorative coins are excluded.  Deposits include all claims that are on the central bank; deposit-taking corporations; and (2) represented by evidence of deposit.</t>
  </si>
  <si>
    <t xml:space="preserve">Debt securities are negotiable instruments serving as evidence of a debt. They include bills, bonds, notes, negotiable certificates of deposit, commercial  paper, debentures, asset-backed securities, money market instruments, and similar instruments normally traded in the financial  markets.  </t>
  </si>
  <si>
    <t>Loans and borrowings</t>
  </si>
  <si>
    <t xml:space="preserve">Loans are financial assets that (a) are created when a creditor lends funds directly to a debtor, and (b) are evidenced by documents that are not negotiable. </t>
  </si>
  <si>
    <t>Trade credits and advances</t>
  </si>
  <si>
    <t>Trade credit and advances consist of (a) credit extended directly by the suppliers of goods and services to their customers and (b) advances for work that is in progress (or is yet to be undertaken) and prepayment by customers for goods and services not yet provided.</t>
  </si>
  <si>
    <t>Other liabilities</t>
  </si>
  <si>
    <t>Other liabilities of other accounts payable includes accounts payable other than those included in trade credit and advances or other instruments.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</si>
</sst>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0_);_(* \(#,##0\);_(* &quot;-&quot;_);_(@_)"/>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_-* #,##0\ _р_._-;\-* #,##0\ _р_._-;_-* &quot;-&quot;\ _р_._-;_-@_-"/>
    <numFmt numFmtId="179" formatCode="_-* #,##0.00\ _р_._-;\-* #,##0.00\ _р_._-;_-* &quot;-&quot;??\ _р_._-;_-@_-"/>
    <numFmt numFmtId="180" formatCode="_-* #,##0.00_р_._-;\-* #,##0.00_р_._-;_-* &quot;-&quot;??_р_._-;_-@_-"/>
    <numFmt numFmtId="181" formatCode="#,##0.0"/>
    <numFmt numFmtId="182" formatCode="#,##0.0\ _₽;\-#,##0.0\ _₽"/>
    <numFmt numFmtId="183" formatCode="0.0"/>
    <numFmt numFmtId="184" formatCode="m/d/yyyy;@"/>
  </numFmts>
  <fonts count="61">
    <font>
      <sz val="11"/>
      <color theme="1"/>
      <name val="Calibri"/>
      <charset val="134"/>
      <scheme val="minor"/>
    </font>
    <font>
      <sz val="11"/>
      <name val="Times New Roman"/>
      <charset val="204"/>
    </font>
    <font>
      <b/>
      <sz val="11"/>
      <name val="Times New Roman"/>
      <charset val="204"/>
    </font>
    <font>
      <b/>
      <sz val="10"/>
      <name val="Times New Roman"/>
      <charset val="204"/>
    </font>
    <font>
      <sz val="10"/>
      <name val="Times New Roman"/>
      <charset val="204"/>
    </font>
    <font>
      <b/>
      <sz val="12"/>
      <name val="Times New Roman"/>
      <charset val="204"/>
    </font>
    <font>
      <b/>
      <sz val="10"/>
      <name val="Times New Roman Cyr"/>
      <charset val="204"/>
    </font>
    <font>
      <vertAlign val="superscript"/>
      <sz val="10"/>
      <name val="Times New Roman"/>
      <charset val="204"/>
    </font>
    <font>
      <sz val="10"/>
      <color indexed="8"/>
      <name val="Calibri"/>
      <charset val="134"/>
    </font>
    <font>
      <sz val="10"/>
      <color indexed="8"/>
      <name val="Times New Roman"/>
      <charset val="204"/>
    </font>
    <font>
      <b/>
      <sz val="12"/>
      <color indexed="8"/>
      <name val="Times New Roman"/>
      <charset val="204"/>
    </font>
    <font>
      <b/>
      <sz val="10"/>
      <color indexed="8"/>
      <name val="Times New Roman"/>
      <charset val="204"/>
    </font>
    <font>
      <i/>
      <sz val="10"/>
      <color indexed="8"/>
      <name val="Times New Roman"/>
      <charset val="204"/>
    </font>
    <font>
      <i/>
      <sz val="10"/>
      <name val="Times New Roman"/>
      <charset val="204"/>
    </font>
    <font>
      <sz val="12"/>
      <color theme="1"/>
      <name val="Calibri"/>
      <charset val="134"/>
      <scheme val="minor"/>
    </font>
    <font>
      <sz val="10"/>
      <color theme="1"/>
      <name val="Times New Roman"/>
      <charset val="204"/>
    </font>
    <font>
      <b/>
      <i/>
      <sz val="10"/>
      <color indexed="8"/>
      <name val="Times New Roman"/>
      <charset val="204"/>
    </font>
    <font>
      <b/>
      <i/>
      <sz val="10"/>
      <name val="Times New Roman"/>
      <charset val="204"/>
    </font>
    <font>
      <sz val="12"/>
      <name val="Times New Roman"/>
      <charset val="204"/>
    </font>
    <font>
      <i/>
      <sz val="12"/>
      <name val="Times New Roman"/>
      <charset val="204"/>
    </font>
    <font>
      <sz val="10"/>
      <name val="Arial Cyr"/>
      <charset val="204"/>
    </font>
    <font>
      <b/>
      <sz val="12"/>
      <name val="Times New Roman Cyr"/>
      <charset val="204"/>
    </font>
    <font>
      <b/>
      <sz val="14"/>
      <name val="Times New Roman"/>
      <charset val="204"/>
    </font>
    <font>
      <sz val="10"/>
      <name val="Calibri"/>
      <charset val="204"/>
      <scheme val="minor"/>
    </font>
    <font>
      <sz val="11"/>
      <name val="Calibri"/>
      <charset val="134"/>
      <scheme val="minor"/>
    </font>
    <font>
      <b/>
      <sz val="10"/>
      <color indexed="8"/>
      <name val="Calibri"/>
      <charset val="134"/>
    </font>
    <font>
      <sz val="10"/>
      <color rgb="FFFF0000"/>
      <name val="Times New Roman"/>
      <charset val="204"/>
    </font>
    <font>
      <b/>
      <sz val="11"/>
      <color rgb="FF3F3F3F"/>
      <name val="Times New Roman"/>
      <charset val="204"/>
    </font>
    <font>
      <u/>
      <sz val="10"/>
      <color rgb="FF0070C0"/>
      <name val="Arial Cyr"/>
      <charset val="204"/>
    </font>
    <font>
      <sz val="11"/>
      <color theme="1"/>
      <name val="Times New Roman"/>
      <charset val="204"/>
    </font>
    <font>
      <sz val="11"/>
      <color rgb="FFFF0000"/>
      <name val="Times New Roman"/>
      <charset val="204"/>
    </font>
    <font>
      <b/>
      <sz val="11"/>
      <color theme="1"/>
      <name val="Times New Roman"/>
      <charset val="204"/>
    </font>
    <font>
      <u/>
      <sz val="11"/>
      <color rgb="FF0000FF"/>
      <name val="Times New Roman"/>
      <charset val="204"/>
    </font>
    <font>
      <sz val="9.75"/>
      <color theme="1"/>
      <name val="Calibri"/>
      <charset val="134"/>
      <scheme val="minor"/>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204"/>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Times New Roman"/>
      <charset val="134"/>
    </font>
    <font>
      <sz val="10"/>
      <color indexed="8"/>
      <name val="Arial"/>
      <charset val="134"/>
    </font>
    <font>
      <u/>
      <sz val="10"/>
      <color theme="10"/>
      <name val="Arial Cyr"/>
      <charset val="204"/>
    </font>
    <font>
      <sz val="11"/>
      <color theme="1"/>
      <name val="Calibri"/>
      <charset val="204"/>
      <scheme val="minor"/>
    </font>
    <font>
      <sz val="10"/>
      <name val="Times New Roman Cyr"/>
      <charset val="204"/>
    </font>
    <font>
      <sz val="8"/>
      <name val="Arial Cyr"/>
      <charset val="134"/>
    </font>
    <font>
      <vertAlign val="superscript"/>
      <sz val="10"/>
      <color indexed="8"/>
      <name val="Times New Roman"/>
      <charset val="204"/>
    </font>
    <font>
      <b/>
      <vertAlign val="superscript"/>
      <sz val="10"/>
      <color indexed="8"/>
      <name val="Times New Roman"/>
      <charset val="204"/>
    </font>
  </fonts>
  <fills count="44">
    <fill>
      <patternFill patternType="none"/>
    </fill>
    <fill>
      <patternFill patternType="gray125"/>
    </fill>
    <fill>
      <patternFill patternType="solid">
        <fgColor theme="0" tint="-0.149998474074526"/>
        <bgColor indexed="64"/>
      </patternFill>
    </fill>
    <fill>
      <patternFill patternType="solid">
        <fgColor theme="0" tint="-0.149998474074526"/>
        <bgColor rgb="FF000000"/>
      </patternFill>
    </fill>
    <fill>
      <patternFill patternType="solid">
        <fgColor rgb="FFD9D9D9"/>
        <bgColor rgb="FF000000"/>
      </patternFill>
    </fill>
    <fill>
      <patternFill patternType="solid">
        <fgColor rgb="FFA2C499"/>
        <bgColor indexed="64"/>
      </patternFill>
    </fill>
    <fill>
      <patternFill patternType="solid">
        <fgColor rgb="FFA2C499"/>
        <bgColor rgb="FF000000"/>
      </patternFill>
    </fill>
    <fill>
      <patternFill patternType="solid">
        <fgColor rgb="FFC0D7BB"/>
        <bgColor indexed="64"/>
      </patternFill>
    </fill>
    <fill>
      <patternFill patternType="solid">
        <fgColor theme="0" tint="-0.249977111117893"/>
        <bgColor indexed="64"/>
      </patternFill>
    </fill>
    <fill>
      <patternFill patternType="solid">
        <fgColor theme="0"/>
        <bgColor indexed="64"/>
      </patternFill>
    </fill>
    <fill>
      <patternFill patternType="solid">
        <fgColor rgb="FFD9D9D9"/>
        <bgColor indexed="64"/>
      </patternFill>
    </fill>
    <fill>
      <patternFill patternType="solid">
        <fgColor rgb="FFBFBFBF"/>
        <bgColor indexed="64"/>
      </patternFill>
    </fill>
    <fill>
      <patternFill patternType="solid">
        <fgColor rgb="FFF2F2F2"/>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8">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4" fillId="0" borderId="0" applyNumberFormat="0" applyFill="0" applyBorder="0" applyAlignment="0" applyProtection="0"/>
    <xf numFmtId="0" fontId="35" fillId="0" borderId="0" applyNumberFormat="0" applyFill="0" applyBorder="0" applyAlignment="0" applyProtection="0">
      <alignment vertical="center"/>
    </xf>
    <xf numFmtId="0" fontId="0" fillId="14" borderId="17"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18" applyNumberFormat="0" applyFill="0" applyAlignment="0" applyProtection="0">
      <alignment vertical="center"/>
    </xf>
    <xf numFmtId="0" fontId="40" fillId="0" borderId="18" applyNumberFormat="0" applyFill="0" applyAlignment="0" applyProtection="0">
      <alignment vertical="center"/>
    </xf>
    <xf numFmtId="0" fontId="41" fillId="0" borderId="19" applyNumberFormat="0" applyFill="0" applyAlignment="0" applyProtection="0">
      <alignment vertical="center"/>
    </xf>
    <xf numFmtId="0" fontId="41" fillId="0" borderId="0" applyNumberFormat="0" applyFill="0" applyBorder="0" applyAlignment="0" applyProtection="0">
      <alignment vertical="center"/>
    </xf>
    <xf numFmtId="0" fontId="42" fillId="15" borderId="20" applyNumberFormat="0" applyAlignment="0" applyProtection="0">
      <alignment vertical="center"/>
    </xf>
    <xf numFmtId="0" fontId="43" fillId="12" borderId="16" applyNumberFormat="0" applyAlignment="0" applyProtection="0"/>
    <xf numFmtId="0" fontId="44" fillId="12" borderId="20" applyNumberFormat="0" applyAlignment="0" applyProtection="0">
      <alignment vertical="center"/>
    </xf>
    <xf numFmtId="0" fontId="45" fillId="16" borderId="21" applyNumberFormat="0" applyAlignment="0" applyProtection="0">
      <alignment vertical="center"/>
    </xf>
    <xf numFmtId="0" fontId="46" fillId="0" borderId="22" applyNumberFormat="0" applyFill="0" applyAlignment="0" applyProtection="0">
      <alignment vertical="center"/>
    </xf>
    <xf numFmtId="0" fontId="47" fillId="0" borderId="23" applyNumberFormat="0" applyFill="0" applyAlignment="0" applyProtection="0">
      <alignment vertical="center"/>
    </xf>
    <xf numFmtId="0" fontId="48" fillId="17" borderId="0" applyNumberFormat="0" applyBorder="0" applyAlignment="0" applyProtection="0">
      <alignment vertical="center"/>
    </xf>
    <xf numFmtId="0" fontId="49" fillId="18" borderId="0" applyNumberFormat="0" applyBorder="0" applyAlignment="0" applyProtection="0">
      <alignment vertical="center"/>
    </xf>
    <xf numFmtId="0" fontId="50" fillId="19" borderId="0" applyNumberFormat="0" applyBorder="0" applyAlignment="0" applyProtection="0">
      <alignment vertical="center"/>
    </xf>
    <xf numFmtId="0" fontId="51" fillId="20" borderId="0" applyNumberFormat="0" applyBorder="0" applyAlignment="0" applyProtection="0">
      <alignment vertical="center"/>
    </xf>
    <xf numFmtId="0" fontId="52" fillId="21" borderId="0" applyNumberFormat="0" applyBorder="0" applyAlignment="0" applyProtection="0">
      <alignment vertical="center"/>
    </xf>
    <xf numFmtId="0" fontId="52" fillId="22" borderId="0" applyNumberFormat="0" applyBorder="0" applyAlignment="0" applyProtection="0">
      <alignment vertical="center"/>
    </xf>
    <xf numFmtId="0" fontId="51" fillId="23" borderId="0" applyNumberFormat="0" applyBorder="0" applyAlignment="0" applyProtection="0">
      <alignment vertical="center"/>
    </xf>
    <xf numFmtId="0" fontId="51" fillId="24" borderId="0" applyNumberFormat="0" applyBorder="0" applyAlignment="0" applyProtection="0">
      <alignment vertical="center"/>
    </xf>
    <xf numFmtId="0" fontId="52" fillId="25" borderId="0" applyNumberFormat="0" applyBorder="0" applyAlignment="0" applyProtection="0">
      <alignment vertical="center"/>
    </xf>
    <xf numFmtId="0" fontId="52" fillId="26" borderId="0" applyNumberFormat="0" applyBorder="0" applyAlignment="0" applyProtection="0">
      <alignment vertical="center"/>
    </xf>
    <xf numFmtId="0" fontId="51" fillId="27" borderId="0" applyNumberFormat="0" applyBorder="0" applyAlignment="0" applyProtection="0">
      <alignment vertical="center"/>
    </xf>
    <xf numFmtId="0" fontId="51" fillId="28" borderId="0" applyNumberFormat="0" applyBorder="0" applyAlignment="0" applyProtection="0">
      <alignment vertical="center"/>
    </xf>
    <xf numFmtId="0" fontId="52" fillId="29" borderId="0" applyNumberFormat="0" applyBorder="0" applyAlignment="0" applyProtection="0">
      <alignment vertical="center"/>
    </xf>
    <xf numFmtId="0" fontId="52" fillId="30" borderId="0" applyNumberFormat="0" applyBorder="0" applyAlignment="0" applyProtection="0">
      <alignment vertical="center"/>
    </xf>
    <xf numFmtId="0" fontId="51" fillId="31" borderId="0" applyNumberFormat="0" applyBorder="0" applyAlignment="0" applyProtection="0">
      <alignment vertical="center"/>
    </xf>
    <xf numFmtId="0" fontId="51" fillId="32" borderId="0" applyNumberFormat="0" applyBorder="0" applyAlignment="0" applyProtection="0">
      <alignment vertical="center"/>
    </xf>
    <xf numFmtId="0" fontId="52" fillId="33" borderId="0" applyNumberFormat="0" applyBorder="0" applyAlignment="0" applyProtection="0">
      <alignment vertical="center"/>
    </xf>
    <xf numFmtId="0" fontId="52" fillId="34" borderId="0" applyNumberFormat="0" applyBorder="0" applyAlignment="0" applyProtection="0">
      <alignment vertical="center"/>
    </xf>
    <xf numFmtId="0" fontId="51" fillId="35" borderId="0" applyNumberFormat="0" applyBorder="0" applyAlignment="0" applyProtection="0">
      <alignment vertical="center"/>
    </xf>
    <xf numFmtId="0" fontId="51" fillId="36" borderId="0" applyNumberFormat="0" applyBorder="0" applyAlignment="0" applyProtection="0">
      <alignment vertical="center"/>
    </xf>
    <xf numFmtId="0" fontId="52" fillId="37" borderId="0" applyNumberFormat="0" applyBorder="0" applyAlignment="0" applyProtection="0">
      <alignment vertical="center"/>
    </xf>
    <xf numFmtId="0" fontId="52" fillId="38" borderId="0" applyNumberFormat="0" applyBorder="0" applyAlignment="0" applyProtection="0">
      <alignment vertical="center"/>
    </xf>
    <xf numFmtId="0" fontId="51" fillId="39" borderId="0" applyNumberFormat="0" applyBorder="0" applyAlignment="0" applyProtection="0">
      <alignment vertical="center"/>
    </xf>
    <xf numFmtId="0" fontId="51" fillId="40" borderId="0" applyNumberFormat="0" applyBorder="0" applyAlignment="0" applyProtection="0">
      <alignment vertical="center"/>
    </xf>
    <xf numFmtId="0" fontId="52" fillId="41" borderId="0" applyNumberFormat="0" applyBorder="0" applyAlignment="0" applyProtection="0">
      <alignment vertical="center"/>
    </xf>
    <xf numFmtId="0" fontId="52" fillId="42" borderId="0" applyNumberFormat="0" applyBorder="0" applyAlignment="0" applyProtection="0">
      <alignment vertical="center"/>
    </xf>
    <xf numFmtId="0" fontId="51" fillId="43" borderId="0" applyNumberFormat="0" applyBorder="0" applyAlignment="0" applyProtection="0">
      <alignment vertical="center"/>
    </xf>
    <xf numFmtId="0" fontId="53" fillId="0" borderId="0"/>
    <xf numFmtId="0" fontId="54" fillId="0" borderId="0">
      <alignment vertical="top"/>
    </xf>
    <xf numFmtId="0" fontId="55" fillId="0" borderId="0" applyNumberFormat="0" applyFill="0" applyBorder="0" applyAlignment="0" applyProtection="0"/>
    <xf numFmtId="0" fontId="56" fillId="0" borderId="0"/>
    <xf numFmtId="0" fontId="0" fillId="0" borderId="0"/>
    <xf numFmtId="0" fontId="20" fillId="0" borderId="0"/>
    <xf numFmtId="0" fontId="20" fillId="0" borderId="0"/>
    <xf numFmtId="0" fontId="0" fillId="0" borderId="0"/>
    <xf numFmtId="0" fontId="57" fillId="0" borderId="0"/>
    <xf numFmtId="0" fontId="20" fillId="0" borderId="0"/>
    <xf numFmtId="9" fontId="56"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0" fontId="3" fillId="31" borderId="1" applyFont="0"/>
    <xf numFmtId="178" fontId="58" fillId="0" borderId="0" applyFont="0" applyFill="0" applyBorder="0" applyAlignment="0" applyProtection="0"/>
    <xf numFmtId="179" fontId="58" fillId="0" borderId="0" applyFont="0" applyFill="0" applyBorder="0" applyAlignment="0" applyProtection="0"/>
    <xf numFmtId="180" fontId="56" fillId="0" borderId="0" applyFont="0" applyFill="0" applyBorder="0" applyAlignment="0" applyProtection="0"/>
    <xf numFmtId="180" fontId="0" fillId="0" borderId="0" applyFont="0" applyFill="0" applyBorder="0" applyAlignment="0" applyProtection="0"/>
    <xf numFmtId="180" fontId="0" fillId="0" borderId="0" applyFont="0" applyFill="0" applyBorder="0" applyAlignment="0" applyProtection="0"/>
  </cellStyleXfs>
  <cellXfs count="359">
    <xf numFmtId="0" fontId="0" fillId="0" borderId="0" xfId="0"/>
    <xf numFmtId="0" fontId="1" fillId="0" borderId="0" xfId="55" applyFont="1"/>
    <xf numFmtId="0" fontId="2" fillId="0" borderId="0" xfId="55" applyFont="1" applyFill="1" applyAlignment="1">
      <alignment horizontal="left" vertical="center"/>
    </xf>
    <xf numFmtId="0" fontId="2" fillId="0" borderId="0" xfId="55" applyFont="1" applyFill="1" applyAlignment="1">
      <alignment vertical="center"/>
    </xf>
    <xf numFmtId="0" fontId="2" fillId="0" borderId="1" xfId="55" applyFont="1" applyFill="1" applyBorder="1" applyAlignment="1">
      <alignment vertical="center"/>
    </xf>
    <xf numFmtId="0" fontId="2" fillId="0" borderId="1" xfId="55" applyFont="1" applyFill="1" applyBorder="1" applyAlignment="1">
      <alignment vertical="center" wrapText="1"/>
    </xf>
    <xf numFmtId="0" fontId="1" fillId="0" borderId="1" xfId="55" applyFont="1" applyFill="1" applyBorder="1" applyAlignment="1">
      <alignment vertical="center"/>
    </xf>
    <xf numFmtId="0" fontId="1" fillId="0" borderId="1" xfId="55" applyFont="1" applyBorder="1" applyAlignment="1">
      <alignment vertical="center" wrapText="1"/>
    </xf>
    <xf numFmtId="17" fontId="1" fillId="0" borderId="0" xfId="55" applyNumberFormat="1" applyFont="1"/>
    <xf numFmtId="0" fontId="1" fillId="0" borderId="0" xfId="55" applyFont="1" applyFill="1" applyBorder="1" applyAlignment="1">
      <alignment vertical="center"/>
    </xf>
    <xf numFmtId="0" fontId="1" fillId="0" borderId="0" xfId="55" applyFont="1" applyBorder="1" applyAlignment="1">
      <alignment vertical="center" wrapText="1"/>
    </xf>
    <xf numFmtId="0" fontId="1" fillId="0" borderId="0" xfId="55" applyFont="1" applyAlignment="1"/>
    <xf numFmtId="0" fontId="3" fillId="0" borderId="0" xfId="54" applyFont="1" applyAlignment="1">
      <alignment horizontal="center" vertical="center"/>
    </xf>
    <xf numFmtId="0" fontId="4" fillId="0" borderId="0" xfId="54" applyFont="1" applyFill="1" applyAlignment="1">
      <alignment wrapText="1"/>
    </xf>
    <xf numFmtId="0" fontId="4" fillId="0" borderId="0" xfId="54" applyFont="1"/>
    <xf numFmtId="0" fontId="4" fillId="0" borderId="0" xfId="55" applyFont="1"/>
    <xf numFmtId="0" fontId="5" fillId="0" borderId="0" xfId="54" applyFont="1" applyFill="1" applyAlignment="1"/>
    <xf numFmtId="0" fontId="3" fillId="0" borderId="0" xfId="54" applyFont="1" applyFill="1" applyAlignment="1"/>
    <xf numFmtId="0" fontId="4" fillId="0" borderId="0" xfId="0" applyFont="1" applyFill="1" applyBorder="1" applyAlignment="1">
      <alignment horizontal="left" wrapText="1"/>
    </xf>
    <xf numFmtId="0" fontId="3" fillId="0" borderId="0" xfId="54" applyFont="1" applyFill="1" applyBorder="1" applyAlignment="1">
      <alignment horizontal="left" wrapText="1"/>
    </xf>
    <xf numFmtId="58" fontId="3" fillId="0" borderId="1" xfId="54" applyNumberFormat="1" applyFont="1" applyFill="1" applyBorder="1" applyAlignment="1" applyProtection="1">
      <alignment horizontal="center" vertical="center" wrapText="1"/>
      <protection hidden="1"/>
    </xf>
    <xf numFmtId="0" fontId="6" fillId="0" borderId="2" xfId="54" applyFont="1" applyFill="1" applyBorder="1" applyAlignment="1">
      <alignment horizontal="center" vertical="center" wrapText="1"/>
    </xf>
    <xf numFmtId="0" fontId="6" fillId="0" borderId="2" xfId="54" applyFont="1" applyBorder="1" applyAlignment="1">
      <alignment horizontal="center" vertical="center"/>
    </xf>
    <xf numFmtId="0" fontId="6" fillId="0" borderId="2" xfId="54" applyFont="1" applyFill="1" applyBorder="1" applyAlignment="1">
      <alignment horizontal="center" vertical="center"/>
    </xf>
    <xf numFmtId="58" fontId="6" fillId="0" borderId="2" xfId="54" applyNumberFormat="1" applyFont="1" applyFill="1" applyBorder="1" applyAlignment="1">
      <alignment horizontal="center" vertical="center"/>
    </xf>
    <xf numFmtId="58" fontId="6" fillId="0" borderId="2" xfId="55" applyNumberFormat="1" applyFont="1" applyFill="1" applyBorder="1" applyAlignment="1">
      <alignment horizontal="center" vertical="center"/>
    </xf>
    <xf numFmtId="58" fontId="6" fillId="0" borderId="3" xfId="55" applyNumberFormat="1" applyFont="1" applyFill="1" applyBorder="1" applyAlignment="1">
      <alignment horizontal="center" vertical="center"/>
    </xf>
    <xf numFmtId="58" fontId="6" fillId="0" borderId="4" xfId="55" applyNumberFormat="1" applyFont="1" applyFill="1" applyBorder="1" applyAlignment="1">
      <alignment horizontal="center" vertical="center"/>
    </xf>
    <xf numFmtId="0" fontId="3" fillId="2" borderId="5" xfId="54" applyFont="1" applyFill="1" applyBorder="1" applyAlignment="1">
      <alignment horizontal="left" wrapText="1"/>
    </xf>
    <xf numFmtId="181" fontId="3" fillId="2" borderId="0" xfId="54" applyNumberFormat="1" applyFont="1" applyFill="1" applyBorder="1" applyAlignment="1">
      <alignment horizontal="center" vertical="center"/>
    </xf>
    <xf numFmtId="181" fontId="3" fillId="3" borderId="0" xfId="54" applyNumberFormat="1" applyFont="1" applyFill="1" applyBorder="1" applyAlignment="1">
      <alignment horizontal="center" vertical="center"/>
    </xf>
    <xf numFmtId="181" fontId="3" fillId="4" borderId="0" xfId="55" applyNumberFormat="1" applyFont="1" applyFill="1" applyBorder="1" applyAlignment="1">
      <alignment horizontal="center" vertical="center"/>
    </xf>
    <xf numFmtId="181" fontId="3" fillId="4" borderId="6" xfId="55" applyNumberFormat="1" applyFont="1" applyFill="1" applyBorder="1" applyAlignment="1">
      <alignment horizontal="center" vertical="center"/>
    </xf>
    <xf numFmtId="0" fontId="4" fillId="0" borderId="5" xfId="54" applyFont="1" applyFill="1" applyBorder="1" applyAlignment="1">
      <alignment horizontal="left" wrapText="1" indent="3"/>
    </xf>
    <xf numFmtId="181" fontId="4" fillId="0" borderId="0" xfId="54" applyNumberFormat="1" applyFont="1" applyBorder="1" applyAlignment="1">
      <alignment horizontal="center" vertical="center"/>
    </xf>
    <xf numFmtId="181" fontId="4" fillId="0" borderId="0" xfId="54" applyNumberFormat="1" applyFont="1" applyFill="1" applyBorder="1" applyAlignment="1">
      <alignment horizontal="center" vertical="center"/>
    </xf>
    <xf numFmtId="181" fontId="4" fillId="0" borderId="0" xfId="55" applyNumberFormat="1" applyFont="1" applyFill="1" applyBorder="1" applyAlignment="1">
      <alignment horizontal="center" vertical="center"/>
    </xf>
    <xf numFmtId="181" fontId="4" fillId="0" borderId="6" xfId="55" applyNumberFormat="1" applyFont="1" applyFill="1" applyBorder="1" applyAlignment="1">
      <alignment horizontal="center" vertical="center"/>
    </xf>
    <xf numFmtId="0" fontId="4" fillId="5" borderId="5" xfId="54" applyFont="1" applyFill="1" applyBorder="1" applyAlignment="1">
      <alignment wrapText="1"/>
    </xf>
    <xf numFmtId="181" fontId="4" fillId="5" borderId="0" xfId="54" applyNumberFormat="1" applyFont="1" applyFill="1" applyBorder="1" applyAlignment="1">
      <alignment horizontal="center" vertical="center"/>
    </xf>
    <xf numFmtId="181" fontId="4" fillId="6" borderId="0" xfId="54" applyNumberFormat="1" applyFont="1" applyFill="1" applyBorder="1" applyAlignment="1">
      <alignment horizontal="center" vertical="center"/>
    </xf>
    <xf numFmtId="181" fontId="4" fillId="6" borderId="0" xfId="55" applyNumberFormat="1" applyFont="1" applyFill="1" applyBorder="1" applyAlignment="1">
      <alignment horizontal="center" vertical="center"/>
    </xf>
    <xf numFmtId="181" fontId="4" fillId="6" borderId="6" xfId="55" applyNumberFormat="1" applyFont="1" applyFill="1" applyBorder="1" applyAlignment="1">
      <alignment horizontal="center" vertical="center"/>
    </xf>
    <xf numFmtId="0" fontId="4" fillId="0" borderId="7" xfId="54" applyFont="1" applyFill="1" applyBorder="1" applyAlignment="1">
      <alignment horizontal="left" wrapText="1" indent="3"/>
    </xf>
    <xf numFmtId="181" fontId="4" fillId="0" borderId="8" xfId="54" applyNumberFormat="1" applyFont="1" applyBorder="1" applyAlignment="1">
      <alignment horizontal="center" vertical="center"/>
    </xf>
    <xf numFmtId="181" fontId="4" fillId="0" borderId="8" xfId="54" applyNumberFormat="1" applyFont="1" applyFill="1" applyBorder="1" applyAlignment="1">
      <alignment horizontal="center" vertical="center"/>
    </xf>
    <xf numFmtId="181" fontId="4" fillId="0" borderId="8" xfId="55" applyNumberFormat="1" applyFont="1" applyFill="1" applyBorder="1" applyAlignment="1">
      <alignment horizontal="center" vertical="center"/>
    </xf>
    <xf numFmtId="181" fontId="4" fillId="0" borderId="9" xfId="55" applyNumberFormat="1" applyFont="1" applyFill="1" applyBorder="1" applyAlignment="1">
      <alignment horizontal="center" vertical="center"/>
    </xf>
    <xf numFmtId="0" fontId="4" fillId="0" borderId="0" xfId="54" applyFont="1" applyFill="1" applyBorder="1" applyAlignment="1">
      <alignment horizontal="left" wrapText="1" indent="8"/>
    </xf>
    <xf numFmtId="0" fontId="4" fillId="0" borderId="0" xfId="54" applyFont="1" applyFill="1" applyAlignment="1"/>
    <xf numFmtId="0" fontId="7" fillId="0" borderId="0" xfId="54" applyFont="1" applyFill="1" applyAlignment="1"/>
    <xf numFmtId="181" fontId="4" fillId="0" borderId="0" xfId="54" applyNumberFormat="1" applyFont="1"/>
    <xf numFmtId="0" fontId="8" fillId="0" borderId="0" xfId="0" applyFont="1" applyFill="1"/>
    <xf numFmtId="0" fontId="9" fillId="0" borderId="0" xfId="0" applyFont="1"/>
    <xf numFmtId="0" fontId="8" fillId="0" borderId="0" xfId="0" applyFont="1"/>
    <xf numFmtId="0" fontId="10" fillId="0" borderId="0" xfId="0" applyFont="1" applyAlignment="1"/>
    <xf numFmtId="0" fontId="9" fillId="0" borderId="0" xfId="0" applyFont="1" applyBorder="1" applyAlignment="1"/>
    <xf numFmtId="0" fontId="11" fillId="0" borderId="1" xfId="0" applyFont="1" applyBorder="1" applyAlignment="1">
      <alignment horizontal="center" vertical="center"/>
    </xf>
    <xf numFmtId="49" fontId="3" fillId="0" borderId="10" xfId="0" applyNumberFormat="1" applyFont="1" applyFill="1" applyBorder="1" applyAlignment="1">
      <alignment horizontal="center" vertical="center" wrapText="1"/>
    </xf>
    <xf numFmtId="49" fontId="3" fillId="0" borderId="2" xfId="0" applyNumberFormat="1" applyFont="1" applyFill="1" applyBorder="1" applyAlignment="1">
      <alignment horizontal="center" vertical="center" wrapText="1"/>
    </xf>
    <xf numFmtId="49" fontId="3" fillId="0" borderId="11" xfId="0" applyNumberFormat="1" applyFont="1" applyFill="1" applyBorder="1" applyAlignment="1">
      <alignment horizontal="center" vertical="center" wrapText="1"/>
    </xf>
    <xf numFmtId="0" fontId="11" fillId="0" borderId="10"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11" xfId="0" applyFont="1" applyBorder="1" applyAlignment="1">
      <alignment horizontal="center" vertical="center" wrapText="1"/>
    </xf>
    <xf numFmtId="0" fontId="11" fillId="5" borderId="5" xfId="0" applyFont="1" applyFill="1" applyBorder="1" applyAlignment="1">
      <alignment horizontal="left" vertical="center" wrapText="1"/>
    </xf>
    <xf numFmtId="181" fontId="3" fillId="5" borderId="12" xfId="0" applyNumberFormat="1" applyFont="1" applyFill="1" applyBorder="1" applyAlignment="1">
      <alignment horizontal="center" vertical="center" wrapText="1"/>
    </xf>
    <xf numFmtId="181" fontId="3" fillId="5" borderId="0" xfId="0" applyNumberFormat="1" applyFont="1" applyFill="1" applyBorder="1" applyAlignment="1">
      <alignment horizontal="center" vertical="center" wrapText="1"/>
    </xf>
    <xf numFmtId="181" fontId="3" fillId="5" borderId="6" xfId="0" applyNumberFormat="1" applyFont="1" applyFill="1" applyBorder="1" applyAlignment="1">
      <alignment horizontal="center" vertical="center" wrapText="1"/>
    </xf>
    <xf numFmtId="0" fontId="12" fillId="2" borderId="5" xfId="0" applyFont="1" applyFill="1" applyBorder="1"/>
    <xf numFmtId="181" fontId="12" fillId="2" borderId="12" xfId="0" applyNumberFormat="1" applyFont="1" applyFill="1" applyBorder="1" applyAlignment="1">
      <alignment horizontal="center" vertical="center" wrapText="1"/>
    </xf>
    <xf numFmtId="181" fontId="12" fillId="2" borderId="0" xfId="0" applyNumberFormat="1" applyFont="1" applyFill="1" applyBorder="1" applyAlignment="1">
      <alignment horizontal="center" vertical="center" wrapText="1"/>
    </xf>
    <xf numFmtId="181" fontId="12" fillId="2" borderId="6" xfId="0" applyNumberFormat="1" applyFont="1" applyFill="1" applyBorder="1" applyAlignment="1">
      <alignment horizontal="center" vertical="center" wrapText="1"/>
    </xf>
    <xf numFmtId="181" fontId="13" fillId="2" borderId="12" xfId="0" applyNumberFormat="1" applyFont="1" applyFill="1" applyBorder="1" applyAlignment="1">
      <alignment horizontal="center" vertical="center" wrapText="1"/>
    </xf>
    <xf numFmtId="181" fontId="13" fillId="2" borderId="0" xfId="0" applyNumberFormat="1" applyFont="1" applyFill="1" applyBorder="1" applyAlignment="1">
      <alignment horizontal="center" vertical="center" wrapText="1"/>
    </xf>
    <xf numFmtId="181" fontId="13" fillId="2" borderId="6" xfId="0" applyNumberFormat="1" applyFont="1" applyFill="1" applyBorder="1" applyAlignment="1">
      <alignment horizontal="center" vertical="center" wrapText="1"/>
    </xf>
    <xf numFmtId="0" fontId="12" fillId="2" borderId="5" xfId="0" applyFont="1" applyFill="1" applyBorder="1" applyAlignment="1">
      <alignment vertical="center"/>
    </xf>
    <xf numFmtId="0" fontId="11" fillId="7" borderId="5" xfId="0" applyFont="1" applyFill="1" applyBorder="1" applyAlignment="1">
      <alignment vertical="center" wrapText="1"/>
    </xf>
    <xf numFmtId="181" fontId="3" fillId="7" borderId="12" xfId="0" applyNumberFormat="1" applyFont="1" applyFill="1" applyBorder="1" applyAlignment="1">
      <alignment horizontal="center" vertical="center" wrapText="1"/>
    </xf>
    <xf numFmtId="181" fontId="3" fillId="7" borderId="0" xfId="0" applyNumberFormat="1" applyFont="1" applyFill="1" applyBorder="1" applyAlignment="1">
      <alignment horizontal="center" vertical="center" wrapText="1"/>
    </xf>
    <xf numFmtId="181" fontId="3" fillId="7" borderId="6" xfId="0" applyNumberFormat="1" applyFont="1" applyFill="1" applyBorder="1" applyAlignment="1">
      <alignment horizontal="center" vertical="center" wrapText="1"/>
    </xf>
    <xf numFmtId="0" fontId="9" fillId="0" borderId="5" xfId="0" applyFont="1" applyFill="1" applyBorder="1" applyAlignment="1">
      <alignment horizontal="left" indent="3"/>
    </xf>
    <xf numFmtId="181" fontId="4" fillId="0" borderId="12" xfId="0" applyNumberFormat="1" applyFont="1" applyFill="1" applyBorder="1" applyAlignment="1">
      <alignment horizontal="center" vertical="center" wrapText="1"/>
    </xf>
    <xf numFmtId="181" fontId="4" fillId="0" borderId="0" xfId="0" applyNumberFormat="1" applyFont="1" applyFill="1" applyBorder="1" applyAlignment="1">
      <alignment horizontal="center" vertical="center" wrapText="1"/>
    </xf>
    <xf numFmtId="181" fontId="4" fillId="0" borderId="6" xfId="0" applyNumberFormat="1" applyFont="1" applyFill="1" applyBorder="1" applyAlignment="1">
      <alignment horizontal="center" vertical="center" wrapText="1"/>
    </xf>
    <xf numFmtId="0" fontId="9" fillId="0" borderId="5" xfId="0" applyFont="1" applyBorder="1" applyAlignment="1">
      <alignment horizontal="left" indent="3"/>
    </xf>
    <xf numFmtId="0" fontId="11" fillId="7" borderId="5" xfId="0" applyFont="1" applyFill="1" applyBorder="1"/>
    <xf numFmtId="0" fontId="12" fillId="2" borderId="5" xfId="0" applyFont="1" applyFill="1" applyBorder="1" applyAlignment="1">
      <alignment vertical="center" wrapText="1"/>
    </xf>
    <xf numFmtId="181" fontId="4" fillId="2" borderId="12" xfId="0" applyNumberFormat="1" applyFont="1" applyFill="1" applyBorder="1" applyAlignment="1">
      <alignment horizontal="center" vertical="center" wrapText="1"/>
    </xf>
    <xf numFmtId="181" fontId="4" fillId="2" borderId="0" xfId="0" applyNumberFormat="1" applyFont="1" applyFill="1" applyBorder="1" applyAlignment="1">
      <alignment horizontal="center" vertical="center" wrapText="1"/>
    </xf>
    <xf numFmtId="181" fontId="4" fillId="2" borderId="6" xfId="0" applyNumberFormat="1" applyFont="1" applyFill="1" applyBorder="1" applyAlignment="1">
      <alignment horizontal="center" vertical="center" wrapText="1"/>
    </xf>
    <xf numFmtId="0" fontId="11" fillId="7" borderId="5" xfId="0" applyFont="1" applyFill="1" applyBorder="1" applyAlignment="1">
      <alignment wrapText="1"/>
    </xf>
    <xf numFmtId="0" fontId="9" fillId="0" borderId="5" xfId="0" applyFont="1" applyBorder="1" applyAlignment="1">
      <alignment wrapText="1"/>
    </xf>
    <xf numFmtId="0" fontId="9" fillId="0" borderId="7" xfId="0" applyFont="1" applyBorder="1" applyAlignment="1">
      <alignment wrapText="1"/>
    </xf>
    <xf numFmtId="181" fontId="4" fillId="0" borderId="13" xfId="0" applyNumberFormat="1" applyFont="1" applyFill="1" applyBorder="1" applyAlignment="1">
      <alignment horizontal="center" vertical="center" wrapText="1"/>
    </xf>
    <xf numFmtId="181" fontId="4" fillId="0" borderId="8" xfId="0" applyNumberFormat="1" applyFont="1" applyFill="1" applyBorder="1" applyAlignment="1">
      <alignment horizontal="center" vertical="center" wrapText="1"/>
    </xf>
    <xf numFmtId="181" fontId="4" fillId="0" borderId="9" xfId="0" applyNumberFormat="1" applyFont="1" applyFill="1" applyBorder="1" applyAlignment="1">
      <alignment horizontal="center" vertical="center" wrapText="1"/>
    </xf>
    <xf numFmtId="0" fontId="9" fillId="0" borderId="0" xfId="0" applyFont="1" applyBorder="1" applyAlignment="1">
      <alignment wrapText="1"/>
    </xf>
    <xf numFmtId="0" fontId="9" fillId="0" borderId="0" xfId="0" applyFont="1" applyBorder="1" applyAlignment="1">
      <alignment horizontal="left" vertical="center" wrapText="1"/>
    </xf>
    <xf numFmtId="0" fontId="0" fillId="0" borderId="0" xfId="0" applyFill="1" applyBorder="1"/>
    <xf numFmtId="0" fontId="10" fillId="0" borderId="0" xfId="53" applyFont="1" applyAlignment="1"/>
    <xf numFmtId="0" fontId="14" fillId="0" borderId="0" xfId="0" applyFont="1"/>
    <xf numFmtId="0" fontId="9" fillId="0" borderId="0" xfId="53" applyFont="1" applyBorder="1" applyAlignment="1">
      <alignment horizontal="left"/>
    </xf>
    <xf numFmtId="0" fontId="9" fillId="0" borderId="14" xfId="53" applyFont="1" applyBorder="1" applyAlignment="1">
      <alignment horizontal="center"/>
    </xf>
    <xf numFmtId="0" fontId="15" fillId="0" borderId="15"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4" xfId="0" applyFont="1" applyFill="1" applyBorder="1" applyAlignment="1">
      <alignment horizontal="center" vertical="center" wrapText="1"/>
    </xf>
    <xf numFmtId="0" fontId="9" fillId="0" borderId="7" xfId="53" applyFont="1" applyBorder="1" applyAlignment="1">
      <alignment horizontal="center"/>
    </xf>
    <xf numFmtId="0" fontId="15" fillId="0" borderId="13" xfId="0" applyFont="1" applyFill="1" applyBorder="1" applyAlignment="1">
      <alignment horizontal="center" vertical="center" wrapText="1"/>
    </xf>
    <xf numFmtId="0" fontId="15" fillId="0" borderId="8" xfId="0" applyFont="1" applyFill="1" applyBorder="1" applyAlignment="1">
      <alignment horizontal="center" vertical="center" wrapText="1"/>
    </xf>
    <xf numFmtId="0" fontId="15" fillId="0" borderId="9" xfId="0" applyFont="1" applyFill="1" applyBorder="1" applyAlignment="1">
      <alignment horizontal="center" vertical="center" wrapText="1"/>
    </xf>
    <xf numFmtId="0" fontId="11" fillId="8" borderId="5" xfId="0" applyFont="1" applyFill="1" applyBorder="1" applyAlignment="1">
      <alignment wrapText="1"/>
    </xf>
    <xf numFmtId="182" fontId="11" fillId="8" borderId="12" xfId="66" applyNumberFormat="1" applyFont="1" applyFill="1" applyBorder="1" applyAlignment="1">
      <alignment horizontal="center" vertical="center"/>
    </xf>
    <xf numFmtId="182" fontId="11" fillId="2" borderId="0" xfId="66" applyNumberFormat="1" applyFont="1" applyFill="1" applyBorder="1" applyAlignment="1">
      <alignment horizontal="center" vertical="center"/>
    </xf>
    <xf numFmtId="182" fontId="11" fillId="8" borderId="0" xfId="66" applyNumberFormat="1" applyFont="1" applyFill="1" applyBorder="1" applyAlignment="1">
      <alignment horizontal="center" vertical="center"/>
    </xf>
    <xf numFmtId="182" fontId="11" fillId="2" borderId="0" xfId="67" applyNumberFormat="1" applyFont="1" applyFill="1" applyBorder="1" applyAlignment="1">
      <alignment horizontal="center" vertical="center"/>
    </xf>
    <xf numFmtId="182" fontId="11" fillId="8" borderId="0" xfId="67" applyNumberFormat="1" applyFont="1" applyFill="1" applyBorder="1" applyAlignment="1">
      <alignment horizontal="center" vertical="center"/>
    </xf>
    <xf numFmtId="182" fontId="11" fillId="8" borderId="6" xfId="67" applyNumberFormat="1" applyFont="1" applyFill="1" applyBorder="1" applyAlignment="1">
      <alignment horizontal="center" vertical="center"/>
    </xf>
    <xf numFmtId="0" fontId="12" fillId="0" borderId="5" xfId="0" applyFont="1" applyBorder="1" applyAlignment="1">
      <alignment wrapText="1"/>
    </xf>
    <xf numFmtId="182" fontId="12" fillId="0" borderId="12" xfId="66" applyNumberFormat="1" applyFont="1" applyFill="1" applyBorder="1" applyAlignment="1">
      <alignment horizontal="center" vertical="center"/>
    </xf>
    <xf numFmtId="182" fontId="12" fillId="0" borderId="0" xfId="66" applyNumberFormat="1" applyFont="1" applyFill="1" applyBorder="1" applyAlignment="1">
      <alignment horizontal="center" vertical="center"/>
    </xf>
    <xf numFmtId="182" fontId="12" fillId="0" borderId="0" xfId="67" applyNumberFormat="1" applyFont="1" applyFill="1" applyBorder="1" applyAlignment="1">
      <alignment horizontal="center" vertical="center"/>
    </xf>
    <xf numFmtId="182" fontId="12" fillId="0" borderId="6" xfId="67" applyNumberFormat="1" applyFont="1" applyFill="1" applyBorder="1" applyAlignment="1">
      <alignment horizontal="center" vertical="center"/>
    </xf>
    <xf numFmtId="0" fontId="11" fillId="5" borderId="5" xfId="0" applyFont="1" applyFill="1" applyBorder="1" applyAlignment="1">
      <alignment wrapText="1"/>
    </xf>
    <xf numFmtId="182" fontId="11" fillId="5" borderId="12" xfId="66" applyNumberFormat="1" applyFont="1" applyFill="1" applyBorder="1" applyAlignment="1">
      <alignment horizontal="center" vertical="center"/>
    </xf>
    <xf numFmtId="182" fontId="11" fillId="7" borderId="0" xfId="66" applyNumberFormat="1" applyFont="1" applyFill="1" applyBorder="1" applyAlignment="1">
      <alignment horizontal="center" vertical="center"/>
    </xf>
    <xf numFmtId="182" fontId="11" fillId="5" borderId="0" xfId="66" applyNumberFormat="1" applyFont="1" applyFill="1" applyBorder="1" applyAlignment="1">
      <alignment horizontal="center" vertical="center"/>
    </xf>
    <xf numFmtId="182" fontId="11" fillId="7" borderId="0" xfId="67" applyNumberFormat="1" applyFont="1" applyFill="1" applyBorder="1" applyAlignment="1">
      <alignment horizontal="center" vertical="center"/>
    </xf>
    <xf numFmtId="182" fontId="11" fillId="5" borderId="0" xfId="67" applyNumberFormat="1" applyFont="1" applyFill="1" applyBorder="1" applyAlignment="1">
      <alignment horizontal="center" vertical="center"/>
    </xf>
    <xf numFmtId="182" fontId="11" fillId="5" borderId="6" xfId="67" applyNumberFormat="1" applyFont="1" applyFill="1" applyBorder="1" applyAlignment="1">
      <alignment horizontal="center" vertical="center"/>
    </xf>
    <xf numFmtId="182" fontId="9" fillId="0" borderId="12" xfId="66" applyNumberFormat="1" applyFont="1" applyFill="1" applyBorder="1" applyAlignment="1">
      <alignment horizontal="center" vertical="center"/>
    </xf>
    <xf numFmtId="182" fontId="9" fillId="0" borderId="0" xfId="66" applyNumberFormat="1" applyFont="1" applyFill="1" applyBorder="1" applyAlignment="1">
      <alignment horizontal="center" vertical="center"/>
    </xf>
    <xf numFmtId="182" fontId="9" fillId="0" borderId="0" xfId="67" applyNumberFormat="1" applyFont="1" applyFill="1" applyBorder="1" applyAlignment="1">
      <alignment horizontal="center" vertical="center"/>
    </xf>
    <xf numFmtId="182" fontId="9" fillId="0" borderId="6" xfId="67" applyNumberFormat="1" applyFont="1" applyFill="1" applyBorder="1" applyAlignment="1">
      <alignment horizontal="center" vertical="center"/>
    </xf>
    <xf numFmtId="0" fontId="16" fillId="5" borderId="5" xfId="0" applyFont="1" applyFill="1" applyBorder="1" applyAlignment="1">
      <alignment wrapText="1"/>
    </xf>
    <xf numFmtId="182" fontId="16" fillId="5" borderId="12" xfId="66" applyNumberFormat="1" applyFont="1" applyFill="1" applyBorder="1" applyAlignment="1">
      <alignment horizontal="center" vertical="center"/>
    </xf>
    <xf numFmtId="182" fontId="16" fillId="7" borderId="0" xfId="66" applyNumberFormat="1" applyFont="1" applyFill="1" applyBorder="1" applyAlignment="1">
      <alignment horizontal="center" vertical="center"/>
    </xf>
    <xf numFmtId="182" fontId="16" fillId="5" borderId="0" xfId="66" applyNumberFormat="1" applyFont="1" applyFill="1" applyBorder="1" applyAlignment="1">
      <alignment horizontal="center" vertical="center"/>
    </xf>
    <xf numFmtId="182" fontId="16" fillId="7" borderId="0" xfId="67" applyNumberFormat="1" applyFont="1" applyFill="1" applyBorder="1" applyAlignment="1">
      <alignment horizontal="center" vertical="center"/>
    </xf>
    <xf numFmtId="182" fontId="16" fillId="5" borderId="0" xfId="67" applyNumberFormat="1" applyFont="1" applyFill="1" applyBorder="1" applyAlignment="1">
      <alignment horizontal="center" vertical="center"/>
    </xf>
    <xf numFmtId="182" fontId="16" fillId="5" borderId="6" xfId="67" applyNumberFormat="1" applyFont="1" applyFill="1" applyBorder="1" applyAlignment="1">
      <alignment horizontal="center" vertical="center"/>
    </xf>
    <xf numFmtId="182" fontId="9" fillId="0" borderId="12" xfId="66" applyNumberFormat="1" applyFont="1" applyFill="1" applyBorder="1" applyAlignment="1">
      <alignment horizontal="center" vertical="center" wrapText="1"/>
    </xf>
    <xf numFmtId="182" fontId="9" fillId="0" borderId="0" xfId="66" applyNumberFormat="1" applyFont="1" applyFill="1" applyBorder="1" applyAlignment="1">
      <alignment horizontal="center" vertical="center" wrapText="1"/>
    </xf>
    <xf numFmtId="182" fontId="9" fillId="0" borderId="0" xfId="67" applyNumberFormat="1" applyFont="1" applyFill="1" applyBorder="1" applyAlignment="1">
      <alignment horizontal="center" vertical="center" wrapText="1"/>
    </xf>
    <xf numFmtId="182" fontId="9" fillId="0" borderId="6" xfId="67" applyNumberFormat="1" applyFont="1" applyFill="1" applyBorder="1" applyAlignment="1">
      <alignment horizontal="center" vertical="center" wrapText="1"/>
    </xf>
    <xf numFmtId="0" fontId="17" fillId="5" borderId="5" xfId="0" applyFont="1" applyFill="1" applyBorder="1" applyAlignment="1">
      <alignment horizontal="left" wrapText="1"/>
    </xf>
    <xf numFmtId="182" fontId="16" fillId="5" borderId="12" xfId="66" applyNumberFormat="1" applyFont="1" applyFill="1" applyBorder="1" applyAlignment="1">
      <alignment horizontal="center" vertical="center" wrapText="1"/>
    </xf>
    <xf numFmtId="182" fontId="16" fillId="5" borderId="0" xfId="66" applyNumberFormat="1" applyFont="1" applyFill="1" applyBorder="1" applyAlignment="1">
      <alignment horizontal="center" vertical="center" wrapText="1"/>
    </xf>
    <xf numFmtId="182" fontId="16" fillId="5" borderId="0" xfId="67" applyNumberFormat="1" applyFont="1" applyFill="1" applyBorder="1" applyAlignment="1">
      <alignment horizontal="center" vertical="center" wrapText="1"/>
    </xf>
    <xf numFmtId="182" fontId="16" fillId="5" borderId="6" xfId="67" applyNumberFormat="1" applyFont="1" applyFill="1" applyBorder="1" applyAlignment="1">
      <alignment horizontal="center" vertical="center" wrapText="1"/>
    </xf>
    <xf numFmtId="0" fontId="11" fillId="5" borderId="7" xfId="0" applyFont="1" applyFill="1" applyBorder="1" applyAlignment="1">
      <alignment wrapText="1"/>
    </xf>
    <xf numFmtId="182" fontId="11" fillId="5" borderId="13" xfId="66" applyNumberFormat="1" applyFont="1" applyFill="1" applyBorder="1" applyAlignment="1">
      <alignment horizontal="center" vertical="center"/>
    </xf>
    <xf numFmtId="182" fontId="11" fillId="7" borderId="8" xfId="66" applyNumberFormat="1" applyFont="1" applyFill="1" applyBorder="1" applyAlignment="1">
      <alignment horizontal="center" vertical="center"/>
    </xf>
    <xf numFmtId="182" fontId="11" fillId="5" borderId="8" xfId="66" applyNumberFormat="1" applyFont="1" applyFill="1" applyBorder="1" applyAlignment="1">
      <alignment horizontal="center" vertical="center"/>
    </xf>
    <xf numFmtId="182" fontId="11" fillId="7" borderId="8" xfId="67" applyNumberFormat="1" applyFont="1" applyFill="1" applyBorder="1" applyAlignment="1">
      <alignment horizontal="center" vertical="center"/>
    </xf>
    <xf numFmtId="182" fontId="11" fillId="5" borderId="8" xfId="67" applyNumberFormat="1" applyFont="1" applyFill="1" applyBorder="1" applyAlignment="1">
      <alignment horizontal="center" vertical="center"/>
    </xf>
    <xf numFmtId="182" fontId="11" fillId="5" borderId="9" xfId="67" applyNumberFormat="1" applyFont="1" applyFill="1" applyBorder="1" applyAlignment="1">
      <alignment horizontal="center" vertical="center"/>
    </xf>
    <xf numFmtId="0" fontId="11" fillId="0" borderId="0" xfId="0" applyFont="1" applyFill="1" applyBorder="1" applyAlignment="1">
      <alignment wrapText="1"/>
    </xf>
    <xf numFmtId="182" fontId="11" fillId="0" borderId="0" xfId="66" applyNumberFormat="1" applyFont="1" applyFill="1" applyBorder="1" applyAlignment="1">
      <alignment horizontal="center" vertical="center"/>
    </xf>
    <xf numFmtId="0" fontId="0" fillId="0" borderId="0" xfId="0" applyFill="1"/>
    <xf numFmtId="0" fontId="9" fillId="0" borderId="0" xfId="0" applyFont="1" applyBorder="1" applyAlignment="1">
      <alignment horizontal="left"/>
    </xf>
    <xf numFmtId="0" fontId="4" fillId="0" borderId="0" xfId="0" applyFont="1" applyAlignment="1">
      <alignment horizontal="left" wrapText="1"/>
    </xf>
    <xf numFmtId="0" fontId="18" fillId="0" borderId="0" xfId="58" applyFont="1" applyAlignment="1">
      <alignment horizontal="center"/>
    </xf>
    <xf numFmtId="0" fontId="19" fillId="0" borderId="0" xfId="58" applyFont="1"/>
    <xf numFmtId="0" fontId="18" fillId="0" borderId="0" xfId="58" applyFont="1" applyFill="1"/>
    <xf numFmtId="0" fontId="19" fillId="0" borderId="0" xfId="58" applyFont="1" applyFill="1"/>
    <xf numFmtId="0" fontId="18" fillId="0" borderId="0" xfId="58" applyFont="1"/>
    <xf numFmtId="0" fontId="20" fillId="0" borderId="0" xfId="54" applyFont="1"/>
    <xf numFmtId="0" fontId="21" fillId="0" borderId="0" xfId="52" applyFont="1" applyAlignment="1"/>
    <xf numFmtId="0" fontId="22" fillId="0" borderId="0" xfId="58" applyFont="1" applyAlignment="1" applyProtection="1">
      <alignment horizontal="left"/>
      <protection locked="0"/>
    </xf>
    <xf numFmtId="0" fontId="3" fillId="9" borderId="1" xfId="58" applyFont="1" applyFill="1" applyBorder="1" applyAlignment="1" applyProtection="1">
      <alignment horizontal="center" vertical="center"/>
      <protection locked="0"/>
    </xf>
    <xf numFmtId="0" fontId="3" fillId="9" borderId="10" xfId="57" applyFont="1" applyFill="1" applyBorder="1" applyAlignment="1">
      <alignment horizontal="center" vertical="center"/>
    </xf>
    <xf numFmtId="0" fontId="3" fillId="9" borderId="2" xfId="57" applyFont="1" applyFill="1" applyBorder="1" applyAlignment="1">
      <alignment horizontal="center" vertical="center"/>
    </xf>
    <xf numFmtId="0" fontId="3" fillId="9" borderId="2" xfId="58" applyFont="1" applyFill="1" applyBorder="1" applyAlignment="1">
      <alignment horizontal="center" vertical="center"/>
    </xf>
    <xf numFmtId="0" fontId="3" fillId="9" borderId="2" xfId="58" applyFont="1" applyFill="1" applyBorder="1" applyAlignment="1">
      <alignment horizontal="center" vertical="center" wrapText="1"/>
    </xf>
    <xf numFmtId="0" fontId="3" fillId="9" borderId="11" xfId="58" applyFont="1" applyFill="1" applyBorder="1" applyAlignment="1">
      <alignment horizontal="center" vertical="center" wrapText="1"/>
    </xf>
    <xf numFmtId="0" fontId="3" fillId="0" borderId="5" xfId="58" applyFont="1" applyBorder="1" applyAlignment="1" applyProtection="1">
      <alignment horizontal="left" vertical="center"/>
      <protection locked="0"/>
    </xf>
    <xf numFmtId="0" fontId="4" fillId="0" borderId="12" xfId="58" applyFont="1" applyBorder="1"/>
    <xf numFmtId="0" fontId="4" fillId="0" borderId="0" xfId="58" applyFont="1" applyBorder="1"/>
    <xf numFmtId="0" fontId="4" fillId="0" borderId="0" xfId="58" applyFont="1" applyBorder="1" applyAlignment="1">
      <alignment vertical="center"/>
    </xf>
    <xf numFmtId="0" fontId="4" fillId="0" borderId="6" xfId="58" applyFont="1" applyBorder="1" applyAlignment="1">
      <alignment vertical="center"/>
    </xf>
    <xf numFmtId="0" fontId="4" fillId="7" borderId="5" xfId="57" applyFont="1" applyFill="1" applyBorder="1" applyAlignment="1" applyProtection="1">
      <alignment horizontal="left" vertical="center"/>
      <protection locked="0"/>
    </xf>
    <xf numFmtId="181" fontId="4" fillId="7" borderId="12" xfId="58" applyNumberFormat="1" applyFont="1" applyFill="1" applyBorder="1" applyAlignment="1">
      <alignment horizontal="center" vertical="center"/>
    </xf>
    <xf numFmtId="181" fontId="4" fillId="7" borderId="0" xfId="58" applyNumberFormat="1" applyFont="1" applyFill="1" applyBorder="1" applyAlignment="1">
      <alignment horizontal="center" vertical="center"/>
    </xf>
    <xf numFmtId="181" fontId="4" fillId="7" borderId="6" xfId="58" applyNumberFormat="1" applyFont="1" applyFill="1" applyBorder="1" applyAlignment="1">
      <alignment horizontal="center" vertical="center"/>
    </xf>
    <xf numFmtId="0" fontId="13" fillId="0" borderId="5" xfId="57" applyFont="1" applyBorder="1" applyAlignment="1">
      <alignment horizontal="left" vertical="center" indent="2"/>
    </xf>
    <xf numFmtId="181" fontId="13" fillId="0" borderId="12" xfId="58" applyNumberFormat="1" applyFont="1" applyFill="1" applyBorder="1" applyAlignment="1">
      <alignment horizontal="center" vertical="center"/>
    </xf>
    <xf numFmtId="181" fontId="13" fillId="0" borderId="0" xfId="58" applyNumberFormat="1" applyFont="1" applyFill="1" applyBorder="1" applyAlignment="1">
      <alignment horizontal="center" vertical="center"/>
    </xf>
    <xf numFmtId="181" fontId="13" fillId="0" borderId="6" xfId="58" applyNumberFormat="1" applyFont="1" applyFill="1" applyBorder="1" applyAlignment="1">
      <alignment horizontal="center" vertical="center"/>
    </xf>
    <xf numFmtId="0" fontId="4" fillId="7" borderId="5" xfId="57" applyFont="1" applyFill="1" applyBorder="1" applyAlignment="1" applyProtection="1">
      <alignment horizontal="left" vertical="center" wrapText="1"/>
      <protection locked="0"/>
    </xf>
    <xf numFmtId="181" fontId="13" fillId="7" borderId="12" xfId="58" applyNumberFormat="1" applyFont="1" applyFill="1" applyBorder="1" applyAlignment="1">
      <alignment horizontal="center" vertical="center"/>
    </xf>
    <xf numFmtId="181" fontId="13" fillId="7" borderId="0" xfId="58" applyNumberFormat="1" applyFont="1" applyFill="1" applyBorder="1" applyAlignment="1">
      <alignment horizontal="center" vertical="center"/>
    </xf>
    <xf numFmtId="181" fontId="13" fillId="7" borderId="6" xfId="58" applyNumberFormat="1" applyFont="1" applyFill="1" applyBorder="1" applyAlignment="1">
      <alignment horizontal="center" vertical="center"/>
    </xf>
    <xf numFmtId="0" fontId="4" fillId="0" borderId="5" xfId="57" applyNumberFormat="1" applyFont="1" applyBorder="1" applyAlignment="1" applyProtection="1">
      <alignment horizontal="left" vertical="center" wrapText="1"/>
      <protection locked="0"/>
    </xf>
    <xf numFmtId="181" fontId="4" fillId="0" borderId="12" xfId="58" applyNumberFormat="1" applyFont="1" applyFill="1" applyBorder="1" applyAlignment="1">
      <alignment horizontal="center" vertical="center"/>
    </xf>
    <xf numFmtId="181" fontId="4" fillId="0" borderId="0" xfId="58" applyNumberFormat="1" applyFont="1" applyFill="1" applyBorder="1" applyAlignment="1">
      <alignment horizontal="center" vertical="center"/>
    </xf>
    <xf numFmtId="181" fontId="4" fillId="0" borderId="6" xfId="58" applyNumberFormat="1" applyFont="1" applyFill="1" applyBorder="1" applyAlignment="1">
      <alignment horizontal="center" vertical="center"/>
    </xf>
    <xf numFmtId="0" fontId="4" fillId="7" borderId="5" xfId="57" applyNumberFormat="1" applyFont="1" applyFill="1" applyBorder="1" applyAlignment="1" applyProtection="1">
      <alignment horizontal="left" vertical="center" wrapText="1"/>
      <protection locked="0"/>
    </xf>
    <xf numFmtId="0" fontId="4" fillId="0" borderId="12" xfId="58" applyFont="1" applyBorder="1" applyAlignment="1">
      <alignment vertical="center"/>
    </xf>
    <xf numFmtId="0" fontId="4" fillId="0" borderId="0" xfId="58" applyFont="1" applyBorder="1" applyAlignment="1">
      <alignment horizontal="center" vertical="center"/>
    </xf>
    <xf numFmtId="0" fontId="4" fillId="0" borderId="6" xfId="58" applyFont="1" applyBorder="1" applyAlignment="1">
      <alignment horizontal="center" vertical="center"/>
    </xf>
    <xf numFmtId="181" fontId="4" fillId="7" borderId="12" xfId="60" applyNumberFormat="1" applyFont="1" applyFill="1" applyBorder="1" applyAlignment="1" applyProtection="1">
      <alignment horizontal="center" vertical="center"/>
      <protection locked="0"/>
    </xf>
    <xf numFmtId="181" fontId="4" fillId="7" borderId="0" xfId="60" applyNumberFormat="1" applyFont="1" applyFill="1" applyBorder="1" applyAlignment="1" applyProtection="1">
      <alignment horizontal="center" vertical="center"/>
      <protection locked="0"/>
    </xf>
    <xf numFmtId="181" fontId="4" fillId="7" borderId="0" xfId="61" applyNumberFormat="1" applyFont="1" applyFill="1" applyBorder="1" applyAlignment="1" applyProtection="1">
      <alignment horizontal="center" vertical="center"/>
      <protection locked="0"/>
    </xf>
    <xf numFmtId="181" fontId="4" fillId="0" borderId="0" xfId="61" applyNumberFormat="1" applyFont="1" applyBorder="1" applyAlignment="1" applyProtection="1">
      <alignment horizontal="center" vertical="center"/>
      <protection locked="0"/>
    </xf>
    <xf numFmtId="181" fontId="4" fillId="0" borderId="6" xfId="61" applyNumberFormat="1" applyFont="1" applyBorder="1" applyAlignment="1" applyProtection="1">
      <alignment horizontal="center" vertical="center"/>
      <protection locked="0"/>
    </xf>
    <xf numFmtId="0" fontId="4" fillId="0" borderId="5" xfId="57" applyFont="1" applyFill="1" applyBorder="1" applyAlignment="1" applyProtection="1">
      <alignment horizontal="left" vertical="center" wrapText="1"/>
      <protection locked="0"/>
    </xf>
    <xf numFmtId="181" fontId="4" fillId="0" borderId="12" xfId="60" applyNumberFormat="1" applyFont="1" applyFill="1" applyBorder="1" applyAlignment="1" applyProtection="1">
      <alignment horizontal="center" vertical="center"/>
      <protection locked="0"/>
    </xf>
    <xf numFmtId="181" fontId="4" fillId="0" borderId="0" xfId="60" applyNumberFormat="1" applyFont="1" applyFill="1" applyBorder="1" applyAlignment="1" applyProtection="1">
      <alignment horizontal="center" vertical="center"/>
      <protection locked="0"/>
    </xf>
    <xf numFmtId="181" fontId="4" fillId="0" borderId="0" xfId="61" applyNumberFormat="1" applyFont="1" applyFill="1" applyBorder="1" applyAlignment="1" applyProtection="1">
      <alignment horizontal="center" vertical="center"/>
      <protection locked="0"/>
    </xf>
    <xf numFmtId="0" fontId="4" fillId="0" borderId="5" xfId="57" applyNumberFormat="1" applyFont="1" applyFill="1" applyBorder="1" applyAlignment="1" applyProtection="1">
      <alignment horizontal="left" vertical="center" wrapText="1"/>
      <protection locked="0"/>
    </xf>
    <xf numFmtId="0" fontId="4" fillId="0" borderId="5" xfId="58" applyFont="1" applyBorder="1"/>
    <xf numFmtId="0" fontId="3" fillId="5" borderId="5" xfId="58" applyFont="1" applyFill="1" applyBorder="1" applyAlignment="1" applyProtection="1">
      <alignment horizontal="left"/>
      <protection locked="0"/>
    </xf>
    <xf numFmtId="0" fontId="4" fillId="5" borderId="12" xfId="58" applyFont="1" applyFill="1" applyBorder="1" applyAlignment="1">
      <alignment vertical="center"/>
    </xf>
    <xf numFmtId="0" fontId="4" fillId="5" borderId="0" xfId="58" applyFont="1" applyFill="1" applyBorder="1" applyAlignment="1">
      <alignment vertical="center"/>
    </xf>
    <xf numFmtId="0" fontId="4" fillId="5" borderId="0" xfId="58" applyFont="1" applyFill="1" applyBorder="1" applyAlignment="1">
      <alignment horizontal="center" vertical="center"/>
    </xf>
    <xf numFmtId="0" fontId="4" fillId="5" borderId="6" xfId="58" applyFont="1" applyFill="1" applyBorder="1" applyAlignment="1">
      <alignment horizontal="center" vertical="center"/>
    </xf>
    <xf numFmtId="181" fontId="4" fillId="0" borderId="0" xfId="58" applyNumberFormat="1" applyFont="1" applyFill="1" applyBorder="1" applyAlignment="1">
      <alignment horizontal="center"/>
    </xf>
    <xf numFmtId="181" fontId="4" fillId="0" borderId="6" xfId="58" applyNumberFormat="1" applyFont="1" applyFill="1" applyBorder="1" applyAlignment="1">
      <alignment horizontal="center"/>
    </xf>
    <xf numFmtId="0" fontId="4" fillId="0" borderId="5" xfId="58" applyNumberFormat="1" applyFont="1" applyBorder="1" applyAlignment="1" applyProtection="1">
      <alignment horizontal="left" wrapText="1"/>
      <protection locked="0"/>
    </xf>
    <xf numFmtId="181" fontId="4" fillId="0" borderId="12" xfId="58" applyNumberFormat="1" applyFont="1" applyBorder="1" applyAlignment="1">
      <alignment horizontal="center" vertical="center"/>
    </xf>
    <xf numFmtId="181" fontId="4" fillId="0" borderId="0" xfId="58" applyNumberFormat="1" applyFont="1" applyBorder="1" applyAlignment="1">
      <alignment horizontal="center" vertical="center"/>
    </xf>
    <xf numFmtId="181" fontId="4" fillId="0" borderId="0" xfId="58" applyNumberFormat="1" applyFont="1" applyBorder="1" applyAlignment="1">
      <alignment horizontal="center"/>
    </xf>
    <xf numFmtId="0" fontId="4" fillId="0" borderId="7" xfId="58" applyNumberFormat="1" applyFont="1" applyFill="1" applyBorder="1" applyAlignment="1" applyProtection="1">
      <alignment horizontal="left" wrapText="1"/>
      <protection locked="0"/>
    </xf>
    <xf numFmtId="181" fontId="4" fillId="0" borderId="13" xfId="58" applyNumberFormat="1" applyFont="1" applyFill="1" applyBorder="1" applyAlignment="1">
      <alignment horizontal="center" vertical="center"/>
    </xf>
    <xf numFmtId="181" fontId="4" fillId="0" borderId="8" xfId="58" applyNumberFormat="1" applyFont="1" applyFill="1" applyBorder="1" applyAlignment="1">
      <alignment horizontal="center" vertical="center"/>
    </xf>
    <xf numFmtId="181" fontId="4" fillId="0" borderId="8" xfId="58" applyNumberFormat="1" applyFont="1" applyFill="1" applyBorder="1" applyAlignment="1">
      <alignment horizontal="center"/>
    </xf>
    <xf numFmtId="181" fontId="4" fillId="0" borderId="9" xfId="58" applyNumberFormat="1" applyFont="1" applyFill="1" applyBorder="1" applyAlignment="1">
      <alignment horizontal="center"/>
    </xf>
    <xf numFmtId="0" fontId="4" fillId="0" borderId="0" xfId="58" applyNumberFormat="1" applyFont="1" applyFill="1" applyBorder="1" applyAlignment="1" applyProtection="1">
      <alignment horizontal="left" wrapText="1"/>
      <protection locked="0"/>
    </xf>
    <xf numFmtId="0" fontId="4" fillId="0" borderId="0" xfId="58" applyFont="1"/>
    <xf numFmtId="0" fontId="3" fillId="9" borderId="0" xfId="58" applyFont="1" applyFill="1" applyBorder="1" applyAlignment="1">
      <alignment horizontal="center" vertical="center" wrapText="1"/>
    </xf>
    <xf numFmtId="0" fontId="23" fillId="0" borderId="0" xfId="54" applyFont="1"/>
    <xf numFmtId="0" fontId="4" fillId="0" borderId="0" xfId="58" applyFont="1" applyFill="1" applyAlignment="1">
      <alignment horizontal="left"/>
    </xf>
    <xf numFmtId="0" fontId="4" fillId="0" borderId="0" xfId="58" applyFont="1" applyAlignment="1">
      <alignment horizontal="left"/>
    </xf>
    <xf numFmtId="0" fontId="18" fillId="0" borderId="0" xfId="58" applyFont="1" applyAlignment="1">
      <alignment wrapText="1"/>
    </xf>
    <xf numFmtId="0" fontId="4" fillId="0" borderId="0" xfId="58" applyFont="1" applyAlignment="1">
      <alignment wrapText="1"/>
    </xf>
    <xf numFmtId="181" fontId="18" fillId="0" borderId="0" xfId="58" applyNumberFormat="1" applyFont="1"/>
    <xf numFmtId="181" fontId="4" fillId="0" borderId="0" xfId="58" applyNumberFormat="1" applyFont="1"/>
    <xf numFmtId="183" fontId="18" fillId="0" borderId="0" xfId="58" applyNumberFormat="1" applyFont="1"/>
    <xf numFmtId="0" fontId="24" fillId="0" borderId="0" xfId="0" applyFont="1" applyFill="1"/>
    <xf numFmtId="0" fontId="18" fillId="0" borderId="0" xfId="0" applyFont="1"/>
    <xf numFmtId="0" fontId="24" fillId="0" borderId="0" xfId="0" applyFont="1" applyAlignment="1">
      <alignment horizontal="center"/>
    </xf>
    <xf numFmtId="0" fontId="24" fillId="0" borderId="0" xfId="0" applyFont="1"/>
    <xf numFmtId="0" fontId="21" fillId="0" borderId="0" xfId="0" applyFont="1" applyAlignment="1">
      <alignment horizontal="left" vertical="top"/>
    </xf>
    <xf numFmtId="0" fontId="3" fillId="0" borderId="0" xfId="0" applyFont="1" applyFill="1" applyBorder="1" applyAlignment="1">
      <alignment horizontal="left" wrapText="1"/>
    </xf>
    <xf numFmtId="0" fontId="3" fillId="0" borderId="1" xfId="0" applyFont="1" applyFill="1" applyBorder="1" applyAlignment="1">
      <alignment horizontal="center" vertical="center"/>
    </xf>
    <xf numFmtId="58" fontId="3" fillId="0" borderId="2" xfId="0" applyNumberFormat="1" applyFont="1" applyFill="1" applyBorder="1" applyAlignment="1">
      <alignment horizontal="center" vertical="center" wrapText="1"/>
    </xf>
    <xf numFmtId="58" fontId="3" fillId="0" borderId="11" xfId="0" applyNumberFormat="1" applyFont="1" applyFill="1" applyBorder="1" applyAlignment="1">
      <alignment horizontal="center" vertical="center" wrapText="1"/>
    </xf>
    <xf numFmtId="0" fontId="3" fillId="5" borderId="5" xfId="0" applyFont="1" applyFill="1" applyBorder="1" applyAlignment="1">
      <alignment vertical="center"/>
    </xf>
    <xf numFmtId="0" fontId="3" fillId="5" borderId="5" xfId="0" applyFont="1" applyFill="1" applyBorder="1" applyAlignment="1">
      <alignment horizontal="center" vertical="center" wrapText="1"/>
    </xf>
    <xf numFmtId="0" fontId="17" fillId="7" borderId="5" xfId="0" applyFont="1" applyFill="1" applyBorder="1" applyAlignment="1">
      <alignment vertical="center"/>
    </xf>
    <xf numFmtId="0" fontId="17" fillId="7" borderId="5" xfId="0" applyFont="1" applyFill="1" applyBorder="1" applyAlignment="1">
      <alignment horizontal="center" vertical="center"/>
    </xf>
    <xf numFmtId="0" fontId="17" fillId="7" borderId="0" xfId="0" applyFont="1" applyFill="1" applyBorder="1" applyAlignment="1">
      <alignment vertical="center"/>
    </xf>
    <xf numFmtId="0" fontId="17" fillId="7" borderId="6" xfId="0" applyFont="1" applyFill="1" applyBorder="1" applyAlignment="1">
      <alignment vertical="center"/>
    </xf>
    <xf numFmtId="0" fontId="4" fillId="0" borderId="5" xfId="0" applyFont="1" applyFill="1" applyBorder="1" applyAlignment="1">
      <alignment horizontal="left" indent="4"/>
    </xf>
    <xf numFmtId="0" fontId="4" fillId="0" borderId="5" xfId="0" applyFont="1" applyFill="1" applyBorder="1" applyAlignment="1">
      <alignment horizontal="center"/>
    </xf>
    <xf numFmtId="0" fontId="4" fillId="0" borderId="5" xfId="0" applyFont="1" applyFill="1" applyBorder="1" applyAlignment="1">
      <alignment horizontal="left" indent="6"/>
    </xf>
    <xf numFmtId="0" fontId="13" fillId="2" borderId="5" xfId="0" applyFont="1" applyFill="1" applyBorder="1" applyAlignment="1">
      <alignment horizontal="left" wrapText="1" indent="4"/>
    </xf>
    <xf numFmtId="0" fontId="13" fillId="2" borderId="5" xfId="0" applyFont="1" applyFill="1" applyBorder="1" applyAlignment="1">
      <alignment horizontal="center"/>
    </xf>
    <xf numFmtId="181" fontId="13" fillId="2" borderId="0" xfId="0" applyNumberFormat="1" applyFont="1" applyFill="1" applyBorder="1" applyAlignment="1">
      <alignment horizontal="center" vertical="center"/>
    </xf>
    <xf numFmtId="181" fontId="13" fillId="2" borderId="6" xfId="0" applyNumberFormat="1" applyFont="1" applyFill="1" applyBorder="1" applyAlignment="1">
      <alignment horizontal="center" vertical="center"/>
    </xf>
    <xf numFmtId="0" fontId="4" fillId="0" borderId="5" xfId="0" applyFont="1" applyFill="1" applyBorder="1" applyAlignment="1">
      <alignment horizontal="left" wrapText="1" indent="4"/>
    </xf>
    <xf numFmtId="0" fontId="4" fillId="0" borderId="5" xfId="0" applyFont="1" applyFill="1" applyBorder="1" applyAlignment="1">
      <alignment horizontal="center" wrapText="1"/>
    </xf>
    <xf numFmtId="0" fontId="13" fillId="2" borderId="5" xfId="0" applyFont="1" applyFill="1" applyBorder="1" applyAlignment="1">
      <alignment horizontal="left" indent="4"/>
    </xf>
    <xf numFmtId="0" fontId="13" fillId="2" borderId="5" xfId="0" applyFont="1" applyFill="1" applyBorder="1" applyAlignment="1">
      <alignment horizontal="center" wrapText="1"/>
    </xf>
    <xf numFmtId="0" fontId="4" fillId="0" borderId="5" xfId="0" applyFont="1" applyFill="1" applyBorder="1" applyAlignment="1">
      <alignment horizontal="left" wrapText="1" indent="6"/>
    </xf>
    <xf numFmtId="0" fontId="4" fillId="0" borderId="12" xfId="0" applyFont="1" applyFill="1" applyBorder="1" applyAlignment="1">
      <alignment horizontal="left" wrapText="1" indent="6"/>
    </xf>
    <xf numFmtId="0" fontId="13" fillId="2" borderId="7" xfId="0" applyFont="1" applyFill="1" applyBorder="1" applyAlignment="1">
      <alignment horizontal="left" indent="4"/>
    </xf>
    <xf numFmtId="0" fontId="13" fillId="2" borderId="7" xfId="0" applyFont="1" applyFill="1" applyBorder="1" applyAlignment="1">
      <alignment horizontal="center" wrapText="1"/>
    </xf>
    <xf numFmtId="181" fontId="13" fillId="2" borderId="8" xfId="0" applyNumberFormat="1" applyFont="1" applyFill="1" applyBorder="1" applyAlignment="1">
      <alignment horizontal="center" vertical="center" wrapText="1"/>
    </xf>
    <xf numFmtId="181" fontId="13" fillId="2" borderId="9" xfId="0" applyNumberFormat="1" applyFont="1" applyFill="1" applyBorder="1" applyAlignment="1">
      <alignment horizontal="center" vertical="center" wrapText="1"/>
    </xf>
    <xf numFmtId="0" fontId="13" fillId="0" borderId="0" xfId="0" applyFont="1" applyFill="1" applyBorder="1" applyAlignment="1">
      <alignment horizontal="left" indent="4"/>
    </xf>
    <xf numFmtId="0" fontId="13" fillId="0" borderId="0" xfId="0" applyFont="1" applyFill="1" applyBorder="1" applyAlignment="1">
      <alignment horizontal="center" wrapText="1"/>
    </xf>
    <xf numFmtId="181" fontId="13" fillId="0" borderId="0" xfId="0" applyNumberFormat="1" applyFont="1" applyFill="1" applyBorder="1" applyAlignment="1">
      <alignment horizontal="center" vertical="center" wrapText="1"/>
    </xf>
    <xf numFmtId="0" fontId="24" fillId="0" borderId="0" xfId="0" applyFont="1" applyBorder="1" applyAlignment="1">
      <alignment horizontal="center"/>
    </xf>
    <xf numFmtId="0" fontId="4" fillId="0" borderId="0" xfId="0" applyFont="1" applyFill="1" applyBorder="1" applyAlignment="1">
      <alignment horizontal="left" vertical="center"/>
    </xf>
    <xf numFmtId="181" fontId="18" fillId="0" borderId="0" xfId="0" applyNumberFormat="1" applyFont="1"/>
    <xf numFmtId="0" fontId="8" fillId="0" borderId="0" xfId="0" applyFont="1" applyFill="1" applyAlignment="1">
      <alignment vertical="center"/>
    </xf>
    <xf numFmtId="0" fontId="25" fillId="0" borderId="0" xfId="0" applyFont="1" applyFill="1"/>
    <xf numFmtId="0" fontId="9" fillId="0" borderId="0" xfId="0" applyFont="1" applyFill="1"/>
    <xf numFmtId="0" fontId="9" fillId="0" borderId="0" xfId="0" applyFont="1" applyFill="1" applyAlignment="1">
      <alignment horizontal="center" wrapText="1"/>
    </xf>
    <xf numFmtId="0" fontId="9" fillId="0" borderId="0" xfId="0" applyFont="1" applyFill="1" applyAlignment="1">
      <alignment horizontal="center"/>
    </xf>
    <xf numFmtId="0" fontId="10" fillId="0" borderId="0" xfId="0" applyFont="1" applyFill="1" applyAlignment="1"/>
    <xf numFmtId="181" fontId="9" fillId="0" borderId="0" xfId="0" applyNumberFormat="1" applyFont="1" applyAlignment="1">
      <alignment horizontal="center"/>
    </xf>
    <xf numFmtId="0" fontId="9" fillId="0" borderId="1" xfId="0" applyFont="1" applyBorder="1" applyAlignment="1"/>
    <xf numFmtId="183" fontId="4" fillId="0" borderId="11" xfId="0" applyNumberFormat="1" applyFont="1" applyFill="1" applyBorder="1" applyAlignment="1">
      <alignment horizontal="center" vertical="center" wrapText="1"/>
    </xf>
    <xf numFmtId="0" fontId="11" fillId="5" borderId="5" xfId="0" applyFont="1" applyFill="1" applyBorder="1" applyAlignment="1">
      <alignment vertical="center"/>
    </xf>
    <xf numFmtId="0" fontId="9" fillId="5" borderId="6" xfId="0" applyFont="1" applyFill="1" applyBorder="1" applyAlignment="1">
      <alignment horizontal="center" vertical="center" wrapText="1"/>
    </xf>
    <xf numFmtId="0" fontId="12" fillId="0" borderId="5" xfId="0" applyFont="1" applyFill="1" applyBorder="1"/>
    <xf numFmtId="0" fontId="9" fillId="0" borderId="6" xfId="0" applyFont="1" applyFill="1" applyBorder="1" applyAlignment="1">
      <alignment horizontal="center" vertical="center" wrapText="1"/>
    </xf>
    <xf numFmtId="0" fontId="9" fillId="7" borderId="6" xfId="0" applyFont="1" applyFill="1" applyBorder="1" applyAlignment="1">
      <alignment horizontal="center" vertical="center" wrapText="1"/>
    </xf>
    <xf numFmtId="0" fontId="12" fillId="2" borderId="6" xfId="0" applyFont="1" applyFill="1" applyBorder="1" applyAlignment="1">
      <alignment horizontal="center" vertical="center" wrapText="1"/>
    </xf>
    <xf numFmtId="181" fontId="13" fillId="10" borderId="0" xfId="0" applyNumberFormat="1" applyFont="1" applyFill="1" applyBorder="1" applyAlignment="1">
      <alignment horizontal="center" vertical="center" wrapText="1"/>
    </xf>
    <xf numFmtId="181" fontId="13" fillId="10" borderId="6" xfId="0" applyNumberFormat="1" applyFont="1" applyFill="1" applyBorder="1" applyAlignment="1">
      <alignment horizontal="center" vertical="center" wrapText="1"/>
    </xf>
    <xf numFmtId="0" fontId="9" fillId="0" borderId="6" xfId="0" applyFont="1" applyBorder="1" applyAlignment="1">
      <alignment horizontal="center" vertical="center" wrapText="1"/>
    </xf>
    <xf numFmtId="0" fontId="9" fillId="2" borderId="6" xfId="0" applyFont="1" applyFill="1" applyBorder="1" applyAlignment="1">
      <alignment horizontal="center" vertical="center" wrapText="1"/>
    </xf>
    <xf numFmtId="0" fontId="3" fillId="0" borderId="5" xfId="0" applyFont="1" applyFill="1" applyBorder="1" applyAlignment="1">
      <alignment horizontal="left"/>
    </xf>
    <xf numFmtId="0" fontId="13" fillId="0" borderId="5" xfId="0" applyFont="1" applyFill="1" applyBorder="1" applyAlignment="1">
      <alignment horizontal="left" indent="2"/>
    </xf>
    <xf numFmtId="0" fontId="3" fillId="0" borderId="5" xfId="0" applyFont="1" applyFill="1" applyBorder="1" applyAlignment="1">
      <alignment horizontal="left" wrapText="1"/>
    </xf>
    <xf numFmtId="0" fontId="9" fillId="8" borderId="6" xfId="0" applyFont="1" applyFill="1" applyBorder="1" applyAlignment="1">
      <alignment horizontal="center" vertical="center" wrapText="1"/>
    </xf>
    <xf numFmtId="0" fontId="9" fillId="8" borderId="12" xfId="0" applyFont="1" applyFill="1" applyBorder="1" applyAlignment="1">
      <alignment horizontal="center" vertical="center"/>
    </xf>
    <xf numFmtId="0" fontId="9" fillId="8" borderId="0" xfId="0" applyFont="1" applyFill="1" applyBorder="1" applyAlignment="1">
      <alignment horizontal="center" vertical="center"/>
    </xf>
    <xf numFmtId="0" fontId="9" fillId="11" borderId="0" xfId="0" applyFont="1" applyFill="1" applyBorder="1" applyAlignment="1">
      <alignment horizontal="center" vertical="center"/>
    </xf>
    <xf numFmtId="0" fontId="26" fillId="11" borderId="0" xfId="0" applyFont="1" applyFill="1" applyBorder="1" applyAlignment="1">
      <alignment horizontal="center" vertical="center"/>
    </xf>
    <xf numFmtId="0" fontId="26" fillId="11" borderId="6" xfId="0" applyFont="1" applyFill="1" applyBorder="1" applyAlignment="1">
      <alignment horizontal="center" vertical="center"/>
    </xf>
    <xf numFmtId="0" fontId="11" fillId="7" borderId="5" xfId="0" applyFont="1" applyFill="1" applyBorder="1" applyAlignment="1">
      <alignment horizontal="center" vertical="center" wrapText="1"/>
    </xf>
    <xf numFmtId="181" fontId="3" fillId="7" borderId="0" xfId="0" applyNumberFormat="1" applyFont="1" applyFill="1" applyBorder="1" applyAlignment="1">
      <alignment horizontal="center" vertical="center"/>
    </xf>
    <xf numFmtId="181" fontId="3" fillId="7" borderId="6" xfId="0" applyNumberFormat="1" applyFont="1" applyFill="1" applyBorder="1" applyAlignment="1">
      <alignment horizontal="center" vertical="center"/>
    </xf>
    <xf numFmtId="181" fontId="3" fillId="7" borderId="12" xfId="0" applyNumberFormat="1" applyFont="1" applyFill="1" applyBorder="1" applyAlignment="1">
      <alignment horizontal="center" vertical="center"/>
    </xf>
    <xf numFmtId="0" fontId="9" fillId="7" borderId="5" xfId="0" applyFont="1" applyFill="1" applyBorder="1"/>
    <xf numFmtId="0" fontId="9" fillId="7" borderId="5" xfId="0" applyFont="1" applyFill="1" applyBorder="1" applyAlignment="1">
      <alignment horizontal="center" vertical="center" wrapText="1"/>
    </xf>
    <xf numFmtId="181" fontId="4" fillId="7" borderId="12" xfId="0" applyNumberFormat="1" applyFont="1" applyFill="1" applyBorder="1" applyAlignment="1">
      <alignment horizontal="center" vertical="center"/>
    </xf>
    <xf numFmtId="181" fontId="4" fillId="7" borderId="0" xfId="0" applyNumberFormat="1" applyFont="1" applyFill="1" applyBorder="1" applyAlignment="1">
      <alignment horizontal="center" vertical="center"/>
    </xf>
    <xf numFmtId="181" fontId="4" fillId="7" borderId="6" xfId="0" applyNumberFormat="1" applyFont="1" applyFill="1" applyBorder="1" applyAlignment="1">
      <alignment horizontal="center" vertical="center"/>
    </xf>
    <xf numFmtId="0" fontId="9" fillId="7" borderId="7" xfId="0" applyFont="1" applyFill="1" applyBorder="1" applyAlignment="1">
      <alignment wrapText="1"/>
    </xf>
    <xf numFmtId="0" fontId="9" fillId="7" borderId="7" xfId="0" applyFont="1" applyFill="1" applyBorder="1" applyAlignment="1">
      <alignment horizontal="center" vertical="center" wrapText="1"/>
    </xf>
    <xf numFmtId="181" fontId="4" fillId="7" borderId="13" xfId="0" applyNumberFormat="1" applyFont="1" applyFill="1" applyBorder="1" applyAlignment="1">
      <alignment horizontal="center" vertical="center"/>
    </xf>
    <xf numFmtId="181" fontId="4" fillId="7" borderId="8" xfId="0" applyNumberFormat="1" applyFont="1" applyFill="1" applyBorder="1" applyAlignment="1">
      <alignment horizontal="center" vertical="center"/>
    </xf>
    <xf numFmtId="181" fontId="4" fillId="7" borderId="9" xfId="0" applyNumberFormat="1" applyFont="1" applyFill="1" applyBorder="1" applyAlignment="1">
      <alignment horizontal="center" vertical="center"/>
    </xf>
    <xf numFmtId="0" fontId="9" fillId="0" borderId="0" xfId="0" applyFont="1" applyFill="1" applyBorder="1"/>
    <xf numFmtId="0" fontId="9" fillId="0" borderId="0" xfId="0" applyFont="1" applyFill="1" applyBorder="1" applyAlignment="1">
      <alignment horizontal="center" vertical="center" wrapText="1"/>
    </xf>
    <xf numFmtId="181" fontId="4" fillId="0" borderId="0" xfId="0" applyNumberFormat="1" applyFont="1" applyFill="1" applyBorder="1" applyAlignment="1">
      <alignment horizontal="center" vertical="center"/>
    </xf>
    <xf numFmtId="0" fontId="7" fillId="0" borderId="0" xfId="0" applyFont="1" applyFill="1" applyAlignment="1">
      <alignment horizontal="left"/>
    </xf>
    <xf numFmtId="181" fontId="8" fillId="0" borderId="0" xfId="0" applyNumberFormat="1" applyFont="1"/>
    <xf numFmtId="0" fontId="9" fillId="0" borderId="0" xfId="0" applyFont="1" applyFill="1" applyAlignment="1">
      <alignment horizontal="left"/>
    </xf>
    <xf numFmtId="0" fontId="4" fillId="0" borderId="0" xfId="0" applyFont="1" applyFill="1" applyBorder="1" applyAlignment="1">
      <alignment horizontal="center"/>
    </xf>
    <xf numFmtId="0" fontId="4" fillId="0" borderId="0" xfId="0" applyFont="1" applyAlignment="1">
      <alignment horizontal="center"/>
    </xf>
    <xf numFmtId="0" fontId="4" fillId="0" borderId="0" xfId="0" applyFont="1"/>
    <xf numFmtId="0" fontId="5" fillId="0" borderId="0" xfId="0" applyFont="1" applyFill="1" applyAlignment="1">
      <alignment horizontal="center" vertical="center" wrapText="1"/>
    </xf>
    <xf numFmtId="0" fontId="2" fillId="0" borderId="0" xfId="0" applyFont="1" applyFill="1" applyBorder="1" applyAlignment="1">
      <alignment horizontal="left"/>
    </xf>
    <xf numFmtId="0" fontId="3" fillId="0" borderId="0" xfId="62" applyFont="1" applyFill="1" applyBorder="1"/>
    <xf numFmtId="0" fontId="27" fillId="12" borderId="16" xfId="17" applyFont="1"/>
    <xf numFmtId="0" fontId="28" fillId="0" borderId="0" xfId="0" applyFont="1"/>
    <xf numFmtId="0" fontId="4" fillId="0" borderId="0" xfId="0" applyFont="1" applyFill="1"/>
    <xf numFmtId="0" fontId="29" fillId="0" borderId="0" xfId="55" applyFont="1"/>
    <xf numFmtId="0" fontId="30" fillId="0" borderId="0" xfId="55" applyFont="1"/>
    <xf numFmtId="0" fontId="31" fillId="0" borderId="1" xfId="55" applyFont="1" applyBorder="1" applyAlignment="1">
      <alignment horizontal="left" vertical="center"/>
    </xf>
    <xf numFmtId="0" fontId="29" fillId="0" borderId="1" xfId="55" applyFont="1" applyBorder="1" applyAlignment="1">
      <alignment horizontal="left" vertical="center"/>
    </xf>
    <xf numFmtId="0" fontId="1" fillId="0" borderId="1" xfId="55" applyFont="1" applyBorder="1" applyAlignment="1">
      <alignment horizontal="left" vertical="center"/>
    </xf>
    <xf numFmtId="0" fontId="32" fillId="0" borderId="1" xfId="6" applyFont="1" applyBorder="1" applyAlignment="1" applyProtection="1">
      <alignment horizontal="left" vertical="center" wrapText="1"/>
    </xf>
    <xf numFmtId="0" fontId="29" fillId="0" borderId="1" xfId="55" applyFont="1" applyBorder="1" applyAlignment="1">
      <alignment horizontal="left" vertical="center" wrapText="1"/>
    </xf>
    <xf numFmtId="0" fontId="29" fillId="0" borderId="0" xfId="55" applyFont="1" applyAlignment="1">
      <alignment vertical="center"/>
    </xf>
    <xf numFmtId="0" fontId="31" fillId="0" borderId="1" xfId="55" applyFont="1" applyBorder="1" applyAlignment="1">
      <alignment horizontal="left" vertical="center" wrapText="1"/>
    </xf>
    <xf numFmtId="0" fontId="1" fillId="0" borderId="1" xfId="55" applyFont="1" applyBorder="1" applyAlignment="1">
      <alignment horizontal="left" vertical="center" wrapText="1"/>
    </xf>
    <xf numFmtId="0" fontId="32" fillId="0" borderId="1" xfId="6" applyFont="1" applyBorder="1" applyAlignment="1" applyProtection="1">
      <alignment horizontal="left" vertical="center"/>
    </xf>
    <xf numFmtId="58" fontId="29" fillId="0" borderId="1" xfId="0" applyNumberFormat="1" applyFont="1" applyBorder="1" applyAlignment="1">
      <alignment horizontal="left" vertical="center"/>
    </xf>
    <xf numFmtId="0" fontId="1" fillId="0" borderId="0" xfId="55" applyFont="1" applyAlignment="1">
      <alignment vertical="center"/>
    </xf>
    <xf numFmtId="0" fontId="2" fillId="0" borderId="0" xfId="55" applyFont="1" applyAlignment="1">
      <alignment vertical="center"/>
    </xf>
    <xf numFmtId="49" fontId="29" fillId="0" borderId="1" xfId="55" applyNumberFormat="1" applyFont="1" applyBorder="1" applyAlignment="1">
      <alignment horizontal="left" vertical="center"/>
    </xf>
    <xf numFmtId="0" fontId="2" fillId="0" borderId="1" xfId="55" applyFont="1" applyBorder="1" applyAlignment="1">
      <alignment horizontal="left" vertical="center"/>
    </xf>
    <xf numFmtId="0" fontId="1" fillId="0" borderId="1" xfId="55" applyFont="1" applyBorder="1" applyAlignment="1">
      <alignment horizontal="left" vertical="top" wrapText="1"/>
    </xf>
    <xf numFmtId="0" fontId="1" fillId="0" borderId="0" xfId="55" applyFont="1" applyAlignment="1">
      <alignment horizontal="center" vertical="center"/>
    </xf>
    <xf numFmtId="0" fontId="32" fillId="0" borderId="0" xfId="6" applyFont="1" applyBorder="1" applyAlignment="1" applyProtection="1">
      <alignment horizontal="left" vertical="center"/>
    </xf>
    <xf numFmtId="0" fontId="33" fillId="0" borderId="0" xfId="0" applyFont="1"/>
    <xf numFmtId="0" fontId="0" fillId="13" borderId="0" xfId="0" applyFill="1"/>
    <xf numFmtId="58" fontId="0" fillId="0" borderId="0" xfId="0" applyNumberFormat="1"/>
    <xf numFmtId="41" fontId="0" fillId="0" borderId="0" xfId="0" applyNumberFormat="1"/>
    <xf numFmtId="0" fontId="0" fillId="0" borderId="0" xfId="0" applyFont="1" applyFill="1" applyAlignment="1"/>
    <xf numFmtId="184" fontId="0" fillId="0" borderId="0" xfId="0" applyNumberFormat="1"/>
    <xf numFmtId="58" fontId="0" fillId="0" borderId="0" xfId="0" applyNumberFormat="1" applyFont="1" applyFill="1" applyAlignment="1"/>
    <xf numFmtId="49" fontId="3" fillId="0" borderId="10" xfId="0" applyNumberFormat="1" applyFont="1" applyFill="1" applyBorder="1" applyAlignment="1" quotePrefix="1">
      <alignment horizontal="center" vertical="center" wrapText="1"/>
    </xf>
    <xf numFmtId="49" fontId="3" fillId="0" borderId="2" xfId="0" applyNumberFormat="1" applyFont="1" applyFill="1" applyBorder="1" applyAlignment="1" quotePrefix="1">
      <alignment horizontal="center" vertical="center" wrapText="1"/>
    </xf>
    <xf numFmtId="49" fontId="3" fillId="0" borderId="11" xfId="0" applyNumberFormat="1" applyFont="1" applyFill="1" applyBorder="1" applyAlignment="1" quotePrefix="1">
      <alignment horizontal="center" vertical="center" wrapText="1"/>
    </xf>
    <xf numFmtId="0" fontId="3" fillId="0" borderId="1" xfId="0" applyFont="1" applyFill="1" applyBorder="1" applyAlignment="1" quotePrefix="1">
      <alignment horizontal="center" vertical="center"/>
    </xf>
    <xf numFmtId="0" fontId="3" fillId="9" borderId="1" xfId="58" applyFont="1" applyFill="1" applyBorder="1" applyAlignment="1" applyProtection="1" quotePrefix="1">
      <alignment horizontal="center" vertical="center"/>
      <protection locked="0"/>
    </xf>
  </cellXfs>
  <cellStyles count="68">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Style 1" xfId="50"/>
    <cellStyle name="Гиперссылка 2" xfId="51"/>
    <cellStyle name="Обычный 2" xfId="52"/>
    <cellStyle name="Обычный 2 2" xfId="53"/>
    <cellStyle name="Обычный 3" xfId="54"/>
    <cellStyle name="Обычный 4" xfId="55"/>
    <cellStyle name="Обычный 5" xfId="56"/>
    <cellStyle name="Обычный_ED_par_31_12_07_eng" xfId="57"/>
    <cellStyle name="Обычный_ВД_пар_01_07_03-рус" xfId="58"/>
    <cellStyle name="Процентный 2" xfId="59"/>
    <cellStyle name="Процентный 3" xfId="60"/>
    <cellStyle name="Процентный 4" xfId="61"/>
    <cellStyle name="стиль" xfId="62"/>
    <cellStyle name="Тысячи [0]_Модуль2" xfId="63"/>
    <cellStyle name="Тысячи_Модуль2" xfId="64"/>
    <cellStyle name="Финансовый 2" xfId="65"/>
    <cellStyle name="Финансовый 3" xfId="66"/>
    <cellStyle name="Финансовый 4" xfId="67"/>
  </cellStyles>
  <tableStyles count="0" defaultTableStyle="TableStyleMedium2" defaultPivotStyle="PivotStyleLight16"/>
  <colors>
    <mruColors>
      <color rgb="00C0D7BB"/>
      <color rgb="00A2C4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eetMetadata" Target="metadata.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theme" Target="theme/theme1.xml"/><Relationship Id="rId18" Type="http://schemas.openxmlformats.org/officeDocument/2006/relationships/externalLink" Target="externalLinks/externalLink6.xml"/><Relationship Id="rId17" Type="http://schemas.openxmlformats.org/officeDocument/2006/relationships/externalLink" Target="externalLinks/externalLink5.xml"/><Relationship Id="rId16" Type="http://schemas.openxmlformats.org/officeDocument/2006/relationships/externalLink" Target="externalLinks/externalLink4.xml"/><Relationship Id="rId15" Type="http://schemas.openxmlformats.org/officeDocument/2006/relationships/externalLink" Target="externalLinks/externalLink3.xml"/><Relationship Id="rId14" Type="http://schemas.openxmlformats.org/officeDocument/2006/relationships/externalLink" Target="externalLinks/externalLink2.xml"/><Relationship Id="rId13" Type="http://schemas.openxmlformats.org/officeDocument/2006/relationships/externalLink" Target="externalLinks/externalLink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lineChart>
        <c:grouping val="standard"/>
        <c:varyColors val="0"/>
        <c:ser>
          <c:idx val="0"/>
          <c:order val="0"/>
          <c:spPr>
            <a:ln w="28575" cap="rnd">
              <a:solidFill>
                <a:schemeClr val="accent1"/>
              </a:solidFill>
              <a:round/>
            </a:ln>
            <a:effectLst/>
          </c:spPr>
          <c:marker>
            <c:symbol val="none"/>
          </c:marker>
          <c:dLbls>
            <c:delete val="1"/>
          </c:dLbls>
          <c:val>
            <c:numRef>
              <c:f>Sheet2!$C$2:$C$308</c:f>
              <c:numCache>
                <c:formatCode>General</c:formatCode>
                <c:ptCount val="307"/>
                <c:pt idx="0">
                  <c:v>12634.5724124027</c:v>
                </c:pt>
                <c:pt idx="1">
                  <c:v>12754.626572538</c:v>
                </c:pt>
                <c:pt idx="2">
                  <c:v>12863.062588144</c:v>
                </c:pt>
                <c:pt idx="3">
                  <c:v>12983.1167482793</c:v>
                </c:pt>
                <c:pt idx="4">
                  <c:v>13167.2404042956</c:v>
                </c:pt>
                <c:pt idx="5">
                  <c:v>13357.5015155123</c:v>
                </c:pt>
                <c:pt idx="6">
                  <c:v>13541.6251715286</c:v>
                </c:pt>
                <c:pt idx="7">
                  <c:v>13810.2623301671</c:v>
                </c:pt>
                <c:pt idx="8">
                  <c:v>14078.8994888055</c:v>
                </c:pt>
                <c:pt idx="9">
                  <c:v>14338.8709326492</c:v>
                </c:pt>
                <c:pt idx="10">
                  <c:v>14564.4008143163</c:v>
                </c:pt>
                <c:pt idx="11">
                  <c:v>14782.6555385103</c:v>
                </c:pt>
                <c:pt idx="12">
                  <c:v>15008.1854201774</c:v>
                </c:pt>
                <c:pt idx="13">
                  <c:v>15131.9442845727</c:v>
                </c:pt>
                <c:pt idx="14">
                  <c:v>15243.7264846718</c:v>
                </c:pt>
                <c:pt idx="15">
                  <c:v>15367.4853490671</c:v>
                </c:pt>
                <c:pt idx="16">
                  <c:v>15658.3149763123</c:v>
                </c:pt>
                <c:pt idx="17">
                  <c:v>15958.8389244657</c:v>
                </c:pt>
                <c:pt idx="18">
                  <c:v>16249.6685517109</c:v>
                </c:pt>
                <c:pt idx="19">
                  <c:v>16548.3716284708</c:v>
                </c:pt>
                <c:pt idx="20">
                  <c:v>16847.0747052308</c:v>
                </c:pt>
                <c:pt idx="21">
                  <c:v>17136.1421988694</c:v>
                </c:pt>
                <c:pt idx="22">
                  <c:v>17472.6400514915</c:v>
                </c:pt>
                <c:pt idx="23">
                  <c:v>17798.2831346743</c:v>
                </c:pt>
                <c:pt idx="24">
                  <c:v>18134.7809872964</c:v>
                </c:pt>
                <c:pt idx="25">
                  <c:v>18341.0308306686</c:v>
                </c:pt>
                <c:pt idx="26">
                  <c:v>18527.3210117791</c:v>
                </c:pt>
                <c:pt idx="27">
                  <c:v>18733.5708551513</c:v>
                </c:pt>
                <c:pt idx="28">
                  <c:v>19165.2892427225</c:v>
                </c:pt>
                <c:pt idx="29">
                  <c:v>19611.3982432126</c:v>
                </c:pt>
                <c:pt idx="30">
                  <c:v>20043.1166307838</c:v>
                </c:pt>
                <c:pt idx="31">
                  <c:v>20574.2923943515</c:v>
                </c:pt>
                <c:pt idx="32">
                  <c:v>21105.4681579192</c:v>
                </c:pt>
                <c:pt idx="33">
                  <c:v>21619.5092194364</c:v>
                </c:pt>
                <c:pt idx="34">
                  <c:v>22114.7623180876</c:v>
                </c:pt>
                <c:pt idx="35">
                  <c:v>22594.0395103306</c:v>
                </c:pt>
                <c:pt idx="36">
                  <c:v>23089.2926089818</c:v>
                </c:pt>
                <c:pt idx="37">
                  <c:v>23488.1122688508</c:v>
                </c:pt>
                <c:pt idx="38">
                  <c:v>23861.201628083</c:v>
                </c:pt>
                <c:pt idx="39">
                  <c:v>24260.021287952</c:v>
                </c:pt>
                <c:pt idx="40">
                  <c:v>24745.5843399591</c:v>
                </c:pt>
                <c:pt idx="41">
                  <c:v>25247.3328270331</c:v>
                </c:pt>
                <c:pt idx="42">
                  <c:v>25732.8958790402</c:v>
                </c:pt>
                <c:pt idx="43">
                  <c:v>26210.5905193565</c:v>
                </c:pt>
                <c:pt idx="44">
                  <c:v>26688.2851596728</c:v>
                </c:pt>
                <c:pt idx="45">
                  <c:v>27150.5702954628</c:v>
                </c:pt>
                <c:pt idx="46">
                  <c:v>29028.482981292</c:v>
                </c:pt>
                <c:pt idx="47">
                  <c:v>30845.817838546</c:v>
                </c:pt>
                <c:pt idx="48">
                  <c:v>32723.7305243752</c:v>
                </c:pt>
                <c:pt idx="49">
                  <c:v>33251.5478844924</c:v>
                </c:pt>
                <c:pt idx="50">
                  <c:v>33728.2861452434</c:v>
                </c:pt>
                <c:pt idx="51">
                  <c:v>34256.1035053606</c:v>
                </c:pt>
                <c:pt idx="52">
                  <c:v>34740.253639582</c:v>
                </c:pt>
                <c:pt idx="53">
                  <c:v>35240.5421116107</c:v>
                </c:pt>
                <c:pt idx="54">
                  <c:v>35724.6922458321</c:v>
                </c:pt>
                <c:pt idx="55">
                  <c:v>36584.9149557943</c:v>
                </c:pt>
                <c:pt idx="56">
                  <c:v>37445.1376657566</c:v>
                </c:pt>
                <c:pt idx="57">
                  <c:v>38277.6112560426</c:v>
                </c:pt>
                <c:pt idx="58">
                  <c:v>40013.2461626886</c:v>
                </c:pt>
                <c:pt idx="59">
                  <c:v>41692.8928465395</c:v>
                </c:pt>
                <c:pt idx="60">
                  <c:v>43428.5277531855</c:v>
                </c:pt>
                <c:pt idx="61">
                  <c:v>45130.4090111884</c:v>
                </c:pt>
                <c:pt idx="62">
                  <c:v>46667.592082933</c:v>
                </c:pt>
                <c:pt idx="63">
                  <c:v>48369.4733409359</c:v>
                </c:pt>
                <c:pt idx="64">
                  <c:v>50215.6837604462</c:v>
                </c:pt>
                <c:pt idx="65">
                  <c:v>52123.4345272736</c:v>
                </c:pt>
                <c:pt idx="66">
                  <c:v>53969.6449467839</c:v>
                </c:pt>
                <c:pt idx="67">
                  <c:v>56051.0098922964</c:v>
                </c:pt>
                <c:pt idx="68">
                  <c:v>58132.3748378089</c:v>
                </c:pt>
                <c:pt idx="69">
                  <c:v>60146.5989786275</c:v>
                </c:pt>
                <c:pt idx="70">
                  <c:v>64819.3405006321</c:v>
                </c:pt>
                <c:pt idx="71">
                  <c:v>69341.3484251527</c:v>
                </c:pt>
                <c:pt idx="72">
                  <c:v>74014.0899471573</c:v>
                </c:pt>
                <c:pt idx="73">
                  <c:v>76732.3845188331</c:v>
                </c:pt>
                <c:pt idx="74">
                  <c:v>79187.618325508</c:v>
                </c:pt>
                <c:pt idx="75">
                  <c:v>81905.9128971838</c:v>
                </c:pt>
                <c:pt idx="76">
                  <c:v>85354.9224772305</c:v>
                </c:pt>
                <c:pt idx="77">
                  <c:v>88918.8990432789</c:v>
                </c:pt>
                <c:pt idx="78">
                  <c:v>92367.9086233256</c:v>
                </c:pt>
                <c:pt idx="79">
                  <c:v>93001.5332827854</c:v>
                </c:pt>
                <c:pt idx="80">
                  <c:v>93635.1579422453</c:v>
                </c:pt>
                <c:pt idx="81">
                  <c:v>94248.3430965613</c:v>
                </c:pt>
                <c:pt idx="82">
                  <c:v>95139.4788953858</c:v>
                </c:pt>
                <c:pt idx="83">
                  <c:v>96001.8683781192</c:v>
                </c:pt>
                <c:pt idx="84">
                  <c:v>96893.0041769437</c:v>
                </c:pt>
                <c:pt idx="85">
                  <c:v>97568.9825794925</c:v>
                </c:pt>
                <c:pt idx="86">
                  <c:v>98201.3494721994</c:v>
                </c:pt>
                <c:pt idx="87">
                  <c:v>98877.3278747482</c:v>
                </c:pt>
                <c:pt idx="88">
                  <c:v>99644.5811198129</c:v>
                </c:pt>
                <c:pt idx="89">
                  <c:v>100437.409473046</c:v>
                </c:pt>
                <c:pt idx="90">
                  <c:v>101204.662718111</c:v>
                </c:pt>
                <c:pt idx="91">
                  <c:v>102818.909294011</c:v>
                </c:pt>
                <c:pt idx="92">
                  <c:v>104433.155869911</c:v>
                </c:pt>
                <c:pt idx="93">
                  <c:v>105995.32997562</c:v>
                </c:pt>
                <c:pt idx="94">
                  <c:v>106648.367769055</c:v>
                </c:pt>
                <c:pt idx="95">
                  <c:v>107280.339827217</c:v>
                </c:pt>
                <c:pt idx="96">
                  <c:v>107933.377620652</c:v>
                </c:pt>
                <c:pt idx="97">
                  <c:v>106855.368103399</c:v>
                </c:pt>
                <c:pt idx="98">
                  <c:v>105881.682087817</c:v>
                </c:pt>
                <c:pt idx="99">
                  <c:v>104803.672570564</c:v>
                </c:pt>
                <c:pt idx="100">
                  <c:v>105420.837814659</c:v>
                </c:pt>
                <c:pt idx="101">
                  <c:v>106058.575233558</c:v>
                </c:pt>
                <c:pt idx="102">
                  <c:v>106675.740477653</c:v>
                </c:pt>
                <c:pt idx="103">
                  <c:v>108310.719565187</c:v>
                </c:pt>
                <c:pt idx="104">
                  <c:v>109945.69865272</c:v>
                </c:pt>
                <c:pt idx="105">
                  <c:v>111527.936479366</c:v>
                </c:pt>
                <c:pt idx="106">
                  <c:v>111979.105369645</c:v>
                </c:pt>
                <c:pt idx="107">
                  <c:v>112415.720424753</c:v>
                </c:pt>
                <c:pt idx="108">
                  <c:v>112866.889315032</c:v>
                </c:pt>
                <c:pt idx="109">
                  <c:v>112176.14067088</c:v>
                </c:pt>
                <c:pt idx="110">
                  <c:v>111552.23866971</c:v>
                </c:pt>
                <c:pt idx="111">
                  <c:v>110861.490025558</c:v>
                </c:pt>
                <c:pt idx="112">
                  <c:v>111770.775805998</c:v>
                </c:pt>
                <c:pt idx="113">
                  <c:v>112710.371112454</c:v>
                </c:pt>
                <c:pt idx="114">
                  <c:v>113619.656892894</c:v>
                </c:pt>
                <c:pt idx="115">
                  <c:v>112911.72345103</c:v>
                </c:pt>
                <c:pt idx="116">
                  <c:v>112203.790009165</c:v>
                </c:pt>
                <c:pt idx="117">
                  <c:v>111518.693129942</c:v>
                </c:pt>
                <c:pt idx="118">
                  <c:v>113777.673386513</c:v>
                </c:pt>
                <c:pt idx="119">
                  <c:v>115963.783312228</c:v>
                </c:pt>
                <c:pt idx="120">
                  <c:v>118222.763568799</c:v>
                </c:pt>
                <c:pt idx="121">
                  <c:v>119991.966486695</c:v>
                </c:pt>
                <c:pt idx="122">
                  <c:v>121589.956218989</c:v>
                </c:pt>
                <c:pt idx="123">
                  <c:v>123359.159136885</c:v>
                </c:pt>
                <c:pt idx="124">
                  <c:v>123866.231556004</c:v>
                </c:pt>
                <c:pt idx="125">
                  <c:v>124390.206389094</c:v>
                </c:pt>
                <c:pt idx="126">
                  <c:v>124897.278808213</c:v>
                </c:pt>
                <c:pt idx="127">
                  <c:v>124496.665531122</c:v>
                </c:pt>
                <c:pt idx="128">
                  <c:v>124096.052254031</c:v>
                </c:pt>
                <c:pt idx="129">
                  <c:v>123708.361985878</c:v>
                </c:pt>
                <c:pt idx="130">
                  <c:v>124251.67603935</c:v>
                </c:pt>
                <c:pt idx="131">
                  <c:v>124777.463833033</c:v>
                </c:pt>
                <c:pt idx="132">
                  <c:v>125320.777886505</c:v>
                </c:pt>
                <c:pt idx="133">
                  <c:v>126626.619513654</c:v>
                </c:pt>
                <c:pt idx="134">
                  <c:v>127848.21329389</c:v>
                </c:pt>
                <c:pt idx="135">
                  <c:v>129154.054921039</c:v>
                </c:pt>
                <c:pt idx="136">
                  <c:v>130268.937354494</c:v>
                </c:pt>
                <c:pt idx="137">
                  <c:v>131420.982535732</c:v>
                </c:pt>
                <c:pt idx="138">
                  <c:v>132535.864969187</c:v>
                </c:pt>
                <c:pt idx="139">
                  <c:v>133168.753744255</c:v>
                </c:pt>
                <c:pt idx="140">
                  <c:v>133801.642519323</c:v>
                </c:pt>
                <c:pt idx="141">
                  <c:v>134414.115527453</c:v>
                </c:pt>
                <c:pt idx="142">
                  <c:v>135257.88961754</c:v>
                </c:pt>
                <c:pt idx="143">
                  <c:v>136074.445188591</c:v>
                </c:pt>
                <c:pt idx="144">
                  <c:v>136918.219278678</c:v>
                </c:pt>
                <c:pt idx="145">
                  <c:v>137873.447142894</c:v>
                </c:pt>
                <c:pt idx="146">
                  <c:v>138736.233600896</c:v>
                </c:pt>
                <c:pt idx="147">
                  <c:v>139691.461465112</c:v>
                </c:pt>
                <c:pt idx="148">
                  <c:v>141624.430702923</c:v>
                </c:pt>
                <c:pt idx="149">
                  <c:v>143621.832248662</c:v>
                </c:pt>
                <c:pt idx="150">
                  <c:v>145554.801486473</c:v>
                </c:pt>
                <c:pt idx="151">
                  <c:v>146433.55434009</c:v>
                </c:pt>
                <c:pt idx="152">
                  <c:v>147312.307193707</c:v>
                </c:pt>
                <c:pt idx="153">
                  <c:v>148162.713181078</c:v>
                </c:pt>
                <c:pt idx="154">
                  <c:v>148792.873861009</c:v>
                </c:pt>
                <c:pt idx="155">
                  <c:v>149402.70677707</c:v>
                </c:pt>
                <c:pt idx="156">
                  <c:v>150032.867457001</c:v>
                </c:pt>
                <c:pt idx="157">
                  <c:v>150539.824715542</c:v>
                </c:pt>
                <c:pt idx="158">
                  <c:v>150997.721594224</c:v>
                </c:pt>
                <c:pt idx="159">
                  <c:v>151504.678852765</c:v>
                </c:pt>
                <c:pt idx="160">
                  <c:v>152849.484338197</c:v>
                </c:pt>
                <c:pt idx="161">
                  <c:v>154239.116673142</c:v>
                </c:pt>
                <c:pt idx="162">
                  <c:v>155583.922158574</c:v>
                </c:pt>
                <c:pt idx="163">
                  <c:v>155614.570625224</c:v>
                </c:pt>
                <c:pt idx="164">
                  <c:v>155645.219091874</c:v>
                </c:pt>
                <c:pt idx="165">
                  <c:v>155674.878898309</c:v>
                </c:pt>
                <c:pt idx="166">
                  <c:v>156159.979491168</c:v>
                </c:pt>
                <c:pt idx="167">
                  <c:v>156629.431677805</c:v>
                </c:pt>
                <c:pt idx="168">
                  <c:v>157114.532270664</c:v>
                </c:pt>
                <c:pt idx="169">
                  <c:v>156064.380687996</c:v>
                </c:pt>
                <c:pt idx="170">
                  <c:v>155115.856677843</c:v>
                </c:pt>
                <c:pt idx="171">
                  <c:v>154065.705095175</c:v>
                </c:pt>
                <c:pt idx="172">
                  <c:v>154466.353496105</c:v>
                </c:pt>
                <c:pt idx="173">
                  <c:v>154880.356843734</c:v>
                </c:pt>
                <c:pt idx="174">
                  <c:v>155281.005244664</c:v>
                </c:pt>
                <c:pt idx="175">
                  <c:v>155282.107088998</c:v>
                </c:pt>
                <c:pt idx="176">
                  <c:v>155283.208933331</c:v>
                </c:pt>
                <c:pt idx="177">
                  <c:v>155284.275234299</c:v>
                </c:pt>
                <c:pt idx="178">
                  <c:v>154516.801958589</c:v>
                </c:pt>
                <c:pt idx="179">
                  <c:v>153774.085885321</c:v>
                </c:pt>
                <c:pt idx="180">
                  <c:v>153006.612609611</c:v>
                </c:pt>
                <c:pt idx="181">
                  <c:v>153118.529682851</c:v>
                </c:pt>
                <c:pt idx="182">
                  <c:v>153223.226299754</c:v>
                </c:pt>
                <c:pt idx="183">
                  <c:v>153335.143372994</c:v>
                </c:pt>
                <c:pt idx="184">
                  <c:v>155487.643567181</c:v>
                </c:pt>
                <c:pt idx="185">
                  <c:v>157711.893767842</c:v>
                </c:pt>
                <c:pt idx="186">
                  <c:v>159864.393962029</c:v>
                </c:pt>
                <c:pt idx="187">
                  <c:v>161544.061265192</c:v>
                </c:pt>
                <c:pt idx="188">
                  <c:v>163223.728568355</c:v>
                </c:pt>
                <c:pt idx="189">
                  <c:v>164849.213055287</c:v>
                </c:pt>
                <c:pt idx="190">
                  <c:v>164404.18761697</c:v>
                </c:pt>
                <c:pt idx="191">
                  <c:v>163973.517837955</c:v>
                </c:pt>
                <c:pt idx="192">
                  <c:v>163528.492399638</c:v>
                </c:pt>
                <c:pt idx="193">
                  <c:v>164136.164264374</c:v>
                </c:pt>
                <c:pt idx="194">
                  <c:v>164685.029174459</c:v>
                </c:pt>
                <c:pt idx="195">
                  <c:v>165292.701039195</c:v>
                </c:pt>
                <c:pt idx="196">
                  <c:v>166110.819531749</c:v>
                </c:pt>
                <c:pt idx="197">
                  <c:v>166956.208640721</c:v>
                </c:pt>
                <c:pt idx="198">
                  <c:v>167774.327133275</c:v>
                </c:pt>
                <c:pt idx="199">
                  <c:v>168136.02389451</c:v>
                </c:pt>
                <c:pt idx="200">
                  <c:v>168497.720655745</c:v>
                </c:pt>
                <c:pt idx="201">
                  <c:v>168847.749779521</c:v>
                </c:pt>
                <c:pt idx="202">
                  <c:v>168387.792774754</c:v>
                </c:pt>
                <c:pt idx="203">
                  <c:v>167942.673092721</c:v>
                </c:pt>
                <c:pt idx="204">
                  <c:v>167482.716087954</c:v>
                </c:pt>
                <c:pt idx="205">
                  <c:v>167576.70844808</c:v>
                </c:pt>
                <c:pt idx="206">
                  <c:v>167661.604773355</c:v>
                </c:pt>
                <c:pt idx="207">
                  <c:v>167755.597133481</c:v>
                </c:pt>
                <c:pt idx="208">
                  <c:v>167071.202601969</c:v>
                </c:pt>
                <c:pt idx="209">
                  <c:v>166363.994919408</c:v>
                </c:pt>
                <c:pt idx="210">
                  <c:v>165679.600387896</c:v>
                </c:pt>
                <c:pt idx="211">
                  <c:v>164656.676561108</c:v>
                </c:pt>
                <c:pt idx="212">
                  <c:v>163633.75273432</c:v>
                </c:pt>
                <c:pt idx="213">
                  <c:v>162643.826450331</c:v>
                </c:pt>
                <c:pt idx="214">
                  <c:v>161864.602825695</c:v>
                </c:pt>
                <c:pt idx="215">
                  <c:v>161110.515447016</c:v>
                </c:pt>
                <c:pt idx="216">
                  <c:v>160331.29182238</c:v>
                </c:pt>
                <c:pt idx="217">
                  <c:v>160299.438877642</c:v>
                </c:pt>
                <c:pt idx="218">
                  <c:v>160270.668475943</c:v>
                </c:pt>
                <c:pt idx="219">
                  <c:v>160238.815531205</c:v>
                </c:pt>
                <c:pt idx="220">
                  <c:v>160289.965068352</c:v>
                </c:pt>
                <c:pt idx="221">
                  <c:v>160342.819590072</c:v>
                </c:pt>
                <c:pt idx="222">
                  <c:v>160393.969127219</c:v>
                </c:pt>
                <c:pt idx="223">
                  <c:v>160371.950704025</c:v>
                </c:pt>
                <c:pt idx="224">
                  <c:v>160349.932280832</c:v>
                </c:pt>
                <c:pt idx="225">
                  <c:v>160328.624129354</c:v>
                </c:pt>
                <c:pt idx="226">
                  <c:v>160064.313108984</c:v>
                </c:pt>
                <c:pt idx="227">
                  <c:v>159808.528250562</c:v>
                </c:pt>
                <c:pt idx="228">
                  <c:v>159544.217230192</c:v>
                </c:pt>
                <c:pt idx="229">
                  <c:v>158155.187096518</c:v>
                </c:pt>
                <c:pt idx="230">
                  <c:v>156855.771810179</c:v>
                </c:pt>
                <c:pt idx="231">
                  <c:v>155466.741676505</c:v>
                </c:pt>
                <c:pt idx="232">
                  <c:v>157154.340795301</c:v>
                </c:pt>
                <c:pt idx="233">
                  <c:v>158898.193218056</c:v>
                </c:pt>
                <c:pt idx="234">
                  <c:v>160585.792336852</c:v>
                </c:pt>
                <c:pt idx="235">
                  <c:v>160963.434333928</c:v>
                </c:pt>
                <c:pt idx="236">
                  <c:v>161341.076331003</c:v>
                </c:pt>
                <c:pt idx="237">
                  <c:v>161706.536328173</c:v>
                </c:pt>
                <c:pt idx="238">
                  <c:v>162472.619952252</c:v>
                </c:pt>
                <c:pt idx="239">
                  <c:v>163213.991201362</c:v>
                </c:pt>
                <c:pt idx="240">
                  <c:v>163980.074825441</c:v>
                </c:pt>
                <c:pt idx="241">
                  <c:v>163971.470599796</c:v>
                </c:pt>
                <c:pt idx="242">
                  <c:v>163963.69904115</c:v>
                </c:pt>
                <c:pt idx="243">
                  <c:v>163955.094815505</c:v>
                </c:pt>
                <c:pt idx="244">
                  <c:v>164788.496545105</c:v>
                </c:pt>
                <c:pt idx="245">
                  <c:v>165649.678332358</c:v>
                </c:pt>
                <c:pt idx="246">
                  <c:v>166483.080061958</c:v>
                </c:pt>
                <c:pt idx="247">
                  <c:v>166240.01426508</c:v>
                </c:pt>
                <c:pt idx="248">
                  <c:v>165996.948468202</c:v>
                </c:pt>
                <c:pt idx="249">
                  <c:v>165761.723503482</c:v>
                </c:pt>
                <c:pt idx="250">
                  <c:v>165212.265688174</c:v>
                </c:pt>
                <c:pt idx="251">
                  <c:v>164680.532318522</c:v>
                </c:pt>
                <c:pt idx="252">
                  <c:v>164131.074503214</c:v>
                </c:pt>
                <c:pt idx="253">
                  <c:v>162672.592834425</c:v>
                </c:pt>
                <c:pt idx="254">
                  <c:v>161355.254552939</c:v>
                </c:pt>
                <c:pt idx="255">
                  <c:v>159896.77288415</c:v>
                </c:pt>
                <c:pt idx="256">
                  <c:v>161299.675929015</c:v>
                </c:pt>
                <c:pt idx="257">
                  <c:v>162749.342408709</c:v>
                </c:pt>
                <c:pt idx="258">
                  <c:v>164152.245453574</c:v>
                </c:pt>
                <c:pt idx="259">
                  <c:v>163122.48982855</c:v>
                </c:pt>
                <c:pt idx="260">
                  <c:v>162092.734203526</c:v>
                </c:pt>
                <c:pt idx="261">
                  <c:v>161096.19650189</c:v>
                </c:pt>
                <c:pt idx="262">
                  <c:v>161112.396303508</c:v>
                </c:pt>
                <c:pt idx="263">
                  <c:v>161128.073530881</c:v>
                </c:pt>
                <c:pt idx="264">
                  <c:v>161144.273332499</c:v>
                </c:pt>
                <c:pt idx="265">
                  <c:v>161719.390690326</c:v>
                </c:pt>
                <c:pt idx="266">
                  <c:v>162238.851529653</c:v>
                </c:pt>
                <c:pt idx="267">
                  <c:v>162813.96888748</c:v>
                </c:pt>
                <c:pt idx="268">
                  <c:v>162810.2266146</c:v>
                </c:pt>
                <c:pt idx="269">
                  <c:v>162806.359599291</c:v>
                </c:pt>
                <c:pt idx="270">
                  <c:v>162802.617326411</c:v>
                </c:pt>
                <c:pt idx="271">
                  <c:v>163141.891393393</c:v>
                </c:pt>
                <c:pt idx="272">
                  <c:v>163481.165460375</c:v>
                </c:pt>
                <c:pt idx="273">
                  <c:v>163809.495202615</c:v>
                </c:pt>
                <c:pt idx="274">
                  <c:v>163776.631444412</c:v>
                </c:pt>
                <c:pt idx="275">
                  <c:v>163744.827807442</c:v>
                </c:pt>
                <c:pt idx="276">
                  <c:v>163711.964049239</c:v>
                </c:pt>
                <c:pt idx="277">
                  <c:v>163794.050044262</c:v>
                </c:pt>
                <c:pt idx="278">
                  <c:v>163870.840168637</c:v>
                </c:pt>
                <c:pt idx="279">
                  <c:v>163952.92616366</c:v>
                </c:pt>
                <c:pt idx="280">
                  <c:v>164909.025947282</c:v>
                </c:pt>
                <c:pt idx="281">
                  <c:v>165896.995723691</c:v>
                </c:pt>
                <c:pt idx="282">
                  <c:v>166853.095507313</c:v>
                </c:pt>
                <c:pt idx="283">
                  <c:v>166689.32414316</c:v>
                </c:pt>
                <c:pt idx="284">
                  <c:v>166525.552779007</c:v>
                </c:pt>
                <c:pt idx="285">
                  <c:v>166367.064362084</c:v>
                </c:pt>
                <c:pt idx="286">
                  <c:v>165797.753611776</c:v>
                </c:pt>
                <c:pt idx="287">
                  <c:v>165246.80772438</c:v>
                </c:pt>
                <c:pt idx="288">
                  <c:v>164677.496974072</c:v>
                </c:pt>
                <c:pt idx="289">
                  <c:v>166523.823841329</c:v>
                </c:pt>
                <c:pt idx="290">
                  <c:v>168191.473914981</c:v>
                </c:pt>
                <c:pt idx="291">
                  <c:v>170037.800782238</c:v>
                </c:pt>
                <c:pt idx="292">
                  <c:v>170865.036667709</c:v>
                </c:pt>
                <c:pt idx="293">
                  <c:v>171719.847082697</c:v>
                </c:pt>
                <c:pt idx="294">
                  <c:v>172547.082968168</c:v>
                </c:pt>
                <c:pt idx="295">
                  <c:v>172213.893419631</c:v>
                </c:pt>
                <c:pt idx="296">
                  <c:v>171880.703871095</c:v>
                </c:pt>
                <c:pt idx="297">
                  <c:v>171558.262372511</c:v>
                </c:pt>
                <c:pt idx="298">
                  <c:v>175023.296804298</c:v>
                </c:pt>
                <c:pt idx="299">
                  <c:v>178376.555931834</c:v>
                </c:pt>
                <c:pt idx="300">
                  <c:v>181841.590363621</c:v>
                </c:pt>
                <c:pt idx="301">
                  <c:v>182164.21377974</c:v>
                </c:pt>
                <c:pt idx="302">
                  <c:v>182455.615574945</c:v>
                </c:pt>
                <c:pt idx="303">
                  <c:v>182778.238991064</c:v>
                </c:pt>
              </c:numCache>
            </c:numRef>
          </c:val>
          <c:smooth val="0"/>
        </c:ser>
        <c:dLbls>
          <c:showLegendKey val="0"/>
          <c:showVal val="0"/>
          <c:showCatName val="0"/>
          <c:showSerName val="0"/>
          <c:showPercent val="0"/>
          <c:showBubbleSize val="0"/>
        </c:dLbls>
        <c:marker val="0"/>
        <c:smooth val="0"/>
        <c:axId val="527584023"/>
        <c:axId val="379549050"/>
      </c:lineChart>
      <c:catAx>
        <c:axId val="527584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79549050"/>
        <c:crosses val="autoZero"/>
        <c:auto val="1"/>
        <c:lblAlgn val="ctr"/>
        <c:lblOffset val="100"/>
        <c:noMultiLvlLbl val="0"/>
      </c:catAx>
      <c:valAx>
        <c:axId val="379549050"/>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27584023"/>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4733230-c865-4c37-9333-be92cadd3dbc}"/>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46355</xdr:colOff>
      <xdr:row>1</xdr:row>
      <xdr:rowOff>15240</xdr:rowOff>
    </xdr:from>
    <xdr:to>
      <xdr:col>9</xdr:col>
      <xdr:colOff>452755</xdr:colOff>
      <xdr:row>14</xdr:row>
      <xdr:rowOff>127000</xdr:rowOff>
    </xdr:to>
    <xdr:graphicFrame>
      <xdr:nvGraphicFramePr>
        <xdr:cNvPr id="2" name="Chart 1"/>
        <xdr:cNvGraphicFramePr/>
      </xdr:nvGraphicFramePr>
      <xdr:xfrm>
        <a:off x="3617595" y="228600"/>
        <a:ext cx="4795520" cy="2885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arhanmashirapov/Desktop/MSF%20NU/Writing%20Sample%20MS2027/9-20.%20Domestic%20Fundamentals%20Kazakhstan/13.%20External%20Debt///webswn01s/ICS$/576/576FSI_2008Q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darhanmashirapov/Desktop/MSF%20NU/Writing%20Sample%20MS2027/9-20.%20Domestic%20Fundamentals%20Kazakhstan/13.%20External%20Debt/http://www-intranet.imf.org/departments/STA/collaboration/STASIDP/Documents/CDIS%20Report%20Form%20ITT%20(Pilo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darhanmashirapov/Desktop/MSF%20NU/Writing%20Sample%20MS2027/9-20.%20Domestic%20Fundamentals%20Kazakhstan/13.%20External%20Debt/http://www-intranet.imf.org/Documents%20and%20Settings/tgaleza/Local%20Settings/Temporary%20Internet%20Files/OLK10B/Copy%20of%201931PI_200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darhanmashirapov/Desktop/MSF%20NU/Writing%20Sample%20MS2027/9-20.%20Domestic%20Fundamentals%20Kazakhstan/13.%20External%20Debt/http://www-intranet.imf.org/departments/STA/collaboration/STASIDP/Documents/ITT%20for%20CDI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darhanmashirapov/Desktop/MSF%20NU/Writing%20Sample%20MS2027/9-20.%20Domestic%20Fundamentals%20Kazakhstan/13.%20External%20Debt/http://www-intranet.imf.org/departments/STA/about_sta/divisions/stasi/STASIIMS/STASIDP/Documents/FA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darhanmashirapov/Desktop/MSF%20NU/Writing%20Sample%20MS2027/9-20.%20Domestic%20Fundamentals%20Kazakhstan/13.%20External%20Debt///Roza_l/debt-roza/4q01/1pb_4q01_&#1074;&#1076;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structions"/>
      <sheetName val="CoverPage"/>
      <sheetName val="CoverPage_TS"/>
      <sheetName val="PeriodicityInfo"/>
      <sheetName val="Table A"/>
      <sheetName val="Table A_TS"/>
      <sheetName val="Annex Tables A.1-A.3"/>
      <sheetName val="Annex Tables A.1-A.3_TS"/>
      <sheetName val="Annex Tables A.4-A.5"/>
      <sheetName val="Annex Tables A.4-A.5_TS"/>
      <sheetName val="Table B"/>
      <sheetName val="Table B(Suppl.)"/>
      <sheetName val="Guide References"/>
      <sheetName val="Master"/>
      <sheetName val="Deviations"/>
      <sheetName val="DevRanges"/>
      <sheetName val="InterAdjustments"/>
      <sheetName val="InterAdjustRanges"/>
      <sheetName val="SI1–Reg. Cap."/>
      <sheetName val="SI2–RWA"/>
      <sheetName val="SI3–NPL"/>
      <sheetName val="SI4–Res. Real Estate P"/>
      <sheetName val="SI5–Comm. Real Estate P"/>
      <sheetName val="Fin. Structure"/>
      <sheetName val="Table F1"/>
      <sheetName val="Table F2"/>
      <sheetName val="Table F3"/>
      <sheetName val="Table F4"/>
      <sheetName val="Table F5"/>
      <sheetName val="Table F6"/>
      <sheetName val="Table F7"/>
      <sheetName val="AdditionalInfo"/>
      <sheetName val="Validation Summary"/>
      <sheetName val="Report Form"/>
      <sheetName val="Control"/>
      <sheetName val="576FSI_2008Q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structions"/>
      <sheetName val="BUControlSheet"/>
      <sheetName val="Control"/>
      <sheetName val="Coverpage"/>
      <sheetName val="Inward-DL"/>
      <sheetName val="Inward"/>
      <sheetName val="Inward_TS"/>
      <sheetName val="Outward-DL"/>
      <sheetName val="Outward"/>
      <sheetName val="Outward_TS"/>
      <sheetName val="ValidationSheet"/>
      <sheetName val="private"/>
    </sheetNames>
    <sheetDataSet>
      <sheetData sheetId="0"/>
      <sheetData sheetId="1"/>
      <sheetData sheetId="2" refreshError="1"/>
      <sheetData sheetId="3"/>
      <sheetData sheetId="4"/>
      <sheetData sheetId="5"/>
      <sheetData sheetId="6"/>
      <sheetData sheetId="7"/>
      <sheetData sheetId="8"/>
      <sheetData sheetId="9"/>
      <sheetData sheetId="10"/>
      <sheetData sheetId="1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General Instructions"/>
      <sheetName val="Index Page"/>
      <sheetName val="IndexSS"/>
      <sheetName val="Assets Mandated"/>
      <sheetName val="Assets MandatedSS"/>
      <sheetName val="Breakdown by Currency (Assets)"/>
      <sheetName val="CurrencySS"/>
      <sheetName val="Breakdown by Sector (Assets)"/>
      <sheetName val="AssetsSS"/>
      <sheetName val="Breakdown by Sector (Equity)"/>
      <sheetName val="EquitySS"/>
      <sheetName val="Breakdown by Sector (Debt Sec.)"/>
      <sheetName val="Debt SecSS"/>
      <sheetName val="Breakdown by Sector (L-T Debt)"/>
      <sheetName val="L-T DebtSS"/>
      <sheetName val="Breakdown by Sector (S-T Debt)"/>
      <sheetName val="S-T DebtSS"/>
      <sheetName val="Liabilities Breakdown"/>
      <sheetName val="Liabilities BreakdownSS"/>
      <sheetName val="Report Form"/>
      <sheetName val="Contr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Creating  Data Report Forms"/>
      <sheetName val="BUControlSheet"/>
      <sheetName val="Control"/>
      <sheetName val="ValidationSheet"/>
      <sheetName val="Coverpage"/>
      <sheetName val="Inward"/>
      <sheetName val="Temp 1A"/>
      <sheetName val="Temp 1B"/>
      <sheetName val="Temp 1C"/>
      <sheetName val="Temp 1D"/>
      <sheetName val="Inward_TS"/>
      <sheetName val="Outward"/>
      <sheetName val="Temp1  (Inward) ver 2"/>
      <sheetName val="Temp 2 (Outward) ver 2"/>
      <sheetName val="Outward_TS"/>
      <sheetName val="Temp 3 (Metadata)"/>
      <sheetName val="Temp 4"/>
      <sheetName val="Sheet2"/>
      <sheetName val="Sheet4"/>
      <sheetName val="Sheet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Instructions "/>
      <sheetName val="CoverPage"/>
      <sheetName val="FASurvey"/>
      <sheetName val="Instructions"/>
      <sheetName val="FASurvey-DL"/>
      <sheetName val="NOTES"/>
      <sheetName val="BUControlSheet"/>
      <sheetName val="Control"/>
      <sheetName val="Report Form"/>
      <sheetName val="ValidationSheet"/>
      <sheetName val="Акколь"/>
      <sheetName val="Finalnew"/>
    </sheetNames>
    <sheetDataSet>
      <sheetData sheetId="0"/>
      <sheetData sheetId="1"/>
      <sheetData sheetId="2"/>
      <sheetData sheetId="3"/>
      <sheetData sheetId="4"/>
      <sheetData sheetId="5"/>
      <sheetData sheetId="6"/>
      <sheetData sheetId="7" refreshError="1"/>
      <sheetData sheetId="8"/>
      <sheetData sheetId="9"/>
      <sheetData sheetId="10" refreshError="1"/>
      <sheetData sheetId="11"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titul"/>
      <sheetName val="р1"/>
      <sheetName val="р2"/>
      <sheetName val="р3"/>
      <sheetName val="р4"/>
      <sheetName val="р5"/>
      <sheetName val="для печати"/>
      <sheetName val="р2-грнт"/>
      <sheetName val="р4-грнт"/>
      <sheetName val="р5-грнт"/>
      <sheetName val="р1-д"/>
      <sheetName val="р2-д"/>
      <sheetName val="р3-д"/>
      <sheetName val="р4-д"/>
      <sheetName val="р5-д"/>
      <sheetName val="р1 СНГ"/>
      <sheetName val="р2 СНГ"/>
      <sheetName val="р1-контроль"/>
      <sheetName val="р2-контроль"/>
      <sheetName val="Таблица 5.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hyperlink" Target="mailto:kasimova@nationalbank.kz"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36"/>
  <sheetViews>
    <sheetView workbookViewId="0">
      <selection activeCell="L4" sqref="L4"/>
    </sheetView>
  </sheetViews>
  <sheetFormatPr defaultColWidth="9" defaultRowHeight="16.8" outlineLevelCol="2"/>
  <cols>
    <col min="1" max="1" width="9.625"/>
    <col min="2" max="2" width="11" customWidth="1"/>
    <col min="3" max="3" width="23.3125" customWidth="1"/>
  </cols>
  <sheetData>
    <row r="1" spans="1:3">
      <c r="A1" t="s">
        <v>0</v>
      </c>
      <c r="B1" t="s">
        <v>1</v>
      </c>
      <c r="C1" t="s">
        <v>2</v>
      </c>
    </row>
    <row r="2" spans="1:3">
      <c r="A2" s="357">
        <v>36892</v>
      </c>
      <c r="B2" s="356" t="str">
        <f>TEXT(A2,"yyyy-mm-01")</f>
        <v>2001-01-01</v>
      </c>
      <c r="C2" s="356">
        <f>VLOOKUP(B2,'Final Cle'!$C$2:$D$103,2,FALSE)</f>
        <v>12634.5724124027</v>
      </c>
    </row>
    <row r="3" spans="1:3">
      <c r="A3" s="358">
        <f t="shared" ref="A3:A66" si="0">EDATE(A2,1)</f>
        <v>36923</v>
      </c>
      <c r="B3" s="356" t="str">
        <f t="shared" ref="B2:B65" si="1">TEXT(A3,"yyyy-mm-01")</f>
        <v>2001-02-01</v>
      </c>
      <c r="C3" s="356" cm="1">
        <f t="array" ref="C3">INDEX($C:$C,MATCH(ROW()-MOD(ROW()-ROW($C$2),3),ROW($C:$C),0))+(B3-INDEX($B:$B,MATCH(ROW()-MOD(ROW()-ROW($C$2),3),ROW($C:$C),0)))/(INDEX($B:$B,MATCH(ROW()-MOD(ROW()-ROW($C$2),3),ROW($C:$C),0)+3)-INDEX($B:$B,MATCH(ROW()-MOD(ROW()-ROW($C$2),3),ROW($C:$C),0)))*(INDEX($C:$C,MATCH(ROW()-MOD(ROW()-ROW($C$2),3),ROW($C:$C),0)+3)-INDEX($C:$C,MATCH(ROW()-MOD(ROW()-ROW($C$2),3),ROW($C:$C),0)))</f>
        <v>12754.626572538</v>
      </c>
    </row>
    <row r="4" spans="1:3">
      <c r="A4" s="358">
        <f t="shared" si="0"/>
        <v>36951</v>
      </c>
      <c r="B4" s="356" t="str">
        <f t="shared" si="1"/>
        <v>2001-03-01</v>
      </c>
      <c r="C4" s="356" cm="1">
        <f t="array" ref="C4">INDEX($C:$C,MATCH(ROW()-MOD(ROW()-ROW($C$2),3),ROW($C:$C),0))+(B4-INDEX($B:$B,MATCH(ROW()-MOD(ROW()-ROW($C$2),3),ROW($C:$C),0)))/(INDEX($B:$B,MATCH(ROW()-MOD(ROW()-ROW($C$2),3),ROW($C:$C),0)+3)-INDEX($B:$B,MATCH(ROW()-MOD(ROW()-ROW($C$2),3),ROW($C:$C),0)))*(INDEX($C:$C,MATCH(ROW()-MOD(ROW()-ROW($C$2),3),ROW($C:$C),0)+3)-INDEX($C:$C,MATCH(ROW()-MOD(ROW()-ROW($C$2),3),ROW($C:$C),0)))</f>
        <v>12863.062588144</v>
      </c>
    </row>
    <row r="5" spans="1:3">
      <c r="A5" s="358">
        <f t="shared" si="0"/>
        <v>36982</v>
      </c>
      <c r="B5" s="356" t="str">
        <f t="shared" si="1"/>
        <v>2001-04-01</v>
      </c>
      <c r="C5" s="356">
        <f>VLOOKUP(B5,'Final Cle'!$C$2:$D$103,2,FALSE)</f>
        <v>12983.1167482793</v>
      </c>
    </row>
    <row r="6" spans="1:3">
      <c r="A6" s="358">
        <f t="shared" si="0"/>
        <v>37012</v>
      </c>
      <c r="B6" s="356" t="str">
        <f t="shared" si="1"/>
        <v>2001-05-01</v>
      </c>
      <c r="C6" s="356" cm="1">
        <f t="array" ref="C6">INDEX($C:$C,MATCH(ROW()-MOD(ROW()-ROW($C$2),3),ROW($C:$C),0))+(B6-INDEX($B:$B,MATCH(ROW()-MOD(ROW()-ROW($C$2),3),ROW($C:$C),0)))/(INDEX($B:$B,MATCH(ROW()-MOD(ROW()-ROW($C$2),3),ROW($C:$C),0)+3)-INDEX($B:$B,MATCH(ROW()-MOD(ROW()-ROW($C$2),3),ROW($C:$C),0)))*(INDEX($C:$C,MATCH(ROW()-MOD(ROW()-ROW($C$2),3),ROW($C:$C),0)+3)-INDEX($C:$C,MATCH(ROW()-MOD(ROW()-ROW($C$2),3),ROW($C:$C),0)))</f>
        <v>13167.2404042956</v>
      </c>
    </row>
    <row r="7" spans="1:3">
      <c r="A7" s="358">
        <f t="shared" si="0"/>
        <v>37043</v>
      </c>
      <c r="B7" s="356" t="str">
        <f t="shared" si="1"/>
        <v>2001-06-01</v>
      </c>
      <c r="C7" s="356" cm="1">
        <f t="array" ref="C7">INDEX($C:$C,MATCH(ROW()-MOD(ROW()-ROW($C$2),3),ROW($C:$C),0))+(B7-INDEX($B:$B,MATCH(ROW()-MOD(ROW()-ROW($C$2),3),ROW($C:$C),0)))/(INDEX($B:$B,MATCH(ROW()-MOD(ROW()-ROW($C$2),3),ROW($C:$C),0)+3)-INDEX($B:$B,MATCH(ROW()-MOD(ROW()-ROW($C$2),3),ROW($C:$C),0)))*(INDEX($C:$C,MATCH(ROW()-MOD(ROW()-ROW($C$2),3),ROW($C:$C),0)+3)-INDEX($C:$C,MATCH(ROW()-MOD(ROW()-ROW($C$2),3),ROW($C:$C),0)))</f>
        <v>13357.5015155123</v>
      </c>
    </row>
    <row r="8" spans="1:3">
      <c r="A8" s="358">
        <f t="shared" si="0"/>
        <v>37073</v>
      </c>
      <c r="B8" s="356" t="str">
        <f t="shared" si="1"/>
        <v>2001-07-01</v>
      </c>
      <c r="C8" s="356">
        <f>VLOOKUP(B8,'Final Cle'!$C$2:$D$103,2,FALSE)</f>
        <v>13541.6251715286</v>
      </c>
    </row>
    <row r="9" spans="1:3">
      <c r="A9" s="358">
        <f t="shared" si="0"/>
        <v>37104</v>
      </c>
      <c r="B9" s="356" t="str">
        <f t="shared" si="1"/>
        <v>2001-08-01</v>
      </c>
      <c r="C9" s="356" cm="1">
        <f t="array" ref="C9">INDEX($C:$C,MATCH(ROW()-MOD(ROW()-ROW($C$2),3),ROW($C:$C),0))+(B9-INDEX($B:$B,MATCH(ROW()-MOD(ROW()-ROW($C$2),3),ROW($C:$C),0)))/(INDEX($B:$B,MATCH(ROW()-MOD(ROW()-ROW($C$2),3),ROW($C:$C),0)+3)-INDEX($B:$B,MATCH(ROW()-MOD(ROW()-ROW($C$2),3),ROW($C:$C),0)))*(INDEX($C:$C,MATCH(ROW()-MOD(ROW()-ROW($C$2),3),ROW($C:$C),0)+3)-INDEX($C:$C,MATCH(ROW()-MOD(ROW()-ROW($C$2),3),ROW($C:$C),0)))</f>
        <v>13810.2623301671</v>
      </c>
    </row>
    <row r="10" spans="1:3">
      <c r="A10" s="358">
        <f t="shared" si="0"/>
        <v>37135</v>
      </c>
      <c r="B10" s="356" t="str">
        <f t="shared" si="1"/>
        <v>2001-09-01</v>
      </c>
      <c r="C10" s="356" cm="1">
        <f t="array" ref="C10">INDEX($C:$C,MATCH(ROW()-MOD(ROW()-ROW($C$2),3),ROW($C:$C),0))+(B10-INDEX($B:$B,MATCH(ROW()-MOD(ROW()-ROW($C$2),3),ROW($C:$C),0)))/(INDEX($B:$B,MATCH(ROW()-MOD(ROW()-ROW($C$2),3),ROW($C:$C),0)+3)-INDEX($B:$B,MATCH(ROW()-MOD(ROW()-ROW($C$2),3),ROW($C:$C),0)))*(INDEX($C:$C,MATCH(ROW()-MOD(ROW()-ROW($C$2),3),ROW($C:$C),0)+3)-INDEX($C:$C,MATCH(ROW()-MOD(ROW()-ROW($C$2),3),ROW($C:$C),0)))</f>
        <v>14078.8994888055</v>
      </c>
    </row>
    <row r="11" spans="1:3">
      <c r="A11" s="358">
        <f t="shared" si="0"/>
        <v>37165</v>
      </c>
      <c r="B11" s="356" t="str">
        <f t="shared" si="1"/>
        <v>2001-10-01</v>
      </c>
      <c r="C11" s="356">
        <f>VLOOKUP(B11,'Final Cle'!$C$2:$D$103,2,FALSE)</f>
        <v>14338.8709326492</v>
      </c>
    </row>
    <row r="12" spans="1:3">
      <c r="A12" s="358">
        <f t="shared" si="0"/>
        <v>37196</v>
      </c>
      <c r="B12" s="356" t="str">
        <f t="shared" si="1"/>
        <v>2001-11-01</v>
      </c>
      <c r="C12" s="356" cm="1">
        <f t="array" ref="C12">INDEX($C:$C,MATCH(ROW()-MOD(ROW()-ROW($C$2),3),ROW($C:$C),0))+(B12-INDEX($B:$B,MATCH(ROW()-MOD(ROW()-ROW($C$2),3),ROW($C:$C),0)))/(INDEX($B:$B,MATCH(ROW()-MOD(ROW()-ROW($C$2),3),ROW($C:$C),0)+3)-INDEX($B:$B,MATCH(ROW()-MOD(ROW()-ROW($C$2),3),ROW($C:$C),0)))*(INDEX($C:$C,MATCH(ROW()-MOD(ROW()-ROW($C$2),3),ROW($C:$C),0)+3)-INDEX($C:$C,MATCH(ROW()-MOD(ROW()-ROW($C$2),3),ROW($C:$C),0)))</f>
        <v>14564.4008143163</v>
      </c>
    </row>
    <row r="13" spans="1:3">
      <c r="A13" s="358">
        <f t="shared" si="0"/>
        <v>37226</v>
      </c>
      <c r="B13" s="356" t="str">
        <f t="shared" si="1"/>
        <v>2001-12-01</v>
      </c>
      <c r="C13" s="356" cm="1">
        <f t="array" ref="C13">INDEX($C:$C,MATCH(ROW()-MOD(ROW()-ROW($C$2),3),ROW($C:$C),0))+(B13-INDEX($B:$B,MATCH(ROW()-MOD(ROW()-ROW($C$2),3),ROW($C:$C),0)))/(INDEX($B:$B,MATCH(ROW()-MOD(ROW()-ROW($C$2),3),ROW($C:$C),0)+3)-INDEX($B:$B,MATCH(ROW()-MOD(ROW()-ROW($C$2),3),ROW($C:$C),0)))*(INDEX($C:$C,MATCH(ROW()-MOD(ROW()-ROW($C$2),3),ROW($C:$C),0)+3)-INDEX($C:$C,MATCH(ROW()-MOD(ROW()-ROW($C$2),3),ROW($C:$C),0)))</f>
        <v>14782.6555385103</v>
      </c>
    </row>
    <row r="14" spans="1:3">
      <c r="A14" s="358">
        <f t="shared" si="0"/>
        <v>37257</v>
      </c>
      <c r="B14" s="356" t="str">
        <f t="shared" si="1"/>
        <v>2002-01-01</v>
      </c>
      <c r="C14" s="356">
        <f>VLOOKUP(B14,'Final Cle'!$C$2:$D$103,2,FALSE)</f>
        <v>15008.1854201774</v>
      </c>
    </row>
    <row r="15" spans="1:3">
      <c r="A15" s="358">
        <f t="shared" si="0"/>
        <v>37288</v>
      </c>
      <c r="B15" s="356" t="str">
        <f t="shared" si="1"/>
        <v>2002-02-01</v>
      </c>
      <c r="C15" s="356" cm="1">
        <f t="array" ref="C15">INDEX($C:$C,MATCH(ROW()-MOD(ROW()-ROW($C$2),3),ROW($C:$C),0))+(B15-INDEX($B:$B,MATCH(ROW()-MOD(ROW()-ROW($C$2),3),ROW($C:$C),0)))/(INDEX($B:$B,MATCH(ROW()-MOD(ROW()-ROW($C$2),3),ROW($C:$C),0)+3)-INDEX($B:$B,MATCH(ROW()-MOD(ROW()-ROW($C$2),3),ROW($C:$C),0)))*(INDEX($C:$C,MATCH(ROW()-MOD(ROW()-ROW($C$2),3),ROW($C:$C),0)+3)-INDEX($C:$C,MATCH(ROW()-MOD(ROW()-ROW($C$2),3),ROW($C:$C),0)))</f>
        <v>15131.9442845727</v>
      </c>
    </row>
    <row r="16" spans="1:3">
      <c r="A16" s="358">
        <f t="shared" si="0"/>
        <v>37316</v>
      </c>
      <c r="B16" s="356" t="str">
        <f t="shared" si="1"/>
        <v>2002-03-01</v>
      </c>
      <c r="C16" s="356" cm="1">
        <f t="array" ref="C16">INDEX($C:$C,MATCH(ROW()-MOD(ROW()-ROW($C$2),3),ROW($C:$C),0))+(B16-INDEX($B:$B,MATCH(ROW()-MOD(ROW()-ROW($C$2),3),ROW($C:$C),0)))/(INDEX($B:$B,MATCH(ROW()-MOD(ROW()-ROW($C$2),3),ROW($C:$C),0)+3)-INDEX($B:$B,MATCH(ROW()-MOD(ROW()-ROW($C$2),3),ROW($C:$C),0)))*(INDEX($C:$C,MATCH(ROW()-MOD(ROW()-ROW($C$2),3),ROW($C:$C),0)+3)-INDEX($C:$C,MATCH(ROW()-MOD(ROW()-ROW($C$2),3),ROW($C:$C),0)))</f>
        <v>15243.7264846718</v>
      </c>
    </row>
    <row r="17" spans="1:3">
      <c r="A17" s="358">
        <f t="shared" si="0"/>
        <v>37347</v>
      </c>
      <c r="B17" s="356" t="str">
        <f t="shared" si="1"/>
        <v>2002-04-01</v>
      </c>
      <c r="C17" s="356">
        <f>VLOOKUP(B17,'Final Cle'!$C$2:$D$103,2,FALSE)</f>
        <v>15367.4853490671</v>
      </c>
    </row>
    <row r="18" spans="1:3">
      <c r="A18" s="358">
        <f t="shared" si="0"/>
        <v>37377</v>
      </c>
      <c r="B18" s="356" t="str">
        <f t="shared" si="1"/>
        <v>2002-05-01</v>
      </c>
      <c r="C18" s="356" cm="1">
        <f t="array" ref="C18">INDEX($C:$C,MATCH(ROW()-MOD(ROW()-ROW($C$2),3),ROW($C:$C),0))+(B18-INDEX($B:$B,MATCH(ROW()-MOD(ROW()-ROW($C$2),3),ROW($C:$C),0)))/(INDEX($B:$B,MATCH(ROW()-MOD(ROW()-ROW($C$2),3),ROW($C:$C),0)+3)-INDEX($B:$B,MATCH(ROW()-MOD(ROW()-ROW($C$2),3),ROW($C:$C),0)))*(INDEX($C:$C,MATCH(ROW()-MOD(ROW()-ROW($C$2),3),ROW($C:$C),0)+3)-INDEX($C:$C,MATCH(ROW()-MOD(ROW()-ROW($C$2),3),ROW($C:$C),0)))</f>
        <v>15658.3149763123</v>
      </c>
    </row>
    <row r="19" spans="1:3">
      <c r="A19" s="358">
        <f t="shared" si="0"/>
        <v>37408</v>
      </c>
      <c r="B19" s="356" t="str">
        <f t="shared" si="1"/>
        <v>2002-06-01</v>
      </c>
      <c r="C19" s="356" cm="1">
        <f t="array" ref="C19">INDEX($C:$C,MATCH(ROW()-MOD(ROW()-ROW($C$2),3),ROW($C:$C),0))+(B19-INDEX($B:$B,MATCH(ROW()-MOD(ROW()-ROW($C$2),3),ROW($C:$C),0)))/(INDEX($B:$B,MATCH(ROW()-MOD(ROW()-ROW($C$2),3),ROW($C:$C),0)+3)-INDEX($B:$B,MATCH(ROW()-MOD(ROW()-ROW($C$2),3),ROW($C:$C),0)))*(INDEX($C:$C,MATCH(ROW()-MOD(ROW()-ROW($C$2),3),ROW($C:$C),0)+3)-INDEX($C:$C,MATCH(ROW()-MOD(ROW()-ROW($C$2),3),ROW($C:$C),0)))</f>
        <v>15958.8389244657</v>
      </c>
    </row>
    <row r="20" spans="1:3">
      <c r="A20" s="358">
        <f t="shared" si="0"/>
        <v>37438</v>
      </c>
      <c r="B20" s="356" t="str">
        <f t="shared" si="1"/>
        <v>2002-07-01</v>
      </c>
      <c r="C20" s="356">
        <f>VLOOKUP(B20,'Final Cle'!$C$2:$D$103,2,FALSE)</f>
        <v>16249.6685517109</v>
      </c>
    </row>
    <row r="21" spans="1:3">
      <c r="A21" s="358">
        <f t="shared" si="0"/>
        <v>37469</v>
      </c>
      <c r="B21" s="356" t="str">
        <f t="shared" si="1"/>
        <v>2002-08-01</v>
      </c>
      <c r="C21" s="356" cm="1">
        <f t="array" ref="C21">INDEX($C:$C,MATCH(ROW()-MOD(ROW()-ROW($C$2),3),ROW($C:$C),0))+(B21-INDEX($B:$B,MATCH(ROW()-MOD(ROW()-ROW($C$2),3),ROW($C:$C),0)))/(INDEX($B:$B,MATCH(ROW()-MOD(ROW()-ROW($C$2),3),ROW($C:$C),0)+3)-INDEX($B:$B,MATCH(ROW()-MOD(ROW()-ROW($C$2),3),ROW($C:$C),0)))*(INDEX($C:$C,MATCH(ROW()-MOD(ROW()-ROW($C$2),3),ROW($C:$C),0)+3)-INDEX($C:$C,MATCH(ROW()-MOD(ROW()-ROW($C$2),3),ROW($C:$C),0)))</f>
        <v>16548.3716284708</v>
      </c>
    </row>
    <row r="22" spans="1:3">
      <c r="A22" s="358">
        <f t="shared" si="0"/>
        <v>37500</v>
      </c>
      <c r="B22" s="356" t="str">
        <f t="shared" si="1"/>
        <v>2002-09-01</v>
      </c>
      <c r="C22" s="356" cm="1">
        <f t="array" ref="C22">INDEX($C:$C,MATCH(ROW()-MOD(ROW()-ROW($C$2),3),ROW($C:$C),0))+(B22-INDEX($B:$B,MATCH(ROW()-MOD(ROW()-ROW($C$2),3),ROW($C:$C),0)))/(INDEX($B:$B,MATCH(ROW()-MOD(ROW()-ROW($C$2),3),ROW($C:$C),0)+3)-INDEX($B:$B,MATCH(ROW()-MOD(ROW()-ROW($C$2),3),ROW($C:$C),0)))*(INDEX($C:$C,MATCH(ROW()-MOD(ROW()-ROW($C$2),3),ROW($C:$C),0)+3)-INDEX($C:$C,MATCH(ROW()-MOD(ROW()-ROW($C$2),3),ROW($C:$C),0)))</f>
        <v>16847.0747052308</v>
      </c>
    </row>
    <row r="23" spans="1:3">
      <c r="A23" s="358">
        <f t="shared" si="0"/>
        <v>37530</v>
      </c>
      <c r="B23" s="356" t="str">
        <f t="shared" si="1"/>
        <v>2002-10-01</v>
      </c>
      <c r="C23" s="356">
        <f>VLOOKUP(B23,'Final Cle'!$C$2:$D$103,2,FALSE)</f>
        <v>17136.1421988694</v>
      </c>
    </row>
    <row r="24" spans="1:3">
      <c r="A24" s="358">
        <f t="shared" si="0"/>
        <v>37561</v>
      </c>
      <c r="B24" s="356" t="str">
        <f t="shared" si="1"/>
        <v>2002-11-01</v>
      </c>
      <c r="C24" s="356" cm="1">
        <f t="array" ref="C24">INDEX($C:$C,MATCH(ROW()-MOD(ROW()-ROW($C$2),3),ROW($C:$C),0))+(B24-INDEX($B:$B,MATCH(ROW()-MOD(ROW()-ROW($C$2),3),ROW($C:$C),0)))/(INDEX($B:$B,MATCH(ROW()-MOD(ROW()-ROW($C$2),3),ROW($C:$C),0)+3)-INDEX($B:$B,MATCH(ROW()-MOD(ROW()-ROW($C$2),3),ROW($C:$C),0)))*(INDEX($C:$C,MATCH(ROW()-MOD(ROW()-ROW($C$2),3),ROW($C:$C),0)+3)-INDEX($C:$C,MATCH(ROW()-MOD(ROW()-ROW($C$2),3),ROW($C:$C),0)))</f>
        <v>17472.6400514915</v>
      </c>
    </row>
    <row r="25" spans="1:3">
      <c r="A25" s="358">
        <f t="shared" si="0"/>
        <v>37591</v>
      </c>
      <c r="B25" s="356" t="str">
        <f t="shared" si="1"/>
        <v>2002-12-01</v>
      </c>
      <c r="C25" s="356" cm="1">
        <f t="array" ref="C25">INDEX($C:$C,MATCH(ROW()-MOD(ROW()-ROW($C$2),3),ROW($C:$C),0))+(B25-INDEX($B:$B,MATCH(ROW()-MOD(ROW()-ROW($C$2),3),ROW($C:$C),0)))/(INDEX($B:$B,MATCH(ROW()-MOD(ROW()-ROW($C$2),3),ROW($C:$C),0)+3)-INDEX($B:$B,MATCH(ROW()-MOD(ROW()-ROW($C$2),3),ROW($C:$C),0)))*(INDEX($C:$C,MATCH(ROW()-MOD(ROW()-ROW($C$2),3),ROW($C:$C),0)+3)-INDEX($C:$C,MATCH(ROW()-MOD(ROW()-ROW($C$2),3),ROW($C:$C),0)))</f>
        <v>17798.2831346743</v>
      </c>
    </row>
    <row r="26" spans="1:3">
      <c r="A26" s="358">
        <f t="shared" si="0"/>
        <v>37622</v>
      </c>
      <c r="B26" s="356" t="str">
        <f t="shared" si="1"/>
        <v>2003-01-01</v>
      </c>
      <c r="C26" s="356">
        <f>VLOOKUP(B26,'Final Cle'!$C$2:$D$103,2,FALSE)</f>
        <v>18134.7809872964</v>
      </c>
    </row>
    <row r="27" spans="1:3">
      <c r="A27" s="358">
        <f t="shared" si="0"/>
        <v>37653</v>
      </c>
      <c r="B27" s="356" t="str">
        <f t="shared" si="1"/>
        <v>2003-02-01</v>
      </c>
      <c r="C27" s="356" cm="1">
        <f t="array" ref="C27">INDEX($C:$C,MATCH(ROW()-MOD(ROW()-ROW($C$2),3),ROW($C:$C),0))+(B27-INDEX($B:$B,MATCH(ROW()-MOD(ROW()-ROW($C$2),3),ROW($C:$C),0)))/(INDEX($B:$B,MATCH(ROW()-MOD(ROW()-ROW($C$2),3),ROW($C:$C),0)+3)-INDEX($B:$B,MATCH(ROW()-MOD(ROW()-ROW($C$2),3),ROW($C:$C),0)))*(INDEX($C:$C,MATCH(ROW()-MOD(ROW()-ROW($C$2),3),ROW($C:$C),0)+3)-INDEX($C:$C,MATCH(ROW()-MOD(ROW()-ROW($C$2),3),ROW($C:$C),0)))</f>
        <v>18341.0308306686</v>
      </c>
    </row>
    <row r="28" spans="1:3">
      <c r="A28" s="358">
        <f t="shared" si="0"/>
        <v>37681</v>
      </c>
      <c r="B28" s="356" t="str">
        <f t="shared" si="1"/>
        <v>2003-03-01</v>
      </c>
      <c r="C28" s="356" cm="1">
        <f t="array" ref="C28">INDEX($C:$C,MATCH(ROW()-MOD(ROW()-ROW($C$2),3),ROW($C:$C),0))+(B28-INDEX($B:$B,MATCH(ROW()-MOD(ROW()-ROW($C$2),3),ROW($C:$C),0)))/(INDEX($B:$B,MATCH(ROW()-MOD(ROW()-ROW($C$2),3),ROW($C:$C),0)+3)-INDEX($B:$B,MATCH(ROW()-MOD(ROW()-ROW($C$2),3),ROW($C:$C),0)))*(INDEX($C:$C,MATCH(ROW()-MOD(ROW()-ROW($C$2),3),ROW($C:$C),0)+3)-INDEX($C:$C,MATCH(ROW()-MOD(ROW()-ROW($C$2),3),ROW($C:$C),0)))</f>
        <v>18527.3210117791</v>
      </c>
    </row>
    <row r="29" spans="1:3">
      <c r="A29" s="358">
        <f t="shared" si="0"/>
        <v>37712</v>
      </c>
      <c r="B29" s="356" t="str">
        <f t="shared" si="1"/>
        <v>2003-04-01</v>
      </c>
      <c r="C29" s="356">
        <f>VLOOKUP(B29,'Final Cle'!$C$2:$D$103,2,FALSE)</f>
        <v>18733.5708551513</v>
      </c>
    </row>
    <row r="30" spans="1:3">
      <c r="A30" s="358">
        <f t="shared" si="0"/>
        <v>37742</v>
      </c>
      <c r="B30" s="356" t="str">
        <f t="shared" si="1"/>
        <v>2003-05-01</v>
      </c>
      <c r="C30" s="356" cm="1">
        <f t="array" ref="C30">INDEX($C:$C,MATCH(ROW()-MOD(ROW()-ROW($C$2),3),ROW($C:$C),0))+(B30-INDEX($B:$B,MATCH(ROW()-MOD(ROW()-ROW($C$2),3),ROW($C:$C),0)))/(INDEX($B:$B,MATCH(ROW()-MOD(ROW()-ROW($C$2),3),ROW($C:$C),0)+3)-INDEX($B:$B,MATCH(ROW()-MOD(ROW()-ROW($C$2),3),ROW($C:$C),0)))*(INDEX($C:$C,MATCH(ROW()-MOD(ROW()-ROW($C$2),3),ROW($C:$C),0)+3)-INDEX($C:$C,MATCH(ROW()-MOD(ROW()-ROW($C$2),3),ROW($C:$C),0)))</f>
        <v>19165.2892427225</v>
      </c>
    </row>
    <row r="31" spans="1:3">
      <c r="A31" s="358">
        <f t="shared" si="0"/>
        <v>37773</v>
      </c>
      <c r="B31" s="356" t="str">
        <f t="shared" si="1"/>
        <v>2003-06-01</v>
      </c>
      <c r="C31" s="356" cm="1">
        <f t="array" ref="C31">INDEX($C:$C,MATCH(ROW()-MOD(ROW()-ROW($C$2),3),ROW($C:$C),0))+(B31-INDEX($B:$B,MATCH(ROW()-MOD(ROW()-ROW($C$2),3),ROW($C:$C),0)))/(INDEX($B:$B,MATCH(ROW()-MOD(ROW()-ROW($C$2),3),ROW($C:$C),0)+3)-INDEX($B:$B,MATCH(ROW()-MOD(ROW()-ROW($C$2),3),ROW($C:$C),0)))*(INDEX($C:$C,MATCH(ROW()-MOD(ROW()-ROW($C$2),3),ROW($C:$C),0)+3)-INDEX($C:$C,MATCH(ROW()-MOD(ROW()-ROW($C$2),3),ROW($C:$C),0)))</f>
        <v>19611.3982432126</v>
      </c>
    </row>
    <row r="32" spans="1:3">
      <c r="A32" s="358">
        <f t="shared" si="0"/>
        <v>37803</v>
      </c>
      <c r="B32" s="356" t="str">
        <f t="shared" si="1"/>
        <v>2003-07-01</v>
      </c>
      <c r="C32" s="356">
        <f>VLOOKUP(B32,'Final Cle'!$C$2:$D$103,2,FALSE)</f>
        <v>20043.1166307838</v>
      </c>
    </row>
    <row r="33" spans="1:3">
      <c r="A33" s="358">
        <f t="shared" si="0"/>
        <v>37834</v>
      </c>
      <c r="B33" s="356" t="str">
        <f t="shared" si="1"/>
        <v>2003-08-01</v>
      </c>
      <c r="C33" s="356" cm="1">
        <f t="array" ref="C33">INDEX($C:$C,MATCH(ROW()-MOD(ROW()-ROW($C$2),3),ROW($C:$C),0))+(B33-INDEX($B:$B,MATCH(ROW()-MOD(ROW()-ROW($C$2),3),ROW($C:$C),0)))/(INDEX($B:$B,MATCH(ROW()-MOD(ROW()-ROW($C$2),3),ROW($C:$C),0)+3)-INDEX($B:$B,MATCH(ROW()-MOD(ROW()-ROW($C$2),3),ROW($C:$C),0)))*(INDEX($C:$C,MATCH(ROW()-MOD(ROW()-ROW($C$2),3),ROW($C:$C),0)+3)-INDEX($C:$C,MATCH(ROW()-MOD(ROW()-ROW($C$2),3),ROW($C:$C),0)))</f>
        <v>20574.2923943515</v>
      </c>
    </row>
    <row r="34" spans="1:3">
      <c r="A34" s="358">
        <f t="shared" si="0"/>
        <v>37865</v>
      </c>
      <c r="B34" s="356" t="str">
        <f t="shared" si="1"/>
        <v>2003-09-01</v>
      </c>
      <c r="C34" s="356" cm="1">
        <f t="array" ref="C34">INDEX($C:$C,MATCH(ROW()-MOD(ROW()-ROW($C$2),3),ROW($C:$C),0))+(B34-INDEX($B:$B,MATCH(ROW()-MOD(ROW()-ROW($C$2),3),ROW($C:$C),0)))/(INDEX($B:$B,MATCH(ROW()-MOD(ROW()-ROW($C$2),3),ROW($C:$C),0)+3)-INDEX($B:$B,MATCH(ROW()-MOD(ROW()-ROW($C$2),3),ROW($C:$C),0)))*(INDEX($C:$C,MATCH(ROW()-MOD(ROW()-ROW($C$2),3),ROW($C:$C),0)+3)-INDEX($C:$C,MATCH(ROW()-MOD(ROW()-ROW($C$2),3),ROW($C:$C),0)))</f>
        <v>21105.4681579192</v>
      </c>
    </row>
    <row r="35" spans="1:3">
      <c r="A35" s="358">
        <f t="shared" si="0"/>
        <v>37895</v>
      </c>
      <c r="B35" s="356" t="str">
        <f t="shared" si="1"/>
        <v>2003-10-01</v>
      </c>
      <c r="C35" s="356">
        <f>VLOOKUP(B35,'Final Cle'!$C$2:$D$103,2,FALSE)</f>
        <v>21619.5092194364</v>
      </c>
    </row>
    <row r="36" spans="1:3">
      <c r="A36" s="358">
        <f t="shared" si="0"/>
        <v>37926</v>
      </c>
      <c r="B36" s="356" t="str">
        <f t="shared" si="1"/>
        <v>2003-11-01</v>
      </c>
      <c r="C36" s="356" cm="1">
        <f t="array" ref="C36">INDEX($C:$C,MATCH(ROW()-MOD(ROW()-ROW($C$2),3),ROW($C:$C),0))+(B36-INDEX($B:$B,MATCH(ROW()-MOD(ROW()-ROW($C$2),3),ROW($C:$C),0)))/(INDEX($B:$B,MATCH(ROW()-MOD(ROW()-ROW($C$2),3),ROW($C:$C),0)+3)-INDEX($B:$B,MATCH(ROW()-MOD(ROW()-ROW($C$2),3),ROW($C:$C),0)))*(INDEX($C:$C,MATCH(ROW()-MOD(ROW()-ROW($C$2),3),ROW($C:$C),0)+3)-INDEX($C:$C,MATCH(ROW()-MOD(ROW()-ROW($C$2),3),ROW($C:$C),0)))</f>
        <v>22114.7623180876</v>
      </c>
    </row>
    <row r="37" spans="1:3">
      <c r="A37" s="358">
        <f t="shared" si="0"/>
        <v>37956</v>
      </c>
      <c r="B37" s="356" t="str">
        <f t="shared" si="1"/>
        <v>2003-12-01</v>
      </c>
      <c r="C37" s="356" cm="1">
        <f t="array" ref="C37">INDEX($C:$C,MATCH(ROW()-MOD(ROW()-ROW($C$2),3),ROW($C:$C),0))+(B37-INDEX($B:$B,MATCH(ROW()-MOD(ROW()-ROW($C$2),3),ROW($C:$C),0)))/(INDEX($B:$B,MATCH(ROW()-MOD(ROW()-ROW($C$2),3),ROW($C:$C),0)+3)-INDEX($B:$B,MATCH(ROW()-MOD(ROW()-ROW($C$2),3),ROW($C:$C),0)))*(INDEX($C:$C,MATCH(ROW()-MOD(ROW()-ROW($C$2),3),ROW($C:$C),0)+3)-INDEX($C:$C,MATCH(ROW()-MOD(ROW()-ROW($C$2),3),ROW($C:$C),0)))</f>
        <v>22594.0395103306</v>
      </c>
    </row>
    <row r="38" spans="1:3">
      <c r="A38" s="358">
        <f t="shared" si="0"/>
        <v>37987</v>
      </c>
      <c r="B38" s="356" t="str">
        <f t="shared" si="1"/>
        <v>2004-01-01</v>
      </c>
      <c r="C38" s="356">
        <f>VLOOKUP(B38,'Final Cle'!$C$2:$D$103,2,FALSE)</f>
        <v>23089.2926089818</v>
      </c>
    </row>
    <row r="39" spans="1:3">
      <c r="A39" s="358">
        <f t="shared" si="0"/>
        <v>38018</v>
      </c>
      <c r="B39" s="356" t="str">
        <f t="shared" si="1"/>
        <v>2004-02-01</v>
      </c>
      <c r="C39" s="356" cm="1">
        <f t="array" ref="C39">INDEX($C:$C,MATCH(ROW()-MOD(ROW()-ROW($C$2),3),ROW($C:$C),0))+(B39-INDEX($B:$B,MATCH(ROW()-MOD(ROW()-ROW($C$2),3),ROW($C:$C),0)))/(INDEX($B:$B,MATCH(ROW()-MOD(ROW()-ROW($C$2),3),ROW($C:$C),0)+3)-INDEX($B:$B,MATCH(ROW()-MOD(ROW()-ROW($C$2),3),ROW($C:$C),0)))*(INDEX($C:$C,MATCH(ROW()-MOD(ROW()-ROW($C$2),3),ROW($C:$C),0)+3)-INDEX($C:$C,MATCH(ROW()-MOD(ROW()-ROW($C$2),3),ROW($C:$C),0)))</f>
        <v>23488.1122688508</v>
      </c>
    </row>
    <row r="40" spans="1:3">
      <c r="A40" s="358">
        <f t="shared" si="0"/>
        <v>38047</v>
      </c>
      <c r="B40" s="356" t="str">
        <f t="shared" si="1"/>
        <v>2004-03-01</v>
      </c>
      <c r="C40" s="356" cm="1">
        <f t="array" ref="C40">INDEX($C:$C,MATCH(ROW()-MOD(ROW()-ROW($C$2),3),ROW($C:$C),0))+(B40-INDEX($B:$B,MATCH(ROW()-MOD(ROW()-ROW($C$2),3),ROW($C:$C),0)))/(INDEX($B:$B,MATCH(ROW()-MOD(ROW()-ROW($C$2),3),ROW($C:$C),0)+3)-INDEX($B:$B,MATCH(ROW()-MOD(ROW()-ROW($C$2),3),ROW($C:$C),0)))*(INDEX($C:$C,MATCH(ROW()-MOD(ROW()-ROW($C$2),3),ROW($C:$C),0)+3)-INDEX($C:$C,MATCH(ROW()-MOD(ROW()-ROW($C$2),3),ROW($C:$C),0)))</f>
        <v>23861.201628083</v>
      </c>
    </row>
    <row r="41" spans="1:3">
      <c r="A41" s="358">
        <f t="shared" si="0"/>
        <v>38078</v>
      </c>
      <c r="B41" s="356" t="str">
        <f t="shared" si="1"/>
        <v>2004-04-01</v>
      </c>
      <c r="C41" s="356">
        <f>VLOOKUP(B41,'Final Cle'!$C$2:$D$103,2,FALSE)</f>
        <v>24260.021287952</v>
      </c>
    </row>
    <row r="42" spans="1:3">
      <c r="A42" s="358">
        <f t="shared" si="0"/>
        <v>38108</v>
      </c>
      <c r="B42" s="356" t="str">
        <f t="shared" si="1"/>
        <v>2004-05-01</v>
      </c>
      <c r="C42" s="356" cm="1">
        <f t="array" ref="C42">INDEX($C:$C,MATCH(ROW()-MOD(ROW()-ROW($C$2),3),ROW($C:$C),0))+(B42-INDEX($B:$B,MATCH(ROW()-MOD(ROW()-ROW($C$2),3),ROW($C:$C),0)))/(INDEX($B:$B,MATCH(ROW()-MOD(ROW()-ROW($C$2),3),ROW($C:$C),0)+3)-INDEX($B:$B,MATCH(ROW()-MOD(ROW()-ROW($C$2),3),ROW($C:$C),0)))*(INDEX($C:$C,MATCH(ROW()-MOD(ROW()-ROW($C$2),3),ROW($C:$C),0)+3)-INDEX($C:$C,MATCH(ROW()-MOD(ROW()-ROW($C$2),3),ROW($C:$C),0)))</f>
        <v>24745.5843399591</v>
      </c>
    </row>
    <row r="43" spans="1:3">
      <c r="A43" s="358">
        <f t="shared" si="0"/>
        <v>38139</v>
      </c>
      <c r="B43" s="356" t="str">
        <f t="shared" si="1"/>
        <v>2004-06-01</v>
      </c>
      <c r="C43" s="356" cm="1">
        <f t="array" ref="C43">INDEX($C:$C,MATCH(ROW()-MOD(ROW()-ROW($C$2),3),ROW($C:$C),0))+(B43-INDEX($B:$B,MATCH(ROW()-MOD(ROW()-ROW($C$2),3),ROW($C:$C),0)))/(INDEX($B:$B,MATCH(ROW()-MOD(ROW()-ROW($C$2),3),ROW($C:$C),0)+3)-INDEX($B:$B,MATCH(ROW()-MOD(ROW()-ROW($C$2),3),ROW($C:$C),0)))*(INDEX($C:$C,MATCH(ROW()-MOD(ROW()-ROW($C$2),3),ROW($C:$C),0)+3)-INDEX($C:$C,MATCH(ROW()-MOD(ROW()-ROW($C$2),3),ROW($C:$C),0)))</f>
        <v>25247.3328270331</v>
      </c>
    </row>
    <row r="44" spans="1:3">
      <c r="A44" s="358">
        <f t="shared" si="0"/>
        <v>38169</v>
      </c>
      <c r="B44" s="356" t="str">
        <f t="shared" si="1"/>
        <v>2004-07-01</v>
      </c>
      <c r="C44" s="356">
        <f>VLOOKUP(B44,'Final Cle'!$C$2:$D$103,2,FALSE)</f>
        <v>25732.8958790402</v>
      </c>
    </row>
    <row r="45" spans="1:3">
      <c r="A45" s="358">
        <f t="shared" si="0"/>
        <v>38200</v>
      </c>
      <c r="B45" s="356" t="str">
        <f t="shared" si="1"/>
        <v>2004-08-01</v>
      </c>
      <c r="C45" s="356" cm="1">
        <f t="array" ref="C45">INDEX($C:$C,MATCH(ROW()-MOD(ROW()-ROW($C$2),3),ROW($C:$C),0))+(B45-INDEX($B:$B,MATCH(ROW()-MOD(ROW()-ROW($C$2),3),ROW($C:$C),0)))/(INDEX($B:$B,MATCH(ROW()-MOD(ROW()-ROW($C$2),3),ROW($C:$C),0)+3)-INDEX($B:$B,MATCH(ROW()-MOD(ROW()-ROW($C$2),3),ROW($C:$C),0)))*(INDEX($C:$C,MATCH(ROW()-MOD(ROW()-ROW($C$2),3),ROW($C:$C),0)+3)-INDEX($C:$C,MATCH(ROW()-MOD(ROW()-ROW($C$2),3),ROW($C:$C),0)))</f>
        <v>26210.5905193565</v>
      </c>
    </row>
    <row r="46" spans="1:3">
      <c r="A46" s="358">
        <f t="shared" si="0"/>
        <v>38231</v>
      </c>
      <c r="B46" s="356" t="str">
        <f t="shared" si="1"/>
        <v>2004-09-01</v>
      </c>
      <c r="C46" s="356" cm="1">
        <f t="array" ref="C46">INDEX($C:$C,MATCH(ROW()-MOD(ROW()-ROW($C$2),3),ROW($C:$C),0))+(B46-INDEX($B:$B,MATCH(ROW()-MOD(ROW()-ROW($C$2),3),ROW($C:$C),0)))/(INDEX($B:$B,MATCH(ROW()-MOD(ROW()-ROW($C$2),3),ROW($C:$C),0)+3)-INDEX($B:$B,MATCH(ROW()-MOD(ROW()-ROW($C$2),3),ROW($C:$C),0)))*(INDEX($C:$C,MATCH(ROW()-MOD(ROW()-ROW($C$2),3),ROW($C:$C),0)+3)-INDEX($C:$C,MATCH(ROW()-MOD(ROW()-ROW($C$2),3),ROW($C:$C),0)))</f>
        <v>26688.2851596728</v>
      </c>
    </row>
    <row r="47" spans="1:3">
      <c r="A47" s="358">
        <f t="shared" si="0"/>
        <v>38261</v>
      </c>
      <c r="B47" s="356" t="str">
        <f t="shared" si="1"/>
        <v>2004-10-01</v>
      </c>
      <c r="C47" s="356">
        <f>VLOOKUP(B47,'Final Cle'!$C$2:$D$103,2,FALSE)</f>
        <v>27150.5702954628</v>
      </c>
    </row>
    <row r="48" spans="1:3">
      <c r="A48" s="358">
        <f t="shared" si="0"/>
        <v>38292</v>
      </c>
      <c r="B48" s="356" t="str">
        <f t="shared" si="1"/>
        <v>2004-11-01</v>
      </c>
      <c r="C48" s="356" cm="1">
        <f t="array" ref="C48">INDEX($C:$C,MATCH(ROW()-MOD(ROW()-ROW($C$2),3),ROW($C:$C),0))+(B48-INDEX($B:$B,MATCH(ROW()-MOD(ROW()-ROW($C$2),3),ROW($C:$C),0)))/(INDEX($B:$B,MATCH(ROW()-MOD(ROW()-ROW($C$2),3),ROW($C:$C),0)+3)-INDEX($B:$B,MATCH(ROW()-MOD(ROW()-ROW($C$2),3),ROW($C:$C),0)))*(INDEX($C:$C,MATCH(ROW()-MOD(ROW()-ROW($C$2),3),ROW($C:$C),0)+3)-INDEX($C:$C,MATCH(ROW()-MOD(ROW()-ROW($C$2),3),ROW($C:$C),0)))</f>
        <v>29028.482981292</v>
      </c>
    </row>
    <row r="49" spans="1:3">
      <c r="A49" s="358">
        <f t="shared" si="0"/>
        <v>38322</v>
      </c>
      <c r="B49" s="356" t="str">
        <f t="shared" si="1"/>
        <v>2004-12-01</v>
      </c>
      <c r="C49" s="356" cm="1">
        <f t="array" ref="C49">INDEX($C:$C,MATCH(ROW()-MOD(ROW()-ROW($C$2),3),ROW($C:$C),0))+(B49-INDEX($B:$B,MATCH(ROW()-MOD(ROW()-ROW($C$2),3),ROW($C:$C),0)))/(INDEX($B:$B,MATCH(ROW()-MOD(ROW()-ROW($C$2),3),ROW($C:$C),0)+3)-INDEX($B:$B,MATCH(ROW()-MOD(ROW()-ROW($C$2),3),ROW($C:$C),0)))*(INDEX($C:$C,MATCH(ROW()-MOD(ROW()-ROW($C$2),3),ROW($C:$C),0)+3)-INDEX($C:$C,MATCH(ROW()-MOD(ROW()-ROW($C$2),3),ROW($C:$C),0)))</f>
        <v>30845.817838546</v>
      </c>
    </row>
    <row r="50" spans="1:3">
      <c r="A50" s="358">
        <f t="shared" si="0"/>
        <v>38353</v>
      </c>
      <c r="B50" s="356" t="str">
        <f t="shared" si="1"/>
        <v>2005-01-01</v>
      </c>
      <c r="C50" s="356">
        <f>VLOOKUP(B50,'Final Cle'!$C$2:$D$103,2,FALSE)</f>
        <v>32723.7305243752</v>
      </c>
    </row>
    <row r="51" spans="1:3">
      <c r="A51" s="358">
        <f t="shared" si="0"/>
        <v>38384</v>
      </c>
      <c r="B51" s="356" t="str">
        <f t="shared" si="1"/>
        <v>2005-02-01</v>
      </c>
      <c r="C51" s="356" cm="1">
        <f t="array" ref="C51">INDEX($C:$C,MATCH(ROW()-MOD(ROW()-ROW($C$2),3),ROW($C:$C),0))+(B51-INDEX($B:$B,MATCH(ROW()-MOD(ROW()-ROW($C$2),3),ROW($C:$C),0)))/(INDEX($B:$B,MATCH(ROW()-MOD(ROW()-ROW($C$2),3),ROW($C:$C),0)+3)-INDEX($B:$B,MATCH(ROW()-MOD(ROW()-ROW($C$2),3),ROW($C:$C),0)))*(INDEX($C:$C,MATCH(ROW()-MOD(ROW()-ROW($C$2),3),ROW($C:$C),0)+3)-INDEX($C:$C,MATCH(ROW()-MOD(ROW()-ROW($C$2),3),ROW($C:$C),0)))</f>
        <v>33251.5478844924</v>
      </c>
    </row>
    <row r="52" spans="1:3">
      <c r="A52" s="358">
        <f t="shared" si="0"/>
        <v>38412</v>
      </c>
      <c r="B52" s="356" t="str">
        <f t="shared" si="1"/>
        <v>2005-03-01</v>
      </c>
      <c r="C52" s="356" cm="1">
        <f t="array" ref="C52">INDEX($C:$C,MATCH(ROW()-MOD(ROW()-ROW($C$2),3),ROW($C:$C),0))+(B52-INDEX($B:$B,MATCH(ROW()-MOD(ROW()-ROW($C$2),3),ROW($C:$C),0)))/(INDEX($B:$B,MATCH(ROW()-MOD(ROW()-ROW($C$2),3),ROW($C:$C),0)+3)-INDEX($B:$B,MATCH(ROW()-MOD(ROW()-ROW($C$2),3),ROW($C:$C),0)))*(INDEX($C:$C,MATCH(ROW()-MOD(ROW()-ROW($C$2),3),ROW($C:$C),0)+3)-INDEX($C:$C,MATCH(ROW()-MOD(ROW()-ROW($C$2),3),ROW($C:$C),0)))</f>
        <v>33728.2861452434</v>
      </c>
    </row>
    <row r="53" spans="1:3">
      <c r="A53" s="358">
        <f t="shared" si="0"/>
        <v>38443</v>
      </c>
      <c r="B53" s="356" t="str">
        <f t="shared" si="1"/>
        <v>2005-04-01</v>
      </c>
      <c r="C53" s="356">
        <f>VLOOKUP(B53,'Final Cle'!$C$2:$D$103,2,FALSE)</f>
        <v>34256.1035053606</v>
      </c>
    </row>
    <row r="54" spans="1:3">
      <c r="A54" s="358">
        <f t="shared" si="0"/>
        <v>38473</v>
      </c>
      <c r="B54" s="356" t="str">
        <f t="shared" si="1"/>
        <v>2005-05-01</v>
      </c>
      <c r="C54" s="356" cm="1">
        <f t="array" ref="C54">INDEX($C:$C,MATCH(ROW()-MOD(ROW()-ROW($C$2),3),ROW($C:$C),0))+(B54-INDEX($B:$B,MATCH(ROW()-MOD(ROW()-ROW($C$2),3),ROW($C:$C),0)))/(INDEX($B:$B,MATCH(ROW()-MOD(ROW()-ROW($C$2),3),ROW($C:$C),0)+3)-INDEX($B:$B,MATCH(ROW()-MOD(ROW()-ROW($C$2),3),ROW($C:$C),0)))*(INDEX($C:$C,MATCH(ROW()-MOD(ROW()-ROW($C$2),3),ROW($C:$C),0)+3)-INDEX($C:$C,MATCH(ROW()-MOD(ROW()-ROW($C$2),3),ROW($C:$C),0)))</f>
        <v>34740.253639582</v>
      </c>
    </row>
    <row r="55" spans="1:3">
      <c r="A55" s="358">
        <f t="shared" si="0"/>
        <v>38504</v>
      </c>
      <c r="B55" s="356" t="str">
        <f t="shared" si="1"/>
        <v>2005-06-01</v>
      </c>
      <c r="C55" s="356" cm="1">
        <f t="array" ref="C55">INDEX($C:$C,MATCH(ROW()-MOD(ROW()-ROW($C$2),3),ROW($C:$C),0))+(B55-INDEX($B:$B,MATCH(ROW()-MOD(ROW()-ROW($C$2),3),ROW($C:$C),0)))/(INDEX($B:$B,MATCH(ROW()-MOD(ROW()-ROW($C$2),3),ROW($C:$C),0)+3)-INDEX($B:$B,MATCH(ROW()-MOD(ROW()-ROW($C$2),3),ROW($C:$C),0)))*(INDEX($C:$C,MATCH(ROW()-MOD(ROW()-ROW($C$2),3),ROW($C:$C),0)+3)-INDEX($C:$C,MATCH(ROW()-MOD(ROW()-ROW($C$2),3),ROW($C:$C),0)))</f>
        <v>35240.5421116107</v>
      </c>
    </row>
    <row r="56" spans="1:3">
      <c r="A56" s="358">
        <f t="shared" si="0"/>
        <v>38534</v>
      </c>
      <c r="B56" s="356" t="str">
        <f t="shared" si="1"/>
        <v>2005-07-01</v>
      </c>
      <c r="C56" s="356">
        <f>VLOOKUP(B56,'Final Cle'!$C$2:$D$103,2,FALSE)</f>
        <v>35724.6922458321</v>
      </c>
    </row>
    <row r="57" spans="1:3">
      <c r="A57" s="358">
        <f t="shared" si="0"/>
        <v>38565</v>
      </c>
      <c r="B57" s="356" t="str">
        <f t="shared" si="1"/>
        <v>2005-08-01</v>
      </c>
      <c r="C57" s="356" cm="1">
        <f t="array" ref="C57">INDEX($C:$C,MATCH(ROW()-MOD(ROW()-ROW($C$2),3),ROW($C:$C),0))+(B57-INDEX($B:$B,MATCH(ROW()-MOD(ROW()-ROW($C$2),3),ROW($C:$C),0)))/(INDEX($B:$B,MATCH(ROW()-MOD(ROW()-ROW($C$2),3),ROW($C:$C),0)+3)-INDEX($B:$B,MATCH(ROW()-MOD(ROW()-ROW($C$2),3),ROW($C:$C),0)))*(INDEX($C:$C,MATCH(ROW()-MOD(ROW()-ROW($C$2),3),ROW($C:$C),0)+3)-INDEX($C:$C,MATCH(ROW()-MOD(ROW()-ROW($C$2),3),ROW($C:$C),0)))</f>
        <v>36584.9149557943</v>
      </c>
    </row>
    <row r="58" spans="1:3">
      <c r="A58" s="358">
        <f t="shared" si="0"/>
        <v>38596</v>
      </c>
      <c r="B58" s="356" t="str">
        <f t="shared" si="1"/>
        <v>2005-09-01</v>
      </c>
      <c r="C58" s="356" cm="1">
        <f t="array" ref="C58">INDEX($C:$C,MATCH(ROW()-MOD(ROW()-ROW($C$2),3),ROW($C:$C),0))+(B58-INDEX($B:$B,MATCH(ROW()-MOD(ROW()-ROW($C$2),3),ROW($C:$C),0)))/(INDEX($B:$B,MATCH(ROW()-MOD(ROW()-ROW($C$2),3),ROW($C:$C),0)+3)-INDEX($B:$B,MATCH(ROW()-MOD(ROW()-ROW($C$2),3),ROW($C:$C),0)))*(INDEX($C:$C,MATCH(ROW()-MOD(ROW()-ROW($C$2),3),ROW($C:$C),0)+3)-INDEX($C:$C,MATCH(ROW()-MOD(ROW()-ROW($C$2),3),ROW($C:$C),0)))</f>
        <v>37445.1376657566</v>
      </c>
    </row>
    <row r="59" spans="1:3">
      <c r="A59" s="358">
        <f t="shared" si="0"/>
        <v>38626</v>
      </c>
      <c r="B59" s="356" t="str">
        <f t="shared" si="1"/>
        <v>2005-10-01</v>
      </c>
      <c r="C59" s="356">
        <f>VLOOKUP(B59,'Final Cle'!$C$2:$D$103,2,FALSE)</f>
        <v>38277.6112560426</v>
      </c>
    </row>
    <row r="60" spans="1:3">
      <c r="A60" s="358">
        <f t="shared" si="0"/>
        <v>38657</v>
      </c>
      <c r="B60" s="356" t="str">
        <f t="shared" si="1"/>
        <v>2005-11-01</v>
      </c>
      <c r="C60" s="356" cm="1">
        <f t="array" ref="C60">INDEX($C:$C,MATCH(ROW()-MOD(ROW()-ROW($C$2),3),ROW($C:$C),0))+(B60-INDEX($B:$B,MATCH(ROW()-MOD(ROW()-ROW($C$2),3),ROW($C:$C),0)))/(INDEX($B:$B,MATCH(ROW()-MOD(ROW()-ROW($C$2),3),ROW($C:$C),0)+3)-INDEX($B:$B,MATCH(ROW()-MOD(ROW()-ROW($C$2),3),ROW($C:$C),0)))*(INDEX($C:$C,MATCH(ROW()-MOD(ROW()-ROW($C$2),3),ROW($C:$C),0)+3)-INDEX($C:$C,MATCH(ROW()-MOD(ROW()-ROW($C$2),3),ROW($C:$C),0)))</f>
        <v>40013.2461626886</v>
      </c>
    </row>
    <row r="61" spans="1:3">
      <c r="A61" s="358">
        <f t="shared" si="0"/>
        <v>38687</v>
      </c>
      <c r="B61" s="356" t="str">
        <f t="shared" si="1"/>
        <v>2005-12-01</v>
      </c>
      <c r="C61" s="356" cm="1">
        <f t="array" ref="C61">INDEX($C:$C,MATCH(ROW()-MOD(ROW()-ROW($C$2),3),ROW($C:$C),0))+(B61-INDEX($B:$B,MATCH(ROW()-MOD(ROW()-ROW($C$2),3),ROW($C:$C),0)))/(INDEX($B:$B,MATCH(ROW()-MOD(ROW()-ROW($C$2),3),ROW($C:$C),0)+3)-INDEX($B:$B,MATCH(ROW()-MOD(ROW()-ROW($C$2),3),ROW($C:$C),0)))*(INDEX($C:$C,MATCH(ROW()-MOD(ROW()-ROW($C$2),3),ROW($C:$C),0)+3)-INDEX($C:$C,MATCH(ROW()-MOD(ROW()-ROW($C$2),3),ROW($C:$C),0)))</f>
        <v>41692.8928465395</v>
      </c>
    </row>
    <row r="62" spans="1:3">
      <c r="A62" s="358">
        <f t="shared" si="0"/>
        <v>38718</v>
      </c>
      <c r="B62" s="356" t="str">
        <f t="shared" si="1"/>
        <v>2006-01-01</v>
      </c>
      <c r="C62" s="356">
        <f>VLOOKUP(B62,'Final Cle'!$C$2:$D$103,2,FALSE)</f>
        <v>43428.5277531855</v>
      </c>
    </row>
    <row r="63" spans="1:3">
      <c r="A63" s="358">
        <f t="shared" si="0"/>
        <v>38749</v>
      </c>
      <c r="B63" s="356" t="str">
        <f t="shared" si="1"/>
        <v>2006-02-01</v>
      </c>
      <c r="C63" s="356" cm="1">
        <f t="array" ref="C63">INDEX($C:$C,MATCH(ROW()-MOD(ROW()-ROW($C$2),3),ROW($C:$C),0))+(B63-INDEX($B:$B,MATCH(ROW()-MOD(ROW()-ROW($C$2),3),ROW($C:$C),0)))/(INDEX($B:$B,MATCH(ROW()-MOD(ROW()-ROW($C$2),3),ROW($C:$C),0)+3)-INDEX($B:$B,MATCH(ROW()-MOD(ROW()-ROW($C$2),3),ROW($C:$C),0)))*(INDEX($C:$C,MATCH(ROW()-MOD(ROW()-ROW($C$2),3),ROW($C:$C),0)+3)-INDEX($C:$C,MATCH(ROW()-MOD(ROW()-ROW($C$2),3),ROW($C:$C),0)))</f>
        <v>45130.4090111884</v>
      </c>
    </row>
    <row r="64" spans="1:3">
      <c r="A64" s="358">
        <f t="shared" si="0"/>
        <v>38777</v>
      </c>
      <c r="B64" s="356" t="str">
        <f t="shared" si="1"/>
        <v>2006-03-01</v>
      </c>
      <c r="C64" s="356" cm="1">
        <f t="array" ref="C64">INDEX($C:$C,MATCH(ROW()-MOD(ROW()-ROW($C$2),3),ROW($C:$C),0))+(B64-INDEX($B:$B,MATCH(ROW()-MOD(ROW()-ROW($C$2),3),ROW($C:$C),0)))/(INDEX($B:$B,MATCH(ROW()-MOD(ROW()-ROW($C$2),3),ROW($C:$C),0)+3)-INDEX($B:$B,MATCH(ROW()-MOD(ROW()-ROW($C$2),3),ROW($C:$C),0)))*(INDEX($C:$C,MATCH(ROW()-MOD(ROW()-ROW($C$2),3),ROW($C:$C),0)+3)-INDEX($C:$C,MATCH(ROW()-MOD(ROW()-ROW($C$2),3),ROW($C:$C),0)))</f>
        <v>46667.592082933</v>
      </c>
    </row>
    <row r="65" spans="1:3">
      <c r="A65" s="358">
        <f t="shared" si="0"/>
        <v>38808</v>
      </c>
      <c r="B65" s="356" t="str">
        <f t="shared" si="1"/>
        <v>2006-04-01</v>
      </c>
      <c r="C65" s="356">
        <f>VLOOKUP(B65,'Final Cle'!$C$2:$D$103,2,FALSE)</f>
        <v>48369.4733409359</v>
      </c>
    </row>
    <row r="66" spans="1:3">
      <c r="A66" s="358">
        <f t="shared" si="0"/>
        <v>38838</v>
      </c>
      <c r="B66" s="356" t="str">
        <f t="shared" ref="B66:B129" si="2">TEXT(A66,"yyyy-mm-01")</f>
        <v>2006-05-01</v>
      </c>
      <c r="C66" s="356" cm="1">
        <f t="array" ref="C66">INDEX($C:$C,MATCH(ROW()-MOD(ROW()-ROW($C$2),3),ROW($C:$C),0))+(B66-INDEX($B:$B,MATCH(ROW()-MOD(ROW()-ROW($C$2),3),ROW($C:$C),0)))/(INDEX($B:$B,MATCH(ROW()-MOD(ROW()-ROW($C$2),3),ROW($C:$C),0)+3)-INDEX($B:$B,MATCH(ROW()-MOD(ROW()-ROW($C$2),3),ROW($C:$C),0)))*(INDEX($C:$C,MATCH(ROW()-MOD(ROW()-ROW($C$2),3),ROW($C:$C),0)+3)-INDEX($C:$C,MATCH(ROW()-MOD(ROW()-ROW($C$2),3),ROW($C:$C),0)))</f>
        <v>50215.6837604462</v>
      </c>
    </row>
    <row r="67" spans="1:3">
      <c r="A67" s="358">
        <f t="shared" ref="A67:A130" si="3">EDATE(A66,1)</f>
        <v>38869</v>
      </c>
      <c r="B67" s="356" t="str">
        <f t="shared" si="2"/>
        <v>2006-06-01</v>
      </c>
      <c r="C67" s="356" cm="1">
        <f t="array" ref="C67">INDEX($C:$C,MATCH(ROW()-MOD(ROW()-ROW($C$2),3),ROW($C:$C),0))+(B67-INDEX($B:$B,MATCH(ROW()-MOD(ROW()-ROW($C$2),3),ROW($C:$C),0)))/(INDEX($B:$B,MATCH(ROW()-MOD(ROW()-ROW($C$2),3),ROW($C:$C),0)+3)-INDEX($B:$B,MATCH(ROW()-MOD(ROW()-ROW($C$2),3),ROW($C:$C),0)))*(INDEX($C:$C,MATCH(ROW()-MOD(ROW()-ROW($C$2),3),ROW($C:$C),0)+3)-INDEX($C:$C,MATCH(ROW()-MOD(ROW()-ROW($C$2),3),ROW($C:$C),0)))</f>
        <v>52123.4345272736</v>
      </c>
    </row>
    <row r="68" spans="1:3">
      <c r="A68" s="358">
        <f t="shared" si="3"/>
        <v>38899</v>
      </c>
      <c r="B68" s="356" t="str">
        <f t="shared" si="2"/>
        <v>2006-07-01</v>
      </c>
      <c r="C68" s="356">
        <f>VLOOKUP(B68,'Final Cle'!$C$2:$D$103,2,FALSE)</f>
        <v>53969.6449467839</v>
      </c>
    </row>
    <row r="69" spans="1:3">
      <c r="A69" s="358">
        <f t="shared" si="3"/>
        <v>38930</v>
      </c>
      <c r="B69" s="356" t="str">
        <f t="shared" si="2"/>
        <v>2006-08-01</v>
      </c>
      <c r="C69" s="356" cm="1">
        <f t="array" ref="C69">INDEX($C:$C,MATCH(ROW()-MOD(ROW()-ROW($C$2),3),ROW($C:$C),0))+(B69-INDEX($B:$B,MATCH(ROW()-MOD(ROW()-ROW($C$2),3),ROW($C:$C),0)))/(INDEX($B:$B,MATCH(ROW()-MOD(ROW()-ROW($C$2),3),ROW($C:$C),0)+3)-INDEX($B:$B,MATCH(ROW()-MOD(ROW()-ROW($C$2),3),ROW($C:$C),0)))*(INDEX($C:$C,MATCH(ROW()-MOD(ROW()-ROW($C$2),3),ROW($C:$C),0)+3)-INDEX($C:$C,MATCH(ROW()-MOD(ROW()-ROW($C$2),3),ROW($C:$C),0)))</f>
        <v>56051.0098922964</v>
      </c>
    </row>
    <row r="70" spans="1:3">
      <c r="A70" s="358">
        <f t="shared" si="3"/>
        <v>38961</v>
      </c>
      <c r="B70" s="356" t="str">
        <f t="shared" si="2"/>
        <v>2006-09-01</v>
      </c>
      <c r="C70" s="356" cm="1">
        <f t="array" ref="C70">INDEX($C:$C,MATCH(ROW()-MOD(ROW()-ROW($C$2),3),ROW($C:$C),0))+(B70-INDEX($B:$B,MATCH(ROW()-MOD(ROW()-ROW($C$2),3),ROW($C:$C),0)))/(INDEX($B:$B,MATCH(ROW()-MOD(ROW()-ROW($C$2),3),ROW($C:$C),0)+3)-INDEX($B:$B,MATCH(ROW()-MOD(ROW()-ROW($C$2),3),ROW($C:$C),0)))*(INDEX($C:$C,MATCH(ROW()-MOD(ROW()-ROW($C$2),3),ROW($C:$C),0)+3)-INDEX($C:$C,MATCH(ROW()-MOD(ROW()-ROW($C$2),3),ROW($C:$C),0)))</f>
        <v>58132.3748378089</v>
      </c>
    </row>
    <row r="71" spans="1:3">
      <c r="A71" s="358">
        <f t="shared" si="3"/>
        <v>38991</v>
      </c>
      <c r="B71" s="356" t="str">
        <f t="shared" si="2"/>
        <v>2006-10-01</v>
      </c>
      <c r="C71" s="356">
        <f>VLOOKUP(B71,'Final Cle'!$C$2:$D$103,2,FALSE)</f>
        <v>60146.5989786275</v>
      </c>
    </row>
    <row r="72" spans="1:3">
      <c r="A72" s="358">
        <f t="shared" si="3"/>
        <v>39022</v>
      </c>
      <c r="B72" s="356" t="str">
        <f t="shared" si="2"/>
        <v>2006-11-01</v>
      </c>
      <c r="C72" s="356" cm="1">
        <f t="array" ref="C72">INDEX($C:$C,MATCH(ROW()-MOD(ROW()-ROW($C$2),3),ROW($C:$C),0))+(B72-INDEX($B:$B,MATCH(ROW()-MOD(ROW()-ROW($C$2),3),ROW($C:$C),0)))/(INDEX($B:$B,MATCH(ROW()-MOD(ROW()-ROW($C$2),3),ROW($C:$C),0)+3)-INDEX($B:$B,MATCH(ROW()-MOD(ROW()-ROW($C$2),3),ROW($C:$C),0)))*(INDEX($C:$C,MATCH(ROW()-MOD(ROW()-ROW($C$2),3),ROW($C:$C),0)+3)-INDEX($C:$C,MATCH(ROW()-MOD(ROW()-ROW($C$2),3),ROW($C:$C),0)))</f>
        <v>64819.3405006321</v>
      </c>
    </row>
    <row r="73" spans="1:3">
      <c r="A73" s="358">
        <f t="shared" si="3"/>
        <v>39052</v>
      </c>
      <c r="B73" s="356" t="str">
        <f t="shared" si="2"/>
        <v>2006-12-01</v>
      </c>
      <c r="C73" s="356" cm="1">
        <f t="array" ref="C73">INDEX($C:$C,MATCH(ROW()-MOD(ROW()-ROW($C$2),3),ROW($C:$C),0))+(B73-INDEX($B:$B,MATCH(ROW()-MOD(ROW()-ROW($C$2),3),ROW($C:$C),0)))/(INDEX($B:$B,MATCH(ROW()-MOD(ROW()-ROW($C$2),3),ROW($C:$C),0)+3)-INDEX($B:$B,MATCH(ROW()-MOD(ROW()-ROW($C$2),3),ROW($C:$C),0)))*(INDEX($C:$C,MATCH(ROW()-MOD(ROW()-ROW($C$2),3),ROW($C:$C),0)+3)-INDEX($C:$C,MATCH(ROW()-MOD(ROW()-ROW($C$2),3),ROW($C:$C),0)))</f>
        <v>69341.3484251527</v>
      </c>
    </row>
    <row r="74" spans="1:3">
      <c r="A74" s="358">
        <f t="shared" si="3"/>
        <v>39083</v>
      </c>
      <c r="B74" s="356" t="str">
        <f t="shared" si="2"/>
        <v>2007-01-01</v>
      </c>
      <c r="C74" s="356">
        <f>VLOOKUP(B74,'Final Cle'!$C$2:$D$103,2,FALSE)</f>
        <v>74014.0899471573</v>
      </c>
    </row>
    <row r="75" spans="1:3">
      <c r="A75" s="358">
        <f t="shared" si="3"/>
        <v>39114</v>
      </c>
      <c r="B75" s="356" t="str">
        <f t="shared" si="2"/>
        <v>2007-02-01</v>
      </c>
      <c r="C75" s="356" cm="1">
        <f t="array" ref="C75">INDEX($C:$C,MATCH(ROW()-MOD(ROW()-ROW($C$2),3),ROW($C:$C),0))+(B75-INDEX($B:$B,MATCH(ROW()-MOD(ROW()-ROW($C$2),3),ROW($C:$C),0)))/(INDEX($B:$B,MATCH(ROW()-MOD(ROW()-ROW($C$2),3),ROW($C:$C),0)+3)-INDEX($B:$B,MATCH(ROW()-MOD(ROW()-ROW($C$2),3),ROW($C:$C),0)))*(INDEX($C:$C,MATCH(ROW()-MOD(ROW()-ROW($C$2),3),ROW($C:$C),0)+3)-INDEX($C:$C,MATCH(ROW()-MOD(ROW()-ROW($C$2),3),ROW($C:$C),0)))</f>
        <v>76732.3845188331</v>
      </c>
    </row>
    <row r="76" spans="1:3">
      <c r="A76" s="358">
        <f t="shared" si="3"/>
        <v>39142</v>
      </c>
      <c r="B76" s="356" t="str">
        <f t="shared" si="2"/>
        <v>2007-03-01</v>
      </c>
      <c r="C76" s="356" cm="1">
        <f t="array" ref="C76">INDEX($C:$C,MATCH(ROW()-MOD(ROW()-ROW($C$2),3),ROW($C:$C),0))+(B76-INDEX($B:$B,MATCH(ROW()-MOD(ROW()-ROW($C$2),3),ROW($C:$C),0)))/(INDEX($B:$B,MATCH(ROW()-MOD(ROW()-ROW($C$2),3),ROW($C:$C),0)+3)-INDEX($B:$B,MATCH(ROW()-MOD(ROW()-ROW($C$2),3),ROW($C:$C),0)))*(INDEX($C:$C,MATCH(ROW()-MOD(ROW()-ROW($C$2),3),ROW($C:$C),0)+3)-INDEX($C:$C,MATCH(ROW()-MOD(ROW()-ROW($C$2),3),ROW($C:$C),0)))</f>
        <v>79187.618325508</v>
      </c>
    </row>
    <row r="77" spans="1:3">
      <c r="A77" s="358">
        <f t="shared" si="3"/>
        <v>39173</v>
      </c>
      <c r="B77" s="356" t="str">
        <f t="shared" si="2"/>
        <v>2007-04-01</v>
      </c>
      <c r="C77" s="356">
        <f>VLOOKUP(B77,'Final Cle'!$C$2:$D$103,2,FALSE)</f>
        <v>81905.9128971838</v>
      </c>
    </row>
    <row r="78" spans="1:3">
      <c r="A78" s="358">
        <f t="shared" si="3"/>
        <v>39203</v>
      </c>
      <c r="B78" s="356" t="str">
        <f t="shared" si="2"/>
        <v>2007-05-01</v>
      </c>
      <c r="C78" s="356" cm="1">
        <f t="array" ref="C78">INDEX($C:$C,MATCH(ROW()-MOD(ROW()-ROW($C$2),3),ROW($C:$C),0))+(B78-INDEX($B:$B,MATCH(ROW()-MOD(ROW()-ROW($C$2),3),ROW($C:$C),0)))/(INDEX($B:$B,MATCH(ROW()-MOD(ROW()-ROW($C$2),3),ROW($C:$C),0)+3)-INDEX($B:$B,MATCH(ROW()-MOD(ROW()-ROW($C$2),3),ROW($C:$C),0)))*(INDEX($C:$C,MATCH(ROW()-MOD(ROW()-ROW($C$2),3),ROW($C:$C),0)+3)-INDEX($C:$C,MATCH(ROW()-MOD(ROW()-ROW($C$2),3),ROW($C:$C),0)))</f>
        <v>85354.9224772305</v>
      </c>
    </row>
    <row r="79" spans="1:3">
      <c r="A79" s="358">
        <f t="shared" si="3"/>
        <v>39234</v>
      </c>
      <c r="B79" s="356" t="str">
        <f t="shared" si="2"/>
        <v>2007-06-01</v>
      </c>
      <c r="C79" s="356" cm="1">
        <f t="array" ref="C79">INDEX($C:$C,MATCH(ROW()-MOD(ROW()-ROW($C$2),3),ROW($C:$C),0))+(B79-INDEX($B:$B,MATCH(ROW()-MOD(ROW()-ROW($C$2),3),ROW($C:$C),0)))/(INDEX($B:$B,MATCH(ROW()-MOD(ROW()-ROW($C$2),3),ROW($C:$C),0)+3)-INDEX($B:$B,MATCH(ROW()-MOD(ROW()-ROW($C$2),3),ROW($C:$C),0)))*(INDEX($C:$C,MATCH(ROW()-MOD(ROW()-ROW($C$2),3),ROW($C:$C),0)+3)-INDEX($C:$C,MATCH(ROW()-MOD(ROW()-ROW($C$2),3),ROW($C:$C),0)))</f>
        <v>88918.8990432789</v>
      </c>
    </row>
    <row r="80" spans="1:3">
      <c r="A80" s="358">
        <f t="shared" si="3"/>
        <v>39264</v>
      </c>
      <c r="B80" s="356" t="str">
        <f t="shared" si="2"/>
        <v>2007-07-01</v>
      </c>
      <c r="C80" s="356">
        <f>VLOOKUP(B80,'Final Cle'!$C$2:$D$103,2,FALSE)</f>
        <v>92367.9086233256</v>
      </c>
    </row>
    <row r="81" spans="1:3">
      <c r="A81" s="358">
        <f t="shared" si="3"/>
        <v>39295</v>
      </c>
      <c r="B81" s="356" t="str">
        <f t="shared" si="2"/>
        <v>2007-08-01</v>
      </c>
      <c r="C81" s="356" cm="1">
        <f t="array" ref="C81">INDEX($C:$C,MATCH(ROW()-MOD(ROW()-ROW($C$2),3),ROW($C:$C),0))+(B81-INDEX($B:$B,MATCH(ROW()-MOD(ROW()-ROW($C$2),3),ROW($C:$C),0)))/(INDEX($B:$B,MATCH(ROW()-MOD(ROW()-ROW($C$2),3),ROW($C:$C),0)+3)-INDEX($B:$B,MATCH(ROW()-MOD(ROW()-ROW($C$2),3),ROW($C:$C),0)))*(INDEX($C:$C,MATCH(ROW()-MOD(ROW()-ROW($C$2),3),ROW($C:$C),0)+3)-INDEX($C:$C,MATCH(ROW()-MOD(ROW()-ROW($C$2),3),ROW($C:$C),0)))</f>
        <v>93001.5332827854</v>
      </c>
    </row>
    <row r="82" spans="1:3">
      <c r="A82" s="358">
        <f t="shared" si="3"/>
        <v>39326</v>
      </c>
      <c r="B82" s="356" t="str">
        <f t="shared" si="2"/>
        <v>2007-09-01</v>
      </c>
      <c r="C82" s="356" cm="1">
        <f t="array" ref="C82">INDEX($C:$C,MATCH(ROW()-MOD(ROW()-ROW($C$2),3),ROW($C:$C),0))+(B82-INDEX($B:$B,MATCH(ROW()-MOD(ROW()-ROW($C$2),3),ROW($C:$C),0)))/(INDEX($B:$B,MATCH(ROW()-MOD(ROW()-ROW($C$2),3),ROW($C:$C),0)+3)-INDEX($B:$B,MATCH(ROW()-MOD(ROW()-ROW($C$2),3),ROW($C:$C),0)))*(INDEX($C:$C,MATCH(ROW()-MOD(ROW()-ROW($C$2),3),ROW($C:$C),0)+3)-INDEX($C:$C,MATCH(ROW()-MOD(ROW()-ROW($C$2),3),ROW($C:$C),0)))</f>
        <v>93635.1579422453</v>
      </c>
    </row>
    <row r="83" spans="1:3">
      <c r="A83" s="358">
        <f t="shared" si="3"/>
        <v>39356</v>
      </c>
      <c r="B83" s="356" t="str">
        <f t="shared" si="2"/>
        <v>2007-10-01</v>
      </c>
      <c r="C83" s="356">
        <f>VLOOKUP(B83,'Final Cle'!$C$2:$D$103,2,FALSE)</f>
        <v>94248.3430965613</v>
      </c>
    </row>
    <row r="84" spans="1:3">
      <c r="A84" s="358">
        <f t="shared" si="3"/>
        <v>39387</v>
      </c>
      <c r="B84" s="356" t="str">
        <f t="shared" si="2"/>
        <v>2007-11-01</v>
      </c>
      <c r="C84" s="356" cm="1">
        <f t="array" ref="C84">INDEX($C:$C,MATCH(ROW()-MOD(ROW()-ROW($C$2),3),ROW($C:$C),0))+(B84-INDEX($B:$B,MATCH(ROW()-MOD(ROW()-ROW($C$2),3),ROW($C:$C),0)))/(INDEX($B:$B,MATCH(ROW()-MOD(ROW()-ROW($C$2),3),ROW($C:$C),0)+3)-INDEX($B:$B,MATCH(ROW()-MOD(ROW()-ROW($C$2),3),ROW($C:$C),0)))*(INDEX($C:$C,MATCH(ROW()-MOD(ROW()-ROW($C$2),3),ROW($C:$C),0)+3)-INDEX($C:$C,MATCH(ROW()-MOD(ROW()-ROW($C$2),3),ROW($C:$C),0)))</f>
        <v>95139.4788953858</v>
      </c>
    </row>
    <row r="85" spans="1:3">
      <c r="A85" s="358">
        <f t="shared" si="3"/>
        <v>39417</v>
      </c>
      <c r="B85" s="356" t="str">
        <f t="shared" si="2"/>
        <v>2007-12-01</v>
      </c>
      <c r="C85" s="356" cm="1">
        <f t="array" ref="C85">INDEX($C:$C,MATCH(ROW()-MOD(ROW()-ROW($C$2),3),ROW($C:$C),0))+(B85-INDEX($B:$B,MATCH(ROW()-MOD(ROW()-ROW($C$2),3),ROW($C:$C),0)))/(INDEX($B:$B,MATCH(ROW()-MOD(ROW()-ROW($C$2),3),ROW($C:$C),0)+3)-INDEX($B:$B,MATCH(ROW()-MOD(ROW()-ROW($C$2),3),ROW($C:$C),0)))*(INDEX($C:$C,MATCH(ROW()-MOD(ROW()-ROW($C$2),3),ROW($C:$C),0)+3)-INDEX($C:$C,MATCH(ROW()-MOD(ROW()-ROW($C$2),3),ROW($C:$C),0)))</f>
        <v>96001.8683781192</v>
      </c>
    </row>
    <row r="86" spans="1:3">
      <c r="A86" s="358">
        <f t="shared" si="3"/>
        <v>39448</v>
      </c>
      <c r="B86" s="356" t="str">
        <f t="shared" si="2"/>
        <v>2008-01-01</v>
      </c>
      <c r="C86" s="356">
        <f>VLOOKUP(B86,'Final Cle'!$C$2:$D$103,2,FALSE)</f>
        <v>96893.0041769437</v>
      </c>
    </row>
    <row r="87" spans="1:3">
      <c r="A87" s="358">
        <f t="shared" si="3"/>
        <v>39479</v>
      </c>
      <c r="B87" s="356" t="str">
        <f t="shared" si="2"/>
        <v>2008-02-01</v>
      </c>
      <c r="C87" s="356" cm="1">
        <f t="array" ref="C87">INDEX($C:$C,MATCH(ROW()-MOD(ROW()-ROW($C$2),3),ROW($C:$C),0))+(B87-INDEX($B:$B,MATCH(ROW()-MOD(ROW()-ROW($C$2),3),ROW($C:$C),0)))/(INDEX($B:$B,MATCH(ROW()-MOD(ROW()-ROW($C$2),3),ROW($C:$C),0)+3)-INDEX($B:$B,MATCH(ROW()-MOD(ROW()-ROW($C$2),3),ROW($C:$C),0)))*(INDEX($C:$C,MATCH(ROW()-MOD(ROW()-ROW($C$2),3),ROW($C:$C),0)+3)-INDEX($C:$C,MATCH(ROW()-MOD(ROW()-ROW($C$2),3),ROW($C:$C),0)))</f>
        <v>97568.9825794925</v>
      </c>
    </row>
    <row r="88" spans="1:3">
      <c r="A88" s="358">
        <f t="shared" si="3"/>
        <v>39508</v>
      </c>
      <c r="B88" s="356" t="str">
        <f t="shared" si="2"/>
        <v>2008-03-01</v>
      </c>
      <c r="C88" s="356" cm="1">
        <f t="array" ref="C88">INDEX($C:$C,MATCH(ROW()-MOD(ROW()-ROW($C$2),3),ROW($C:$C),0))+(B88-INDEX($B:$B,MATCH(ROW()-MOD(ROW()-ROW($C$2),3),ROW($C:$C),0)))/(INDEX($B:$B,MATCH(ROW()-MOD(ROW()-ROW($C$2),3),ROW($C:$C),0)+3)-INDEX($B:$B,MATCH(ROW()-MOD(ROW()-ROW($C$2),3),ROW($C:$C),0)))*(INDEX($C:$C,MATCH(ROW()-MOD(ROW()-ROW($C$2),3),ROW($C:$C),0)+3)-INDEX($C:$C,MATCH(ROW()-MOD(ROW()-ROW($C$2),3),ROW($C:$C),0)))</f>
        <v>98201.3494721994</v>
      </c>
    </row>
    <row r="89" spans="1:3">
      <c r="A89" s="358">
        <f t="shared" si="3"/>
        <v>39539</v>
      </c>
      <c r="B89" s="356" t="str">
        <f t="shared" si="2"/>
        <v>2008-04-01</v>
      </c>
      <c r="C89" s="356">
        <f>VLOOKUP(B89,'Final Cle'!$C$2:$D$103,2,FALSE)</f>
        <v>98877.3278747482</v>
      </c>
    </row>
    <row r="90" spans="1:3">
      <c r="A90" s="358">
        <f t="shared" si="3"/>
        <v>39569</v>
      </c>
      <c r="B90" s="356" t="str">
        <f t="shared" si="2"/>
        <v>2008-05-01</v>
      </c>
      <c r="C90" s="356" cm="1">
        <f t="array" ref="C90">INDEX($C:$C,MATCH(ROW()-MOD(ROW()-ROW($C$2),3),ROW($C:$C),0))+(B90-INDEX($B:$B,MATCH(ROW()-MOD(ROW()-ROW($C$2),3),ROW($C:$C),0)))/(INDEX($B:$B,MATCH(ROW()-MOD(ROW()-ROW($C$2),3),ROW($C:$C),0)+3)-INDEX($B:$B,MATCH(ROW()-MOD(ROW()-ROW($C$2),3),ROW($C:$C),0)))*(INDEX($C:$C,MATCH(ROW()-MOD(ROW()-ROW($C$2),3),ROW($C:$C),0)+3)-INDEX($C:$C,MATCH(ROW()-MOD(ROW()-ROW($C$2),3),ROW($C:$C),0)))</f>
        <v>99644.5811198129</v>
      </c>
    </row>
    <row r="91" spans="1:3">
      <c r="A91" s="358">
        <f t="shared" si="3"/>
        <v>39600</v>
      </c>
      <c r="B91" s="356" t="str">
        <f t="shared" si="2"/>
        <v>2008-06-01</v>
      </c>
      <c r="C91" s="356" cm="1">
        <f t="array" ref="C91">INDEX($C:$C,MATCH(ROW()-MOD(ROW()-ROW($C$2),3),ROW($C:$C),0))+(B91-INDEX($B:$B,MATCH(ROW()-MOD(ROW()-ROW($C$2),3),ROW($C:$C),0)))/(INDEX($B:$B,MATCH(ROW()-MOD(ROW()-ROW($C$2),3),ROW($C:$C),0)+3)-INDEX($B:$B,MATCH(ROW()-MOD(ROW()-ROW($C$2),3),ROW($C:$C),0)))*(INDEX($C:$C,MATCH(ROW()-MOD(ROW()-ROW($C$2),3),ROW($C:$C),0)+3)-INDEX($C:$C,MATCH(ROW()-MOD(ROW()-ROW($C$2),3),ROW($C:$C),0)))</f>
        <v>100437.409473046</v>
      </c>
    </row>
    <row r="92" spans="1:3">
      <c r="A92" s="358">
        <f t="shared" si="3"/>
        <v>39630</v>
      </c>
      <c r="B92" s="356" t="str">
        <f t="shared" si="2"/>
        <v>2008-07-01</v>
      </c>
      <c r="C92" s="356">
        <f>VLOOKUP(B92,'Final Cle'!$C$2:$D$103,2,FALSE)</f>
        <v>101204.662718111</v>
      </c>
    </row>
    <row r="93" spans="1:3">
      <c r="A93" s="358">
        <f t="shared" si="3"/>
        <v>39661</v>
      </c>
      <c r="B93" s="356" t="str">
        <f t="shared" si="2"/>
        <v>2008-08-01</v>
      </c>
      <c r="C93" s="356" cm="1">
        <f t="array" ref="C93">INDEX($C:$C,MATCH(ROW()-MOD(ROW()-ROW($C$2),3),ROW($C:$C),0))+(B93-INDEX($B:$B,MATCH(ROW()-MOD(ROW()-ROW($C$2),3),ROW($C:$C),0)))/(INDEX($B:$B,MATCH(ROW()-MOD(ROW()-ROW($C$2),3),ROW($C:$C),0)+3)-INDEX($B:$B,MATCH(ROW()-MOD(ROW()-ROW($C$2),3),ROW($C:$C),0)))*(INDEX($C:$C,MATCH(ROW()-MOD(ROW()-ROW($C$2),3),ROW($C:$C),0)+3)-INDEX($C:$C,MATCH(ROW()-MOD(ROW()-ROW($C$2),3),ROW($C:$C),0)))</f>
        <v>102818.909294011</v>
      </c>
    </row>
    <row r="94" spans="1:3">
      <c r="A94" s="358">
        <f t="shared" si="3"/>
        <v>39692</v>
      </c>
      <c r="B94" s="356" t="str">
        <f t="shared" si="2"/>
        <v>2008-09-01</v>
      </c>
      <c r="C94" s="356" cm="1">
        <f t="array" ref="C94">INDEX($C:$C,MATCH(ROW()-MOD(ROW()-ROW($C$2),3),ROW($C:$C),0))+(B94-INDEX($B:$B,MATCH(ROW()-MOD(ROW()-ROW($C$2),3),ROW($C:$C),0)))/(INDEX($B:$B,MATCH(ROW()-MOD(ROW()-ROW($C$2),3),ROW($C:$C),0)+3)-INDEX($B:$B,MATCH(ROW()-MOD(ROW()-ROW($C$2),3),ROW($C:$C),0)))*(INDEX($C:$C,MATCH(ROW()-MOD(ROW()-ROW($C$2),3),ROW($C:$C),0)+3)-INDEX($C:$C,MATCH(ROW()-MOD(ROW()-ROW($C$2),3),ROW($C:$C),0)))</f>
        <v>104433.155869911</v>
      </c>
    </row>
    <row r="95" spans="1:3">
      <c r="A95" s="358">
        <f t="shared" si="3"/>
        <v>39722</v>
      </c>
      <c r="B95" s="356" t="str">
        <f t="shared" si="2"/>
        <v>2008-10-01</v>
      </c>
      <c r="C95" s="356">
        <f>VLOOKUP(B95,'Final Cle'!$C$2:$D$103,2,FALSE)</f>
        <v>105995.32997562</v>
      </c>
    </row>
    <row r="96" spans="1:3">
      <c r="A96" s="358">
        <f t="shared" si="3"/>
        <v>39753</v>
      </c>
      <c r="B96" s="356" t="str">
        <f t="shared" si="2"/>
        <v>2008-11-01</v>
      </c>
      <c r="C96" s="356" cm="1">
        <f t="array" ref="C96">INDEX($C:$C,MATCH(ROW()-MOD(ROW()-ROW($C$2),3),ROW($C:$C),0))+(B96-INDEX($B:$B,MATCH(ROW()-MOD(ROW()-ROW($C$2),3),ROW($C:$C),0)))/(INDEX($B:$B,MATCH(ROW()-MOD(ROW()-ROW($C$2),3),ROW($C:$C),0)+3)-INDEX($B:$B,MATCH(ROW()-MOD(ROW()-ROW($C$2),3),ROW($C:$C),0)))*(INDEX($C:$C,MATCH(ROW()-MOD(ROW()-ROW($C$2),3),ROW($C:$C),0)+3)-INDEX($C:$C,MATCH(ROW()-MOD(ROW()-ROW($C$2),3),ROW($C:$C),0)))</f>
        <v>106648.367769055</v>
      </c>
    </row>
    <row r="97" spans="1:3">
      <c r="A97" s="358">
        <f t="shared" si="3"/>
        <v>39783</v>
      </c>
      <c r="B97" s="356" t="str">
        <f t="shared" si="2"/>
        <v>2008-12-01</v>
      </c>
      <c r="C97" s="356" cm="1">
        <f t="array" ref="C97">INDEX($C:$C,MATCH(ROW()-MOD(ROW()-ROW($C$2),3),ROW($C:$C),0))+(B97-INDEX($B:$B,MATCH(ROW()-MOD(ROW()-ROW($C$2),3),ROW($C:$C),0)))/(INDEX($B:$B,MATCH(ROW()-MOD(ROW()-ROW($C$2),3),ROW($C:$C),0)+3)-INDEX($B:$B,MATCH(ROW()-MOD(ROW()-ROW($C$2),3),ROW($C:$C),0)))*(INDEX($C:$C,MATCH(ROW()-MOD(ROW()-ROW($C$2),3),ROW($C:$C),0)+3)-INDEX($C:$C,MATCH(ROW()-MOD(ROW()-ROW($C$2),3),ROW($C:$C),0)))</f>
        <v>107280.339827217</v>
      </c>
    </row>
    <row r="98" spans="1:3">
      <c r="A98" s="358">
        <f t="shared" si="3"/>
        <v>39814</v>
      </c>
      <c r="B98" s="356" t="str">
        <f t="shared" si="2"/>
        <v>2009-01-01</v>
      </c>
      <c r="C98" s="356">
        <f>VLOOKUP(B98,'Final Cle'!$C$2:$D$103,2,FALSE)</f>
        <v>107933.377620652</v>
      </c>
    </row>
    <row r="99" spans="1:3">
      <c r="A99" s="358">
        <f t="shared" si="3"/>
        <v>39845</v>
      </c>
      <c r="B99" s="356" t="str">
        <f t="shared" si="2"/>
        <v>2009-02-01</v>
      </c>
      <c r="C99" s="356" cm="1">
        <f t="array" ref="C99">INDEX($C:$C,MATCH(ROW()-MOD(ROW()-ROW($C$2),3),ROW($C:$C),0))+(B99-INDEX($B:$B,MATCH(ROW()-MOD(ROW()-ROW($C$2),3),ROW($C:$C),0)))/(INDEX($B:$B,MATCH(ROW()-MOD(ROW()-ROW($C$2),3),ROW($C:$C),0)+3)-INDEX($B:$B,MATCH(ROW()-MOD(ROW()-ROW($C$2),3),ROW($C:$C),0)))*(INDEX($C:$C,MATCH(ROW()-MOD(ROW()-ROW($C$2),3),ROW($C:$C),0)+3)-INDEX($C:$C,MATCH(ROW()-MOD(ROW()-ROW($C$2),3),ROW($C:$C),0)))</f>
        <v>106855.368103399</v>
      </c>
    </row>
    <row r="100" spans="1:3">
      <c r="A100" s="358">
        <f t="shared" si="3"/>
        <v>39873</v>
      </c>
      <c r="B100" s="356" t="str">
        <f t="shared" si="2"/>
        <v>2009-03-01</v>
      </c>
      <c r="C100" s="356" cm="1">
        <f t="array" ref="C100">INDEX($C:$C,MATCH(ROW()-MOD(ROW()-ROW($C$2),3),ROW($C:$C),0))+(B100-INDEX($B:$B,MATCH(ROW()-MOD(ROW()-ROW($C$2),3),ROW($C:$C),0)))/(INDEX($B:$B,MATCH(ROW()-MOD(ROW()-ROW($C$2),3),ROW($C:$C),0)+3)-INDEX($B:$B,MATCH(ROW()-MOD(ROW()-ROW($C$2),3),ROW($C:$C),0)))*(INDEX($C:$C,MATCH(ROW()-MOD(ROW()-ROW($C$2),3),ROW($C:$C),0)+3)-INDEX($C:$C,MATCH(ROW()-MOD(ROW()-ROW($C$2),3),ROW($C:$C),0)))</f>
        <v>105881.682087817</v>
      </c>
    </row>
    <row r="101" spans="1:3">
      <c r="A101" s="358">
        <f t="shared" si="3"/>
        <v>39904</v>
      </c>
      <c r="B101" s="356" t="str">
        <f t="shared" si="2"/>
        <v>2009-04-01</v>
      </c>
      <c r="C101" s="356">
        <f>VLOOKUP(B101,'Final Cle'!$C$2:$D$103,2,FALSE)</f>
        <v>104803.672570564</v>
      </c>
    </row>
    <row r="102" spans="1:3">
      <c r="A102" s="358">
        <f t="shared" si="3"/>
        <v>39934</v>
      </c>
      <c r="B102" s="356" t="str">
        <f t="shared" si="2"/>
        <v>2009-05-01</v>
      </c>
      <c r="C102" s="356" cm="1">
        <f t="array" ref="C102">INDEX($C:$C,MATCH(ROW()-MOD(ROW()-ROW($C$2),3),ROW($C:$C),0))+(B102-INDEX($B:$B,MATCH(ROW()-MOD(ROW()-ROW($C$2),3),ROW($C:$C),0)))/(INDEX($B:$B,MATCH(ROW()-MOD(ROW()-ROW($C$2),3),ROW($C:$C),0)+3)-INDEX($B:$B,MATCH(ROW()-MOD(ROW()-ROW($C$2),3),ROW($C:$C),0)))*(INDEX($C:$C,MATCH(ROW()-MOD(ROW()-ROW($C$2),3),ROW($C:$C),0)+3)-INDEX($C:$C,MATCH(ROW()-MOD(ROW()-ROW($C$2),3),ROW($C:$C),0)))</f>
        <v>105420.837814659</v>
      </c>
    </row>
    <row r="103" spans="1:3">
      <c r="A103" s="358">
        <f t="shared" si="3"/>
        <v>39965</v>
      </c>
      <c r="B103" s="356" t="str">
        <f t="shared" si="2"/>
        <v>2009-06-01</v>
      </c>
      <c r="C103" s="356" cm="1">
        <f t="array" ref="C103">INDEX($C:$C,MATCH(ROW()-MOD(ROW()-ROW($C$2),3),ROW($C:$C),0))+(B103-INDEX($B:$B,MATCH(ROW()-MOD(ROW()-ROW($C$2),3),ROW($C:$C),0)))/(INDEX($B:$B,MATCH(ROW()-MOD(ROW()-ROW($C$2),3),ROW($C:$C),0)+3)-INDEX($B:$B,MATCH(ROW()-MOD(ROW()-ROW($C$2),3),ROW($C:$C),0)))*(INDEX($C:$C,MATCH(ROW()-MOD(ROW()-ROW($C$2),3),ROW($C:$C),0)+3)-INDEX($C:$C,MATCH(ROW()-MOD(ROW()-ROW($C$2),3),ROW($C:$C),0)))</f>
        <v>106058.575233558</v>
      </c>
    </row>
    <row r="104" spans="1:3">
      <c r="A104" s="358">
        <f t="shared" si="3"/>
        <v>39995</v>
      </c>
      <c r="B104" s="356" t="str">
        <f t="shared" si="2"/>
        <v>2009-07-01</v>
      </c>
      <c r="C104" s="356">
        <f>VLOOKUP(B104,'Final Cle'!$C$2:$D$103,2,FALSE)</f>
        <v>106675.740477653</v>
      </c>
    </row>
    <row r="105" spans="1:3">
      <c r="A105" s="358">
        <f t="shared" si="3"/>
        <v>40026</v>
      </c>
      <c r="B105" s="356" t="str">
        <f t="shared" si="2"/>
        <v>2009-08-01</v>
      </c>
      <c r="C105" s="356" cm="1">
        <f t="array" ref="C105">INDEX($C:$C,MATCH(ROW()-MOD(ROW()-ROW($C$2),3),ROW($C:$C),0))+(B105-INDEX($B:$B,MATCH(ROW()-MOD(ROW()-ROW($C$2),3),ROW($C:$C),0)))/(INDEX($B:$B,MATCH(ROW()-MOD(ROW()-ROW($C$2),3),ROW($C:$C),0)+3)-INDEX($B:$B,MATCH(ROW()-MOD(ROW()-ROW($C$2),3),ROW($C:$C),0)))*(INDEX($C:$C,MATCH(ROW()-MOD(ROW()-ROW($C$2),3),ROW($C:$C),0)+3)-INDEX($C:$C,MATCH(ROW()-MOD(ROW()-ROW($C$2),3),ROW($C:$C),0)))</f>
        <v>108310.719565187</v>
      </c>
    </row>
    <row r="106" spans="1:3">
      <c r="A106" s="358">
        <f t="shared" si="3"/>
        <v>40057</v>
      </c>
      <c r="B106" s="356" t="str">
        <f t="shared" si="2"/>
        <v>2009-09-01</v>
      </c>
      <c r="C106" s="356" cm="1">
        <f t="array" ref="C106">INDEX($C:$C,MATCH(ROW()-MOD(ROW()-ROW($C$2),3),ROW($C:$C),0))+(B106-INDEX($B:$B,MATCH(ROW()-MOD(ROW()-ROW($C$2),3),ROW($C:$C),0)))/(INDEX($B:$B,MATCH(ROW()-MOD(ROW()-ROW($C$2),3),ROW($C:$C),0)+3)-INDEX($B:$B,MATCH(ROW()-MOD(ROW()-ROW($C$2),3),ROW($C:$C),0)))*(INDEX($C:$C,MATCH(ROW()-MOD(ROW()-ROW($C$2),3),ROW($C:$C),0)+3)-INDEX($C:$C,MATCH(ROW()-MOD(ROW()-ROW($C$2),3),ROW($C:$C),0)))</f>
        <v>109945.69865272</v>
      </c>
    </row>
    <row r="107" spans="1:3">
      <c r="A107" s="358">
        <f t="shared" si="3"/>
        <v>40087</v>
      </c>
      <c r="B107" s="356" t="str">
        <f t="shared" si="2"/>
        <v>2009-10-01</v>
      </c>
      <c r="C107" s="356">
        <f>VLOOKUP(B107,'Final Cle'!$C$2:$D$103,2,FALSE)</f>
        <v>111527.936479366</v>
      </c>
    </row>
    <row r="108" spans="1:3">
      <c r="A108" s="358">
        <f t="shared" si="3"/>
        <v>40118</v>
      </c>
      <c r="B108" s="356" t="str">
        <f t="shared" si="2"/>
        <v>2009-11-01</v>
      </c>
      <c r="C108" s="356" cm="1">
        <f t="array" ref="C108">INDEX($C:$C,MATCH(ROW()-MOD(ROW()-ROW($C$2),3),ROW($C:$C),0))+(B108-INDEX($B:$B,MATCH(ROW()-MOD(ROW()-ROW($C$2),3),ROW($C:$C),0)))/(INDEX($B:$B,MATCH(ROW()-MOD(ROW()-ROW($C$2),3),ROW($C:$C),0)+3)-INDEX($B:$B,MATCH(ROW()-MOD(ROW()-ROW($C$2),3),ROW($C:$C),0)))*(INDEX($C:$C,MATCH(ROW()-MOD(ROW()-ROW($C$2),3),ROW($C:$C),0)+3)-INDEX($C:$C,MATCH(ROW()-MOD(ROW()-ROW($C$2),3),ROW($C:$C),0)))</f>
        <v>111979.105369645</v>
      </c>
    </row>
    <row r="109" spans="1:3">
      <c r="A109" s="358">
        <f t="shared" si="3"/>
        <v>40148</v>
      </c>
      <c r="B109" s="356" t="str">
        <f t="shared" si="2"/>
        <v>2009-12-01</v>
      </c>
      <c r="C109" s="356" cm="1">
        <f t="array" ref="C109">INDEX($C:$C,MATCH(ROW()-MOD(ROW()-ROW($C$2),3),ROW($C:$C),0))+(B109-INDEX($B:$B,MATCH(ROW()-MOD(ROW()-ROW($C$2),3),ROW($C:$C),0)))/(INDEX($B:$B,MATCH(ROW()-MOD(ROW()-ROW($C$2),3),ROW($C:$C),0)+3)-INDEX($B:$B,MATCH(ROW()-MOD(ROW()-ROW($C$2),3),ROW($C:$C),0)))*(INDEX($C:$C,MATCH(ROW()-MOD(ROW()-ROW($C$2),3),ROW($C:$C),0)+3)-INDEX($C:$C,MATCH(ROW()-MOD(ROW()-ROW($C$2),3),ROW($C:$C),0)))</f>
        <v>112415.720424753</v>
      </c>
    </row>
    <row r="110" spans="1:3">
      <c r="A110" s="358">
        <f t="shared" si="3"/>
        <v>40179</v>
      </c>
      <c r="B110" s="356" t="str">
        <f t="shared" si="2"/>
        <v>2010-01-01</v>
      </c>
      <c r="C110" s="356">
        <f>VLOOKUP(B110,'Final Cle'!$C$2:$D$103,2,FALSE)</f>
        <v>112866.889315032</v>
      </c>
    </row>
    <row r="111" spans="1:3">
      <c r="A111" s="358">
        <f t="shared" si="3"/>
        <v>40210</v>
      </c>
      <c r="B111" s="356" t="str">
        <f t="shared" si="2"/>
        <v>2010-02-01</v>
      </c>
      <c r="C111" s="356" cm="1">
        <f t="array" ref="C111">INDEX($C:$C,MATCH(ROW()-MOD(ROW()-ROW($C$2),3),ROW($C:$C),0))+(B111-INDEX($B:$B,MATCH(ROW()-MOD(ROW()-ROW($C$2),3),ROW($C:$C),0)))/(INDEX($B:$B,MATCH(ROW()-MOD(ROW()-ROW($C$2),3),ROW($C:$C),0)+3)-INDEX($B:$B,MATCH(ROW()-MOD(ROW()-ROW($C$2),3),ROW($C:$C),0)))*(INDEX($C:$C,MATCH(ROW()-MOD(ROW()-ROW($C$2),3),ROW($C:$C),0)+3)-INDEX($C:$C,MATCH(ROW()-MOD(ROW()-ROW($C$2),3),ROW($C:$C),0)))</f>
        <v>112176.14067088</v>
      </c>
    </row>
    <row r="112" spans="1:3">
      <c r="A112" s="358">
        <f t="shared" si="3"/>
        <v>40238</v>
      </c>
      <c r="B112" s="356" t="str">
        <f t="shared" si="2"/>
        <v>2010-03-01</v>
      </c>
      <c r="C112" s="356" cm="1">
        <f t="array" ref="C112">INDEX($C:$C,MATCH(ROW()-MOD(ROW()-ROW($C$2),3),ROW($C:$C),0))+(B112-INDEX($B:$B,MATCH(ROW()-MOD(ROW()-ROW($C$2),3),ROW($C:$C),0)))/(INDEX($B:$B,MATCH(ROW()-MOD(ROW()-ROW($C$2),3),ROW($C:$C),0)+3)-INDEX($B:$B,MATCH(ROW()-MOD(ROW()-ROW($C$2),3),ROW($C:$C),0)))*(INDEX($C:$C,MATCH(ROW()-MOD(ROW()-ROW($C$2),3),ROW($C:$C),0)+3)-INDEX($C:$C,MATCH(ROW()-MOD(ROW()-ROW($C$2),3),ROW($C:$C),0)))</f>
        <v>111552.23866971</v>
      </c>
    </row>
    <row r="113" spans="1:3">
      <c r="A113" s="358">
        <f t="shared" si="3"/>
        <v>40269</v>
      </c>
      <c r="B113" s="356" t="str">
        <f t="shared" si="2"/>
        <v>2010-04-01</v>
      </c>
      <c r="C113" s="356">
        <f>VLOOKUP(B113,'Final Cle'!$C$2:$D$103,2,FALSE)</f>
        <v>110861.490025558</v>
      </c>
    </row>
    <row r="114" spans="1:3">
      <c r="A114" s="358">
        <f t="shared" si="3"/>
        <v>40299</v>
      </c>
      <c r="B114" s="356" t="str">
        <f t="shared" si="2"/>
        <v>2010-05-01</v>
      </c>
      <c r="C114" s="356" cm="1">
        <f t="array" ref="C114">INDEX($C:$C,MATCH(ROW()-MOD(ROW()-ROW($C$2),3),ROW($C:$C),0))+(B114-INDEX($B:$B,MATCH(ROW()-MOD(ROW()-ROW($C$2),3),ROW($C:$C),0)))/(INDEX($B:$B,MATCH(ROW()-MOD(ROW()-ROW($C$2),3),ROW($C:$C),0)+3)-INDEX($B:$B,MATCH(ROW()-MOD(ROW()-ROW($C$2),3),ROW($C:$C),0)))*(INDEX($C:$C,MATCH(ROW()-MOD(ROW()-ROW($C$2),3),ROW($C:$C),0)+3)-INDEX($C:$C,MATCH(ROW()-MOD(ROW()-ROW($C$2),3),ROW($C:$C),0)))</f>
        <v>111770.775805998</v>
      </c>
    </row>
    <row r="115" spans="1:3">
      <c r="A115" s="358">
        <f t="shared" si="3"/>
        <v>40330</v>
      </c>
      <c r="B115" s="356" t="str">
        <f t="shared" si="2"/>
        <v>2010-06-01</v>
      </c>
      <c r="C115" s="356" cm="1">
        <f t="array" ref="C115">INDEX($C:$C,MATCH(ROW()-MOD(ROW()-ROW($C$2),3),ROW($C:$C),0))+(B115-INDEX($B:$B,MATCH(ROW()-MOD(ROW()-ROW($C$2),3),ROW($C:$C),0)))/(INDEX($B:$B,MATCH(ROW()-MOD(ROW()-ROW($C$2),3),ROW($C:$C),0)+3)-INDEX($B:$B,MATCH(ROW()-MOD(ROW()-ROW($C$2),3),ROW($C:$C),0)))*(INDEX($C:$C,MATCH(ROW()-MOD(ROW()-ROW($C$2),3),ROW($C:$C),0)+3)-INDEX($C:$C,MATCH(ROW()-MOD(ROW()-ROW($C$2),3),ROW($C:$C),0)))</f>
        <v>112710.371112454</v>
      </c>
    </row>
    <row r="116" spans="1:3">
      <c r="A116" s="358">
        <f t="shared" si="3"/>
        <v>40360</v>
      </c>
      <c r="B116" s="356" t="str">
        <f t="shared" si="2"/>
        <v>2010-07-01</v>
      </c>
      <c r="C116" s="356">
        <f>VLOOKUP(B116,'Final Cle'!$C$2:$D$103,2,FALSE)</f>
        <v>113619.656892894</v>
      </c>
    </row>
    <row r="117" spans="1:3">
      <c r="A117" s="358">
        <f t="shared" si="3"/>
        <v>40391</v>
      </c>
      <c r="B117" s="356" t="str">
        <f t="shared" si="2"/>
        <v>2010-08-01</v>
      </c>
      <c r="C117" s="356" cm="1">
        <f t="array" ref="C117">INDEX($C:$C,MATCH(ROW()-MOD(ROW()-ROW($C$2),3),ROW($C:$C),0))+(B117-INDEX($B:$B,MATCH(ROW()-MOD(ROW()-ROW($C$2),3),ROW($C:$C),0)))/(INDEX($B:$B,MATCH(ROW()-MOD(ROW()-ROW($C$2),3),ROW($C:$C),0)+3)-INDEX($B:$B,MATCH(ROW()-MOD(ROW()-ROW($C$2),3),ROW($C:$C),0)))*(INDEX($C:$C,MATCH(ROW()-MOD(ROW()-ROW($C$2),3),ROW($C:$C),0)+3)-INDEX($C:$C,MATCH(ROW()-MOD(ROW()-ROW($C$2),3),ROW($C:$C),0)))</f>
        <v>112911.72345103</v>
      </c>
    </row>
    <row r="118" spans="1:3">
      <c r="A118" s="358">
        <f t="shared" si="3"/>
        <v>40422</v>
      </c>
      <c r="B118" s="356" t="str">
        <f t="shared" si="2"/>
        <v>2010-09-01</v>
      </c>
      <c r="C118" s="356" cm="1">
        <f t="array" ref="C118">INDEX($C:$C,MATCH(ROW()-MOD(ROW()-ROW($C$2),3),ROW($C:$C),0))+(B118-INDEX($B:$B,MATCH(ROW()-MOD(ROW()-ROW($C$2),3),ROW($C:$C),0)))/(INDEX($B:$B,MATCH(ROW()-MOD(ROW()-ROW($C$2),3),ROW($C:$C),0)+3)-INDEX($B:$B,MATCH(ROW()-MOD(ROW()-ROW($C$2),3),ROW($C:$C),0)))*(INDEX($C:$C,MATCH(ROW()-MOD(ROW()-ROW($C$2),3),ROW($C:$C),0)+3)-INDEX($C:$C,MATCH(ROW()-MOD(ROW()-ROW($C$2),3),ROW($C:$C),0)))</f>
        <v>112203.790009165</v>
      </c>
    </row>
    <row r="119" spans="1:3">
      <c r="A119" s="358">
        <f t="shared" si="3"/>
        <v>40452</v>
      </c>
      <c r="B119" s="356" t="str">
        <f t="shared" si="2"/>
        <v>2010-10-01</v>
      </c>
      <c r="C119" s="356">
        <f>VLOOKUP(B119,'Final Cle'!$C$2:$D$103,2,FALSE)</f>
        <v>111518.693129942</v>
      </c>
    </row>
    <row r="120" spans="1:3">
      <c r="A120" s="358">
        <f t="shared" si="3"/>
        <v>40483</v>
      </c>
      <c r="B120" s="356" t="str">
        <f t="shared" si="2"/>
        <v>2010-11-01</v>
      </c>
      <c r="C120" s="356" cm="1">
        <f t="array" ref="C120">INDEX($C:$C,MATCH(ROW()-MOD(ROW()-ROW($C$2),3),ROW($C:$C),0))+(B120-INDEX($B:$B,MATCH(ROW()-MOD(ROW()-ROW($C$2),3),ROW($C:$C),0)))/(INDEX($B:$B,MATCH(ROW()-MOD(ROW()-ROW($C$2),3),ROW($C:$C),0)+3)-INDEX($B:$B,MATCH(ROW()-MOD(ROW()-ROW($C$2),3),ROW($C:$C),0)))*(INDEX($C:$C,MATCH(ROW()-MOD(ROW()-ROW($C$2),3),ROW($C:$C),0)+3)-INDEX($C:$C,MATCH(ROW()-MOD(ROW()-ROW($C$2),3),ROW($C:$C),0)))</f>
        <v>113777.673386513</v>
      </c>
    </row>
    <row r="121" spans="1:3">
      <c r="A121" s="358">
        <f t="shared" si="3"/>
        <v>40513</v>
      </c>
      <c r="B121" s="356" t="str">
        <f t="shared" si="2"/>
        <v>2010-12-01</v>
      </c>
      <c r="C121" s="356" cm="1">
        <f t="array" ref="C121">INDEX($C:$C,MATCH(ROW()-MOD(ROW()-ROW($C$2),3),ROW($C:$C),0))+(B121-INDEX($B:$B,MATCH(ROW()-MOD(ROW()-ROW($C$2),3),ROW($C:$C),0)))/(INDEX($B:$B,MATCH(ROW()-MOD(ROW()-ROW($C$2),3),ROW($C:$C),0)+3)-INDEX($B:$B,MATCH(ROW()-MOD(ROW()-ROW($C$2),3),ROW($C:$C),0)))*(INDEX($C:$C,MATCH(ROW()-MOD(ROW()-ROW($C$2),3),ROW($C:$C),0)+3)-INDEX($C:$C,MATCH(ROW()-MOD(ROW()-ROW($C$2),3),ROW($C:$C),0)))</f>
        <v>115963.783312228</v>
      </c>
    </row>
    <row r="122" spans="1:3">
      <c r="A122" s="358">
        <f t="shared" si="3"/>
        <v>40544</v>
      </c>
      <c r="B122" s="356" t="str">
        <f t="shared" si="2"/>
        <v>2011-01-01</v>
      </c>
      <c r="C122" s="356">
        <f>VLOOKUP(B122,'Final Cle'!$C$2:$D$103,2,FALSE)</f>
        <v>118222.763568799</v>
      </c>
    </row>
    <row r="123" spans="1:3">
      <c r="A123" s="358">
        <f t="shared" si="3"/>
        <v>40575</v>
      </c>
      <c r="B123" s="356" t="str">
        <f t="shared" si="2"/>
        <v>2011-02-01</v>
      </c>
      <c r="C123" s="356" cm="1">
        <f t="array" ref="C123">INDEX($C:$C,MATCH(ROW()-MOD(ROW()-ROW($C$2),3),ROW($C:$C),0))+(B123-INDEX($B:$B,MATCH(ROW()-MOD(ROW()-ROW($C$2),3),ROW($C:$C),0)))/(INDEX($B:$B,MATCH(ROW()-MOD(ROW()-ROW($C$2),3),ROW($C:$C),0)+3)-INDEX($B:$B,MATCH(ROW()-MOD(ROW()-ROW($C$2),3),ROW($C:$C),0)))*(INDEX($C:$C,MATCH(ROW()-MOD(ROW()-ROW($C$2),3),ROW($C:$C),0)+3)-INDEX($C:$C,MATCH(ROW()-MOD(ROW()-ROW($C$2),3),ROW($C:$C),0)))</f>
        <v>119991.966486695</v>
      </c>
    </row>
    <row r="124" spans="1:3">
      <c r="A124" s="358">
        <f t="shared" si="3"/>
        <v>40603</v>
      </c>
      <c r="B124" s="356" t="str">
        <f t="shared" si="2"/>
        <v>2011-03-01</v>
      </c>
      <c r="C124" s="356" cm="1">
        <f t="array" ref="C124">INDEX($C:$C,MATCH(ROW()-MOD(ROW()-ROW($C$2),3),ROW($C:$C),0))+(B124-INDEX($B:$B,MATCH(ROW()-MOD(ROW()-ROW($C$2),3),ROW($C:$C),0)))/(INDEX($B:$B,MATCH(ROW()-MOD(ROW()-ROW($C$2),3),ROW($C:$C),0)+3)-INDEX($B:$B,MATCH(ROW()-MOD(ROW()-ROW($C$2),3),ROW($C:$C),0)))*(INDEX($C:$C,MATCH(ROW()-MOD(ROW()-ROW($C$2),3),ROW($C:$C),0)+3)-INDEX($C:$C,MATCH(ROW()-MOD(ROW()-ROW($C$2),3),ROW($C:$C),0)))</f>
        <v>121589.956218989</v>
      </c>
    </row>
    <row r="125" spans="1:3">
      <c r="A125" s="358">
        <f t="shared" si="3"/>
        <v>40634</v>
      </c>
      <c r="B125" s="356" t="str">
        <f t="shared" si="2"/>
        <v>2011-04-01</v>
      </c>
      <c r="C125" s="356">
        <f>VLOOKUP(B125,'Final Cle'!$C$2:$D$103,2,FALSE)</f>
        <v>123359.159136885</v>
      </c>
    </row>
    <row r="126" spans="1:3">
      <c r="A126" s="358">
        <f t="shared" si="3"/>
        <v>40664</v>
      </c>
      <c r="B126" s="356" t="str">
        <f t="shared" si="2"/>
        <v>2011-05-01</v>
      </c>
      <c r="C126" s="356" cm="1">
        <f t="array" ref="C126">INDEX($C:$C,MATCH(ROW()-MOD(ROW()-ROW($C$2),3),ROW($C:$C),0))+(B126-INDEX($B:$B,MATCH(ROW()-MOD(ROW()-ROW($C$2),3),ROW($C:$C),0)))/(INDEX($B:$B,MATCH(ROW()-MOD(ROW()-ROW($C$2),3),ROW($C:$C),0)+3)-INDEX($B:$B,MATCH(ROW()-MOD(ROW()-ROW($C$2),3),ROW($C:$C),0)))*(INDEX($C:$C,MATCH(ROW()-MOD(ROW()-ROW($C$2),3),ROW($C:$C),0)+3)-INDEX($C:$C,MATCH(ROW()-MOD(ROW()-ROW($C$2),3),ROW($C:$C),0)))</f>
        <v>123866.231556004</v>
      </c>
    </row>
    <row r="127" spans="1:3">
      <c r="A127" s="358">
        <f t="shared" si="3"/>
        <v>40695</v>
      </c>
      <c r="B127" s="356" t="str">
        <f t="shared" si="2"/>
        <v>2011-06-01</v>
      </c>
      <c r="C127" s="356" cm="1">
        <f t="array" ref="C127">INDEX($C:$C,MATCH(ROW()-MOD(ROW()-ROW($C$2),3),ROW($C:$C),0))+(B127-INDEX($B:$B,MATCH(ROW()-MOD(ROW()-ROW($C$2),3),ROW($C:$C),0)))/(INDEX($B:$B,MATCH(ROW()-MOD(ROW()-ROW($C$2),3),ROW($C:$C),0)+3)-INDEX($B:$B,MATCH(ROW()-MOD(ROW()-ROW($C$2),3),ROW($C:$C),0)))*(INDEX($C:$C,MATCH(ROW()-MOD(ROW()-ROW($C$2),3),ROW($C:$C),0)+3)-INDEX($C:$C,MATCH(ROW()-MOD(ROW()-ROW($C$2),3),ROW($C:$C),0)))</f>
        <v>124390.206389094</v>
      </c>
    </row>
    <row r="128" spans="1:3">
      <c r="A128" s="358">
        <f t="shared" si="3"/>
        <v>40725</v>
      </c>
      <c r="B128" s="356" t="str">
        <f t="shared" si="2"/>
        <v>2011-07-01</v>
      </c>
      <c r="C128" s="356">
        <f>VLOOKUP(B128,'Final Cle'!$C$2:$D$103,2,FALSE)</f>
        <v>124897.278808213</v>
      </c>
    </row>
    <row r="129" spans="1:3">
      <c r="A129" s="358">
        <f t="shared" si="3"/>
        <v>40756</v>
      </c>
      <c r="B129" s="356" t="str">
        <f t="shared" si="2"/>
        <v>2011-08-01</v>
      </c>
      <c r="C129" s="356" cm="1">
        <f t="array" ref="C129">INDEX($C:$C,MATCH(ROW()-MOD(ROW()-ROW($C$2),3),ROW($C:$C),0))+(B129-INDEX($B:$B,MATCH(ROW()-MOD(ROW()-ROW($C$2),3),ROW($C:$C),0)))/(INDEX($B:$B,MATCH(ROW()-MOD(ROW()-ROW($C$2),3),ROW($C:$C),0)+3)-INDEX($B:$B,MATCH(ROW()-MOD(ROW()-ROW($C$2),3),ROW($C:$C),0)))*(INDEX($C:$C,MATCH(ROW()-MOD(ROW()-ROW($C$2),3),ROW($C:$C),0)+3)-INDEX($C:$C,MATCH(ROW()-MOD(ROW()-ROW($C$2),3),ROW($C:$C),0)))</f>
        <v>124496.665531122</v>
      </c>
    </row>
    <row r="130" spans="1:3">
      <c r="A130" s="358">
        <f t="shared" si="3"/>
        <v>40787</v>
      </c>
      <c r="B130" s="356" t="str">
        <f t="shared" ref="B130:B193" si="4">TEXT(A130,"yyyy-mm-01")</f>
        <v>2011-09-01</v>
      </c>
      <c r="C130" s="356" cm="1">
        <f t="array" ref="C130">INDEX($C:$C,MATCH(ROW()-MOD(ROW()-ROW($C$2),3),ROW($C:$C),0))+(B130-INDEX($B:$B,MATCH(ROW()-MOD(ROW()-ROW($C$2),3),ROW($C:$C),0)))/(INDEX($B:$B,MATCH(ROW()-MOD(ROW()-ROW($C$2),3),ROW($C:$C),0)+3)-INDEX($B:$B,MATCH(ROW()-MOD(ROW()-ROW($C$2),3),ROW($C:$C),0)))*(INDEX($C:$C,MATCH(ROW()-MOD(ROW()-ROW($C$2),3),ROW($C:$C),0)+3)-INDEX($C:$C,MATCH(ROW()-MOD(ROW()-ROW($C$2),3),ROW($C:$C),0)))</f>
        <v>124096.052254031</v>
      </c>
    </row>
    <row r="131" spans="1:3">
      <c r="A131" s="358">
        <f t="shared" ref="A131:A194" si="5">EDATE(A130,1)</f>
        <v>40817</v>
      </c>
      <c r="B131" s="356" t="str">
        <f t="shared" si="4"/>
        <v>2011-10-01</v>
      </c>
      <c r="C131" s="356">
        <f>VLOOKUP(B131,'Final Cle'!$C$2:$D$103,2,FALSE)</f>
        <v>123708.361985878</v>
      </c>
    </row>
    <row r="132" spans="1:3">
      <c r="A132" s="358">
        <f t="shared" si="5"/>
        <v>40848</v>
      </c>
      <c r="B132" s="356" t="str">
        <f t="shared" si="4"/>
        <v>2011-11-01</v>
      </c>
      <c r="C132" s="356" cm="1">
        <f t="array" ref="C132">INDEX($C:$C,MATCH(ROW()-MOD(ROW()-ROW($C$2),3),ROW($C:$C),0))+(B132-INDEX($B:$B,MATCH(ROW()-MOD(ROW()-ROW($C$2),3),ROW($C:$C),0)))/(INDEX($B:$B,MATCH(ROW()-MOD(ROW()-ROW($C$2),3),ROW($C:$C),0)+3)-INDEX($B:$B,MATCH(ROW()-MOD(ROW()-ROW($C$2),3),ROW($C:$C),0)))*(INDEX($C:$C,MATCH(ROW()-MOD(ROW()-ROW($C$2),3),ROW($C:$C),0)+3)-INDEX($C:$C,MATCH(ROW()-MOD(ROW()-ROW($C$2),3),ROW($C:$C),0)))</f>
        <v>124251.67603935</v>
      </c>
    </row>
    <row r="133" spans="1:3">
      <c r="A133" s="358">
        <f t="shared" si="5"/>
        <v>40878</v>
      </c>
      <c r="B133" s="356" t="str">
        <f t="shared" si="4"/>
        <v>2011-12-01</v>
      </c>
      <c r="C133" s="356" cm="1">
        <f t="array" ref="C133">INDEX($C:$C,MATCH(ROW()-MOD(ROW()-ROW($C$2),3),ROW($C:$C),0))+(B133-INDEX($B:$B,MATCH(ROW()-MOD(ROW()-ROW($C$2),3),ROW($C:$C),0)))/(INDEX($B:$B,MATCH(ROW()-MOD(ROW()-ROW($C$2),3),ROW($C:$C),0)+3)-INDEX($B:$B,MATCH(ROW()-MOD(ROW()-ROW($C$2),3),ROW($C:$C),0)))*(INDEX($C:$C,MATCH(ROW()-MOD(ROW()-ROW($C$2),3),ROW($C:$C),0)+3)-INDEX($C:$C,MATCH(ROW()-MOD(ROW()-ROW($C$2),3),ROW($C:$C),0)))</f>
        <v>124777.463833033</v>
      </c>
    </row>
    <row r="134" spans="1:3">
      <c r="A134" s="358">
        <f t="shared" si="5"/>
        <v>40909</v>
      </c>
      <c r="B134" s="356" t="str">
        <f t="shared" si="4"/>
        <v>2012-01-01</v>
      </c>
      <c r="C134" s="356">
        <f>VLOOKUP(B134,'Final Cle'!$C$2:$D$103,2,FALSE)</f>
        <v>125320.777886505</v>
      </c>
    </row>
    <row r="135" spans="1:3">
      <c r="A135" s="358">
        <f t="shared" si="5"/>
        <v>40940</v>
      </c>
      <c r="B135" s="356" t="str">
        <f t="shared" si="4"/>
        <v>2012-02-01</v>
      </c>
      <c r="C135" s="356" cm="1">
        <f t="array" ref="C135">INDEX($C:$C,MATCH(ROW()-MOD(ROW()-ROW($C$2),3),ROW($C:$C),0))+(B135-INDEX($B:$B,MATCH(ROW()-MOD(ROW()-ROW($C$2),3),ROW($C:$C),0)))/(INDEX($B:$B,MATCH(ROW()-MOD(ROW()-ROW($C$2),3),ROW($C:$C),0)+3)-INDEX($B:$B,MATCH(ROW()-MOD(ROW()-ROW($C$2),3),ROW($C:$C),0)))*(INDEX($C:$C,MATCH(ROW()-MOD(ROW()-ROW($C$2),3),ROW($C:$C),0)+3)-INDEX($C:$C,MATCH(ROW()-MOD(ROW()-ROW($C$2),3),ROW($C:$C),0)))</f>
        <v>126626.619513654</v>
      </c>
    </row>
    <row r="136" spans="1:3">
      <c r="A136" s="358">
        <f t="shared" si="5"/>
        <v>40969</v>
      </c>
      <c r="B136" s="356" t="str">
        <f t="shared" si="4"/>
        <v>2012-03-01</v>
      </c>
      <c r="C136" s="356" cm="1">
        <f t="array" ref="C136">INDEX($C:$C,MATCH(ROW()-MOD(ROW()-ROW($C$2),3),ROW($C:$C),0))+(B136-INDEX($B:$B,MATCH(ROW()-MOD(ROW()-ROW($C$2),3),ROW($C:$C),0)))/(INDEX($B:$B,MATCH(ROW()-MOD(ROW()-ROW($C$2),3),ROW($C:$C),0)+3)-INDEX($B:$B,MATCH(ROW()-MOD(ROW()-ROW($C$2),3),ROW($C:$C),0)))*(INDEX($C:$C,MATCH(ROW()-MOD(ROW()-ROW($C$2),3),ROW($C:$C),0)+3)-INDEX($C:$C,MATCH(ROW()-MOD(ROW()-ROW($C$2),3),ROW($C:$C),0)))</f>
        <v>127848.21329389</v>
      </c>
    </row>
    <row r="137" spans="1:3">
      <c r="A137" s="358">
        <f t="shared" si="5"/>
        <v>41000</v>
      </c>
      <c r="B137" s="356" t="str">
        <f t="shared" si="4"/>
        <v>2012-04-01</v>
      </c>
      <c r="C137" s="356">
        <f>VLOOKUP(B137,'Final Cle'!$C$2:$D$103,2,FALSE)</f>
        <v>129154.054921039</v>
      </c>
    </row>
    <row r="138" spans="1:3">
      <c r="A138" s="358">
        <f t="shared" si="5"/>
        <v>41030</v>
      </c>
      <c r="B138" s="356" t="str">
        <f t="shared" si="4"/>
        <v>2012-05-01</v>
      </c>
      <c r="C138" s="356" cm="1">
        <f t="array" ref="C138">INDEX($C:$C,MATCH(ROW()-MOD(ROW()-ROW($C$2),3),ROW($C:$C),0))+(B138-INDEX($B:$B,MATCH(ROW()-MOD(ROW()-ROW($C$2),3),ROW($C:$C),0)))/(INDEX($B:$B,MATCH(ROW()-MOD(ROW()-ROW($C$2),3),ROW($C:$C),0)+3)-INDEX($B:$B,MATCH(ROW()-MOD(ROW()-ROW($C$2),3),ROW($C:$C),0)))*(INDEX($C:$C,MATCH(ROW()-MOD(ROW()-ROW($C$2),3),ROW($C:$C),0)+3)-INDEX($C:$C,MATCH(ROW()-MOD(ROW()-ROW($C$2),3),ROW($C:$C),0)))</f>
        <v>130268.937354494</v>
      </c>
    </row>
    <row r="139" spans="1:3">
      <c r="A139" s="358">
        <f t="shared" si="5"/>
        <v>41061</v>
      </c>
      <c r="B139" s="356" t="str">
        <f t="shared" si="4"/>
        <v>2012-06-01</v>
      </c>
      <c r="C139" s="356" cm="1">
        <f t="array" ref="C139">INDEX($C:$C,MATCH(ROW()-MOD(ROW()-ROW($C$2),3),ROW($C:$C),0))+(B139-INDEX($B:$B,MATCH(ROW()-MOD(ROW()-ROW($C$2),3),ROW($C:$C),0)))/(INDEX($B:$B,MATCH(ROW()-MOD(ROW()-ROW($C$2),3),ROW($C:$C),0)+3)-INDEX($B:$B,MATCH(ROW()-MOD(ROW()-ROW($C$2),3),ROW($C:$C),0)))*(INDEX($C:$C,MATCH(ROW()-MOD(ROW()-ROW($C$2),3),ROW($C:$C),0)+3)-INDEX($C:$C,MATCH(ROW()-MOD(ROW()-ROW($C$2),3),ROW($C:$C),0)))</f>
        <v>131420.982535732</v>
      </c>
    </row>
    <row r="140" spans="1:3">
      <c r="A140" s="358">
        <f t="shared" si="5"/>
        <v>41091</v>
      </c>
      <c r="B140" s="356" t="str">
        <f t="shared" si="4"/>
        <v>2012-07-01</v>
      </c>
      <c r="C140" s="356">
        <f>VLOOKUP(B140,'Final Cle'!$C$2:$D$103,2,FALSE)</f>
        <v>132535.864969187</v>
      </c>
    </row>
    <row r="141" spans="1:3">
      <c r="A141" s="358">
        <f t="shared" si="5"/>
        <v>41122</v>
      </c>
      <c r="B141" s="356" t="str">
        <f t="shared" si="4"/>
        <v>2012-08-01</v>
      </c>
      <c r="C141" s="356" cm="1">
        <f t="array" ref="C141">INDEX($C:$C,MATCH(ROW()-MOD(ROW()-ROW($C$2),3),ROW($C:$C),0))+(B141-INDEX($B:$B,MATCH(ROW()-MOD(ROW()-ROW($C$2),3),ROW($C:$C),0)))/(INDEX($B:$B,MATCH(ROW()-MOD(ROW()-ROW($C$2),3),ROW($C:$C),0)+3)-INDEX($B:$B,MATCH(ROW()-MOD(ROW()-ROW($C$2),3),ROW($C:$C),0)))*(INDEX($C:$C,MATCH(ROW()-MOD(ROW()-ROW($C$2),3),ROW($C:$C),0)+3)-INDEX($C:$C,MATCH(ROW()-MOD(ROW()-ROW($C$2),3),ROW($C:$C),0)))</f>
        <v>133168.753744255</v>
      </c>
    </row>
    <row r="142" spans="1:3">
      <c r="A142" s="358">
        <f t="shared" si="5"/>
        <v>41153</v>
      </c>
      <c r="B142" s="356" t="str">
        <f t="shared" si="4"/>
        <v>2012-09-01</v>
      </c>
      <c r="C142" s="356" cm="1">
        <f t="array" ref="C142">INDEX($C:$C,MATCH(ROW()-MOD(ROW()-ROW($C$2),3),ROW($C:$C),0))+(B142-INDEX($B:$B,MATCH(ROW()-MOD(ROW()-ROW($C$2),3),ROW($C:$C),0)))/(INDEX($B:$B,MATCH(ROW()-MOD(ROW()-ROW($C$2),3),ROW($C:$C),0)+3)-INDEX($B:$B,MATCH(ROW()-MOD(ROW()-ROW($C$2),3),ROW($C:$C),0)))*(INDEX($C:$C,MATCH(ROW()-MOD(ROW()-ROW($C$2),3),ROW($C:$C),0)+3)-INDEX($C:$C,MATCH(ROW()-MOD(ROW()-ROW($C$2),3),ROW($C:$C),0)))</f>
        <v>133801.642519323</v>
      </c>
    </row>
    <row r="143" spans="1:3">
      <c r="A143" s="358">
        <f t="shared" si="5"/>
        <v>41183</v>
      </c>
      <c r="B143" s="356" t="str">
        <f t="shared" si="4"/>
        <v>2012-10-01</v>
      </c>
      <c r="C143" s="356">
        <f>VLOOKUP(B143,'Final Cle'!$C$2:$D$103,2,FALSE)</f>
        <v>134414.115527453</v>
      </c>
    </row>
    <row r="144" spans="1:3">
      <c r="A144" s="358">
        <f t="shared" si="5"/>
        <v>41214</v>
      </c>
      <c r="B144" s="356" t="str">
        <f t="shared" si="4"/>
        <v>2012-11-01</v>
      </c>
      <c r="C144" s="356" cm="1">
        <f t="array" ref="C144">INDEX($C:$C,MATCH(ROW()-MOD(ROW()-ROW($C$2),3),ROW($C:$C),0))+(B144-INDEX($B:$B,MATCH(ROW()-MOD(ROW()-ROW($C$2),3),ROW($C:$C),0)))/(INDEX($B:$B,MATCH(ROW()-MOD(ROW()-ROW($C$2),3),ROW($C:$C),0)+3)-INDEX($B:$B,MATCH(ROW()-MOD(ROW()-ROW($C$2),3),ROW($C:$C),0)))*(INDEX($C:$C,MATCH(ROW()-MOD(ROW()-ROW($C$2),3),ROW($C:$C),0)+3)-INDEX($C:$C,MATCH(ROW()-MOD(ROW()-ROW($C$2),3),ROW($C:$C),0)))</f>
        <v>135257.88961754</v>
      </c>
    </row>
    <row r="145" spans="1:3">
      <c r="A145" s="358">
        <f t="shared" si="5"/>
        <v>41244</v>
      </c>
      <c r="B145" s="356" t="str">
        <f t="shared" si="4"/>
        <v>2012-12-01</v>
      </c>
      <c r="C145" s="356" cm="1">
        <f t="array" ref="C145">INDEX($C:$C,MATCH(ROW()-MOD(ROW()-ROW($C$2),3),ROW($C:$C),0))+(B145-INDEX($B:$B,MATCH(ROW()-MOD(ROW()-ROW($C$2),3),ROW($C:$C),0)))/(INDEX($B:$B,MATCH(ROW()-MOD(ROW()-ROW($C$2),3),ROW($C:$C),0)+3)-INDEX($B:$B,MATCH(ROW()-MOD(ROW()-ROW($C$2),3),ROW($C:$C),0)))*(INDEX($C:$C,MATCH(ROW()-MOD(ROW()-ROW($C$2),3),ROW($C:$C),0)+3)-INDEX($C:$C,MATCH(ROW()-MOD(ROW()-ROW($C$2),3),ROW($C:$C),0)))</f>
        <v>136074.445188591</v>
      </c>
    </row>
    <row r="146" spans="1:3">
      <c r="A146" s="358">
        <f t="shared" si="5"/>
        <v>41275</v>
      </c>
      <c r="B146" s="356" t="str">
        <f t="shared" si="4"/>
        <v>2013-01-01</v>
      </c>
      <c r="C146" s="356">
        <f>VLOOKUP(B146,'Final Cle'!$C$2:$D$103,2,FALSE)</f>
        <v>136918.219278678</v>
      </c>
    </row>
    <row r="147" spans="1:3">
      <c r="A147" s="358">
        <f t="shared" si="5"/>
        <v>41306</v>
      </c>
      <c r="B147" s="356" t="str">
        <f t="shared" si="4"/>
        <v>2013-02-01</v>
      </c>
      <c r="C147" s="356" cm="1">
        <f t="array" ref="C147">INDEX($C:$C,MATCH(ROW()-MOD(ROW()-ROW($C$2),3),ROW($C:$C),0))+(B147-INDEX($B:$B,MATCH(ROW()-MOD(ROW()-ROW($C$2),3),ROW($C:$C),0)))/(INDEX($B:$B,MATCH(ROW()-MOD(ROW()-ROW($C$2),3),ROW($C:$C),0)+3)-INDEX($B:$B,MATCH(ROW()-MOD(ROW()-ROW($C$2),3),ROW($C:$C),0)))*(INDEX($C:$C,MATCH(ROW()-MOD(ROW()-ROW($C$2),3),ROW($C:$C),0)+3)-INDEX($C:$C,MATCH(ROW()-MOD(ROW()-ROW($C$2),3),ROW($C:$C),0)))</f>
        <v>137873.447142894</v>
      </c>
    </row>
    <row r="148" spans="1:3">
      <c r="A148" s="358">
        <f t="shared" si="5"/>
        <v>41334</v>
      </c>
      <c r="B148" s="356" t="str">
        <f t="shared" si="4"/>
        <v>2013-03-01</v>
      </c>
      <c r="C148" s="356" cm="1">
        <f t="array" ref="C148">INDEX($C:$C,MATCH(ROW()-MOD(ROW()-ROW($C$2),3),ROW($C:$C),0))+(B148-INDEX($B:$B,MATCH(ROW()-MOD(ROW()-ROW($C$2),3),ROW($C:$C),0)))/(INDEX($B:$B,MATCH(ROW()-MOD(ROW()-ROW($C$2),3),ROW($C:$C),0)+3)-INDEX($B:$B,MATCH(ROW()-MOD(ROW()-ROW($C$2),3),ROW($C:$C),0)))*(INDEX($C:$C,MATCH(ROW()-MOD(ROW()-ROW($C$2),3),ROW($C:$C),0)+3)-INDEX($C:$C,MATCH(ROW()-MOD(ROW()-ROW($C$2),3),ROW($C:$C),0)))</f>
        <v>138736.233600896</v>
      </c>
    </row>
    <row r="149" spans="1:3">
      <c r="A149" s="358">
        <f t="shared" si="5"/>
        <v>41365</v>
      </c>
      <c r="B149" s="356" t="str">
        <f t="shared" si="4"/>
        <v>2013-04-01</v>
      </c>
      <c r="C149" s="356">
        <f>VLOOKUP(B149,'Final Cle'!$C$2:$D$103,2,FALSE)</f>
        <v>139691.461465112</v>
      </c>
    </row>
    <row r="150" spans="1:3">
      <c r="A150" s="358">
        <f t="shared" si="5"/>
        <v>41395</v>
      </c>
      <c r="B150" s="356" t="str">
        <f t="shared" si="4"/>
        <v>2013-05-01</v>
      </c>
      <c r="C150" s="356" cm="1">
        <f t="array" ref="C150">INDEX($C:$C,MATCH(ROW()-MOD(ROW()-ROW($C$2),3),ROW($C:$C),0))+(B150-INDEX($B:$B,MATCH(ROW()-MOD(ROW()-ROW($C$2),3),ROW($C:$C),0)))/(INDEX($B:$B,MATCH(ROW()-MOD(ROW()-ROW($C$2),3),ROW($C:$C),0)+3)-INDEX($B:$B,MATCH(ROW()-MOD(ROW()-ROW($C$2),3),ROW($C:$C),0)))*(INDEX($C:$C,MATCH(ROW()-MOD(ROW()-ROW($C$2),3),ROW($C:$C),0)+3)-INDEX($C:$C,MATCH(ROW()-MOD(ROW()-ROW($C$2),3),ROW($C:$C),0)))</f>
        <v>141624.430702923</v>
      </c>
    </row>
    <row r="151" spans="1:3">
      <c r="A151" s="358">
        <f t="shared" si="5"/>
        <v>41426</v>
      </c>
      <c r="B151" s="356" t="str">
        <f t="shared" si="4"/>
        <v>2013-06-01</v>
      </c>
      <c r="C151" s="356" cm="1">
        <f t="array" ref="C151">INDEX($C:$C,MATCH(ROW()-MOD(ROW()-ROW($C$2),3),ROW($C:$C),0))+(B151-INDEX($B:$B,MATCH(ROW()-MOD(ROW()-ROW($C$2),3),ROW($C:$C),0)))/(INDEX($B:$B,MATCH(ROW()-MOD(ROW()-ROW($C$2),3),ROW($C:$C),0)+3)-INDEX($B:$B,MATCH(ROW()-MOD(ROW()-ROW($C$2),3),ROW($C:$C),0)))*(INDEX($C:$C,MATCH(ROW()-MOD(ROW()-ROW($C$2),3),ROW($C:$C),0)+3)-INDEX($C:$C,MATCH(ROW()-MOD(ROW()-ROW($C$2),3),ROW($C:$C),0)))</f>
        <v>143621.832248662</v>
      </c>
    </row>
    <row r="152" spans="1:3">
      <c r="A152" s="358">
        <f t="shared" si="5"/>
        <v>41456</v>
      </c>
      <c r="B152" s="356" t="str">
        <f t="shared" si="4"/>
        <v>2013-07-01</v>
      </c>
      <c r="C152" s="356">
        <f>VLOOKUP(B152,'Final Cle'!$C$2:$D$103,2,FALSE)</f>
        <v>145554.801486473</v>
      </c>
    </row>
    <row r="153" spans="1:3">
      <c r="A153" s="358">
        <f t="shared" si="5"/>
        <v>41487</v>
      </c>
      <c r="B153" s="356" t="str">
        <f t="shared" si="4"/>
        <v>2013-08-01</v>
      </c>
      <c r="C153" s="356" cm="1">
        <f t="array" ref="C153">INDEX($C:$C,MATCH(ROW()-MOD(ROW()-ROW($C$2),3),ROW($C:$C),0))+(B153-INDEX($B:$B,MATCH(ROW()-MOD(ROW()-ROW($C$2),3),ROW($C:$C),0)))/(INDEX($B:$B,MATCH(ROW()-MOD(ROW()-ROW($C$2),3),ROW($C:$C),0)+3)-INDEX($B:$B,MATCH(ROW()-MOD(ROW()-ROW($C$2),3),ROW($C:$C),0)))*(INDEX($C:$C,MATCH(ROW()-MOD(ROW()-ROW($C$2),3),ROW($C:$C),0)+3)-INDEX($C:$C,MATCH(ROW()-MOD(ROW()-ROW($C$2),3),ROW($C:$C),0)))</f>
        <v>146433.55434009</v>
      </c>
    </row>
    <row r="154" spans="1:3">
      <c r="A154" s="358">
        <f t="shared" si="5"/>
        <v>41518</v>
      </c>
      <c r="B154" s="356" t="str">
        <f t="shared" si="4"/>
        <v>2013-09-01</v>
      </c>
      <c r="C154" s="356" cm="1">
        <f t="array" ref="C154">INDEX($C:$C,MATCH(ROW()-MOD(ROW()-ROW($C$2),3),ROW($C:$C),0))+(B154-INDEX($B:$B,MATCH(ROW()-MOD(ROW()-ROW($C$2),3),ROW($C:$C),0)))/(INDEX($B:$B,MATCH(ROW()-MOD(ROW()-ROW($C$2),3),ROW($C:$C),0)+3)-INDEX($B:$B,MATCH(ROW()-MOD(ROW()-ROW($C$2),3),ROW($C:$C),0)))*(INDEX($C:$C,MATCH(ROW()-MOD(ROW()-ROW($C$2),3),ROW($C:$C),0)+3)-INDEX($C:$C,MATCH(ROW()-MOD(ROW()-ROW($C$2),3),ROW($C:$C),0)))</f>
        <v>147312.307193707</v>
      </c>
    </row>
    <row r="155" spans="1:3">
      <c r="A155" s="358">
        <f t="shared" si="5"/>
        <v>41548</v>
      </c>
      <c r="B155" s="356" t="str">
        <f t="shared" si="4"/>
        <v>2013-10-01</v>
      </c>
      <c r="C155" s="356">
        <f>VLOOKUP(B155,'Final Cle'!$C$2:$D$103,2,FALSE)</f>
        <v>148162.713181078</v>
      </c>
    </row>
    <row r="156" spans="1:3">
      <c r="A156" s="358">
        <f t="shared" si="5"/>
        <v>41579</v>
      </c>
      <c r="B156" s="356" t="str">
        <f t="shared" si="4"/>
        <v>2013-11-01</v>
      </c>
      <c r="C156" s="356" cm="1">
        <f t="array" ref="C156">INDEX($C:$C,MATCH(ROW()-MOD(ROW()-ROW($C$2),3),ROW($C:$C),0))+(B156-INDEX($B:$B,MATCH(ROW()-MOD(ROW()-ROW($C$2),3),ROW($C:$C),0)))/(INDEX($B:$B,MATCH(ROW()-MOD(ROW()-ROW($C$2),3),ROW($C:$C),0)+3)-INDEX($B:$B,MATCH(ROW()-MOD(ROW()-ROW($C$2),3),ROW($C:$C),0)))*(INDEX($C:$C,MATCH(ROW()-MOD(ROW()-ROW($C$2),3),ROW($C:$C),0)+3)-INDEX($C:$C,MATCH(ROW()-MOD(ROW()-ROW($C$2),3),ROW($C:$C),0)))</f>
        <v>148792.873861009</v>
      </c>
    </row>
    <row r="157" spans="1:3">
      <c r="A157" s="358">
        <f t="shared" si="5"/>
        <v>41609</v>
      </c>
      <c r="B157" s="356" t="str">
        <f t="shared" si="4"/>
        <v>2013-12-01</v>
      </c>
      <c r="C157" s="356" cm="1">
        <f t="array" ref="C157">INDEX($C:$C,MATCH(ROW()-MOD(ROW()-ROW($C$2),3),ROW($C:$C),0))+(B157-INDEX($B:$B,MATCH(ROW()-MOD(ROW()-ROW($C$2),3),ROW($C:$C),0)))/(INDEX($B:$B,MATCH(ROW()-MOD(ROW()-ROW($C$2),3),ROW($C:$C),0)+3)-INDEX($B:$B,MATCH(ROW()-MOD(ROW()-ROW($C$2),3),ROW($C:$C),0)))*(INDEX($C:$C,MATCH(ROW()-MOD(ROW()-ROW($C$2),3),ROW($C:$C),0)+3)-INDEX($C:$C,MATCH(ROW()-MOD(ROW()-ROW($C$2),3),ROW($C:$C),0)))</f>
        <v>149402.70677707</v>
      </c>
    </row>
    <row r="158" spans="1:3">
      <c r="A158" s="358">
        <f t="shared" si="5"/>
        <v>41640</v>
      </c>
      <c r="B158" s="356" t="str">
        <f t="shared" si="4"/>
        <v>2014-01-01</v>
      </c>
      <c r="C158" s="356">
        <f>VLOOKUP(B158,'Final Cle'!$C$2:$D$103,2,FALSE)</f>
        <v>150032.867457001</v>
      </c>
    </row>
    <row r="159" spans="1:3">
      <c r="A159" s="358">
        <f t="shared" si="5"/>
        <v>41671</v>
      </c>
      <c r="B159" s="356" t="str">
        <f t="shared" si="4"/>
        <v>2014-02-01</v>
      </c>
      <c r="C159" s="356" cm="1">
        <f t="array" ref="C159">INDEX($C:$C,MATCH(ROW()-MOD(ROW()-ROW($C$2),3),ROW($C:$C),0))+(B159-INDEX($B:$B,MATCH(ROW()-MOD(ROW()-ROW($C$2),3),ROW($C:$C),0)))/(INDEX($B:$B,MATCH(ROW()-MOD(ROW()-ROW($C$2),3),ROW($C:$C),0)+3)-INDEX($B:$B,MATCH(ROW()-MOD(ROW()-ROW($C$2),3),ROW($C:$C),0)))*(INDEX($C:$C,MATCH(ROW()-MOD(ROW()-ROW($C$2),3),ROW($C:$C),0)+3)-INDEX($C:$C,MATCH(ROW()-MOD(ROW()-ROW($C$2),3),ROW($C:$C),0)))</f>
        <v>150539.824715542</v>
      </c>
    </row>
    <row r="160" spans="1:3">
      <c r="A160" s="358">
        <f t="shared" si="5"/>
        <v>41699</v>
      </c>
      <c r="B160" s="356" t="str">
        <f t="shared" si="4"/>
        <v>2014-03-01</v>
      </c>
      <c r="C160" s="356" cm="1">
        <f t="array" ref="C160">INDEX($C:$C,MATCH(ROW()-MOD(ROW()-ROW($C$2),3),ROW($C:$C),0))+(B160-INDEX($B:$B,MATCH(ROW()-MOD(ROW()-ROW($C$2),3),ROW($C:$C),0)))/(INDEX($B:$B,MATCH(ROW()-MOD(ROW()-ROW($C$2),3),ROW($C:$C),0)+3)-INDEX($B:$B,MATCH(ROW()-MOD(ROW()-ROW($C$2),3),ROW($C:$C),0)))*(INDEX($C:$C,MATCH(ROW()-MOD(ROW()-ROW($C$2),3),ROW($C:$C),0)+3)-INDEX($C:$C,MATCH(ROW()-MOD(ROW()-ROW($C$2),3),ROW($C:$C),0)))</f>
        <v>150997.721594224</v>
      </c>
    </row>
    <row r="161" spans="1:3">
      <c r="A161" s="358">
        <f t="shared" si="5"/>
        <v>41730</v>
      </c>
      <c r="B161" s="356" t="str">
        <f t="shared" si="4"/>
        <v>2014-04-01</v>
      </c>
      <c r="C161" s="356">
        <f>VLOOKUP(B161,'Final Cle'!$C$2:$D$103,2,FALSE)</f>
        <v>151504.678852765</v>
      </c>
    </row>
    <row r="162" spans="1:3">
      <c r="A162" s="358">
        <f t="shared" si="5"/>
        <v>41760</v>
      </c>
      <c r="B162" s="356" t="str">
        <f t="shared" si="4"/>
        <v>2014-05-01</v>
      </c>
      <c r="C162" s="356" cm="1">
        <f t="array" ref="C162">INDEX($C:$C,MATCH(ROW()-MOD(ROW()-ROW($C$2),3),ROW($C:$C),0))+(B162-INDEX($B:$B,MATCH(ROW()-MOD(ROW()-ROW($C$2),3),ROW($C:$C),0)))/(INDEX($B:$B,MATCH(ROW()-MOD(ROW()-ROW($C$2),3),ROW($C:$C),0)+3)-INDEX($B:$B,MATCH(ROW()-MOD(ROW()-ROW($C$2),3),ROW($C:$C),0)))*(INDEX($C:$C,MATCH(ROW()-MOD(ROW()-ROW($C$2),3),ROW($C:$C),0)+3)-INDEX($C:$C,MATCH(ROW()-MOD(ROW()-ROW($C$2),3),ROW($C:$C),0)))</f>
        <v>152849.484338197</v>
      </c>
    </row>
    <row r="163" spans="1:3">
      <c r="A163" s="358">
        <f t="shared" si="5"/>
        <v>41791</v>
      </c>
      <c r="B163" s="356" t="str">
        <f t="shared" si="4"/>
        <v>2014-06-01</v>
      </c>
      <c r="C163" s="356" cm="1">
        <f t="array" ref="C163">INDEX($C:$C,MATCH(ROW()-MOD(ROW()-ROW($C$2),3),ROW($C:$C),0))+(B163-INDEX($B:$B,MATCH(ROW()-MOD(ROW()-ROW($C$2),3),ROW($C:$C),0)))/(INDEX($B:$B,MATCH(ROW()-MOD(ROW()-ROW($C$2),3),ROW($C:$C),0)+3)-INDEX($B:$B,MATCH(ROW()-MOD(ROW()-ROW($C$2),3),ROW($C:$C),0)))*(INDEX($C:$C,MATCH(ROW()-MOD(ROW()-ROW($C$2),3),ROW($C:$C),0)+3)-INDEX($C:$C,MATCH(ROW()-MOD(ROW()-ROW($C$2),3),ROW($C:$C),0)))</f>
        <v>154239.116673142</v>
      </c>
    </row>
    <row r="164" spans="1:3">
      <c r="A164" s="358">
        <f t="shared" si="5"/>
        <v>41821</v>
      </c>
      <c r="B164" s="356" t="str">
        <f t="shared" si="4"/>
        <v>2014-07-01</v>
      </c>
      <c r="C164" s="356">
        <f>VLOOKUP(B164,'Final Cle'!$C$2:$D$103,2,FALSE)</f>
        <v>155583.922158574</v>
      </c>
    </row>
    <row r="165" spans="1:3">
      <c r="A165" s="358">
        <f t="shared" si="5"/>
        <v>41852</v>
      </c>
      <c r="B165" s="356" t="str">
        <f t="shared" si="4"/>
        <v>2014-08-01</v>
      </c>
      <c r="C165" s="356" cm="1">
        <f t="array" ref="C165">INDEX($C:$C,MATCH(ROW()-MOD(ROW()-ROW($C$2),3),ROW($C:$C),0))+(B165-INDEX($B:$B,MATCH(ROW()-MOD(ROW()-ROW($C$2),3),ROW($C:$C),0)))/(INDEX($B:$B,MATCH(ROW()-MOD(ROW()-ROW($C$2),3),ROW($C:$C),0)+3)-INDEX($B:$B,MATCH(ROW()-MOD(ROW()-ROW($C$2),3),ROW($C:$C),0)))*(INDEX($C:$C,MATCH(ROW()-MOD(ROW()-ROW($C$2),3),ROW($C:$C),0)+3)-INDEX($C:$C,MATCH(ROW()-MOD(ROW()-ROW($C$2),3),ROW($C:$C),0)))</f>
        <v>155614.570625224</v>
      </c>
    </row>
    <row r="166" spans="1:3">
      <c r="A166" s="358">
        <f t="shared" si="5"/>
        <v>41883</v>
      </c>
      <c r="B166" s="356" t="str">
        <f t="shared" si="4"/>
        <v>2014-09-01</v>
      </c>
      <c r="C166" s="356" cm="1">
        <f t="array" ref="C166">INDEX($C:$C,MATCH(ROW()-MOD(ROW()-ROW($C$2),3),ROW($C:$C),0))+(B166-INDEX($B:$B,MATCH(ROW()-MOD(ROW()-ROW($C$2),3),ROW($C:$C),0)))/(INDEX($B:$B,MATCH(ROW()-MOD(ROW()-ROW($C$2),3),ROW($C:$C),0)+3)-INDEX($B:$B,MATCH(ROW()-MOD(ROW()-ROW($C$2),3),ROW($C:$C),0)))*(INDEX($C:$C,MATCH(ROW()-MOD(ROW()-ROW($C$2),3),ROW($C:$C),0)+3)-INDEX($C:$C,MATCH(ROW()-MOD(ROW()-ROW($C$2),3),ROW($C:$C),0)))</f>
        <v>155645.219091874</v>
      </c>
    </row>
    <row r="167" spans="1:3">
      <c r="A167" s="358">
        <f t="shared" si="5"/>
        <v>41913</v>
      </c>
      <c r="B167" s="356" t="str">
        <f t="shared" si="4"/>
        <v>2014-10-01</v>
      </c>
      <c r="C167" s="356">
        <f>VLOOKUP(B167,'Final Cle'!$C$2:$D$103,2,FALSE)</f>
        <v>155674.878898309</v>
      </c>
    </row>
    <row r="168" spans="1:3">
      <c r="A168" s="358">
        <f t="shared" si="5"/>
        <v>41944</v>
      </c>
      <c r="B168" s="356" t="str">
        <f t="shared" si="4"/>
        <v>2014-11-01</v>
      </c>
      <c r="C168" s="356" cm="1">
        <f t="array" ref="C168">INDEX($C:$C,MATCH(ROW()-MOD(ROW()-ROW($C$2),3),ROW($C:$C),0))+(B168-INDEX($B:$B,MATCH(ROW()-MOD(ROW()-ROW($C$2),3),ROW($C:$C),0)))/(INDEX($B:$B,MATCH(ROW()-MOD(ROW()-ROW($C$2),3),ROW($C:$C),0)+3)-INDEX($B:$B,MATCH(ROW()-MOD(ROW()-ROW($C$2),3),ROW($C:$C),0)))*(INDEX($C:$C,MATCH(ROW()-MOD(ROW()-ROW($C$2),3),ROW($C:$C),0)+3)-INDEX($C:$C,MATCH(ROW()-MOD(ROW()-ROW($C$2),3),ROW($C:$C),0)))</f>
        <v>156159.979491168</v>
      </c>
    </row>
    <row r="169" spans="1:3">
      <c r="A169" s="358">
        <f t="shared" si="5"/>
        <v>41974</v>
      </c>
      <c r="B169" s="356" t="str">
        <f t="shared" si="4"/>
        <v>2014-12-01</v>
      </c>
      <c r="C169" s="356" cm="1">
        <f t="array" ref="C169">INDEX($C:$C,MATCH(ROW()-MOD(ROW()-ROW($C$2),3),ROW($C:$C),0))+(B169-INDEX($B:$B,MATCH(ROW()-MOD(ROW()-ROW($C$2),3),ROW($C:$C),0)))/(INDEX($B:$B,MATCH(ROW()-MOD(ROW()-ROW($C$2),3),ROW($C:$C),0)+3)-INDEX($B:$B,MATCH(ROW()-MOD(ROW()-ROW($C$2),3),ROW($C:$C),0)))*(INDEX($C:$C,MATCH(ROW()-MOD(ROW()-ROW($C$2),3),ROW($C:$C),0)+3)-INDEX($C:$C,MATCH(ROW()-MOD(ROW()-ROW($C$2),3),ROW($C:$C),0)))</f>
        <v>156629.431677805</v>
      </c>
    </row>
    <row r="170" spans="1:3">
      <c r="A170" s="358">
        <f t="shared" si="5"/>
        <v>42005</v>
      </c>
      <c r="B170" s="356" t="str">
        <f t="shared" si="4"/>
        <v>2015-01-01</v>
      </c>
      <c r="C170" s="356">
        <f>VLOOKUP(B170,'Final Cle'!$C$2:$D$103,2,FALSE)</f>
        <v>157114.532270664</v>
      </c>
    </row>
    <row r="171" spans="1:3">
      <c r="A171" s="358">
        <f t="shared" si="5"/>
        <v>42036</v>
      </c>
      <c r="B171" s="356" t="str">
        <f t="shared" si="4"/>
        <v>2015-02-01</v>
      </c>
      <c r="C171" s="356" cm="1">
        <f t="array" ref="C171">INDEX($C:$C,MATCH(ROW()-MOD(ROW()-ROW($C$2),3),ROW($C:$C),0))+(B171-INDEX($B:$B,MATCH(ROW()-MOD(ROW()-ROW($C$2),3),ROW($C:$C),0)))/(INDEX($B:$B,MATCH(ROW()-MOD(ROW()-ROW($C$2),3),ROW($C:$C),0)+3)-INDEX($B:$B,MATCH(ROW()-MOD(ROW()-ROW($C$2),3),ROW($C:$C),0)))*(INDEX($C:$C,MATCH(ROW()-MOD(ROW()-ROW($C$2),3),ROW($C:$C),0)+3)-INDEX($C:$C,MATCH(ROW()-MOD(ROW()-ROW($C$2),3),ROW($C:$C),0)))</f>
        <v>156064.380687996</v>
      </c>
    </row>
    <row r="172" spans="1:3">
      <c r="A172" s="358">
        <f t="shared" si="5"/>
        <v>42064</v>
      </c>
      <c r="B172" s="356" t="str">
        <f t="shared" si="4"/>
        <v>2015-03-01</v>
      </c>
      <c r="C172" s="356" cm="1">
        <f t="array" ref="C172">INDEX($C:$C,MATCH(ROW()-MOD(ROW()-ROW($C$2),3),ROW($C:$C),0))+(B172-INDEX($B:$B,MATCH(ROW()-MOD(ROW()-ROW($C$2),3),ROW($C:$C),0)))/(INDEX($B:$B,MATCH(ROW()-MOD(ROW()-ROW($C$2),3),ROW($C:$C),0)+3)-INDEX($B:$B,MATCH(ROW()-MOD(ROW()-ROW($C$2),3),ROW($C:$C),0)))*(INDEX($C:$C,MATCH(ROW()-MOD(ROW()-ROW($C$2),3),ROW($C:$C),0)+3)-INDEX($C:$C,MATCH(ROW()-MOD(ROW()-ROW($C$2),3),ROW($C:$C),0)))</f>
        <v>155115.856677843</v>
      </c>
    </row>
    <row r="173" spans="1:3">
      <c r="A173" s="358">
        <f t="shared" si="5"/>
        <v>42095</v>
      </c>
      <c r="B173" s="356" t="str">
        <f t="shared" si="4"/>
        <v>2015-04-01</v>
      </c>
      <c r="C173" s="356">
        <f>VLOOKUP(B173,'Final Cle'!$C$2:$D$103,2,FALSE)</f>
        <v>154065.705095175</v>
      </c>
    </row>
    <row r="174" spans="1:3">
      <c r="A174" s="358">
        <f t="shared" si="5"/>
        <v>42125</v>
      </c>
      <c r="B174" s="356" t="str">
        <f t="shared" si="4"/>
        <v>2015-05-01</v>
      </c>
      <c r="C174" s="356" cm="1">
        <f t="array" ref="C174">INDEX($C:$C,MATCH(ROW()-MOD(ROW()-ROW($C$2),3),ROW($C:$C),0))+(B174-INDEX($B:$B,MATCH(ROW()-MOD(ROW()-ROW($C$2),3),ROW($C:$C),0)))/(INDEX($B:$B,MATCH(ROW()-MOD(ROW()-ROW($C$2),3),ROW($C:$C),0)+3)-INDEX($B:$B,MATCH(ROW()-MOD(ROW()-ROW($C$2),3),ROW($C:$C),0)))*(INDEX($C:$C,MATCH(ROW()-MOD(ROW()-ROW($C$2),3),ROW($C:$C),0)+3)-INDEX($C:$C,MATCH(ROW()-MOD(ROW()-ROW($C$2),3),ROW($C:$C),0)))</f>
        <v>154466.353496105</v>
      </c>
    </row>
    <row r="175" spans="1:3">
      <c r="A175" s="358">
        <f t="shared" si="5"/>
        <v>42156</v>
      </c>
      <c r="B175" s="356" t="str">
        <f t="shared" si="4"/>
        <v>2015-06-01</v>
      </c>
      <c r="C175" s="356" cm="1">
        <f t="array" ref="C175">INDEX($C:$C,MATCH(ROW()-MOD(ROW()-ROW($C$2),3),ROW($C:$C),0))+(B175-INDEX($B:$B,MATCH(ROW()-MOD(ROW()-ROW($C$2),3),ROW($C:$C),0)))/(INDEX($B:$B,MATCH(ROW()-MOD(ROW()-ROW($C$2),3),ROW($C:$C),0)+3)-INDEX($B:$B,MATCH(ROW()-MOD(ROW()-ROW($C$2),3),ROW($C:$C),0)))*(INDEX($C:$C,MATCH(ROW()-MOD(ROW()-ROW($C$2),3),ROW($C:$C),0)+3)-INDEX($C:$C,MATCH(ROW()-MOD(ROW()-ROW($C$2),3),ROW($C:$C),0)))</f>
        <v>154880.356843734</v>
      </c>
    </row>
    <row r="176" spans="1:3">
      <c r="A176" s="358">
        <f t="shared" si="5"/>
        <v>42186</v>
      </c>
      <c r="B176" s="356" t="str">
        <f t="shared" si="4"/>
        <v>2015-07-01</v>
      </c>
      <c r="C176" s="356">
        <f>VLOOKUP(B176,'Final Cle'!$C$2:$D$103,2,FALSE)</f>
        <v>155281.005244664</v>
      </c>
    </row>
    <row r="177" spans="1:3">
      <c r="A177" s="358">
        <f t="shared" si="5"/>
        <v>42217</v>
      </c>
      <c r="B177" s="356" t="str">
        <f t="shared" si="4"/>
        <v>2015-08-01</v>
      </c>
      <c r="C177" s="356" cm="1">
        <f t="array" ref="C177">INDEX($C:$C,MATCH(ROW()-MOD(ROW()-ROW($C$2),3),ROW($C:$C),0))+(B177-INDEX($B:$B,MATCH(ROW()-MOD(ROW()-ROW($C$2),3),ROW($C:$C),0)))/(INDEX($B:$B,MATCH(ROW()-MOD(ROW()-ROW($C$2),3),ROW($C:$C),0)+3)-INDEX($B:$B,MATCH(ROW()-MOD(ROW()-ROW($C$2),3),ROW($C:$C),0)))*(INDEX($C:$C,MATCH(ROW()-MOD(ROW()-ROW($C$2),3),ROW($C:$C),0)+3)-INDEX($C:$C,MATCH(ROW()-MOD(ROW()-ROW($C$2),3),ROW($C:$C),0)))</f>
        <v>155282.107088998</v>
      </c>
    </row>
    <row r="178" spans="1:3">
      <c r="A178" s="358">
        <f t="shared" si="5"/>
        <v>42248</v>
      </c>
      <c r="B178" s="356" t="str">
        <f t="shared" si="4"/>
        <v>2015-09-01</v>
      </c>
      <c r="C178" s="356" cm="1">
        <f t="array" ref="C178">INDEX($C:$C,MATCH(ROW()-MOD(ROW()-ROW($C$2),3),ROW($C:$C),0))+(B178-INDEX($B:$B,MATCH(ROW()-MOD(ROW()-ROW($C$2),3),ROW($C:$C),0)))/(INDEX($B:$B,MATCH(ROW()-MOD(ROW()-ROW($C$2),3),ROW($C:$C),0)+3)-INDEX($B:$B,MATCH(ROW()-MOD(ROW()-ROW($C$2),3),ROW($C:$C),0)))*(INDEX($C:$C,MATCH(ROW()-MOD(ROW()-ROW($C$2),3),ROW($C:$C),0)+3)-INDEX($C:$C,MATCH(ROW()-MOD(ROW()-ROW($C$2),3),ROW($C:$C),0)))</f>
        <v>155283.208933331</v>
      </c>
    </row>
    <row r="179" spans="1:3">
      <c r="A179" s="358">
        <f t="shared" si="5"/>
        <v>42278</v>
      </c>
      <c r="B179" s="356" t="str">
        <f t="shared" si="4"/>
        <v>2015-10-01</v>
      </c>
      <c r="C179" s="356">
        <f>VLOOKUP(B179,'Final Cle'!$C$2:$D$103,2,FALSE)</f>
        <v>155284.275234299</v>
      </c>
    </row>
    <row r="180" spans="1:3">
      <c r="A180" s="358">
        <f t="shared" si="5"/>
        <v>42309</v>
      </c>
      <c r="B180" s="356" t="str">
        <f t="shared" si="4"/>
        <v>2015-11-01</v>
      </c>
      <c r="C180" s="356" cm="1">
        <f t="array" ref="C180">INDEX($C:$C,MATCH(ROW()-MOD(ROW()-ROW($C$2),3),ROW($C:$C),0))+(B180-INDEX($B:$B,MATCH(ROW()-MOD(ROW()-ROW($C$2),3),ROW($C:$C),0)))/(INDEX($B:$B,MATCH(ROW()-MOD(ROW()-ROW($C$2),3),ROW($C:$C),0)+3)-INDEX($B:$B,MATCH(ROW()-MOD(ROW()-ROW($C$2),3),ROW($C:$C),0)))*(INDEX($C:$C,MATCH(ROW()-MOD(ROW()-ROW($C$2),3),ROW($C:$C),0)+3)-INDEX($C:$C,MATCH(ROW()-MOD(ROW()-ROW($C$2),3),ROW($C:$C),0)))</f>
        <v>154516.801958589</v>
      </c>
    </row>
    <row r="181" spans="1:3">
      <c r="A181" s="358">
        <f t="shared" si="5"/>
        <v>42339</v>
      </c>
      <c r="B181" s="356" t="str">
        <f t="shared" si="4"/>
        <v>2015-12-01</v>
      </c>
      <c r="C181" s="356" cm="1">
        <f t="array" ref="C181">INDEX($C:$C,MATCH(ROW()-MOD(ROW()-ROW($C$2),3),ROW($C:$C),0))+(B181-INDEX($B:$B,MATCH(ROW()-MOD(ROW()-ROW($C$2),3),ROW($C:$C),0)))/(INDEX($B:$B,MATCH(ROW()-MOD(ROW()-ROW($C$2),3),ROW($C:$C),0)+3)-INDEX($B:$B,MATCH(ROW()-MOD(ROW()-ROW($C$2),3),ROW($C:$C),0)))*(INDEX($C:$C,MATCH(ROW()-MOD(ROW()-ROW($C$2),3),ROW($C:$C),0)+3)-INDEX($C:$C,MATCH(ROW()-MOD(ROW()-ROW($C$2),3),ROW($C:$C),0)))</f>
        <v>153774.085885321</v>
      </c>
    </row>
    <row r="182" spans="1:3">
      <c r="A182" s="358">
        <f t="shared" si="5"/>
        <v>42370</v>
      </c>
      <c r="B182" s="356" t="str">
        <f t="shared" si="4"/>
        <v>2016-01-01</v>
      </c>
      <c r="C182" s="356">
        <f>VLOOKUP(B182,'Final Cle'!$C$2:$D$103,2,FALSE)</f>
        <v>153006.612609611</v>
      </c>
    </row>
    <row r="183" spans="1:3">
      <c r="A183" s="358">
        <f t="shared" si="5"/>
        <v>42401</v>
      </c>
      <c r="B183" s="356" t="str">
        <f t="shared" si="4"/>
        <v>2016-02-01</v>
      </c>
      <c r="C183" s="356" cm="1">
        <f t="array" ref="C183">INDEX($C:$C,MATCH(ROW()-MOD(ROW()-ROW($C$2),3),ROW($C:$C),0))+(B183-INDEX($B:$B,MATCH(ROW()-MOD(ROW()-ROW($C$2),3),ROW($C:$C),0)))/(INDEX($B:$B,MATCH(ROW()-MOD(ROW()-ROW($C$2),3),ROW($C:$C),0)+3)-INDEX($B:$B,MATCH(ROW()-MOD(ROW()-ROW($C$2),3),ROW($C:$C),0)))*(INDEX($C:$C,MATCH(ROW()-MOD(ROW()-ROW($C$2),3),ROW($C:$C),0)+3)-INDEX($C:$C,MATCH(ROW()-MOD(ROW()-ROW($C$2),3),ROW($C:$C),0)))</f>
        <v>153118.529682851</v>
      </c>
    </row>
    <row r="184" spans="1:3">
      <c r="A184" s="358">
        <f t="shared" si="5"/>
        <v>42430</v>
      </c>
      <c r="B184" s="356" t="str">
        <f t="shared" si="4"/>
        <v>2016-03-01</v>
      </c>
      <c r="C184" s="356" cm="1">
        <f t="array" ref="C184">INDEX($C:$C,MATCH(ROW()-MOD(ROW()-ROW($C$2),3),ROW($C:$C),0))+(B184-INDEX($B:$B,MATCH(ROW()-MOD(ROW()-ROW($C$2),3),ROW($C:$C),0)))/(INDEX($B:$B,MATCH(ROW()-MOD(ROW()-ROW($C$2),3),ROW($C:$C),0)+3)-INDEX($B:$B,MATCH(ROW()-MOD(ROW()-ROW($C$2),3),ROW($C:$C),0)))*(INDEX($C:$C,MATCH(ROW()-MOD(ROW()-ROW($C$2),3),ROW($C:$C),0)+3)-INDEX($C:$C,MATCH(ROW()-MOD(ROW()-ROW($C$2),3),ROW($C:$C),0)))</f>
        <v>153223.226299754</v>
      </c>
    </row>
    <row r="185" spans="1:3">
      <c r="A185" s="358">
        <f t="shared" si="5"/>
        <v>42461</v>
      </c>
      <c r="B185" s="356" t="str">
        <f t="shared" si="4"/>
        <v>2016-04-01</v>
      </c>
      <c r="C185" s="356">
        <f>VLOOKUP(B185,'Final Cle'!$C$2:$D$103,2,FALSE)</f>
        <v>153335.143372994</v>
      </c>
    </row>
    <row r="186" spans="1:3">
      <c r="A186" s="358">
        <f t="shared" si="5"/>
        <v>42491</v>
      </c>
      <c r="B186" s="356" t="str">
        <f t="shared" si="4"/>
        <v>2016-05-01</v>
      </c>
      <c r="C186" s="356" cm="1">
        <f t="array" ref="C186">INDEX($C:$C,MATCH(ROW()-MOD(ROW()-ROW($C$2),3),ROW($C:$C),0))+(B186-INDEX($B:$B,MATCH(ROW()-MOD(ROW()-ROW($C$2),3),ROW($C:$C),0)))/(INDEX($B:$B,MATCH(ROW()-MOD(ROW()-ROW($C$2),3),ROW($C:$C),0)+3)-INDEX($B:$B,MATCH(ROW()-MOD(ROW()-ROW($C$2),3),ROW($C:$C),0)))*(INDEX($C:$C,MATCH(ROW()-MOD(ROW()-ROW($C$2),3),ROW($C:$C),0)+3)-INDEX($C:$C,MATCH(ROW()-MOD(ROW()-ROW($C$2),3),ROW($C:$C),0)))</f>
        <v>155487.643567181</v>
      </c>
    </row>
    <row r="187" spans="1:3">
      <c r="A187" s="358">
        <f t="shared" si="5"/>
        <v>42522</v>
      </c>
      <c r="B187" s="356" t="str">
        <f t="shared" si="4"/>
        <v>2016-06-01</v>
      </c>
      <c r="C187" s="356" cm="1">
        <f t="array" ref="C187">INDEX($C:$C,MATCH(ROW()-MOD(ROW()-ROW($C$2),3),ROW($C:$C),0))+(B187-INDEX($B:$B,MATCH(ROW()-MOD(ROW()-ROW($C$2),3),ROW($C:$C),0)))/(INDEX($B:$B,MATCH(ROW()-MOD(ROW()-ROW($C$2),3),ROW($C:$C),0)+3)-INDEX($B:$B,MATCH(ROW()-MOD(ROW()-ROW($C$2),3),ROW($C:$C),0)))*(INDEX($C:$C,MATCH(ROW()-MOD(ROW()-ROW($C$2),3),ROW($C:$C),0)+3)-INDEX($C:$C,MATCH(ROW()-MOD(ROW()-ROW($C$2),3),ROW($C:$C),0)))</f>
        <v>157711.893767842</v>
      </c>
    </row>
    <row r="188" spans="1:3">
      <c r="A188" s="358">
        <f t="shared" si="5"/>
        <v>42552</v>
      </c>
      <c r="B188" s="356" t="str">
        <f t="shared" si="4"/>
        <v>2016-07-01</v>
      </c>
      <c r="C188" s="356">
        <f>VLOOKUP(B188,'Final Cle'!$C$2:$D$103,2,FALSE)</f>
        <v>159864.393962029</v>
      </c>
    </row>
    <row r="189" spans="1:3">
      <c r="A189" s="358">
        <f t="shared" si="5"/>
        <v>42583</v>
      </c>
      <c r="B189" s="356" t="str">
        <f t="shared" si="4"/>
        <v>2016-08-01</v>
      </c>
      <c r="C189" s="356" cm="1">
        <f t="array" ref="C189">INDEX($C:$C,MATCH(ROW()-MOD(ROW()-ROW($C$2),3),ROW($C:$C),0))+(B189-INDEX($B:$B,MATCH(ROW()-MOD(ROW()-ROW($C$2),3),ROW($C:$C),0)))/(INDEX($B:$B,MATCH(ROW()-MOD(ROW()-ROW($C$2),3),ROW($C:$C),0)+3)-INDEX($B:$B,MATCH(ROW()-MOD(ROW()-ROW($C$2),3),ROW($C:$C),0)))*(INDEX($C:$C,MATCH(ROW()-MOD(ROW()-ROW($C$2),3),ROW($C:$C),0)+3)-INDEX($C:$C,MATCH(ROW()-MOD(ROW()-ROW($C$2),3),ROW($C:$C),0)))</f>
        <v>161544.061265192</v>
      </c>
    </row>
    <row r="190" spans="1:3">
      <c r="A190" s="358">
        <f t="shared" si="5"/>
        <v>42614</v>
      </c>
      <c r="B190" s="356" t="str">
        <f t="shared" si="4"/>
        <v>2016-09-01</v>
      </c>
      <c r="C190" s="356" cm="1">
        <f t="array" ref="C190">INDEX($C:$C,MATCH(ROW()-MOD(ROW()-ROW($C$2),3),ROW($C:$C),0))+(B190-INDEX($B:$B,MATCH(ROW()-MOD(ROW()-ROW($C$2),3),ROW($C:$C),0)))/(INDEX($B:$B,MATCH(ROW()-MOD(ROW()-ROW($C$2),3),ROW($C:$C),0)+3)-INDEX($B:$B,MATCH(ROW()-MOD(ROW()-ROW($C$2),3),ROW($C:$C),0)))*(INDEX($C:$C,MATCH(ROW()-MOD(ROW()-ROW($C$2),3),ROW($C:$C),0)+3)-INDEX($C:$C,MATCH(ROW()-MOD(ROW()-ROW($C$2),3),ROW($C:$C),0)))</f>
        <v>163223.728568355</v>
      </c>
    </row>
    <row r="191" spans="1:3">
      <c r="A191" s="358">
        <f t="shared" si="5"/>
        <v>42644</v>
      </c>
      <c r="B191" s="356" t="str">
        <f t="shared" si="4"/>
        <v>2016-10-01</v>
      </c>
      <c r="C191" s="356">
        <f>VLOOKUP(B191,'Final Cle'!$C$2:$D$103,2,FALSE)</f>
        <v>164849.213055287</v>
      </c>
    </row>
    <row r="192" spans="1:3">
      <c r="A192" s="358">
        <f t="shared" si="5"/>
        <v>42675</v>
      </c>
      <c r="B192" s="356" t="str">
        <f t="shared" si="4"/>
        <v>2016-11-01</v>
      </c>
      <c r="C192" s="356" cm="1">
        <f t="array" ref="C192">INDEX($C:$C,MATCH(ROW()-MOD(ROW()-ROW($C$2),3),ROW($C:$C),0))+(B192-INDEX($B:$B,MATCH(ROW()-MOD(ROW()-ROW($C$2),3),ROW($C:$C),0)))/(INDEX($B:$B,MATCH(ROW()-MOD(ROW()-ROW($C$2),3),ROW($C:$C),0)+3)-INDEX($B:$B,MATCH(ROW()-MOD(ROW()-ROW($C$2),3),ROW($C:$C),0)))*(INDEX($C:$C,MATCH(ROW()-MOD(ROW()-ROW($C$2),3),ROW($C:$C),0)+3)-INDEX($C:$C,MATCH(ROW()-MOD(ROW()-ROW($C$2),3),ROW($C:$C),0)))</f>
        <v>164404.18761697</v>
      </c>
    </row>
    <row r="193" spans="1:3">
      <c r="A193" s="358">
        <f t="shared" si="5"/>
        <v>42705</v>
      </c>
      <c r="B193" s="356" t="str">
        <f t="shared" si="4"/>
        <v>2016-12-01</v>
      </c>
      <c r="C193" s="356" cm="1">
        <f t="array" ref="C193">INDEX($C:$C,MATCH(ROW()-MOD(ROW()-ROW($C$2),3),ROW($C:$C),0))+(B193-INDEX($B:$B,MATCH(ROW()-MOD(ROW()-ROW($C$2),3),ROW($C:$C),0)))/(INDEX($B:$B,MATCH(ROW()-MOD(ROW()-ROW($C$2),3),ROW($C:$C),0)+3)-INDEX($B:$B,MATCH(ROW()-MOD(ROW()-ROW($C$2),3),ROW($C:$C),0)))*(INDEX($C:$C,MATCH(ROW()-MOD(ROW()-ROW($C$2),3),ROW($C:$C),0)+3)-INDEX($C:$C,MATCH(ROW()-MOD(ROW()-ROW($C$2),3),ROW($C:$C),0)))</f>
        <v>163973.517837955</v>
      </c>
    </row>
    <row r="194" spans="1:3">
      <c r="A194" s="358">
        <f t="shared" si="5"/>
        <v>42736</v>
      </c>
      <c r="B194" s="356" t="str">
        <f t="shared" ref="B194:B257" si="6">TEXT(A194,"yyyy-mm-01")</f>
        <v>2017-01-01</v>
      </c>
      <c r="C194" s="356">
        <f>VLOOKUP(B194,'Final Cle'!$C$2:$D$103,2,FALSE)</f>
        <v>163528.492399638</v>
      </c>
    </row>
    <row r="195" spans="1:3">
      <c r="A195" s="358">
        <f t="shared" ref="A195:A258" si="7">EDATE(A194,1)</f>
        <v>42767</v>
      </c>
      <c r="B195" s="356" t="str">
        <f t="shared" si="6"/>
        <v>2017-02-01</v>
      </c>
      <c r="C195" s="356" cm="1">
        <f t="array" ref="C195">INDEX($C:$C,MATCH(ROW()-MOD(ROW()-ROW($C$2),3),ROW($C:$C),0))+(B195-INDEX($B:$B,MATCH(ROW()-MOD(ROW()-ROW($C$2),3),ROW($C:$C),0)))/(INDEX($B:$B,MATCH(ROW()-MOD(ROW()-ROW($C$2),3),ROW($C:$C),0)+3)-INDEX($B:$B,MATCH(ROW()-MOD(ROW()-ROW($C$2),3),ROW($C:$C),0)))*(INDEX($C:$C,MATCH(ROW()-MOD(ROW()-ROW($C$2),3),ROW($C:$C),0)+3)-INDEX($C:$C,MATCH(ROW()-MOD(ROW()-ROW($C$2),3),ROW($C:$C),0)))</f>
        <v>164136.164264374</v>
      </c>
    </row>
    <row r="196" spans="1:3">
      <c r="A196" s="358">
        <f t="shared" si="7"/>
        <v>42795</v>
      </c>
      <c r="B196" s="356" t="str">
        <f t="shared" si="6"/>
        <v>2017-03-01</v>
      </c>
      <c r="C196" s="356" cm="1">
        <f t="array" ref="C196">INDEX($C:$C,MATCH(ROW()-MOD(ROW()-ROW($C$2),3),ROW($C:$C),0))+(B196-INDEX($B:$B,MATCH(ROW()-MOD(ROW()-ROW($C$2),3),ROW($C:$C),0)))/(INDEX($B:$B,MATCH(ROW()-MOD(ROW()-ROW($C$2),3),ROW($C:$C),0)+3)-INDEX($B:$B,MATCH(ROW()-MOD(ROW()-ROW($C$2),3),ROW($C:$C),0)))*(INDEX($C:$C,MATCH(ROW()-MOD(ROW()-ROW($C$2),3),ROW($C:$C),0)+3)-INDEX($C:$C,MATCH(ROW()-MOD(ROW()-ROW($C$2),3),ROW($C:$C),0)))</f>
        <v>164685.029174459</v>
      </c>
    </row>
    <row r="197" spans="1:3">
      <c r="A197" s="358">
        <f t="shared" si="7"/>
        <v>42826</v>
      </c>
      <c r="B197" s="356" t="str">
        <f t="shared" si="6"/>
        <v>2017-04-01</v>
      </c>
      <c r="C197" s="356">
        <f>VLOOKUP(B197,'Final Cle'!$C$2:$D$103,2,FALSE)</f>
        <v>165292.701039195</v>
      </c>
    </row>
    <row r="198" spans="1:3">
      <c r="A198" s="358">
        <f t="shared" si="7"/>
        <v>42856</v>
      </c>
      <c r="B198" s="356" t="str">
        <f t="shared" si="6"/>
        <v>2017-05-01</v>
      </c>
      <c r="C198" s="356" cm="1">
        <f t="array" ref="C198">INDEX($C:$C,MATCH(ROW()-MOD(ROW()-ROW($C$2),3),ROW($C:$C),0))+(B198-INDEX($B:$B,MATCH(ROW()-MOD(ROW()-ROW($C$2),3),ROW($C:$C),0)))/(INDEX($B:$B,MATCH(ROW()-MOD(ROW()-ROW($C$2),3),ROW($C:$C),0)+3)-INDEX($B:$B,MATCH(ROW()-MOD(ROW()-ROW($C$2),3),ROW($C:$C),0)))*(INDEX($C:$C,MATCH(ROW()-MOD(ROW()-ROW($C$2),3),ROW($C:$C),0)+3)-INDEX($C:$C,MATCH(ROW()-MOD(ROW()-ROW($C$2),3),ROW($C:$C),0)))</f>
        <v>166110.819531749</v>
      </c>
    </row>
    <row r="199" spans="1:3">
      <c r="A199" s="358">
        <f t="shared" si="7"/>
        <v>42887</v>
      </c>
      <c r="B199" s="356" t="str">
        <f t="shared" si="6"/>
        <v>2017-06-01</v>
      </c>
      <c r="C199" s="356" cm="1">
        <f t="array" ref="C199">INDEX($C:$C,MATCH(ROW()-MOD(ROW()-ROW($C$2),3),ROW($C:$C),0))+(B199-INDEX($B:$B,MATCH(ROW()-MOD(ROW()-ROW($C$2),3),ROW($C:$C),0)))/(INDEX($B:$B,MATCH(ROW()-MOD(ROW()-ROW($C$2),3),ROW($C:$C),0)+3)-INDEX($B:$B,MATCH(ROW()-MOD(ROW()-ROW($C$2),3),ROW($C:$C),0)))*(INDEX($C:$C,MATCH(ROW()-MOD(ROW()-ROW($C$2),3),ROW($C:$C),0)+3)-INDEX($C:$C,MATCH(ROW()-MOD(ROW()-ROW($C$2),3),ROW($C:$C),0)))</f>
        <v>166956.208640721</v>
      </c>
    </row>
    <row r="200" spans="1:3">
      <c r="A200" s="358">
        <f t="shared" si="7"/>
        <v>42917</v>
      </c>
      <c r="B200" s="356" t="str">
        <f t="shared" si="6"/>
        <v>2017-07-01</v>
      </c>
      <c r="C200" s="356">
        <f>VLOOKUP(B200,'Final Cle'!$C$2:$D$103,2,FALSE)</f>
        <v>167774.327133275</v>
      </c>
    </row>
    <row r="201" spans="1:3">
      <c r="A201" s="358">
        <f t="shared" si="7"/>
        <v>42948</v>
      </c>
      <c r="B201" s="356" t="str">
        <f t="shared" si="6"/>
        <v>2017-08-01</v>
      </c>
      <c r="C201" s="356" cm="1">
        <f t="array" ref="C201">INDEX($C:$C,MATCH(ROW()-MOD(ROW()-ROW($C$2),3),ROW($C:$C),0))+(B201-INDEX($B:$B,MATCH(ROW()-MOD(ROW()-ROW($C$2),3),ROW($C:$C),0)))/(INDEX($B:$B,MATCH(ROW()-MOD(ROW()-ROW($C$2),3),ROW($C:$C),0)+3)-INDEX($B:$B,MATCH(ROW()-MOD(ROW()-ROW($C$2),3),ROW($C:$C),0)))*(INDEX($C:$C,MATCH(ROW()-MOD(ROW()-ROW($C$2),3),ROW($C:$C),0)+3)-INDEX($C:$C,MATCH(ROW()-MOD(ROW()-ROW($C$2),3),ROW($C:$C),0)))</f>
        <v>168136.02389451</v>
      </c>
    </row>
    <row r="202" spans="1:3">
      <c r="A202" s="358">
        <f t="shared" si="7"/>
        <v>42979</v>
      </c>
      <c r="B202" s="356" t="str">
        <f t="shared" si="6"/>
        <v>2017-09-01</v>
      </c>
      <c r="C202" s="356" cm="1">
        <f t="array" ref="C202">INDEX($C:$C,MATCH(ROW()-MOD(ROW()-ROW($C$2),3),ROW($C:$C),0))+(B202-INDEX($B:$B,MATCH(ROW()-MOD(ROW()-ROW($C$2),3),ROW($C:$C),0)))/(INDEX($B:$B,MATCH(ROW()-MOD(ROW()-ROW($C$2),3),ROW($C:$C),0)+3)-INDEX($B:$B,MATCH(ROW()-MOD(ROW()-ROW($C$2),3),ROW($C:$C),0)))*(INDEX($C:$C,MATCH(ROW()-MOD(ROW()-ROW($C$2),3),ROW($C:$C),0)+3)-INDEX($C:$C,MATCH(ROW()-MOD(ROW()-ROW($C$2),3),ROW($C:$C),0)))</f>
        <v>168497.720655745</v>
      </c>
    </row>
    <row r="203" spans="1:3">
      <c r="A203" s="358">
        <f t="shared" si="7"/>
        <v>43009</v>
      </c>
      <c r="B203" s="356" t="str">
        <f t="shared" si="6"/>
        <v>2017-10-01</v>
      </c>
      <c r="C203" s="356">
        <f>VLOOKUP(B203,'Final Cle'!$C$2:$D$103,2,FALSE)</f>
        <v>168847.749779521</v>
      </c>
    </row>
    <row r="204" spans="1:3">
      <c r="A204" s="358">
        <f t="shared" si="7"/>
        <v>43040</v>
      </c>
      <c r="B204" s="356" t="str">
        <f t="shared" si="6"/>
        <v>2017-11-01</v>
      </c>
      <c r="C204" s="356" cm="1">
        <f t="array" ref="C204">INDEX($C:$C,MATCH(ROW()-MOD(ROW()-ROW($C$2),3),ROW($C:$C),0))+(B204-INDEX($B:$B,MATCH(ROW()-MOD(ROW()-ROW($C$2),3),ROW($C:$C),0)))/(INDEX($B:$B,MATCH(ROW()-MOD(ROW()-ROW($C$2),3),ROW($C:$C),0)+3)-INDEX($B:$B,MATCH(ROW()-MOD(ROW()-ROW($C$2),3),ROW($C:$C),0)))*(INDEX($C:$C,MATCH(ROW()-MOD(ROW()-ROW($C$2),3),ROW($C:$C),0)+3)-INDEX($C:$C,MATCH(ROW()-MOD(ROW()-ROW($C$2),3),ROW($C:$C),0)))</f>
        <v>168387.792774754</v>
      </c>
    </row>
    <row r="205" spans="1:3">
      <c r="A205" s="358">
        <f t="shared" si="7"/>
        <v>43070</v>
      </c>
      <c r="B205" s="356" t="str">
        <f t="shared" si="6"/>
        <v>2017-12-01</v>
      </c>
      <c r="C205" s="356" cm="1">
        <f t="array" ref="C205">INDEX($C:$C,MATCH(ROW()-MOD(ROW()-ROW($C$2),3),ROW($C:$C),0))+(B205-INDEX($B:$B,MATCH(ROW()-MOD(ROW()-ROW($C$2),3),ROW($C:$C),0)))/(INDEX($B:$B,MATCH(ROW()-MOD(ROW()-ROW($C$2),3),ROW($C:$C),0)+3)-INDEX($B:$B,MATCH(ROW()-MOD(ROW()-ROW($C$2),3),ROW($C:$C),0)))*(INDEX($C:$C,MATCH(ROW()-MOD(ROW()-ROW($C$2),3),ROW($C:$C),0)+3)-INDEX($C:$C,MATCH(ROW()-MOD(ROW()-ROW($C$2),3),ROW($C:$C),0)))</f>
        <v>167942.673092721</v>
      </c>
    </row>
    <row r="206" spans="1:3">
      <c r="A206" s="358">
        <f t="shared" si="7"/>
        <v>43101</v>
      </c>
      <c r="B206" s="356" t="str">
        <f t="shared" si="6"/>
        <v>2018-01-01</v>
      </c>
      <c r="C206" s="356">
        <f>VLOOKUP(B206,'Final Cle'!$C$2:$D$103,2,FALSE)</f>
        <v>167482.716087954</v>
      </c>
    </row>
    <row r="207" spans="1:3">
      <c r="A207" s="358">
        <f t="shared" si="7"/>
        <v>43132</v>
      </c>
      <c r="B207" s="356" t="str">
        <f t="shared" si="6"/>
        <v>2018-02-01</v>
      </c>
      <c r="C207" s="356" cm="1">
        <f t="array" ref="C207">INDEX($C:$C,MATCH(ROW()-MOD(ROW()-ROW($C$2),3),ROW($C:$C),0))+(B207-INDEX($B:$B,MATCH(ROW()-MOD(ROW()-ROW($C$2),3),ROW($C:$C),0)))/(INDEX($B:$B,MATCH(ROW()-MOD(ROW()-ROW($C$2),3),ROW($C:$C),0)+3)-INDEX($B:$B,MATCH(ROW()-MOD(ROW()-ROW($C$2),3),ROW($C:$C),0)))*(INDEX($C:$C,MATCH(ROW()-MOD(ROW()-ROW($C$2),3),ROW($C:$C),0)+3)-INDEX($C:$C,MATCH(ROW()-MOD(ROW()-ROW($C$2),3),ROW($C:$C),0)))</f>
        <v>167576.70844808</v>
      </c>
    </row>
    <row r="208" spans="1:3">
      <c r="A208" s="358">
        <f t="shared" si="7"/>
        <v>43160</v>
      </c>
      <c r="B208" s="356" t="str">
        <f t="shared" si="6"/>
        <v>2018-03-01</v>
      </c>
      <c r="C208" s="356" cm="1">
        <f t="array" ref="C208">INDEX($C:$C,MATCH(ROW()-MOD(ROW()-ROW($C$2),3),ROW($C:$C),0))+(B208-INDEX($B:$B,MATCH(ROW()-MOD(ROW()-ROW($C$2),3),ROW($C:$C),0)))/(INDEX($B:$B,MATCH(ROW()-MOD(ROW()-ROW($C$2),3),ROW($C:$C),0)+3)-INDEX($B:$B,MATCH(ROW()-MOD(ROW()-ROW($C$2),3),ROW($C:$C),0)))*(INDEX($C:$C,MATCH(ROW()-MOD(ROW()-ROW($C$2),3),ROW($C:$C),0)+3)-INDEX($C:$C,MATCH(ROW()-MOD(ROW()-ROW($C$2),3),ROW($C:$C),0)))</f>
        <v>167661.604773355</v>
      </c>
    </row>
    <row r="209" spans="1:3">
      <c r="A209" s="358">
        <f t="shared" si="7"/>
        <v>43191</v>
      </c>
      <c r="B209" s="356" t="str">
        <f t="shared" si="6"/>
        <v>2018-04-01</v>
      </c>
      <c r="C209" s="356">
        <f>VLOOKUP(B209,'Final Cle'!$C$2:$D$103,2,FALSE)</f>
        <v>167755.597133481</v>
      </c>
    </row>
    <row r="210" spans="1:3">
      <c r="A210" s="358">
        <f t="shared" si="7"/>
        <v>43221</v>
      </c>
      <c r="B210" s="356" t="str">
        <f t="shared" si="6"/>
        <v>2018-05-01</v>
      </c>
      <c r="C210" s="356" cm="1">
        <f t="array" ref="C210">INDEX($C:$C,MATCH(ROW()-MOD(ROW()-ROW($C$2),3),ROW($C:$C),0))+(B210-INDEX($B:$B,MATCH(ROW()-MOD(ROW()-ROW($C$2),3),ROW($C:$C),0)))/(INDEX($B:$B,MATCH(ROW()-MOD(ROW()-ROW($C$2),3),ROW($C:$C),0)+3)-INDEX($B:$B,MATCH(ROW()-MOD(ROW()-ROW($C$2),3),ROW($C:$C),0)))*(INDEX($C:$C,MATCH(ROW()-MOD(ROW()-ROW($C$2),3),ROW($C:$C),0)+3)-INDEX($C:$C,MATCH(ROW()-MOD(ROW()-ROW($C$2),3),ROW($C:$C),0)))</f>
        <v>167071.202601969</v>
      </c>
    </row>
    <row r="211" spans="1:3">
      <c r="A211" s="358">
        <f t="shared" si="7"/>
        <v>43252</v>
      </c>
      <c r="B211" s="356" t="str">
        <f t="shared" si="6"/>
        <v>2018-06-01</v>
      </c>
      <c r="C211" s="356" cm="1">
        <f t="array" ref="C211">INDEX($C:$C,MATCH(ROW()-MOD(ROW()-ROW($C$2),3),ROW($C:$C),0))+(B211-INDEX($B:$B,MATCH(ROW()-MOD(ROW()-ROW($C$2),3),ROW($C:$C),0)))/(INDEX($B:$B,MATCH(ROW()-MOD(ROW()-ROW($C$2),3),ROW($C:$C),0)+3)-INDEX($B:$B,MATCH(ROW()-MOD(ROW()-ROW($C$2),3),ROW($C:$C),0)))*(INDEX($C:$C,MATCH(ROW()-MOD(ROW()-ROW($C$2),3),ROW($C:$C),0)+3)-INDEX($C:$C,MATCH(ROW()-MOD(ROW()-ROW($C$2),3),ROW($C:$C),0)))</f>
        <v>166363.994919408</v>
      </c>
    </row>
    <row r="212" spans="1:3">
      <c r="A212" s="358">
        <f t="shared" si="7"/>
        <v>43282</v>
      </c>
      <c r="B212" s="356" t="str">
        <f t="shared" si="6"/>
        <v>2018-07-01</v>
      </c>
      <c r="C212" s="356">
        <f>VLOOKUP(B212,'Final Cle'!$C$2:$D$103,2,FALSE)</f>
        <v>165679.600387896</v>
      </c>
    </row>
    <row r="213" spans="1:3">
      <c r="A213" s="358">
        <f t="shared" si="7"/>
        <v>43313</v>
      </c>
      <c r="B213" s="356" t="str">
        <f t="shared" si="6"/>
        <v>2018-08-01</v>
      </c>
      <c r="C213" s="356" cm="1">
        <f t="array" ref="C213">INDEX($C:$C,MATCH(ROW()-MOD(ROW()-ROW($C$2),3),ROW($C:$C),0))+(B213-INDEX($B:$B,MATCH(ROW()-MOD(ROW()-ROW($C$2),3),ROW($C:$C),0)))/(INDEX($B:$B,MATCH(ROW()-MOD(ROW()-ROW($C$2),3),ROW($C:$C),0)+3)-INDEX($B:$B,MATCH(ROW()-MOD(ROW()-ROW($C$2),3),ROW($C:$C),0)))*(INDEX($C:$C,MATCH(ROW()-MOD(ROW()-ROW($C$2),3),ROW($C:$C),0)+3)-INDEX($C:$C,MATCH(ROW()-MOD(ROW()-ROW($C$2),3),ROW($C:$C),0)))</f>
        <v>164656.676561108</v>
      </c>
    </row>
    <row r="214" spans="1:3">
      <c r="A214" s="358">
        <f t="shared" si="7"/>
        <v>43344</v>
      </c>
      <c r="B214" s="356" t="str">
        <f t="shared" si="6"/>
        <v>2018-09-01</v>
      </c>
      <c r="C214" s="356" cm="1">
        <f t="array" ref="C214">INDEX($C:$C,MATCH(ROW()-MOD(ROW()-ROW($C$2),3),ROW($C:$C),0))+(B214-INDEX($B:$B,MATCH(ROW()-MOD(ROW()-ROW($C$2),3),ROW($C:$C),0)))/(INDEX($B:$B,MATCH(ROW()-MOD(ROW()-ROW($C$2),3),ROW($C:$C),0)+3)-INDEX($B:$B,MATCH(ROW()-MOD(ROW()-ROW($C$2),3),ROW($C:$C),0)))*(INDEX($C:$C,MATCH(ROW()-MOD(ROW()-ROW($C$2),3),ROW($C:$C),0)+3)-INDEX($C:$C,MATCH(ROW()-MOD(ROW()-ROW($C$2),3),ROW($C:$C),0)))</f>
        <v>163633.75273432</v>
      </c>
    </row>
    <row r="215" spans="1:3">
      <c r="A215" s="358">
        <f t="shared" si="7"/>
        <v>43374</v>
      </c>
      <c r="B215" s="356" t="str">
        <f t="shared" si="6"/>
        <v>2018-10-01</v>
      </c>
      <c r="C215" s="356">
        <f>VLOOKUP(B215,'Final Cle'!$C$2:$D$103,2,FALSE)</f>
        <v>162643.826450331</v>
      </c>
    </row>
    <row r="216" spans="1:3">
      <c r="A216" s="358">
        <f t="shared" si="7"/>
        <v>43405</v>
      </c>
      <c r="B216" s="356" t="str">
        <f t="shared" si="6"/>
        <v>2018-11-01</v>
      </c>
      <c r="C216" s="356" cm="1">
        <f t="array" ref="C216">INDEX($C:$C,MATCH(ROW()-MOD(ROW()-ROW($C$2),3),ROW($C:$C),0))+(B216-INDEX($B:$B,MATCH(ROW()-MOD(ROW()-ROW($C$2),3),ROW($C:$C),0)))/(INDEX($B:$B,MATCH(ROW()-MOD(ROW()-ROW($C$2),3),ROW($C:$C),0)+3)-INDEX($B:$B,MATCH(ROW()-MOD(ROW()-ROW($C$2),3),ROW($C:$C),0)))*(INDEX($C:$C,MATCH(ROW()-MOD(ROW()-ROW($C$2),3),ROW($C:$C),0)+3)-INDEX($C:$C,MATCH(ROW()-MOD(ROW()-ROW($C$2),3),ROW($C:$C),0)))</f>
        <v>161864.602825695</v>
      </c>
    </row>
    <row r="217" spans="1:3">
      <c r="A217" s="358">
        <f t="shared" si="7"/>
        <v>43435</v>
      </c>
      <c r="B217" s="356" t="str">
        <f t="shared" si="6"/>
        <v>2018-12-01</v>
      </c>
      <c r="C217" s="356" cm="1">
        <f t="array" ref="C217">INDEX($C:$C,MATCH(ROW()-MOD(ROW()-ROW($C$2),3),ROW($C:$C),0))+(B217-INDEX($B:$B,MATCH(ROW()-MOD(ROW()-ROW($C$2),3),ROW($C:$C),0)))/(INDEX($B:$B,MATCH(ROW()-MOD(ROW()-ROW($C$2),3),ROW($C:$C),0)+3)-INDEX($B:$B,MATCH(ROW()-MOD(ROW()-ROW($C$2),3),ROW($C:$C),0)))*(INDEX($C:$C,MATCH(ROW()-MOD(ROW()-ROW($C$2),3),ROW($C:$C),0)+3)-INDEX($C:$C,MATCH(ROW()-MOD(ROW()-ROW($C$2),3),ROW($C:$C),0)))</f>
        <v>161110.515447016</v>
      </c>
    </row>
    <row r="218" spans="1:3">
      <c r="A218" s="358">
        <f t="shared" si="7"/>
        <v>43466</v>
      </c>
      <c r="B218" s="356" t="str">
        <f t="shared" si="6"/>
        <v>2019-01-01</v>
      </c>
      <c r="C218" s="356">
        <f>VLOOKUP(B218,'Final Cle'!$C$2:$D$103,2,FALSE)</f>
        <v>160331.29182238</v>
      </c>
    </row>
    <row r="219" spans="1:3">
      <c r="A219" s="358">
        <f t="shared" si="7"/>
        <v>43497</v>
      </c>
      <c r="B219" s="356" t="str">
        <f t="shared" si="6"/>
        <v>2019-02-01</v>
      </c>
      <c r="C219" s="356" cm="1">
        <f t="array" ref="C219">INDEX($C:$C,MATCH(ROW()-MOD(ROW()-ROW($C$2),3),ROW($C:$C),0))+(B219-INDEX($B:$B,MATCH(ROW()-MOD(ROW()-ROW($C$2),3),ROW($C:$C),0)))/(INDEX($B:$B,MATCH(ROW()-MOD(ROW()-ROW($C$2),3),ROW($C:$C),0)+3)-INDEX($B:$B,MATCH(ROW()-MOD(ROW()-ROW($C$2),3),ROW($C:$C),0)))*(INDEX($C:$C,MATCH(ROW()-MOD(ROW()-ROW($C$2),3),ROW($C:$C),0)+3)-INDEX($C:$C,MATCH(ROW()-MOD(ROW()-ROW($C$2),3),ROW($C:$C),0)))</f>
        <v>160299.438877642</v>
      </c>
    </row>
    <row r="220" spans="1:3">
      <c r="A220" s="358">
        <f t="shared" si="7"/>
        <v>43525</v>
      </c>
      <c r="B220" s="356" t="str">
        <f t="shared" si="6"/>
        <v>2019-03-01</v>
      </c>
      <c r="C220" s="356" cm="1">
        <f t="array" ref="C220">INDEX($C:$C,MATCH(ROW()-MOD(ROW()-ROW($C$2),3),ROW($C:$C),0))+(B220-INDEX($B:$B,MATCH(ROW()-MOD(ROW()-ROW($C$2),3),ROW($C:$C),0)))/(INDEX($B:$B,MATCH(ROW()-MOD(ROW()-ROW($C$2),3),ROW($C:$C),0)+3)-INDEX($B:$B,MATCH(ROW()-MOD(ROW()-ROW($C$2),3),ROW($C:$C),0)))*(INDEX($C:$C,MATCH(ROW()-MOD(ROW()-ROW($C$2),3),ROW($C:$C),0)+3)-INDEX($C:$C,MATCH(ROW()-MOD(ROW()-ROW($C$2),3),ROW($C:$C),0)))</f>
        <v>160270.668475943</v>
      </c>
    </row>
    <row r="221" spans="1:3">
      <c r="A221" s="358">
        <f t="shared" si="7"/>
        <v>43556</v>
      </c>
      <c r="B221" s="356" t="str">
        <f t="shared" si="6"/>
        <v>2019-04-01</v>
      </c>
      <c r="C221" s="356">
        <f>VLOOKUP(B221,'Final Cle'!$C$2:$D$103,2,FALSE)</f>
        <v>160238.815531205</v>
      </c>
    </row>
    <row r="222" spans="1:3">
      <c r="A222" s="358">
        <f t="shared" si="7"/>
        <v>43586</v>
      </c>
      <c r="B222" s="356" t="str">
        <f t="shared" si="6"/>
        <v>2019-05-01</v>
      </c>
      <c r="C222" s="356" cm="1">
        <f t="array" ref="C222">INDEX($C:$C,MATCH(ROW()-MOD(ROW()-ROW($C$2),3),ROW($C:$C),0))+(B222-INDEX($B:$B,MATCH(ROW()-MOD(ROW()-ROW($C$2),3),ROW($C:$C),0)))/(INDEX($B:$B,MATCH(ROW()-MOD(ROW()-ROW($C$2),3),ROW($C:$C),0)+3)-INDEX($B:$B,MATCH(ROW()-MOD(ROW()-ROW($C$2),3),ROW($C:$C),0)))*(INDEX($C:$C,MATCH(ROW()-MOD(ROW()-ROW($C$2),3),ROW($C:$C),0)+3)-INDEX($C:$C,MATCH(ROW()-MOD(ROW()-ROW($C$2),3),ROW($C:$C),0)))</f>
        <v>160289.965068352</v>
      </c>
    </row>
    <row r="223" spans="1:3">
      <c r="A223" s="358">
        <f t="shared" si="7"/>
        <v>43617</v>
      </c>
      <c r="B223" s="356" t="str">
        <f t="shared" si="6"/>
        <v>2019-06-01</v>
      </c>
      <c r="C223" s="356" cm="1">
        <f t="array" ref="C223">INDEX($C:$C,MATCH(ROW()-MOD(ROW()-ROW($C$2),3),ROW($C:$C),0))+(B223-INDEX($B:$B,MATCH(ROW()-MOD(ROW()-ROW($C$2),3),ROW($C:$C),0)))/(INDEX($B:$B,MATCH(ROW()-MOD(ROW()-ROW($C$2),3),ROW($C:$C),0)+3)-INDEX($B:$B,MATCH(ROW()-MOD(ROW()-ROW($C$2),3),ROW($C:$C),0)))*(INDEX($C:$C,MATCH(ROW()-MOD(ROW()-ROW($C$2),3),ROW($C:$C),0)+3)-INDEX($C:$C,MATCH(ROW()-MOD(ROW()-ROW($C$2),3),ROW($C:$C),0)))</f>
        <v>160342.819590072</v>
      </c>
    </row>
    <row r="224" spans="1:3">
      <c r="A224" s="358">
        <f t="shared" si="7"/>
        <v>43647</v>
      </c>
      <c r="B224" s="356" t="str">
        <f t="shared" si="6"/>
        <v>2019-07-01</v>
      </c>
      <c r="C224" s="356">
        <f>VLOOKUP(B224,'Final Cle'!$C$2:$D$103,2,FALSE)</f>
        <v>160393.969127219</v>
      </c>
    </row>
    <row r="225" spans="1:3">
      <c r="A225" s="358">
        <f t="shared" si="7"/>
        <v>43678</v>
      </c>
      <c r="B225" s="356" t="str">
        <f t="shared" si="6"/>
        <v>2019-08-01</v>
      </c>
      <c r="C225" s="356" cm="1">
        <f t="array" ref="C225">INDEX($C:$C,MATCH(ROW()-MOD(ROW()-ROW($C$2),3),ROW($C:$C),0))+(B225-INDEX($B:$B,MATCH(ROW()-MOD(ROW()-ROW($C$2),3),ROW($C:$C),0)))/(INDEX($B:$B,MATCH(ROW()-MOD(ROW()-ROW($C$2),3),ROW($C:$C),0)+3)-INDEX($B:$B,MATCH(ROW()-MOD(ROW()-ROW($C$2),3),ROW($C:$C),0)))*(INDEX($C:$C,MATCH(ROW()-MOD(ROW()-ROW($C$2),3),ROW($C:$C),0)+3)-INDEX($C:$C,MATCH(ROW()-MOD(ROW()-ROW($C$2),3),ROW($C:$C),0)))</f>
        <v>160371.950704025</v>
      </c>
    </row>
    <row r="226" spans="1:3">
      <c r="A226" s="358">
        <f t="shared" si="7"/>
        <v>43709</v>
      </c>
      <c r="B226" s="356" t="str">
        <f t="shared" si="6"/>
        <v>2019-09-01</v>
      </c>
      <c r="C226" s="356" cm="1">
        <f t="array" ref="C226">INDEX($C:$C,MATCH(ROW()-MOD(ROW()-ROW($C$2),3),ROW($C:$C),0))+(B226-INDEX($B:$B,MATCH(ROW()-MOD(ROW()-ROW($C$2),3),ROW($C:$C),0)))/(INDEX($B:$B,MATCH(ROW()-MOD(ROW()-ROW($C$2),3),ROW($C:$C),0)+3)-INDEX($B:$B,MATCH(ROW()-MOD(ROW()-ROW($C$2),3),ROW($C:$C),0)))*(INDEX($C:$C,MATCH(ROW()-MOD(ROW()-ROW($C$2),3),ROW($C:$C),0)+3)-INDEX($C:$C,MATCH(ROW()-MOD(ROW()-ROW($C$2),3),ROW($C:$C),0)))</f>
        <v>160349.932280832</v>
      </c>
    </row>
    <row r="227" spans="1:3">
      <c r="A227" s="358">
        <f t="shared" si="7"/>
        <v>43739</v>
      </c>
      <c r="B227" s="356" t="str">
        <f t="shared" si="6"/>
        <v>2019-10-01</v>
      </c>
      <c r="C227" s="356">
        <f>VLOOKUP(B227,'Final Cle'!$C$2:$D$103,2,FALSE)</f>
        <v>160328.624129354</v>
      </c>
    </row>
    <row r="228" spans="1:3">
      <c r="A228" s="358">
        <f t="shared" si="7"/>
        <v>43770</v>
      </c>
      <c r="B228" s="356" t="str">
        <f t="shared" si="6"/>
        <v>2019-11-01</v>
      </c>
      <c r="C228" s="356" cm="1">
        <f t="array" ref="C228">INDEX($C:$C,MATCH(ROW()-MOD(ROW()-ROW($C$2),3),ROW($C:$C),0))+(B228-INDEX($B:$B,MATCH(ROW()-MOD(ROW()-ROW($C$2),3),ROW($C:$C),0)))/(INDEX($B:$B,MATCH(ROW()-MOD(ROW()-ROW($C$2),3),ROW($C:$C),0)+3)-INDEX($B:$B,MATCH(ROW()-MOD(ROW()-ROW($C$2),3),ROW($C:$C),0)))*(INDEX($C:$C,MATCH(ROW()-MOD(ROW()-ROW($C$2),3),ROW($C:$C),0)+3)-INDEX($C:$C,MATCH(ROW()-MOD(ROW()-ROW($C$2),3),ROW($C:$C),0)))</f>
        <v>160064.313108984</v>
      </c>
    </row>
    <row r="229" spans="1:3">
      <c r="A229" s="358">
        <f t="shared" si="7"/>
        <v>43800</v>
      </c>
      <c r="B229" s="356" t="str">
        <f t="shared" si="6"/>
        <v>2019-12-01</v>
      </c>
      <c r="C229" s="356" cm="1">
        <f t="array" ref="C229">INDEX($C:$C,MATCH(ROW()-MOD(ROW()-ROW($C$2),3),ROW($C:$C),0))+(B229-INDEX($B:$B,MATCH(ROW()-MOD(ROW()-ROW($C$2),3),ROW($C:$C),0)))/(INDEX($B:$B,MATCH(ROW()-MOD(ROW()-ROW($C$2),3),ROW($C:$C),0)+3)-INDEX($B:$B,MATCH(ROW()-MOD(ROW()-ROW($C$2),3),ROW($C:$C),0)))*(INDEX($C:$C,MATCH(ROW()-MOD(ROW()-ROW($C$2),3),ROW($C:$C),0)+3)-INDEX($C:$C,MATCH(ROW()-MOD(ROW()-ROW($C$2),3),ROW($C:$C),0)))</f>
        <v>159808.528250562</v>
      </c>
    </row>
    <row r="230" spans="1:3">
      <c r="A230" s="358">
        <f t="shared" si="7"/>
        <v>43831</v>
      </c>
      <c r="B230" s="356" t="str">
        <f t="shared" si="6"/>
        <v>2020-01-01</v>
      </c>
      <c r="C230" s="356">
        <f>VLOOKUP(B230,'Final Cle'!$C$2:$D$103,2,FALSE)</f>
        <v>159544.217230192</v>
      </c>
    </row>
    <row r="231" spans="1:3">
      <c r="A231" s="358">
        <f t="shared" si="7"/>
        <v>43862</v>
      </c>
      <c r="B231" s="356" t="str">
        <f t="shared" si="6"/>
        <v>2020-02-01</v>
      </c>
      <c r="C231" s="356" cm="1">
        <f t="array" ref="C231">INDEX($C:$C,MATCH(ROW()-MOD(ROW()-ROW($C$2),3),ROW($C:$C),0))+(B231-INDEX($B:$B,MATCH(ROW()-MOD(ROW()-ROW($C$2),3),ROW($C:$C),0)))/(INDEX($B:$B,MATCH(ROW()-MOD(ROW()-ROW($C$2),3),ROW($C:$C),0)+3)-INDEX($B:$B,MATCH(ROW()-MOD(ROW()-ROW($C$2),3),ROW($C:$C),0)))*(INDEX($C:$C,MATCH(ROW()-MOD(ROW()-ROW($C$2),3),ROW($C:$C),0)+3)-INDEX($C:$C,MATCH(ROW()-MOD(ROW()-ROW($C$2),3),ROW($C:$C),0)))</f>
        <v>158155.187096518</v>
      </c>
    </row>
    <row r="232" spans="1:3">
      <c r="A232" s="358">
        <f t="shared" si="7"/>
        <v>43891</v>
      </c>
      <c r="B232" s="356" t="str">
        <f t="shared" si="6"/>
        <v>2020-03-01</v>
      </c>
      <c r="C232" s="356" cm="1">
        <f t="array" ref="C232">INDEX($C:$C,MATCH(ROW()-MOD(ROW()-ROW($C$2),3),ROW($C:$C),0))+(B232-INDEX($B:$B,MATCH(ROW()-MOD(ROW()-ROW($C$2),3),ROW($C:$C),0)))/(INDEX($B:$B,MATCH(ROW()-MOD(ROW()-ROW($C$2),3),ROW($C:$C),0)+3)-INDEX($B:$B,MATCH(ROW()-MOD(ROW()-ROW($C$2),3),ROW($C:$C),0)))*(INDEX($C:$C,MATCH(ROW()-MOD(ROW()-ROW($C$2),3),ROW($C:$C),0)+3)-INDEX($C:$C,MATCH(ROW()-MOD(ROW()-ROW($C$2),3),ROW($C:$C),0)))</f>
        <v>156855.771810179</v>
      </c>
    </row>
    <row r="233" spans="1:3">
      <c r="A233" s="358">
        <f t="shared" si="7"/>
        <v>43922</v>
      </c>
      <c r="B233" s="356" t="str">
        <f t="shared" si="6"/>
        <v>2020-04-01</v>
      </c>
      <c r="C233" s="356">
        <f>VLOOKUP(B233,'Final Cle'!$C$2:$D$103,2,FALSE)</f>
        <v>155466.741676505</v>
      </c>
    </row>
    <row r="234" spans="1:3">
      <c r="A234" s="358">
        <f t="shared" si="7"/>
        <v>43952</v>
      </c>
      <c r="B234" s="356" t="str">
        <f t="shared" si="6"/>
        <v>2020-05-01</v>
      </c>
      <c r="C234" s="356" cm="1">
        <f t="array" ref="C234">INDEX($C:$C,MATCH(ROW()-MOD(ROW()-ROW($C$2),3),ROW($C:$C),0))+(B234-INDEX($B:$B,MATCH(ROW()-MOD(ROW()-ROW($C$2),3),ROW($C:$C),0)))/(INDEX($B:$B,MATCH(ROW()-MOD(ROW()-ROW($C$2),3),ROW($C:$C),0)+3)-INDEX($B:$B,MATCH(ROW()-MOD(ROW()-ROW($C$2),3),ROW($C:$C),0)))*(INDEX($C:$C,MATCH(ROW()-MOD(ROW()-ROW($C$2),3),ROW($C:$C),0)+3)-INDEX($C:$C,MATCH(ROW()-MOD(ROW()-ROW($C$2),3),ROW($C:$C),0)))</f>
        <v>157154.340795301</v>
      </c>
    </row>
    <row r="235" spans="1:3">
      <c r="A235" s="358">
        <f t="shared" si="7"/>
        <v>43983</v>
      </c>
      <c r="B235" s="356" t="str">
        <f t="shared" si="6"/>
        <v>2020-06-01</v>
      </c>
      <c r="C235" s="356" cm="1">
        <f t="array" ref="C235">INDEX($C:$C,MATCH(ROW()-MOD(ROW()-ROW($C$2),3),ROW($C:$C),0))+(B235-INDEX($B:$B,MATCH(ROW()-MOD(ROW()-ROW($C$2),3),ROW($C:$C),0)))/(INDEX($B:$B,MATCH(ROW()-MOD(ROW()-ROW($C$2),3),ROW($C:$C),0)+3)-INDEX($B:$B,MATCH(ROW()-MOD(ROW()-ROW($C$2),3),ROW($C:$C),0)))*(INDEX($C:$C,MATCH(ROW()-MOD(ROW()-ROW($C$2),3),ROW($C:$C),0)+3)-INDEX($C:$C,MATCH(ROW()-MOD(ROW()-ROW($C$2),3),ROW($C:$C),0)))</f>
        <v>158898.193218056</v>
      </c>
    </row>
    <row r="236" spans="1:3">
      <c r="A236" s="358">
        <f t="shared" si="7"/>
        <v>44013</v>
      </c>
      <c r="B236" s="356" t="str">
        <f t="shared" si="6"/>
        <v>2020-07-01</v>
      </c>
      <c r="C236" s="356">
        <f>VLOOKUP(B236,'Final Cle'!$C$2:$D$103,2,FALSE)</f>
        <v>160585.792336852</v>
      </c>
    </row>
    <row r="237" spans="1:3">
      <c r="A237" s="358">
        <f t="shared" si="7"/>
        <v>44044</v>
      </c>
      <c r="B237" s="356" t="str">
        <f t="shared" si="6"/>
        <v>2020-08-01</v>
      </c>
      <c r="C237" s="356" cm="1">
        <f t="array" ref="C237">INDEX($C:$C,MATCH(ROW()-MOD(ROW()-ROW($C$2),3),ROW($C:$C),0))+(B237-INDEX($B:$B,MATCH(ROW()-MOD(ROW()-ROW($C$2),3),ROW($C:$C),0)))/(INDEX($B:$B,MATCH(ROW()-MOD(ROW()-ROW($C$2),3),ROW($C:$C),0)+3)-INDEX($B:$B,MATCH(ROW()-MOD(ROW()-ROW($C$2),3),ROW($C:$C),0)))*(INDEX($C:$C,MATCH(ROW()-MOD(ROW()-ROW($C$2),3),ROW($C:$C),0)+3)-INDEX($C:$C,MATCH(ROW()-MOD(ROW()-ROW($C$2),3),ROW($C:$C),0)))</f>
        <v>160963.434333928</v>
      </c>
    </row>
    <row r="238" spans="1:3">
      <c r="A238" s="358">
        <f t="shared" si="7"/>
        <v>44075</v>
      </c>
      <c r="B238" s="356" t="str">
        <f t="shared" si="6"/>
        <v>2020-09-01</v>
      </c>
      <c r="C238" s="356" cm="1">
        <f t="array" ref="C238">INDEX($C:$C,MATCH(ROW()-MOD(ROW()-ROW($C$2),3),ROW($C:$C),0))+(B238-INDEX($B:$B,MATCH(ROW()-MOD(ROW()-ROW($C$2),3),ROW($C:$C),0)))/(INDEX($B:$B,MATCH(ROW()-MOD(ROW()-ROW($C$2),3),ROW($C:$C),0)+3)-INDEX($B:$B,MATCH(ROW()-MOD(ROW()-ROW($C$2),3),ROW($C:$C),0)))*(INDEX($C:$C,MATCH(ROW()-MOD(ROW()-ROW($C$2),3),ROW($C:$C),0)+3)-INDEX($C:$C,MATCH(ROW()-MOD(ROW()-ROW($C$2),3),ROW($C:$C),0)))</f>
        <v>161341.076331003</v>
      </c>
    </row>
    <row r="239" spans="1:3">
      <c r="A239" s="358">
        <f t="shared" si="7"/>
        <v>44105</v>
      </c>
      <c r="B239" s="356" t="str">
        <f t="shared" si="6"/>
        <v>2020-10-01</v>
      </c>
      <c r="C239" s="356">
        <f>VLOOKUP(B239,'Final Cle'!$C$2:$D$103,2,FALSE)</f>
        <v>161706.536328173</v>
      </c>
    </row>
    <row r="240" spans="1:3">
      <c r="A240" s="358">
        <f t="shared" si="7"/>
        <v>44136</v>
      </c>
      <c r="B240" s="356" t="str">
        <f t="shared" si="6"/>
        <v>2020-11-01</v>
      </c>
      <c r="C240" s="356" cm="1">
        <f t="array" ref="C240">INDEX($C:$C,MATCH(ROW()-MOD(ROW()-ROW($C$2),3),ROW($C:$C),0))+(B240-INDEX($B:$B,MATCH(ROW()-MOD(ROW()-ROW($C$2),3),ROW($C:$C),0)))/(INDEX($B:$B,MATCH(ROW()-MOD(ROW()-ROW($C$2),3),ROW($C:$C),0)+3)-INDEX($B:$B,MATCH(ROW()-MOD(ROW()-ROW($C$2),3),ROW($C:$C),0)))*(INDEX($C:$C,MATCH(ROW()-MOD(ROW()-ROW($C$2),3),ROW($C:$C),0)+3)-INDEX($C:$C,MATCH(ROW()-MOD(ROW()-ROW($C$2),3),ROW($C:$C),0)))</f>
        <v>162472.619952252</v>
      </c>
    </row>
    <row r="241" spans="1:3">
      <c r="A241" s="358">
        <f t="shared" si="7"/>
        <v>44166</v>
      </c>
      <c r="B241" s="356" t="str">
        <f t="shared" si="6"/>
        <v>2020-12-01</v>
      </c>
      <c r="C241" s="356" cm="1">
        <f t="array" ref="C241">INDEX($C:$C,MATCH(ROW()-MOD(ROW()-ROW($C$2),3),ROW($C:$C),0))+(B241-INDEX($B:$B,MATCH(ROW()-MOD(ROW()-ROW($C$2),3),ROW($C:$C),0)))/(INDEX($B:$B,MATCH(ROW()-MOD(ROW()-ROW($C$2),3),ROW($C:$C),0)+3)-INDEX($B:$B,MATCH(ROW()-MOD(ROW()-ROW($C$2),3),ROW($C:$C),0)))*(INDEX($C:$C,MATCH(ROW()-MOD(ROW()-ROW($C$2),3),ROW($C:$C),0)+3)-INDEX($C:$C,MATCH(ROW()-MOD(ROW()-ROW($C$2),3),ROW($C:$C),0)))</f>
        <v>163213.991201362</v>
      </c>
    </row>
    <row r="242" spans="1:3">
      <c r="A242" s="358">
        <f t="shared" si="7"/>
        <v>44197</v>
      </c>
      <c r="B242" s="356" t="str">
        <f t="shared" si="6"/>
        <v>2021-01-01</v>
      </c>
      <c r="C242" s="356">
        <f>VLOOKUP(B242,'Final Cle'!$C$2:$D$103,2,FALSE)</f>
        <v>163980.074825441</v>
      </c>
    </row>
    <row r="243" spans="1:3">
      <c r="A243" s="358">
        <f t="shared" si="7"/>
        <v>44228</v>
      </c>
      <c r="B243" s="356" t="str">
        <f t="shared" si="6"/>
        <v>2021-02-01</v>
      </c>
      <c r="C243" s="356" cm="1">
        <f t="array" ref="C243">INDEX($C:$C,MATCH(ROW()-MOD(ROW()-ROW($C$2),3),ROW($C:$C),0))+(B243-INDEX($B:$B,MATCH(ROW()-MOD(ROW()-ROW($C$2),3),ROW($C:$C),0)))/(INDEX($B:$B,MATCH(ROW()-MOD(ROW()-ROW($C$2),3),ROW($C:$C),0)+3)-INDEX($B:$B,MATCH(ROW()-MOD(ROW()-ROW($C$2),3),ROW($C:$C),0)))*(INDEX($C:$C,MATCH(ROW()-MOD(ROW()-ROW($C$2),3),ROW($C:$C),0)+3)-INDEX($C:$C,MATCH(ROW()-MOD(ROW()-ROW($C$2),3),ROW($C:$C),0)))</f>
        <v>163971.470599796</v>
      </c>
    </row>
    <row r="244" spans="1:3">
      <c r="A244" s="358">
        <f t="shared" si="7"/>
        <v>44256</v>
      </c>
      <c r="B244" s="356" t="str">
        <f t="shared" si="6"/>
        <v>2021-03-01</v>
      </c>
      <c r="C244" s="356" cm="1">
        <f t="array" ref="C244">INDEX($C:$C,MATCH(ROW()-MOD(ROW()-ROW($C$2),3),ROW($C:$C),0))+(B244-INDEX($B:$B,MATCH(ROW()-MOD(ROW()-ROW($C$2),3),ROW($C:$C),0)))/(INDEX($B:$B,MATCH(ROW()-MOD(ROW()-ROW($C$2),3),ROW($C:$C),0)+3)-INDEX($B:$B,MATCH(ROW()-MOD(ROW()-ROW($C$2),3),ROW($C:$C),0)))*(INDEX($C:$C,MATCH(ROW()-MOD(ROW()-ROW($C$2),3),ROW($C:$C),0)+3)-INDEX($C:$C,MATCH(ROW()-MOD(ROW()-ROW($C$2),3),ROW($C:$C),0)))</f>
        <v>163963.69904115</v>
      </c>
    </row>
    <row r="245" spans="1:3">
      <c r="A245" s="358">
        <f t="shared" si="7"/>
        <v>44287</v>
      </c>
      <c r="B245" s="356" t="str">
        <f t="shared" si="6"/>
        <v>2021-04-01</v>
      </c>
      <c r="C245" s="356">
        <f>VLOOKUP(B245,'Final Cle'!$C$2:$D$103,2,FALSE)</f>
        <v>163955.094815505</v>
      </c>
    </row>
    <row r="246" spans="1:3">
      <c r="A246" s="358">
        <f t="shared" si="7"/>
        <v>44317</v>
      </c>
      <c r="B246" s="356" t="str">
        <f t="shared" si="6"/>
        <v>2021-05-01</v>
      </c>
      <c r="C246" s="356" cm="1">
        <f t="array" ref="C246">INDEX($C:$C,MATCH(ROW()-MOD(ROW()-ROW($C$2),3),ROW($C:$C),0))+(B246-INDEX($B:$B,MATCH(ROW()-MOD(ROW()-ROW($C$2),3),ROW($C:$C),0)))/(INDEX($B:$B,MATCH(ROW()-MOD(ROW()-ROW($C$2),3),ROW($C:$C),0)+3)-INDEX($B:$B,MATCH(ROW()-MOD(ROW()-ROW($C$2),3),ROW($C:$C),0)))*(INDEX($C:$C,MATCH(ROW()-MOD(ROW()-ROW($C$2),3),ROW($C:$C),0)+3)-INDEX($C:$C,MATCH(ROW()-MOD(ROW()-ROW($C$2),3),ROW($C:$C),0)))</f>
        <v>164788.496545105</v>
      </c>
    </row>
    <row r="247" spans="1:3">
      <c r="A247" s="358">
        <f t="shared" si="7"/>
        <v>44348</v>
      </c>
      <c r="B247" s="356" t="str">
        <f t="shared" si="6"/>
        <v>2021-06-01</v>
      </c>
      <c r="C247" s="356" cm="1">
        <f t="array" ref="C247">INDEX($C:$C,MATCH(ROW()-MOD(ROW()-ROW($C$2),3),ROW($C:$C),0))+(B247-INDEX($B:$B,MATCH(ROW()-MOD(ROW()-ROW($C$2),3),ROW($C:$C),0)))/(INDEX($B:$B,MATCH(ROW()-MOD(ROW()-ROW($C$2),3),ROW($C:$C),0)+3)-INDEX($B:$B,MATCH(ROW()-MOD(ROW()-ROW($C$2),3),ROW($C:$C),0)))*(INDEX($C:$C,MATCH(ROW()-MOD(ROW()-ROW($C$2),3),ROW($C:$C),0)+3)-INDEX($C:$C,MATCH(ROW()-MOD(ROW()-ROW($C$2),3),ROW($C:$C),0)))</f>
        <v>165649.678332358</v>
      </c>
    </row>
    <row r="248" spans="1:3">
      <c r="A248" s="358">
        <f t="shared" si="7"/>
        <v>44378</v>
      </c>
      <c r="B248" s="356" t="str">
        <f t="shared" si="6"/>
        <v>2021-07-01</v>
      </c>
      <c r="C248" s="356">
        <f>VLOOKUP(B248,'Final Cle'!$C$2:$D$103,2,FALSE)</f>
        <v>166483.080061958</v>
      </c>
    </row>
    <row r="249" spans="1:3">
      <c r="A249" s="358">
        <f t="shared" si="7"/>
        <v>44409</v>
      </c>
      <c r="B249" s="356" t="str">
        <f t="shared" si="6"/>
        <v>2021-08-01</v>
      </c>
      <c r="C249" s="356" cm="1">
        <f t="array" ref="C249">INDEX($C:$C,MATCH(ROW()-MOD(ROW()-ROW($C$2),3),ROW($C:$C),0))+(B249-INDEX($B:$B,MATCH(ROW()-MOD(ROW()-ROW($C$2),3),ROW($C:$C),0)))/(INDEX($B:$B,MATCH(ROW()-MOD(ROW()-ROW($C$2),3),ROW($C:$C),0)+3)-INDEX($B:$B,MATCH(ROW()-MOD(ROW()-ROW($C$2),3),ROW($C:$C),0)))*(INDEX($C:$C,MATCH(ROW()-MOD(ROW()-ROW($C$2),3),ROW($C:$C),0)+3)-INDEX($C:$C,MATCH(ROW()-MOD(ROW()-ROW($C$2),3),ROW($C:$C),0)))</f>
        <v>166240.01426508</v>
      </c>
    </row>
    <row r="250" spans="1:3">
      <c r="A250" s="358">
        <f t="shared" si="7"/>
        <v>44440</v>
      </c>
      <c r="B250" s="356" t="str">
        <f t="shared" si="6"/>
        <v>2021-09-01</v>
      </c>
      <c r="C250" s="356" cm="1">
        <f t="array" ref="C250">INDEX($C:$C,MATCH(ROW()-MOD(ROW()-ROW($C$2),3),ROW($C:$C),0))+(B250-INDEX($B:$B,MATCH(ROW()-MOD(ROW()-ROW($C$2),3),ROW($C:$C),0)))/(INDEX($B:$B,MATCH(ROW()-MOD(ROW()-ROW($C$2),3),ROW($C:$C),0)+3)-INDEX($B:$B,MATCH(ROW()-MOD(ROW()-ROW($C$2),3),ROW($C:$C),0)))*(INDEX($C:$C,MATCH(ROW()-MOD(ROW()-ROW($C$2),3),ROW($C:$C),0)+3)-INDEX($C:$C,MATCH(ROW()-MOD(ROW()-ROW($C$2),3),ROW($C:$C),0)))</f>
        <v>165996.948468202</v>
      </c>
    </row>
    <row r="251" spans="1:3">
      <c r="A251" s="358">
        <f t="shared" si="7"/>
        <v>44470</v>
      </c>
      <c r="B251" s="356" t="str">
        <f t="shared" si="6"/>
        <v>2021-10-01</v>
      </c>
      <c r="C251" s="356">
        <f>VLOOKUP(B251,'Final Cle'!$C$2:$D$103,2,FALSE)</f>
        <v>165761.723503482</v>
      </c>
    </row>
    <row r="252" spans="1:3">
      <c r="A252" s="358">
        <f t="shared" si="7"/>
        <v>44501</v>
      </c>
      <c r="B252" s="356" t="str">
        <f t="shared" si="6"/>
        <v>2021-11-01</v>
      </c>
      <c r="C252" s="356" cm="1">
        <f t="array" ref="C252">INDEX($C:$C,MATCH(ROW()-MOD(ROW()-ROW($C$2),3),ROW($C:$C),0))+(B252-INDEX($B:$B,MATCH(ROW()-MOD(ROW()-ROW($C$2),3),ROW($C:$C),0)))/(INDEX($B:$B,MATCH(ROW()-MOD(ROW()-ROW($C$2),3),ROW($C:$C),0)+3)-INDEX($B:$B,MATCH(ROW()-MOD(ROW()-ROW($C$2),3),ROW($C:$C),0)))*(INDEX($C:$C,MATCH(ROW()-MOD(ROW()-ROW($C$2),3),ROW($C:$C),0)+3)-INDEX($C:$C,MATCH(ROW()-MOD(ROW()-ROW($C$2),3),ROW($C:$C),0)))</f>
        <v>165212.265688174</v>
      </c>
    </row>
    <row r="253" spans="1:3">
      <c r="A253" s="358">
        <f t="shared" si="7"/>
        <v>44531</v>
      </c>
      <c r="B253" s="356" t="str">
        <f t="shared" si="6"/>
        <v>2021-12-01</v>
      </c>
      <c r="C253" s="356" cm="1">
        <f t="array" ref="C253">INDEX($C:$C,MATCH(ROW()-MOD(ROW()-ROW($C$2),3),ROW($C:$C),0))+(B253-INDEX($B:$B,MATCH(ROW()-MOD(ROW()-ROW($C$2),3),ROW($C:$C),0)))/(INDEX($B:$B,MATCH(ROW()-MOD(ROW()-ROW($C$2),3),ROW($C:$C),0)+3)-INDEX($B:$B,MATCH(ROW()-MOD(ROW()-ROW($C$2),3),ROW($C:$C),0)))*(INDEX($C:$C,MATCH(ROW()-MOD(ROW()-ROW($C$2),3),ROW($C:$C),0)+3)-INDEX($C:$C,MATCH(ROW()-MOD(ROW()-ROW($C$2),3),ROW($C:$C),0)))</f>
        <v>164680.532318522</v>
      </c>
    </row>
    <row r="254" spans="1:3">
      <c r="A254" s="358">
        <f t="shared" si="7"/>
        <v>44562</v>
      </c>
      <c r="B254" s="356" t="str">
        <f t="shared" si="6"/>
        <v>2022-01-01</v>
      </c>
      <c r="C254" s="356">
        <f>VLOOKUP(B254,'Final Cle'!$C$2:$D$103,2,FALSE)</f>
        <v>164131.074503214</v>
      </c>
    </row>
    <row r="255" spans="1:3">
      <c r="A255" s="358">
        <f t="shared" si="7"/>
        <v>44593</v>
      </c>
      <c r="B255" s="356" t="str">
        <f t="shared" si="6"/>
        <v>2022-02-01</v>
      </c>
      <c r="C255" s="356" cm="1">
        <f t="array" ref="C255">INDEX($C:$C,MATCH(ROW()-MOD(ROW()-ROW($C$2),3),ROW($C:$C),0))+(B255-INDEX($B:$B,MATCH(ROW()-MOD(ROW()-ROW($C$2),3),ROW($C:$C),0)))/(INDEX($B:$B,MATCH(ROW()-MOD(ROW()-ROW($C$2),3),ROW($C:$C),0)+3)-INDEX($B:$B,MATCH(ROW()-MOD(ROW()-ROW($C$2),3),ROW($C:$C),0)))*(INDEX($C:$C,MATCH(ROW()-MOD(ROW()-ROW($C$2),3),ROW($C:$C),0)+3)-INDEX($C:$C,MATCH(ROW()-MOD(ROW()-ROW($C$2),3),ROW($C:$C),0)))</f>
        <v>162672.592834425</v>
      </c>
    </row>
    <row r="256" spans="1:3">
      <c r="A256" s="358">
        <f t="shared" si="7"/>
        <v>44621</v>
      </c>
      <c r="B256" s="356" t="str">
        <f t="shared" si="6"/>
        <v>2022-03-01</v>
      </c>
      <c r="C256" s="356" cm="1">
        <f t="array" ref="C256">INDEX($C:$C,MATCH(ROW()-MOD(ROW()-ROW($C$2),3),ROW($C:$C),0))+(B256-INDEX($B:$B,MATCH(ROW()-MOD(ROW()-ROW($C$2),3),ROW($C:$C),0)))/(INDEX($B:$B,MATCH(ROW()-MOD(ROW()-ROW($C$2),3),ROW($C:$C),0)+3)-INDEX($B:$B,MATCH(ROW()-MOD(ROW()-ROW($C$2),3),ROW($C:$C),0)))*(INDEX($C:$C,MATCH(ROW()-MOD(ROW()-ROW($C$2),3),ROW($C:$C),0)+3)-INDEX($C:$C,MATCH(ROW()-MOD(ROW()-ROW($C$2),3),ROW($C:$C),0)))</f>
        <v>161355.254552939</v>
      </c>
    </row>
    <row r="257" spans="1:3">
      <c r="A257" s="358">
        <f t="shared" si="7"/>
        <v>44652</v>
      </c>
      <c r="B257" s="356" t="str">
        <f t="shared" si="6"/>
        <v>2022-04-01</v>
      </c>
      <c r="C257" s="356">
        <f>VLOOKUP(B257,'Final Cle'!$C$2:$D$103,2,FALSE)</f>
        <v>159896.77288415</v>
      </c>
    </row>
    <row r="258" spans="1:3">
      <c r="A258" s="358">
        <f t="shared" si="7"/>
        <v>44682</v>
      </c>
      <c r="B258" s="356" t="str">
        <f t="shared" ref="B258:B313" si="8">TEXT(A258,"yyyy-mm-01")</f>
        <v>2022-05-01</v>
      </c>
      <c r="C258" s="356" cm="1">
        <f t="array" ref="C258">INDEX($C:$C,MATCH(ROW()-MOD(ROW()-ROW($C$2),3),ROW($C:$C),0))+(B258-INDEX($B:$B,MATCH(ROW()-MOD(ROW()-ROW($C$2),3),ROW($C:$C),0)))/(INDEX($B:$B,MATCH(ROW()-MOD(ROW()-ROW($C$2),3),ROW($C:$C),0)+3)-INDEX($B:$B,MATCH(ROW()-MOD(ROW()-ROW($C$2),3),ROW($C:$C),0)))*(INDEX($C:$C,MATCH(ROW()-MOD(ROW()-ROW($C$2),3),ROW($C:$C),0)+3)-INDEX($C:$C,MATCH(ROW()-MOD(ROW()-ROW($C$2),3),ROW($C:$C),0)))</f>
        <v>161299.675929015</v>
      </c>
    </row>
    <row r="259" spans="1:3">
      <c r="A259" s="358">
        <f t="shared" ref="A259:A322" si="9">EDATE(A258,1)</f>
        <v>44713</v>
      </c>
      <c r="B259" s="356" t="str">
        <f t="shared" si="8"/>
        <v>2022-06-01</v>
      </c>
      <c r="C259" s="356" cm="1">
        <f t="array" ref="C259">INDEX($C:$C,MATCH(ROW()-MOD(ROW()-ROW($C$2),3),ROW($C:$C),0))+(B259-INDEX($B:$B,MATCH(ROW()-MOD(ROW()-ROW($C$2),3),ROW($C:$C),0)))/(INDEX($B:$B,MATCH(ROW()-MOD(ROW()-ROW($C$2),3),ROW($C:$C),0)+3)-INDEX($B:$B,MATCH(ROW()-MOD(ROW()-ROW($C$2),3),ROW($C:$C),0)))*(INDEX($C:$C,MATCH(ROW()-MOD(ROW()-ROW($C$2),3),ROW($C:$C),0)+3)-INDEX($C:$C,MATCH(ROW()-MOD(ROW()-ROW($C$2),3),ROW($C:$C),0)))</f>
        <v>162749.342408709</v>
      </c>
    </row>
    <row r="260" spans="1:3">
      <c r="A260" s="358">
        <f t="shared" si="9"/>
        <v>44743</v>
      </c>
      <c r="B260" s="356" t="str">
        <f t="shared" si="8"/>
        <v>2022-07-01</v>
      </c>
      <c r="C260" s="356">
        <f>VLOOKUP(B260,'Final Cle'!$C$2:$D$103,2,FALSE)</f>
        <v>164152.245453574</v>
      </c>
    </row>
    <row r="261" spans="1:3">
      <c r="A261" s="358">
        <f t="shared" si="9"/>
        <v>44774</v>
      </c>
      <c r="B261" s="356" t="str">
        <f t="shared" si="8"/>
        <v>2022-08-01</v>
      </c>
      <c r="C261" s="356" cm="1">
        <f t="array" ref="C261">INDEX($C:$C,MATCH(ROW()-MOD(ROW()-ROW($C$2),3),ROW($C:$C),0))+(B261-INDEX($B:$B,MATCH(ROW()-MOD(ROW()-ROW($C$2),3),ROW($C:$C),0)))/(INDEX($B:$B,MATCH(ROW()-MOD(ROW()-ROW($C$2),3),ROW($C:$C),0)+3)-INDEX($B:$B,MATCH(ROW()-MOD(ROW()-ROW($C$2),3),ROW($C:$C),0)))*(INDEX($C:$C,MATCH(ROW()-MOD(ROW()-ROW($C$2),3),ROW($C:$C),0)+3)-INDEX($C:$C,MATCH(ROW()-MOD(ROW()-ROW($C$2),3),ROW($C:$C),0)))</f>
        <v>163122.48982855</v>
      </c>
    </row>
    <row r="262" spans="1:3">
      <c r="A262" s="358">
        <f t="shared" si="9"/>
        <v>44805</v>
      </c>
      <c r="B262" s="356" t="str">
        <f t="shared" si="8"/>
        <v>2022-09-01</v>
      </c>
      <c r="C262" s="356" cm="1">
        <f t="array" ref="C262">INDEX($C:$C,MATCH(ROW()-MOD(ROW()-ROW($C$2),3),ROW($C:$C),0))+(B262-INDEX($B:$B,MATCH(ROW()-MOD(ROW()-ROW($C$2),3),ROW($C:$C),0)))/(INDEX($B:$B,MATCH(ROW()-MOD(ROW()-ROW($C$2),3),ROW($C:$C),0)+3)-INDEX($B:$B,MATCH(ROW()-MOD(ROW()-ROW($C$2),3),ROW($C:$C),0)))*(INDEX($C:$C,MATCH(ROW()-MOD(ROW()-ROW($C$2),3),ROW($C:$C),0)+3)-INDEX($C:$C,MATCH(ROW()-MOD(ROW()-ROW($C$2),3),ROW($C:$C),0)))</f>
        <v>162092.734203526</v>
      </c>
    </row>
    <row r="263" spans="1:3">
      <c r="A263" s="358">
        <f t="shared" si="9"/>
        <v>44835</v>
      </c>
      <c r="B263" s="356" t="str">
        <f t="shared" si="8"/>
        <v>2022-10-01</v>
      </c>
      <c r="C263" s="356">
        <f>VLOOKUP(B263,'Final Cle'!$C$2:$D$103,2,FALSE)</f>
        <v>161096.19650189</v>
      </c>
    </row>
    <row r="264" spans="1:3">
      <c r="A264" s="358">
        <f t="shared" si="9"/>
        <v>44866</v>
      </c>
      <c r="B264" s="356" t="str">
        <f t="shared" si="8"/>
        <v>2022-11-01</v>
      </c>
      <c r="C264" s="356" cm="1">
        <f t="array" ref="C264">INDEX($C:$C,MATCH(ROW()-MOD(ROW()-ROW($C$2),3),ROW($C:$C),0))+(B264-INDEX($B:$B,MATCH(ROW()-MOD(ROW()-ROW($C$2),3),ROW($C:$C),0)))/(INDEX($B:$B,MATCH(ROW()-MOD(ROW()-ROW($C$2),3),ROW($C:$C),0)+3)-INDEX($B:$B,MATCH(ROW()-MOD(ROW()-ROW($C$2),3),ROW($C:$C),0)))*(INDEX($C:$C,MATCH(ROW()-MOD(ROW()-ROW($C$2),3),ROW($C:$C),0)+3)-INDEX($C:$C,MATCH(ROW()-MOD(ROW()-ROW($C$2),3),ROW($C:$C),0)))</f>
        <v>161112.396303508</v>
      </c>
    </row>
    <row r="265" spans="1:3">
      <c r="A265" s="358">
        <f t="shared" si="9"/>
        <v>44896</v>
      </c>
      <c r="B265" s="356" t="str">
        <f t="shared" si="8"/>
        <v>2022-12-01</v>
      </c>
      <c r="C265" s="356" cm="1">
        <f t="array" ref="C265">INDEX($C:$C,MATCH(ROW()-MOD(ROW()-ROW($C$2),3),ROW($C:$C),0))+(B265-INDEX($B:$B,MATCH(ROW()-MOD(ROW()-ROW($C$2),3),ROW($C:$C),0)))/(INDEX($B:$B,MATCH(ROW()-MOD(ROW()-ROW($C$2),3),ROW($C:$C),0)+3)-INDEX($B:$B,MATCH(ROW()-MOD(ROW()-ROW($C$2),3),ROW($C:$C),0)))*(INDEX($C:$C,MATCH(ROW()-MOD(ROW()-ROW($C$2),3),ROW($C:$C),0)+3)-INDEX($C:$C,MATCH(ROW()-MOD(ROW()-ROW($C$2),3),ROW($C:$C),0)))</f>
        <v>161128.073530881</v>
      </c>
    </row>
    <row r="266" spans="1:3">
      <c r="A266" s="358">
        <f t="shared" si="9"/>
        <v>44927</v>
      </c>
      <c r="B266" s="356" t="str">
        <f t="shared" si="8"/>
        <v>2023-01-01</v>
      </c>
      <c r="C266" s="356">
        <f>VLOOKUP(B266,'Final Cle'!$C$2:$D$103,2,FALSE)</f>
        <v>161144.273332499</v>
      </c>
    </row>
    <row r="267" spans="1:3">
      <c r="A267" s="358">
        <f t="shared" si="9"/>
        <v>44958</v>
      </c>
      <c r="B267" s="356" t="str">
        <f t="shared" si="8"/>
        <v>2023-02-01</v>
      </c>
      <c r="C267" s="356" cm="1">
        <f t="array" ref="C267">INDEX($C:$C,MATCH(ROW()-MOD(ROW()-ROW($C$2),3),ROW($C:$C),0))+(B267-INDEX($B:$B,MATCH(ROW()-MOD(ROW()-ROW($C$2),3),ROW($C:$C),0)))/(INDEX($B:$B,MATCH(ROW()-MOD(ROW()-ROW($C$2),3),ROW($C:$C),0)+3)-INDEX($B:$B,MATCH(ROW()-MOD(ROW()-ROW($C$2),3),ROW($C:$C),0)))*(INDEX($C:$C,MATCH(ROW()-MOD(ROW()-ROW($C$2),3),ROW($C:$C),0)+3)-INDEX($C:$C,MATCH(ROW()-MOD(ROW()-ROW($C$2),3),ROW($C:$C),0)))</f>
        <v>161719.390690326</v>
      </c>
    </row>
    <row r="268" spans="1:3">
      <c r="A268" s="358">
        <f t="shared" si="9"/>
        <v>44986</v>
      </c>
      <c r="B268" s="356" t="str">
        <f t="shared" si="8"/>
        <v>2023-03-01</v>
      </c>
      <c r="C268" s="356" cm="1">
        <f t="array" ref="C268">INDEX($C:$C,MATCH(ROW()-MOD(ROW()-ROW($C$2),3),ROW($C:$C),0))+(B268-INDEX($B:$B,MATCH(ROW()-MOD(ROW()-ROW($C$2),3),ROW($C:$C),0)))/(INDEX($B:$B,MATCH(ROW()-MOD(ROW()-ROW($C$2),3),ROW($C:$C),0)+3)-INDEX($B:$B,MATCH(ROW()-MOD(ROW()-ROW($C$2),3),ROW($C:$C),0)))*(INDEX($C:$C,MATCH(ROW()-MOD(ROW()-ROW($C$2),3),ROW($C:$C),0)+3)-INDEX($C:$C,MATCH(ROW()-MOD(ROW()-ROW($C$2),3),ROW($C:$C),0)))</f>
        <v>162238.851529653</v>
      </c>
    </row>
    <row r="269" spans="1:3">
      <c r="A269" s="358">
        <f t="shared" si="9"/>
        <v>45017</v>
      </c>
      <c r="B269" s="356" t="str">
        <f t="shared" si="8"/>
        <v>2023-04-01</v>
      </c>
      <c r="C269" s="356">
        <f>VLOOKUP(B269,'Final Cle'!$C$2:$D$103,2,FALSE)</f>
        <v>162813.96888748</v>
      </c>
    </row>
    <row r="270" spans="1:3">
      <c r="A270" s="358">
        <f t="shared" si="9"/>
        <v>45047</v>
      </c>
      <c r="B270" s="356" t="str">
        <f t="shared" si="8"/>
        <v>2023-05-01</v>
      </c>
      <c r="C270" s="356" cm="1">
        <f t="array" ref="C270">INDEX($C:$C,MATCH(ROW()-MOD(ROW()-ROW($C$2),3),ROW($C:$C),0))+(B270-INDEX($B:$B,MATCH(ROW()-MOD(ROW()-ROW($C$2),3),ROW($C:$C),0)))/(INDEX($B:$B,MATCH(ROW()-MOD(ROW()-ROW($C$2),3),ROW($C:$C),0)+3)-INDEX($B:$B,MATCH(ROW()-MOD(ROW()-ROW($C$2),3),ROW($C:$C),0)))*(INDEX($C:$C,MATCH(ROW()-MOD(ROW()-ROW($C$2),3),ROW($C:$C),0)+3)-INDEX($C:$C,MATCH(ROW()-MOD(ROW()-ROW($C$2),3),ROW($C:$C),0)))</f>
        <v>162810.2266146</v>
      </c>
    </row>
    <row r="271" spans="1:3">
      <c r="A271" s="358">
        <f t="shared" si="9"/>
        <v>45078</v>
      </c>
      <c r="B271" s="356" t="str">
        <f t="shared" si="8"/>
        <v>2023-06-01</v>
      </c>
      <c r="C271" s="356" cm="1">
        <f t="array" ref="C271">INDEX($C:$C,MATCH(ROW()-MOD(ROW()-ROW($C$2),3),ROW($C:$C),0))+(B271-INDEX($B:$B,MATCH(ROW()-MOD(ROW()-ROW($C$2),3),ROW($C:$C),0)))/(INDEX($B:$B,MATCH(ROW()-MOD(ROW()-ROW($C$2),3),ROW($C:$C),0)+3)-INDEX($B:$B,MATCH(ROW()-MOD(ROW()-ROW($C$2),3),ROW($C:$C),0)))*(INDEX($C:$C,MATCH(ROW()-MOD(ROW()-ROW($C$2),3),ROW($C:$C),0)+3)-INDEX($C:$C,MATCH(ROW()-MOD(ROW()-ROW($C$2),3),ROW($C:$C),0)))</f>
        <v>162806.359599291</v>
      </c>
    </row>
    <row r="272" spans="1:3">
      <c r="A272" s="358">
        <f t="shared" si="9"/>
        <v>45108</v>
      </c>
      <c r="B272" s="356" t="str">
        <f t="shared" si="8"/>
        <v>2023-07-01</v>
      </c>
      <c r="C272" s="356">
        <f>VLOOKUP(B272,'Final Cle'!$C$2:$D$103,2,FALSE)</f>
        <v>162802.617326411</v>
      </c>
    </row>
    <row r="273" spans="1:3">
      <c r="A273" s="358">
        <f t="shared" si="9"/>
        <v>45139</v>
      </c>
      <c r="B273" s="356" t="str">
        <f t="shared" si="8"/>
        <v>2023-08-01</v>
      </c>
      <c r="C273" s="356" cm="1">
        <f t="array" ref="C273">INDEX($C:$C,MATCH(ROW()-MOD(ROW()-ROW($C$2),3),ROW($C:$C),0))+(B273-INDEX($B:$B,MATCH(ROW()-MOD(ROW()-ROW($C$2),3),ROW($C:$C),0)))/(INDEX($B:$B,MATCH(ROW()-MOD(ROW()-ROW($C$2),3),ROW($C:$C),0)+3)-INDEX($B:$B,MATCH(ROW()-MOD(ROW()-ROW($C$2),3),ROW($C:$C),0)))*(INDEX($C:$C,MATCH(ROW()-MOD(ROW()-ROW($C$2),3),ROW($C:$C),0)+3)-INDEX($C:$C,MATCH(ROW()-MOD(ROW()-ROW($C$2),3),ROW($C:$C),0)))</f>
        <v>163141.891393393</v>
      </c>
    </row>
    <row r="274" spans="1:3">
      <c r="A274" s="358">
        <f t="shared" si="9"/>
        <v>45170</v>
      </c>
      <c r="B274" s="356" t="str">
        <f t="shared" si="8"/>
        <v>2023-09-01</v>
      </c>
      <c r="C274" s="356" cm="1">
        <f t="array" ref="C274">INDEX($C:$C,MATCH(ROW()-MOD(ROW()-ROW($C$2),3),ROW($C:$C),0))+(B274-INDEX($B:$B,MATCH(ROW()-MOD(ROW()-ROW($C$2),3),ROW($C:$C),0)))/(INDEX($B:$B,MATCH(ROW()-MOD(ROW()-ROW($C$2),3),ROW($C:$C),0)+3)-INDEX($B:$B,MATCH(ROW()-MOD(ROW()-ROW($C$2),3),ROW($C:$C),0)))*(INDEX($C:$C,MATCH(ROW()-MOD(ROW()-ROW($C$2),3),ROW($C:$C),0)+3)-INDEX($C:$C,MATCH(ROW()-MOD(ROW()-ROW($C$2),3),ROW($C:$C),0)))</f>
        <v>163481.165460375</v>
      </c>
    </row>
    <row r="275" spans="1:3">
      <c r="A275" s="358">
        <f t="shared" si="9"/>
        <v>45200</v>
      </c>
      <c r="B275" s="356" t="str">
        <f t="shared" si="8"/>
        <v>2023-10-01</v>
      </c>
      <c r="C275" s="356">
        <f>VLOOKUP(B275,'Final Cle'!$C$2:$D$103,2,FALSE)</f>
        <v>163809.495202615</v>
      </c>
    </row>
    <row r="276" spans="1:3">
      <c r="A276" s="358">
        <f t="shared" si="9"/>
        <v>45231</v>
      </c>
      <c r="B276" s="356" t="str">
        <f t="shared" si="8"/>
        <v>2023-11-01</v>
      </c>
      <c r="C276" s="356" cm="1">
        <f t="array" ref="C276">INDEX($C:$C,MATCH(ROW()-MOD(ROW()-ROW($C$2),3),ROW($C:$C),0))+(B276-INDEX($B:$B,MATCH(ROW()-MOD(ROW()-ROW($C$2),3),ROW($C:$C),0)))/(INDEX($B:$B,MATCH(ROW()-MOD(ROW()-ROW($C$2),3),ROW($C:$C),0)+3)-INDEX($B:$B,MATCH(ROW()-MOD(ROW()-ROW($C$2),3),ROW($C:$C),0)))*(INDEX($C:$C,MATCH(ROW()-MOD(ROW()-ROW($C$2),3),ROW($C:$C),0)+3)-INDEX($C:$C,MATCH(ROW()-MOD(ROW()-ROW($C$2),3),ROW($C:$C),0)))</f>
        <v>163776.631444412</v>
      </c>
    </row>
    <row r="277" spans="1:3">
      <c r="A277" s="358">
        <f t="shared" si="9"/>
        <v>45261</v>
      </c>
      <c r="B277" s="356" t="str">
        <f t="shared" si="8"/>
        <v>2023-12-01</v>
      </c>
      <c r="C277" s="356" cm="1">
        <f t="array" ref="C277">INDEX($C:$C,MATCH(ROW()-MOD(ROW()-ROW($C$2),3),ROW($C:$C),0))+(B277-INDEX($B:$B,MATCH(ROW()-MOD(ROW()-ROW($C$2),3),ROW($C:$C),0)))/(INDEX($B:$B,MATCH(ROW()-MOD(ROW()-ROW($C$2),3),ROW($C:$C),0)+3)-INDEX($B:$B,MATCH(ROW()-MOD(ROW()-ROW($C$2),3),ROW($C:$C),0)))*(INDEX($C:$C,MATCH(ROW()-MOD(ROW()-ROW($C$2),3),ROW($C:$C),0)+3)-INDEX($C:$C,MATCH(ROW()-MOD(ROW()-ROW($C$2),3),ROW($C:$C),0)))</f>
        <v>163744.827807442</v>
      </c>
    </row>
    <row r="278" spans="1:3">
      <c r="A278" s="358">
        <f t="shared" si="9"/>
        <v>45292</v>
      </c>
      <c r="B278" s="356" t="str">
        <f t="shared" si="8"/>
        <v>2024-01-01</v>
      </c>
      <c r="C278" s="356">
        <f>VLOOKUP(B278,'Final Cle'!$C$2:$D$103,2,FALSE)</f>
        <v>163711.964049239</v>
      </c>
    </row>
    <row r="279" spans="1:3">
      <c r="A279" s="358">
        <f t="shared" si="9"/>
        <v>45323</v>
      </c>
      <c r="B279" s="356" t="str">
        <f t="shared" si="8"/>
        <v>2024-02-01</v>
      </c>
      <c r="C279" s="356" cm="1">
        <f t="array" ref="C279">INDEX($C:$C,MATCH(ROW()-MOD(ROW()-ROW($C$2),3),ROW($C:$C),0))+(B279-INDEX($B:$B,MATCH(ROW()-MOD(ROW()-ROW($C$2),3),ROW($C:$C),0)))/(INDEX($B:$B,MATCH(ROW()-MOD(ROW()-ROW($C$2),3),ROW($C:$C),0)+3)-INDEX($B:$B,MATCH(ROW()-MOD(ROW()-ROW($C$2),3),ROW($C:$C),0)))*(INDEX($C:$C,MATCH(ROW()-MOD(ROW()-ROW($C$2),3),ROW($C:$C),0)+3)-INDEX($C:$C,MATCH(ROW()-MOD(ROW()-ROW($C$2),3),ROW($C:$C),0)))</f>
        <v>163794.050044262</v>
      </c>
    </row>
    <row r="280" spans="1:3">
      <c r="A280" s="358">
        <f t="shared" si="9"/>
        <v>45352</v>
      </c>
      <c r="B280" s="356" t="str">
        <f t="shared" si="8"/>
        <v>2024-03-01</v>
      </c>
      <c r="C280" s="356" cm="1">
        <f t="array" ref="C280">INDEX($C:$C,MATCH(ROW()-MOD(ROW()-ROW($C$2),3),ROW($C:$C),0))+(B280-INDEX($B:$B,MATCH(ROW()-MOD(ROW()-ROW($C$2),3),ROW($C:$C),0)))/(INDEX($B:$B,MATCH(ROW()-MOD(ROW()-ROW($C$2),3),ROW($C:$C),0)+3)-INDEX($B:$B,MATCH(ROW()-MOD(ROW()-ROW($C$2),3),ROW($C:$C),0)))*(INDEX($C:$C,MATCH(ROW()-MOD(ROW()-ROW($C$2),3),ROW($C:$C),0)+3)-INDEX($C:$C,MATCH(ROW()-MOD(ROW()-ROW($C$2),3),ROW($C:$C),0)))</f>
        <v>163870.840168637</v>
      </c>
    </row>
    <row r="281" spans="1:3">
      <c r="A281" s="358">
        <f t="shared" si="9"/>
        <v>45383</v>
      </c>
      <c r="B281" s="356" t="str">
        <f t="shared" si="8"/>
        <v>2024-04-01</v>
      </c>
      <c r="C281" s="356">
        <f>VLOOKUP(B281,'Final Cle'!$C$2:$D$103,2,FALSE)</f>
        <v>163952.92616366</v>
      </c>
    </row>
    <row r="282" spans="1:3">
      <c r="A282" s="358">
        <f t="shared" si="9"/>
        <v>45413</v>
      </c>
      <c r="B282" s="356" t="str">
        <f t="shared" si="8"/>
        <v>2024-05-01</v>
      </c>
      <c r="C282" s="356" cm="1">
        <f t="array" ref="C282">INDEX($C:$C,MATCH(ROW()-MOD(ROW()-ROW($C$2),3),ROW($C:$C),0))+(B282-INDEX($B:$B,MATCH(ROW()-MOD(ROW()-ROW($C$2),3),ROW($C:$C),0)))/(INDEX($B:$B,MATCH(ROW()-MOD(ROW()-ROW($C$2),3),ROW($C:$C),0)+3)-INDEX($B:$B,MATCH(ROW()-MOD(ROW()-ROW($C$2),3),ROW($C:$C),0)))*(INDEX($C:$C,MATCH(ROW()-MOD(ROW()-ROW($C$2),3),ROW($C:$C),0)+3)-INDEX($C:$C,MATCH(ROW()-MOD(ROW()-ROW($C$2),3),ROW($C:$C),0)))</f>
        <v>164909.025947282</v>
      </c>
    </row>
    <row r="283" spans="1:3">
      <c r="A283" s="358">
        <f t="shared" si="9"/>
        <v>45444</v>
      </c>
      <c r="B283" s="356" t="str">
        <f t="shared" si="8"/>
        <v>2024-06-01</v>
      </c>
      <c r="C283" s="356" cm="1">
        <f t="array" ref="C283">INDEX($C:$C,MATCH(ROW()-MOD(ROW()-ROW($C$2),3),ROW($C:$C),0))+(B283-INDEX($B:$B,MATCH(ROW()-MOD(ROW()-ROW($C$2),3),ROW($C:$C),0)))/(INDEX($B:$B,MATCH(ROW()-MOD(ROW()-ROW($C$2),3),ROW($C:$C),0)+3)-INDEX($B:$B,MATCH(ROW()-MOD(ROW()-ROW($C$2),3),ROW($C:$C),0)))*(INDEX($C:$C,MATCH(ROW()-MOD(ROW()-ROW($C$2),3),ROW($C:$C),0)+3)-INDEX($C:$C,MATCH(ROW()-MOD(ROW()-ROW($C$2),3),ROW($C:$C),0)))</f>
        <v>165896.995723691</v>
      </c>
    </row>
    <row r="284" spans="1:3">
      <c r="A284" s="358">
        <f t="shared" si="9"/>
        <v>45474</v>
      </c>
      <c r="B284" s="356" t="str">
        <f t="shared" si="8"/>
        <v>2024-07-01</v>
      </c>
      <c r="C284" s="356">
        <f>VLOOKUP(B284,'Final Cle'!$C$2:$D$103,2,FALSE)</f>
        <v>166853.095507313</v>
      </c>
    </row>
    <row r="285" spans="1:3">
      <c r="A285" s="358">
        <f t="shared" si="9"/>
        <v>45505</v>
      </c>
      <c r="B285" s="356" t="str">
        <f t="shared" si="8"/>
        <v>2024-08-01</v>
      </c>
      <c r="C285" s="356" cm="1">
        <f t="array" ref="C285">INDEX($C:$C,MATCH(ROW()-MOD(ROW()-ROW($C$2),3),ROW($C:$C),0))+(B285-INDEX($B:$B,MATCH(ROW()-MOD(ROW()-ROW($C$2),3),ROW($C:$C),0)))/(INDEX($B:$B,MATCH(ROW()-MOD(ROW()-ROW($C$2),3),ROW($C:$C),0)+3)-INDEX($B:$B,MATCH(ROW()-MOD(ROW()-ROW($C$2),3),ROW($C:$C),0)))*(INDEX($C:$C,MATCH(ROW()-MOD(ROW()-ROW($C$2),3),ROW($C:$C),0)+3)-INDEX($C:$C,MATCH(ROW()-MOD(ROW()-ROW($C$2),3),ROW($C:$C),0)))</f>
        <v>166689.32414316</v>
      </c>
    </row>
    <row r="286" spans="1:3">
      <c r="A286" s="358">
        <f t="shared" si="9"/>
        <v>45536</v>
      </c>
      <c r="B286" s="356" t="str">
        <f t="shared" si="8"/>
        <v>2024-09-01</v>
      </c>
      <c r="C286" s="356" cm="1">
        <f t="array" ref="C286">INDEX($C:$C,MATCH(ROW()-MOD(ROW()-ROW($C$2),3),ROW($C:$C),0))+(B286-INDEX($B:$B,MATCH(ROW()-MOD(ROW()-ROW($C$2),3),ROW($C:$C),0)))/(INDEX($B:$B,MATCH(ROW()-MOD(ROW()-ROW($C$2),3),ROW($C:$C),0)+3)-INDEX($B:$B,MATCH(ROW()-MOD(ROW()-ROW($C$2),3),ROW($C:$C),0)))*(INDEX($C:$C,MATCH(ROW()-MOD(ROW()-ROW($C$2),3),ROW($C:$C),0)+3)-INDEX($C:$C,MATCH(ROW()-MOD(ROW()-ROW($C$2),3),ROW($C:$C),0)))</f>
        <v>166525.552779007</v>
      </c>
    </row>
    <row r="287" spans="1:3">
      <c r="A287" s="358">
        <f t="shared" si="9"/>
        <v>45566</v>
      </c>
      <c r="B287" s="356" t="str">
        <f t="shared" si="8"/>
        <v>2024-10-01</v>
      </c>
      <c r="C287" s="356">
        <f>VLOOKUP(B287,'Final Cle'!$C$2:$D$103,2,FALSE)</f>
        <v>166367.064362084</v>
      </c>
    </row>
    <row r="288" spans="1:3">
      <c r="A288" s="358">
        <f t="shared" si="9"/>
        <v>45597</v>
      </c>
      <c r="B288" s="356" t="str">
        <f t="shared" si="8"/>
        <v>2024-11-01</v>
      </c>
      <c r="C288" s="356" cm="1">
        <f t="array" ref="C288">INDEX($C:$C,MATCH(ROW()-MOD(ROW()-ROW($C$2),3),ROW($C:$C),0))+(B288-INDEX($B:$B,MATCH(ROW()-MOD(ROW()-ROW($C$2),3),ROW($C:$C),0)))/(INDEX($B:$B,MATCH(ROW()-MOD(ROW()-ROW($C$2),3),ROW($C:$C),0)+3)-INDEX($B:$B,MATCH(ROW()-MOD(ROW()-ROW($C$2),3),ROW($C:$C),0)))*(INDEX($C:$C,MATCH(ROW()-MOD(ROW()-ROW($C$2),3),ROW($C:$C),0)+3)-INDEX($C:$C,MATCH(ROW()-MOD(ROW()-ROW($C$2),3),ROW($C:$C),0)))</f>
        <v>165797.753611776</v>
      </c>
    </row>
    <row r="289" spans="1:3">
      <c r="A289" s="358">
        <f t="shared" si="9"/>
        <v>45627</v>
      </c>
      <c r="B289" s="356" t="str">
        <f t="shared" si="8"/>
        <v>2024-12-01</v>
      </c>
      <c r="C289" s="356" cm="1">
        <f t="array" ref="C289">INDEX($C:$C,MATCH(ROW()-MOD(ROW()-ROW($C$2),3),ROW($C:$C),0))+(B289-INDEX($B:$B,MATCH(ROW()-MOD(ROW()-ROW($C$2),3),ROW($C:$C),0)))/(INDEX($B:$B,MATCH(ROW()-MOD(ROW()-ROW($C$2),3),ROW($C:$C),0)+3)-INDEX($B:$B,MATCH(ROW()-MOD(ROW()-ROW($C$2),3),ROW($C:$C),0)))*(INDEX($C:$C,MATCH(ROW()-MOD(ROW()-ROW($C$2),3),ROW($C:$C),0)+3)-INDEX($C:$C,MATCH(ROW()-MOD(ROW()-ROW($C$2),3),ROW($C:$C),0)))</f>
        <v>165246.80772438</v>
      </c>
    </row>
    <row r="290" spans="1:3">
      <c r="A290" s="358">
        <f t="shared" si="9"/>
        <v>45658</v>
      </c>
      <c r="B290" s="356" t="str">
        <f t="shared" si="8"/>
        <v>2025-01-01</v>
      </c>
      <c r="C290" s="356">
        <f>VLOOKUP(B290,'Final Cle'!$C$2:$D$103,2,FALSE)</f>
        <v>164677.496974072</v>
      </c>
    </row>
    <row r="291" spans="1:3">
      <c r="A291" s="358">
        <f t="shared" si="9"/>
        <v>45689</v>
      </c>
      <c r="B291" s="356" t="str">
        <f t="shared" si="8"/>
        <v>2025-02-01</v>
      </c>
      <c r="C291" s="356" cm="1">
        <f t="array" ref="C291">INDEX($C:$C,MATCH(ROW()-MOD(ROW()-ROW($C$2),3),ROW($C:$C),0))+(B291-INDEX($B:$B,MATCH(ROW()-MOD(ROW()-ROW($C$2),3),ROW($C:$C),0)))/(INDEX($B:$B,MATCH(ROW()-MOD(ROW()-ROW($C$2),3),ROW($C:$C),0)+3)-INDEX($B:$B,MATCH(ROW()-MOD(ROW()-ROW($C$2),3),ROW($C:$C),0)))*(INDEX($C:$C,MATCH(ROW()-MOD(ROW()-ROW($C$2),3),ROW($C:$C),0)+3)-INDEX($C:$C,MATCH(ROW()-MOD(ROW()-ROW($C$2),3),ROW($C:$C),0)))</f>
        <v>166523.823841329</v>
      </c>
    </row>
    <row r="292" spans="1:3">
      <c r="A292" s="358">
        <f t="shared" si="9"/>
        <v>45717</v>
      </c>
      <c r="B292" s="356" t="str">
        <f t="shared" si="8"/>
        <v>2025-03-01</v>
      </c>
      <c r="C292" s="356" cm="1">
        <f t="array" ref="C292">INDEX($C:$C,MATCH(ROW()-MOD(ROW()-ROW($C$2),3),ROW($C:$C),0))+(B292-INDEX($B:$B,MATCH(ROW()-MOD(ROW()-ROW($C$2),3),ROW($C:$C),0)))/(INDEX($B:$B,MATCH(ROW()-MOD(ROW()-ROW($C$2),3),ROW($C:$C),0)+3)-INDEX($B:$B,MATCH(ROW()-MOD(ROW()-ROW($C$2),3),ROW($C:$C),0)))*(INDEX($C:$C,MATCH(ROW()-MOD(ROW()-ROW($C$2),3),ROW($C:$C),0)+3)-INDEX($C:$C,MATCH(ROW()-MOD(ROW()-ROW($C$2),3),ROW($C:$C),0)))</f>
        <v>168191.473914981</v>
      </c>
    </row>
    <row r="293" spans="1:3">
      <c r="A293" s="358">
        <f t="shared" si="9"/>
        <v>45748</v>
      </c>
      <c r="B293" s="356" t="str">
        <f t="shared" si="8"/>
        <v>2025-04-01</v>
      </c>
      <c r="C293" s="356">
        <f>VLOOKUP(B293,'Final Cle'!$C$2:$D$103,2,FALSE)</f>
        <v>170037.800782238</v>
      </c>
    </row>
    <row r="294" spans="1:3">
      <c r="A294" s="358">
        <f t="shared" si="9"/>
        <v>45778</v>
      </c>
      <c r="B294" s="356" t="str">
        <f t="shared" si="8"/>
        <v>2025-05-01</v>
      </c>
      <c r="C294" s="356" cm="1">
        <f t="array" ref="C294">INDEX($C:$C,MATCH(ROW()-MOD(ROW()-ROW($C$2),3),ROW($C:$C),0))+(B294-INDEX($B:$B,MATCH(ROW()-MOD(ROW()-ROW($C$2),3),ROW($C:$C),0)))/(INDEX($B:$B,MATCH(ROW()-MOD(ROW()-ROW($C$2),3),ROW($C:$C),0)+3)-INDEX($B:$B,MATCH(ROW()-MOD(ROW()-ROW($C$2),3),ROW($C:$C),0)))*(INDEX($C:$C,MATCH(ROW()-MOD(ROW()-ROW($C$2),3),ROW($C:$C),0)+3)-INDEX($C:$C,MATCH(ROW()-MOD(ROW()-ROW($C$2),3),ROW($C:$C),0)))</f>
        <v>170865.036667709</v>
      </c>
    </row>
    <row r="295" spans="1:3">
      <c r="A295" s="358">
        <f t="shared" si="9"/>
        <v>45809</v>
      </c>
      <c r="B295" s="356" t="str">
        <f t="shared" si="8"/>
        <v>2025-06-01</v>
      </c>
      <c r="C295" s="356" cm="1">
        <f t="array" ref="C295">INDEX($C:$C,MATCH(ROW()-MOD(ROW()-ROW($C$2),3),ROW($C:$C),0))+(B295-INDEX($B:$B,MATCH(ROW()-MOD(ROW()-ROW($C$2),3),ROW($C:$C),0)))/(INDEX($B:$B,MATCH(ROW()-MOD(ROW()-ROW($C$2),3),ROW($C:$C),0)+3)-INDEX($B:$B,MATCH(ROW()-MOD(ROW()-ROW($C$2),3),ROW($C:$C),0)))*(INDEX($C:$C,MATCH(ROW()-MOD(ROW()-ROW($C$2),3),ROW($C:$C),0)+3)-INDEX($C:$C,MATCH(ROW()-MOD(ROW()-ROW($C$2),3),ROW($C:$C),0)))</f>
        <v>171719.847082697</v>
      </c>
    </row>
    <row r="296" spans="1:3">
      <c r="A296" s="358">
        <f t="shared" si="9"/>
        <v>45839</v>
      </c>
      <c r="B296" s="356" t="str">
        <f t="shared" si="8"/>
        <v>2025-07-01</v>
      </c>
      <c r="C296" s="356">
        <f>VLOOKUP(B296,'Final Cle'!$C$2:$D$103,2,FALSE)</f>
        <v>172547.082968168</v>
      </c>
    </row>
    <row r="297" spans="1:3">
      <c r="A297" s="358">
        <f t="shared" si="9"/>
        <v>45870</v>
      </c>
      <c r="B297" s="356" t="str">
        <f t="shared" si="8"/>
        <v>2025-08-01</v>
      </c>
      <c r="C297" s="356" cm="1">
        <f t="array" ref="C297">INDEX($C:$C,MATCH(ROW()-MOD(ROW()-ROW($C$2),3),ROW($C:$C),0))+(B297-INDEX($B:$B,MATCH(ROW()-MOD(ROW()-ROW($C$2),3),ROW($C:$C),0)))/(INDEX($B:$B,MATCH(ROW()-MOD(ROW()-ROW($C$2),3),ROW($C:$C),0)+3)-INDEX($B:$B,MATCH(ROW()-MOD(ROW()-ROW($C$2),3),ROW($C:$C),0)))*(INDEX($C:$C,MATCH(ROW()-MOD(ROW()-ROW($C$2),3),ROW($C:$C),0)+3)-INDEX($C:$C,MATCH(ROW()-MOD(ROW()-ROW($C$2),3),ROW($C:$C),0)))</f>
        <v>172213.893419631</v>
      </c>
    </row>
    <row r="298" spans="1:3">
      <c r="A298" s="358">
        <f t="shared" si="9"/>
        <v>45901</v>
      </c>
      <c r="B298" s="356" t="str">
        <f t="shared" si="8"/>
        <v>2025-09-01</v>
      </c>
      <c r="C298" s="356" cm="1">
        <f t="array" ref="C298">INDEX($C:$C,MATCH(ROW()-MOD(ROW()-ROW($C$2),3),ROW($C:$C),0))+(B298-INDEX($B:$B,MATCH(ROW()-MOD(ROW()-ROW($C$2),3),ROW($C:$C),0)))/(INDEX($B:$B,MATCH(ROW()-MOD(ROW()-ROW($C$2),3),ROW($C:$C),0)+3)-INDEX($B:$B,MATCH(ROW()-MOD(ROW()-ROW($C$2),3),ROW($C:$C),0)))*(INDEX($C:$C,MATCH(ROW()-MOD(ROW()-ROW($C$2),3),ROW($C:$C),0)+3)-INDEX($C:$C,MATCH(ROW()-MOD(ROW()-ROW($C$2),3),ROW($C:$C),0)))</f>
        <v>171880.703871095</v>
      </c>
    </row>
    <row r="299" spans="1:3">
      <c r="A299" s="358">
        <f t="shared" si="9"/>
        <v>45931</v>
      </c>
      <c r="B299" s="356" t="str">
        <f t="shared" si="8"/>
        <v>2025-10-01</v>
      </c>
      <c r="C299" s="356">
        <f>VLOOKUP(B299,'Final Cle'!$C$2:$D$103,2,FALSE)</f>
        <v>171558.262372511</v>
      </c>
    </row>
    <row r="300" spans="1:3">
      <c r="A300" s="358">
        <f t="shared" si="9"/>
        <v>45962</v>
      </c>
      <c r="B300" s="356" t="str">
        <f t="shared" si="8"/>
        <v>2025-11-01</v>
      </c>
      <c r="C300" s="356" cm="1">
        <f t="array" ref="C300">INDEX($C:$C,MATCH(ROW()-MOD(ROW()-ROW($C$2),3),ROW($C:$C),0))+(B300-INDEX($B:$B,MATCH(ROW()-MOD(ROW()-ROW($C$2),3),ROW($C:$C),0)))/(INDEX($B:$B,MATCH(ROW()-MOD(ROW()-ROW($C$2),3),ROW($C:$C),0)+3)-INDEX($B:$B,MATCH(ROW()-MOD(ROW()-ROW($C$2),3),ROW($C:$C),0)))*(INDEX($C:$C,MATCH(ROW()-MOD(ROW()-ROW($C$2),3),ROW($C:$C),0)+3)-INDEX($C:$C,MATCH(ROW()-MOD(ROW()-ROW($C$2),3),ROW($C:$C),0)))</f>
        <v>175023.296804298</v>
      </c>
    </row>
    <row r="301" spans="1:3">
      <c r="A301" s="358">
        <f t="shared" si="9"/>
        <v>45992</v>
      </c>
      <c r="B301" s="356" t="str">
        <f t="shared" si="8"/>
        <v>2025-12-01</v>
      </c>
      <c r="C301" s="356" cm="1">
        <f t="array" ref="C301">INDEX($C:$C,MATCH(ROW()-MOD(ROW()-ROW($C$2),3),ROW($C:$C),0))+(B301-INDEX($B:$B,MATCH(ROW()-MOD(ROW()-ROW($C$2),3),ROW($C:$C),0)))/(INDEX($B:$B,MATCH(ROW()-MOD(ROW()-ROW($C$2),3),ROW($C:$C),0)+3)-INDEX($B:$B,MATCH(ROW()-MOD(ROW()-ROW($C$2),3),ROW($C:$C),0)))*(INDEX($C:$C,MATCH(ROW()-MOD(ROW()-ROW($C$2),3),ROW($C:$C),0)+3)-INDEX($C:$C,MATCH(ROW()-MOD(ROW()-ROW($C$2),3),ROW($C:$C),0)))</f>
        <v>178376.555931834</v>
      </c>
    </row>
    <row r="302" spans="1:3">
      <c r="A302" s="358">
        <f t="shared" si="9"/>
        <v>46023</v>
      </c>
      <c r="B302" s="356" t="str">
        <f t="shared" si="8"/>
        <v>2026-01-01</v>
      </c>
      <c r="C302" s="356">
        <f>VLOOKUP(B302,'Final Cle'!$C$2:$D$103,2,FALSE)</f>
        <v>181841.590363621</v>
      </c>
    </row>
    <row r="303" spans="1:3">
      <c r="A303" s="358">
        <f t="shared" si="9"/>
        <v>46054</v>
      </c>
      <c r="B303" s="356" t="str">
        <f t="shared" si="8"/>
        <v>2026-02-01</v>
      </c>
      <c r="C303" s="356" cm="1">
        <f t="array" ref="C303">INDEX($C:$C,MATCH(ROW()-MOD(ROW()-ROW($C$2),3),ROW($C:$C),0))+(B303-INDEX($B:$B,MATCH(ROW()-MOD(ROW()-ROW($C$2),3),ROW($C:$C),0)))/(INDEX($B:$B,MATCH(ROW()-MOD(ROW()-ROW($C$2),3),ROW($C:$C),0)+3)-INDEX($B:$B,MATCH(ROW()-MOD(ROW()-ROW($C$2),3),ROW($C:$C),0)))*(INDEX($C:$C,MATCH(ROW()-MOD(ROW()-ROW($C$2),3),ROW($C:$C),0)+3)-INDEX($C:$C,MATCH(ROW()-MOD(ROW()-ROW($C$2),3),ROW($C:$C),0)))</f>
        <v>182164.21377974</v>
      </c>
    </row>
    <row r="304" spans="1:3">
      <c r="A304" s="358">
        <f t="shared" si="9"/>
        <v>46082</v>
      </c>
      <c r="B304" s="356" t="str">
        <f t="shared" si="8"/>
        <v>2026-03-01</v>
      </c>
      <c r="C304" s="356" cm="1">
        <f t="array" ref="C304">INDEX($C:$C,MATCH(ROW()-MOD(ROW()-ROW($C$2),3),ROW($C:$C),0))+(B304-INDEX($B:$B,MATCH(ROW()-MOD(ROW()-ROW($C$2),3),ROW($C:$C),0)))/(INDEX($B:$B,MATCH(ROW()-MOD(ROW()-ROW($C$2),3),ROW($C:$C),0)+3)-INDEX($B:$B,MATCH(ROW()-MOD(ROW()-ROW($C$2),3),ROW($C:$C),0)))*(INDEX($C:$C,MATCH(ROW()-MOD(ROW()-ROW($C$2),3),ROW($C:$C),0)+3)-INDEX($C:$C,MATCH(ROW()-MOD(ROW()-ROW($C$2),3),ROW($C:$C),0)))</f>
        <v>182455.615574945</v>
      </c>
    </row>
    <row r="305" spans="1:3">
      <c r="A305" s="358">
        <f t="shared" si="9"/>
        <v>46113</v>
      </c>
      <c r="B305" s="356" t="str">
        <f t="shared" si="8"/>
        <v>2026-04-01</v>
      </c>
      <c r="C305" s="356">
        <f>VLOOKUP(B305,'Final Cle'!$C$2:$D$103,2,FALSE)</f>
        <v>182778.238991064</v>
      </c>
    </row>
    <row r="306" spans="1:3">
      <c r="A306" s="358">
        <f t="shared" si="9"/>
        <v>46143</v>
      </c>
      <c r="B306" s="356" t="str">
        <f t="shared" si="8"/>
        <v>2026-05-01</v>
      </c>
      <c r="C306" s="356"/>
    </row>
    <row r="307" spans="1:3">
      <c r="A307" s="358">
        <f t="shared" si="9"/>
        <v>46174</v>
      </c>
      <c r="B307" s="356" t="str">
        <f t="shared" si="8"/>
        <v>2026-06-01</v>
      </c>
      <c r="C307" s="356"/>
    </row>
    <row r="308" spans="1:3">
      <c r="A308" s="358">
        <f t="shared" si="9"/>
        <v>46204</v>
      </c>
      <c r="B308" s="356" t="str">
        <f t="shared" si="8"/>
        <v>2026-07-01</v>
      </c>
      <c r="C308" s="356"/>
    </row>
    <row r="309" spans="1:3">
      <c r="A309" s="358">
        <f t="shared" si="9"/>
        <v>46235</v>
      </c>
      <c r="B309" s="356" t="str">
        <f t="shared" si="8"/>
        <v>2026-08-01</v>
      </c>
      <c r="C309" s="356"/>
    </row>
    <row r="310" spans="1:3">
      <c r="A310" s="358">
        <f t="shared" si="9"/>
        <v>46266</v>
      </c>
      <c r="B310" s="356" t="str">
        <f t="shared" si="8"/>
        <v>2026-09-01</v>
      </c>
      <c r="C310" s="356"/>
    </row>
    <row r="311" spans="1:3">
      <c r="A311" s="358">
        <f t="shared" si="9"/>
        <v>46296</v>
      </c>
      <c r="B311" s="356" t="str">
        <f t="shared" si="8"/>
        <v>2026-10-01</v>
      </c>
      <c r="C311" s="356"/>
    </row>
    <row r="312" spans="1:3">
      <c r="A312" s="358">
        <f t="shared" si="9"/>
        <v>46327</v>
      </c>
      <c r="B312" s="356" t="str">
        <f t="shared" si="8"/>
        <v>2026-11-01</v>
      </c>
      <c r="C312" s="356"/>
    </row>
    <row r="313" spans="1:3">
      <c r="A313" s="358">
        <f t="shared" si="9"/>
        <v>46357</v>
      </c>
      <c r="B313" s="356" t="str">
        <f t="shared" si="8"/>
        <v>2026-12-01</v>
      </c>
      <c r="C313" s="356"/>
    </row>
    <row r="314" spans="1:3">
      <c r="A314" s="358"/>
    </row>
    <row r="315" spans="1:3">
      <c r="A315" s="358"/>
    </row>
    <row r="316" spans="1:3">
      <c r="A316" s="358"/>
    </row>
    <row r="317" spans="1:3">
      <c r="A317" s="358"/>
    </row>
    <row r="318" spans="1:3">
      <c r="A318" s="358"/>
    </row>
    <row r="319" spans="1:3">
      <c r="A319" s="358"/>
    </row>
    <row r="320" spans="1:3">
      <c r="A320" s="358"/>
    </row>
    <row r="321" spans="1:1">
      <c r="A321" s="358"/>
    </row>
    <row r="322" spans="1:1">
      <c r="A322" s="358"/>
    </row>
    <row r="323" spans="1:1">
      <c r="A323" s="358"/>
    </row>
    <row r="324" spans="1:1">
      <c r="A324" s="358"/>
    </row>
    <row r="325" spans="1:1">
      <c r="A325" s="358"/>
    </row>
    <row r="326" spans="1:1">
      <c r="A326" s="358"/>
    </row>
    <row r="327" spans="1:1">
      <c r="A327" s="358"/>
    </row>
    <row r="328" spans="1:1">
      <c r="A328" s="358"/>
    </row>
    <row r="329" spans="1:1">
      <c r="A329" s="358"/>
    </row>
    <row r="330" spans="1:1">
      <c r="A330" s="358"/>
    </row>
    <row r="331" spans="1:1">
      <c r="A331" s="358"/>
    </row>
    <row r="332" spans="1:1">
      <c r="A332" s="358"/>
    </row>
    <row r="333" spans="1:1">
      <c r="A333" s="358"/>
    </row>
    <row r="334" spans="1:1">
      <c r="A334" s="358"/>
    </row>
    <row r="335" spans="1:1">
      <c r="A335" s="358"/>
    </row>
    <row r="336" spans="1:1">
      <c r="A336" s="358"/>
    </row>
  </sheetData>
  <autoFilter xmlns:etc="http://www.wps.cn/officeDocument/2017/etCustomData" ref="A1:C313" etc:filterBottomFollowUsedRange="0">
    <extLst/>
  </autoFilter>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3"/>
  <sheetViews>
    <sheetView workbookViewId="0">
      <selection activeCell="D1" sqref="D1"/>
    </sheetView>
  </sheetViews>
  <sheetFormatPr defaultColWidth="9" defaultRowHeight="16.8" outlineLevelCol="3"/>
  <cols>
    <col min="1" max="1" width="9.625"/>
    <col min="2" max="2" width="12.6875"/>
    <col min="3" max="3" width="11" customWidth="1"/>
    <col min="4" max="4" width="12.6875"/>
  </cols>
  <sheetData>
    <row r="1" spans="1:4">
      <c r="A1" t="s">
        <v>3</v>
      </c>
      <c r="B1" t="str">
        <f>'1. standard presentation'!A4</f>
        <v>External debt</v>
      </c>
      <c r="C1" s="353" t="s">
        <v>4</v>
      </c>
      <c r="D1" s="353" t="str">
        <f>B1</f>
        <v>External debt</v>
      </c>
    </row>
    <row r="2" spans="1:4">
      <c r="A2" s="354">
        <v>36892</v>
      </c>
      <c r="B2" s="355" cm="1">
        <f t="array" ref="B2:B103">TRANSPOSE('1. standard presentation'!C4:CZ4)</f>
        <v>12634.5724124027</v>
      </c>
      <c r="C2" t="str">
        <f>TEXT(A2,"yyyy-mm-01")</f>
        <v>2001-01-01</v>
      </c>
      <c r="D2" s="355">
        <f t="shared" ref="D2:D65" si="0">B2</f>
        <v>12634.5724124027</v>
      </c>
    </row>
    <row r="3" spans="1:4">
      <c r="A3" s="354">
        <v>36982</v>
      </c>
      <c r="B3" s="355">
        <v>12983.1167482793</v>
      </c>
      <c r="C3" t="str">
        <f t="shared" ref="C2:C65" si="1">TEXT(A3,"yyyy-mm-01")</f>
        <v>2001-04-01</v>
      </c>
      <c r="D3" s="355">
        <f t="shared" si="0"/>
        <v>12983.1167482793</v>
      </c>
    </row>
    <row r="4" spans="1:4">
      <c r="A4" s="354">
        <v>37073</v>
      </c>
      <c r="B4" s="355">
        <v>13541.6251715286</v>
      </c>
      <c r="C4" s="356" t="str">
        <f t="shared" si="1"/>
        <v>2001-07-01</v>
      </c>
      <c r="D4" s="355">
        <f t="shared" si="0"/>
        <v>13541.6251715286</v>
      </c>
    </row>
    <row r="5" spans="1:4">
      <c r="A5" s="354">
        <v>37165</v>
      </c>
      <c r="B5" s="355">
        <v>14338.8709326492</v>
      </c>
      <c r="C5" s="356" t="str">
        <f t="shared" si="1"/>
        <v>2001-10-01</v>
      </c>
      <c r="D5" s="355">
        <f t="shared" si="0"/>
        <v>14338.8709326492</v>
      </c>
    </row>
    <row r="6" spans="1:4">
      <c r="A6" s="354">
        <v>37257</v>
      </c>
      <c r="B6" s="355">
        <v>15008.1854201774</v>
      </c>
      <c r="C6" s="356" t="str">
        <f t="shared" si="1"/>
        <v>2002-01-01</v>
      </c>
      <c r="D6" s="355">
        <f t="shared" si="0"/>
        <v>15008.1854201774</v>
      </c>
    </row>
    <row r="7" spans="1:4">
      <c r="A7" s="354">
        <v>37347</v>
      </c>
      <c r="B7" s="355">
        <v>15367.4853490671</v>
      </c>
      <c r="C7" s="356" t="str">
        <f t="shared" si="1"/>
        <v>2002-04-01</v>
      </c>
      <c r="D7" s="355">
        <f t="shared" si="0"/>
        <v>15367.4853490671</v>
      </c>
    </row>
    <row r="8" spans="1:4">
      <c r="A8" s="354">
        <v>37438</v>
      </c>
      <c r="B8" s="355">
        <v>16249.6685517109</v>
      </c>
      <c r="C8" s="356" t="str">
        <f t="shared" si="1"/>
        <v>2002-07-01</v>
      </c>
      <c r="D8" s="355">
        <f t="shared" si="0"/>
        <v>16249.6685517109</v>
      </c>
    </row>
    <row r="9" spans="1:4">
      <c r="A9" s="354">
        <v>37530</v>
      </c>
      <c r="B9" s="355">
        <v>17136.1421988694</v>
      </c>
      <c r="C9" s="356" t="str">
        <f t="shared" si="1"/>
        <v>2002-10-01</v>
      </c>
      <c r="D9" s="355">
        <f t="shared" si="0"/>
        <v>17136.1421988694</v>
      </c>
    </row>
    <row r="10" spans="1:4">
      <c r="A10" s="354">
        <v>37622</v>
      </c>
      <c r="B10" s="355">
        <v>18134.7809872964</v>
      </c>
      <c r="C10" s="356" t="str">
        <f t="shared" si="1"/>
        <v>2003-01-01</v>
      </c>
      <c r="D10" s="355">
        <f t="shared" si="0"/>
        <v>18134.7809872964</v>
      </c>
    </row>
    <row r="11" spans="1:4">
      <c r="A11" s="354">
        <v>37712</v>
      </c>
      <c r="B11" s="355">
        <v>18733.5708551513</v>
      </c>
      <c r="C11" s="356" t="str">
        <f t="shared" si="1"/>
        <v>2003-04-01</v>
      </c>
      <c r="D11" s="355">
        <f t="shared" si="0"/>
        <v>18733.5708551513</v>
      </c>
    </row>
    <row r="12" spans="1:4">
      <c r="A12" s="354">
        <v>37803</v>
      </c>
      <c r="B12" s="355">
        <v>20043.1166307838</v>
      </c>
      <c r="C12" s="356" t="str">
        <f t="shared" si="1"/>
        <v>2003-07-01</v>
      </c>
      <c r="D12" s="355">
        <f t="shared" si="0"/>
        <v>20043.1166307838</v>
      </c>
    </row>
    <row r="13" spans="1:4">
      <c r="A13" s="354">
        <v>37895</v>
      </c>
      <c r="B13" s="355">
        <v>21619.5092194364</v>
      </c>
      <c r="C13" s="356" t="str">
        <f t="shared" si="1"/>
        <v>2003-10-01</v>
      </c>
      <c r="D13" s="355">
        <f t="shared" si="0"/>
        <v>21619.5092194364</v>
      </c>
    </row>
    <row r="14" spans="1:4">
      <c r="A14" s="354">
        <v>37987</v>
      </c>
      <c r="B14" s="355">
        <v>23089.2926089818</v>
      </c>
      <c r="C14" s="356" t="str">
        <f t="shared" si="1"/>
        <v>2004-01-01</v>
      </c>
      <c r="D14" s="355">
        <f t="shared" si="0"/>
        <v>23089.2926089818</v>
      </c>
    </row>
    <row r="15" spans="1:4">
      <c r="A15" s="354">
        <v>38078</v>
      </c>
      <c r="B15" s="355">
        <v>24260.021287952</v>
      </c>
      <c r="C15" s="356" t="str">
        <f t="shared" si="1"/>
        <v>2004-04-01</v>
      </c>
      <c r="D15" s="355">
        <f t="shared" si="0"/>
        <v>24260.021287952</v>
      </c>
    </row>
    <row r="16" spans="1:4">
      <c r="A16" s="354">
        <v>38169</v>
      </c>
      <c r="B16" s="355">
        <v>25732.8958790402</v>
      </c>
      <c r="C16" s="356" t="str">
        <f t="shared" si="1"/>
        <v>2004-07-01</v>
      </c>
      <c r="D16" s="355">
        <f t="shared" si="0"/>
        <v>25732.8958790402</v>
      </c>
    </row>
    <row r="17" spans="1:4">
      <c r="A17" s="354">
        <v>38261</v>
      </c>
      <c r="B17" s="355">
        <v>27150.5702954628</v>
      </c>
      <c r="C17" s="356" t="str">
        <f t="shared" si="1"/>
        <v>2004-10-01</v>
      </c>
      <c r="D17" s="355">
        <f t="shared" si="0"/>
        <v>27150.5702954628</v>
      </c>
    </row>
    <row r="18" spans="1:4">
      <c r="A18" s="354">
        <v>38353</v>
      </c>
      <c r="B18" s="355">
        <v>32723.7305243752</v>
      </c>
      <c r="C18" s="356" t="str">
        <f t="shared" si="1"/>
        <v>2005-01-01</v>
      </c>
      <c r="D18" s="355">
        <f t="shared" si="0"/>
        <v>32723.7305243752</v>
      </c>
    </row>
    <row r="19" spans="1:4">
      <c r="A19" s="354">
        <v>38443</v>
      </c>
      <c r="B19" s="355">
        <v>34256.1035053606</v>
      </c>
      <c r="C19" s="356" t="str">
        <f t="shared" si="1"/>
        <v>2005-04-01</v>
      </c>
      <c r="D19" s="355">
        <f t="shared" si="0"/>
        <v>34256.1035053606</v>
      </c>
    </row>
    <row r="20" spans="1:4">
      <c r="A20" s="354">
        <v>38534</v>
      </c>
      <c r="B20" s="355">
        <v>35724.6922458321</v>
      </c>
      <c r="C20" s="356" t="str">
        <f t="shared" si="1"/>
        <v>2005-07-01</v>
      </c>
      <c r="D20" s="355">
        <f t="shared" si="0"/>
        <v>35724.6922458321</v>
      </c>
    </row>
    <row r="21" spans="1:4">
      <c r="A21" s="354">
        <v>38626</v>
      </c>
      <c r="B21" s="355">
        <v>38277.6112560426</v>
      </c>
      <c r="C21" s="356" t="str">
        <f t="shared" si="1"/>
        <v>2005-10-01</v>
      </c>
      <c r="D21" s="355">
        <f t="shared" si="0"/>
        <v>38277.6112560426</v>
      </c>
    </row>
    <row r="22" spans="1:4">
      <c r="A22" s="354">
        <v>38718</v>
      </c>
      <c r="B22" s="355">
        <v>43428.5277531855</v>
      </c>
      <c r="C22" s="356" t="str">
        <f t="shared" si="1"/>
        <v>2006-01-01</v>
      </c>
      <c r="D22" s="355">
        <f t="shared" si="0"/>
        <v>43428.5277531855</v>
      </c>
    </row>
    <row r="23" spans="1:4">
      <c r="A23" s="354">
        <v>38808</v>
      </c>
      <c r="B23" s="355">
        <v>48369.4733409359</v>
      </c>
      <c r="C23" s="356" t="str">
        <f t="shared" si="1"/>
        <v>2006-04-01</v>
      </c>
      <c r="D23" s="355">
        <f t="shared" si="0"/>
        <v>48369.4733409359</v>
      </c>
    </row>
    <row r="24" spans="1:4">
      <c r="A24" s="354">
        <v>38899</v>
      </c>
      <c r="B24" s="355">
        <v>53969.6449467839</v>
      </c>
      <c r="C24" s="356" t="str">
        <f t="shared" si="1"/>
        <v>2006-07-01</v>
      </c>
      <c r="D24" s="355">
        <f t="shared" si="0"/>
        <v>53969.6449467839</v>
      </c>
    </row>
    <row r="25" spans="1:4">
      <c r="A25" s="354">
        <v>38991</v>
      </c>
      <c r="B25" s="355">
        <v>60146.5989786275</v>
      </c>
      <c r="C25" s="356" t="str">
        <f t="shared" si="1"/>
        <v>2006-10-01</v>
      </c>
      <c r="D25" s="355">
        <f t="shared" si="0"/>
        <v>60146.5989786275</v>
      </c>
    </row>
    <row r="26" spans="1:4">
      <c r="A26" s="354">
        <v>39083</v>
      </c>
      <c r="B26" s="355">
        <v>74014.0899471573</v>
      </c>
      <c r="C26" s="356" t="str">
        <f t="shared" si="1"/>
        <v>2007-01-01</v>
      </c>
      <c r="D26" s="355">
        <f t="shared" si="0"/>
        <v>74014.0899471573</v>
      </c>
    </row>
    <row r="27" spans="1:4">
      <c r="A27" s="354">
        <v>39173</v>
      </c>
      <c r="B27" s="355">
        <v>81905.9128971838</v>
      </c>
      <c r="C27" s="356" t="str">
        <f t="shared" si="1"/>
        <v>2007-04-01</v>
      </c>
      <c r="D27" s="355">
        <f t="shared" si="0"/>
        <v>81905.9128971838</v>
      </c>
    </row>
    <row r="28" spans="1:4">
      <c r="A28" s="354">
        <v>39264</v>
      </c>
      <c r="B28" s="355">
        <v>92367.9086233256</v>
      </c>
      <c r="C28" s="356" t="str">
        <f t="shared" si="1"/>
        <v>2007-07-01</v>
      </c>
      <c r="D28" s="355">
        <f t="shared" si="0"/>
        <v>92367.9086233256</v>
      </c>
    </row>
    <row r="29" spans="1:4">
      <c r="A29" s="354">
        <v>39356</v>
      </c>
      <c r="B29" s="355">
        <v>94248.3430965613</v>
      </c>
      <c r="C29" s="356" t="str">
        <f t="shared" si="1"/>
        <v>2007-10-01</v>
      </c>
      <c r="D29" s="355">
        <f t="shared" si="0"/>
        <v>94248.3430965613</v>
      </c>
    </row>
    <row r="30" spans="1:4">
      <c r="A30" s="354">
        <v>39448</v>
      </c>
      <c r="B30" s="355">
        <v>96893.0041769437</v>
      </c>
      <c r="C30" s="356" t="str">
        <f t="shared" si="1"/>
        <v>2008-01-01</v>
      </c>
      <c r="D30" s="355">
        <f t="shared" si="0"/>
        <v>96893.0041769437</v>
      </c>
    </row>
    <row r="31" spans="1:4">
      <c r="A31" s="354">
        <v>39539</v>
      </c>
      <c r="B31" s="355">
        <v>98877.3278747482</v>
      </c>
      <c r="C31" s="356" t="str">
        <f t="shared" si="1"/>
        <v>2008-04-01</v>
      </c>
      <c r="D31" s="355">
        <f t="shared" si="0"/>
        <v>98877.3278747482</v>
      </c>
    </row>
    <row r="32" spans="1:4">
      <c r="A32" s="354">
        <v>39630</v>
      </c>
      <c r="B32" s="355">
        <v>101204.662718111</v>
      </c>
      <c r="C32" s="356" t="str">
        <f t="shared" si="1"/>
        <v>2008-07-01</v>
      </c>
      <c r="D32" s="355">
        <f t="shared" si="0"/>
        <v>101204.662718111</v>
      </c>
    </row>
    <row r="33" spans="1:4">
      <c r="A33" s="354">
        <v>39722</v>
      </c>
      <c r="B33" s="355">
        <v>105995.32997562</v>
      </c>
      <c r="C33" s="356" t="str">
        <f t="shared" si="1"/>
        <v>2008-10-01</v>
      </c>
      <c r="D33" s="355">
        <f t="shared" si="0"/>
        <v>105995.32997562</v>
      </c>
    </row>
    <row r="34" spans="1:4">
      <c r="A34" s="354">
        <v>39814</v>
      </c>
      <c r="B34" s="355">
        <v>107933.377620652</v>
      </c>
      <c r="C34" s="356" t="str">
        <f t="shared" si="1"/>
        <v>2009-01-01</v>
      </c>
      <c r="D34" s="355">
        <f t="shared" si="0"/>
        <v>107933.377620652</v>
      </c>
    </row>
    <row r="35" spans="1:4">
      <c r="A35" s="354">
        <v>39904</v>
      </c>
      <c r="B35" s="355">
        <v>104803.672570564</v>
      </c>
      <c r="C35" s="356" t="str">
        <f t="shared" si="1"/>
        <v>2009-04-01</v>
      </c>
      <c r="D35" s="355">
        <f t="shared" si="0"/>
        <v>104803.672570564</v>
      </c>
    </row>
    <row r="36" spans="1:4">
      <c r="A36" s="354">
        <v>39995</v>
      </c>
      <c r="B36" s="355">
        <v>106675.740477653</v>
      </c>
      <c r="C36" s="356" t="str">
        <f t="shared" si="1"/>
        <v>2009-07-01</v>
      </c>
      <c r="D36" s="355">
        <f t="shared" si="0"/>
        <v>106675.740477653</v>
      </c>
    </row>
    <row r="37" spans="1:4">
      <c r="A37" s="354">
        <v>40087</v>
      </c>
      <c r="B37" s="355">
        <v>111527.936479366</v>
      </c>
      <c r="C37" s="356" t="str">
        <f t="shared" si="1"/>
        <v>2009-10-01</v>
      </c>
      <c r="D37" s="355">
        <f t="shared" si="0"/>
        <v>111527.936479366</v>
      </c>
    </row>
    <row r="38" spans="1:4">
      <c r="A38" s="354">
        <v>40179</v>
      </c>
      <c r="B38" s="355">
        <v>112866.889315032</v>
      </c>
      <c r="C38" s="356" t="str">
        <f t="shared" si="1"/>
        <v>2010-01-01</v>
      </c>
      <c r="D38" s="355">
        <f t="shared" si="0"/>
        <v>112866.889315032</v>
      </c>
    </row>
    <row r="39" spans="1:4">
      <c r="A39" s="354">
        <v>40269</v>
      </c>
      <c r="B39" s="355">
        <v>110861.490025558</v>
      </c>
      <c r="C39" s="356" t="str">
        <f t="shared" si="1"/>
        <v>2010-04-01</v>
      </c>
      <c r="D39" s="355">
        <f t="shared" si="0"/>
        <v>110861.490025558</v>
      </c>
    </row>
    <row r="40" spans="1:4">
      <c r="A40" s="354">
        <v>40360</v>
      </c>
      <c r="B40" s="355">
        <v>113619.656892894</v>
      </c>
      <c r="C40" s="356" t="str">
        <f t="shared" si="1"/>
        <v>2010-07-01</v>
      </c>
      <c r="D40" s="355">
        <f t="shared" si="0"/>
        <v>113619.656892894</v>
      </c>
    </row>
    <row r="41" spans="1:4">
      <c r="A41" s="354">
        <v>40452</v>
      </c>
      <c r="B41" s="355">
        <v>111518.693129942</v>
      </c>
      <c r="C41" s="356" t="str">
        <f t="shared" si="1"/>
        <v>2010-10-01</v>
      </c>
      <c r="D41" s="355">
        <f t="shared" si="0"/>
        <v>111518.693129942</v>
      </c>
    </row>
    <row r="42" spans="1:4">
      <c r="A42" s="354">
        <v>40544</v>
      </c>
      <c r="B42" s="355">
        <v>118222.763568799</v>
      </c>
      <c r="C42" s="356" t="str">
        <f t="shared" si="1"/>
        <v>2011-01-01</v>
      </c>
      <c r="D42" s="355">
        <f t="shared" si="0"/>
        <v>118222.763568799</v>
      </c>
    </row>
    <row r="43" spans="1:4">
      <c r="A43" s="354">
        <v>40634</v>
      </c>
      <c r="B43" s="355">
        <v>123359.159136885</v>
      </c>
      <c r="C43" s="356" t="str">
        <f t="shared" si="1"/>
        <v>2011-04-01</v>
      </c>
      <c r="D43" s="355">
        <f t="shared" si="0"/>
        <v>123359.159136885</v>
      </c>
    </row>
    <row r="44" spans="1:4">
      <c r="A44" s="354">
        <v>40725</v>
      </c>
      <c r="B44" s="355">
        <v>124897.278808213</v>
      </c>
      <c r="C44" s="356" t="str">
        <f t="shared" si="1"/>
        <v>2011-07-01</v>
      </c>
      <c r="D44" s="355">
        <f t="shared" si="0"/>
        <v>124897.278808213</v>
      </c>
    </row>
    <row r="45" spans="1:4">
      <c r="A45" s="354">
        <v>40817</v>
      </c>
      <c r="B45" s="355">
        <v>123708.361985878</v>
      </c>
      <c r="C45" s="356" t="str">
        <f t="shared" si="1"/>
        <v>2011-10-01</v>
      </c>
      <c r="D45" s="355">
        <f t="shared" si="0"/>
        <v>123708.361985878</v>
      </c>
    </row>
    <row r="46" spans="1:4">
      <c r="A46" s="354">
        <v>40909</v>
      </c>
      <c r="B46" s="355">
        <v>125320.777886505</v>
      </c>
      <c r="C46" s="356" t="str">
        <f t="shared" si="1"/>
        <v>2012-01-01</v>
      </c>
      <c r="D46" s="355">
        <f t="shared" si="0"/>
        <v>125320.777886505</v>
      </c>
    </row>
    <row r="47" spans="1:4">
      <c r="A47" s="354">
        <v>41000</v>
      </c>
      <c r="B47" s="355">
        <v>129154.054921039</v>
      </c>
      <c r="C47" s="356" t="str">
        <f t="shared" si="1"/>
        <v>2012-04-01</v>
      </c>
      <c r="D47" s="355">
        <f t="shared" si="0"/>
        <v>129154.054921039</v>
      </c>
    </row>
    <row r="48" spans="1:4">
      <c r="A48" s="354">
        <v>41091</v>
      </c>
      <c r="B48" s="355">
        <v>132535.864969187</v>
      </c>
      <c r="C48" s="356" t="str">
        <f t="shared" si="1"/>
        <v>2012-07-01</v>
      </c>
      <c r="D48" s="355">
        <f t="shared" si="0"/>
        <v>132535.864969187</v>
      </c>
    </row>
    <row r="49" spans="1:4">
      <c r="A49" s="354">
        <v>41183</v>
      </c>
      <c r="B49" s="355">
        <v>134414.115527453</v>
      </c>
      <c r="C49" s="356" t="str">
        <f t="shared" si="1"/>
        <v>2012-10-01</v>
      </c>
      <c r="D49" s="355">
        <f t="shared" si="0"/>
        <v>134414.115527453</v>
      </c>
    </row>
    <row r="50" spans="1:4">
      <c r="A50" s="354">
        <v>41275</v>
      </c>
      <c r="B50" s="355">
        <v>136918.219278678</v>
      </c>
      <c r="C50" s="356" t="str">
        <f t="shared" si="1"/>
        <v>2013-01-01</v>
      </c>
      <c r="D50" s="355">
        <f t="shared" si="0"/>
        <v>136918.219278678</v>
      </c>
    </row>
    <row r="51" spans="1:4">
      <c r="A51" s="354">
        <v>41365</v>
      </c>
      <c r="B51" s="355">
        <v>139691.461465112</v>
      </c>
      <c r="C51" s="356" t="str">
        <f t="shared" si="1"/>
        <v>2013-04-01</v>
      </c>
      <c r="D51" s="355">
        <f t="shared" si="0"/>
        <v>139691.461465112</v>
      </c>
    </row>
    <row r="52" spans="1:4">
      <c r="A52" s="354">
        <v>41456</v>
      </c>
      <c r="B52" s="355">
        <v>145554.801486473</v>
      </c>
      <c r="C52" s="356" t="str">
        <f t="shared" si="1"/>
        <v>2013-07-01</v>
      </c>
      <c r="D52" s="355">
        <f t="shared" si="0"/>
        <v>145554.801486473</v>
      </c>
    </row>
    <row r="53" spans="1:4">
      <c r="A53" s="354">
        <v>41548</v>
      </c>
      <c r="B53" s="355">
        <v>148162.713181078</v>
      </c>
      <c r="C53" s="356" t="str">
        <f t="shared" si="1"/>
        <v>2013-10-01</v>
      </c>
      <c r="D53" s="355">
        <f t="shared" si="0"/>
        <v>148162.713181078</v>
      </c>
    </row>
    <row r="54" spans="1:4">
      <c r="A54" s="354">
        <v>41640</v>
      </c>
      <c r="B54" s="355">
        <v>150032.867457001</v>
      </c>
      <c r="C54" s="356" t="str">
        <f t="shared" si="1"/>
        <v>2014-01-01</v>
      </c>
      <c r="D54" s="355">
        <f t="shared" si="0"/>
        <v>150032.867457001</v>
      </c>
    </row>
    <row r="55" spans="1:4">
      <c r="A55" s="354">
        <v>41730</v>
      </c>
      <c r="B55" s="355">
        <v>151504.678852765</v>
      </c>
      <c r="C55" s="356" t="str">
        <f t="shared" si="1"/>
        <v>2014-04-01</v>
      </c>
      <c r="D55" s="355">
        <f t="shared" si="0"/>
        <v>151504.678852765</v>
      </c>
    </row>
    <row r="56" spans="1:4">
      <c r="A56" s="354">
        <v>41821</v>
      </c>
      <c r="B56" s="355">
        <v>155583.922158574</v>
      </c>
      <c r="C56" s="356" t="str">
        <f t="shared" si="1"/>
        <v>2014-07-01</v>
      </c>
      <c r="D56" s="355">
        <f t="shared" si="0"/>
        <v>155583.922158574</v>
      </c>
    </row>
    <row r="57" spans="1:4">
      <c r="A57" s="354">
        <v>41913</v>
      </c>
      <c r="B57" s="355">
        <v>155674.878898309</v>
      </c>
      <c r="C57" s="356" t="str">
        <f t="shared" si="1"/>
        <v>2014-10-01</v>
      </c>
      <c r="D57" s="355">
        <f t="shared" si="0"/>
        <v>155674.878898309</v>
      </c>
    </row>
    <row r="58" spans="1:4">
      <c r="A58" s="354">
        <v>42005</v>
      </c>
      <c r="B58" s="355">
        <v>157114.532270664</v>
      </c>
      <c r="C58" s="356" t="str">
        <f t="shared" si="1"/>
        <v>2015-01-01</v>
      </c>
      <c r="D58" s="355">
        <f t="shared" si="0"/>
        <v>157114.532270664</v>
      </c>
    </row>
    <row r="59" spans="1:4">
      <c r="A59" s="354">
        <v>42095</v>
      </c>
      <c r="B59" s="355">
        <v>154065.705095175</v>
      </c>
      <c r="C59" s="356" t="str">
        <f t="shared" si="1"/>
        <v>2015-04-01</v>
      </c>
      <c r="D59" s="355">
        <f t="shared" si="0"/>
        <v>154065.705095175</v>
      </c>
    </row>
    <row r="60" spans="1:4">
      <c r="A60" s="354">
        <v>42186</v>
      </c>
      <c r="B60" s="355">
        <v>155281.005244664</v>
      </c>
      <c r="C60" s="356" t="str">
        <f t="shared" si="1"/>
        <v>2015-07-01</v>
      </c>
      <c r="D60" s="355">
        <f t="shared" si="0"/>
        <v>155281.005244664</v>
      </c>
    </row>
    <row r="61" spans="1:4">
      <c r="A61" s="354">
        <v>42278</v>
      </c>
      <c r="B61" s="355">
        <v>155284.275234299</v>
      </c>
      <c r="C61" s="356" t="str">
        <f t="shared" si="1"/>
        <v>2015-10-01</v>
      </c>
      <c r="D61" s="355">
        <f t="shared" si="0"/>
        <v>155284.275234299</v>
      </c>
    </row>
    <row r="62" spans="1:4">
      <c r="A62" s="354">
        <v>42370</v>
      </c>
      <c r="B62" s="355">
        <v>153006.612609611</v>
      </c>
      <c r="C62" s="356" t="str">
        <f t="shared" si="1"/>
        <v>2016-01-01</v>
      </c>
      <c r="D62" s="355">
        <f t="shared" si="0"/>
        <v>153006.612609611</v>
      </c>
    </row>
    <row r="63" spans="1:4">
      <c r="A63" s="354">
        <v>42461</v>
      </c>
      <c r="B63" s="355">
        <v>153335.143372994</v>
      </c>
      <c r="C63" s="356" t="str">
        <f t="shared" si="1"/>
        <v>2016-04-01</v>
      </c>
      <c r="D63" s="355">
        <f t="shared" si="0"/>
        <v>153335.143372994</v>
      </c>
    </row>
    <row r="64" spans="1:4">
      <c r="A64" s="354">
        <v>42552</v>
      </c>
      <c r="B64" s="355">
        <v>159864.393962029</v>
      </c>
      <c r="C64" s="356" t="str">
        <f t="shared" si="1"/>
        <v>2016-07-01</v>
      </c>
      <c r="D64" s="355">
        <f t="shared" si="0"/>
        <v>159864.393962029</v>
      </c>
    </row>
    <row r="65" spans="1:4">
      <c r="A65" s="354">
        <v>42644</v>
      </c>
      <c r="B65" s="355">
        <v>164849.213055287</v>
      </c>
      <c r="C65" s="356" t="str">
        <f t="shared" si="1"/>
        <v>2016-10-01</v>
      </c>
      <c r="D65" s="355">
        <f t="shared" si="0"/>
        <v>164849.213055287</v>
      </c>
    </row>
    <row r="66" spans="1:4">
      <c r="A66" s="354">
        <v>42736</v>
      </c>
      <c r="B66" s="355">
        <v>163528.492399638</v>
      </c>
      <c r="C66" s="356" t="str">
        <f t="shared" ref="C66:C103" si="2">TEXT(A66,"yyyy-mm-01")</f>
        <v>2017-01-01</v>
      </c>
      <c r="D66" s="355">
        <f t="shared" ref="D66:D103" si="3">B66</f>
        <v>163528.492399638</v>
      </c>
    </row>
    <row r="67" spans="1:4">
      <c r="A67" s="354">
        <v>42826</v>
      </c>
      <c r="B67" s="355">
        <v>165292.701039195</v>
      </c>
      <c r="C67" s="356" t="str">
        <f t="shared" si="2"/>
        <v>2017-04-01</v>
      </c>
      <c r="D67" s="355">
        <f t="shared" si="3"/>
        <v>165292.701039195</v>
      </c>
    </row>
    <row r="68" spans="1:4">
      <c r="A68" s="354">
        <v>42917</v>
      </c>
      <c r="B68" s="355">
        <v>167774.327133275</v>
      </c>
      <c r="C68" s="356" t="str">
        <f t="shared" si="2"/>
        <v>2017-07-01</v>
      </c>
      <c r="D68" s="355">
        <f t="shared" si="3"/>
        <v>167774.327133275</v>
      </c>
    </row>
    <row r="69" spans="1:4">
      <c r="A69" s="354">
        <v>43009</v>
      </c>
      <c r="B69" s="355">
        <v>168847.749779521</v>
      </c>
      <c r="C69" s="356" t="str">
        <f t="shared" si="2"/>
        <v>2017-10-01</v>
      </c>
      <c r="D69" s="355">
        <f t="shared" si="3"/>
        <v>168847.749779521</v>
      </c>
    </row>
    <row r="70" spans="1:4">
      <c r="A70" s="354">
        <v>43101</v>
      </c>
      <c r="B70" s="355">
        <v>167482.716087954</v>
      </c>
      <c r="C70" s="356" t="str">
        <f t="shared" si="2"/>
        <v>2018-01-01</v>
      </c>
      <c r="D70" s="355">
        <f t="shared" si="3"/>
        <v>167482.716087954</v>
      </c>
    </row>
    <row r="71" spans="1:4">
      <c r="A71" s="354">
        <v>43191</v>
      </c>
      <c r="B71" s="355">
        <v>167755.597133481</v>
      </c>
      <c r="C71" s="356" t="str">
        <f t="shared" si="2"/>
        <v>2018-04-01</v>
      </c>
      <c r="D71" s="355">
        <f t="shared" si="3"/>
        <v>167755.597133481</v>
      </c>
    </row>
    <row r="72" spans="1:4">
      <c r="A72" s="354">
        <v>43282</v>
      </c>
      <c r="B72" s="355">
        <v>165679.600387896</v>
      </c>
      <c r="C72" s="356" t="str">
        <f t="shared" si="2"/>
        <v>2018-07-01</v>
      </c>
      <c r="D72" s="355">
        <f t="shared" si="3"/>
        <v>165679.600387896</v>
      </c>
    </row>
    <row r="73" spans="1:4">
      <c r="A73" s="354">
        <v>43374</v>
      </c>
      <c r="B73" s="355">
        <v>162643.826450331</v>
      </c>
      <c r="C73" s="356" t="str">
        <f t="shared" si="2"/>
        <v>2018-10-01</v>
      </c>
      <c r="D73" s="355">
        <f t="shared" si="3"/>
        <v>162643.826450331</v>
      </c>
    </row>
    <row r="74" spans="1:4">
      <c r="A74" s="354">
        <v>43466</v>
      </c>
      <c r="B74" s="355">
        <v>160331.29182238</v>
      </c>
      <c r="C74" s="356" t="str">
        <f t="shared" si="2"/>
        <v>2019-01-01</v>
      </c>
      <c r="D74" s="355">
        <f t="shared" si="3"/>
        <v>160331.29182238</v>
      </c>
    </row>
    <row r="75" spans="1:4">
      <c r="A75" s="354">
        <v>43556</v>
      </c>
      <c r="B75" s="355">
        <v>160238.815531205</v>
      </c>
      <c r="C75" s="356" t="str">
        <f t="shared" si="2"/>
        <v>2019-04-01</v>
      </c>
      <c r="D75" s="355">
        <f t="shared" si="3"/>
        <v>160238.815531205</v>
      </c>
    </row>
    <row r="76" spans="1:4">
      <c r="A76" s="354">
        <v>43647</v>
      </c>
      <c r="B76" s="355">
        <v>160393.969127219</v>
      </c>
      <c r="C76" s="356" t="str">
        <f t="shared" si="2"/>
        <v>2019-07-01</v>
      </c>
      <c r="D76" s="355">
        <f t="shared" si="3"/>
        <v>160393.969127219</v>
      </c>
    </row>
    <row r="77" spans="1:4">
      <c r="A77" s="354">
        <v>43739</v>
      </c>
      <c r="B77" s="355">
        <v>160328.624129354</v>
      </c>
      <c r="C77" s="356" t="str">
        <f t="shared" si="2"/>
        <v>2019-10-01</v>
      </c>
      <c r="D77" s="355">
        <f t="shared" si="3"/>
        <v>160328.624129354</v>
      </c>
    </row>
    <row r="78" spans="1:4">
      <c r="A78" s="354">
        <v>43831</v>
      </c>
      <c r="B78" s="355">
        <v>159544.217230192</v>
      </c>
      <c r="C78" s="356" t="str">
        <f t="shared" si="2"/>
        <v>2020-01-01</v>
      </c>
      <c r="D78" s="355">
        <f t="shared" si="3"/>
        <v>159544.217230192</v>
      </c>
    </row>
    <row r="79" spans="1:4">
      <c r="A79" s="354">
        <v>43922</v>
      </c>
      <c r="B79" s="355">
        <v>155466.741676505</v>
      </c>
      <c r="C79" s="356" t="str">
        <f t="shared" si="2"/>
        <v>2020-04-01</v>
      </c>
      <c r="D79" s="355">
        <f t="shared" si="3"/>
        <v>155466.741676505</v>
      </c>
    </row>
    <row r="80" spans="1:4">
      <c r="A80" s="354">
        <v>44013</v>
      </c>
      <c r="B80" s="355">
        <v>160585.792336852</v>
      </c>
      <c r="C80" s="356" t="str">
        <f t="shared" si="2"/>
        <v>2020-07-01</v>
      </c>
      <c r="D80" s="355">
        <f t="shared" si="3"/>
        <v>160585.792336852</v>
      </c>
    </row>
    <row r="81" spans="1:4">
      <c r="A81" s="354">
        <v>44105</v>
      </c>
      <c r="B81" s="355">
        <v>161706.536328173</v>
      </c>
      <c r="C81" s="356" t="str">
        <f t="shared" si="2"/>
        <v>2020-10-01</v>
      </c>
      <c r="D81" s="355">
        <f t="shared" si="3"/>
        <v>161706.536328173</v>
      </c>
    </row>
    <row r="82" spans="1:4">
      <c r="A82" s="354">
        <v>44197</v>
      </c>
      <c r="B82" s="355">
        <v>163980.074825441</v>
      </c>
      <c r="C82" s="356" t="str">
        <f t="shared" si="2"/>
        <v>2021-01-01</v>
      </c>
      <c r="D82" s="355">
        <f t="shared" si="3"/>
        <v>163980.074825441</v>
      </c>
    </row>
    <row r="83" spans="1:4">
      <c r="A83" s="354">
        <v>44287</v>
      </c>
      <c r="B83" s="355">
        <v>163955.094815505</v>
      </c>
      <c r="C83" s="356" t="str">
        <f t="shared" si="2"/>
        <v>2021-04-01</v>
      </c>
      <c r="D83" s="355">
        <f t="shared" si="3"/>
        <v>163955.094815505</v>
      </c>
    </row>
    <row r="84" spans="1:4">
      <c r="A84" s="354">
        <v>44378</v>
      </c>
      <c r="B84" s="355">
        <v>166483.080061958</v>
      </c>
      <c r="C84" s="356" t="str">
        <f t="shared" si="2"/>
        <v>2021-07-01</v>
      </c>
      <c r="D84" s="355">
        <f t="shared" si="3"/>
        <v>166483.080061958</v>
      </c>
    </row>
    <row r="85" spans="1:4">
      <c r="A85" s="354">
        <v>44470</v>
      </c>
      <c r="B85" s="355">
        <v>165761.723503482</v>
      </c>
      <c r="C85" s="356" t="str">
        <f t="shared" si="2"/>
        <v>2021-10-01</v>
      </c>
      <c r="D85" s="355">
        <f t="shared" si="3"/>
        <v>165761.723503482</v>
      </c>
    </row>
    <row r="86" spans="1:4">
      <c r="A86" s="354">
        <v>44562</v>
      </c>
      <c r="B86" s="355">
        <v>164131.074503214</v>
      </c>
      <c r="C86" s="356" t="str">
        <f t="shared" si="2"/>
        <v>2022-01-01</v>
      </c>
      <c r="D86" s="355">
        <f t="shared" si="3"/>
        <v>164131.074503214</v>
      </c>
    </row>
    <row r="87" spans="1:4">
      <c r="A87" s="354">
        <v>44652</v>
      </c>
      <c r="B87" s="355">
        <v>159896.77288415</v>
      </c>
      <c r="C87" s="356" t="str">
        <f t="shared" si="2"/>
        <v>2022-04-01</v>
      </c>
      <c r="D87" s="355">
        <f t="shared" si="3"/>
        <v>159896.77288415</v>
      </c>
    </row>
    <row r="88" spans="1:4">
      <c r="A88" s="354">
        <v>44743</v>
      </c>
      <c r="B88" s="355">
        <v>164152.245453574</v>
      </c>
      <c r="C88" s="356" t="str">
        <f t="shared" si="2"/>
        <v>2022-07-01</v>
      </c>
      <c r="D88" s="355">
        <f t="shared" si="3"/>
        <v>164152.245453574</v>
      </c>
    </row>
    <row r="89" spans="1:4">
      <c r="A89" s="354">
        <v>44835</v>
      </c>
      <c r="B89" s="355">
        <v>161096.19650189</v>
      </c>
      <c r="C89" s="356" t="str">
        <f t="shared" si="2"/>
        <v>2022-10-01</v>
      </c>
      <c r="D89" s="355">
        <f t="shared" si="3"/>
        <v>161096.19650189</v>
      </c>
    </row>
    <row r="90" spans="1:4">
      <c r="A90" s="354">
        <v>44927</v>
      </c>
      <c r="B90" s="355">
        <v>161144.273332499</v>
      </c>
      <c r="C90" s="356" t="str">
        <f t="shared" si="2"/>
        <v>2023-01-01</v>
      </c>
      <c r="D90" s="355">
        <f t="shared" si="3"/>
        <v>161144.273332499</v>
      </c>
    </row>
    <row r="91" spans="1:4">
      <c r="A91" s="354">
        <v>45017</v>
      </c>
      <c r="B91" s="355">
        <v>162813.96888748</v>
      </c>
      <c r="C91" s="356" t="str">
        <f t="shared" si="2"/>
        <v>2023-04-01</v>
      </c>
      <c r="D91" s="355">
        <f t="shared" si="3"/>
        <v>162813.96888748</v>
      </c>
    </row>
    <row r="92" spans="1:4">
      <c r="A92" s="354">
        <v>45108</v>
      </c>
      <c r="B92" s="355">
        <v>162802.617326411</v>
      </c>
      <c r="C92" s="356" t="str">
        <f t="shared" si="2"/>
        <v>2023-07-01</v>
      </c>
      <c r="D92" s="355">
        <f t="shared" si="3"/>
        <v>162802.617326411</v>
      </c>
    </row>
    <row r="93" spans="1:4">
      <c r="A93" s="354">
        <v>45200</v>
      </c>
      <c r="B93" s="355">
        <v>163809.495202615</v>
      </c>
      <c r="C93" s="356" t="str">
        <f t="shared" si="2"/>
        <v>2023-10-01</v>
      </c>
      <c r="D93" s="355">
        <f t="shared" si="3"/>
        <v>163809.495202615</v>
      </c>
    </row>
    <row r="94" spans="1:4">
      <c r="A94" s="354">
        <v>45292</v>
      </c>
      <c r="B94" s="355">
        <v>163711.964049239</v>
      </c>
      <c r="C94" s="356" t="str">
        <f t="shared" si="2"/>
        <v>2024-01-01</v>
      </c>
      <c r="D94" s="355">
        <f t="shared" si="3"/>
        <v>163711.964049239</v>
      </c>
    </row>
    <row r="95" spans="1:4">
      <c r="A95" s="354">
        <v>45383</v>
      </c>
      <c r="B95" s="355">
        <v>163952.92616366</v>
      </c>
      <c r="C95" s="356" t="str">
        <f t="shared" si="2"/>
        <v>2024-04-01</v>
      </c>
      <c r="D95" s="355">
        <f t="shared" si="3"/>
        <v>163952.92616366</v>
      </c>
    </row>
    <row r="96" spans="1:4">
      <c r="A96" s="354">
        <v>45474</v>
      </c>
      <c r="B96" s="355">
        <v>166853.095507313</v>
      </c>
      <c r="C96" s="356" t="str">
        <f t="shared" si="2"/>
        <v>2024-07-01</v>
      </c>
      <c r="D96" s="355">
        <f t="shared" si="3"/>
        <v>166853.095507313</v>
      </c>
    </row>
    <row r="97" spans="1:4">
      <c r="A97" s="354">
        <v>45566</v>
      </c>
      <c r="B97" s="355">
        <v>166367.064362084</v>
      </c>
      <c r="C97" s="356" t="str">
        <f t="shared" si="2"/>
        <v>2024-10-01</v>
      </c>
      <c r="D97" s="355">
        <f t="shared" si="3"/>
        <v>166367.064362084</v>
      </c>
    </row>
    <row r="98" spans="1:4">
      <c r="A98" s="354">
        <v>45658</v>
      </c>
      <c r="B98" s="355">
        <v>164677.496974072</v>
      </c>
      <c r="C98" s="356" t="str">
        <f t="shared" si="2"/>
        <v>2025-01-01</v>
      </c>
      <c r="D98" s="355">
        <f t="shared" si="3"/>
        <v>164677.496974072</v>
      </c>
    </row>
    <row r="99" spans="1:4">
      <c r="A99" s="354">
        <v>45748</v>
      </c>
      <c r="B99" s="355">
        <v>170037.800782238</v>
      </c>
      <c r="C99" s="356" t="str">
        <f t="shared" si="2"/>
        <v>2025-04-01</v>
      </c>
      <c r="D99" s="355">
        <f t="shared" si="3"/>
        <v>170037.800782238</v>
      </c>
    </row>
    <row r="100" spans="1:4">
      <c r="A100" s="354">
        <v>45839</v>
      </c>
      <c r="B100" s="355">
        <v>172547.082968168</v>
      </c>
      <c r="C100" s="356" t="str">
        <f t="shared" si="2"/>
        <v>2025-07-01</v>
      </c>
      <c r="D100" s="355">
        <f t="shared" si="3"/>
        <v>172547.082968168</v>
      </c>
    </row>
    <row r="101" spans="1:4">
      <c r="A101" s="354">
        <v>45931</v>
      </c>
      <c r="B101" s="355">
        <v>171558.262372511</v>
      </c>
      <c r="C101" s="356" t="str">
        <f t="shared" si="2"/>
        <v>2025-10-01</v>
      </c>
      <c r="D101" s="355">
        <f t="shared" si="3"/>
        <v>171558.262372511</v>
      </c>
    </row>
    <row r="102" spans="1:4">
      <c r="A102" s="354">
        <v>46023</v>
      </c>
      <c r="B102" s="355">
        <v>181841.590363621</v>
      </c>
      <c r="C102" s="356" t="str">
        <f t="shared" si="2"/>
        <v>2026-01-01</v>
      </c>
      <c r="D102" s="355">
        <f t="shared" si="3"/>
        <v>181841.590363621</v>
      </c>
    </row>
    <row r="103" spans="1:4">
      <c r="A103" s="354">
        <v>46113</v>
      </c>
      <c r="B103" s="355">
        <v>182778.238991064</v>
      </c>
      <c r="C103" s="356" t="str">
        <f t="shared" si="2"/>
        <v>2026-04-01</v>
      </c>
      <c r="D103" s="355">
        <f t="shared" si="3"/>
        <v>182778.238991064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3"/>
  <sheetViews>
    <sheetView tabSelected="1" workbookViewId="0">
      <selection activeCell="B96" sqref="B96"/>
    </sheetView>
  </sheetViews>
  <sheetFormatPr defaultColWidth="9" defaultRowHeight="16.8" outlineLevelCol="1"/>
  <sheetData>
    <row r="1" spans="1:2">
      <c r="A1" t="s">
        <v>5</v>
      </c>
      <c r="B1" s="352" t="s">
        <v>6</v>
      </c>
    </row>
    <row r="2" spans="1:2">
      <c r="A2" t="str">
        <f>'Final Cle'!C2</f>
        <v>2001-01-01</v>
      </c>
      <c r="B2">
        <f>'Final Cle'!D2</f>
        <v>12634.5724124027</v>
      </c>
    </row>
    <row r="3" spans="1:2">
      <c r="A3" t="str">
        <f>'Final Cle'!C3</f>
        <v>2001-04-01</v>
      </c>
      <c r="B3">
        <f>'Final Cle'!D3</f>
        <v>12983.1167482793</v>
      </c>
    </row>
    <row r="4" spans="1:2">
      <c r="A4" t="str">
        <f>'Final Cle'!C4</f>
        <v>2001-07-01</v>
      </c>
      <c r="B4">
        <f>'Final Cle'!D4</f>
        <v>13541.6251715286</v>
      </c>
    </row>
    <row r="5" spans="1:2">
      <c r="A5" t="str">
        <f>'Final Cle'!C5</f>
        <v>2001-10-01</v>
      </c>
      <c r="B5">
        <f>'Final Cle'!D5</f>
        <v>14338.8709326492</v>
      </c>
    </row>
    <row r="6" spans="1:2">
      <c r="A6" t="str">
        <f>'Final Cle'!C6</f>
        <v>2002-01-01</v>
      </c>
      <c r="B6">
        <f>'Final Cle'!D6</f>
        <v>15008.1854201774</v>
      </c>
    </row>
    <row r="7" spans="1:2">
      <c r="A7" t="str">
        <f>'Final Cle'!C7</f>
        <v>2002-04-01</v>
      </c>
      <c r="B7">
        <f>'Final Cle'!D7</f>
        <v>15367.4853490671</v>
      </c>
    </row>
    <row r="8" spans="1:2">
      <c r="A8" t="str">
        <f>'Final Cle'!C8</f>
        <v>2002-07-01</v>
      </c>
      <c r="B8">
        <f>'Final Cle'!D8</f>
        <v>16249.6685517109</v>
      </c>
    </row>
    <row r="9" spans="1:2">
      <c r="A9" t="str">
        <f>'Final Cle'!C9</f>
        <v>2002-10-01</v>
      </c>
      <c r="B9">
        <f>'Final Cle'!D9</f>
        <v>17136.1421988694</v>
      </c>
    </row>
    <row r="10" spans="1:2">
      <c r="A10" t="str">
        <f>'Final Cle'!C10</f>
        <v>2003-01-01</v>
      </c>
      <c r="B10">
        <f>'Final Cle'!D10</f>
        <v>18134.7809872964</v>
      </c>
    </row>
    <row r="11" spans="1:2">
      <c r="A11" t="str">
        <f>'Final Cle'!C11</f>
        <v>2003-04-01</v>
      </c>
      <c r="B11">
        <f>'Final Cle'!D11</f>
        <v>18733.5708551513</v>
      </c>
    </row>
    <row r="12" spans="1:2">
      <c r="A12" t="str">
        <f>'Final Cle'!C12</f>
        <v>2003-07-01</v>
      </c>
      <c r="B12">
        <f>'Final Cle'!D12</f>
        <v>20043.1166307838</v>
      </c>
    </row>
    <row r="13" spans="1:2">
      <c r="A13" t="str">
        <f>'Final Cle'!C13</f>
        <v>2003-10-01</v>
      </c>
      <c r="B13">
        <f>'Final Cle'!D13</f>
        <v>21619.5092194364</v>
      </c>
    </row>
    <row r="14" spans="1:2">
      <c r="A14" t="str">
        <f>'Final Cle'!C14</f>
        <v>2004-01-01</v>
      </c>
      <c r="B14">
        <f>'Final Cle'!D14</f>
        <v>23089.2926089818</v>
      </c>
    </row>
    <row r="15" spans="1:2">
      <c r="A15" t="str">
        <f>'Final Cle'!C15</f>
        <v>2004-04-01</v>
      </c>
      <c r="B15">
        <f>'Final Cle'!D15</f>
        <v>24260.021287952</v>
      </c>
    </row>
    <row r="16" spans="1:2">
      <c r="A16" t="str">
        <f>'Final Cle'!C16</f>
        <v>2004-07-01</v>
      </c>
      <c r="B16">
        <f>'Final Cle'!D16</f>
        <v>25732.8958790402</v>
      </c>
    </row>
    <row r="17" spans="1:2">
      <c r="A17" t="str">
        <f>'Final Cle'!C17</f>
        <v>2004-10-01</v>
      </c>
      <c r="B17">
        <f>'Final Cle'!D17</f>
        <v>27150.5702954628</v>
      </c>
    </row>
    <row r="18" spans="1:2">
      <c r="A18" t="str">
        <f>'Final Cle'!C18</f>
        <v>2005-01-01</v>
      </c>
      <c r="B18">
        <f>'Final Cle'!D18</f>
        <v>32723.7305243752</v>
      </c>
    </row>
    <row r="19" spans="1:2">
      <c r="A19" t="str">
        <f>'Final Cle'!C19</f>
        <v>2005-04-01</v>
      </c>
      <c r="B19">
        <f>'Final Cle'!D19</f>
        <v>34256.1035053606</v>
      </c>
    </row>
    <row r="20" spans="1:2">
      <c r="A20" t="str">
        <f>'Final Cle'!C20</f>
        <v>2005-07-01</v>
      </c>
      <c r="B20">
        <f>'Final Cle'!D20</f>
        <v>35724.6922458321</v>
      </c>
    </row>
    <row r="21" spans="1:2">
      <c r="A21" t="str">
        <f>'Final Cle'!C21</f>
        <v>2005-10-01</v>
      </c>
      <c r="B21">
        <f>'Final Cle'!D21</f>
        <v>38277.6112560426</v>
      </c>
    </row>
    <row r="22" spans="1:2">
      <c r="A22" t="str">
        <f>'Final Cle'!C22</f>
        <v>2006-01-01</v>
      </c>
      <c r="B22">
        <f>'Final Cle'!D22</f>
        <v>43428.5277531855</v>
      </c>
    </row>
    <row r="23" spans="1:2">
      <c r="A23" t="str">
        <f>'Final Cle'!C23</f>
        <v>2006-04-01</v>
      </c>
      <c r="B23">
        <f>'Final Cle'!D23</f>
        <v>48369.4733409359</v>
      </c>
    </row>
    <row r="24" spans="1:2">
      <c r="A24" t="str">
        <f>'Final Cle'!C24</f>
        <v>2006-07-01</v>
      </c>
      <c r="B24">
        <f>'Final Cle'!D24</f>
        <v>53969.6449467839</v>
      </c>
    </row>
    <row r="25" spans="1:2">
      <c r="A25" t="str">
        <f>'Final Cle'!C25</f>
        <v>2006-10-01</v>
      </c>
      <c r="B25">
        <f>'Final Cle'!D25</f>
        <v>60146.5989786275</v>
      </c>
    </row>
    <row r="26" spans="1:2">
      <c r="A26" t="str">
        <f>'Final Cle'!C26</f>
        <v>2007-01-01</v>
      </c>
      <c r="B26">
        <f>'Final Cle'!D26</f>
        <v>74014.0899471573</v>
      </c>
    </row>
    <row r="27" spans="1:2">
      <c r="A27" t="str">
        <f>'Final Cle'!C27</f>
        <v>2007-04-01</v>
      </c>
      <c r="B27">
        <f>'Final Cle'!D27</f>
        <v>81905.9128971838</v>
      </c>
    </row>
    <row r="28" spans="1:2">
      <c r="A28" t="str">
        <f>'Final Cle'!C28</f>
        <v>2007-07-01</v>
      </c>
      <c r="B28">
        <f>'Final Cle'!D28</f>
        <v>92367.9086233256</v>
      </c>
    </row>
    <row r="29" spans="1:2">
      <c r="A29" t="str">
        <f>'Final Cle'!C29</f>
        <v>2007-10-01</v>
      </c>
      <c r="B29">
        <f>'Final Cle'!D29</f>
        <v>94248.3430965613</v>
      </c>
    </row>
    <row r="30" spans="1:2">
      <c r="A30" t="str">
        <f>'Final Cle'!C30</f>
        <v>2008-01-01</v>
      </c>
      <c r="B30">
        <f>'Final Cle'!D30</f>
        <v>96893.0041769437</v>
      </c>
    </row>
    <row r="31" spans="1:2">
      <c r="A31" t="str">
        <f>'Final Cle'!C31</f>
        <v>2008-04-01</v>
      </c>
      <c r="B31">
        <f>'Final Cle'!D31</f>
        <v>98877.3278747482</v>
      </c>
    </row>
    <row r="32" spans="1:2">
      <c r="A32" t="str">
        <f>'Final Cle'!C32</f>
        <v>2008-07-01</v>
      </c>
      <c r="B32">
        <f>'Final Cle'!D32</f>
        <v>101204.662718111</v>
      </c>
    </row>
    <row r="33" spans="1:2">
      <c r="A33" t="str">
        <f>'Final Cle'!C33</f>
        <v>2008-10-01</v>
      </c>
      <c r="B33">
        <f>'Final Cle'!D33</f>
        <v>105995.32997562</v>
      </c>
    </row>
    <row r="34" spans="1:2">
      <c r="A34" t="str">
        <f>'Final Cle'!C34</f>
        <v>2009-01-01</v>
      </c>
      <c r="B34">
        <f>'Final Cle'!D34</f>
        <v>107933.377620652</v>
      </c>
    </row>
    <row r="35" spans="1:2">
      <c r="A35" t="str">
        <f>'Final Cle'!C35</f>
        <v>2009-04-01</v>
      </c>
      <c r="B35">
        <f>'Final Cle'!D35</f>
        <v>104803.672570564</v>
      </c>
    </row>
    <row r="36" spans="1:2">
      <c r="A36" t="str">
        <f>'Final Cle'!C36</f>
        <v>2009-07-01</v>
      </c>
      <c r="B36">
        <f>'Final Cle'!D36</f>
        <v>106675.740477653</v>
      </c>
    </row>
    <row r="37" spans="1:2">
      <c r="A37" t="str">
        <f>'Final Cle'!C37</f>
        <v>2009-10-01</v>
      </c>
      <c r="B37">
        <f>'Final Cle'!D37</f>
        <v>111527.936479366</v>
      </c>
    </row>
    <row r="38" spans="1:2">
      <c r="A38" t="str">
        <f>'Final Cle'!C38</f>
        <v>2010-01-01</v>
      </c>
      <c r="B38">
        <f>'Final Cle'!D38</f>
        <v>112866.889315032</v>
      </c>
    </row>
    <row r="39" spans="1:2">
      <c r="A39" t="str">
        <f>'Final Cle'!C39</f>
        <v>2010-04-01</v>
      </c>
      <c r="B39">
        <f>'Final Cle'!D39</f>
        <v>110861.490025558</v>
      </c>
    </row>
    <row r="40" spans="1:2">
      <c r="A40" t="str">
        <f>'Final Cle'!C40</f>
        <v>2010-07-01</v>
      </c>
      <c r="B40">
        <f>'Final Cle'!D40</f>
        <v>113619.656892894</v>
      </c>
    </row>
    <row r="41" spans="1:2">
      <c r="A41" t="str">
        <f>'Final Cle'!C41</f>
        <v>2010-10-01</v>
      </c>
      <c r="B41">
        <f>'Final Cle'!D41</f>
        <v>111518.693129942</v>
      </c>
    </row>
    <row r="42" spans="1:2">
      <c r="A42" t="str">
        <f>'Final Cle'!C42</f>
        <v>2011-01-01</v>
      </c>
      <c r="B42">
        <f>'Final Cle'!D42</f>
        <v>118222.763568799</v>
      </c>
    </row>
    <row r="43" spans="1:2">
      <c r="A43" t="str">
        <f>'Final Cle'!C43</f>
        <v>2011-04-01</v>
      </c>
      <c r="B43">
        <f>'Final Cle'!D43</f>
        <v>123359.159136885</v>
      </c>
    </row>
    <row r="44" spans="1:2">
      <c r="A44" t="str">
        <f>'Final Cle'!C44</f>
        <v>2011-07-01</v>
      </c>
      <c r="B44">
        <f>'Final Cle'!D44</f>
        <v>124897.278808213</v>
      </c>
    </row>
    <row r="45" spans="1:2">
      <c r="A45" t="str">
        <f>'Final Cle'!C45</f>
        <v>2011-10-01</v>
      </c>
      <c r="B45">
        <f>'Final Cle'!D45</f>
        <v>123708.361985878</v>
      </c>
    </row>
    <row r="46" spans="1:2">
      <c r="A46" t="str">
        <f>'Final Cle'!C46</f>
        <v>2012-01-01</v>
      </c>
      <c r="B46">
        <f>'Final Cle'!D46</f>
        <v>125320.777886505</v>
      </c>
    </row>
    <row r="47" spans="1:2">
      <c r="A47" t="str">
        <f>'Final Cle'!C47</f>
        <v>2012-04-01</v>
      </c>
      <c r="B47">
        <f>'Final Cle'!D47</f>
        <v>129154.054921039</v>
      </c>
    </row>
    <row r="48" spans="1:2">
      <c r="A48" t="str">
        <f>'Final Cle'!C48</f>
        <v>2012-07-01</v>
      </c>
      <c r="B48">
        <f>'Final Cle'!D48</f>
        <v>132535.864969187</v>
      </c>
    </row>
    <row r="49" spans="1:2">
      <c r="A49" t="str">
        <f>'Final Cle'!C49</f>
        <v>2012-10-01</v>
      </c>
      <c r="B49">
        <f>'Final Cle'!D49</f>
        <v>134414.115527453</v>
      </c>
    </row>
    <row r="50" spans="1:2">
      <c r="A50" t="str">
        <f>'Final Cle'!C50</f>
        <v>2013-01-01</v>
      </c>
      <c r="B50">
        <f>'Final Cle'!D50</f>
        <v>136918.219278678</v>
      </c>
    </row>
    <row r="51" spans="1:2">
      <c r="A51" t="str">
        <f>'Final Cle'!C51</f>
        <v>2013-04-01</v>
      </c>
      <c r="B51">
        <f>'Final Cle'!D51</f>
        <v>139691.461465112</v>
      </c>
    </row>
    <row r="52" spans="1:2">
      <c r="A52" t="str">
        <f>'Final Cle'!C52</f>
        <v>2013-07-01</v>
      </c>
      <c r="B52">
        <f>'Final Cle'!D52</f>
        <v>145554.801486473</v>
      </c>
    </row>
    <row r="53" spans="1:2">
      <c r="A53" t="str">
        <f>'Final Cle'!C53</f>
        <v>2013-10-01</v>
      </c>
      <c r="B53">
        <f>'Final Cle'!D53</f>
        <v>148162.713181078</v>
      </c>
    </row>
    <row r="54" spans="1:2">
      <c r="A54" t="str">
        <f>'Final Cle'!C54</f>
        <v>2014-01-01</v>
      </c>
      <c r="B54">
        <f>'Final Cle'!D54</f>
        <v>150032.867457001</v>
      </c>
    </row>
    <row r="55" spans="1:2">
      <c r="A55" t="str">
        <f>'Final Cle'!C55</f>
        <v>2014-04-01</v>
      </c>
      <c r="B55">
        <f>'Final Cle'!D55</f>
        <v>151504.678852765</v>
      </c>
    </row>
    <row r="56" spans="1:2">
      <c r="A56" t="str">
        <f>'Final Cle'!C56</f>
        <v>2014-07-01</v>
      </c>
      <c r="B56">
        <f>'Final Cle'!D56</f>
        <v>155583.922158574</v>
      </c>
    </row>
    <row r="57" spans="1:2">
      <c r="A57" t="str">
        <f>'Final Cle'!C57</f>
        <v>2014-10-01</v>
      </c>
      <c r="B57">
        <f>'Final Cle'!D57</f>
        <v>155674.878898309</v>
      </c>
    </row>
    <row r="58" spans="1:2">
      <c r="A58" t="str">
        <f>'Final Cle'!C58</f>
        <v>2015-01-01</v>
      </c>
      <c r="B58">
        <f>'Final Cle'!D58</f>
        <v>157114.532270664</v>
      </c>
    </row>
    <row r="59" spans="1:2">
      <c r="A59" t="str">
        <f>'Final Cle'!C59</f>
        <v>2015-04-01</v>
      </c>
      <c r="B59">
        <f>'Final Cle'!D59</f>
        <v>154065.705095175</v>
      </c>
    </row>
    <row r="60" spans="1:2">
      <c r="A60" t="str">
        <f>'Final Cle'!C60</f>
        <v>2015-07-01</v>
      </c>
      <c r="B60">
        <f>'Final Cle'!D60</f>
        <v>155281.005244664</v>
      </c>
    </row>
    <row r="61" spans="1:2">
      <c r="A61" t="str">
        <f>'Final Cle'!C61</f>
        <v>2015-10-01</v>
      </c>
      <c r="B61">
        <f>'Final Cle'!D61</f>
        <v>155284.275234299</v>
      </c>
    </row>
    <row r="62" spans="1:2">
      <c r="A62" t="str">
        <f>'Final Cle'!C62</f>
        <v>2016-01-01</v>
      </c>
      <c r="B62">
        <f>'Final Cle'!D62</f>
        <v>153006.612609611</v>
      </c>
    </row>
    <row r="63" spans="1:2">
      <c r="A63" t="str">
        <f>'Final Cle'!C63</f>
        <v>2016-04-01</v>
      </c>
      <c r="B63">
        <f>'Final Cle'!D63</f>
        <v>153335.143372994</v>
      </c>
    </row>
    <row r="64" spans="1:2">
      <c r="A64" t="str">
        <f>'Final Cle'!C64</f>
        <v>2016-07-01</v>
      </c>
      <c r="B64">
        <f>'Final Cle'!D64</f>
        <v>159864.393962029</v>
      </c>
    </row>
    <row r="65" spans="1:2">
      <c r="A65" t="str">
        <f>'Final Cle'!C65</f>
        <v>2016-10-01</v>
      </c>
      <c r="B65">
        <f>'Final Cle'!D65</f>
        <v>164849.213055287</v>
      </c>
    </row>
    <row r="66" spans="1:2">
      <c r="A66" t="str">
        <f>'Final Cle'!C66</f>
        <v>2017-01-01</v>
      </c>
      <c r="B66">
        <f>'Final Cle'!D66</f>
        <v>163528.492399638</v>
      </c>
    </row>
    <row r="67" spans="1:2">
      <c r="A67" t="str">
        <f>'Final Cle'!C67</f>
        <v>2017-04-01</v>
      </c>
      <c r="B67">
        <f>'Final Cle'!D67</f>
        <v>165292.701039195</v>
      </c>
    </row>
    <row r="68" spans="1:2">
      <c r="A68" t="str">
        <f>'Final Cle'!C68</f>
        <v>2017-07-01</v>
      </c>
      <c r="B68">
        <f>'Final Cle'!D68</f>
        <v>167774.327133275</v>
      </c>
    </row>
    <row r="69" spans="1:2">
      <c r="A69" t="str">
        <f>'Final Cle'!C69</f>
        <v>2017-10-01</v>
      </c>
      <c r="B69">
        <f>'Final Cle'!D69</f>
        <v>168847.749779521</v>
      </c>
    </row>
    <row r="70" spans="1:2">
      <c r="A70" t="str">
        <f>'Final Cle'!C70</f>
        <v>2018-01-01</v>
      </c>
      <c r="B70">
        <f>'Final Cle'!D70</f>
        <v>167482.716087954</v>
      </c>
    </row>
    <row r="71" spans="1:2">
      <c r="A71" t="str">
        <f>'Final Cle'!C71</f>
        <v>2018-04-01</v>
      </c>
      <c r="B71">
        <f>'Final Cle'!D71</f>
        <v>167755.597133481</v>
      </c>
    </row>
    <row r="72" spans="1:2">
      <c r="A72" t="str">
        <f>'Final Cle'!C72</f>
        <v>2018-07-01</v>
      </c>
      <c r="B72">
        <f>'Final Cle'!D72</f>
        <v>165679.600387896</v>
      </c>
    </row>
    <row r="73" spans="1:2">
      <c r="A73" t="str">
        <f>'Final Cle'!C73</f>
        <v>2018-10-01</v>
      </c>
      <c r="B73">
        <f>'Final Cle'!D73</f>
        <v>162643.826450331</v>
      </c>
    </row>
    <row r="74" spans="1:2">
      <c r="A74" t="str">
        <f>'Final Cle'!C74</f>
        <v>2019-01-01</v>
      </c>
      <c r="B74">
        <f>'Final Cle'!D74</f>
        <v>160331.29182238</v>
      </c>
    </row>
    <row r="75" spans="1:2">
      <c r="A75" t="str">
        <f>'Final Cle'!C75</f>
        <v>2019-04-01</v>
      </c>
      <c r="B75">
        <f>'Final Cle'!D75</f>
        <v>160238.815531205</v>
      </c>
    </row>
    <row r="76" spans="1:2">
      <c r="A76" t="str">
        <f>'Final Cle'!C76</f>
        <v>2019-07-01</v>
      </c>
      <c r="B76">
        <f>'Final Cle'!D76</f>
        <v>160393.969127219</v>
      </c>
    </row>
    <row r="77" spans="1:2">
      <c r="A77" t="str">
        <f>'Final Cle'!C77</f>
        <v>2019-10-01</v>
      </c>
      <c r="B77">
        <f>'Final Cle'!D77</f>
        <v>160328.624129354</v>
      </c>
    </row>
    <row r="78" spans="1:2">
      <c r="A78" t="str">
        <f>'Final Cle'!C78</f>
        <v>2020-01-01</v>
      </c>
      <c r="B78">
        <f>'Final Cle'!D78</f>
        <v>159544.217230192</v>
      </c>
    </row>
    <row r="79" spans="1:2">
      <c r="A79" t="str">
        <f>'Final Cle'!C79</f>
        <v>2020-04-01</v>
      </c>
      <c r="B79">
        <f>'Final Cle'!D79</f>
        <v>155466.741676505</v>
      </c>
    </row>
    <row r="80" spans="1:2">
      <c r="A80" t="str">
        <f>'Final Cle'!C80</f>
        <v>2020-07-01</v>
      </c>
      <c r="B80">
        <f>'Final Cle'!D80</f>
        <v>160585.792336852</v>
      </c>
    </row>
    <row r="81" spans="1:2">
      <c r="A81" t="str">
        <f>'Final Cle'!C81</f>
        <v>2020-10-01</v>
      </c>
      <c r="B81">
        <f>'Final Cle'!D81</f>
        <v>161706.536328173</v>
      </c>
    </row>
    <row r="82" spans="1:2">
      <c r="A82" t="str">
        <f>'Final Cle'!C82</f>
        <v>2021-01-01</v>
      </c>
      <c r="B82">
        <f>'Final Cle'!D82</f>
        <v>163980.074825441</v>
      </c>
    </row>
    <row r="83" spans="1:2">
      <c r="A83" t="str">
        <f>'Final Cle'!C83</f>
        <v>2021-04-01</v>
      </c>
      <c r="B83">
        <f>'Final Cle'!D83</f>
        <v>163955.094815505</v>
      </c>
    </row>
    <row r="84" spans="1:2">
      <c r="A84" t="str">
        <f>'Final Cle'!C84</f>
        <v>2021-07-01</v>
      </c>
      <c r="B84">
        <f>'Final Cle'!D84</f>
        <v>166483.080061958</v>
      </c>
    </row>
    <row r="85" spans="1:2">
      <c r="A85" t="str">
        <f>'Final Cle'!C85</f>
        <v>2021-10-01</v>
      </c>
      <c r="B85">
        <f>'Final Cle'!D85</f>
        <v>165761.723503482</v>
      </c>
    </row>
    <row r="86" spans="1:2">
      <c r="A86" t="str">
        <f>'Final Cle'!C86</f>
        <v>2022-01-01</v>
      </c>
      <c r="B86">
        <f>'Final Cle'!D86</f>
        <v>164131.074503214</v>
      </c>
    </row>
    <row r="87" spans="1:2">
      <c r="A87" t="str">
        <f>'Final Cle'!C87</f>
        <v>2022-04-01</v>
      </c>
      <c r="B87">
        <f>'Final Cle'!D87</f>
        <v>159896.77288415</v>
      </c>
    </row>
    <row r="88" spans="1:2">
      <c r="A88" t="str">
        <f>'Final Cle'!C88</f>
        <v>2022-07-01</v>
      </c>
      <c r="B88">
        <f>'Final Cle'!D88</f>
        <v>164152.245453574</v>
      </c>
    </row>
    <row r="89" spans="1:2">
      <c r="A89" t="str">
        <f>'Final Cle'!C89</f>
        <v>2022-10-01</v>
      </c>
      <c r="B89">
        <f>'Final Cle'!D89</f>
        <v>161096.19650189</v>
      </c>
    </row>
    <row r="90" spans="1:2">
      <c r="A90" t="str">
        <f>'Final Cle'!C90</f>
        <v>2023-01-01</v>
      </c>
      <c r="B90">
        <f>'Final Cle'!D90</f>
        <v>161144.273332499</v>
      </c>
    </row>
    <row r="91" spans="1:2">
      <c r="A91" t="str">
        <f>'Final Cle'!C91</f>
        <v>2023-04-01</v>
      </c>
      <c r="B91">
        <f>'Final Cle'!D91</f>
        <v>162813.96888748</v>
      </c>
    </row>
    <row r="92" spans="1:2">
      <c r="A92" t="str">
        <f>'Final Cle'!C92</f>
        <v>2023-07-01</v>
      </c>
      <c r="B92">
        <f>'Final Cle'!D92</f>
        <v>162802.617326411</v>
      </c>
    </row>
    <row r="93" spans="1:2">
      <c r="A93" t="str">
        <f>'Final Cle'!C93</f>
        <v>2023-10-01</v>
      </c>
      <c r="B93">
        <f>'Final Cle'!D93</f>
        <v>163809.495202615</v>
      </c>
    </row>
    <row r="94" spans="1:2">
      <c r="A94" t="str">
        <f>'Final Cle'!C94</f>
        <v>2024-01-01</v>
      </c>
      <c r="B94">
        <f>'Final Cle'!D94</f>
        <v>163711.964049239</v>
      </c>
    </row>
    <row r="95" spans="1:2">
      <c r="A95" t="str">
        <f>'Final Cle'!C95</f>
        <v>2024-04-01</v>
      </c>
      <c r="B95">
        <f>'Final Cle'!D95</f>
        <v>163952.92616366</v>
      </c>
    </row>
    <row r="96" spans="1:2">
      <c r="A96" t="str">
        <f>'Final Cle'!C96</f>
        <v>2024-07-01</v>
      </c>
      <c r="B96">
        <f>'Final Cle'!D96</f>
        <v>166853.095507313</v>
      </c>
    </row>
    <row r="97" spans="1:2">
      <c r="A97" t="str">
        <f>'Final Cle'!C97</f>
        <v>2024-10-01</v>
      </c>
      <c r="B97">
        <f>'Final Cle'!D97</f>
        <v>166367.064362084</v>
      </c>
    </row>
    <row r="98" spans="1:2">
      <c r="A98" t="str">
        <f>'Final Cle'!C98</f>
        <v>2025-01-01</v>
      </c>
      <c r="B98">
        <f>'Final Cle'!D98</f>
        <v>164677.496974072</v>
      </c>
    </row>
    <row r="99" spans="1:2">
      <c r="A99" t="str">
        <f>'Final Cle'!C99</f>
        <v>2025-04-01</v>
      </c>
      <c r="B99">
        <f>'Final Cle'!D99</f>
        <v>170037.800782238</v>
      </c>
    </row>
    <row r="100" spans="1:2">
      <c r="A100" t="str">
        <f>'Final Cle'!C100</f>
        <v>2025-07-01</v>
      </c>
      <c r="B100">
        <f>'Final Cle'!D100</f>
        <v>172547.082968168</v>
      </c>
    </row>
    <row r="101" spans="1:2">
      <c r="A101" t="str">
        <f>'Final Cle'!C101</f>
        <v>2025-10-01</v>
      </c>
      <c r="B101">
        <f>'Final Cle'!D101</f>
        <v>171558.262372511</v>
      </c>
    </row>
    <row r="102" spans="1:2">
      <c r="A102" t="str">
        <f>'Final Cle'!C102</f>
        <v>2026-01-01</v>
      </c>
      <c r="B102">
        <f>'Final Cle'!D102</f>
        <v>181841.590363621</v>
      </c>
    </row>
    <row r="103" spans="1:2">
      <c r="A103" t="str">
        <f>'Final Cle'!C103</f>
        <v>2026-04-01</v>
      </c>
      <c r="B103">
        <f>'Final Cle'!D103</f>
        <v>182778.238991064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23"/>
  <sheetViews>
    <sheetView workbookViewId="0">
      <selection activeCell="A1" sqref="A1"/>
    </sheetView>
  </sheetViews>
  <sheetFormatPr defaultColWidth="9" defaultRowHeight="16.8"/>
  <cols>
    <col min="1" max="1" width="57.140625" style="334" customWidth="1"/>
    <col min="2" max="2" width="99.7109375" style="334" customWidth="1"/>
    <col min="3" max="256" width="9.140625" style="1"/>
    <col min="257" max="257" width="57.140625" style="1" customWidth="1"/>
    <col min="258" max="258" width="97.7109375" style="1" customWidth="1"/>
    <col min="259" max="512" width="9.140625" style="1"/>
    <col min="513" max="513" width="57.140625" style="1" customWidth="1"/>
    <col min="514" max="514" width="97.7109375" style="1" customWidth="1"/>
    <col min="515" max="768" width="9.140625" style="1"/>
    <col min="769" max="769" width="57.140625" style="1" customWidth="1"/>
    <col min="770" max="770" width="97.7109375" style="1" customWidth="1"/>
    <col min="771" max="1024" width="9.140625" style="1"/>
    <col min="1025" max="1025" width="57.140625" style="1" customWidth="1"/>
    <col min="1026" max="1026" width="97.7109375" style="1" customWidth="1"/>
    <col min="1027" max="1280" width="9.140625" style="1"/>
    <col min="1281" max="1281" width="57.140625" style="1" customWidth="1"/>
    <col min="1282" max="1282" width="97.7109375" style="1" customWidth="1"/>
    <col min="1283" max="1536" width="9.140625" style="1"/>
    <col min="1537" max="1537" width="57.140625" style="1" customWidth="1"/>
    <col min="1538" max="1538" width="97.7109375" style="1" customWidth="1"/>
    <col min="1539" max="1792" width="9.140625" style="1"/>
    <col min="1793" max="1793" width="57.140625" style="1" customWidth="1"/>
    <col min="1794" max="1794" width="97.7109375" style="1" customWidth="1"/>
    <col min="1795" max="2048" width="9.140625" style="1"/>
    <col min="2049" max="2049" width="57.140625" style="1" customWidth="1"/>
    <col min="2050" max="2050" width="97.7109375" style="1" customWidth="1"/>
    <col min="2051" max="2304" width="9.140625" style="1"/>
    <col min="2305" max="2305" width="57.140625" style="1" customWidth="1"/>
    <col min="2306" max="2306" width="97.7109375" style="1" customWidth="1"/>
    <col min="2307" max="2560" width="9.140625" style="1"/>
    <col min="2561" max="2561" width="57.140625" style="1" customWidth="1"/>
    <col min="2562" max="2562" width="97.7109375" style="1" customWidth="1"/>
    <col min="2563" max="2816" width="9.140625" style="1"/>
    <col min="2817" max="2817" width="57.140625" style="1" customWidth="1"/>
    <col min="2818" max="2818" width="97.7109375" style="1" customWidth="1"/>
    <col min="2819" max="3072" width="9.140625" style="1"/>
    <col min="3073" max="3073" width="57.140625" style="1" customWidth="1"/>
    <col min="3074" max="3074" width="97.7109375" style="1" customWidth="1"/>
    <col min="3075" max="3328" width="9.140625" style="1"/>
    <col min="3329" max="3329" width="57.140625" style="1" customWidth="1"/>
    <col min="3330" max="3330" width="97.7109375" style="1" customWidth="1"/>
    <col min="3331" max="3584" width="9.140625" style="1"/>
    <col min="3585" max="3585" width="57.140625" style="1" customWidth="1"/>
    <col min="3586" max="3586" width="97.7109375" style="1" customWidth="1"/>
    <col min="3587" max="3840" width="9.140625" style="1"/>
    <col min="3841" max="3841" width="57.140625" style="1" customWidth="1"/>
    <col min="3842" max="3842" width="97.7109375" style="1" customWidth="1"/>
    <col min="3843" max="4096" width="9.140625" style="1"/>
    <col min="4097" max="4097" width="57.140625" style="1" customWidth="1"/>
    <col min="4098" max="4098" width="97.7109375" style="1" customWidth="1"/>
    <col min="4099" max="4352" width="9.140625" style="1"/>
    <col min="4353" max="4353" width="57.140625" style="1" customWidth="1"/>
    <col min="4354" max="4354" width="97.7109375" style="1" customWidth="1"/>
    <col min="4355" max="4608" width="9.140625" style="1"/>
    <col min="4609" max="4609" width="57.140625" style="1" customWidth="1"/>
    <col min="4610" max="4610" width="97.7109375" style="1" customWidth="1"/>
    <col min="4611" max="4864" width="9.140625" style="1"/>
    <col min="4865" max="4865" width="57.140625" style="1" customWidth="1"/>
    <col min="4866" max="4866" width="97.7109375" style="1" customWidth="1"/>
    <col min="4867" max="5120" width="9.140625" style="1"/>
    <col min="5121" max="5121" width="57.140625" style="1" customWidth="1"/>
    <col min="5122" max="5122" width="97.7109375" style="1" customWidth="1"/>
    <col min="5123" max="5376" width="9.140625" style="1"/>
    <col min="5377" max="5377" width="57.140625" style="1" customWidth="1"/>
    <col min="5378" max="5378" width="97.7109375" style="1" customWidth="1"/>
    <col min="5379" max="5632" width="9.140625" style="1"/>
    <col min="5633" max="5633" width="57.140625" style="1" customWidth="1"/>
    <col min="5634" max="5634" width="97.7109375" style="1" customWidth="1"/>
    <col min="5635" max="5888" width="9.140625" style="1"/>
    <col min="5889" max="5889" width="57.140625" style="1" customWidth="1"/>
    <col min="5890" max="5890" width="97.7109375" style="1" customWidth="1"/>
    <col min="5891" max="6144" width="9.140625" style="1"/>
    <col min="6145" max="6145" width="57.140625" style="1" customWidth="1"/>
    <col min="6146" max="6146" width="97.7109375" style="1" customWidth="1"/>
    <col min="6147" max="6400" width="9.140625" style="1"/>
    <col min="6401" max="6401" width="57.140625" style="1" customWidth="1"/>
    <col min="6402" max="6402" width="97.7109375" style="1" customWidth="1"/>
    <col min="6403" max="6656" width="9.140625" style="1"/>
    <col min="6657" max="6657" width="57.140625" style="1" customWidth="1"/>
    <col min="6658" max="6658" width="97.7109375" style="1" customWidth="1"/>
    <col min="6659" max="6912" width="9.140625" style="1"/>
    <col min="6913" max="6913" width="57.140625" style="1" customWidth="1"/>
    <col min="6914" max="6914" width="97.7109375" style="1" customWidth="1"/>
    <col min="6915" max="7168" width="9.140625" style="1"/>
    <col min="7169" max="7169" width="57.140625" style="1" customWidth="1"/>
    <col min="7170" max="7170" width="97.7109375" style="1" customWidth="1"/>
    <col min="7171" max="7424" width="9.140625" style="1"/>
    <col min="7425" max="7425" width="57.140625" style="1" customWidth="1"/>
    <col min="7426" max="7426" width="97.7109375" style="1" customWidth="1"/>
    <col min="7427" max="7680" width="9.140625" style="1"/>
    <col min="7681" max="7681" width="57.140625" style="1" customWidth="1"/>
    <col min="7682" max="7682" width="97.7109375" style="1" customWidth="1"/>
    <col min="7683" max="7936" width="9.140625" style="1"/>
    <col min="7937" max="7937" width="57.140625" style="1" customWidth="1"/>
    <col min="7938" max="7938" width="97.7109375" style="1" customWidth="1"/>
    <col min="7939" max="8192" width="9.140625" style="1"/>
    <col min="8193" max="8193" width="57.140625" style="1" customWidth="1"/>
    <col min="8194" max="8194" width="97.7109375" style="1" customWidth="1"/>
    <col min="8195" max="8448" width="9.140625" style="1"/>
    <col min="8449" max="8449" width="57.140625" style="1" customWidth="1"/>
    <col min="8450" max="8450" width="97.7109375" style="1" customWidth="1"/>
    <col min="8451" max="8704" width="9.140625" style="1"/>
    <col min="8705" max="8705" width="57.140625" style="1" customWidth="1"/>
    <col min="8706" max="8706" width="97.7109375" style="1" customWidth="1"/>
    <col min="8707" max="8960" width="9.140625" style="1"/>
    <col min="8961" max="8961" width="57.140625" style="1" customWidth="1"/>
    <col min="8962" max="8962" width="97.7109375" style="1" customWidth="1"/>
    <col min="8963" max="9216" width="9.140625" style="1"/>
    <col min="9217" max="9217" width="57.140625" style="1" customWidth="1"/>
    <col min="9218" max="9218" width="97.7109375" style="1" customWidth="1"/>
    <col min="9219" max="9472" width="9.140625" style="1"/>
    <col min="9473" max="9473" width="57.140625" style="1" customWidth="1"/>
    <col min="9474" max="9474" width="97.7109375" style="1" customWidth="1"/>
    <col min="9475" max="9728" width="9.140625" style="1"/>
    <col min="9729" max="9729" width="57.140625" style="1" customWidth="1"/>
    <col min="9730" max="9730" width="97.7109375" style="1" customWidth="1"/>
    <col min="9731" max="9984" width="9.140625" style="1"/>
    <col min="9985" max="9985" width="57.140625" style="1" customWidth="1"/>
    <col min="9986" max="9986" width="97.7109375" style="1" customWidth="1"/>
    <col min="9987" max="10240" width="9.140625" style="1"/>
    <col min="10241" max="10241" width="57.140625" style="1" customWidth="1"/>
    <col min="10242" max="10242" width="97.7109375" style="1" customWidth="1"/>
    <col min="10243" max="10496" width="9.140625" style="1"/>
    <col min="10497" max="10497" width="57.140625" style="1" customWidth="1"/>
    <col min="10498" max="10498" width="97.7109375" style="1" customWidth="1"/>
    <col min="10499" max="10752" width="9.140625" style="1"/>
    <col min="10753" max="10753" width="57.140625" style="1" customWidth="1"/>
    <col min="10754" max="10754" width="97.7109375" style="1" customWidth="1"/>
    <col min="10755" max="11008" width="9.140625" style="1"/>
    <col min="11009" max="11009" width="57.140625" style="1" customWidth="1"/>
    <col min="11010" max="11010" width="97.7109375" style="1" customWidth="1"/>
    <col min="11011" max="11264" width="9.140625" style="1"/>
    <col min="11265" max="11265" width="57.140625" style="1" customWidth="1"/>
    <col min="11266" max="11266" width="97.7109375" style="1" customWidth="1"/>
    <col min="11267" max="11520" width="9.140625" style="1"/>
    <col min="11521" max="11521" width="57.140625" style="1" customWidth="1"/>
    <col min="11522" max="11522" width="97.7109375" style="1" customWidth="1"/>
    <col min="11523" max="11776" width="9.140625" style="1"/>
    <col min="11777" max="11777" width="57.140625" style="1" customWidth="1"/>
    <col min="11778" max="11778" width="97.7109375" style="1" customWidth="1"/>
    <col min="11779" max="12032" width="9.140625" style="1"/>
    <col min="12033" max="12033" width="57.140625" style="1" customWidth="1"/>
    <col min="12034" max="12034" width="97.7109375" style="1" customWidth="1"/>
    <col min="12035" max="12288" width="9.140625" style="1"/>
    <col min="12289" max="12289" width="57.140625" style="1" customWidth="1"/>
    <col min="12290" max="12290" width="97.7109375" style="1" customWidth="1"/>
    <col min="12291" max="12544" width="9.140625" style="1"/>
    <col min="12545" max="12545" width="57.140625" style="1" customWidth="1"/>
    <col min="12546" max="12546" width="97.7109375" style="1" customWidth="1"/>
    <col min="12547" max="12800" width="9.140625" style="1"/>
    <col min="12801" max="12801" width="57.140625" style="1" customWidth="1"/>
    <col min="12802" max="12802" width="97.7109375" style="1" customWidth="1"/>
    <col min="12803" max="13056" width="9.140625" style="1"/>
    <col min="13057" max="13057" width="57.140625" style="1" customWidth="1"/>
    <col min="13058" max="13058" width="97.7109375" style="1" customWidth="1"/>
    <col min="13059" max="13312" width="9.140625" style="1"/>
    <col min="13313" max="13313" width="57.140625" style="1" customWidth="1"/>
    <col min="13314" max="13314" width="97.7109375" style="1" customWidth="1"/>
    <col min="13315" max="13568" width="9.140625" style="1"/>
    <col min="13569" max="13569" width="57.140625" style="1" customWidth="1"/>
    <col min="13570" max="13570" width="97.7109375" style="1" customWidth="1"/>
    <col min="13571" max="13824" width="9.140625" style="1"/>
    <col min="13825" max="13825" width="57.140625" style="1" customWidth="1"/>
    <col min="13826" max="13826" width="97.7109375" style="1" customWidth="1"/>
    <col min="13827" max="14080" width="9.140625" style="1"/>
    <col min="14081" max="14081" width="57.140625" style="1" customWidth="1"/>
    <col min="14082" max="14082" width="97.7109375" style="1" customWidth="1"/>
    <col min="14083" max="14336" width="9.140625" style="1"/>
    <col min="14337" max="14337" width="57.140625" style="1" customWidth="1"/>
    <col min="14338" max="14338" width="97.7109375" style="1" customWidth="1"/>
    <col min="14339" max="14592" width="9.140625" style="1"/>
    <col min="14593" max="14593" width="57.140625" style="1" customWidth="1"/>
    <col min="14594" max="14594" width="97.7109375" style="1" customWidth="1"/>
    <col min="14595" max="14848" width="9.140625" style="1"/>
    <col min="14849" max="14849" width="57.140625" style="1" customWidth="1"/>
    <col min="14850" max="14850" width="97.7109375" style="1" customWidth="1"/>
    <col min="14851" max="15104" width="9.140625" style="1"/>
    <col min="15105" max="15105" width="57.140625" style="1" customWidth="1"/>
    <col min="15106" max="15106" width="97.7109375" style="1" customWidth="1"/>
    <col min="15107" max="15360" width="9.140625" style="1"/>
    <col min="15361" max="15361" width="57.140625" style="1" customWidth="1"/>
    <col min="15362" max="15362" width="97.7109375" style="1" customWidth="1"/>
    <col min="15363" max="15616" width="9.140625" style="1"/>
    <col min="15617" max="15617" width="57.140625" style="1" customWidth="1"/>
    <col min="15618" max="15618" width="97.7109375" style="1" customWidth="1"/>
    <col min="15619" max="15872" width="9.140625" style="1"/>
    <col min="15873" max="15873" width="57.140625" style="1" customWidth="1"/>
    <col min="15874" max="15874" width="97.7109375" style="1" customWidth="1"/>
    <col min="15875" max="16128" width="9.140625" style="1"/>
    <col min="16129" max="16129" width="57.140625" style="1" customWidth="1"/>
    <col min="16130" max="16130" width="97.7109375" style="1" customWidth="1"/>
    <col min="16131" max="16384" width="9.140625" style="1"/>
  </cols>
  <sheetData>
    <row r="1" s="333" customFormat="1" spans="1:13">
      <c r="A1" s="335" t="s">
        <v>7</v>
      </c>
      <c r="B1" s="336" t="s">
        <v>8</v>
      </c>
    </row>
    <row r="2" s="333" customFormat="1" spans="1:13">
      <c r="A2" s="335" t="s">
        <v>9</v>
      </c>
      <c r="B2" s="336" t="s">
        <v>10</v>
      </c>
    </row>
    <row r="3" s="333" customFormat="1" spans="1:13">
      <c r="A3" s="335" t="s">
        <v>11</v>
      </c>
      <c r="B3" s="336" t="s">
        <v>12</v>
      </c>
    </row>
    <row r="4" s="333" customFormat="1" spans="1:13">
      <c r="A4" s="335" t="s">
        <v>13</v>
      </c>
      <c r="B4" s="336" t="s">
        <v>14</v>
      </c>
    </row>
    <row r="5" s="333" customFormat="1" spans="1:13">
      <c r="A5" s="335" t="s">
        <v>15</v>
      </c>
      <c r="B5" s="337" t="s">
        <v>16</v>
      </c>
      <c r="C5" s="334"/>
    </row>
    <row r="6" s="333" customFormat="1" ht="17" spans="1:13">
      <c r="A6" s="335" t="s">
        <v>17</v>
      </c>
      <c r="B6" s="338" t="s">
        <v>18</v>
      </c>
    </row>
    <row r="7" s="333" customFormat="1" ht="17" spans="1:13">
      <c r="A7" s="335" t="s">
        <v>19</v>
      </c>
      <c r="B7" s="339" t="s">
        <v>20</v>
      </c>
      <c r="M7" s="340"/>
    </row>
    <row r="8" s="333" customFormat="1" ht="68" spans="1:13">
      <c r="A8" s="341" t="s">
        <v>21</v>
      </c>
      <c r="B8" s="342" t="s">
        <v>22</v>
      </c>
    </row>
    <row r="9" s="333" customFormat="1" ht="68" spans="1:13">
      <c r="A9" s="341" t="s">
        <v>23</v>
      </c>
      <c r="B9" s="342" t="s">
        <v>24</v>
      </c>
    </row>
    <row r="10" s="333" customFormat="1" spans="1:13">
      <c r="A10" s="335" t="s">
        <v>25</v>
      </c>
      <c r="B10" s="343" t="s">
        <v>26</v>
      </c>
      <c r="M10" s="340"/>
    </row>
    <row r="11" s="333" customFormat="1" spans="1:13">
      <c r="A11" s="335" t="s">
        <v>27</v>
      </c>
      <c r="B11" s="343" t="s">
        <v>28</v>
      </c>
      <c r="M11" s="340"/>
    </row>
    <row r="12" s="333" customFormat="1" ht="34" spans="1:13">
      <c r="A12" s="335" t="s">
        <v>29</v>
      </c>
      <c r="B12" s="338" t="s">
        <v>30</v>
      </c>
      <c r="M12" s="340"/>
    </row>
    <row r="13" spans="1:13">
      <c r="A13" s="335" t="s">
        <v>31</v>
      </c>
      <c r="B13" s="344">
        <v>46213</v>
      </c>
      <c r="M13" s="345"/>
    </row>
    <row r="14" spans="1:13">
      <c r="A14" s="335" t="s">
        <v>32</v>
      </c>
      <c r="B14" s="344">
        <v>46295</v>
      </c>
      <c r="M14" s="346"/>
    </row>
    <row r="15" spans="1:13">
      <c r="A15" s="335" t="s">
        <v>33</v>
      </c>
      <c r="B15" s="336" t="s">
        <v>34</v>
      </c>
      <c r="M15" s="345"/>
    </row>
    <row r="16" spans="1:13">
      <c r="A16" s="335" t="s">
        <v>35</v>
      </c>
      <c r="B16" s="336" t="s">
        <v>36</v>
      </c>
      <c r="M16" s="346"/>
    </row>
    <row r="17" spans="1:13">
      <c r="A17" s="335" t="s">
        <v>37</v>
      </c>
      <c r="B17" s="347" t="s">
        <v>38</v>
      </c>
      <c r="M17" s="345"/>
    </row>
    <row r="18" ht="17" spans="1:13">
      <c r="A18" s="335" t="s">
        <v>39</v>
      </c>
      <c r="B18" s="338" t="s">
        <v>40</v>
      </c>
      <c r="M18" s="346"/>
    </row>
    <row r="19" ht="118" spans="1:13">
      <c r="A19" s="348" t="s">
        <v>41</v>
      </c>
      <c r="B19" s="349" t="s">
        <v>42</v>
      </c>
      <c r="C19" s="350"/>
      <c r="M19" s="346"/>
    </row>
    <row r="20" spans="1:13">
      <c r="M20" s="345"/>
    </row>
    <row r="21" spans="1:13">
      <c r="M21" s="346"/>
    </row>
    <row r="22" spans="1:13">
      <c r="M22" s="345"/>
    </row>
    <row r="23" spans="1:13">
      <c r="B23" s="351"/>
    </row>
  </sheetData>
  <hyperlinks>
    <hyperlink ref="B6" location="'7. ED indicators'!A1" display="External Debt indicators"/>
    <hyperlink ref="B18" r:id="rId1" display="kasimova@nationalbank.kz"/>
  </hyperlinks>
  <pageMargins left="0.708661417322835" right="0.708661417322835" top="0.748031496062992" bottom="0.748031496062992" header="0.31496062992126" footer="0.31496062992126"/>
  <pageSetup paperSize="9" scale="83"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D7BB"/>
    <pageSetUpPr fitToPage="1"/>
  </sheetPr>
  <dimension ref="A2:C14"/>
  <sheetViews>
    <sheetView workbookViewId="0">
      <selection activeCell="A1" sqref="A1"/>
    </sheetView>
  </sheetViews>
  <sheetFormatPr defaultColWidth="9" defaultRowHeight="16.8" outlineLevelCol="2"/>
  <cols>
    <col min="1" max="1" width="16.4296875" style="326" customWidth="1"/>
    <col min="2" max="2" width="93" style="326" customWidth="1"/>
  </cols>
  <sheetData>
    <row r="2" ht="15.75" customHeight="1" spans="1:3">
      <c r="A2" s="327" t="s">
        <v>43</v>
      </c>
      <c r="B2" s="327"/>
    </row>
    <row r="3" ht="17.6" spans="1:3">
      <c r="A3" s="327"/>
      <c r="B3" s="327"/>
    </row>
    <row r="4" spans="1:3">
      <c r="A4" s="328" t="s">
        <v>44</v>
      </c>
      <c r="B4" s="328"/>
    </row>
    <row r="5" spans="1:3">
      <c r="A5" s="329" t="s">
        <v>45</v>
      </c>
      <c r="B5" s="330" t="s">
        <v>46</v>
      </c>
      <c r="C5" s="331"/>
    </row>
    <row r="6" spans="1:3">
      <c r="A6" s="329" t="s">
        <v>47</v>
      </c>
      <c r="B6" s="330" t="s">
        <v>48</v>
      </c>
      <c r="C6" s="331"/>
    </row>
    <row r="7" spans="1:3">
      <c r="A7" s="329" t="s">
        <v>49</v>
      </c>
      <c r="B7" s="330" t="s">
        <v>50</v>
      </c>
      <c r="C7" s="331"/>
    </row>
    <row r="8" spans="1:3">
      <c r="A8" s="329" t="s">
        <v>51</v>
      </c>
      <c r="B8" s="330" t="s">
        <v>52</v>
      </c>
    </row>
    <row r="9" spans="1:3">
      <c r="A9" s="329" t="s">
        <v>53</v>
      </c>
      <c r="B9" s="330" t="s">
        <v>54</v>
      </c>
    </row>
    <row r="10" spans="1:3">
      <c r="A10" s="329" t="s">
        <v>55</v>
      </c>
      <c r="B10" s="330" t="s">
        <v>56</v>
      </c>
    </row>
    <row r="11" spans="1:3">
      <c r="A11" s="332"/>
      <c r="B11" s="332"/>
    </row>
    <row r="12" spans="1:3">
      <c r="A12" s="332"/>
      <c r="B12" s="332"/>
    </row>
    <row r="13" spans="1:3">
      <c r="A13" s="332"/>
      <c r="B13" s="332"/>
    </row>
    <row r="14" spans="1:3">
      <c r="A14" s="332"/>
      <c r="B14" s="332"/>
    </row>
  </sheetData>
  <mergeCells count="2">
    <mergeCell ref="A2:B2"/>
    <mergeCell ref="A4:B4"/>
  </mergeCells>
  <hyperlinks>
    <hyperlink ref="B5" location="'1. standard presentation'!A1" display="Standard presentation "/>
    <hyperlink ref="B6" location="'2. analytical presentation'!A1" display="Analytical presentation "/>
    <hyperlink ref="B7" location="'3. indicators'!A1" display="Absolute and comparative indicators"/>
    <hyperlink ref="B8" location="'4. reconciliation'!A1" display="Reconciliation of positions and flows of the external debt"/>
    <hyperlink ref="B9" location="'5. net external debt'!A1" display="Net external debt"/>
    <hyperlink ref="B10" location="'6. bonds_location of issue'!A1" display="Debt securities (issued by residents and belonging to non-residents) by the location of the issue"/>
  </hyperlinks>
  <pageMargins left="0.708661417322835" right="0.708661417322835" top="0.748031496062992" bottom="0.748031496062992" header="0.31496062992126" footer="0.31496062992126"/>
  <pageSetup paperSize="9"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Z232"/>
  <sheetViews>
    <sheetView showGridLines="0" zoomScale="85" zoomScaleNormal="85" zoomScaleSheetLayoutView="85" workbookViewId="0">
      <pane xSplit="2" ySplit="3" topLeftCell="CL4" activePane="bottomRight" state="frozen"/>
      <selection/>
      <selection pane="topRight"/>
      <selection pane="bottomLeft"/>
      <selection pane="bottomRight" activeCell="D3" sqref="D3"/>
    </sheetView>
  </sheetViews>
  <sheetFormatPr defaultColWidth="9" defaultRowHeight="14.4"/>
  <cols>
    <col min="1" max="1" width="34.7109375" style="278" customWidth="1"/>
    <col min="2" max="2" width="22.859375" style="279" customWidth="1"/>
    <col min="3" max="3" width="10.2890625" style="280" customWidth="1"/>
    <col min="4" max="6" width="10.2890625" style="280" customWidth="1" outlineLevel="1"/>
    <col min="7" max="7" width="10.2890625" style="280" customWidth="1"/>
    <col min="8" max="9" width="10.2890625" style="280" customWidth="1" outlineLevel="1"/>
    <col min="10" max="10" width="10.2890625" style="280" customWidth="1" outlineLevel="1" collapsed="1"/>
    <col min="11" max="11" width="10.2890625" style="280" customWidth="1"/>
    <col min="12" max="13" width="10.2890625" style="280" customWidth="1" outlineLevel="1"/>
    <col min="14" max="14" width="10.2890625" style="280" customWidth="1" outlineLevel="1" collapsed="1"/>
    <col min="15" max="15" width="10.2890625" style="280" customWidth="1"/>
    <col min="16" max="17" width="10.2890625" style="280" customWidth="1" outlineLevel="1"/>
    <col min="18" max="18" width="10.2890625" style="280" customWidth="1" outlineLevel="1" collapsed="1"/>
    <col min="19" max="19" width="10.2890625" style="280" customWidth="1"/>
    <col min="20" max="21" width="10.2890625" style="280" customWidth="1" outlineLevel="1"/>
    <col min="22" max="22" width="10.2890625" style="280" customWidth="1" outlineLevel="1" collapsed="1"/>
    <col min="23" max="23" width="10.2890625" style="280" customWidth="1"/>
    <col min="24" max="25" width="10.2890625" style="280" customWidth="1" outlineLevel="1"/>
    <col min="26" max="26" width="10.2890625" style="280" customWidth="1" outlineLevel="1" collapsed="1"/>
    <col min="27" max="27" width="10.2890625" style="280" customWidth="1"/>
    <col min="28" max="29" width="10.2890625" style="280" customWidth="1" outlineLevel="1"/>
    <col min="30" max="30" width="10.2890625" style="280" customWidth="1" outlineLevel="1" collapsed="1"/>
    <col min="31" max="31" width="10.2890625" style="280" customWidth="1"/>
    <col min="32" max="33" width="10.2890625" style="280" customWidth="1" outlineLevel="1"/>
    <col min="34" max="34" width="10.2890625" style="280" customWidth="1" outlineLevel="1" collapsed="1"/>
    <col min="35" max="35" width="10.2890625" style="278" customWidth="1"/>
    <col min="36" max="37" width="10.2890625" style="52" customWidth="1" outlineLevel="1"/>
    <col min="38" max="38" width="10.2890625" style="52" customWidth="1" outlineLevel="1" collapsed="1"/>
    <col min="39" max="39" width="10.2890625" style="52" customWidth="1"/>
    <col min="40" max="41" width="10.2890625" style="52" customWidth="1" outlineLevel="1"/>
    <col min="42" max="42" width="10.2890625" style="52" customWidth="1" outlineLevel="1" collapsed="1"/>
    <col min="43" max="43" width="10.2890625" style="52" customWidth="1"/>
    <col min="44" max="45" width="10.2890625" style="52" customWidth="1" outlineLevel="1"/>
    <col min="46" max="46" width="10.2890625" style="52" customWidth="1" outlineLevel="1" collapsed="1"/>
    <col min="47" max="47" width="10.2890625" style="52" customWidth="1"/>
    <col min="48" max="50" width="10.2890625" style="52" customWidth="1" outlineLevel="1"/>
    <col min="51" max="51" width="10.2890625" style="52" customWidth="1"/>
    <col min="52" max="54" width="10.2890625" style="52" customWidth="1" outlineLevel="1"/>
    <col min="55" max="55" width="10.2890625" style="52" customWidth="1"/>
    <col min="56" max="58" width="10.2890625" style="52" customWidth="1" outlineLevel="1"/>
    <col min="59" max="59" width="10.2890625" style="52" customWidth="1"/>
    <col min="60" max="62" width="10.2890625" style="52" customWidth="1" outlineLevel="1"/>
    <col min="63" max="63" width="10.2890625" style="52" customWidth="1"/>
    <col min="64" max="66" width="10.2890625" style="52" customWidth="1" outlineLevel="1"/>
    <col min="67" max="67" width="10.2890625" style="52" customWidth="1"/>
    <col min="68" max="69" width="10.2890625" style="52" customWidth="1" outlineLevel="1"/>
    <col min="70" max="70" width="10" style="52" customWidth="1" outlineLevel="1"/>
    <col min="71" max="71" width="10.4296875" style="52" customWidth="1"/>
    <col min="72" max="72" width="10.2890625" style="54" customWidth="1" outlineLevel="1"/>
    <col min="73" max="74" width="10.2890625" style="52" customWidth="1" outlineLevel="1"/>
    <col min="75" max="75" width="10.2890625" style="52" customWidth="1"/>
    <col min="76" max="76" width="10.2890625" style="52" customWidth="1" outlineLevel="1"/>
    <col min="77" max="77" width="10" style="52" customWidth="1" outlineLevel="1"/>
    <col min="78" max="78" width="10.2890625" style="52" customWidth="1" outlineLevel="1"/>
    <col min="79" max="79" width="10.2890625" style="52" customWidth="1"/>
    <col min="80" max="80" width="10.2890625" style="54" customWidth="1" outlineLevel="1"/>
    <col min="81" max="82" width="10.2890625" style="52" customWidth="1" outlineLevel="1"/>
    <col min="83" max="83" width="10.2890625" style="52" customWidth="1"/>
    <col min="84" max="84" width="10.2890625" style="54" customWidth="1" outlineLevel="1"/>
    <col min="85" max="86" width="10" style="54" customWidth="1" outlineLevel="1"/>
    <col min="87" max="87" width="10" style="54" customWidth="1"/>
    <col min="88" max="90" width="10" style="54" customWidth="1" outlineLevel="1"/>
    <col min="91" max="91" width="10" style="54" customWidth="1"/>
    <col min="92" max="94" width="10" style="54" customWidth="1" outlineLevel="1"/>
    <col min="95" max="95" width="10" style="54" customWidth="1"/>
    <col min="96" max="98" width="10" style="54" customWidth="1" outlineLevel="1"/>
    <col min="99" max="104" width="10" style="54" customWidth="1"/>
    <col min="105" max="256" width="9.140625" style="52"/>
    <col min="257" max="257" width="38.5703125" style="52" customWidth="1"/>
    <col min="258" max="258" width="22.859375" style="52" customWidth="1"/>
    <col min="259" max="259" width="10.2890625" style="52" customWidth="1"/>
    <col min="260" max="262" width="9" style="52" hidden="1" customWidth="1"/>
    <col min="263" max="263" width="10.2890625" style="52" customWidth="1"/>
    <col min="264" max="266" width="9" style="52" hidden="1" customWidth="1"/>
    <col min="267" max="267" width="10.2890625" style="52" customWidth="1"/>
    <col min="268" max="270" width="9" style="52" hidden="1" customWidth="1"/>
    <col min="271" max="271" width="10.2890625" style="52" customWidth="1"/>
    <col min="272" max="274" width="9" style="52" hidden="1" customWidth="1"/>
    <col min="275" max="275" width="10.2890625" style="52" customWidth="1"/>
    <col min="276" max="278" width="9" style="52" hidden="1" customWidth="1"/>
    <col min="279" max="279" width="10.2890625" style="52" customWidth="1"/>
    <col min="280" max="282" width="9" style="52" hidden="1" customWidth="1"/>
    <col min="283" max="283" width="10.2890625" style="52" customWidth="1"/>
    <col min="284" max="286" width="9" style="52" hidden="1" customWidth="1"/>
    <col min="287" max="287" width="10.2890625" style="52" customWidth="1"/>
    <col min="288" max="290" width="9" style="52" hidden="1" customWidth="1"/>
    <col min="291" max="291" width="10.2890625" style="52" customWidth="1"/>
    <col min="292" max="294" width="9" style="52" hidden="1" customWidth="1"/>
    <col min="295" max="295" width="10.2890625" style="52" customWidth="1"/>
    <col min="296" max="298" width="9" style="52" hidden="1" customWidth="1"/>
    <col min="299" max="299" width="10.2890625" style="52" customWidth="1"/>
    <col min="300" max="302" width="9" style="52" hidden="1" customWidth="1"/>
    <col min="303" max="303" width="10.2890625" style="52" customWidth="1"/>
    <col min="304" max="306" width="9" style="52" hidden="1" customWidth="1"/>
    <col min="307" max="307" width="10.2890625" style="52" customWidth="1"/>
    <col min="308" max="310" width="9" style="52" hidden="1" customWidth="1"/>
    <col min="311" max="311" width="10.2890625" style="52" customWidth="1"/>
    <col min="312" max="314" width="9" style="52" hidden="1" customWidth="1"/>
    <col min="315" max="315" width="10.2890625" style="52" customWidth="1"/>
    <col min="316" max="318" width="9" style="52" hidden="1" customWidth="1"/>
    <col min="319" max="319" width="10.2890625" style="52" customWidth="1"/>
    <col min="320" max="322" width="9" style="52" hidden="1" customWidth="1"/>
    <col min="323" max="323" width="10.2890625" style="52" customWidth="1"/>
    <col min="324" max="326" width="9" style="52" hidden="1" customWidth="1"/>
    <col min="327" max="327" width="10.4296875" style="52" customWidth="1"/>
    <col min="328" max="330" width="9" style="52" hidden="1" customWidth="1"/>
    <col min="331" max="332" width="10.2890625" style="52" customWidth="1"/>
    <col min="333" max="333" width="10" style="52" customWidth="1"/>
    <col min="334" max="335" width="10.2890625" style="52" customWidth="1"/>
    <col min="336" max="512" width="9.140625" style="52"/>
    <col min="513" max="513" width="38.5703125" style="52" customWidth="1"/>
    <col min="514" max="514" width="22.859375" style="52" customWidth="1"/>
    <col min="515" max="515" width="10.2890625" style="52" customWidth="1"/>
    <col min="516" max="518" width="9" style="52" hidden="1" customWidth="1"/>
    <col min="519" max="519" width="10.2890625" style="52" customWidth="1"/>
    <col min="520" max="522" width="9" style="52" hidden="1" customWidth="1"/>
    <col min="523" max="523" width="10.2890625" style="52" customWidth="1"/>
    <col min="524" max="526" width="9" style="52" hidden="1" customWidth="1"/>
    <col min="527" max="527" width="10.2890625" style="52" customWidth="1"/>
    <col min="528" max="530" width="9" style="52" hidden="1" customWidth="1"/>
    <col min="531" max="531" width="10.2890625" style="52" customWidth="1"/>
    <col min="532" max="534" width="9" style="52" hidden="1" customWidth="1"/>
    <col min="535" max="535" width="10.2890625" style="52" customWidth="1"/>
    <col min="536" max="538" width="9" style="52" hidden="1" customWidth="1"/>
    <col min="539" max="539" width="10.2890625" style="52" customWidth="1"/>
    <col min="540" max="542" width="9" style="52" hidden="1" customWidth="1"/>
    <col min="543" max="543" width="10.2890625" style="52" customWidth="1"/>
    <col min="544" max="546" width="9" style="52" hidden="1" customWidth="1"/>
    <col min="547" max="547" width="10.2890625" style="52" customWidth="1"/>
    <col min="548" max="550" width="9" style="52" hidden="1" customWidth="1"/>
    <col min="551" max="551" width="10.2890625" style="52" customWidth="1"/>
    <col min="552" max="554" width="9" style="52" hidden="1" customWidth="1"/>
    <col min="555" max="555" width="10.2890625" style="52" customWidth="1"/>
    <col min="556" max="558" width="9" style="52" hidden="1" customWidth="1"/>
    <col min="559" max="559" width="10.2890625" style="52" customWidth="1"/>
    <col min="560" max="562" width="9" style="52" hidden="1" customWidth="1"/>
    <col min="563" max="563" width="10.2890625" style="52" customWidth="1"/>
    <col min="564" max="566" width="9" style="52" hidden="1" customWidth="1"/>
    <col min="567" max="567" width="10.2890625" style="52" customWidth="1"/>
    <col min="568" max="570" width="9" style="52" hidden="1" customWidth="1"/>
    <col min="571" max="571" width="10.2890625" style="52" customWidth="1"/>
    <col min="572" max="574" width="9" style="52" hidden="1" customWidth="1"/>
    <col min="575" max="575" width="10.2890625" style="52" customWidth="1"/>
    <col min="576" max="578" width="9" style="52" hidden="1" customWidth="1"/>
    <col min="579" max="579" width="10.2890625" style="52" customWidth="1"/>
    <col min="580" max="582" width="9" style="52" hidden="1" customWidth="1"/>
    <col min="583" max="583" width="10.4296875" style="52" customWidth="1"/>
    <col min="584" max="586" width="9" style="52" hidden="1" customWidth="1"/>
    <col min="587" max="588" width="10.2890625" style="52" customWidth="1"/>
    <col min="589" max="589" width="10" style="52" customWidth="1"/>
    <col min="590" max="591" width="10.2890625" style="52" customWidth="1"/>
    <col min="592" max="768" width="9.140625" style="52"/>
    <col min="769" max="769" width="38.5703125" style="52" customWidth="1"/>
    <col min="770" max="770" width="22.859375" style="52" customWidth="1"/>
    <col min="771" max="771" width="10.2890625" style="52" customWidth="1"/>
    <col min="772" max="774" width="9" style="52" hidden="1" customWidth="1"/>
    <col min="775" max="775" width="10.2890625" style="52" customWidth="1"/>
    <col min="776" max="778" width="9" style="52" hidden="1" customWidth="1"/>
    <col min="779" max="779" width="10.2890625" style="52" customWidth="1"/>
    <col min="780" max="782" width="9" style="52" hidden="1" customWidth="1"/>
    <col min="783" max="783" width="10.2890625" style="52" customWidth="1"/>
    <col min="784" max="786" width="9" style="52" hidden="1" customWidth="1"/>
    <col min="787" max="787" width="10.2890625" style="52" customWidth="1"/>
    <col min="788" max="790" width="9" style="52" hidden="1" customWidth="1"/>
    <col min="791" max="791" width="10.2890625" style="52" customWidth="1"/>
    <col min="792" max="794" width="9" style="52" hidden="1" customWidth="1"/>
    <col min="795" max="795" width="10.2890625" style="52" customWidth="1"/>
    <col min="796" max="798" width="9" style="52" hidden="1" customWidth="1"/>
    <col min="799" max="799" width="10.2890625" style="52" customWidth="1"/>
    <col min="800" max="802" width="9" style="52" hidden="1" customWidth="1"/>
    <col min="803" max="803" width="10.2890625" style="52" customWidth="1"/>
    <col min="804" max="806" width="9" style="52" hidden="1" customWidth="1"/>
    <col min="807" max="807" width="10.2890625" style="52" customWidth="1"/>
    <col min="808" max="810" width="9" style="52" hidden="1" customWidth="1"/>
    <col min="811" max="811" width="10.2890625" style="52" customWidth="1"/>
    <col min="812" max="814" width="9" style="52" hidden="1" customWidth="1"/>
    <col min="815" max="815" width="10.2890625" style="52" customWidth="1"/>
    <col min="816" max="818" width="9" style="52" hidden="1" customWidth="1"/>
    <col min="819" max="819" width="10.2890625" style="52" customWidth="1"/>
    <col min="820" max="822" width="9" style="52" hidden="1" customWidth="1"/>
    <col min="823" max="823" width="10.2890625" style="52" customWidth="1"/>
    <col min="824" max="826" width="9" style="52" hidden="1" customWidth="1"/>
    <col min="827" max="827" width="10.2890625" style="52" customWidth="1"/>
    <col min="828" max="830" width="9" style="52" hidden="1" customWidth="1"/>
    <col min="831" max="831" width="10.2890625" style="52" customWidth="1"/>
    <col min="832" max="834" width="9" style="52" hidden="1" customWidth="1"/>
    <col min="835" max="835" width="10.2890625" style="52" customWidth="1"/>
    <col min="836" max="838" width="9" style="52" hidden="1" customWidth="1"/>
    <col min="839" max="839" width="10.4296875" style="52" customWidth="1"/>
    <col min="840" max="842" width="9" style="52" hidden="1" customWidth="1"/>
    <col min="843" max="844" width="10.2890625" style="52" customWidth="1"/>
    <col min="845" max="845" width="10" style="52" customWidth="1"/>
    <col min="846" max="847" width="10.2890625" style="52" customWidth="1"/>
    <col min="848" max="1024" width="9.140625" style="52"/>
    <col min="1025" max="1025" width="38.5703125" style="52" customWidth="1"/>
    <col min="1026" max="1026" width="22.859375" style="52" customWidth="1"/>
    <col min="1027" max="1027" width="10.2890625" style="52" customWidth="1"/>
    <col min="1028" max="1030" width="9" style="52" hidden="1" customWidth="1"/>
    <col min="1031" max="1031" width="10.2890625" style="52" customWidth="1"/>
    <col min="1032" max="1034" width="9" style="52" hidden="1" customWidth="1"/>
    <col min="1035" max="1035" width="10.2890625" style="52" customWidth="1"/>
    <col min="1036" max="1038" width="9" style="52" hidden="1" customWidth="1"/>
    <col min="1039" max="1039" width="10.2890625" style="52" customWidth="1"/>
    <col min="1040" max="1042" width="9" style="52" hidden="1" customWidth="1"/>
    <col min="1043" max="1043" width="10.2890625" style="52" customWidth="1"/>
    <col min="1044" max="1046" width="9" style="52" hidden="1" customWidth="1"/>
    <col min="1047" max="1047" width="10.2890625" style="52" customWidth="1"/>
    <col min="1048" max="1050" width="9" style="52" hidden="1" customWidth="1"/>
    <col min="1051" max="1051" width="10.2890625" style="52" customWidth="1"/>
    <col min="1052" max="1054" width="9" style="52" hidden="1" customWidth="1"/>
    <col min="1055" max="1055" width="10.2890625" style="52" customWidth="1"/>
    <col min="1056" max="1058" width="9" style="52" hidden="1" customWidth="1"/>
    <col min="1059" max="1059" width="10.2890625" style="52" customWidth="1"/>
    <col min="1060" max="1062" width="9" style="52" hidden="1" customWidth="1"/>
    <col min="1063" max="1063" width="10.2890625" style="52" customWidth="1"/>
    <col min="1064" max="1066" width="9" style="52" hidden="1" customWidth="1"/>
    <col min="1067" max="1067" width="10.2890625" style="52" customWidth="1"/>
    <col min="1068" max="1070" width="9" style="52" hidden="1" customWidth="1"/>
    <col min="1071" max="1071" width="10.2890625" style="52" customWidth="1"/>
    <col min="1072" max="1074" width="9" style="52" hidden="1" customWidth="1"/>
    <col min="1075" max="1075" width="10.2890625" style="52" customWidth="1"/>
    <col min="1076" max="1078" width="9" style="52" hidden="1" customWidth="1"/>
    <col min="1079" max="1079" width="10.2890625" style="52" customWidth="1"/>
    <col min="1080" max="1082" width="9" style="52" hidden="1" customWidth="1"/>
    <col min="1083" max="1083" width="10.2890625" style="52" customWidth="1"/>
    <col min="1084" max="1086" width="9" style="52" hidden="1" customWidth="1"/>
    <col min="1087" max="1087" width="10.2890625" style="52" customWidth="1"/>
    <col min="1088" max="1090" width="9" style="52" hidden="1" customWidth="1"/>
    <col min="1091" max="1091" width="10.2890625" style="52" customWidth="1"/>
    <col min="1092" max="1094" width="9" style="52" hidden="1" customWidth="1"/>
    <col min="1095" max="1095" width="10.4296875" style="52" customWidth="1"/>
    <col min="1096" max="1098" width="9" style="52" hidden="1" customWidth="1"/>
    <col min="1099" max="1100" width="10.2890625" style="52" customWidth="1"/>
    <col min="1101" max="1101" width="10" style="52" customWidth="1"/>
    <col min="1102" max="1103" width="10.2890625" style="52" customWidth="1"/>
    <col min="1104" max="1280" width="9.140625" style="52"/>
    <col min="1281" max="1281" width="38.5703125" style="52" customWidth="1"/>
    <col min="1282" max="1282" width="22.859375" style="52" customWidth="1"/>
    <col min="1283" max="1283" width="10.2890625" style="52" customWidth="1"/>
    <col min="1284" max="1286" width="9" style="52" hidden="1" customWidth="1"/>
    <col min="1287" max="1287" width="10.2890625" style="52" customWidth="1"/>
    <col min="1288" max="1290" width="9" style="52" hidden="1" customWidth="1"/>
    <col min="1291" max="1291" width="10.2890625" style="52" customWidth="1"/>
    <col min="1292" max="1294" width="9" style="52" hidden="1" customWidth="1"/>
    <col min="1295" max="1295" width="10.2890625" style="52" customWidth="1"/>
    <col min="1296" max="1298" width="9" style="52" hidden="1" customWidth="1"/>
    <col min="1299" max="1299" width="10.2890625" style="52" customWidth="1"/>
    <col min="1300" max="1302" width="9" style="52" hidden="1" customWidth="1"/>
    <col min="1303" max="1303" width="10.2890625" style="52" customWidth="1"/>
    <col min="1304" max="1306" width="9" style="52" hidden="1" customWidth="1"/>
    <col min="1307" max="1307" width="10.2890625" style="52" customWidth="1"/>
    <col min="1308" max="1310" width="9" style="52" hidden="1" customWidth="1"/>
    <col min="1311" max="1311" width="10.2890625" style="52" customWidth="1"/>
    <col min="1312" max="1314" width="9" style="52" hidden="1" customWidth="1"/>
    <col min="1315" max="1315" width="10.2890625" style="52" customWidth="1"/>
    <col min="1316" max="1318" width="9" style="52" hidden="1" customWidth="1"/>
    <col min="1319" max="1319" width="10.2890625" style="52" customWidth="1"/>
    <col min="1320" max="1322" width="9" style="52" hidden="1" customWidth="1"/>
    <col min="1323" max="1323" width="10.2890625" style="52" customWidth="1"/>
    <col min="1324" max="1326" width="9" style="52" hidden="1" customWidth="1"/>
    <col min="1327" max="1327" width="10.2890625" style="52" customWidth="1"/>
    <col min="1328" max="1330" width="9" style="52" hidden="1" customWidth="1"/>
    <col min="1331" max="1331" width="10.2890625" style="52" customWidth="1"/>
    <col min="1332" max="1334" width="9" style="52" hidden="1" customWidth="1"/>
    <col min="1335" max="1335" width="10.2890625" style="52" customWidth="1"/>
    <col min="1336" max="1338" width="9" style="52" hidden="1" customWidth="1"/>
    <col min="1339" max="1339" width="10.2890625" style="52" customWidth="1"/>
    <col min="1340" max="1342" width="9" style="52" hidden="1" customWidth="1"/>
    <col min="1343" max="1343" width="10.2890625" style="52" customWidth="1"/>
    <col min="1344" max="1346" width="9" style="52" hidden="1" customWidth="1"/>
    <col min="1347" max="1347" width="10.2890625" style="52" customWidth="1"/>
    <col min="1348" max="1350" width="9" style="52" hidden="1" customWidth="1"/>
    <col min="1351" max="1351" width="10.4296875" style="52" customWidth="1"/>
    <col min="1352" max="1354" width="9" style="52" hidden="1" customWidth="1"/>
    <col min="1355" max="1356" width="10.2890625" style="52" customWidth="1"/>
    <col min="1357" max="1357" width="10" style="52" customWidth="1"/>
    <col min="1358" max="1359" width="10.2890625" style="52" customWidth="1"/>
    <col min="1360" max="1536" width="9.140625" style="52"/>
    <col min="1537" max="1537" width="38.5703125" style="52" customWidth="1"/>
    <col min="1538" max="1538" width="22.859375" style="52" customWidth="1"/>
    <col min="1539" max="1539" width="10.2890625" style="52" customWidth="1"/>
    <col min="1540" max="1542" width="9" style="52" hidden="1" customWidth="1"/>
    <col min="1543" max="1543" width="10.2890625" style="52" customWidth="1"/>
    <col min="1544" max="1546" width="9" style="52" hidden="1" customWidth="1"/>
    <col min="1547" max="1547" width="10.2890625" style="52" customWidth="1"/>
    <col min="1548" max="1550" width="9" style="52" hidden="1" customWidth="1"/>
    <col min="1551" max="1551" width="10.2890625" style="52" customWidth="1"/>
    <col min="1552" max="1554" width="9" style="52" hidden="1" customWidth="1"/>
    <col min="1555" max="1555" width="10.2890625" style="52" customWidth="1"/>
    <col min="1556" max="1558" width="9" style="52" hidden="1" customWidth="1"/>
    <col min="1559" max="1559" width="10.2890625" style="52" customWidth="1"/>
    <col min="1560" max="1562" width="9" style="52" hidden="1" customWidth="1"/>
    <col min="1563" max="1563" width="10.2890625" style="52" customWidth="1"/>
    <col min="1564" max="1566" width="9" style="52" hidden="1" customWidth="1"/>
    <col min="1567" max="1567" width="10.2890625" style="52" customWidth="1"/>
    <col min="1568" max="1570" width="9" style="52" hidden="1" customWidth="1"/>
    <col min="1571" max="1571" width="10.2890625" style="52" customWidth="1"/>
    <col min="1572" max="1574" width="9" style="52" hidden="1" customWidth="1"/>
    <col min="1575" max="1575" width="10.2890625" style="52" customWidth="1"/>
    <col min="1576" max="1578" width="9" style="52" hidden="1" customWidth="1"/>
    <col min="1579" max="1579" width="10.2890625" style="52" customWidth="1"/>
    <col min="1580" max="1582" width="9" style="52" hidden="1" customWidth="1"/>
    <col min="1583" max="1583" width="10.2890625" style="52" customWidth="1"/>
    <col min="1584" max="1586" width="9" style="52" hidden="1" customWidth="1"/>
    <col min="1587" max="1587" width="10.2890625" style="52" customWidth="1"/>
    <col min="1588" max="1590" width="9" style="52" hidden="1" customWidth="1"/>
    <col min="1591" max="1591" width="10.2890625" style="52" customWidth="1"/>
    <col min="1592" max="1594" width="9" style="52" hidden="1" customWidth="1"/>
    <col min="1595" max="1595" width="10.2890625" style="52" customWidth="1"/>
    <col min="1596" max="1598" width="9" style="52" hidden="1" customWidth="1"/>
    <col min="1599" max="1599" width="10.2890625" style="52" customWidth="1"/>
    <col min="1600" max="1602" width="9" style="52" hidden="1" customWidth="1"/>
    <col min="1603" max="1603" width="10.2890625" style="52" customWidth="1"/>
    <col min="1604" max="1606" width="9" style="52" hidden="1" customWidth="1"/>
    <col min="1607" max="1607" width="10.4296875" style="52" customWidth="1"/>
    <col min="1608" max="1610" width="9" style="52" hidden="1" customWidth="1"/>
    <col min="1611" max="1612" width="10.2890625" style="52" customWidth="1"/>
    <col min="1613" max="1613" width="10" style="52" customWidth="1"/>
    <col min="1614" max="1615" width="10.2890625" style="52" customWidth="1"/>
    <col min="1616" max="1792" width="9.140625" style="52"/>
    <col min="1793" max="1793" width="38.5703125" style="52" customWidth="1"/>
    <col min="1794" max="1794" width="22.859375" style="52" customWidth="1"/>
    <col min="1795" max="1795" width="10.2890625" style="52" customWidth="1"/>
    <col min="1796" max="1798" width="9" style="52" hidden="1" customWidth="1"/>
    <col min="1799" max="1799" width="10.2890625" style="52" customWidth="1"/>
    <col min="1800" max="1802" width="9" style="52" hidden="1" customWidth="1"/>
    <col min="1803" max="1803" width="10.2890625" style="52" customWidth="1"/>
    <col min="1804" max="1806" width="9" style="52" hidden="1" customWidth="1"/>
    <col min="1807" max="1807" width="10.2890625" style="52" customWidth="1"/>
    <col min="1808" max="1810" width="9" style="52" hidden="1" customWidth="1"/>
    <col min="1811" max="1811" width="10.2890625" style="52" customWidth="1"/>
    <col min="1812" max="1814" width="9" style="52" hidden="1" customWidth="1"/>
    <col min="1815" max="1815" width="10.2890625" style="52" customWidth="1"/>
    <col min="1816" max="1818" width="9" style="52" hidden="1" customWidth="1"/>
    <col min="1819" max="1819" width="10.2890625" style="52" customWidth="1"/>
    <col min="1820" max="1822" width="9" style="52" hidden="1" customWidth="1"/>
    <col min="1823" max="1823" width="10.2890625" style="52" customWidth="1"/>
    <col min="1824" max="1826" width="9" style="52" hidden="1" customWidth="1"/>
    <col min="1827" max="1827" width="10.2890625" style="52" customWidth="1"/>
    <col min="1828" max="1830" width="9" style="52" hidden="1" customWidth="1"/>
    <col min="1831" max="1831" width="10.2890625" style="52" customWidth="1"/>
    <col min="1832" max="1834" width="9" style="52" hidden="1" customWidth="1"/>
    <col min="1835" max="1835" width="10.2890625" style="52" customWidth="1"/>
    <col min="1836" max="1838" width="9" style="52" hidden="1" customWidth="1"/>
    <col min="1839" max="1839" width="10.2890625" style="52" customWidth="1"/>
    <col min="1840" max="1842" width="9" style="52" hidden="1" customWidth="1"/>
    <col min="1843" max="1843" width="10.2890625" style="52" customWidth="1"/>
    <col min="1844" max="1846" width="9" style="52" hidden="1" customWidth="1"/>
    <col min="1847" max="1847" width="10.2890625" style="52" customWidth="1"/>
    <col min="1848" max="1850" width="9" style="52" hidden="1" customWidth="1"/>
    <col min="1851" max="1851" width="10.2890625" style="52" customWidth="1"/>
    <col min="1852" max="1854" width="9" style="52" hidden="1" customWidth="1"/>
    <col min="1855" max="1855" width="10.2890625" style="52" customWidth="1"/>
    <col min="1856" max="1858" width="9" style="52" hidden="1" customWidth="1"/>
    <col min="1859" max="1859" width="10.2890625" style="52" customWidth="1"/>
    <col min="1860" max="1862" width="9" style="52" hidden="1" customWidth="1"/>
    <col min="1863" max="1863" width="10.4296875" style="52" customWidth="1"/>
    <col min="1864" max="1866" width="9" style="52" hidden="1" customWidth="1"/>
    <col min="1867" max="1868" width="10.2890625" style="52" customWidth="1"/>
    <col min="1869" max="1869" width="10" style="52" customWidth="1"/>
    <col min="1870" max="1871" width="10.2890625" style="52" customWidth="1"/>
    <col min="1872" max="2048" width="9.140625" style="52"/>
    <col min="2049" max="2049" width="38.5703125" style="52" customWidth="1"/>
    <col min="2050" max="2050" width="22.859375" style="52" customWidth="1"/>
    <col min="2051" max="2051" width="10.2890625" style="52" customWidth="1"/>
    <col min="2052" max="2054" width="9" style="52" hidden="1" customWidth="1"/>
    <col min="2055" max="2055" width="10.2890625" style="52" customWidth="1"/>
    <col min="2056" max="2058" width="9" style="52" hidden="1" customWidth="1"/>
    <col min="2059" max="2059" width="10.2890625" style="52" customWidth="1"/>
    <col min="2060" max="2062" width="9" style="52" hidden="1" customWidth="1"/>
    <col min="2063" max="2063" width="10.2890625" style="52" customWidth="1"/>
    <col min="2064" max="2066" width="9" style="52" hidden="1" customWidth="1"/>
    <col min="2067" max="2067" width="10.2890625" style="52" customWidth="1"/>
    <col min="2068" max="2070" width="9" style="52" hidden="1" customWidth="1"/>
    <col min="2071" max="2071" width="10.2890625" style="52" customWidth="1"/>
    <col min="2072" max="2074" width="9" style="52" hidden="1" customWidth="1"/>
    <col min="2075" max="2075" width="10.2890625" style="52" customWidth="1"/>
    <col min="2076" max="2078" width="9" style="52" hidden="1" customWidth="1"/>
    <col min="2079" max="2079" width="10.2890625" style="52" customWidth="1"/>
    <col min="2080" max="2082" width="9" style="52" hidden="1" customWidth="1"/>
    <col min="2083" max="2083" width="10.2890625" style="52" customWidth="1"/>
    <col min="2084" max="2086" width="9" style="52" hidden="1" customWidth="1"/>
    <col min="2087" max="2087" width="10.2890625" style="52" customWidth="1"/>
    <col min="2088" max="2090" width="9" style="52" hidden="1" customWidth="1"/>
    <col min="2091" max="2091" width="10.2890625" style="52" customWidth="1"/>
    <col min="2092" max="2094" width="9" style="52" hidden="1" customWidth="1"/>
    <col min="2095" max="2095" width="10.2890625" style="52" customWidth="1"/>
    <col min="2096" max="2098" width="9" style="52" hidden="1" customWidth="1"/>
    <col min="2099" max="2099" width="10.2890625" style="52" customWidth="1"/>
    <col min="2100" max="2102" width="9" style="52" hidden="1" customWidth="1"/>
    <col min="2103" max="2103" width="10.2890625" style="52" customWidth="1"/>
    <col min="2104" max="2106" width="9" style="52" hidden="1" customWidth="1"/>
    <col min="2107" max="2107" width="10.2890625" style="52" customWidth="1"/>
    <col min="2108" max="2110" width="9" style="52" hidden="1" customWidth="1"/>
    <col min="2111" max="2111" width="10.2890625" style="52" customWidth="1"/>
    <col min="2112" max="2114" width="9" style="52" hidden="1" customWidth="1"/>
    <col min="2115" max="2115" width="10.2890625" style="52" customWidth="1"/>
    <col min="2116" max="2118" width="9" style="52" hidden="1" customWidth="1"/>
    <col min="2119" max="2119" width="10.4296875" style="52" customWidth="1"/>
    <col min="2120" max="2122" width="9" style="52" hidden="1" customWidth="1"/>
    <col min="2123" max="2124" width="10.2890625" style="52" customWidth="1"/>
    <col min="2125" max="2125" width="10" style="52" customWidth="1"/>
    <col min="2126" max="2127" width="10.2890625" style="52" customWidth="1"/>
    <col min="2128" max="2304" width="9.140625" style="52"/>
    <col min="2305" max="2305" width="38.5703125" style="52" customWidth="1"/>
    <col min="2306" max="2306" width="22.859375" style="52" customWidth="1"/>
    <col min="2307" max="2307" width="10.2890625" style="52" customWidth="1"/>
    <col min="2308" max="2310" width="9" style="52" hidden="1" customWidth="1"/>
    <col min="2311" max="2311" width="10.2890625" style="52" customWidth="1"/>
    <col min="2312" max="2314" width="9" style="52" hidden="1" customWidth="1"/>
    <col min="2315" max="2315" width="10.2890625" style="52" customWidth="1"/>
    <col min="2316" max="2318" width="9" style="52" hidden="1" customWidth="1"/>
    <col min="2319" max="2319" width="10.2890625" style="52" customWidth="1"/>
    <col min="2320" max="2322" width="9" style="52" hidden="1" customWidth="1"/>
    <col min="2323" max="2323" width="10.2890625" style="52" customWidth="1"/>
    <col min="2324" max="2326" width="9" style="52" hidden="1" customWidth="1"/>
    <col min="2327" max="2327" width="10.2890625" style="52" customWidth="1"/>
    <col min="2328" max="2330" width="9" style="52" hidden="1" customWidth="1"/>
    <col min="2331" max="2331" width="10.2890625" style="52" customWidth="1"/>
    <col min="2332" max="2334" width="9" style="52" hidden="1" customWidth="1"/>
    <col min="2335" max="2335" width="10.2890625" style="52" customWidth="1"/>
    <col min="2336" max="2338" width="9" style="52" hidden="1" customWidth="1"/>
    <col min="2339" max="2339" width="10.2890625" style="52" customWidth="1"/>
    <col min="2340" max="2342" width="9" style="52" hidden="1" customWidth="1"/>
    <col min="2343" max="2343" width="10.2890625" style="52" customWidth="1"/>
    <col min="2344" max="2346" width="9" style="52" hidden="1" customWidth="1"/>
    <col min="2347" max="2347" width="10.2890625" style="52" customWidth="1"/>
    <col min="2348" max="2350" width="9" style="52" hidden="1" customWidth="1"/>
    <col min="2351" max="2351" width="10.2890625" style="52" customWidth="1"/>
    <col min="2352" max="2354" width="9" style="52" hidden="1" customWidth="1"/>
    <col min="2355" max="2355" width="10.2890625" style="52" customWidth="1"/>
    <col min="2356" max="2358" width="9" style="52" hidden="1" customWidth="1"/>
    <col min="2359" max="2359" width="10.2890625" style="52" customWidth="1"/>
    <col min="2360" max="2362" width="9" style="52" hidden="1" customWidth="1"/>
    <col min="2363" max="2363" width="10.2890625" style="52" customWidth="1"/>
    <col min="2364" max="2366" width="9" style="52" hidden="1" customWidth="1"/>
    <col min="2367" max="2367" width="10.2890625" style="52" customWidth="1"/>
    <col min="2368" max="2370" width="9" style="52" hidden="1" customWidth="1"/>
    <col min="2371" max="2371" width="10.2890625" style="52" customWidth="1"/>
    <col min="2372" max="2374" width="9" style="52" hidden="1" customWidth="1"/>
    <col min="2375" max="2375" width="10.4296875" style="52" customWidth="1"/>
    <col min="2376" max="2378" width="9" style="52" hidden="1" customWidth="1"/>
    <col min="2379" max="2380" width="10.2890625" style="52" customWidth="1"/>
    <col min="2381" max="2381" width="10" style="52" customWidth="1"/>
    <col min="2382" max="2383" width="10.2890625" style="52" customWidth="1"/>
    <col min="2384" max="2560" width="9.140625" style="52"/>
    <col min="2561" max="2561" width="38.5703125" style="52" customWidth="1"/>
    <col min="2562" max="2562" width="22.859375" style="52" customWidth="1"/>
    <col min="2563" max="2563" width="10.2890625" style="52" customWidth="1"/>
    <col min="2564" max="2566" width="9" style="52" hidden="1" customWidth="1"/>
    <col min="2567" max="2567" width="10.2890625" style="52" customWidth="1"/>
    <col min="2568" max="2570" width="9" style="52" hidden="1" customWidth="1"/>
    <col min="2571" max="2571" width="10.2890625" style="52" customWidth="1"/>
    <col min="2572" max="2574" width="9" style="52" hidden="1" customWidth="1"/>
    <col min="2575" max="2575" width="10.2890625" style="52" customWidth="1"/>
    <col min="2576" max="2578" width="9" style="52" hidden="1" customWidth="1"/>
    <col min="2579" max="2579" width="10.2890625" style="52" customWidth="1"/>
    <col min="2580" max="2582" width="9" style="52" hidden="1" customWidth="1"/>
    <col min="2583" max="2583" width="10.2890625" style="52" customWidth="1"/>
    <col min="2584" max="2586" width="9" style="52" hidden="1" customWidth="1"/>
    <col min="2587" max="2587" width="10.2890625" style="52" customWidth="1"/>
    <col min="2588" max="2590" width="9" style="52" hidden="1" customWidth="1"/>
    <col min="2591" max="2591" width="10.2890625" style="52" customWidth="1"/>
    <col min="2592" max="2594" width="9" style="52" hidden="1" customWidth="1"/>
    <col min="2595" max="2595" width="10.2890625" style="52" customWidth="1"/>
    <col min="2596" max="2598" width="9" style="52" hidden="1" customWidth="1"/>
    <col min="2599" max="2599" width="10.2890625" style="52" customWidth="1"/>
    <col min="2600" max="2602" width="9" style="52" hidden="1" customWidth="1"/>
    <col min="2603" max="2603" width="10.2890625" style="52" customWidth="1"/>
    <col min="2604" max="2606" width="9" style="52" hidden="1" customWidth="1"/>
    <col min="2607" max="2607" width="10.2890625" style="52" customWidth="1"/>
    <col min="2608" max="2610" width="9" style="52" hidden="1" customWidth="1"/>
    <col min="2611" max="2611" width="10.2890625" style="52" customWidth="1"/>
    <col min="2612" max="2614" width="9" style="52" hidden="1" customWidth="1"/>
    <col min="2615" max="2615" width="10.2890625" style="52" customWidth="1"/>
    <col min="2616" max="2618" width="9" style="52" hidden="1" customWidth="1"/>
    <col min="2619" max="2619" width="10.2890625" style="52" customWidth="1"/>
    <col min="2620" max="2622" width="9" style="52" hidden="1" customWidth="1"/>
    <col min="2623" max="2623" width="10.2890625" style="52" customWidth="1"/>
    <col min="2624" max="2626" width="9" style="52" hidden="1" customWidth="1"/>
    <col min="2627" max="2627" width="10.2890625" style="52" customWidth="1"/>
    <col min="2628" max="2630" width="9" style="52" hidden="1" customWidth="1"/>
    <col min="2631" max="2631" width="10.4296875" style="52" customWidth="1"/>
    <col min="2632" max="2634" width="9" style="52" hidden="1" customWidth="1"/>
    <col min="2635" max="2636" width="10.2890625" style="52" customWidth="1"/>
    <col min="2637" max="2637" width="10" style="52" customWidth="1"/>
    <col min="2638" max="2639" width="10.2890625" style="52" customWidth="1"/>
    <col min="2640" max="2816" width="9.140625" style="52"/>
    <col min="2817" max="2817" width="38.5703125" style="52" customWidth="1"/>
    <col min="2818" max="2818" width="22.859375" style="52" customWidth="1"/>
    <col min="2819" max="2819" width="10.2890625" style="52" customWidth="1"/>
    <col min="2820" max="2822" width="9" style="52" hidden="1" customWidth="1"/>
    <col min="2823" max="2823" width="10.2890625" style="52" customWidth="1"/>
    <col min="2824" max="2826" width="9" style="52" hidden="1" customWidth="1"/>
    <col min="2827" max="2827" width="10.2890625" style="52" customWidth="1"/>
    <col min="2828" max="2830" width="9" style="52" hidden="1" customWidth="1"/>
    <col min="2831" max="2831" width="10.2890625" style="52" customWidth="1"/>
    <col min="2832" max="2834" width="9" style="52" hidden="1" customWidth="1"/>
    <col min="2835" max="2835" width="10.2890625" style="52" customWidth="1"/>
    <col min="2836" max="2838" width="9" style="52" hidden="1" customWidth="1"/>
    <col min="2839" max="2839" width="10.2890625" style="52" customWidth="1"/>
    <col min="2840" max="2842" width="9" style="52" hidden="1" customWidth="1"/>
    <col min="2843" max="2843" width="10.2890625" style="52" customWidth="1"/>
    <col min="2844" max="2846" width="9" style="52" hidden="1" customWidth="1"/>
    <col min="2847" max="2847" width="10.2890625" style="52" customWidth="1"/>
    <col min="2848" max="2850" width="9" style="52" hidden="1" customWidth="1"/>
    <col min="2851" max="2851" width="10.2890625" style="52" customWidth="1"/>
    <col min="2852" max="2854" width="9" style="52" hidden="1" customWidth="1"/>
    <col min="2855" max="2855" width="10.2890625" style="52" customWidth="1"/>
    <col min="2856" max="2858" width="9" style="52" hidden="1" customWidth="1"/>
    <col min="2859" max="2859" width="10.2890625" style="52" customWidth="1"/>
    <col min="2860" max="2862" width="9" style="52" hidden="1" customWidth="1"/>
    <col min="2863" max="2863" width="10.2890625" style="52" customWidth="1"/>
    <col min="2864" max="2866" width="9" style="52" hidden="1" customWidth="1"/>
    <col min="2867" max="2867" width="10.2890625" style="52" customWidth="1"/>
    <col min="2868" max="2870" width="9" style="52" hidden="1" customWidth="1"/>
    <col min="2871" max="2871" width="10.2890625" style="52" customWidth="1"/>
    <col min="2872" max="2874" width="9" style="52" hidden="1" customWidth="1"/>
    <col min="2875" max="2875" width="10.2890625" style="52" customWidth="1"/>
    <col min="2876" max="2878" width="9" style="52" hidden="1" customWidth="1"/>
    <col min="2879" max="2879" width="10.2890625" style="52" customWidth="1"/>
    <col min="2880" max="2882" width="9" style="52" hidden="1" customWidth="1"/>
    <col min="2883" max="2883" width="10.2890625" style="52" customWidth="1"/>
    <col min="2884" max="2886" width="9" style="52" hidden="1" customWidth="1"/>
    <col min="2887" max="2887" width="10.4296875" style="52" customWidth="1"/>
    <col min="2888" max="2890" width="9" style="52" hidden="1" customWidth="1"/>
    <col min="2891" max="2892" width="10.2890625" style="52" customWidth="1"/>
    <col min="2893" max="2893" width="10" style="52" customWidth="1"/>
    <col min="2894" max="2895" width="10.2890625" style="52" customWidth="1"/>
    <col min="2896" max="3072" width="9.140625" style="52"/>
    <col min="3073" max="3073" width="38.5703125" style="52" customWidth="1"/>
    <col min="3074" max="3074" width="22.859375" style="52" customWidth="1"/>
    <col min="3075" max="3075" width="10.2890625" style="52" customWidth="1"/>
    <col min="3076" max="3078" width="9" style="52" hidden="1" customWidth="1"/>
    <col min="3079" max="3079" width="10.2890625" style="52" customWidth="1"/>
    <col min="3080" max="3082" width="9" style="52" hidden="1" customWidth="1"/>
    <col min="3083" max="3083" width="10.2890625" style="52" customWidth="1"/>
    <col min="3084" max="3086" width="9" style="52" hidden="1" customWidth="1"/>
    <col min="3087" max="3087" width="10.2890625" style="52" customWidth="1"/>
    <col min="3088" max="3090" width="9" style="52" hidden="1" customWidth="1"/>
    <col min="3091" max="3091" width="10.2890625" style="52" customWidth="1"/>
    <col min="3092" max="3094" width="9" style="52" hidden="1" customWidth="1"/>
    <col min="3095" max="3095" width="10.2890625" style="52" customWidth="1"/>
    <col min="3096" max="3098" width="9" style="52" hidden="1" customWidth="1"/>
    <col min="3099" max="3099" width="10.2890625" style="52" customWidth="1"/>
    <col min="3100" max="3102" width="9" style="52" hidden="1" customWidth="1"/>
    <col min="3103" max="3103" width="10.2890625" style="52" customWidth="1"/>
    <col min="3104" max="3106" width="9" style="52" hidden="1" customWidth="1"/>
    <col min="3107" max="3107" width="10.2890625" style="52" customWidth="1"/>
    <col min="3108" max="3110" width="9" style="52" hidden="1" customWidth="1"/>
    <col min="3111" max="3111" width="10.2890625" style="52" customWidth="1"/>
    <col min="3112" max="3114" width="9" style="52" hidden="1" customWidth="1"/>
    <col min="3115" max="3115" width="10.2890625" style="52" customWidth="1"/>
    <col min="3116" max="3118" width="9" style="52" hidden="1" customWidth="1"/>
    <col min="3119" max="3119" width="10.2890625" style="52" customWidth="1"/>
    <col min="3120" max="3122" width="9" style="52" hidden="1" customWidth="1"/>
    <col min="3123" max="3123" width="10.2890625" style="52" customWidth="1"/>
    <col min="3124" max="3126" width="9" style="52" hidden="1" customWidth="1"/>
    <col min="3127" max="3127" width="10.2890625" style="52" customWidth="1"/>
    <col min="3128" max="3130" width="9" style="52" hidden="1" customWidth="1"/>
    <col min="3131" max="3131" width="10.2890625" style="52" customWidth="1"/>
    <col min="3132" max="3134" width="9" style="52" hidden="1" customWidth="1"/>
    <col min="3135" max="3135" width="10.2890625" style="52" customWidth="1"/>
    <col min="3136" max="3138" width="9" style="52" hidden="1" customWidth="1"/>
    <col min="3139" max="3139" width="10.2890625" style="52" customWidth="1"/>
    <col min="3140" max="3142" width="9" style="52" hidden="1" customWidth="1"/>
    <col min="3143" max="3143" width="10.4296875" style="52" customWidth="1"/>
    <col min="3144" max="3146" width="9" style="52" hidden="1" customWidth="1"/>
    <col min="3147" max="3148" width="10.2890625" style="52" customWidth="1"/>
    <col min="3149" max="3149" width="10" style="52" customWidth="1"/>
    <col min="3150" max="3151" width="10.2890625" style="52" customWidth="1"/>
    <col min="3152" max="3328" width="9.140625" style="52"/>
    <col min="3329" max="3329" width="38.5703125" style="52" customWidth="1"/>
    <col min="3330" max="3330" width="22.859375" style="52" customWidth="1"/>
    <col min="3331" max="3331" width="10.2890625" style="52" customWidth="1"/>
    <col min="3332" max="3334" width="9" style="52" hidden="1" customWidth="1"/>
    <col min="3335" max="3335" width="10.2890625" style="52" customWidth="1"/>
    <col min="3336" max="3338" width="9" style="52" hidden="1" customWidth="1"/>
    <col min="3339" max="3339" width="10.2890625" style="52" customWidth="1"/>
    <col min="3340" max="3342" width="9" style="52" hidden="1" customWidth="1"/>
    <col min="3343" max="3343" width="10.2890625" style="52" customWidth="1"/>
    <col min="3344" max="3346" width="9" style="52" hidden="1" customWidth="1"/>
    <col min="3347" max="3347" width="10.2890625" style="52" customWidth="1"/>
    <col min="3348" max="3350" width="9" style="52" hidden="1" customWidth="1"/>
    <col min="3351" max="3351" width="10.2890625" style="52" customWidth="1"/>
    <col min="3352" max="3354" width="9" style="52" hidden="1" customWidth="1"/>
    <col min="3355" max="3355" width="10.2890625" style="52" customWidth="1"/>
    <col min="3356" max="3358" width="9" style="52" hidden="1" customWidth="1"/>
    <col min="3359" max="3359" width="10.2890625" style="52" customWidth="1"/>
    <col min="3360" max="3362" width="9" style="52" hidden="1" customWidth="1"/>
    <col min="3363" max="3363" width="10.2890625" style="52" customWidth="1"/>
    <col min="3364" max="3366" width="9" style="52" hidden="1" customWidth="1"/>
    <col min="3367" max="3367" width="10.2890625" style="52" customWidth="1"/>
    <col min="3368" max="3370" width="9" style="52" hidden="1" customWidth="1"/>
    <col min="3371" max="3371" width="10.2890625" style="52" customWidth="1"/>
    <col min="3372" max="3374" width="9" style="52" hidden="1" customWidth="1"/>
    <col min="3375" max="3375" width="10.2890625" style="52" customWidth="1"/>
    <col min="3376" max="3378" width="9" style="52" hidden="1" customWidth="1"/>
    <col min="3379" max="3379" width="10.2890625" style="52" customWidth="1"/>
    <col min="3380" max="3382" width="9" style="52" hidden="1" customWidth="1"/>
    <col min="3383" max="3383" width="10.2890625" style="52" customWidth="1"/>
    <col min="3384" max="3386" width="9" style="52" hidden="1" customWidth="1"/>
    <col min="3387" max="3387" width="10.2890625" style="52" customWidth="1"/>
    <col min="3388" max="3390" width="9" style="52" hidden="1" customWidth="1"/>
    <col min="3391" max="3391" width="10.2890625" style="52" customWidth="1"/>
    <col min="3392" max="3394" width="9" style="52" hidden="1" customWidth="1"/>
    <col min="3395" max="3395" width="10.2890625" style="52" customWidth="1"/>
    <col min="3396" max="3398" width="9" style="52" hidden="1" customWidth="1"/>
    <col min="3399" max="3399" width="10.4296875" style="52" customWidth="1"/>
    <col min="3400" max="3402" width="9" style="52" hidden="1" customWidth="1"/>
    <col min="3403" max="3404" width="10.2890625" style="52" customWidth="1"/>
    <col min="3405" max="3405" width="10" style="52" customWidth="1"/>
    <col min="3406" max="3407" width="10.2890625" style="52" customWidth="1"/>
    <col min="3408" max="3584" width="9.140625" style="52"/>
    <col min="3585" max="3585" width="38.5703125" style="52" customWidth="1"/>
    <col min="3586" max="3586" width="22.859375" style="52" customWidth="1"/>
    <col min="3587" max="3587" width="10.2890625" style="52" customWidth="1"/>
    <col min="3588" max="3590" width="9" style="52" hidden="1" customWidth="1"/>
    <col min="3591" max="3591" width="10.2890625" style="52" customWidth="1"/>
    <col min="3592" max="3594" width="9" style="52" hidden="1" customWidth="1"/>
    <col min="3595" max="3595" width="10.2890625" style="52" customWidth="1"/>
    <col min="3596" max="3598" width="9" style="52" hidden="1" customWidth="1"/>
    <col min="3599" max="3599" width="10.2890625" style="52" customWidth="1"/>
    <col min="3600" max="3602" width="9" style="52" hidden="1" customWidth="1"/>
    <col min="3603" max="3603" width="10.2890625" style="52" customWidth="1"/>
    <col min="3604" max="3606" width="9" style="52" hidden="1" customWidth="1"/>
    <col min="3607" max="3607" width="10.2890625" style="52" customWidth="1"/>
    <col min="3608" max="3610" width="9" style="52" hidden="1" customWidth="1"/>
    <col min="3611" max="3611" width="10.2890625" style="52" customWidth="1"/>
    <col min="3612" max="3614" width="9" style="52" hidden="1" customWidth="1"/>
    <col min="3615" max="3615" width="10.2890625" style="52" customWidth="1"/>
    <col min="3616" max="3618" width="9" style="52" hidden="1" customWidth="1"/>
    <col min="3619" max="3619" width="10.2890625" style="52" customWidth="1"/>
    <col min="3620" max="3622" width="9" style="52" hidden="1" customWidth="1"/>
    <col min="3623" max="3623" width="10.2890625" style="52" customWidth="1"/>
    <col min="3624" max="3626" width="9" style="52" hidden="1" customWidth="1"/>
    <col min="3627" max="3627" width="10.2890625" style="52" customWidth="1"/>
    <col min="3628" max="3630" width="9" style="52" hidden="1" customWidth="1"/>
    <col min="3631" max="3631" width="10.2890625" style="52" customWidth="1"/>
    <col min="3632" max="3634" width="9" style="52" hidden="1" customWidth="1"/>
    <col min="3635" max="3635" width="10.2890625" style="52" customWidth="1"/>
    <col min="3636" max="3638" width="9" style="52" hidden="1" customWidth="1"/>
    <col min="3639" max="3639" width="10.2890625" style="52" customWidth="1"/>
    <col min="3640" max="3642" width="9" style="52" hidden="1" customWidth="1"/>
    <col min="3643" max="3643" width="10.2890625" style="52" customWidth="1"/>
    <col min="3644" max="3646" width="9" style="52" hidden="1" customWidth="1"/>
    <col min="3647" max="3647" width="10.2890625" style="52" customWidth="1"/>
    <col min="3648" max="3650" width="9" style="52" hidden="1" customWidth="1"/>
    <col min="3651" max="3651" width="10.2890625" style="52" customWidth="1"/>
    <col min="3652" max="3654" width="9" style="52" hidden="1" customWidth="1"/>
    <col min="3655" max="3655" width="10.4296875" style="52" customWidth="1"/>
    <col min="3656" max="3658" width="9" style="52" hidden="1" customWidth="1"/>
    <col min="3659" max="3660" width="10.2890625" style="52" customWidth="1"/>
    <col min="3661" max="3661" width="10" style="52" customWidth="1"/>
    <col min="3662" max="3663" width="10.2890625" style="52" customWidth="1"/>
    <col min="3664" max="3840" width="9.140625" style="52"/>
    <col min="3841" max="3841" width="38.5703125" style="52" customWidth="1"/>
    <col min="3842" max="3842" width="22.859375" style="52" customWidth="1"/>
    <col min="3843" max="3843" width="10.2890625" style="52" customWidth="1"/>
    <col min="3844" max="3846" width="9" style="52" hidden="1" customWidth="1"/>
    <col min="3847" max="3847" width="10.2890625" style="52" customWidth="1"/>
    <col min="3848" max="3850" width="9" style="52" hidden="1" customWidth="1"/>
    <col min="3851" max="3851" width="10.2890625" style="52" customWidth="1"/>
    <col min="3852" max="3854" width="9" style="52" hidden="1" customWidth="1"/>
    <col min="3855" max="3855" width="10.2890625" style="52" customWidth="1"/>
    <col min="3856" max="3858" width="9" style="52" hidden="1" customWidth="1"/>
    <col min="3859" max="3859" width="10.2890625" style="52" customWidth="1"/>
    <col min="3860" max="3862" width="9" style="52" hidden="1" customWidth="1"/>
    <col min="3863" max="3863" width="10.2890625" style="52" customWidth="1"/>
    <col min="3864" max="3866" width="9" style="52" hidden="1" customWidth="1"/>
    <col min="3867" max="3867" width="10.2890625" style="52" customWidth="1"/>
    <col min="3868" max="3870" width="9" style="52" hidden="1" customWidth="1"/>
    <col min="3871" max="3871" width="10.2890625" style="52" customWidth="1"/>
    <col min="3872" max="3874" width="9" style="52" hidden="1" customWidth="1"/>
    <col min="3875" max="3875" width="10.2890625" style="52" customWidth="1"/>
    <col min="3876" max="3878" width="9" style="52" hidden="1" customWidth="1"/>
    <col min="3879" max="3879" width="10.2890625" style="52" customWidth="1"/>
    <col min="3880" max="3882" width="9" style="52" hidden="1" customWidth="1"/>
    <col min="3883" max="3883" width="10.2890625" style="52" customWidth="1"/>
    <col min="3884" max="3886" width="9" style="52" hidden="1" customWidth="1"/>
    <col min="3887" max="3887" width="10.2890625" style="52" customWidth="1"/>
    <col min="3888" max="3890" width="9" style="52" hidden="1" customWidth="1"/>
    <col min="3891" max="3891" width="10.2890625" style="52" customWidth="1"/>
    <col min="3892" max="3894" width="9" style="52" hidden="1" customWidth="1"/>
    <col min="3895" max="3895" width="10.2890625" style="52" customWidth="1"/>
    <col min="3896" max="3898" width="9" style="52" hidden="1" customWidth="1"/>
    <col min="3899" max="3899" width="10.2890625" style="52" customWidth="1"/>
    <col min="3900" max="3902" width="9" style="52" hidden="1" customWidth="1"/>
    <col min="3903" max="3903" width="10.2890625" style="52" customWidth="1"/>
    <col min="3904" max="3906" width="9" style="52" hidden="1" customWidth="1"/>
    <col min="3907" max="3907" width="10.2890625" style="52" customWidth="1"/>
    <col min="3908" max="3910" width="9" style="52" hidden="1" customWidth="1"/>
    <col min="3911" max="3911" width="10.4296875" style="52" customWidth="1"/>
    <col min="3912" max="3914" width="9" style="52" hidden="1" customWidth="1"/>
    <col min="3915" max="3916" width="10.2890625" style="52" customWidth="1"/>
    <col min="3917" max="3917" width="10" style="52" customWidth="1"/>
    <col min="3918" max="3919" width="10.2890625" style="52" customWidth="1"/>
    <col min="3920" max="4096" width="9.140625" style="52"/>
    <col min="4097" max="4097" width="38.5703125" style="52" customWidth="1"/>
    <col min="4098" max="4098" width="22.859375" style="52" customWidth="1"/>
    <col min="4099" max="4099" width="10.2890625" style="52" customWidth="1"/>
    <col min="4100" max="4102" width="9" style="52" hidden="1" customWidth="1"/>
    <col min="4103" max="4103" width="10.2890625" style="52" customWidth="1"/>
    <col min="4104" max="4106" width="9" style="52" hidden="1" customWidth="1"/>
    <col min="4107" max="4107" width="10.2890625" style="52" customWidth="1"/>
    <col min="4108" max="4110" width="9" style="52" hidden="1" customWidth="1"/>
    <col min="4111" max="4111" width="10.2890625" style="52" customWidth="1"/>
    <col min="4112" max="4114" width="9" style="52" hidden="1" customWidth="1"/>
    <col min="4115" max="4115" width="10.2890625" style="52" customWidth="1"/>
    <col min="4116" max="4118" width="9" style="52" hidden="1" customWidth="1"/>
    <col min="4119" max="4119" width="10.2890625" style="52" customWidth="1"/>
    <col min="4120" max="4122" width="9" style="52" hidden="1" customWidth="1"/>
    <col min="4123" max="4123" width="10.2890625" style="52" customWidth="1"/>
    <col min="4124" max="4126" width="9" style="52" hidden="1" customWidth="1"/>
    <col min="4127" max="4127" width="10.2890625" style="52" customWidth="1"/>
    <col min="4128" max="4130" width="9" style="52" hidden="1" customWidth="1"/>
    <col min="4131" max="4131" width="10.2890625" style="52" customWidth="1"/>
    <col min="4132" max="4134" width="9" style="52" hidden="1" customWidth="1"/>
    <col min="4135" max="4135" width="10.2890625" style="52" customWidth="1"/>
    <col min="4136" max="4138" width="9" style="52" hidden="1" customWidth="1"/>
    <col min="4139" max="4139" width="10.2890625" style="52" customWidth="1"/>
    <col min="4140" max="4142" width="9" style="52" hidden="1" customWidth="1"/>
    <col min="4143" max="4143" width="10.2890625" style="52" customWidth="1"/>
    <col min="4144" max="4146" width="9" style="52" hidden="1" customWidth="1"/>
    <col min="4147" max="4147" width="10.2890625" style="52" customWidth="1"/>
    <col min="4148" max="4150" width="9" style="52" hidden="1" customWidth="1"/>
    <col min="4151" max="4151" width="10.2890625" style="52" customWidth="1"/>
    <col min="4152" max="4154" width="9" style="52" hidden="1" customWidth="1"/>
    <col min="4155" max="4155" width="10.2890625" style="52" customWidth="1"/>
    <col min="4156" max="4158" width="9" style="52" hidden="1" customWidth="1"/>
    <col min="4159" max="4159" width="10.2890625" style="52" customWidth="1"/>
    <col min="4160" max="4162" width="9" style="52" hidden="1" customWidth="1"/>
    <col min="4163" max="4163" width="10.2890625" style="52" customWidth="1"/>
    <col min="4164" max="4166" width="9" style="52" hidden="1" customWidth="1"/>
    <col min="4167" max="4167" width="10.4296875" style="52" customWidth="1"/>
    <col min="4168" max="4170" width="9" style="52" hidden="1" customWidth="1"/>
    <col min="4171" max="4172" width="10.2890625" style="52" customWidth="1"/>
    <col min="4173" max="4173" width="10" style="52" customWidth="1"/>
    <col min="4174" max="4175" width="10.2890625" style="52" customWidth="1"/>
    <col min="4176" max="4352" width="9.140625" style="52"/>
    <col min="4353" max="4353" width="38.5703125" style="52" customWidth="1"/>
    <col min="4354" max="4354" width="22.859375" style="52" customWidth="1"/>
    <col min="4355" max="4355" width="10.2890625" style="52" customWidth="1"/>
    <col min="4356" max="4358" width="9" style="52" hidden="1" customWidth="1"/>
    <col min="4359" max="4359" width="10.2890625" style="52" customWidth="1"/>
    <col min="4360" max="4362" width="9" style="52" hidden="1" customWidth="1"/>
    <col min="4363" max="4363" width="10.2890625" style="52" customWidth="1"/>
    <col min="4364" max="4366" width="9" style="52" hidden="1" customWidth="1"/>
    <col min="4367" max="4367" width="10.2890625" style="52" customWidth="1"/>
    <col min="4368" max="4370" width="9" style="52" hidden="1" customWidth="1"/>
    <col min="4371" max="4371" width="10.2890625" style="52" customWidth="1"/>
    <col min="4372" max="4374" width="9" style="52" hidden="1" customWidth="1"/>
    <col min="4375" max="4375" width="10.2890625" style="52" customWidth="1"/>
    <col min="4376" max="4378" width="9" style="52" hidden="1" customWidth="1"/>
    <col min="4379" max="4379" width="10.2890625" style="52" customWidth="1"/>
    <col min="4380" max="4382" width="9" style="52" hidden="1" customWidth="1"/>
    <col min="4383" max="4383" width="10.2890625" style="52" customWidth="1"/>
    <col min="4384" max="4386" width="9" style="52" hidden="1" customWidth="1"/>
    <col min="4387" max="4387" width="10.2890625" style="52" customWidth="1"/>
    <col min="4388" max="4390" width="9" style="52" hidden="1" customWidth="1"/>
    <col min="4391" max="4391" width="10.2890625" style="52" customWidth="1"/>
    <col min="4392" max="4394" width="9" style="52" hidden="1" customWidth="1"/>
    <col min="4395" max="4395" width="10.2890625" style="52" customWidth="1"/>
    <col min="4396" max="4398" width="9" style="52" hidden="1" customWidth="1"/>
    <col min="4399" max="4399" width="10.2890625" style="52" customWidth="1"/>
    <col min="4400" max="4402" width="9" style="52" hidden="1" customWidth="1"/>
    <col min="4403" max="4403" width="10.2890625" style="52" customWidth="1"/>
    <col min="4404" max="4406" width="9" style="52" hidden="1" customWidth="1"/>
    <col min="4407" max="4407" width="10.2890625" style="52" customWidth="1"/>
    <col min="4408" max="4410" width="9" style="52" hidden="1" customWidth="1"/>
    <col min="4411" max="4411" width="10.2890625" style="52" customWidth="1"/>
    <col min="4412" max="4414" width="9" style="52" hidden="1" customWidth="1"/>
    <col min="4415" max="4415" width="10.2890625" style="52" customWidth="1"/>
    <col min="4416" max="4418" width="9" style="52" hidden="1" customWidth="1"/>
    <col min="4419" max="4419" width="10.2890625" style="52" customWidth="1"/>
    <col min="4420" max="4422" width="9" style="52" hidden="1" customWidth="1"/>
    <col min="4423" max="4423" width="10.4296875" style="52" customWidth="1"/>
    <col min="4424" max="4426" width="9" style="52" hidden="1" customWidth="1"/>
    <col min="4427" max="4428" width="10.2890625" style="52" customWidth="1"/>
    <col min="4429" max="4429" width="10" style="52" customWidth="1"/>
    <col min="4430" max="4431" width="10.2890625" style="52" customWidth="1"/>
    <col min="4432" max="4608" width="9.140625" style="52"/>
    <col min="4609" max="4609" width="38.5703125" style="52" customWidth="1"/>
    <col min="4610" max="4610" width="22.859375" style="52" customWidth="1"/>
    <col min="4611" max="4611" width="10.2890625" style="52" customWidth="1"/>
    <col min="4612" max="4614" width="9" style="52" hidden="1" customWidth="1"/>
    <col min="4615" max="4615" width="10.2890625" style="52" customWidth="1"/>
    <col min="4616" max="4618" width="9" style="52" hidden="1" customWidth="1"/>
    <col min="4619" max="4619" width="10.2890625" style="52" customWidth="1"/>
    <col min="4620" max="4622" width="9" style="52" hidden="1" customWidth="1"/>
    <col min="4623" max="4623" width="10.2890625" style="52" customWidth="1"/>
    <col min="4624" max="4626" width="9" style="52" hidden="1" customWidth="1"/>
    <col min="4627" max="4627" width="10.2890625" style="52" customWidth="1"/>
    <col min="4628" max="4630" width="9" style="52" hidden="1" customWidth="1"/>
    <col min="4631" max="4631" width="10.2890625" style="52" customWidth="1"/>
    <col min="4632" max="4634" width="9" style="52" hidden="1" customWidth="1"/>
    <col min="4635" max="4635" width="10.2890625" style="52" customWidth="1"/>
    <col min="4636" max="4638" width="9" style="52" hidden="1" customWidth="1"/>
    <col min="4639" max="4639" width="10.2890625" style="52" customWidth="1"/>
    <col min="4640" max="4642" width="9" style="52" hidden="1" customWidth="1"/>
    <col min="4643" max="4643" width="10.2890625" style="52" customWidth="1"/>
    <col min="4644" max="4646" width="9" style="52" hidden="1" customWidth="1"/>
    <col min="4647" max="4647" width="10.2890625" style="52" customWidth="1"/>
    <col min="4648" max="4650" width="9" style="52" hidden="1" customWidth="1"/>
    <col min="4651" max="4651" width="10.2890625" style="52" customWidth="1"/>
    <col min="4652" max="4654" width="9" style="52" hidden="1" customWidth="1"/>
    <col min="4655" max="4655" width="10.2890625" style="52" customWidth="1"/>
    <col min="4656" max="4658" width="9" style="52" hidden="1" customWidth="1"/>
    <col min="4659" max="4659" width="10.2890625" style="52" customWidth="1"/>
    <col min="4660" max="4662" width="9" style="52" hidden="1" customWidth="1"/>
    <col min="4663" max="4663" width="10.2890625" style="52" customWidth="1"/>
    <col min="4664" max="4666" width="9" style="52" hidden="1" customWidth="1"/>
    <col min="4667" max="4667" width="10.2890625" style="52" customWidth="1"/>
    <col min="4668" max="4670" width="9" style="52" hidden="1" customWidth="1"/>
    <col min="4671" max="4671" width="10.2890625" style="52" customWidth="1"/>
    <col min="4672" max="4674" width="9" style="52" hidden="1" customWidth="1"/>
    <col min="4675" max="4675" width="10.2890625" style="52" customWidth="1"/>
    <col min="4676" max="4678" width="9" style="52" hidden="1" customWidth="1"/>
    <col min="4679" max="4679" width="10.4296875" style="52" customWidth="1"/>
    <col min="4680" max="4682" width="9" style="52" hidden="1" customWidth="1"/>
    <col min="4683" max="4684" width="10.2890625" style="52" customWidth="1"/>
    <col min="4685" max="4685" width="10" style="52" customWidth="1"/>
    <col min="4686" max="4687" width="10.2890625" style="52" customWidth="1"/>
    <col min="4688" max="4864" width="9.140625" style="52"/>
    <col min="4865" max="4865" width="38.5703125" style="52" customWidth="1"/>
    <col min="4866" max="4866" width="22.859375" style="52" customWidth="1"/>
    <col min="4867" max="4867" width="10.2890625" style="52" customWidth="1"/>
    <col min="4868" max="4870" width="9" style="52" hidden="1" customWidth="1"/>
    <col min="4871" max="4871" width="10.2890625" style="52" customWidth="1"/>
    <col min="4872" max="4874" width="9" style="52" hidden="1" customWidth="1"/>
    <col min="4875" max="4875" width="10.2890625" style="52" customWidth="1"/>
    <col min="4876" max="4878" width="9" style="52" hidden="1" customWidth="1"/>
    <col min="4879" max="4879" width="10.2890625" style="52" customWidth="1"/>
    <col min="4880" max="4882" width="9" style="52" hidden="1" customWidth="1"/>
    <col min="4883" max="4883" width="10.2890625" style="52" customWidth="1"/>
    <col min="4884" max="4886" width="9" style="52" hidden="1" customWidth="1"/>
    <col min="4887" max="4887" width="10.2890625" style="52" customWidth="1"/>
    <col min="4888" max="4890" width="9" style="52" hidden="1" customWidth="1"/>
    <col min="4891" max="4891" width="10.2890625" style="52" customWidth="1"/>
    <col min="4892" max="4894" width="9" style="52" hidden="1" customWidth="1"/>
    <col min="4895" max="4895" width="10.2890625" style="52" customWidth="1"/>
    <col min="4896" max="4898" width="9" style="52" hidden="1" customWidth="1"/>
    <col min="4899" max="4899" width="10.2890625" style="52" customWidth="1"/>
    <col min="4900" max="4902" width="9" style="52" hidden="1" customWidth="1"/>
    <col min="4903" max="4903" width="10.2890625" style="52" customWidth="1"/>
    <col min="4904" max="4906" width="9" style="52" hidden="1" customWidth="1"/>
    <col min="4907" max="4907" width="10.2890625" style="52" customWidth="1"/>
    <col min="4908" max="4910" width="9" style="52" hidden="1" customWidth="1"/>
    <col min="4911" max="4911" width="10.2890625" style="52" customWidth="1"/>
    <col min="4912" max="4914" width="9" style="52" hidden="1" customWidth="1"/>
    <col min="4915" max="4915" width="10.2890625" style="52" customWidth="1"/>
    <col min="4916" max="4918" width="9" style="52" hidden="1" customWidth="1"/>
    <col min="4919" max="4919" width="10.2890625" style="52" customWidth="1"/>
    <col min="4920" max="4922" width="9" style="52" hidden="1" customWidth="1"/>
    <col min="4923" max="4923" width="10.2890625" style="52" customWidth="1"/>
    <col min="4924" max="4926" width="9" style="52" hidden="1" customWidth="1"/>
    <col min="4927" max="4927" width="10.2890625" style="52" customWidth="1"/>
    <col min="4928" max="4930" width="9" style="52" hidden="1" customWidth="1"/>
    <col min="4931" max="4931" width="10.2890625" style="52" customWidth="1"/>
    <col min="4932" max="4934" width="9" style="52" hidden="1" customWidth="1"/>
    <col min="4935" max="4935" width="10.4296875" style="52" customWidth="1"/>
    <col min="4936" max="4938" width="9" style="52" hidden="1" customWidth="1"/>
    <col min="4939" max="4940" width="10.2890625" style="52" customWidth="1"/>
    <col min="4941" max="4941" width="10" style="52" customWidth="1"/>
    <col min="4942" max="4943" width="10.2890625" style="52" customWidth="1"/>
    <col min="4944" max="5120" width="9.140625" style="52"/>
    <col min="5121" max="5121" width="38.5703125" style="52" customWidth="1"/>
    <col min="5122" max="5122" width="22.859375" style="52" customWidth="1"/>
    <col min="5123" max="5123" width="10.2890625" style="52" customWidth="1"/>
    <col min="5124" max="5126" width="9" style="52" hidden="1" customWidth="1"/>
    <col min="5127" max="5127" width="10.2890625" style="52" customWidth="1"/>
    <col min="5128" max="5130" width="9" style="52" hidden="1" customWidth="1"/>
    <col min="5131" max="5131" width="10.2890625" style="52" customWidth="1"/>
    <col min="5132" max="5134" width="9" style="52" hidden="1" customWidth="1"/>
    <col min="5135" max="5135" width="10.2890625" style="52" customWidth="1"/>
    <col min="5136" max="5138" width="9" style="52" hidden="1" customWidth="1"/>
    <col min="5139" max="5139" width="10.2890625" style="52" customWidth="1"/>
    <col min="5140" max="5142" width="9" style="52" hidden="1" customWidth="1"/>
    <col min="5143" max="5143" width="10.2890625" style="52" customWidth="1"/>
    <col min="5144" max="5146" width="9" style="52" hidden="1" customWidth="1"/>
    <col min="5147" max="5147" width="10.2890625" style="52" customWidth="1"/>
    <col min="5148" max="5150" width="9" style="52" hidden="1" customWidth="1"/>
    <col min="5151" max="5151" width="10.2890625" style="52" customWidth="1"/>
    <col min="5152" max="5154" width="9" style="52" hidden="1" customWidth="1"/>
    <col min="5155" max="5155" width="10.2890625" style="52" customWidth="1"/>
    <col min="5156" max="5158" width="9" style="52" hidden="1" customWidth="1"/>
    <col min="5159" max="5159" width="10.2890625" style="52" customWidth="1"/>
    <col min="5160" max="5162" width="9" style="52" hidden="1" customWidth="1"/>
    <col min="5163" max="5163" width="10.2890625" style="52" customWidth="1"/>
    <col min="5164" max="5166" width="9" style="52" hidden="1" customWidth="1"/>
    <col min="5167" max="5167" width="10.2890625" style="52" customWidth="1"/>
    <col min="5168" max="5170" width="9" style="52" hidden="1" customWidth="1"/>
    <col min="5171" max="5171" width="10.2890625" style="52" customWidth="1"/>
    <col min="5172" max="5174" width="9" style="52" hidden="1" customWidth="1"/>
    <col min="5175" max="5175" width="10.2890625" style="52" customWidth="1"/>
    <col min="5176" max="5178" width="9" style="52" hidden="1" customWidth="1"/>
    <col min="5179" max="5179" width="10.2890625" style="52" customWidth="1"/>
    <col min="5180" max="5182" width="9" style="52" hidden="1" customWidth="1"/>
    <col min="5183" max="5183" width="10.2890625" style="52" customWidth="1"/>
    <col min="5184" max="5186" width="9" style="52" hidden="1" customWidth="1"/>
    <col min="5187" max="5187" width="10.2890625" style="52" customWidth="1"/>
    <col min="5188" max="5190" width="9" style="52" hidden="1" customWidth="1"/>
    <col min="5191" max="5191" width="10.4296875" style="52" customWidth="1"/>
    <col min="5192" max="5194" width="9" style="52" hidden="1" customWidth="1"/>
    <col min="5195" max="5196" width="10.2890625" style="52" customWidth="1"/>
    <col min="5197" max="5197" width="10" style="52" customWidth="1"/>
    <col min="5198" max="5199" width="10.2890625" style="52" customWidth="1"/>
    <col min="5200" max="5376" width="9.140625" style="52"/>
    <col min="5377" max="5377" width="38.5703125" style="52" customWidth="1"/>
    <col min="5378" max="5378" width="22.859375" style="52" customWidth="1"/>
    <col min="5379" max="5379" width="10.2890625" style="52" customWidth="1"/>
    <col min="5380" max="5382" width="9" style="52" hidden="1" customWidth="1"/>
    <col min="5383" max="5383" width="10.2890625" style="52" customWidth="1"/>
    <col min="5384" max="5386" width="9" style="52" hidden="1" customWidth="1"/>
    <col min="5387" max="5387" width="10.2890625" style="52" customWidth="1"/>
    <col min="5388" max="5390" width="9" style="52" hidden="1" customWidth="1"/>
    <col min="5391" max="5391" width="10.2890625" style="52" customWidth="1"/>
    <col min="5392" max="5394" width="9" style="52" hidden="1" customWidth="1"/>
    <col min="5395" max="5395" width="10.2890625" style="52" customWidth="1"/>
    <col min="5396" max="5398" width="9" style="52" hidden="1" customWidth="1"/>
    <col min="5399" max="5399" width="10.2890625" style="52" customWidth="1"/>
    <col min="5400" max="5402" width="9" style="52" hidden="1" customWidth="1"/>
    <col min="5403" max="5403" width="10.2890625" style="52" customWidth="1"/>
    <col min="5404" max="5406" width="9" style="52" hidden="1" customWidth="1"/>
    <col min="5407" max="5407" width="10.2890625" style="52" customWidth="1"/>
    <col min="5408" max="5410" width="9" style="52" hidden="1" customWidth="1"/>
    <col min="5411" max="5411" width="10.2890625" style="52" customWidth="1"/>
    <col min="5412" max="5414" width="9" style="52" hidden="1" customWidth="1"/>
    <col min="5415" max="5415" width="10.2890625" style="52" customWidth="1"/>
    <col min="5416" max="5418" width="9" style="52" hidden="1" customWidth="1"/>
    <col min="5419" max="5419" width="10.2890625" style="52" customWidth="1"/>
    <col min="5420" max="5422" width="9" style="52" hidden="1" customWidth="1"/>
    <col min="5423" max="5423" width="10.2890625" style="52" customWidth="1"/>
    <col min="5424" max="5426" width="9" style="52" hidden="1" customWidth="1"/>
    <col min="5427" max="5427" width="10.2890625" style="52" customWidth="1"/>
    <col min="5428" max="5430" width="9" style="52" hidden="1" customWidth="1"/>
    <col min="5431" max="5431" width="10.2890625" style="52" customWidth="1"/>
    <col min="5432" max="5434" width="9" style="52" hidden="1" customWidth="1"/>
    <col min="5435" max="5435" width="10.2890625" style="52" customWidth="1"/>
    <col min="5436" max="5438" width="9" style="52" hidden="1" customWidth="1"/>
    <col min="5439" max="5439" width="10.2890625" style="52" customWidth="1"/>
    <col min="5440" max="5442" width="9" style="52" hidden="1" customWidth="1"/>
    <col min="5443" max="5443" width="10.2890625" style="52" customWidth="1"/>
    <col min="5444" max="5446" width="9" style="52" hidden="1" customWidth="1"/>
    <col min="5447" max="5447" width="10.4296875" style="52" customWidth="1"/>
    <col min="5448" max="5450" width="9" style="52" hidden="1" customWidth="1"/>
    <col min="5451" max="5452" width="10.2890625" style="52" customWidth="1"/>
    <col min="5453" max="5453" width="10" style="52" customWidth="1"/>
    <col min="5454" max="5455" width="10.2890625" style="52" customWidth="1"/>
    <col min="5456" max="5632" width="9.140625" style="52"/>
    <col min="5633" max="5633" width="38.5703125" style="52" customWidth="1"/>
    <col min="5634" max="5634" width="22.859375" style="52" customWidth="1"/>
    <col min="5635" max="5635" width="10.2890625" style="52" customWidth="1"/>
    <col min="5636" max="5638" width="9" style="52" hidden="1" customWidth="1"/>
    <col min="5639" max="5639" width="10.2890625" style="52" customWidth="1"/>
    <col min="5640" max="5642" width="9" style="52" hidden="1" customWidth="1"/>
    <col min="5643" max="5643" width="10.2890625" style="52" customWidth="1"/>
    <col min="5644" max="5646" width="9" style="52" hidden="1" customWidth="1"/>
    <col min="5647" max="5647" width="10.2890625" style="52" customWidth="1"/>
    <col min="5648" max="5650" width="9" style="52" hidden="1" customWidth="1"/>
    <col min="5651" max="5651" width="10.2890625" style="52" customWidth="1"/>
    <col min="5652" max="5654" width="9" style="52" hidden="1" customWidth="1"/>
    <col min="5655" max="5655" width="10.2890625" style="52" customWidth="1"/>
    <col min="5656" max="5658" width="9" style="52" hidden="1" customWidth="1"/>
    <col min="5659" max="5659" width="10.2890625" style="52" customWidth="1"/>
    <col min="5660" max="5662" width="9" style="52" hidden="1" customWidth="1"/>
    <col min="5663" max="5663" width="10.2890625" style="52" customWidth="1"/>
    <col min="5664" max="5666" width="9" style="52" hidden="1" customWidth="1"/>
    <col min="5667" max="5667" width="10.2890625" style="52" customWidth="1"/>
    <col min="5668" max="5670" width="9" style="52" hidden="1" customWidth="1"/>
    <col min="5671" max="5671" width="10.2890625" style="52" customWidth="1"/>
    <col min="5672" max="5674" width="9" style="52" hidden="1" customWidth="1"/>
    <col min="5675" max="5675" width="10.2890625" style="52" customWidth="1"/>
    <col min="5676" max="5678" width="9" style="52" hidden="1" customWidth="1"/>
    <col min="5679" max="5679" width="10.2890625" style="52" customWidth="1"/>
    <col min="5680" max="5682" width="9" style="52" hidden="1" customWidth="1"/>
    <col min="5683" max="5683" width="10.2890625" style="52" customWidth="1"/>
    <col min="5684" max="5686" width="9" style="52" hidden="1" customWidth="1"/>
    <col min="5687" max="5687" width="10.2890625" style="52" customWidth="1"/>
    <col min="5688" max="5690" width="9" style="52" hidden="1" customWidth="1"/>
    <col min="5691" max="5691" width="10.2890625" style="52" customWidth="1"/>
    <col min="5692" max="5694" width="9" style="52" hidden="1" customWidth="1"/>
    <col min="5695" max="5695" width="10.2890625" style="52" customWidth="1"/>
    <col min="5696" max="5698" width="9" style="52" hidden="1" customWidth="1"/>
    <col min="5699" max="5699" width="10.2890625" style="52" customWidth="1"/>
    <col min="5700" max="5702" width="9" style="52" hidden="1" customWidth="1"/>
    <col min="5703" max="5703" width="10.4296875" style="52" customWidth="1"/>
    <col min="5704" max="5706" width="9" style="52" hidden="1" customWidth="1"/>
    <col min="5707" max="5708" width="10.2890625" style="52" customWidth="1"/>
    <col min="5709" max="5709" width="10" style="52" customWidth="1"/>
    <col min="5710" max="5711" width="10.2890625" style="52" customWidth="1"/>
    <col min="5712" max="5888" width="9.140625" style="52"/>
    <col min="5889" max="5889" width="38.5703125" style="52" customWidth="1"/>
    <col min="5890" max="5890" width="22.859375" style="52" customWidth="1"/>
    <col min="5891" max="5891" width="10.2890625" style="52" customWidth="1"/>
    <col min="5892" max="5894" width="9" style="52" hidden="1" customWidth="1"/>
    <col min="5895" max="5895" width="10.2890625" style="52" customWidth="1"/>
    <col min="5896" max="5898" width="9" style="52" hidden="1" customWidth="1"/>
    <col min="5899" max="5899" width="10.2890625" style="52" customWidth="1"/>
    <col min="5900" max="5902" width="9" style="52" hidden="1" customWidth="1"/>
    <col min="5903" max="5903" width="10.2890625" style="52" customWidth="1"/>
    <col min="5904" max="5906" width="9" style="52" hidden="1" customWidth="1"/>
    <col min="5907" max="5907" width="10.2890625" style="52" customWidth="1"/>
    <col min="5908" max="5910" width="9" style="52" hidden="1" customWidth="1"/>
    <col min="5911" max="5911" width="10.2890625" style="52" customWidth="1"/>
    <col min="5912" max="5914" width="9" style="52" hidden="1" customWidth="1"/>
    <col min="5915" max="5915" width="10.2890625" style="52" customWidth="1"/>
    <col min="5916" max="5918" width="9" style="52" hidden="1" customWidth="1"/>
    <col min="5919" max="5919" width="10.2890625" style="52" customWidth="1"/>
    <col min="5920" max="5922" width="9" style="52" hidden="1" customWidth="1"/>
    <col min="5923" max="5923" width="10.2890625" style="52" customWidth="1"/>
    <col min="5924" max="5926" width="9" style="52" hidden="1" customWidth="1"/>
    <col min="5927" max="5927" width="10.2890625" style="52" customWidth="1"/>
    <col min="5928" max="5930" width="9" style="52" hidden="1" customWidth="1"/>
    <col min="5931" max="5931" width="10.2890625" style="52" customWidth="1"/>
    <col min="5932" max="5934" width="9" style="52" hidden="1" customWidth="1"/>
    <col min="5935" max="5935" width="10.2890625" style="52" customWidth="1"/>
    <col min="5936" max="5938" width="9" style="52" hidden="1" customWidth="1"/>
    <col min="5939" max="5939" width="10.2890625" style="52" customWidth="1"/>
    <col min="5940" max="5942" width="9" style="52" hidden="1" customWidth="1"/>
    <col min="5943" max="5943" width="10.2890625" style="52" customWidth="1"/>
    <col min="5944" max="5946" width="9" style="52" hidden="1" customWidth="1"/>
    <col min="5947" max="5947" width="10.2890625" style="52" customWidth="1"/>
    <col min="5948" max="5950" width="9" style="52" hidden="1" customWidth="1"/>
    <col min="5951" max="5951" width="10.2890625" style="52" customWidth="1"/>
    <col min="5952" max="5954" width="9" style="52" hidden="1" customWidth="1"/>
    <col min="5955" max="5955" width="10.2890625" style="52" customWidth="1"/>
    <col min="5956" max="5958" width="9" style="52" hidden="1" customWidth="1"/>
    <col min="5959" max="5959" width="10.4296875" style="52" customWidth="1"/>
    <col min="5960" max="5962" width="9" style="52" hidden="1" customWidth="1"/>
    <col min="5963" max="5964" width="10.2890625" style="52" customWidth="1"/>
    <col min="5965" max="5965" width="10" style="52" customWidth="1"/>
    <col min="5966" max="5967" width="10.2890625" style="52" customWidth="1"/>
    <col min="5968" max="6144" width="9.140625" style="52"/>
    <col min="6145" max="6145" width="38.5703125" style="52" customWidth="1"/>
    <col min="6146" max="6146" width="22.859375" style="52" customWidth="1"/>
    <col min="6147" max="6147" width="10.2890625" style="52" customWidth="1"/>
    <col min="6148" max="6150" width="9" style="52" hidden="1" customWidth="1"/>
    <col min="6151" max="6151" width="10.2890625" style="52" customWidth="1"/>
    <col min="6152" max="6154" width="9" style="52" hidden="1" customWidth="1"/>
    <col min="6155" max="6155" width="10.2890625" style="52" customWidth="1"/>
    <col min="6156" max="6158" width="9" style="52" hidden="1" customWidth="1"/>
    <col min="6159" max="6159" width="10.2890625" style="52" customWidth="1"/>
    <col min="6160" max="6162" width="9" style="52" hidden="1" customWidth="1"/>
    <col min="6163" max="6163" width="10.2890625" style="52" customWidth="1"/>
    <col min="6164" max="6166" width="9" style="52" hidden="1" customWidth="1"/>
    <col min="6167" max="6167" width="10.2890625" style="52" customWidth="1"/>
    <col min="6168" max="6170" width="9" style="52" hidden="1" customWidth="1"/>
    <col min="6171" max="6171" width="10.2890625" style="52" customWidth="1"/>
    <col min="6172" max="6174" width="9" style="52" hidden="1" customWidth="1"/>
    <col min="6175" max="6175" width="10.2890625" style="52" customWidth="1"/>
    <col min="6176" max="6178" width="9" style="52" hidden="1" customWidth="1"/>
    <col min="6179" max="6179" width="10.2890625" style="52" customWidth="1"/>
    <col min="6180" max="6182" width="9" style="52" hidden="1" customWidth="1"/>
    <col min="6183" max="6183" width="10.2890625" style="52" customWidth="1"/>
    <col min="6184" max="6186" width="9" style="52" hidden="1" customWidth="1"/>
    <col min="6187" max="6187" width="10.2890625" style="52" customWidth="1"/>
    <col min="6188" max="6190" width="9" style="52" hidden="1" customWidth="1"/>
    <col min="6191" max="6191" width="10.2890625" style="52" customWidth="1"/>
    <col min="6192" max="6194" width="9" style="52" hidden="1" customWidth="1"/>
    <col min="6195" max="6195" width="10.2890625" style="52" customWidth="1"/>
    <col min="6196" max="6198" width="9" style="52" hidden="1" customWidth="1"/>
    <col min="6199" max="6199" width="10.2890625" style="52" customWidth="1"/>
    <col min="6200" max="6202" width="9" style="52" hidden="1" customWidth="1"/>
    <col min="6203" max="6203" width="10.2890625" style="52" customWidth="1"/>
    <col min="6204" max="6206" width="9" style="52" hidden="1" customWidth="1"/>
    <col min="6207" max="6207" width="10.2890625" style="52" customWidth="1"/>
    <col min="6208" max="6210" width="9" style="52" hidden="1" customWidth="1"/>
    <col min="6211" max="6211" width="10.2890625" style="52" customWidth="1"/>
    <col min="6212" max="6214" width="9" style="52" hidden="1" customWidth="1"/>
    <col min="6215" max="6215" width="10.4296875" style="52" customWidth="1"/>
    <col min="6216" max="6218" width="9" style="52" hidden="1" customWidth="1"/>
    <col min="6219" max="6220" width="10.2890625" style="52" customWidth="1"/>
    <col min="6221" max="6221" width="10" style="52" customWidth="1"/>
    <col min="6222" max="6223" width="10.2890625" style="52" customWidth="1"/>
    <col min="6224" max="6400" width="9.140625" style="52"/>
    <col min="6401" max="6401" width="38.5703125" style="52" customWidth="1"/>
    <col min="6402" max="6402" width="22.859375" style="52" customWidth="1"/>
    <col min="6403" max="6403" width="10.2890625" style="52" customWidth="1"/>
    <col min="6404" max="6406" width="9" style="52" hidden="1" customWidth="1"/>
    <col min="6407" max="6407" width="10.2890625" style="52" customWidth="1"/>
    <col min="6408" max="6410" width="9" style="52" hidden="1" customWidth="1"/>
    <col min="6411" max="6411" width="10.2890625" style="52" customWidth="1"/>
    <col min="6412" max="6414" width="9" style="52" hidden="1" customWidth="1"/>
    <col min="6415" max="6415" width="10.2890625" style="52" customWidth="1"/>
    <col min="6416" max="6418" width="9" style="52" hidden="1" customWidth="1"/>
    <col min="6419" max="6419" width="10.2890625" style="52" customWidth="1"/>
    <col min="6420" max="6422" width="9" style="52" hidden="1" customWidth="1"/>
    <col min="6423" max="6423" width="10.2890625" style="52" customWidth="1"/>
    <col min="6424" max="6426" width="9" style="52" hidden="1" customWidth="1"/>
    <col min="6427" max="6427" width="10.2890625" style="52" customWidth="1"/>
    <col min="6428" max="6430" width="9" style="52" hidden="1" customWidth="1"/>
    <col min="6431" max="6431" width="10.2890625" style="52" customWidth="1"/>
    <col min="6432" max="6434" width="9" style="52" hidden="1" customWidth="1"/>
    <col min="6435" max="6435" width="10.2890625" style="52" customWidth="1"/>
    <col min="6436" max="6438" width="9" style="52" hidden="1" customWidth="1"/>
    <col min="6439" max="6439" width="10.2890625" style="52" customWidth="1"/>
    <col min="6440" max="6442" width="9" style="52" hidden="1" customWidth="1"/>
    <col min="6443" max="6443" width="10.2890625" style="52" customWidth="1"/>
    <col min="6444" max="6446" width="9" style="52" hidden="1" customWidth="1"/>
    <col min="6447" max="6447" width="10.2890625" style="52" customWidth="1"/>
    <col min="6448" max="6450" width="9" style="52" hidden="1" customWidth="1"/>
    <col min="6451" max="6451" width="10.2890625" style="52" customWidth="1"/>
    <col min="6452" max="6454" width="9" style="52" hidden="1" customWidth="1"/>
    <col min="6455" max="6455" width="10.2890625" style="52" customWidth="1"/>
    <col min="6456" max="6458" width="9" style="52" hidden="1" customWidth="1"/>
    <col min="6459" max="6459" width="10.2890625" style="52" customWidth="1"/>
    <col min="6460" max="6462" width="9" style="52" hidden="1" customWidth="1"/>
    <col min="6463" max="6463" width="10.2890625" style="52" customWidth="1"/>
    <col min="6464" max="6466" width="9" style="52" hidden="1" customWidth="1"/>
    <col min="6467" max="6467" width="10.2890625" style="52" customWidth="1"/>
    <col min="6468" max="6470" width="9" style="52" hidden="1" customWidth="1"/>
    <col min="6471" max="6471" width="10.4296875" style="52" customWidth="1"/>
    <col min="6472" max="6474" width="9" style="52" hidden="1" customWidth="1"/>
    <col min="6475" max="6476" width="10.2890625" style="52" customWidth="1"/>
    <col min="6477" max="6477" width="10" style="52" customWidth="1"/>
    <col min="6478" max="6479" width="10.2890625" style="52" customWidth="1"/>
    <col min="6480" max="6656" width="9.140625" style="52"/>
    <col min="6657" max="6657" width="38.5703125" style="52" customWidth="1"/>
    <col min="6658" max="6658" width="22.859375" style="52" customWidth="1"/>
    <col min="6659" max="6659" width="10.2890625" style="52" customWidth="1"/>
    <col min="6660" max="6662" width="9" style="52" hidden="1" customWidth="1"/>
    <col min="6663" max="6663" width="10.2890625" style="52" customWidth="1"/>
    <col min="6664" max="6666" width="9" style="52" hidden="1" customWidth="1"/>
    <col min="6667" max="6667" width="10.2890625" style="52" customWidth="1"/>
    <col min="6668" max="6670" width="9" style="52" hidden="1" customWidth="1"/>
    <col min="6671" max="6671" width="10.2890625" style="52" customWidth="1"/>
    <col min="6672" max="6674" width="9" style="52" hidden="1" customWidth="1"/>
    <col min="6675" max="6675" width="10.2890625" style="52" customWidth="1"/>
    <col min="6676" max="6678" width="9" style="52" hidden="1" customWidth="1"/>
    <col min="6679" max="6679" width="10.2890625" style="52" customWidth="1"/>
    <col min="6680" max="6682" width="9" style="52" hidden="1" customWidth="1"/>
    <col min="6683" max="6683" width="10.2890625" style="52" customWidth="1"/>
    <col min="6684" max="6686" width="9" style="52" hidden="1" customWidth="1"/>
    <col min="6687" max="6687" width="10.2890625" style="52" customWidth="1"/>
    <col min="6688" max="6690" width="9" style="52" hidden="1" customWidth="1"/>
    <col min="6691" max="6691" width="10.2890625" style="52" customWidth="1"/>
    <col min="6692" max="6694" width="9" style="52" hidden="1" customWidth="1"/>
    <col min="6695" max="6695" width="10.2890625" style="52" customWidth="1"/>
    <col min="6696" max="6698" width="9" style="52" hidden="1" customWidth="1"/>
    <col min="6699" max="6699" width="10.2890625" style="52" customWidth="1"/>
    <col min="6700" max="6702" width="9" style="52" hidden="1" customWidth="1"/>
    <col min="6703" max="6703" width="10.2890625" style="52" customWidth="1"/>
    <col min="6704" max="6706" width="9" style="52" hidden="1" customWidth="1"/>
    <col min="6707" max="6707" width="10.2890625" style="52" customWidth="1"/>
    <col min="6708" max="6710" width="9" style="52" hidden="1" customWidth="1"/>
    <col min="6711" max="6711" width="10.2890625" style="52" customWidth="1"/>
    <col min="6712" max="6714" width="9" style="52" hidden="1" customWidth="1"/>
    <col min="6715" max="6715" width="10.2890625" style="52" customWidth="1"/>
    <col min="6716" max="6718" width="9" style="52" hidden="1" customWidth="1"/>
    <col min="6719" max="6719" width="10.2890625" style="52" customWidth="1"/>
    <col min="6720" max="6722" width="9" style="52" hidden="1" customWidth="1"/>
    <col min="6723" max="6723" width="10.2890625" style="52" customWidth="1"/>
    <col min="6724" max="6726" width="9" style="52" hidden="1" customWidth="1"/>
    <col min="6727" max="6727" width="10.4296875" style="52" customWidth="1"/>
    <col min="6728" max="6730" width="9" style="52" hidden="1" customWidth="1"/>
    <col min="6731" max="6732" width="10.2890625" style="52" customWidth="1"/>
    <col min="6733" max="6733" width="10" style="52" customWidth="1"/>
    <col min="6734" max="6735" width="10.2890625" style="52" customWidth="1"/>
    <col min="6736" max="6912" width="9.140625" style="52"/>
    <col min="6913" max="6913" width="38.5703125" style="52" customWidth="1"/>
    <col min="6914" max="6914" width="22.859375" style="52" customWidth="1"/>
    <col min="6915" max="6915" width="10.2890625" style="52" customWidth="1"/>
    <col min="6916" max="6918" width="9" style="52" hidden="1" customWidth="1"/>
    <col min="6919" max="6919" width="10.2890625" style="52" customWidth="1"/>
    <col min="6920" max="6922" width="9" style="52" hidden="1" customWidth="1"/>
    <col min="6923" max="6923" width="10.2890625" style="52" customWidth="1"/>
    <col min="6924" max="6926" width="9" style="52" hidden="1" customWidth="1"/>
    <col min="6927" max="6927" width="10.2890625" style="52" customWidth="1"/>
    <col min="6928" max="6930" width="9" style="52" hidden="1" customWidth="1"/>
    <col min="6931" max="6931" width="10.2890625" style="52" customWidth="1"/>
    <col min="6932" max="6934" width="9" style="52" hidden="1" customWidth="1"/>
    <col min="6935" max="6935" width="10.2890625" style="52" customWidth="1"/>
    <col min="6936" max="6938" width="9" style="52" hidden="1" customWidth="1"/>
    <col min="6939" max="6939" width="10.2890625" style="52" customWidth="1"/>
    <col min="6940" max="6942" width="9" style="52" hidden="1" customWidth="1"/>
    <col min="6943" max="6943" width="10.2890625" style="52" customWidth="1"/>
    <col min="6944" max="6946" width="9" style="52" hidden="1" customWidth="1"/>
    <col min="6947" max="6947" width="10.2890625" style="52" customWidth="1"/>
    <col min="6948" max="6950" width="9" style="52" hidden="1" customWidth="1"/>
    <col min="6951" max="6951" width="10.2890625" style="52" customWidth="1"/>
    <col min="6952" max="6954" width="9" style="52" hidden="1" customWidth="1"/>
    <col min="6955" max="6955" width="10.2890625" style="52" customWidth="1"/>
    <col min="6956" max="6958" width="9" style="52" hidden="1" customWidth="1"/>
    <col min="6959" max="6959" width="10.2890625" style="52" customWidth="1"/>
    <col min="6960" max="6962" width="9" style="52" hidden="1" customWidth="1"/>
    <col min="6963" max="6963" width="10.2890625" style="52" customWidth="1"/>
    <col min="6964" max="6966" width="9" style="52" hidden="1" customWidth="1"/>
    <col min="6967" max="6967" width="10.2890625" style="52" customWidth="1"/>
    <col min="6968" max="6970" width="9" style="52" hidden="1" customWidth="1"/>
    <col min="6971" max="6971" width="10.2890625" style="52" customWidth="1"/>
    <col min="6972" max="6974" width="9" style="52" hidden="1" customWidth="1"/>
    <col min="6975" max="6975" width="10.2890625" style="52" customWidth="1"/>
    <col min="6976" max="6978" width="9" style="52" hidden="1" customWidth="1"/>
    <col min="6979" max="6979" width="10.2890625" style="52" customWidth="1"/>
    <col min="6980" max="6982" width="9" style="52" hidden="1" customWidth="1"/>
    <col min="6983" max="6983" width="10.4296875" style="52" customWidth="1"/>
    <col min="6984" max="6986" width="9" style="52" hidden="1" customWidth="1"/>
    <col min="6987" max="6988" width="10.2890625" style="52" customWidth="1"/>
    <col min="6989" max="6989" width="10" style="52" customWidth="1"/>
    <col min="6990" max="6991" width="10.2890625" style="52" customWidth="1"/>
    <col min="6992" max="7168" width="9.140625" style="52"/>
    <col min="7169" max="7169" width="38.5703125" style="52" customWidth="1"/>
    <col min="7170" max="7170" width="22.859375" style="52" customWidth="1"/>
    <col min="7171" max="7171" width="10.2890625" style="52" customWidth="1"/>
    <col min="7172" max="7174" width="9" style="52" hidden="1" customWidth="1"/>
    <col min="7175" max="7175" width="10.2890625" style="52" customWidth="1"/>
    <col min="7176" max="7178" width="9" style="52" hidden="1" customWidth="1"/>
    <col min="7179" max="7179" width="10.2890625" style="52" customWidth="1"/>
    <col min="7180" max="7182" width="9" style="52" hidden="1" customWidth="1"/>
    <col min="7183" max="7183" width="10.2890625" style="52" customWidth="1"/>
    <col min="7184" max="7186" width="9" style="52" hidden="1" customWidth="1"/>
    <col min="7187" max="7187" width="10.2890625" style="52" customWidth="1"/>
    <col min="7188" max="7190" width="9" style="52" hidden="1" customWidth="1"/>
    <col min="7191" max="7191" width="10.2890625" style="52" customWidth="1"/>
    <col min="7192" max="7194" width="9" style="52" hidden="1" customWidth="1"/>
    <col min="7195" max="7195" width="10.2890625" style="52" customWidth="1"/>
    <col min="7196" max="7198" width="9" style="52" hidden="1" customWidth="1"/>
    <col min="7199" max="7199" width="10.2890625" style="52" customWidth="1"/>
    <col min="7200" max="7202" width="9" style="52" hidden="1" customWidth="1"/>
    <col min="7203" max="7203" width="10.2890625" style="52" customWidth="1"/>
    <col min="7204" max="7206" width="9" style="52" hidden="1" customWidth="1"/>
    <col min="7207" max="7207" width="10.2890625" style="52" customWidth="1"/>
    <col min="7208" max="7210" width="9" style="52" hidden="1" customWidth="1"/>
    <col min="7211" max="7211" width="10.2890625" style="52" customWidth="1"/>
    <col min="7212" max="7214" width="9" style="52" hidden="1" customWidth="1"/>
    <col min="7215" max="7215" width="10.2890625" style="52" customWidth="1"/>
    <col min="7216" max="7218" width="9" style="52" hidden="1" customWidth="1"/>
    <col min="7219" max="7219" width="10.2890625" style="52" customWidth="1"/>
    <col min="7220" max="7222" width="9" style="52" hidden="1" customWidth="1"/>
    <col min="7223" max="7223" width="10.2890625" style="52" customWidth="1"/>
    <col min="7224" max="7226" width="9" style="52" hidden="1" customWidth="1"/>
    <col min="7227" max="7227" width="10.2890625" style="52" customWidth="1"/>
    <col min="7228" max="7230" width="9" style="52" hidden="1" customWidth="1"/>
    <col min="7231" max="7231" width="10.2890625" style="52" customWidth="1"/>
    <col min="7232" max="7234" width="9" style="52" hidden="1" customWidth="1"/>
    <col min="7235" max="7235" width="10.2890625" style="52" customWidth="1"/>
    <col min="7236" max="7238" width="9" style="52" hidden="1" customWidth="1"/>
    <col min="7239" max="7239" width="10.4296875" style="52" customWidth="1"/>
    <col min="7240" max="7242" width="9" style="52" hidden="1" customWidth="1"/>
    <col min="7243" max="7244" width="10.2890625" style="52" customWidth="1"/>
    <col min="7245" max="7245" width="10" style="52" customWidth="1"/>
    <col min="7246" max="7247" width="10.2890625" style="52" customWidth="1"/>
    <col min="7248" max="7424" width="9.140625" style="52"/>
    <col min="7425" max="7425" width="38.5703125" style="52" customWidth="1"/>
    <col min="7426" max="7426" width="22.859375" style="52" customWidth="1"/>
    <col min="7427" max="7427" width="10.2890625" style="52" customWidth="1"/>
    <col min="7428" max="7430" width="9" style="52" hidden="1" customWidth="1"/>
    <col min="7431" max="7431" width="10.2890625" style="52" customWidth="1"/>
    <col min="7432" max="7434" width="9" style="52" hidden="1" customWidth="1"/>
    <col min="7435" max="7435" width="10.2890625" style="52" customWidth="1"/>
    <col min="7436" max="7438" width="9" style="52" hidden="1" customWidth="1"/>
    <col min="7439" max="7439" width="10.2890625" style="52" customWidth="1"/>
    <col min="7440" max="7442" width="9" style="52" hidden="1" customWidth="1"/>
    <col min="7443" max="7443" width="10.2890625" style="52" customWidth="1"/>
    <col min="7444" max="7446" width="9" style="52" hidden="1" customWidth="1"/>
    <col min="7447" max="7447" width="10.2890625" style="52" customWidth="1"/>
    <col min="7448" max="7450" width="9" style="52" hidden="1" customWidth="1"/>
    <col min="7451" max="7451" width="10.2890625" style="52" customWidth="1"/>
    <col min="7452" max="7454" width="9" style="52" hidden="1" customWidth="1"/>
    <col min="7455" max="7455" width="10.2890625" style="52" customWidth="1"/>
    <col min="7456" max="7458" width="9" style="52" hidden="1" customWidth="1"/>
    <col min="7459" max="7459" width="10.2890625" style="52" customWidth="1"/>
    <col min="7460" max="7462" width="9" style="52" hidden="1" customWidth="1"/>
    <col min="7463" max="7463" width="10.2890625" style="52" customWidth="1"/>
    <col min="7464" max="7466" width="9" style="52" hidden="1" customWidth="1"/>
    <col min="7467" max="7467" width="10.2890625" style="52" customWidth="1"/>
    <col min="7468" max="7470" width="9" style="52" hidden="1" customWidth="1"/>
    <col min="7471" max="7471" width="10.2890625" style="52" customWidth="1"/>
    <col min="7472" max="7474" width="9" style="52" hidden="1" customWidth="1"/>
    <col min="7475" max="7475" width="10.2890625" style="52" customWidth="1"/>
    <col min="7476" max="7478" width="9" style="52" hidden="1" customWidth="1"/>
    <col min="7479" max="7479" width="10.2890625" style="52" customWidth="1"/>
    <col min="7480" max="7482" width="9" style="52" hidden="1" customWidth="1"/>
    <col min="7483" max="7483" width="10.2890625" style="52" customWidth="1"/>
    <col min="7484" max="7486" width="9" style="52" hidden="1" customWidth="1"/>
    <col min="7487" max="7487" width="10.2890625" style="52" customWidth="1"/>
    <col min="7488" max="7490" width="9" style="52" hidden="1" customWidth="1"/>
    <col min="7491" max="7491" width="10.2890625" style="52" customWidth="1"/>
    <col min="7492" max="7494" width="9" style="52" hidden="1" customWidth="1"/>
    <col min="7495" max="7495" width="10.4296875" style="52" customWidth="1"/>
    <col min="7496" max="7498" width="9" style="52" hidden="1" customWidth="1"/>
    <col min="7499" max="7500" width="10.2890625" style="52" customWidth="1"/>
    <col min="7501" max="7501" width="10" style="52" customWidth="1"/>
    <col min="7502" max="7503" width="10.2890625" style="52" customWidth="1"/>
    <col min="7504" max="7680" width="9.140625" style="52"/>
    <col min="7681" max="7681" width="38.5703125" style="52" customWidth="1"/>
    <col min="7682" max="7682" width="22.859375" style="52" customWidth="1"/>
    <col min="7683" max="7683" width="10.2890625" style="52" customWidth="1"/>
    <col min="7684" max="7686" width="9" style="52" hidden="1" customWidth="1"/>
    <col min="7687" max="7687" width="10.2890625" style="52" customWidth="1"/>
    <col min="7688" max="7690" width="9" style="52" hidden="1" customWidth="1"/>
    <col min="7691" max="7691" width="10.2890625" style="52" customWidth="1"/>
    <col min="7692" max="7694" width="9" style="52" hidden="1" customWidth="1"/>
    <col min="7695" max="7695" width="10.2890625" style="52" customWidth="1"/>
    <col min="7696" max="7698" width="9" style="52" hidden="1" customWidth="1"/>
    <col min="7699" max="7699" width="10.2890625" style="52" customWidth="1"/>
    <col min="7700" max="7702" width="9" style="52" hidden="1" customWidth="1"/>
    <col min="7703" max="7703" width="10.2890625" style="52" customWidth="1"/>
    <col min="7704" max="7706" width="9" style="52" hidden="1" customWidth="1"/>
    <col min="7707" max="7707" width="10.2890625" style="52" customWidth="1"/>
    <col min="7708" max="7710" width="9" style="52" hidden="1" customWidth="1"/>
    <col min="7711" max="7711" width="10.2890625" style="52" customWidth="1"/>
    <col min="7712" max="7714" width="9" style="52" hidden="1" customWidth="1"/>
    <col min="7715" max="7715" width="10.2890625" style="52" customWidth="1"/>
    <col min="7716" max="7718" width="9" style="52" hidden="1" customWidth="1"/>
    <col min="7719" max="7719" width="10.2890625" style="52" customWidth="1"/>
    <col min="7720" max="7722" width="9" style="52" hidden="1" customWidth="1"/>
    <col min="7723" max="7723" width="10.2890625" style="52" customWidth="1"/>
    <col min="7724" max="7726" width="9" style="52" hidden="1" customWidth="1"/>
    <col min="7727" max="7727" width="10.2890625" style="52" customWidth="1"/>
    <col min="7728" max="7730" width="9" style="52" hidden="1" customWidth="1"/>
    <col min="7731" max="7731" width="10.2890625" style="52" customWidth="1"/>
    <col min="7732" max="7734" width="9" style="52" hidden="1" customWidth="1"/>
    <col min="7735" max="7735" width="10.2890625" style="52" customWidth="1"/>
    <col min="7736" max="7738" width="9" style="52" hidden="1" customWidth="1"/>
    <col min="7739" max="7739" width="10.2890625" style="52" customWidth="1"/>
    <col min="7740" max="7742" width="9" style="52" hidden="1" customWidth="1"/>
    <col min="7743" max="7743" width="10.2890625" style="52" customWidth="1"/>
    <col min="7744" max="7746" width="9" style="52" hidden="1" customWidth="1"/>
    <col min="7747" max="7747" width="10.2890625" style="52" customWidth="1"/>
    <col min="7748" max="7750" width="9" style="52" hidden="1" customWidth="1"/>
    <col min="7751" max="7751" width="10.4296875" style="52" customWidth="1"/>
    <col min="7752" max="7754" width="9" style="52" hidden="1" customWidth="1"/>
    <col min="7755" max="7756" width="10.2890625" style="52" customWidth="1"/>
    <col min="7757" max="7757" width="10" style="52" customWidth="1"/>
    <col min="7758" max="7759" width="10.2890625" style="52" customWidth="1"/>
    <col min="7760" max="7936" width="9.140625" style="52"/>
    <col min="7937" max="7937" width="38.5703125" style="52" customWidth="1"/>
    <col min="7938" max="7938" width="22.859375" style="52" customWidth="1"/>
    <col min="7939" max="7939" width="10.2890625" style="52" customWidth="1"/>
    <col min="7940" max="7942" width="9" style="52" hidden="1" customWidth="1"/>
    <col min="7943" max="7943" width="10.2890625" style="52" customWidth="1"/>
    <col min="7944" max="7946" width="9" style="52" hidden="1" customWidth="1"/>
    <col min="7947" max="7947" width="10.2890625" style="52" customWidth="1"/>
    <col min="7948" max="7950" width="9" style="52" hidden="1" customWidth="1"/>
    <col min="7951" max="7951" width="10.2890625" style="52" customWidth="1"/>
    <col min="7952" max="7954" width="9" style="52" hidden="1" customWidth="1"/>
    <col min="7955" max="7955" width="10.2890625" style="52" customWidth="1"/>
    <col min="7956" max="7958" width="9" style="52" hidden="1" customWidth="1"/>
    <col min="7959" max="7959" width="10.2890625" style="52" customWidth="1"/>
    <col min="7960" max="7962" width="9" style="52" hidden="1" customWidth="1"/>
    <col min="7963" max="7963" width="10.2890625" style="52" customWidth="1"/>
    <col min="7964" max="7966" width="9" style="52" hidden="1" customWidth="1"/>
    <col min="7967" max="7967" width="10.2890625" style="52" customWidth="1"/>
    <col min="7968" max="7970" width="9" style="52" hidden="1" customWidth="1"/>
    <col min="7971" max="7971" width="10.2890625" style="52" customWidth="1"/>
    <col min="7972" max="7974" width="9" style="52" hidden="1" customWidth="1"/>
    <col min="7975" max="7975" width="10.2890625" style="52" customWidth="1"/>
    <col min="7976" max="7978" width="9" style="52" hidden="1" customWidth="1"/>
    <col min="7979" max="7979" width="10.2890625" style="52" customWidth="1"/>
    <col min="7980" max="7982" width="9" style="52" hidden="1" customWidth="1"/>
    <col min="7983" max="7983" width="10.2890625" style="52" customWidth="1"/>
    <col min="7984" max="7986" width="9" style="52" hidden="1" customWidth="1"/>
    <col min="7987" max="7987" width="10.2890625" style="52" customWidth="1"/>
    <col min="7988" max="7990" width="9" style="52" hidden="1" customWidth="1"/>
    <col min="7991" max="7991" width="10.2890625" style="52" customWidth="1"/>
    <col min="7992" max="7994" width="9" style="52" hidden="1" customWidth="1"/>
    <col min="7995" max="7995" width="10.2890625" style="52" customWidth="1"/>
    <col min="7996" max="7998" width="9" style="52" hidden="1" customWidth="1"/>
    <col min="7999" max="7999" width="10.2890625" style="52" customWidth="1"/>
    <col min="8000" max="8002" width="9" style="52" hidden="1" customWidth="1"/>
    <col min="8003" max="8003" width="10.2890625" style="52" customWidth="1"/>
    <col min="8004" max="8006" width="9" style="52" hidden="1" customWidth="1"/>
    <col min="8007" max="8007" width="10.4296875" style="52" customWidth="1"/>
    <col min="8008" max="8010" width="9" style="52" hidden="1" customWidth="1"/>
    <col min="8011" max="8012" width="10.2890625" style="52" customWidth="1"/>
    <col min="8013" max="8013" width="10" style="52" customWidth="1"/>
    <col min="8014" max="8015" width="10.2890625" style="52" customWidth="1"/>
    <col min="8016" max="8192" width="9.140625" style="52"/>
    <col min="8193" max="8193" width="38.5703125" style="52" customWidth="1"/>
    <col min="8194" max="8194" width="22.859375" style="52" customWidth="1"/>
    <col min="8195" max="8195" width="10.2890625" style="52" customWidth="1"/>
    <col min="8196" max="8198" width="9" style="52" hidden="1" customWidth="1"/>
    <col min="8199" max="8199" width="10.2890625" style="52" customWidth="1"/>
    <col min="8200" max="8202" width="9" style="52" hidden="1" customWidth="1"/>
    <col min="8203" max="8203" width="10.2890625" style="52" customWidth="1"/>
    <col min="8204" max="8206" width="9" style="52" hidden="1" customWidth="1"/>
    <col min="8207" max="8207" width="10.2890625" style="52" customWidth="1"/>
    <col min="8208" max="8210" width="9" style="52" hidden="1" customWidth="1"/>
    <col min="8211" max="8211" width="10.2890625" style="52" customWidth="1"/>
    <col min="8212" max="8214" width="9" style="52" hidden="1" customWidth="1"/>
    <col min="8215" max="8215" width="10.2890625" style="52" customWidth="1"/>
    <col min="8216" max="8218" width="9" style="52" hidden="1" customWidth="1"/>
    <col min="8219" max="8219" width="10.2890625" style="52" customWidth="1"/>
    <col min="8220" max="8222" width="9" style="52" hidden="1" customWidth="1"/>
    <col min="8223" max="8223" width="10.2890625" style="52" customWidth="1"/>
    <col min="8224" max="8226" width="9" style="52" hidden="1" customWidth="1"/>
    <col min="8227" max="8227" width="10.2890625" style="52" customWidth="1"/>
    <col min="8228" max="8230" width="9" style="52" hidden="1" customWidth="1"/>
    <col min="8231" max="8231" width="10.2890625" style="52" customWidth="1"/>
    <col min="8232" max="8234" width="9" style="52" hidden="1" customWidth="1"/>
    <col min="8235" max="8235" width="10.2890625" style="52" customWidth="1"/>
    <col min="8236" max="8238" width="9" style="52" hidden="1" customWidth="1"/>
    <col min="8239" max="8239" width="10.2890625" style="52" customWidth="1"/>
    <col min="8240" max="8242" width="9" style="52" hidden="1" customWidth="1"/>
    <col min="8243" max="8243" width="10.2890625" style="52" customWidth="1"/>
    <col min="8244" max="8246" width="9" style="52" hidden="1" customWidth="1"/>
    <col min="8247" max="8247" width="10.2890625" style="52" customWidth="1"/>
    <col min="8248" max="8250" width="9" style="52" hidden="1" customWidth="1"/>
    <col min="8251" max="8251" width="10.2890625" style="52" customWidth="1"/>
    <col min="8252" max="8254" width="9" style="52" hidden="1" customWidth="1"/>
    <col min="8255" max="8255" width="10.2890625" style="52" customWidth="1"/>
    <col min="8256" max="8258" width="9" style="52" hidden="1" customWidth="1"/>
    <col min="8259" max="8259" width="10.2890625" style="52" customWidth="1"/>
    <col min="8260" max="8262" width="9" style="52" hidden="1" customWidth="1"/>
    <col min="8263" max="8263" width="10.4296875" style="52" customWidth="1"/>
    <col min="8264" max="8266" width="9" style="52" hidden="1" customWidth="1"/>
    <col min="8267" max="8268" width="10.2890625" style="52" customWidth="1"/>
    <col min="8269" max="8269" width="10" style="52" customWidth="1"/>
    <col min="8270" max="8271" width="10.2890625" style="52" customWidth="1"/>
    <col min="8272" max="8448" width="9.140625" style="52"/>
    <col min="8449" max="8449" width="38.5703125" style="52" customWidth="1"/>
    <col min="8450" max="8450" width="22.859375" style="52" customWidth="1"/>
    <col min="8451" max="8451" width="10.2890625" style="52" customWidth="1"/>
    <col min="8452" max="8454" width="9" style="52" hidden="1" customWidth="1"/>
    <col min="8455" max="8455" width="10.2890625" style="52" customWidth="1"/>
    <col min="8456" max="8458" width="9" style="52" hidden="1" customWidth="1"/>
    <col min="8459" max="8459" width="10.2890625" style="52" customWidth="1"/>
    <col min="8460" max="8462" width="9" style="52" hidden="1" customWidth="1"/>
    <col min="8463" max="8463" width="10.2890625" style="52" customWidth="1"/>
    <col min="8464" max="8466" width="9" style="52" hidden="1" customWidth="1"/>
    <col min="8467" max="8467" width="10.2890625" style="52" customWidth="1"/>
    <col min="8468" max="8470" width="9" style="52" hidden="1" customWidth="1"/>
    <col min="8471" max="8471" width="10.2890625" style="52" customWidth="1"/>
    <col min="8472" max="8474" width="9" style="52" hidden="1" customWidth="1"/>
    <col min="8475" max="8475" width="10.2890625" style="52" customWidth="1"/>
    <col min="8476" max="8478" width="9" style="52" hidden="1" customWidth="1"/>
    <col min="8479" max="8479" width="10.2890625" style="52" customWidth="1"/>
    <col min="8480" max="8482" width="9" style="52" hidden="1" customWidth="1"/>
    <col min="8483" max="8483" width="10.2890625" style="52" customWidth="1"/>
    <col min="8484" max="8486" width="9" style="52" hidden="1" customWidth="1"/>
    <col min="8487" max="8487" width="10.2890625" style="52" customWidth="1"/>
    <col min="8488" max="8490" width="9" style="52" hidden="1" customWidth="1"/>
    <col min="8491" max="8491" width="10.2890625" style="52" customWidth="1"/>
    <col min="8492" max="8494" width="9" style="52" hidden="1" customWidth="1"/>
    <col min="8495" max="8495" width="10.2890625" style="52" customWidth="1"/>
    <col min="8496" max="8498" width="9" style="52" hidden="1" customWidth="1"/>
    <col min="8499" max="8499" width="10.2890625" style="52" customWidth="1"/>
    <col min="8500" max="8502" width="9" style="52" hidden="1" customWidth="1"/>
    <col min="8503" max="8503" width="10.2890625" style="52" customWidth="1"/>
    <col min="8504" max="8506" width="9" style="52" hidden="1" customWidth="1"/>
    <col min="8507" max="8507" width="10.2890625" style="52" customWidth="1"/>
    <col min="8508" max="8510" width="9" style="52" hidden="1" customWidth="1"/>
    <col min="8511" max="8511" width="10.2890625" style="52" customWidth="1"/>
    <col min="8512" max="8514" width="9" style="52" hidden="1" customWidth="1"/>
    <col min="8515" max="8515" width="10.2890625" style="52" customWidth="1"/>
    <col min="8516" max="8518" width="9" style="52" hidden="1" customWidth="1"/>
    <col min="8519" max="8519" width="10.4296875" style="52" customWidth="1"/>
    <col min="8520" max="8522" width="9" style="52" hidden="1" customWidth="1"/>
    <col min="8523" max="8524" width="10.2890625" style="52" customWidth="1"/>
    <col min="8525" max="8525" width="10" style="52" customWidth="1"/>
    <col min="8526" max="8527" width="10.2890625" style="52" customWidth="1"/>
    <col min="8528" max="8704" width="9.140625" style="52"/>
    <col min="8705" max="8705" width="38.5703125" style="52" customWidth="1"/>
    <col min="8706" max="8706" width="22.859375" style="52" customWidth="1"/>
    <col min="8707" max="8707" width="10.2890625" style="52" customWidth="1"/>
    <col min="8708" max="8710" width="9" style="52" hidden="1" customWidth="1"/>
    <col min="8711" max="8711" width="10.2890625" style="52" customWidth="1"/>
    <col min="8712" max="8714" width="9" style="52" hidden="1" customWidth="1"/>
    <col min="8715" max="8715" width="10.2890625" style="52" customWidth="1"/>
    <col min="8716" max="8718" width="9" style="52" hidden="1" customWidth="1"/>
    <col min="8719" max="8719" width="10.2890625" style="52" customWidth="1"/>
    <col min="8720" max="8722" width="9" style="52" hidden="1" customWidth="1"/>
    <col min="8723" max="8723" width="10.2890625" style="52" customWidth="1"/>
    <col min="8724" max="8726" width="9" style="52" hidden="1" customWidth="1"/>
    <col min="8727" max="8727" width="10.2890625" style="52" customWidth="1"/>
    <col min="8728" max="8730" width="9" style="52" hidden="1" customWidth="1"/>
    <col min="8731" max="8731" width="10.2890625" style="52" customWidth="1"/>
    <col min="8732" max="8734" width="9" style="52" hidden="1" customWidth="1"/>
    <col min="8735" max="8735" width="10.2890625" style="52" customWidth="1"/>
    <col min="8736" max="8738" width="9" style="52" hidden="1" customWidth="1"/>
    <col min="8739" max="8739" width="10.2890625" style="52" customWidth="1"/>
    <col min="8740" max="8742" width="9" style="52" hidden="1" customWidth="1"/>
    <col min="8743" max="8743" width="10.2890625" style="52" customWidth="1"/>
    <col min="8744" max="8746" width="9" style="52" hidden="1" customWidth="1"/>
    <col min="8747" max="8747" width="10.2890625" style="52" customWidth="1"/>
    <col min="8748" max="8750" width="9" style="52" hidden="1" customWidth="1"/>
    <col min="8751" max="8751" width="10.2890625" style="52" customWidth="1"/>
    <col min="8752" max="8754" width="9" style="52" hidden="1" customWidth="1"/>
    <col min="8755" max="8755" width="10.2890625" style="52" customWidth="1"/>
    <col min="8756" max="8758" width="9" style="52" hidden="1" customWidth="1"/>
    <col min="8759" max="8759" width="10.2890625" style="52" customWidth="1"/>
    <col min="8760" max="8762" width="9" style="52" hidden="1" customWidth="1"/>
    <col min="8763" max="8763" width="10.2890625" style="52" customWidth="1"/>
    <col min="8764" max="8766" width="9" style="52" hidden="1" customWidth="1"/>
    <col min="8767" max="8767" width="10.2890625" style="52" customWidth="1"/>
    <col min="8768" max="8770" width="9" style="52" hidden="1" customWidth="1"/>
    <col min="8771" max="8771" width="10.2890625" style="52" customWidth="1"/>
    <col min="8772" max="8774" width="9" style="52" hidden="1" customWidth="1"/>
    <col min="8775" max="8775" width="10.4296875" style="52" customWidth="1"/>
    <col min="8776" max="8778" width="9" style="52" hidden="1" customWidth="1"/>
    <col min="8779" max="8780" width="10.2890625" style="52" customWidth="1"/>
    <col min="8781" max="8781" width="10" style="52" customWidth="1"/>
    <col min="8782" max="8783" width="10.2890625" style="52" customWidth="1"/>
    <col min="8784" max="8960" width="9.140625" style="52"/>
    <col min="8961" max="8961" width="38.5703125" style="52" customWidth="1"/>
    <col min="8962" max="8962" width="22.859375" style="52" customWidth="1"/>
    <col min="8963" max="8963" width="10.2890625" style="52" customWidth="1"/>
    <col min="8964" max="8966" width="9" style="52" hidden="1" customWidth="1"/>
    <col min="8967" max="8967" width="10.2890625" style="52" customWidth="1"/>
    <col min="8968" max="8970" width="9" style="52" hidden="1" customWidth="1"/>
    <col min="8971" max="8971" width="10.2890625" style="52" customWidth="1"/>
    <col min="8972" max="8974" width="9" style="52" hidden="1" customWidth="1"/>
    <col min="8975" max="8975" width="10.2890625" style="52" customWidth="1"/>
    <col min="8976" max="8978" width="9" style="52" hidden="1" customWidth="1"/>
    <col min="8979" max="8979" width="10.2890625" style="52" customWidth="1"/>
    <col min="8980" max="8982" width="9" style="52" hidden="1" customWidth="1"/>
    <col min="8983" max="8983" width="10.2890625" style="52" customWidth="1"/>
    <col min="8984" max="8986" width="9" style="52" hidden="1" customWidth="1"/>
    <col min="8987" max="8987" width="10.2890625" style="52" customWidth="1"/>
    <col min="8988" max="8990" width="9" style="52" hidden="1" customWidth="1"/>
    <col min="8991" max="8991" width="10.2890625" style="52" customWidth="1"/>
    <col min="8992" max="8994" width="9" style="52" hidden="1" customWidth="1"/>
    <col min="8995" max="8995" width="10.2890625" style="52" customWidth="1"/>
    <col min="8996" max="8998" width="9" style="52" hidden="1" customWidth="1"/>
    <col min="8999" max="8999" width="10.2890625" style="52" customWidth="1"/>
    <col min="9000" max="9002" width="9" style="52" hidden="1" customWidth="1"/>
    <col min="9003" max="9003" width="10.2890625" style="52" customWidth="1"/>
    <col min="9004" max="9006" width="9" style="52" hidden="1" customWidth="1"/>
    <col min="9007" max="9007" width="10.2890625" style="52" customWidth="1"/>
    <col min="9008" max="9010" width="9" style="52" hidden="1" customWidth="1"/>
    <col min="9011" max="9011" width="10.2890625" style="52" customWidth="1"/>
    <col min="9012" max="9014" width="9" style="52" hidden="1" customWidth="1"/>
    <col min="9015" max="9015" width="10.2890625" style="52" customWidth="1"/>
    <col min="9016" max="9018" width="9" style="52" hidden="1" customWidth="1"/>
    <col min="9019" max="9019" width="10.2890625" style="52" customWidth="1"/>
    <col min="9020" max="9022" width="9" style="52" hidden="1" customWidth="1"/>
    <col min="9023" max="9023" width="10.2890625" style="52" customWidth="1"/>
    <col min="9024" max="9026" width="9" style="52" hidden="1" customWidth="1"/>
    <col min="9027" max="9027" width="10.2890625" style="52" customWidth="1"/>
    <col min="9028" max="9030" width="9" style="52" hidden="1" customWidth="1"/>
    <col min="9031" max="9031" width="10.4296875" style="52" customWidth="1"/>
    <col min="9032" max="9034" width="9" style="52" hidden="1" customWidth="1"/>
    <col min="9035" max="9036" width="10.2890625" style="52" customWidth="1"/>
    <col min="9037" max="9037" width="10" style="52" customWidth="1"/>
    <col min="9038" max="9039" width="10.2890625" style="52" customWidth="1"/>
    <col min="9040" max="9216" width="9.140625" style="52"/>
    <col min="9217" max="9217" width="38.5703125" style="52" customWidth="1"/>
    <col min="9218" max="9218" width="22.859375" style="52" customWidth="1"/>
    <col min="9219" max="9219" width="10.2890625" style="52" customWidth="1"/>
    <col min="9220" max="9222" width="9" style="52" hidden="1" customWidth="1"/>
    <col min="9223" max="9223" width="10.2890625" style="52" customWidth="1"/>
    <col min="9224" max="9226" width="9" style="52" hidden="1" customWidth="1"/>
    <col min="9227" max="9227" width="10.2890625" style="52" customWidth="1"/>
    <col min="9228" max="9230" width="9" style="52" hidden="1" customWidth="1"/>
    <col min="9231" max="9231" width="10.2890625" style="52" customWidth="1"/>
    <col min="9232" max="9234" width="9" style="52" hidden="1" customWidth="1"/>
    <col min="9235" max="9235" width="10.2890625" style="52" customWidth="1"/>
    <col min="9236" max="9238" width="9" style="52" hidden="1" customWidth="1"/>
    <col min="9239" max="9239" width="10.2890625" style="52" customWidth="1"/>
    <col min="9240" max="9242" width="9" style="52" hidden="1" customWidth="1"/>
    <col min="9243" max="9243" width="10.2890625" style="52" customWidth="1"/>
    <col min="9244" max="9246" width="9" style="52" hidden="1" customWidth="1"/>
    <col min="9247" max="9247" width="10.2890625" style="52" customWidth="1"/>
    <col min="9248" max="9250" width="9" style="52" hidden="1" customWidth="1"/>
    <col min="9251" max="9251" width="10.2890625" style="52" customWidth="1"/>
    <col min="9252" max="9254" width="9" style="52" hidden="1" customWidth="1"/>
    <col min="9255" max="9255" width="10.2890625" style="52" customWidth="1"/>
    <col min="9256" max="9258" width="9" style="52" hidden="1" customWidth="1"/>
    <col min="9259" max="9259" width="10.2890625" style="52" customWidth="1"/>
    <col min="9260" max="9262" width="9" style="52" hidden="1" customWidth="1"/>
    <col min="9263" max="9263" width="10.2890625" style="52" customWidth="1"/>
    <col min="9264" max="9266" width="9" style="52" hidden="1" customWidth="1"/>
    <col min="9267" max="9267" width="10.2890625" style="52" customWidth="1"/>
    <col min="9268" max="9270" width="9" style="52" hidden="1" customWidth="1"/>
    <col min="9271" max="9271" width="10.2890625" style="52" customWidth="1"/>
    <col min="9272" max="9274" width="9" style="52" hidden="1" customWidth="1"/>
    <col min="9275" max="9275" width="10.2890625" style="52" customWidth="1"/>
    <col min="9276" max="9278" width="9" style="52" hidden="1" customWidth="1"/>
    <col min="9279" max="9279" width="10.2890625" style="52" customWidth="1"/>
    <col min="9280" max="9282" width="9" style="52" hidden="1" customWidth="1"/>
    <col min="9283" max="9283" width="10.2890625" style="52" customWidth="1"/>
    <col min="9284" max="9286" width="9" style="52" hidden="1" customWidth="1"/>
    <col min="9287" max="9287" width="10.4296875" style="52" customWidth="1"/>
    <col min="9288" max="9290" width="9" style="52" hidden="1" customWidth="1"/>
    <col min="9291" max="9292" width="10.2890625" style="52" customWidth="1"/>
    <col min="9293" max="9293" width="10" style="52" customWidth="1"/>
    <col min="9294" max="9295" width="10.2890625" style="52" customWidth="1"/>
    <col min="9296" max="9472" width="9.140625" style="52"/>
    <col min="9473" max="9473" width="38.5703125" style="52" customWidth="1"/>
    <col min="9474" max="9474" width="22.859375" style="52" customWidth="1"/>
    <col min="9475" max="9475" width="10.2890625" style="52" customWidth="1"/>
    <col min="9476" max="9478" width="9" style="52" hidden="1" customWidth="1"/>
    <col min="9479" max="9479" width="10.2890625" style="52" customWidth="1"/>
    <col min="9480" max="9482" width="9" style="52" hidden="1" customWidth="1"/>
    <col min="9483" max="9483" width="10.2890625" style="52" customWidth="1"/>
    <col min="9484" max="9486" width="9" style="52" hidden="1" customWidth="1"/>
    <col min="9487" max="9487" width="10.2890625" style="52" customWidth="1"/>
    <col min="9488" max="9490" width="9" style="52" hidden="1" customWidth="1"/>
    <col min="9491" max="9491" width="10.2890625" style="52" customWidth="1"/>
    <col min="9492" max="9494" width="9" style="52" hidden="1" customWidth="1"/>
    <col min="9495" max="9495" width="10.2890625" style="52" customWidth="1"/>
    <col min="9496" max="9498" width="9" style="52" hidden="1" customWidth="1"/>
    <col min="9499" max="9499" width="10.2890625" style="52" customWidth="1"/>
    <col min="9500" max="9502" width="9" style="52" hidden="1" customWidth="1"/>
    <col min="9503" max="9503" width="10.2890625" style="52" customWidth="1"/>
    <col min="9504" max="9506" width="9" style="52" hidden="1" customWidth="1"/>
    <col min="9507" max="9507" width="10.2890625" style="52" customWidth="1"/>
    <col min="9508" max="9510" width="9" style="52" hidden="1" customWidth="1"/>
    <col min="9511" max="9511" width="10.2890625" style="52" customWidth="1"/>
    <col min="9512" max="9514" width="9" style="52" hidden="1" customWidth="1"/>
    <col min="9515" max="9515" width="10.2890625" style="52" customWidth="1"/>
    <col min="9516" max="9518" width="9" style="52" hidden="1" customWidth="1"/>
    <col min="9519" max="9519" width="10.2890625" style="52" customWidth="1"/>
    <col min="9520" max="9522" width="9" style="52" hidden="1" customWidth="1"/>
    <col min="9523" max="9523" width="10.2890625" style="52" customWidth="1"/>
    <col min="9524" max="9526" width="9" style="52" hidden="1" customWidth="1"/>
    <col min="9527" max="9527" width="10.2890625" style="52" customWidth="1"/>
    <col min="9528" max="9530" width="9" style="52" hidden="1" customWidth="1"/>
    <col min="9531" max="9531" width="10.2890625" style="52" customWidth="1"/>
    <col min="9532" max="9534" width="9" style="52" hidden="1" customWidth="1"/>
    <col min="9535" max="9535" width="10.2890625" style="52" customWidth="1"/>
    <col min="9536" max="9538" width="9" style="52" hidden="1" customWidth="1"/>
    <col min="9539" max="9539" width="10.2890625" style="52" customWidth="1"/>
    <col min="9540" max="9542" width="9" style="52" hidden="1" customWidth="1"/>
    <col min="9543" max="9543" width="10.4296875" style="52" customWidth="1"/>
    <col min="9544" max="9546" width="9" style="52" hidden="1" customWidth="1"/>
    <col min="9547" max="9548" width="10.2890625" style="52" customWidth="1"/>
    <col min="9549" max="9549" width="10" style="52" customWidth="1"/>
    <col min="9550" max="9551" width="10.2890625" style="52" customWidth="1"/>
    <col min="9552" max="9728" width="9.140625" style="52"/>
    <col min="9729" max="9729" width="38.5703125" style="52" customWidth="1"/>
    <col min="9730" max="9730" width="22.859375" style="52" customWidth="1"/>
    <col min="9731" max="9731" width="10.2890625" style="52" customWidth="1"/>
    <col min="9732" max="9734" width="9" style="52" hidden="1" customWidth="1"/>
    <col min="9735" max="9735" width="10.2890625" style="52" customWidth="1"/>
    <col min="9736" max="9738" width="9" style="52" hidden="1" customWidth="1"/>
    <col min="9739" max="9739" width="10.2890625" style="52" customWidth="1"/>
    <col min="9740" max="9742" width="9" style="52" hidden="1" customWidth="1"/>
    <col min="9743" max="9743" width="10.2890625" style="52" customWidth="1"/>
    <col min="9744" max="9746" width="9" style="52" hidden="1" customWidth="1"/>
    <col min="9747" max="9747" width="10.2890625" style="52" customWidth="1"/>
    <col min="9748" max="9750" width="9" style="52" hidden="1" customWidth="1"/>
    <col min="9751" max="9751" width="10.2890625" style="52" customWidth="1"/>
    <col min="9752" max="9754" width="9" style="52" hidden="1" customWidth="1"/>
    <col min="9755" max="9755" width="10.2890625" style="52" customWidth="1"/>
    <col min="9756" max="9758" width="9" style="52" hidden="1" customWidth="1"/>
    <col min="9759" max="9759" width="10.2890625" style="52" customWidth="1"/>
    <col min="9760" max="9762" width="9" style="52" hidden="1" customWidth="1"/>
    <col min="9763" max="9763" width="10.2890625" style="52" customWidth="1"/>
    <col min="9764" max="9766" width="9" style="52" hidden="1" customWidth="1"/>
    <col min="9767" max="9767" width="10.2890625" style="52" customWidth="1"/>
    <col min="9768" max="9770" width="9" style="52" hidden="1" customWidth="1"/>
    <col min="9771" max="9771" width="10.2890625" style="52" customWidth="1"/>
    <col min="9772" max="9774" width="9" style="52" hidden="1" customWidth="1"/>
    <col min="9775" max="9775" width="10.2890625" style="52" customWidth="1"/>
    <col min="9776" max="9778" width="9" style="52" hidden="1" customWidth="1"/>
    <col min="9779" max="9779" width="10.2890625" style="52" customWidth="1"/>
    <col min="9780" max="9782" width="9" style="52" hidden="1" customWidth="1"/>
    <col min="9783" max="9783" width="10.2890625" style="52" customWidth="1"/>
    <col min="9784" max="9786" width="9" style="52" hidden="1" customWidth="1"/>
    <col min="9787" max="9787" width="10.2890625" style="52" customWidth="1"/>
    <col min="9788" max="9790" width="9" style="52" hidden="1" customWidth="1"/>
    <col min="9791" max="9791" width="10.2890625" style="52" customWidth="1"/>
    <col min="9792" max="9794" width="9" style="52" hidden="1" customWidth="1"/>
    <col min="9795" max="9795" width="10.2890625" style="52" customWidth="1"/>
    <col min="9796" max="9798" width="9" style="52" hidden="1" customWidth="1"/>
    <col min="9799" max="9799" width="10.4296875" style="52" customWidth="1"/>
    <col min="9800" max="9802" width="9" style="52" hidden="1" customWidth="1"/>
    <col min="9803" max="9804" width="10.2890625" style="52" customWidth="1"/>
    <col min="9805" max="9805" width="10" style="52" customWidth="1"/>
    <col min="9806" max="9807" width="10.2890625" style="52" customWidth="1"/>
    <col min="9808" max="9984" width="9.140625" style="52"/>
    <col min="9985" max="9985" width="38.5703125" style="52" customWidth="1"/>
    <col min="9986" max="9986" width="22.859375" style="52" customWidth="1"/>
    <col min="9987" max="9987" width="10.2890625" style="52" customWidth="1"/>
    <col min="9988" max="9990" width="9" style="52" hidden="1" customWidth="1"/>
    <col min="9991" max="9991" width="10.2890625" style="52" customWidth="1"/>
    <col min="9992" max="9994" width="9" style="52" hidden="1" customWidth="1"/>
    <col min="9995" max="9995" width="10.2890625" style="52" customWidth="1"/>
    <col min="9996" max="9998" width="9" style="52" hidden="1" customWidth="1"/>
    <col min="9999" max="9999" width="10.2890625" style="52" customWidth="1"/>
    <col min="10000" max="10002" width="9" style="52" hidden="1" customWidth="1"/>
    <col min="10003" max="10003" width="10.2890625" style="52" customWidth="1"/>
    <col min="10004" max="10006" width="9" style="52" hidden="1" customWidth="1"/>
    <col min="10007" max="10007" width="10.2890625" style="52" customWidth="1"/>
    <col min="10008" max="10010" width="9" style="52" hidden="1" customWidth="1"/>
    <col min="10011" max="10011" width="10.2890625" style="52" customWidth="1"/>
    <col min="10012" max="10014" width="9" style="52" hidden="1" customWidth="1"/>
    <col min="10015" max="10015" width="10.2890625" style="52" customWidth="1"/>
    <col min="10016" max="10018" width="9" style="52" hidden="1" customWidth="1"/>
    <col min="10019" max="10019" width="10.2890625" style="52" customWidth="1"/>
    <col min="10020" max="10022" width="9" style="52" hidden="1" customWidth="1"/>
    <col min="10023" max="10023" width="10.2890625" style="52" customWidth="1"/>
    <col min="10024" max="10026" width="9" style="52" hidden="1" customWidth="1"/>
    <col min="10027" max="10027" width="10.2890625" style="52" customWidth="1"/>
    <col min="10028" max="10030" width="9" style="52" hidden="1" customWidth="1"/>
    <col min="10031" max="10031" width="10.2890625" style="52" customWidth="1"/>
    <col min="10032" max="10034" width="9" style="52" hidden="1" customWidth="1"/>
    <col min="10035" max="10035" width="10.2890625" style="52" customWidth="1"/>
    <col min="10036" max="10038" width="9" style="52" hidden="1" customWidth="1"/>
    <col min="10039" max="10039" width="10.2890625" style="52" customWidth="1"/>
    <col min="10040" max="10042" width="9" style="52" hidden="1" customWidth="1"/>
    <col min="10043" max="10043" width="10.2890625" style="52" customWidth="1"/>
    <col min="10044" max="10046" width="9" style="52" hidden="1" customWidth="1"/>
    <col min="10047" max="10047" width="10.2890625" style="52" customWidth="1"/>
    <col min="10048" max="10050" width="9" style="52" hidden="1" customWidth="1"/>
    <col min="10051" max="10051" width="10.2890625" style="52" customWidth="1"/>
    <col min="10052" max="10054" width="9" style="52" hidden="1" customWidth="1"/>
    <col min="10055" max="10055" width="10.4296875" style="52" customWidth="1"/>
    <col min="10056" max="10058" width="9" style="52" hidden="1" customWidth="1"/>
    <col min="10059" max="10060" width="10.2890625" style="52" customWidth="1"/>
    <col min="10061" max="10061" width="10" style="52" customWidth="1"/>
    <col min="10062" max="10063" width="10.2890625" style="52" customWidth="1"/>
    <col min="10064" max="10240" width="9.140625" style="52"/>
    <col min="10241" max="10241" width="38.5703125" style="52" customWidth="1"/>
    <col min="10242" max="10242" width="22.859375" style="52" customWidth="1"/>
    <col min="10243" max="10243" width="10.2890625" style="52" customWidth="1"/>
    <col min="10244" max="10246" width="9" style="52" hidden="1" customWidth="1"/>
    <col min="10247" max="10247" width="10.2890625" style="52" customWidth="1"/>
    <col min="10248" max="10250" width="9" style="52" hidden="1" customWidth="1"/>
    <col min="10251" max="10251" width="10.2890625" style="52" customWidth="1"/>
    <col min="10252" max="10254" width="9" style="52" hidden="1" customWidth="1"/>
    <col min="10255" max="10255" width="10.2890625" style="52" customWidth="1"/>
    <col min="10256" max="10258" width="9" style="52" hidden="1" customWidth="1"/>
    <col min="10259" max="10259" width="10.2890625" style="52" customWidth="1"/>
    <col min="10260" max="10262" width="9" style="52" hidden="1" customWidth="1"/>
    <col min="10263" max="10263" width="10.2890625" style="52" customWidth="1"/>
    <col min="10264" max="10266" width="9" style="52" hidden="1" customWidth="1"/>
    <col min="10267" max="10267" width="10.2890625" style="52" customWidth="1"/>
    <col min="10268" max="10270" width="9" style="52" hidden="1" customWidth="1"/>
    <col min="10271" max="10271" width="10.2890625" style="52" customWidth="1"/>
    <col min="10272" max="10274" width="9" style="52" hidden="1" customWidth="1"/>
    <col min="10275" max="10275" width="10.2890625" style="52" customWidth="1"/>
    <col min="10276" max="10278" width="9" style="52" hidden="1" customWidth="1"/>
    <col min="10279" max="10279" width="10.2890625" style="52" customWidth="1"/>
    <col min="10280" max="10282" width="9" style="52" hidden="1" customWidth="1"/>
    <col min="10283" max="10283" width="10.2890625" style="52" customWidth="1"/>
    <col min="10284" max="10286" width="9" style="52" hidden="1" customWidth="1"/>
    <col min="10287" max="10287" width="10.2890625" style="52" customWidth="1"/>
    <col min="10288" max="10290" width="9" style="52" hidden="1" customWidth="1"/>
    <col min="10291" max="10291" width="10.2890625" style="52" customWidth="1"/>
    <col min="10292" max="10294" width="9" style="52" hidden="1" customWidth="1"/>
    <col min="10295" max="10295" width="10.2890625" style="52" customWidth="1"/>
    <col min="10296" max="10298" width="9" style="52" hidden="1" customWidth="1"/>
    <col min="10299" max="10299" width="10.2890625" style="52" customWidth="1"/>
    <col min="10300" max="10302" width="9" style="52" hidden="1" customWidth="1"/>
    <col min="10303" max="10303" width="10.2890625" style="52" customWidth="1"/>
    <col min="10304" max="10306" width="9" style="52" hidden="1" customWidth="1"/>
    <col min="10307" max="10307" width="10.2890625" style="52" customWidth="1"/>
    <col min="10308" max="10310" width="9" style="52" hidden="1" customWidth="1"/>
    <col min="10311" max="10311" width="10.4296875" style="52" customWidth="1"/>
    <col min="10312" max="10314" width="9" style="52" hidden="1" customWidth="1"/>
    <col min="10315" max="10316" width="10.2890625" style="52" customWidth="1"/>
    <col min="10317" max="10317" width="10" style="52" customWidth="1"/>
    <col min="10318" max="10319" width="10.2890625" style="52" customWidth="1"/>
    <col min="10320" max="10496" width="9.140625" style="52"/>
    <col min="10497" max="10497" width="38.5703125" style="52" customWidth="1"/>
    <col min="10498" max="10498" width="22.859375" style="52" customWidth="1"/>
    <col min="10499" max="10499" width="10.2890625" style="52" customWidth="1"/>
    <col min="10500" max="10502" width="9" style="52" hidden="1" customWidth="1"/>
    <col min="10503" max="10503" width="10.2890625" style="52" customWidth="1"/>
    <col min="10504" max="10506" width="9" style="52" hidden="1" customWidth="1"/>
    <col min="10507" max="10507" width="10.2890625" style="52" customWidth="1"/>
    <col min="10508" max="10510" width="9" style="52" hidden="1" customWidth="1"/>
    <col min="10511" max="10511" width="10.2890625" style="52" customWidth="1"/>
    <col min="10512" max="10514" width="9" style="52" hidden="1" customWidth="1"/>
    <col min="10515" max="10515" width="10.2890625" style="52" customWidth="1"/>
    <col min="10516" max="10518" width="9" style="52" hidden="1" customWidth="1"/>
    <col min="10519" max="10519" width="10.2890625" style="52" customWidth="1"/>
    <col min="10520" max="10522" width="9" style="52" hidden="1" customWidth="1"/>
    <col min="10523" max="10523" width="10.2890625" style="52" customWidth="1"/>
    <col min="10524" max="10526" width="9" style="52" hidden="1" customWidth="1"/>
    <col min="10527" max="10527" width="10.2890625" style="52" customWidth="1"/>
    <col min="10528" max="10530" width="9" style="52" hidden="1" customWidth="1"/>
    <col min="10531" max="10531" width="10.2890625" style="52" customWidth="1"/>
    <col min="10532" max="10534" width="9" style="52" hidden="1" customWidth="1"/>
    <col min="10535" max="10535" width="10.2890625" style="52" customWidth="1"/>
    <col min="10536" max="10538" width="9" style="52" hidden="1" customWidth="1"/>
    <col min="10539" max="10539" width="10.2890625" style="52" customWidth="1"/>
    <col min="10540" max="10542" width="9" style="52" hidden="1" customWidth="1"/>
    <col min="10543" max="10543" width="10.2890625" style="52" customWidth="1"/>
    <col min="10544" max="10546" width="9" style="52" hidden="1" customWidth="1"/>
    <col min="10547" max="10547" width="10.2890625" style="52" customWidth="1"/>
    <col min="10548" max="10550" width="9" style="52" hidden="1" customWidth="1"/>
    <col min="10551" max="10551" width="10.2890625" style="52" customWidth="1"/>
    <col min="10552" max="10554" width="9" style="52" hidden="1" customWidth="1"/>
    <col min="10555" max="10555" width="10.2890625" style="52" customWidth="1"/>
    <col min="10556" max="10558" width="9" style="52" hidden="1" customWidth="1"/>
    <col min="10559" max="10559" width="10.2890625" style="52" customWidth="1"/>
    <col min="10560" max="10562" width="9" style="52" hidden="1" customWidth="1"/>
    <col min="10563" max="10563" width="10.2890625" style="52" customWidth="1"/>
    <col min="10564" max="10566" width="9" style="52" hidden="1" customWidth="1"/>
    <col min="10567" max="10567" width="10.4296875" style="52" customWidth="1"/>
    <col min="10568" max="10570" width="9" style="52" hidden="1" customWidth="1"/>
    <col min="10571" max="10572" width="10.2890625" style="52" customWidth="1"/>
    <col min="10573" max="10573" width="10" style="52" customWidth="1"/>
    <col min="10574" max="10575" width="10.2890625" style="52" customWidth="1"/>
    <col min="10576" max="10752" width="9.140625" style="52"/>
    <col min="10753" max="10753" width="38.5703125" style="52" customWidth="1"/>
    <col min="10754" max="10754" width="22.859375" style="52" customWidth="1"/>
    <col min="10755" max="10755" width="10.2890625" style="52" customWidth="1"/>
    <col min="10756" max="10758" width="9" style="52" hidden="1" customWidth="1"/>
    <col min="10759" max="10759" width="10.2890625" style="52" customWidth="1"/>
    <col min="10760" max="10762" width="9" style="52" hidden="1" customWidth="1"/>
    <col min="10763" max="10763" width="10.2890625" style="52" customWidth="1"/>
    <col min="10764" max="10766" width="9" style="52" hidden="1" customWidth="1"/>
    <col min="10767" max="10767" width="10.2890625" style="52" customWidth="1"/>
    <col min="10768" max="10770" width="9" style="52" hidden="1" customWidth="1"/>
    <col min="10771" max="10771" width="10.2890625" style="52" customWidth="1"/>
    <col min="10772" max="10774" width="9" style="52" hidden="1" customWidth="1"/>
    <col min="10775" max="10775" width="10.2890625" style="52" customWidth="1"/>
    <col min="10776" max="10778" width="9" style="52" hidden="1" customWidth="1"/>
    <col min="10779" max="10779" width="10.2890625" style="52" customWidth="1"/>
    <col min="10780" max="10782" width="9" style="52" hidden="1" customWidth="1"/>
    <col min="10783" max="10783" width="10.2890625" style="52" customWidth="1"/>
    <col min="10784" max="10786" width="9" style="52" hidden="1" customWidth="1"/>
    <col min="10787" max="10787" width="10.2890625" style="52" customWidth="1"/>
    <col min="10788" max="10790" width="9" style="52" hidden="1" customWidth="1"/>
    <col min="10791" max="10791" width="10.2890625" style="52" customWidth="1"/>
    <col min="10792" max="10794" width="9" style="52" hidden="1" customWidth="1"/>
    <col min="10795" max="10795" width="10.2890625" style="52" customWidth="1"/>
    <col min="10796" max="10798" width="9" style="52" hidden="1" customWidth="1"/>
    <col min="10799" max="10799" width="10.2890625" style="52" customWidth="1"/>
    <col min="10800" max="10802" width="9" style="52" hidden="1" customWidth="1"/>
    <col min="10803" max="10803" width="10.2890625" style="52" customWidth="1"/>
    <col min="10804" max="10806" width="9" style="52" hidden="1" customWidth="1"/>
    <col min="10807" max="10807" width="10.2890625" style="52" customWidth="1"/>
    <col min="10808" max="10810" width="9" style="52" hidden="1" customWidth="1"/>
    <col min="10811" max="10811" width="10.2890625" style="52" customWidth="1"/>
    <col min="10812" max="10814" width="9" style="52" hidden="1" customWidth="1"/>
    <col min="10815" max="10815" width="10.2890625" style="52" customWidth="1"/>
    <col min="10816" max="10818" width="9" style="52" hidden="1" customWidth="1"/>
    <col min="10819" max="10819" width="10.2890625" style="52" customWidth="1"/>
    <col min="10820" max="10822" width="9" style="52" hidden="1" customWidth="1"/>
    <col min="10823" max="10823" width="10.4296875" style="52" customWidth="1"/>
    <col min="10824" max="10826" width="9" style="52" hidden="1" customWidth="1"/>
    <col min="10827" max="10828" width="10.2890625" style="52" customWidth="1"/>
    <col min="10829" max="10829" width="10" style="52" customWidth="1"/>
    <col min="10830" max="10831" width="10.2890625" style="52" customWidth="1"/>
    <col min="10832" max="11008" width="9.140625" style="52"/>
    <col min="11009" max="11009" width="38.5703125" style="52" customWidth="1"/>
    <col min="11010" max="11010" width="22.859375" style="52" customWidth="1"/>
    <col min="11011" max="11011" width="10.2890625" style="52" customWidth="1"/>
    <col min="11012" max="11014" width="9" style="52" hidden="1" customWidth="1"/>
    <col min="11015" max="11015" width="10.2890625" style="52" customWidth="1"/>
    <col min="11016" max="11018" width="9" style="52" hidden="1" customWidth="1"/>
    <col min="11019" max="11019" width="10.2890625" style="52" customWidth="1"/>
    <col min="11020" max="11022" width="9" style="52" hidden="1" customWidth="1"/>
    <col min="11023" max="11023" width="10.2890625" style="52" customWidth="1"/>
    <col min="11024" max="11026" width="9" style="52" hidden="1" customWidth="1"/>
    <col min="11027" max="11027" width="10.2890625" style="52" customWidth="1"/>
    <col min="11028" max="11030" width="9" style="52" hidden="1" customWidth="1"/>
    <col min="11031" max="11031" width="10.2890625" style="52" customWidth="1"/>
    <col min="11032" max="11034" width="9" style="52" hidden="1" customWidth="1"/>
    <col min="11035" max="11035" width="10.2890625" style="52" customWidth="1"/>
    <col min="11036" max="11038" width="9" style="52" hidden="1" customWidth="1"/>
    <col min="11039" max="11039" width="10.2890625" style="52" customWidth="1"/>
    <col min="11040" max="11042" width="9" style="52" hidden="1" customWidth="1"/>
    <col min="11043" max="11043" width="10.2890625" style="52" customWidth="1"/>
    <col min="11044" max="11046" width="9" style="52" hidden="1" customWidth="1"/>
    <col min="11047" max="11047" width="10.2890625" style="52" customWidth="1"/>
    <col min="11048" max="11050" width="9" style="52" hidden="1" customWidth="1"/>
    <col min="11051" max="11051" width="10.2890625" style="52" customWidth="1"/>
    <col min="11052" max="11054" width="9" style="52" hidden="1" customWidth="1"/>
    <col min="11055" max="11055" width="10.2890625" style="52" customWidth="1"/>
    <col min="11056" max="11058" width="9" style="52" hidden="1" customWidth="1"/>
    <col min="11059" max="11059" width="10.2890625" style="52" customWidth="1"/>
    <col min="11060" max="11062" width="9" style="52" hidden="1" customWidth="1"/>
    <col min="11063" max="11063" width="10.2890625" style="52" customWidth="1"/>
    <col min="11064" max="11066" width="9" style="52" hidden="1" customWidth="1"/>
    <col min="11067" max="11067" width="10.2890625" style="52" customWidth="1"/>
    <col min="11068" max="11070" width="9" style="52" hidden="1" customWidth="1"/>
    <col min="11071" max="11071" width="10.2890625" style="52" customWidth="1"/>
    <col min="11072" max="11074" width="9" style="52" hidden="1" customWidth="1"/>
    <col min="11075" max="11075" width="10.2890625" style="52" customWidth="1"/>
    <col min="11076" max="11078" width="9" style="52" hidden="1" customWidth="1"/>
    <col min="11079" max="11079" width="10.4296875" style="52" customWidth="1"/>
    <col min="11080" max="11082" width="9" style="52" hidden="1" customWidth="1"/>
    <col min="11083" max="11084" width="10.2890625" style="52" customWidth="1"/>
    <col min="11085" max="11085" width="10" style="52" customWidth="1"/>
    <col min="11086" max="11087" width="10.2890625" style="52" customWidth="1"/>
    <col min="11088" max="11264" width="9.140625" style="52"/>
    <col min="11265" max="11265" width="38.5703125" style="52" customWidth="1"/>
    <col min="11266" max="11266" width="22.859375" style="52" customWidth="1"/>
    <col min="11267" max="11267" width="10.2890625" style="52" customWidth="1"/>
    <col min="11268" max="11270" width="9" style="52" hidden="1" customWidth="1"/>
    <col min="11271" max="11271" width="10.2890625" style="52" customWidth="1"/>
    <col min="11272" max="11274" width="9" style="52" hidden="1" customWidth="1"/>
    <col min="11275" max="11275" width="10.2890625" style="52" customWidth="1"/>
    <col min="11276" max="11278" width="9" style="52" hidden="1" customWidth="1"/>
    <col min="11279" max="11279" width="10.2890625" style="52" customWidth="1"/>
    <col min="11280" max="11282" width="9" style="52" hidden="1" customWidth="1"/>
    <col min="11283" max="11283" width="10.2890625" style="52" customWidth="1"/>
    <col min="11284" max="11286" width="9" style="52" hidden="1" customWidth="1"/>
    <col min="11287" max="11287" width="10.2890625" style="52" customWidth="1"/>
    <col min="11288" max="11290" width="9" style="52" hidden="1" customWidth="1"/>
    <col min="11291" max="11291" width="10.2890625" style="52" customWidth="1"/>
    <col min="11292" max="11294" width="9" style="52" hidden="1" customWidth="1"/>
    <col min="11295" max="11295" width="10.2890625" style="52" customWidth="1"/>
    <col min="11296" max="11298" width="9" style="52" hidden="1" customWidth="1"/>
    <col min="11299" max="11299" width="10.2890625" style="52" customWidth="1"/>
    <col min="11300" max="11302" width="9" style="52" hidden="1" customWidth="1"/>
    <col min="11303" max="11303" width="10.2890625" style="52" customWidth="1"/>
    <col min="11304" max="11306" width="9" style="52" hidden="1" customWidth="1"/>
    <col min="11307" max="11307" width="10.2890625" style="52" customWidth="1"/>
    <col min="11308" max="11310" width="9" style="52" hidden="1" customWidth="1"/>
    <col min="11311" max="11311" width="10.2890625" style="52" customWidth="1"/>
    <col min="11312" max="11314" width="9" style="52" hidden="1" customWidth="1"/>
    <col min="11315" max="11315" width="10.2890625" style="52" customWidth="1"/>
    <col min="11316" max="11318" width="9" style="52" hidden="1" customWidth="1"/>
    <col min="11319" max="11319" width="10.2890625" style="52" customWidth="1"/>
    <col min="11320" max="11322" width="9" style="52" hidden="1" customWidth="1"/>
    <col min="11323" max="11323" width="10.2890625" style="52" customWidth="1"/>
    <col min="11324" max="11326" width="9" style="52" hidden="1" customWidth="1"/>
    <col min="11327" max="11327" width="10.2890625" style="52" customWidth="1"/>
    <col min="11328" max="11330" width="9" style="52" hidden="1" customWidth="1"/>
    <col min="11331" max="11331" width="10.2890625" style="52" customWidth="1"/>
    <col min="11332" max="11334" width="9" style="52" hidden="1" customWidth="1"/>
    <col min="11335" max="11335" width="10.4296875" style="52" customWidth="1"/>
    <col min="11336" max="11338" width="9" style="52" hidden="1" customWidth="1"/>
    <col min="11339" max="11340" width="10.2890625" style="52" customWidth="1"/>
    <col min="11341" max="11341" width="10" style="52" customWidth="1"/>
    <col min="11342" max="11343" width="10.2890625" style="52" customWidth="1"/>
    <col min="11344" max="11520" width="9.140625" style="52"/>
    <col min="11521" max="11521" width="38.5703125" style="52" customWidth="1"/>
    <col min="11522" max="11522" width="22.859375" style="52" customWidth="1"/>
    <col min="11523" max="11523" width="10.2890625" style="52" customWidth="1"/>
    <col min="11524" max="11526" width="9" style="52" hidden="1" customWidth="1"/>
    <col min="11527" max="11527" width="10.2890625" style="52" customWidth="1"/>
    <col min="11528" max="11530" width="9" style="52" hidden="1" customWidth="1"/>
    <col min="11531" max="11531" width="10.2890625" style="52" customWidth="1"/>
    <col min="11532" max="11534" width="9" style="52" hidden="1" customWidth="1"/>
    <col min="11535" max="11535" width="10.2890625" style="52" customWidth="1"/>
    <col min="11536" max="11538" width="9" style="52" hidden="1" customWidth="1"/>
    <col min="11539" max="11539" width="10.2890625" style="52" customWidth="1"/>
    <col min="11540" max="11542" width="9" style="52" hidden="1" customWidth="1"/>
    <col min="11543" max="11543" width="10.2890625" style="52" customWidth="1"/>
    <col min="11544" max="11546" width="9" style="52" hidden="1" customWidth="1"/>
    <col min="11547" max="11547" width="10.2890625" style="52" customWidth="1"/>
    <col min="11548" max="11550" width="9" style="52" hidden="1" customWidth="1"/>
    <col min="11551" max="11551" width="10.2890625" style="52" customWidth="1"/>
    <col min="11552" max="11554" width="9" style="52" hidden="1" customWidth="1"/>
    <col min="11555" max="11555" width="10.2890625" style="52" customWidth="1"/>
    <col min="11556" max="11558" width="9" style="52" hidden="1" customWidth="1"/>
    <col min="11559" max="11559" width="10.2890625" style="52" customWidth="1"/>
    <col min="11560" max="11562" width="9" style="52" hidden="1" customWidth="1"/>
    <col min="11563" max="11563" width="10.2890625" style="52" customWidth="1"/>
    <col min="11564" max="11566" width="9" style="52" hidden="1" customWidth="1"/>
    <col min="11567" max="11567" width="10.2890625" style="52" customWidth="1"/>
    <col min="11568" max="11570" width="9" style="52" hidden="1" customWidth="1"/>
    <col min="11571" max="11571" width="10.2890625" style="52" customWidth="1"/>
    <col min="11572" max="11574" width="9" style="52" hidden="1" customWidth="1"/>
    <col min="11575" max="11575" width="10.2890625" style="52" customWidth="1"/>
    <col min="11576" max="11578" width="9" style="52" hidden="1" customWidth="1"/>
    <col min="11579" max="11579" width="10.2890625" style="52" customWidth="1"/>
    <col min="11580" max="11582" width="9" style="52" hidden="1" customWidth="1"/>
    <col min="11583" max="11583" width="10.2890625" style="52" customWidth="1"/>
    <col min="11584" max="11586" width="9" style="52" hidden="1" customWidth="1"/>
    <col min="11587" max="11587" width="10.2890625" style="52" customWidth="1"/>
    <col min="11588" max="11590" width="9" style="52" hidden="1" customWidth="1"/>
    <col min="11591" max="11591" width="10.4296875" style="52" customWidth="1"/>
    <col min="11592" max="11594" width="9" style="52" hidden="1" customWidth="1"/>
    <col min="11595" max="11596" width="10.2890625" style="52" customWidth="1"/>
    <col min="11597" max="11597" width="10" style="52" customWidth="1"/>
    <col min="11598" max="11599" width="10.2890625" style="52" customWidth="1"/>
    <col min="11600" max="11776" width="9.140625" style="52"/>
    <col min="11777" max="11777" width="38.5703125" style="52" customWidth="1"/>
    <col min="11778" max="11778" width="22.859375" style="52" customWidth="1"/>
    <col min="11779" max="11779" width="10.2890625" style="52" customWidth="1"/>
    <col min="11780" max="11782" width="9" style="52" hidden="1" customWidth="1"/>
    <col min="11783" max="11783" width="10.2890625" style="52" customWidth="1"/>
    <col min="11784" max="11786" width="9" style="52" hidden="1" customWidth="1"/>
    <col min="11787" max="11787" width="10.2890625" style="52" customWidth="1"/>
    <col min="11788" max="11790" width="9" style="52" hidden="1" customWidth="1"/>
    <col min="11791" max="11791" width="10.2890625" style="52" customWidth="1"/>
    <col min="11792" max="11794" width="9" style="52" hidden="1" customWidth="1"/>
    <col min="11795" max="11795" width="10.2890625" style="52" customWidth="1"/>
    <col min="11796" max="11798" width="9" style="52" hidden="1" customWidth="1"/>
    <col min="11799" max="11799" width="10.2890625" style="52" customWidth="1"/>
    <col min="11800" max="11802" width="9" style="52" hidden="1" customWidth="1"/>
    <col min="11803" max="11803" width="10.2890625" style="52" customWidth="1"/>
    <col min="11804" max="11806" width="9" style="52" hidden="1" customWidth="1"/>
    <col min="11807" max="11807" width="10.2890625" style="52" customWidth="1"/>
    <col min="11808" max="11810" width="9" style="52" hidden="1" customWidth="1"/>
    <col min="11811" max="11811" width="10.2890625" style="52" customWidth="1"/>
    <col min="11812" max="11814" width="9" style="52" hidden="1" customWidth="1"/>
    <col min="11815" max="11815" width="10.2890625" style="52" customWidth="1"/>
    <col min="11816" max="11818" width="9" style="52" hidden="1" customWidth="1"/>
    <col min="11819" max="11819" width="10.2890625" style="52" customWidth="1"/>
    <col min="11820" max="11822" width="9" style="52" hidden="1" customWidth="1"/>
    <col min="11823" max="11823" width="10.2890625" style="52" customWidth="1"/>
    <col min="11824" max="11826" width="9" style="52" hidden="1" customWidth="1"/>
    <col min="11827" max="11827" width="10.2890625" style="52" customWidth="1"/>
    <col min="11828" max="11830" width="9" style="52" hidden="1" customWidth="1"/>
    <col min="11831" max="11831" width="10.2890625" style="52" customWidth="1"/>
    <col min="11832" max="11834" width="9" style="52" hidden="1" customWidth="1"/>
    <col min="11835" max="11835" width="10.2890625" style="52" customWidth="1"/>
    <col min="11836" max="11838" width="9" style="52" hidden="1" customWidth="1"/>
    <col min="11839" max="11839" width="10.2890625" style="52" customWidth="1"/>
    <col min="11840" max="11842" width="9" style="52" hidden="1" customWidth="1"/>
    <col min="11843" max="11843" width="10.2890625" style="52" customWidth="1"/>
    <col min="11844" max="11846" width="9" style="52" hidden="1" customWidth="1"/>
    <col min="11847" max="11847" width="10.4296875" style="52" customWidth="1"/>
    <col min="11848" max="11850" width="9" style="52" hidden="1" customWidth="1"/>
    <col min="11851" max="11852" width="10.2890625" style="52" customWidth="1"/>
    <col min="11853" max="11853" width="10" style="52" customWidth="1"/>
    <col min="11854" max="11855" width="10.2890625" style="52" customWidth="1"/>
    <col min="11856" max="12032" width="9.140625" style="52"/>
    <col min="12033" max="12033" width="38.5703125" style="52" customWidth="1"/>
    <col min="12034" max="12034" width="22.859375" style="52" customWidth="1"/>
    <col min="12035" max="12035" width="10.2890625" style="52" customWidth="1"/>
    <col min="12036" max="12038" width="9" style="52" hidden="1" customWidth="1"/>
    <col min="12039" max="12039" width="10.2890625" style="52" customWidth="1"/>
    <col min="12040" max="12042" width="9" style="52" hidden="1" customWidth="1"/>
    <col min="12043" max="12043" width="10.2890625" style="52" customWidth="1"/>
    <col min="12044" max="12046" width="9" style="52" hidden="1" customWidth="1"/>
    <col min="12047" max="12047" width="10.2890625" style="52" customWidth="1"/>
    <col min="12048" max="12050" width="9" style="52" hidden="1" customWidth="1"/>
    <col min="12051" max="12051" width="10.2890625" style="52" customWidth="1"/>
    <col min="12052" max="12054" width="9" style="52" hidden="1" customWidth="1"/>
    <col min="12055" max="12055" width="10.2890625" style="52" customWidth="1"/>
    <col min="12056" max="12058" width="9" style="52" hidden="1" customWidth="1"/>
    <col min="12059" max="12059" width="10.2890625" style="52" customWidth="1"/>
    <col min="12060" max="12062" width="9" style="52" hidden="1" customWidth="1"/>
    <col min="12063" max="12063" width="10.2890625" style="52" customWidth="1"/>
    <col min="12064" max="12066" width="9" style="52" hidden="1" customWidth="1"/>
    <col min="12067" max="12067" width="10.2890625" style="52" customWidth="1"/>
    <col min="12068" max="12070" width="9" style="52" hidden="1" customWidth="1"/>
    <col min="12071" max="12071" width="10.2890625" style="52" customWidth="1"/>
    <col min="12072" max="12074" width="9" style="52" hidden="1" customWidth="1"/>
    <col min="12075" max="12075" width="10.2890625" style="52" customWidth="1"/>
    <col min="12076" max="12078" width="9" style="52" hidden="1" customWidth="1"/>
    <col min="12079" max="12079" width="10.2890625" style="52" customWidth="1"/>
    <col min="12080" max="12082" width="9" style="52" hidden="1" customWidth="1"/>
    <col min="12083" max="12083" width="10.2890625" style="52" customWidth="1"/>
    <col min="12084" max="12086" width="9" style="52" hidden="1" customWidth="1"/>
    <col min="12087" max="12087" width="10.2890625" style="52" customWidth="1"/>
    <col min="12088" max="12090" width="9" style="52" hidden="1" customWidth="1"/>
    <col min="12091" max="12091" width="10.2890625" style="52" customWidth="1"/>
    <col min="12092" max="12094" width="9" style="52" hidden="1" customWidth="1"/>
    <col min="12095" max="12095" width="10.2890625" style="52" customWidth="1"/>
    <col min="12096" max="12098" width="9" style="52" hidden="1" customWidth="1"/>
    <col min="12099" max="12099" width="10.2890625" style="52" customWidth="1"/>
    <col min="12100" max="12102" width="9" style="52" hidden="1" customWidth="1"/>
    <col min="12103" max="12103" width="10.4296875" style="52" customWidth="1"/>
    <col min="12104" max="12106" width="9" style="52" hidden="1" customWidth="1"/>
    <col min="12107" max="12108" width="10.2890625" style="52" customWidth="1"/>
    <col min="12109" max="12109" width="10" style="52" customWidth="1"/>
    <col min="12110" max="12111" width="10.2890625" style="52" customWidth="1"/>
    <col min="12112" max="12288" width="9.140625" style="52"/>
    <col min="12289" max="12289" width="38.5703125" style="52" customWidth="1"/>
    <col min="12290" max="12290" width="22.859375" style="52" customWidth="1"/>
    <col min="12291" max="12291" width="10.2890625" style="52" customWidth="1"/>
    <col min="12292" max="12294" width="9" style="52" hidden="1" customWidth="1"/>
    <col min="12295" max="12295" width="10.2890625" style="52" customWidth="1"/>
    <col min="12296" max="12298" width="9" style="52" hidden="1" customWidth="1"/>
    <col min="12299" max="12299" width="10.2890625" style="52" customWidth="1"/>
    <col min="12300" max="12302" width="9" style="52" hidden="1" customWidth="1"/>
    <col min="12303" max="12303" width="10.2890625" style="52" customWidth="1"/>
    <col min="12304" max="12306" width="9" style="52" hidden="1" customWidth="1"/>
    <col min="12307" max="12307" width="10.2890625" style="52" customWidth="1"/>
    <col min="12308" max="12310" width="9" style="52" hidden="1" customWidth="1"/>
    <col min="12311" max="12311" width="10.2890625" style="52" customWidth="1"/>
    <col min="12312" max="12314" width="9" style="52" hidden="1" customWidth="1"/>
    <col min="12315" max="12315" width="10.2890625" style="52" customWidth="1"/>
    <col min="12316" max="12318" width="9" style="52" hidden="1" customWidth="1"/>
    <col min="12319" max="12319" width="10.2890625" style="52" customWidth="1"/>
    <col min="12320" max="12322" width="9" style="52" hidden="1" customWidth="1"/>
    <col min="12323" max="12323" width="10.2890625" style="52" customWidth="1"/>
    <col min="12324" max="12326" width="9" style="52" hidden="1" customWidth="1"/>
    <col min="12327" max="12327" width="10.2890625" style="52" customWidth="1"/>
    <col min="12328" max="12330" width="9" style="52" hidden="1" customWidth="1"/>
    <col min="12331" max="12331" width="10.2890625" style="52" customWidth="1"/>
    <col min="12332" max="12334" width="9" style="52" hidden="1" customWidth="1"/>
    <col min="12335" max="12335" width="10.2890625" style="52" customWidth="1"/>
    <col min="12336" max="12338" width="9" style="52" hidden="1" customWidth="1"/>
    <col min="12339" max="12339" width="10.2890625" style="52" customWidth="1"/>
    <col min="12340" max="12342" width="9" style="52" hidden="1" customWidth="1"/>
    <col min="12343" max="12343" width="10.2890625" style="52" customWidth="1"/>
    <col min="12344" max="12346" width="9" style="52" hidden="1" customWidth="1"/>
    <col min="12347" max="12347" width="10.2890625" style="52" customWidth="1"/>
    <col min="12348" max="12350" width="9" style="52" hidden="1" customWidth="1"/>
    <col min="12351" max="12351" width="10.2890625" style="52" customWidth="1"/>
    <col min="12352" max="12354" width="9" style="52" hidden="1" customWidth="1"/>
    <col min="12355" max="12355" width="10.2890625" style="52" customWidth="1"/>
    <col min="12356" max="12358" width="9" style="52" hidden="1" customWidth="1"/>
    <col min="12359" max="12359" width="10.4296875" style="52" customWidth="1"/>
    <col min="12360" max="12362" width="9" style="52" hidden="1" customWidth="1"/>
    <col min="12363" max="12364" width="10.2890625" style="52" customWidth="1"/>
    <col min="12365" max="12365" width="10" style="52" customWidth="1"/>
    <col min="12366" max="12367" width="10.2890625" style="52" customWidth="1"/>
    <col min="12368" max="12544" width="9.140625" style="52"/>
    <col min="12545" max="12545" width="38.5703125" style="52" customWidth="1"/>
    <col min="12546" max="12546" width="22.859375" style="52" customWidth="1"/>
    <col min="12547" max="12547" width="10.2890625" style="52" customWidth="1"/>
    <col min="12548" max="12550" width="9" style="52" hidden="1" customWidth="1"/>
    <col min="12551" max="12551" width="10.2890625" style="52" customWidth="1"/>
    <col min="12552" max="12554" width="9" style="52" hidden="1" customWidth="1"/>
    <col min="12555" max="12555" width="10.2890625" style="52" customWidth="1"/>
    <col min="12556" max="12558" width="9" style="52" hidden="1" customWidth="1"/>
    <col min="12559" max="12559" width="10.2890625" style="52" customWidth="1"/>
    <col min="12560" max="12562" width="9" style="52" hidden="1" customWidth="1"/>
    <col min="12563" max="12563" width="10.2890625" style="52" customWidth="1"/>
    <col min="12564" max="12566" width="9" style="52" hidden="1" customWidth="1"/>
    <col min="12567" max="12567" width="10.2890625" style="52" customWidth="1"/>
    <col min="12568" max="12570" width="9" style="52" hidden="1" customWidth="1"/>
    <col min="12571" max="12571" width="10.2890625" style="52" customWidth="1"/>
    <col min="12572" max="12574" width="9" style="52" hidden="1" customWidth="1"/>
    <col min="12575" max="12575" width="10.2890625" style="52" customWidth="1"/>
    <col min="12576" max="12578" width="9" style="52" hidden="1" customWidth="1"/>
    <col min="12579" max="12579" width="10.2890625" style="52" customWidth="1"/>
    <col min="12580" max="12582" width="9" style="52" hidden="1" customWidth="1"/>
    <col min="12583" max="12583" width="10.2890625" style="52" customWidth="1"/>
    <col min="12584" max="12586" width="9" style="52" hidden="1" customWidth="1"/>
    <col min="12587" max="12587" width="10.2890625" style="52" customWidth="1"/>
    <col min="12588" max="12590" width="9" style="52" hidden="1" customWidth="1"/>
    <col min="12591" max="12591" width="10.2890625" style="52" customWidth="1"/>
    <col min="12592" max="12594" width="9" style="52" hidden="1" customWidth="1"/>
    <col min="12595" max="12595" width="10.2890625" style="52" customWidth="1"/>
    <col min="12596" max="12598" width="9" style="52" hidden="1" customWidth="1"/>
    <col min="12599" max="12599" width="10.2890625" style="52" customWidth="1"/>
    <col min="12600" max="12602" width="9" style="52" hidden="1" customWidth="1"/>
    <col min="12603" max="12603" width="10.2890625" style="52" customWidth="1"/>
    <col min="12604" max="12606" width="9" style="52" hidden="1" customWidth="1"/>
    <col min="12607" max="12607" width="10.2890625" style="52" customWidth="1"/>
    <col min="12608" max="12610" width="9" style="52" hidden="1" customWidth="1"/>
    <col min="12611" max="12611" width="10.2890625" style="52" customWidth="1"/>
    <col min="12612" max="12614" width="9" style="52" hidden="1" customWidth="1"/>
    <col min="12615" max="12615" width="10.4296875" style="52" customWidth="1"/>
    <col min="12616" max="12618" width="9" style="52" hidden="1" customWidth="1"/>
    <col min="12619" max="12620" width="10.2890625" style="52" customWidth="1"/>
    <col min="12621" max="12621" width="10" style="52" customWidth="1"/>
    <col min="12622" max="12623" width="10.2890625" style="52" customWidth="1"/>
    <col min="12624" max="12800" width="9.140625" style="52"/>
    <col min="12801" max="12801" width="38.5703125" style="52" customWidth="1"/>
    <col min="12802" max="12802" width="22.859375" style="52" customWidth="1"/>
    <col min="12803" max="12803" width="10.2890625" style="52" customWidth="1"/>
    <col min="12804" max="12806" width="9" style="52" hidden="1" customWidth="1"/>
    <col min="12807" max="12807" width="10.2890625" style="52" customWidth="1"/>
    <col min="12808" max="12810" width="9" style="52" hidden="1" customWidth="1"/>
    <col min="12811" max="12811" width="10.2890625" style="52" customWidth="1"/>
    <col min="12812" max="12814" width="9" style="52" hidden="1" customWidth="1"/>
    <col min="12815" max="12815" width="10.2890625" style="52" customWidth="1"/>
    <col min="12816" max="12818" width="9" style="52" hidden="1" customWidth="1"/>
    <col min="12819" max="12819" width="10.2890625" style="52" customWidth="1"/>
    <col min="12820" max="12822" width="9" style="52" hidden="1" customWidth="1"/>
    <col min="12823" max="12823" width="10.2890625" style="52" customWidth="1"/>
    <col min="12824" max="12826" width="9" style="52" hidden="1" customWidth="1"/>
    <col min="12827" max="12827" width="10.2890625" style="52" customWidth="1"/>
    <col min="12828" max="12830" width="9" style="52" hidden="1" customWidth="1"/>
    <col min="12831" max="12831" width="10.2890625" style="52" customWidth="1"/>
    <col min="12832" max="12834" width="9" style="52" hidden="1" customWidth="1"/>
    <col min="12835" max="12835" width="10.2890625" style="52" customWidth="1"/>
    <col min="12836" max="12838" width="9" style="52" hidden="1" customWidth="1"/>
    <col min="12839" max="12839" width="10.2890625" style="52" customWidth="1"/>
    <col min="12840" max="12842" width="9" style="52" hidden="1" customWidth="1"/>
    <col min="12843" max="12843" width="10.2890625" style="52" customWidth="1"/>
    <col min="12844" max="12846" width="9" style="52" hidden="1" customWidth="1"/>
    <col min="12847" max="12847" width="10.2890625" style="52" customWidth="1"/>
    <col min="12848" max="12850" width="9" style="52" hidden="1" customWidth="1"/>
    <col min="12851" max="12851" width="10.2890625" style="52" customWidth="1"/>
    <col min="12852" max="12854" width="9" style="52" hidden="1" customWidth="1"/>
    <col min="12855" max="12855" width="10.2890625" style="52" customWidth="1"/>
    <col min="12856" max="12858" width="9" style="52" hidden="1" customWidth="1"/>
    <col min="12859" max="12859" width="10.2890625" style="52" customWidth="1"/>
    <col min="12860" max="12862" width="9" style="52" hidden="1" customWidth="1"/>
    <col min="12863" max="12863" width="10.2890625" style="52" customWidth="1"/>
    <col min="12864" max="12866" width="9" style="52" hidden="1" customWidth="1"/>
    <col min="12867" max="12867" width="10.2890625" style="52" customWidth="1"/>
    <col min="12868" max="12870" width="9" style="52" hidden="1" customWidth="1"/>
    <col min="12871" max="12871" width="10.4296875" style="52" customWidth="1"/>
    <col min="12872" max="12874" width="9" style="52" hidden="1" customWidth="1"/>
    <col min="12875" max="12876" width="10.2890625" style="52" customWidth="1"/>
    <col min="12877" max="12877" width="10" style="52" customWidth="1"/>
    <col min="12878" max="12879" width="10.2890625" style="52" customWidth="1"/>
    <col min="12880" max="13056" width="9.140625" style="52"/>
    <col min="13057" max="13057" width="38.5703125" style="52" customWidth="1"/>
    <col min="13058" max="13058" width="22.859375" style="52" customWidth="1"/>
    <col min="13059" max="13059" width="10.2890625" style="52" customWidth="1"/>
    <col min="13060" max="13062" width="9" style="52" hidden="1" customWidth="1"/>
    <col min="13063" max="13063" width="10.2890625" style="52" customWidth="1"/>
    <col min="13064" max="13066" width="9" style="52" hidden="1" customWidth="1"/>
    <col min="13067" max="13067" width="10.2890625" style="52" customWidth="1"/>
    <col min="13068" max="13070" width="9" style="52" hidden="1" customWidth="1"/>
    <col min="13071" max="13071" width="10.2890625" style="52" customWidth="1"/>
    <col min="13072" max="13074" width="9" style="52" hidden="1" customWidth="1"/>
    <col min="13075" max="13075" width="10.2890625" style="52" customWidth="1"/>
    <col min="13076" max="13078" width="9" style="52" hidden="1" customWidth="1"/>
    <col min="13079" max="13079" width="10.2890625" style="52" customWidth="1"/>
    <col min="13080" max="13082" width="9" style="52" hidden="1" customWidth="1"/>
    <col min="13083" max="13083" width="10.2890625" style="52" customWidth="1"/>
    <col min="13084" max="13086" width="9" style="52" hidden="1" customWidth="1"/>
    <col min="13087" max="13087" width="10.2890625" style="52" customWidth="1"/>
    <col min="13088" max="13090" width="9" style="52" hidden="1" customWidth="1"/>
    <col min="13091" max="13091" width="10.2890625" style="52" customWidth="1"/>
    <col min="13092" max="13094" width="9" style="52" hidden="1" customWidth="1"/>
    <col min="13095" max="13095" width="10.2890625" style="52" customWidth="1"/>
    <col min="13096" max="13098" width="9" style="52" hidden="1" customWidth="1"/>
    <col min="13099" max="13099" width="10.2890625" style="52" customWidth="1"/>
    <col min="13100" max="13102" width="9" style="52" hidden="1" customWidth="1"/>
    <col min="13103" max="13103" width="10.2890625" style="52" customWidth="1"/>
    <col min="13104" max="13106" width="9" style="52" hidden="1" customWidth="1"/>
    <col min="13107" max="13107" width="10.2890625" style="52" customWidth="1"/>
    <col min="13108" max="13110" width="9" style="52" hidden="1" customWidth="1"/>
    <col min="13111" max="13111" width="10.2890625" style="52" customWidth="1"/>
    <col min="13112" max="13114" width="9" style="52" hidden="1" customWidth="1"/>
    <col min="13115" max="13115" width="10.2890625" style="52" customWidth="1"/>
    <col min="13116" max="13118" width="9" style="52" hidden="1" customWidth="1"/>
    <col min="13119" max="13119" width="10.2890625" style="52" customWidth="1"/>
    <col min="13120" max="13122" width="9" style="52" hidden="1" customWidth="1"/>
    <col min="13123" max="13123" width="10.2890625" style="52" customWidth="1"/>
    <col min="13124" max="13126" width="9" style="52" hidden="1" customWidth="1"/>
    <col min="13127" max="13127" width="10.4296875" style="52" customWidth="1"/>
    <col min="13128" max="13130" width="9" style="52" hidden="1" customWidth="1"/>
    <col min="13131" max="13132" width="10.2890625" style="52" customWidth="1"/>
    <col min="13133" max="13133" width="10" style="52" customWidth="1"/>
    <col min="13134" max="13135" width="10.2890625" style="52" customWidth="1"/>
    <col min="13136" max="13312" width="9.140625" style="52"/>
    <col min="13313" max="13313" width="38.5703125" style="52" customWidth="1"/>
    <col min="13314" max="13314" width="22.859375" style="52" customWidth="1"/>
    <col min="13315" max="13315" width="10.2890625" style="52" customWidth="1"/>
    <col min="13316" max="13318" width="9" style="52" hidden="1" customWidth="1"/>
    <col min="13319" max="13319" width="10.2890625" style="52" customWidth="1"/>
    <col min="13320" max="13322" width="9" style="52" hidden="1" customWidth="1"/>
    <col min="13323" max="13323" width="10.2890625" style="52" customWidth="1"/>
    <col min="13324" max="13326" width="9" style="52" hidden="1" customWidth="1"/>
    <col min="13327" max="13327" width="10.2890625" style="52" customWidth="1"/>
    <col min="13328" max="13330" width="9" style="52" hidden="1" customWidth="1"/>
    <col min="13331" max="13331" width="10.2890625" style="52" customWidth="1"/>
    <col min="13332" max="13334" width="9" style="52" hidden="1" customWidth="1"/>
    <col min="13335" max="13335" width="10.2890625" style="52" customWidth="1"/>
    <col min="13336" max="13338" width="9" style="52" hidden="1" customWidth="1"/>
    <col min="13339" max="13339" width="10.2890625" style="52" customWidth="1"/>
    <col min="13340" max="13342" width="9" style="52" hidden="1" customWidth="1"/>
    <col min="13343" max="13343" width="10.2890625" style="52" customWidth="1"/>
    <col min="13344" max="13346" width="9" style="52" hidden="1" customWidth="1"/>
    <col min="13347" max="13347" width="10.2890625" style="52" customWidth="1"/>
    <col min="13348" max="13350" width="9" style="52" hidden="1" customWidth="1"/>
    <col min="13351" max="13351" width="10.2890625" style="52" customWidth="1"/>
    <col min="13352" max="13354" width="9" style="52" hidden="1" customWidth="1"/>
    <col min="13355" max="13355" width="10.2890625" style="52" customWidth="1"/>
    <col min="13356" max="13358" width="9" style="52" hidden="1" customWidth="1"/>
    <col min="13359" max="13359" width="10.2890625" style="52" customWidth="1"/>
    <col min="13360" max="13362" width="9" style="52" hidden="1" customWidth="1"/>
    <col min="13363" max="13363" width="10.2890625" style="52" customWidth="1"/>
    <col min="13364" max="13366" width="9" style="52" hidden="1" customWidth="1"/>
    <col min="13367" max="13367" width="10.2890625" style="52" customWidth="1"/>
    <col min="13368" max="13370" width="9" style="52" hidden="1" customWidth="1"/>
    <col min="13371" max="13371" width="10.2890625" style="52" customWidth="1"/>
    <col min="13372" max="13374" width="9" style="52" hidden="1" customWidth="1"/>
    <col min="13375" max="13375" width="10.2890625" style="52" customWidth="1"/>
    <col min="13376" max="13378" width="9" style="52" hidden="1" customWidth="1"/>
    <col min="13379" max="13379" width="10.2890625" style="52" customWidth="1"/>
    <col min="13380" max="13382" width="9" style="52" hidden="1" customWidth="1"/>
    <col min="13383" max="13383" width="10.4296875" style="52" customWidth="1"/>
    <col min="13384" max="13386" width="9" style="52" hidden="1" customWidth="1"/>
    <col min="13387" max="13388" width="10.2890625" style="52" customWidth="1"/>
    <col min="13389" max="13389" width="10" style="52" customWidth="1"/>
    <col min="13390" max="13391" width="10.2890625" style="52" customWidth="1"/>
    <col min="13392" max="13568" width="9.140625" style="52"/>
    <col min="13569" max="13569" width="38.5703125" style="52" customWidth="1"/>
    <col min="13570" max="13570" width="22.859375" style="52" customWidth="1"/>
    <col min="13571" max="13571" width="10.2890625" style="52" customWidth="1"/>
    <col min="13572" max="13574" width="9" style="52" hidden="1" customWidth="1"/>
    <col min="13575" max="13575" width="10.2890625" style="52" customWidth="1"/>
    <col min="13576" max="13578" width="9" style="52" hidden="1" customWidth="1"/>
    <col min="13579" max="13579" width="10.2890625" style="52" customWidth="1"/>
    <col min="13580" max="13582" width="9" style="52" hidden="1" customWidth="1"/>
    <col min="13583" max="13583" width="10.2890625" style="52" customWidth="1"/>
    <col min="13584" max="13586" width="9" style="52" hidden="1" customWidth="1"/>
    <col min="13587" max="13587" width="10.2890625" style="52" customWidth="1"/>
    <col min="13588" max="13590" width="9" style="52" hidden="1" customWidth="1"/>
    <col min="13591" max="13591" width="10.2890625" style="52" customWidth="1"/>
    <col min="13592" max="13594" width="9" style="52" hidden="1" customWidth="1"/>
    <col min="13595" max="13595" width="10.2890625" style="52" customWidth="1"/>
    <col min="13596" max="13598" width="9" style="52" hidden="1" customWidth="1"/>
    <col min="13599" max="13599" width="10.2890625" style="52" customWidth="1"/>
    <col min="13600" max="13602" width="9" style="52" hidden="1" customWidth="1"/>
    <col min="13603" max="13603" width="10.2890625" style="52" customWidth="1"/>
    <col min="13604" max="13606" width="9" style="52" hidden="1" customWidth="1"/>
    <col min="13607" max="13607" width="10.2890625" style="52" customWidth="1"/>
    <col min="13608" max="13610" width="9" style="52" hidden="1" customWidth="1"/>
    <col min="13611" max="13611" width="10.2890625" style="52" customWidth="1"/>
    <col min="13612" max="13614" width="9" style="52" hidden="1" customWidth="1"/>
    <col min="13615" max="13615" width="10.2890625" style="52" customWidth="1"/>
    <col min="13616" max="13618" width="9" style="52" hidden="1" customWidth="1"/>
    <col min="13619" max="13619" width="10.2890625" style="52" customWidth="1"/>
    <col min="13620" max="13622" width="9" style="52" hidden="1" customWidth="1"/>
    <col min="13623" max="13623" width="10.2890625" style="52" customWidth="1"/>
    <col min="13624" max="13626" width="9" style="52" hidden="1" customWidth="1"/>
    <col min="13627" max="13627" width="10.2890625" style="52" customWidth="1"/>
    <col min="13628" max="13630" width="9" style="52" hidden="1" customWidth="1"/>
    <col min="13631" max="13631" width="10.2890625" style="52" customWidth="1"/>
    <col min="13632" max="13634" width="9" style="52" hidden="1" customWidth="1"/>
    <col min="13635" max="13635" width="10.2890625" style="52" customWidth="1"/>
    <col min="13636" max="13638" width="9" style="52" hidden="1" customWidth="1"/>
    <col min="13639" max="13639" width="10.4296875" style="52" customWidth="1"/>
    <col min="13640" max="13642" width="9" style="52" hidden="1" customWidth="1"/>
    <col min="13643" max="13644" width="10.2890625" style="52" customWidth="1"/>
    <col min="13645" max="13645" width="10" style="52" customWidth="1"/>
    <col min="13646" max="13647" width="10.2890625" style="52" customWidth="1"/>
    <col min="13648" max="13824" width="9.140625" style="52"/>
    <col min="13825" max="13825" width="38.5703125" style="52" customWidth="1"/>
    <col min="13826" max="13826" width="22.859375" style="52" customWidth="1"/>
    <col min="13827" max="13827" width="10.2890625" style="52" customWidth="1"/>
    <col min="13828" max="13830" width="9" style="52" hidden="1" customWidth="1"/>
    <col min="13831" max="13831" width="10.2890625" style="52" customWidth="1"/>
    <col min="13832" max="13834" width="9" style="52" hidden="1" customWidth="1"/>
    <col min="13835" max="13835" width="10.2890625" style="52" customWidth="1"/>
    <col min="13836" max="13838" width="9" style="52" hidden="1" customWidth="1"/>
    <col min="13839" max="13839" width="10.2890625" style="52" customWidth="1"/>
    <col min="13840" max="13842" width="9" style="52" hidden="1" customWidth="1"/>
    <col min="13843" max="13843" width="10.2890625" style="52" customWidth="1"/>
    <col min="13844" max="13846" width="9" style="52" hidden="1" customWidth="1"/>
    <col min="13847" max="13847" width="10.2890625" style="52" customWidth="1"/>
    <col min="13848" max="13850" width="9" style="52" hidden="1" customWidth="1"/>
    <col min="13851" max="13851" width="10.2890625" style="52" customWidth="1"/>
    <col min="13852" max="13854" width="9" style="52" hidden="1" customWidth="1"/>
    <col min="13855" max="13855" width="10.2890625" style="52" customWidth="1"/>
    <col min="13856" max="13858" width="9" style="52" hidden="1" customWidth="1"/>
    <col min="13859" max="13859" width="10.2890625" style="52" customWidth="1"/>
    <col min="13860" max="13862" width="9" style="52" hidden="1" customWidth="1"/>
    <col min="13863" max="13863" width="10.2890625" style="52" customWidth="1"/>
    <col min="13864" max="13866" width="9" style="52" hidden="1" customWidth="1"/>
    <col min="13867" max="13867" width="10.2890625" style="52" customWidth="1"/>
    <col min="13868" max="13870" width="9" style="52" hidden="1" customWidth="1"/>
    <col min="13871" max="13871" width="10.2890625" style="52" customWidth="1"/>
    <col min="13872" max="13874" width="9" style="52" hidden="1" customWidth="1"/>
    <col min="13875" max="13875" width="10.2890625" style="52" customWidth="1"/>
    <col min="13876" max="13878" width="9" style="52" hidden="1" customWidth="1"/>
    <col min="13879" max="13879" width="10.2890625" style="52" customWidth="1"/>
    <col min="13880" max="13882" width="9" style="52" hidden="1" customWidth="1"/>
    <col min="13883" max="13883" width="10.2890625" style="52" customWidth="1"/>
    <col min="13884" max="13886" width="9" style="52" hidden="1" customWidth="1"/>
    <col min="13887" max="13887" width="10.2890625" style="52" customWidth="1"/>
    <col min="13888" max="13890" width="9" style="52" hidden="1" customWidth="1"/>
    <col min="13891" max="13891" width="10.2890625" style="52" customWidth="1"/>
    <col min="13892" max="13894" width="9" style="52" hidden="1" customWidth="1"/>
    <col min="13895" max="13895" width="10.4296875" style="52" customWidth="1"/>
    <col min="13896" max="13898" width="9" style="52" hidden="1" customWidth="1"/>
    <col min="13899" max="13900" width="10.2890625" style="52" customWidth="1"/>
    <col min="13901" max="13901" width="10" style="52" customWidth="1"/>
    <col min="13902" max="13903" width="10.2890625" style="52" customWidth="1"/>
    <col min="13904" max="14080" width="9.140625" style="52"/>
    <col min="14081" max="14081" width="38.5703125" style="52" customWidth="1"/>
    <col min="14082" max="14082" width="22.859375" style="52" customWidth="1"/>
    <col min="14083" max="14083" width="10.2890625" style="52" customWidth="1"/>
    <col min="14084" max="14086" width="9" style="52" hidden="1" customWidth="1"/>
    <col min="14087" max="14087" width="10.2890625" style="52" customWidth="1"/>
    <col min="14088" max="14090" width="9" style="52" hidden="1" customWidth="1"/>
    <col min="14091" max="14091" width="10.2890625" style="52" customWidth="1"/>
    <col min="14092" max="14094" width="9" style="52" hidden="1" customWidth="1"/>
    <col min="14095" max="14095" width="10.2890625" style="52" customWidth="1"/>
    <col min="14096" max="14098" width="9" style="52" hidden="1" customWidth="1"/>
    <col min="14099" max="14099" width="10.2890625" style="52" customWidth="1"/>
    <col min="14100" max="14102" width="9" style="52" hidden="1" customWidth="1"/>
    <col min="14103" max="14103" width="10.2890625" style="52" customWidth="1"/>
    <col min="14104" max="14106" width="9" style="52" hidden="1" customWidth="1"/>
    <col min="14107" max="14107" width="10.2890625" style="52" customWidth="1"/>
    <col min="14108" max="14110" width="9" style="52" hidden="1" customWidth="1"/>
    <col min="14111" max="14111" width="10.2890625" style="52" customWidth="1"/>
    <col min="14112" max="14114" width="9" style="52" hidden="1" customWidth="1"/>
    <col min="14115" max="14115" width="10.2890625" style="52" customWidth="1"/>
    <col min="14116" max="14118" width="9" style="52" hidden="1" customWidth="1"/>
    <col min="14119" max="14119" width="10.2890625" style="52" customWidth="1"/>
    <col min="14120" max="14122" width="9" style="52" hidden="1" customWidth="1"/>
    <col min="14123" max="14123" width="10.2890625" style="52" customWidth="1"/>
    <col min="14124" max="14126" width="9" style="52" hidden="1" customWidth="1"/>
    <col min="14127" max="14127" width="10.2890625" style="52" customWidth="1"/>
    <col min="14128" max="14130" width="9" style="52" hidden="1" customWidth="1"/>
    <col min="14131" max="14131" width="10.2890625" style="52" customWidth="1"/>
    <col min="14132" max="14134" width="9" style="52" hidden="1" customWidth="1"/>
    <col min="14135" max="14135" width="10.2890625" style="52" customWidth="1"/>
    <col min="14136" max="14138" width="9" style="52" hidden="1" customWidth="1"/>
    <col min="14139" max="14139" width="10.2890625" style="52" customWidth="1"/>
    <col min="14140" max="14142" width="9" style="52" hidden="1" customWidth="1"/>
    <col min="14143" max="14143" width="10.2890625" style="52" customWidth="1"/>
    <col min="14144" max="14146" width="9" style="52" hidden="1" customWidth="1"/>
    <col min="14147" max="14147" width="10.2890625" style="52" customWidth="1"/>
    <col min="14148" max="14150" width="9" style="52" hidden="1" customWidth="1"/>
    <col min="14151" max="14151" width="10.4296875" style="52" customWidth="1"/>
    <col min="14152" max="14154" width="9" style="52" hidden="1" customWidth="1"/>
    <col min="14155" max="14156" width="10.2890625" style="52" customWidth="1"/>
    <col min="14157" max="14157" width="10" style="52" customWidth="1"/>
    <col min="14158" max="14159" width="10.2890625" style="52" customWidth="1"/>
    <col min="14160" max="14336" width="9.140625" style="52"/>
    <col min="14337" max="14337" width="38.5703125" style="52" customWidth="1"/>
    <col min="14338" max="14338" width="22.859375" style="52" customWidth="1"/>
    <col min="14339" max="14339" width="10.2890625" style="52" customWidth="1"/>
    <col min="14340" max="14342" width="9" style="52" hidden="1" customWidth="1"/>
    <col min="14343" max="14343" width="10.2890625" style="52" customWidth="1"/>
    <col min="14344" max="14346" width="9" style="52" hidden="1" customWidth="1"/>
    <col min="14347" max="14347" width="10.2890625" style="52" customWidth="1"/>
    <col min="14348" max="14350" width="9" style="52" hidden="1" customWidth="1"/>
    <col min="14351" max="14351" width="10.2890625" style="52" customWidth="1"/>
    <col min="14352" max="14354" width="9" style="52" hidden="1" customWidth="1"/>
    <col min="14355" max="14355" width="10.2890625" style="52" customWidth="1"/>
    <col min="14356" max="14358" width="9" style="52" hidden="1" customWidth="1"/>
    <col min="14359" max="14359" width="10.2890625" style="52" customWidth="1"/>
    <col min="14360" max="14362" width="9" style="52" hidden="1" customWidth="1"/>
    <col min="14363" max="14363" width="10.2890625" style="52" customWidth="1"/>
    <col min="14364" max="14366" width="9" style="52" hidden="1" customWidth="1"/>
    <col min="14367" max="14367" width="10.2890625" style="52" customWidth="1"/>
    <col min="14368" max="14370" width="9" style="52" hidden="1" customWidth="1"/>
    <col min="14371" max="14371" width="10.2890625" style="52" customWidth="1"/>
    <col min="14372" max="14374" width="9" style="52" hidden="1" customWidth="1"/>
    <col min="14375" max="14375" width="10.2890625" style="52" customWidth="1"/>
    <col min="14376" max="14378" width="9" style="52" hidden="1" customWidth="1"/>
    <col min="14379" max="14379" width="10.2890625" style="52" customWidth="1"/>
    <col min="14380" max="14382" width="9" style="52" hidden="1" customWidth="1"/>
    <col min="14383" max="14383" width="10.2890625" style="52" customWidth="1"/>
    <col min="14384" max="14386" width="9" style="52" hidden="1" customWidth="1"/>
    <col min="14387" max="14387" width="10.2890625" style="52" customWidth="1"/>
    <col min="14388" max="14390" width="9" style="52" hidden="1" customWidth="1"/>
    <col min="14391" max="14391" width="10.2890625" style="52" customWidth="1"/>
    <col min="14392" max="14394" width="9" style="52" hidden="1" customWidth="1"/>
    <col min="14395" max="14395" width="10.2890625" style="52" customWidth="1"/>
    <col min="14396" max="14398" width="9" style="52" hidden="1" customWidth="1"/>
    <col min="14399" max="14399" width="10.2890625" style="52" customWidth="1"/>
    <col min="14400" max="14402" width="9" style="52" hidden="1" customWidth="1"/>
    <col min="14403" max="14403" width="10.2890625" style="52" customWidth="1"/>
    <col min="14404" max="14406" width="9" style="52" hidden="1" customWidth="1"/>
    <col min="14407" max="14407" width="10.4296875" style="52" customWidth="1"/>
    <col min="14408" max="14410" width="9" style="52" hidden="1" customWidth="1"/>
    <col min="14411" max="14412" width="10.2890625" style="52" customWidth="1"/>
    <col min="14413" max="14413" width="10" style="52" customWidth="1"/>
    <col min="14414" max="14415" width="10.2890625" style="52" customWidth="1"/>
    <col min="14416" max="14592" width="9.140625" style="52"/>
    <col min="14593" max="14593" width="38.5703125" style="52" customWidth="1"/>
    <col min="14594" max="14594" width="22.859375" style="52" customWidth="1"/>
    <col min="14595" max="14595" width="10.2890625" style="52" customWidth="1"/>
    <col min="14596" max="14598" width="9" style="52" hidden="1" customWidth="1"/>
    <col min="14599" max="14599" width="10.2890625" style="52" customWidth="1"/>
    <col min="14600" max="14602" width="9" style="52" hidden="1" customWidth="1"/>
    <col min="14603" max="14603" width="10.2890625" style="52" customWidth="1"/>
    <col min="14604" max="14606" width="9" style="52" hidden="1" customWidth="1"/>
    <col min="14607" max="14607" width="10.2890625" style="52" customWidth="1"/>
    <col min="14608" max="14610" width="9" style="52" hidden="1" customWidth="1"/>
    <col min="14611" max="14611" width="10.2890625" style="52" customWidth="1"/>
    <col min="14612" max="14614" width="9" style="52" hidden="1" customWidth="1"/>
    <col min="14615" max="14615" width="10.2890625" style="52" customWidth="1"/>
    <col min="14616" max="14618" width="9" style="52" hidden="1" customWidth="1"/>
    <col min="14619" max="14619" width="10.2890625" style="52" customWidth="1"/>
    <col min="14620" max="14622" width="9" style="52" hidden="1" customWidth="1"/>
    <col min="14623" max="14623" width="10.2890625" style="52" customWidth="1"/>
    <col min="14624" max="14626" width="9" style="52" hidden="1" customWidth="1"/>
    <col min="14627" max="14627" width="10.2890625" style="52" customWidth="1"/>
    <col min="14628" max="14630" width="9" style="52" hidden="1" customWidth="1"/>
    <col min="14631" max="14631" width="10.2890625" style="52" customWidth="1"/>
    <col min="14632" max="14634" width="9" style="52" hidden="1" customWidth="1"/>
    <col min="14635" max="14635" width="10.2890625" style="52" customWidth="1"/>
    <col min="14636" max="14638" width="9" style="52" hidden="1" customWidth="1"/>
    <col min="14639" max="14639" width="10.2890625" style="52" customWidth="1"/>
    <col min="14640" max="14642" width="9" style="52" hidden="1" customWidth="1"/>
    <col min="14643" max="14643" width="10.2890625" style="52" customWidth="1"/>
    <col min="14644" max="14646" width="9" style="52" hidden="1" customWidth="1"/>
    <col min="14647" max="14647" width="10.2890625" style="52" customWidth="1"/>
    <col min="14648" max="14650" width="9" style="52" hidden="1" customWidth="1"/>
    <col min="14651" max="14651" width="10.2890625" style="52" customWidth="1"/>
    <col min="14652" max="14654" width="9" style="52" hidden="1" customWidth="1"/>
    <col min="14655" max="14655" width="10.2890625" style="52" customWidth="1"/>
    <col min="14656" max="14658" width="9" style="52" hidden="1" customWidth="1"/>
    <col min="14659" max="14659" width="10.2890625" style="52" customWidth="1"/>
    <col min="14660" max="14662" width="9" style="52" hidden="1" customWidth="1"/>
    <col min="14663" max="14663" width="10.4296875" style="52" customWidth="1"/>
    <col min="14664" max="14666" width="9" style="52" hidden="1" customWidth="1"/>
    <col min="14667" max="14668" width="10.2890625" style="52" customWidth="1"/>
    <col min="14669" max="14669" width="10" style="52" customWidth="1"/>
    <col min="14670" max="14671" width="10.2890625" style="52" customWidth="1"/>
    <col min="14672" max="14848" width="9.140625" style="52"/>
    <col min="14849" max="14849" width="38.5703125" style="52" customWidth="1"/>
    <col min="14850" max="14850" width="22.859375" style="52" customWidth="1"/>
    <col min="14851" max="14851" width="10.2890625" style="52" customWidth="1"/>
    <col min="14852" max="14854" width="9" style="52" hidden="1" customWidth="1"/>
    <col min="14855" max="14855" width="10.2890625" style="52" customWidth="1"/>
    <col min="14856" max="14858" width="9" style="52" hidden="1" customWidth="1"/>
    <col min="14859" max="14859" width="10.2890625" style="52" customWidth="1"/>
    <col min="14860" max="14862" width="9" style="52" hidden="1" customWidth="1"/>
    <col min="14863" max="14863" width="10.2890625" style="52" customWidth="1"/>
    <col min="14864" max="14866" width="9" style="52" hidden="1" customWidth="1"/>
    <col min="14867" max="14867" width="10.2890625" style="52" customWidth="1"/>
    <col min="14868" max="14870" width="9" style="52" hidden="1" customWidth="1"/>
    <col min="14871" max="14871" width="10.2890625" style="52" customWidth="1"/>
    <col min="14872" max="14874" width="9" style="52" hidden="1" customWidth="1"/>
    <col min="14875" max="14875" width="10.2890625" style="52" customWidth="1"/>
    <col min="14876" max="14878" width="9" style="52" hidden="1" customWidth="1"/>
    <col min="14879" max="14879" width="10.2890625" style="52" customWidth="1"/>
    <col min="14880" max="14882" width="9" style="52" hidden="1" customWidth="1"/>
    <col min="14883" max="14883" width="10.2890625" style="52" customWidth="1"/>
    <col min="14884" max="14886" width="9" style="52" hidden="1" customWidth="1"/>
    <col min="14887" max="14887" width="10.2890625" style="52" customWidth="1"/>
    <col min="14888" max="14890" width="9" style="52" hidden="1" customWidth="1"/>
    <col min="14891" max="14891" width="10.2890625" style="52" customWidth="1"/>
    <col min="14892" max="14894" width="9" style="52" hidden="1" customWidth="1"/>
    <col min="14895" max="14895" width="10.2890625" style="52" customWidth="1"/>
    <col min="14896" max="14898" width="9" style="52" hidden="1" customWidth="1"/>
    <col min="14899" max="14899" width="10.2890625" style="52" customWidth="1"/>
    <col min="14900" max="14902" width="9" style="52" hidden="1" customWidth="1"/>
    <col min="14903" max="14903" width="10.2890625" style="52" customWidth="1"/>
    <col min="14904" max="14906" width="9" style="52" hidden="1" customWidth="1"/>
    <col min="14907" max="14907" width="10.2890625" style="52" customWidth="1"/>
    <col min="14908" max="14910" width="9" style="52" hidden="1" customWidth="1"/>
    <col min="14911" max="14911" width="10.2890625" style="52" customWidth="1"/>
    <col min="14912" max="14914" width="9" style="52" hidden="1" customWidth="1"/>
    <col min="14915" max="14915" width="10.2890625" style="52" customWidth="1"/>
    <col min="14916" max="14918" width="9" style="52" hidden="1" customWidth="1"/>
    <col min="14919" max="14919" width="10.4296875" style="52" customWidth="1"/>
    <col min="14920" max="14922" width="9" style="52" hidden="1" customWidth="1"/>
    <col min="14923" max="14924" width="10.2890625" style="52" customWidth="1"/>
    <col min="14925" max="14925" width="10" style="52" customWidth="1"/>
    <col min="14926" max="14927" width="10.2890625" style="52" customWidth="1"/>
    <col min="14928" max="15104" width="9.140625" style="52"/>
    <col min="15105" max="15105" width="38.5703125" style="52" customWidth="1"/>
    <col min="15106" max="15106" width="22.859375" style="52" customWidth="1"/>
    <col min="15107" max="15107" width="10.2890625" style="52" customWidth="1"/>
    <col min="15108" max="15110" width="9" style="52" hidden="1" customWidth="1"/>
    <col min="15111" max="15111" width="10.2890625" style="52" customWidth="1"/>
    <col min="15112" max="15114" width="9" style="52" hidden="1" customWidth="1"/>
    <col min="15115" max="15115" width="10.2890625" style="52" customWidth="1"/>
    <col min="15116" max="15118" width="9" style="52" hidden="1" customWidth="1"/>
    <col min="15119" max="15119" width="10.2890625" style="52" customWidth="1"/>
    <col min="15120" max="15122" width="9" style="52" hidden="1" customWidth="1"/>
    <col min="15123" max="15123" width="10.2890625" style="52" customWidth="1"/>
    <col min="15124" max="15126" width="9" style="52" hidden="1" customWidth="1"/>
    <col min="15127" max="15127" width="10.2890625" style="52" customWidth="1"/>
    <col min="15128" max="15130" width="9" style="52" hidden="1" customWidth="1"/>
    <col min="15131" max="15131" width="10.2890625" style="52" customWidth="1"/>
    <col min="15132" max="15134" width="9" style="52" hidden="1" customWidth="1"/>
    <col min="15135" max="15135" width="10.2890625" style="52" customWidth="1"/>
    <col min="15136" max="15138" width="9" style="52" hidden="1" customWidth="1"/>
    <col min="15139" max="15139" width="10.2890625" style="52" customWidth="1"/>
    <col min="15140" max="15142" width="9" style="52" hidden="1" customWidth="1"/>
    <col min="15143" max="15143" width="10.2890625" style="52" customWidth="1"/>
    <col min="15144" max="15146" width="9" style="52" hidden="1" customWidth="1"/>
    <col min="15147" max="15147" width="10.2890625" style="52" customWidth="1"/>
    <col min="15148" max="15150" width="9" style="52" hidden="1" customWidth="1"/>
    <col min="15151" max="15151" width="10.2890625" style="52" customWidth="1"/>
    <col min="15152" max="15154" width="9" style="52" hidden="1" customWidth="1"/>
    <col min="15155" max="15155" width="10.2890625" style="52" customWidth="1"/>
    <col min="15156" max="15158" width="9" style="52" hidden="1" customWidth="1"/>
    <col min="15159" max="15159" width="10.2890625" style="52" customWidth="1"/>
    <col min="15160" max="15162" width="9" style="52" hidden="1" customWidth="1"/>
    <col min="15163" max="15163" width="10.2890625" style="52" customWidth="1"/>
    <col min="15164" max="15166" width="9" style="52" hidden="1" customWidth="1"/>
    <col min="15167" max="15167" width="10.2890625" style="52" customWidth="1"/>
    <col min="15168" max="15170" width="9" style="52" hidden="1" customWidth="1"/>
    <col min="15171" max="15171" width="10.2890625" style="52" customWidth="1"/>
    <col min="15172" max="15174" width="9" style="52" hidden="1" customWidth="1"/>
    <col min="15175" max="15175" width="10.4296875" style="52" customWidth="1"/>
    <col min="15176" max="15178" width="9" style="52" hidden="1" customWidth="1"/>
    <col min="15179" max="15180" width="10.2890625" style="52" customWidth="1"/>
    <col min="15181" max="15181" width="10" style="52" customWidth="1"/>
    <col min="15182" max="15183" width="10.2890625" style="52" customWidth="1"/>
    <col min="15184" max="15360" width="9.140625" style="52"/>
    <col min="15361" max="15361" width="38.5703125" style="52" customWidth="1"/>
    <col min="15362" max="15362" width="22.859375" style="52" customWidth="1"/>
    <col min="15363" max="15363" width="10.2890625" style="52" customWidth="1"/>
    <col min="15364" max="15366" width="9" style="52" hidden="1" customWidth="1"/>
    <col min="15367" max="15367" width="10.2890625" style="52" customWidth="1"/>
    <col min="15368" max="15370" width="9" style="52" hidden="1" customWidth="1"/>
    <col min="15371" max="15371" width="10.2890625" style="52" customWidth="1"/>
    <col min="15372" max="15374" width="9" style="52" hidden="1" customWidth="1"/>
    <col min="15375" max="15375" width="10.2890625" style="52" customWidth="1"/>
    <col min="15376" max="15378" width="9" style="52" hidden="1" customWidth="1"/>
    <col min="15379" max="15379" width="10.2890625" style="52" customWidth="1"/>
    <col min="15380" max="15382" width="9" style="52" hidden="1" customWidth="1"/>
    <col min="15383" max="15383" width="10.2890625" style="52" customWidth="1"/>
    <col min="15384" max="15386" width="9" style="52" hidden="1" customWidth="1"/>
    <col min="15387" max="15387" width="10.2890625" style="52" customWidth="1"/>
    <col min="15388" max="15390" width="9" style="52" hidden="1" customWidth="1"/>
    <col min="15391" max="15391" width="10.2890625" style="52" customWidth="1"/>
    <col min="15392" max="15394" width="9" style="52" hidden="1" customWidth="1"/>
    <col min="15395" max="15395" width="10.2890625" style="52" customWidth="1"/>
    <col min="15396" max="15398" width="9" style="52" hidden="1" customWidth="1"/>
    <col min="15399" max="15399" width="10.2890625" style="52" customWidth="1"/>
    <col min="15400" max="15402" width="9" style="52" hidden="1" customWidth="1"/>
    <col min="15403" max="15403" width="10.2890625" style="52" customWidth="1"/>
    <col min="15404" max="15406" width="9" style="52" hidden="1" customWidth="1"/>
    <col min="15407" max="15407" width="10.2890625" style="52" customWidth="1"/>
    <col min="15408" max="15410" width="9" style="52" hidden="1" customWidth="1"/>
    <col min="15411" max="15411" width="10.2890625" style="52" customWidth="1"/>
    <col min="15412" max="15414" width="9" style="52" hidden="1" customWidth="1"/>
    <col min="15415" max="15415" width="10.2890625" style="52" customWidth="1"/>
    <col min="15416" max="15418" width="9" style="52" hidden="1" customWidth="1"/>
    <col min="15419" max="15419" width="10.2890625" style="52" customWidth="1"/>
    <col min="15420" max="15422" width="9" style="52" hidden="1" customWidth="1"/>
    <col min="15423" max="15423" width="10.2890625" style="52" customWidth="1"/>
    <col min="15424" max="15426" width="9" style="52" hidden="1" customWidth="1"/>
    <col min="15427" max="15427" width="10.2890625" style="52" customWidth="1"/>
    <col min="15428" max="15430" width="9" style="52" hidden="1" customWidth="1"/>
    <col min="15431" max="15431" width="10.4296875" style="52" customWidth="1"/>
    <col min="15432" max="15434" width="9" style="52" hidden="1" customWidth="1"/>
    <col min="15435" max="15436" width="10.2890625" style="52" customWidth="1"/>
    <col min="15437" max="15437" width="10" style="52" customWidth="1"/>
    <col min="15438" max="15439" width="10.2890625" style="52" customWidth="1"/>
    <col min="15440" max="15616" width="9.140625" style="52"/>
    <col min="15617" max="15617" width="38.5703125" style="52" customWidth="1"/>
    <col min="15618" max="15618" width="22.859375" style="52" customWidth="1"/>
    <col min="15619" max="15619" width="10.2890625" style="52" customWidth="1"/>
    <col min="15620" max="15622" width="9" style="52" hidden="1" customWidth="1"/>
    <col min="15623" max="15623" width="10.2890625" style="52" customWidth="1"/>
    <col min="15624" max="15626" width="9" style="52" hidden="1" customWidth="1"/>
    <col min="15627" max="15627" width="10.2890625" style="52" customWidth="1"/>
    <col min="15628" max="15630" width="9" style="52" hidden="1" customWidth="1"/>
    <col min="15631" max="15631" width="10.2890625" style="52" customWidth="1"/>
    <col min="15632" max="15634" width="9" style="52" hidden="1" customWidth="1"/>
    <col min="15635" max="15635" width="10.2890625" style="52" customWidth="1"/>
    <col min="15636" max="15638" width="9" style="52" hidden="1" customWidth="1"/>
    <col min="15639" max="15639" width="10.2890625" style="52" customWidth="1"/>
    <col min="15640" max="15642" width="9" style="52" hidden="1" customWidth="1"/>
    <col min="15643" max="15643" width="10.2890625" style="52" customWidth="1"/>
    <col min="15644" max="15646" width="9" style="52" hidden="1" customWidth="1"/>
    <col min="15647" max="15647" width="10.2890625" style="52" customWidth="1"/>
    <col min="15648" max="15650" width="9" style="52" hidden="1" customWidth="1"/>
    <col min="15651" max="15651" width="10.2890625" style="52" customWidth="1"/>
    <col min="15652" max="15654" width="9" style="52" hidden="1" customWidth="1"/>
    <col min="15655" max="15655" width="10.2890625" style="52" customWidth="1"/>
    <col min="15656" max="15658" width="9" style="52" hidden="1" customWidth="1"/>
    <col min="15659" max="15659" width="10.2890625" style="52" customWidth="1"/>
    <col min="15660" max="15662" width="9" style="52" hidden="1" customWidth="1"/>
    <col min="15663" max="15663" width="10.2890625" style="52" customWidth="1"/>
    <col min="15664" max="15666" width="9" style="52" hidden="1" customWidth="1"/>
    <col min="15667" max="15667" width="10.2890625" style="52" customWidth="1"/>
    <col min="15668" max="15670" width="9" style="52" hidden="1" customWidth="1"/>
    <col min="15671" max="15671" width="10.2890625" style="52" customWidth="1"/>
    <col min="15672" max="15674" width="9" style="52" hidden="1" customWidth="1"/>
    <col min="15675" max="15675" width="10.2890625" style="52" customWidth="1"/>
    <col min="15676" max="15678" width="9" style="52" hidden="1" customWidth="1"/>
    <col min="15679" max="15679" width="10.2890625" style="52" customWidth="1"/>
    <col min="15680" max="15682" width="9" style="52" hidden="1" customWidth="1"/>
    <col min="15683" max="15683" width="10.2890625" style="52" customWidth="1"/>
    <col min="15684" max="15686" width="9" style="52" hidden="1" customWidth="1"/>
    <col min="15687" max="15687" width="10.4296875" style="52" customWidth="1"/>
    <col min="15688" max="15690" width="9" style="52" hidden="1" customWidth="1"/>
    <col min="15691" max="15692" width="10.2890625" style="52" customWidth="1"/>
    <col min="15693" max="15693" width="10" style="52" customWidth="1"/>
    <col min="15694" max="15695" width="10.2890625" style="52" customWidth="1"/>
    <col min="15696" max="15872" width="9.140625" style="52"/>
    <col min="15873" max="15873" width="38.5703125" style="52" customWidth="1"/>
    <col min="15874" max="15874" width="22.859375" style="52" customWidth="1"/>
    <col min="15875" max="15875" width="10.2890625" style="52" customWidth="1"/>
    <col min="15876" max="15878" width="9" style="52" hidden="1" customWidth="1"/>
    <col min="15879" max="15879" width="10.2890625" style="52" customWidth="1"/>
    <col min="15880" max="15882" width="9" style="52" hidden="1" customWidth="1"/>
    <col min="15883" max="15883" width="10.2890625" style="52" customWidth="1"/>
    <col min="15884" max="15886" width="9" style="52" hidden="1" customWidth="1"/>
    <col min="15887" max="15887" width="10.2890625" style="52" customWidth="1"/>
    <col min="15888" max="15890" width="9" style="52" hidden="1" customWidth="1"/>
    <col min="15891" max="15891" width="10.2890625" style="52" customWidth="1"/>
    <col min="15892" max="15894" width="9" style="52" hidden="1" customWidth="1"/>
    <col min="15895" max="15895" width="10.2890625" style="52" customWidth="1"/>
    <col min="15896" max="15898" width="9" style="52" hidden="1" customWidth="1"/>
    <col min="15899" max="15899" width="10.2890625" style="52" customWidth="1"/>
    <col min="15900" max="15902" width="9" style="52" hidden="1" customWidth="1"/>
    <col min="15903" max="15903" width="10.2890625" style="52" customWidth="1"/>
    <col min="15904" max="15906" width="9" style="52" hidden="1" customWidth="1"/>
    <col min="15907" max="15907" width="10.2890625" style="52" customWidth="1"/>
    <col min="15908" max="15910" width="9" style="52" hidden="1" customWidth="1"/>
    <col min="15911" max="15911" width="10.2890625" style="52" customWidth="1"/>
    <col min="15912" max="15914" width="9" style="52" hidden="1" customWidth="1"/>
    <col min="15915" max="15915" width="10.2890625" style="52" customWidth="1"/>
    <col min="15916" max="15918" width="9" style="52" hidden="1" customWidth="1"/>
    <col min="15919" max="15919" width="10.2890625" style="52" customWidth="1"/>
    <col min="15920" max="15922" width="9" style="52" hidden="1" customWidth="1"/>
    <col min="15923" max="15923" width="10.2890625" style="52" customWidth="1"/>
    <col min="15924" max="15926" width="9" style="52" hidden="1" customWidth="1"/>
    <col min="15927" max="15927" width="10.2890625" style="52" customWidth="1"/>
    <col min="15928" max="15930" width="9" style="52" hidden="1" customWidth="1"/>
    <col min="15931" max="15931" width="10.2890625" style="52" customWidth="1"/>
    <col min="15932" max="15934" width="9" style="52" hidden="1" customWidth="1"/>
    <col min="15935" max="15935" width="10.2890625" style="52" customWidth="1"/>
    <col min="15936" max="15938" width="9" style="52" hidden="1" customWidth="1"/>
    <col min="15939" max="15939" width="10.2890625" style="52" customWidth="1"/>
    <col min="15940" max="15942" width="9" style="52" hidden="1" customWidth="1"/>
    <col min="15943" max="15943" width="10.4296875" style="52" customWidth="1"/>
    <col min="15944" max="15946" width="9" style="52" hidden="1" customWidth="1"/>
    <col min="15947" max="15948" width="10.2890625" style="52" customWidth="1"/>
    <col min="15949" max="15949" width="10" style="52" customWidth="1"/>
    <col min="15950" max="15951" width="10.2890625" style="52" customWidth="1"/>
    <col min="15952" max="16128" width="9.140625" style="52"/>
    <col min="16129" max="16129" width="38.5703125" style="52" customWidth="1"/>
    <col min="16130" max="16130" width="22.859375" style="52" customWidth="1"/>
    <col min="16131" max="16131" width="10.2890625" style="52" customWidth="1"/>
    <col min="16132" max="16134" width="9" style="52" hidden="1" customWidth="1"/>
    <col min="16135" max="16135" width="10.2890625" style="52" customWidth="1"/>
    <col min="16136" max="16138" width="9" style="52" hidden="1" customWidth="1"/>
    <col min="16139" max="16139" width="10.2890625" style="52" customWidth="1"/>
    <col min="16140" max="16142" width="9" style="52" hidden="1" customWidth="1"/>
    <col min="16143" max="16143" width="10.2890625" style="52" customWidth="1"/>
    <col min="16144" max="16146" width="9" style="52" hidden="1" customWidth="1"/>
    <col min="16147" max="16147" width="10.2890625" style="52" customWidth="1"/>
    <col min="16148" max="16150" width="9" style="52" hidden="1" customWidth="1"/>
    <col min="16151" max="16151" width="10.2890625" style="52" customWidth="1"/>
    <col min="16152" max="16154" width="9" style="52" hidden="1" customWidth="1"/>
    <col min="16155" max="16155" width="10.2890625" style="52" customWidth="1"/>
    <col min="16156" max="16158" width="9" style="52" hidden="1" customWidth="1"/>
    <col min="16159" max="16159" width="10.2890625" style="52" customWidth="1"/>
    <col min="16160" max="16162" width="9" style="52" hidden="1" customWidth="1"/>
    <col min="16163" max="16163" width="10.2890625" style="52" customWidth="1"/>
    <col min="16164" max="16166" width="9" style="52" hidden="1" customWidth="1"/>
    <col min="16167" max="16167" width="10.2890625" style="52" customWidth="1"/>
    <col min="16168" max="16170" width="9" style="52" hidden="1" customWidth="1"/>
    <col min="16171" max="16171" width="10.2890625" style="52" customWidth="1"/>
    <col min="16172" max="16174" width="9" style="52" hidden="1" customWidth="1"/>
    <col min="16175" max="16175" width="10.2890625" style="52" customWidth="1"/>
    <col min="16176" max="16178" width="9" style="52" hidden="1" customWidth="1"/>
    <col min="16179" max="16179" width="10.2890625" style="52" customWidth="1"/>
    <col min="16180" max="16182" width="9" style="52" hidden="1" customWidth="1"/>
    <col min="16183" max="16183" width="10.2890625" style="52" customWidth="1"/>
    <col min="16184" max="16186" width="9" style="52" hidden="1" customWidth="1"/>
    <col min="16187" max="16187" width="10.2890625" style="52" customWidth="1"/>
    <col min="16188" max="16190" width="9" style="52" hidden="1" customWidth="1"/>
    <col min="16191" max="16191" width="10.2890625" style="52" customWidth="1"/>
    <col min="16192" max="16194" width="9" style="52" hidden="1" customWidth="1"/>
    <col min="16195" max="16195" width="10.2890625" style="52" customWidth="1"/>
    <col min="16196" max="16198" width="9" style="52" hidden="1" customWidth="1"/>
    <col min="16199" max="16199" width="10.4296875" style="52" customWidth="1"/>
    <col min="16200" max="16202" width="9" style="52" hidden="1" customWidth="1"/>
    <col min="16203" max="16204" width="10.2890625" style="52" customWidth="1"/>
    <col min="16205" max="16205" width="10" style="52" customWidth="1"/>
    <col min="16206" max="16207" width="10.2890625" style="52" customWidth="1"/>
    <col min="16208" max="16384" width="9.140625" style="52"/>
  </cols>
  <sheetData>
    <row r="1" ht="17.6" spans="1:104">
      <c r="A1" s="281" t="s">
        <v>57</v>
      </c>
    </row>
    <row r="2" ht="15" spans="1:104">
      <c r="A2" s="18" t="s">
        <v>58</v>
      </c>
      <c r="CN2" s="282"/>
      <c r="CO2" s="282"/>
      <c r="CP2" s="282"/>
      <c r="CQ2" s="282"/>
      <c r="CR2" s="282"/>
      <c r="CS2" s="282"/>
      <c r="CT2" s="282"/>
      <c r="CU2" s="282"/>
      <c r="CV2" s="282"/>
      <c r="CW2" s="282"/>
      <c r="CX2" s="282"/>
      <c r="CY2" s="282"/>
      <c r="CZ2" s="282"/>
    </row>
    <row r="3" s="276" customFormat="1" ht="22.5" customHeight="1" spans="1:104">
      <c r="A3" s="283"/>
      <c r="B3" s="284" t="s">
        <v>59</v>
      </c>
      <c r="C3" s="359" t="s">
        <v>60</v>
      </c>
      <c r="D3" s="360" t="s">
        <v>61</v>
      </c>
      <c r="E3" s="360" t="s">
        <v>62</v>
      </c>
      <c r="F3" s="360" t="s">
        <v>63</v>
      </c>
      <c r="G3" s="360" t="s">
        <v>64</v>
      </c>
      <c r="H3" s="360" t="s">
        <v>65</v>
      </c>
      <c r="I3" s="360" t="s">
        <v>66</v>
      </c>
      <c r="J3" s="360" t="s">
        <v>67</v>
      </c>
      <c r="K3" s="360" t="s">
        <v>68</v>
      </c>
      <c r="L3" s="360" t="s">
        <v>69</v>
      </c>
      <c r="M3" s="360" t="s">
        <v>70</v>
      </c>
      <c r="N3" s="360" t="s">
        <v>71</v>
      </c>
      <c r="O3" s="360" t="s">
        <v>72</v>
      </c>
      <c r="P3" s="360" t="s">
        <v>73</v>
      </c>
      <c r="Q3" s="360" t="s">
        <v>74</v>
      </c>
      <c r="R3" s="360" t="s">
        <v>75</v>
      </c>
      <c r="S3" s="360" t="s">
        <v>76</v>
      </c>
      <c r="T3" s="360" t="s">
        <v>77</v>
      </c>
      <c r="U3" s="360" t="s">
        <v>78</v>
      </c>
      <c r="V3" s="360" t="s">
        <v>79</v>
      </c>
      <c r="W3" s="360" t="s">
        <v>80</v>
      </c>
      <c r="X3" s="360" t="s">
        <v>81</v>
      </c>
      <c r="Y3" s="360" t="s">
        <v>82</v>
      </c>
      <c r="Z3" s="360" t="s">
        <v>83</v>
      </c>
      <c r="AA3" s="360" t="s">
        <v>84</v>
      </c>
      <c r="AB3" s="360" t="s">
        <v>85</v>
      </c>
      <c r="AC3" s="360" t="s">
        <v>86</v>
      </c>
      <c r="AD3" s="360" t="s">
        <v>87</v>
      </c>
      <c r="AE3" s="360" t="s">
        <v>88</v>
      </c>
      <c r="AF3" s="360" t="s">
        <v>89</v>
      </c>
      <c r="AG3" s="360" t="s">
        <v>90</v>
      </c>
      <c r="AH3" s="360" t="s">
        <v>91</v>
      </c>
      <c r="AI3" s="360" t="s">
        <v>92</v>
      </c>
      <c r="AJ3" s="360" t="s">
        <v>93</v>
      </c>
      <c r="AK3" s="360" t="s">
        <v>94</v>
      </c>
      <c r="AL3" s="360" t="s">
        <v>95</v>
      </c>
      <c r="AM3" s="360" t="s">
        <v>96</v>
      </c>
      <c r="AN3" s="360" t="s">
        <v>97</v>
      </c>
      <c r="AO3" s="360" t="s">
        <v>98</v>
      </c>
      <c r="AP3" s="360" t="s">
        <v>99</v>
      </c>
      <c r="AQ3" s="360" t="s">
        <v>100</v>
      </c>
      <c r="AR3" s="360" t="s">
        <v>101</v>
      </c>
      <c r="AS3" s="360" t="s">
        <v>102</v>
      </c>
      <c r="AT3" s="360" t="s">
        <v>103</v>
      </c>
      <c r="AU3" s="360" t="s">
        <v>104</v>
      </c>
      <c r="AV3" s="360" t="s">
        <v>105</v>
      </c>
      <c r="AW3" s="360" t="s">
        <v>106</v>
      </c>
      <c r="AX3" s="360" t="s">
        <v>107</v>
      </c>
      <c r="AY3" s="360" t="s">
        <v>108</v>
      </c>
      <c r="AZ3" s="360" t="s">
        <v>109</v>
      </c>
      <c r="BA3" s="360" t="s">
        <v>110</v>
      </c>
      <c r="BB3" s="360" t="s">
        <v>111</v>
      </c>
      <c r="BC3" s="360" t="s">
        <v>112</v>
      </c>
      <c r="BD3" s="360" t="s">
        <v>113</v>
      </c>
      <c r="BE3" s="360" t="s">
        <v>114</v>
      </c>
      <c r="BF3" s="360" t="s">
        <v>115</v>
      </c>
      <c r="BG3" s="360" t="s">
        <v>116</v>
      </c>
      <c r="BH3" s="360" t="s">
        <v>117</v>
      </c>
      <c r="BI3" s="360" t="s">
        <v>118</v>
      </c>
      <c r="BJ3" s="360" t="s">
        <v>119</v>
      </c>
      <c r="BK3" s="360" t="s">
        <v>120</v>
      </c>
      <c r="BL3" s="360" t="s">
        <v>121</v>
      </c>
      <c r="BM3" s="360" t="s">
        <v>122</v>
      </c>
      <c r="BN3" s="360" t="s">
        <v>123</v>
      </c>
      <c r="BO3" s="360" t="s">
        <v>124</v>
      </c>
      <c r="BP3" s="360" t="s">
        <v>125</v>
      </c>
      <c r="BQ3" s="360" t="s">
        <v>126</v>
      </c>
      <c r="BR3" s="360" t="s">
        <v>127</v>
      </c>
      <c r="BS3" s="360" t="s">
        <v>128</v>
      </c>
      <c r="BT3" s="360" t="s">
        <v>129</v>
      </c>
      <c r="BU3" s="360" t="s">
        <v>130</v>
      </c>
      <c r="BV3" s="360" t="s">
        <v>131</v>
      </c>
      <c r="BW3" s="360" t="s">
        <v>132</v>
      </c>
      <c r="BX3" s="360" t="s">
        <v>133</v>
      </c>
      <c r="BY3" s="360" t="s">
        <v>134</v>
      </c>
      <c r="BZ3" s="360" t="s">
        <v>135</v>
      </c>
      <c r="CA3" s="360" t="s">
        <v>136</v>
      </c>
      <c r="CB3" s="360" t="s">
        <v>137</v>
      </c>
      <c r="CC3" s="360" t="s">
        <v>138</v>
      </c>
      <c r="CD3" s="360" t="s">
        <v>139</v>
      </c>
      <c r="CE3" s="360" t="s">
        <v>140</v>
      </c>
      <c r="CF3" s="360" t="s">
        <v>141</v>
      </c>
      <c r="CG3" s="360" t="s">
        <v>142</v>
      </c>
      <c r="CH3" s="360" t="s">
        <v>143</v>
      </c>
      <c r="CI3" s="360" t="s">
        <v>144</v>
      </c>
      <c r="CJ3" s="360" t="s">
        <v>145</v>
      </c>
      <c r="CK3" s="360" t="s">
        <v>146</v>
      </c>
      <c r="CL3" s="360" t="s">
        <v>147</v>
      </c>
      <c r="CM3" s="360" t="s">
        <v>148</v>
      </c>
      <c r="CN3" s="360" t="s">
        <v>149</v>
      </c>
      <c r="CO3" s="360" t="s">
        <v>150</v>
      </c>
      <c r="CP3" s="360" t="s">
        <v>151</v>
      </c>
      <c r="CQ3" s="360" t="s">
        <v>152</v>
      </c>
      <c r="CR3" s="360" t="s">
        <v>153</v>
      </c>
      <c r="CS3" s="360" t="s">
        <v>154</v>
      </c>
      <c r="CT3" s="360" t="s">
        <v>155</v>
      </c>
      <c r="CU3" s="360" t="s">
        <v>156</v>
      </c>
      <c r="CV3" s="360" t="s">
        <v>157</v>
      </c>
      <c r="CW3" s="360" t="s">
        <v>158</v>
      </c>
      <c r="CX3" s="360" t="s">
        <v>159</v>
      </c>
      <c r="CY3" s="360" t="s">
        <v>160</v>
      </c>
      <c r="CZ3" s="361" t="s">
        <v>161</v>
      </c>
    </row>
    <row r="4" s="277" customFormat="1" ht="29" spans="1:104">
      <c r="A4" s="285" t="s">
        <v>162</v>
      </c>
      <c r="B4" s="286" t="s">
        <v>163</v>
      </c>
      <c r="C4" s="65">
        <v>12634.5724124027</v>
      </c>
      <c r="D4" s="66">
        <v>12983.1167482793</v>
      </c>
      <c r="E4" s="66">
        <v>13541.6251715286</v>
      </c>
      <c r="F4" s="66">
        <v>14338.8709326492</v>
      </c>
      <c r="G4" s="66">
        <v>15008.1854201774</v>
      </c>
      <c r="H4" s="66">
        <v>15367.4853490671</v>
      </c>
      <c r="I4" s="66">
        <v>16249.6685517109</v>
      </c>
      <c r="J4" s="66">
        <v>17136.1421988694</v>
      </c>
      <c r="K4" s="66">
        <v>18134.7809872964</v>
      </c>
      <c r="L4" s="66">
        <v>18733.5708551513</v>
      </c>
      <c r="M4" s="66">
        <v>20043.1166307838</v>
      </c>
      <c r="N4" s="66">
        <v>21619.5092194364</v>
      </c>
      <c r="O4" s="66">
        <v>23089.2926089818</v>
      </c>
      <c r="P4" s="66">
        <v>24260.021287952</v>
      </c>
      <c r="Q4" s="66">
        <v>25732.8958790402</v>
      </c>
      <c r="R4" s="66">
        <v>27150.5702954628</v>
      </c>
      <c r="S4" s="66">
        <v>32723.7305243752</v>
      </c>
      <c r="T4" s="66">
        <v>34256.1035053606</v>
      </c>
      <c r="U4" s="66">
        <v>35724.6922458321</v>
      </c>
      <c r="V4" s="66">
        <v>38277.6112560426</v>
      </c>
      <c r="W4" s="66">
        <v>43428.5277531855</v>
      </c>
      <c r="X4" s="66">
        <v>48369.4733409359</v>
      </c>
      <c r="Y4" s="66">
        <v>53969.6449467839</v>
      </c>
      <c r="Z4" s="66">
        <v>60146.5989786275</v>
      </c>
      <c r="AA4" s="66">
        <v>74014.0899471573</v>
      </c>
      <c r="AB4" s="66">
        <v>81905.9128971838</v>
      </c>
      <c r="AC4" s="66">
        <v>92367.9086233256</v>
      </c>
      <c r="AD4" s="66">
        <v>94248.3430965613</v>
      </c>
      <c r="AE4" s="66">
        <v>96893.0041769437</v>
      </c>
      <c r="AF4" s="66">
        <v>98877.3278747482</v>
      </c>
      <c r="AG4" s="66">
        <v>101204.662718111</v>
      </c>
      <c r="AH4" s="66">
        <v>105995.32997562</v>
      </c>
      <c r="AI4" s="66">
        <v>107933.377620652</v>
      </c>
      <c r="AJ4" s="66">
        <v>104803.672570564</v>
      </c>
      <c r="AK4" s="66">
        <v>106675.740477653</v>
      </c>
      <c r="AL4" s="66">
        <v>111527.936479366</v>
      </c>
      <c r="AM4" s="66">
        <v>112866.889315032</v>
      </c>
      <c r="AN4" s="66">
        <v>110861.490025558</v>
      </c>
      <c r="AO4" s="66">
        <v>113619.656892894</v>
      </c>
      <c r="AP4" s="66">
        <v>111518.693129942</v>
      </c>
      <c r="AQ4" s="66">
        <v>118222.763568799</v>
      </c>
      <c r="AR4" s="66">
        <v>123359.159136885</v>
      </c>
      <c r="AS4" s="66">
        <v>124897.278808213</v>
      </c>
      <c r="AT4" s="66">
        <v>123708.361985878</v>
      </c>
      <c r="AU4" s="66">
        <v>125320.777886505</v>
      </c>
      <c r="AV4" s="66">
        <v>129154.054921039</v>
      </c>
      <c r="AW4" s="66">
        <v>132535.864969187</v>
      </c>
      <c r="AX4" s="66">
        <v>134414.115527453</v>
      </c>
      <c r="AY4" s="66">
        <v>136918.219278678</v>
      </c>
      <c r="AZ4" s="66">
        <v>139691.461465112</v>
      </c>
      <c r="BA4" s="66">
        <v>145554.801486473</v>
      </c>
      <c r="BB4" s="66">
        <v>148162.713181078</v>
      </c>
      <c r="BC4" s="66">
        <v>150032.867457001</v>
      </c>
      <c r="BD4" s="66">
        <v>151504.678852765</v>
      </c>
      <c r="BE4" s="66">
        <v>155583.922158574</v>
      </c>
      <c r="BF4" s="66">
        <v>155674.878898309</v>
      </c>
      <c r="BG4" s="66">
        <v>157114.532270664</v>
      </c>
      <c r="BH4" s="66">
        <v>154065.705095175</v>
      </c>
      <c r="BI4" s="66">
        <v>155281.005244664</v>
      </c>
      <c r="BJ4" s="66">
        <v>155284.275234299</v>
      </c>
      <c r="BK4" s="66">
        <v>153006.612609611</v>
      </c>
      <c r="BL4" s="66">
        <v>153335.143372994</v>
      </c>
      <c r="BM4" s="66">
        <v>159864.393962029</v>
      </c>
      <c r="BN4" s="66">
        <v>164849.213055287</v>
      </c>
      <c r="BO4" s="66">
        <v>163528.492399638</v>
      </c>
      <c r="BP4" s="66">
        <v>165292.701039195</v>
      </c>
      <c r="BQ4" s="66">
        <v>167774.327133275</v>
      </c>
      <c r="BR4" s="66">
        <v>168847.749779521</v>
      </c>
      <c r="BS4" s="66">
        <v>167482.716087954</v>
      </c>
      <c r="BT4" s="66">
        <v>167755.597133481</v>
      </c>
      <c r="BU4" s="66">
        <v>165679.600387896</v>
      </c>
      <c r="BV4" s="66">
        <v>162643.826450331</v>
      </c>
      <c r="BW4" s="66">
        <v>160331.29182238</v>
      </c>
      <c r="BX4" s="66">
        <v>160238.815531205</v>
      </c>
      <c r="BY4" s="66">
        <v>160393.969127219</v>
      </c>
      <c r="BZ4" s="66">
        <v>160328.624129354</v>
      </c>
      <c r="CA4" s="66">
        <v>159544.217230192</v>
      </c>
      <c r="CB4" s="66">
        <v>155466.741676505</v>
      </c>
      <c r="CC4" s="66">
        <v>160585.792336852</v>
      </c>
      <c r="CD4" s="66">
        <v>161706.536328173</v>
      </c>
      <c r="CE4" s="66">
        <v>163980.074825441</v>
      </c>
      <c r="CF4" s="66">
        <v>163955.094815505</v>
      </c>
      <c r="CG4" s="66">
        <v>166483.080061958</v>
      </c>
      <c r="CH4" s="66">
        <v>165761.723503482</v>
      </c>
      <c r="CI4" s="66">
        <v>164131.074503214</v>
      </c>
      <c r="CJ4" s="66">
        <v>159896.77288415</v>
      </c>
      <c r="CK4" s="66">
        <v>164152.245453574</v>
      </c>
      <c r="CL4" s="66">
        <v>161096.19650189</v>
      </c>
      <c r="CM4" s="66">
        <v>161144.273332499</v>
      </c>
      <c r="CN4" s="66">
        <v>162813.96888748</v>
      </c>
      <c r="CO4" s="66">
        <v>162802.617326411</v>
      </c>
      <c r="CP4" s="66">
        <v>163809.495202615</v>
      </c>
      <c r="CQ4" s="66">
        <v>163711.964049239</v>
      </c>
      <c r="CR4" s="66">
        <v>163952.92616366</v>
      </c>
      <c r="CS4" s="66">
        <v>166853.095507313</v>
      </c>
      <c r="CT4" s="66">
        <v>166367.064362084</v>
      </c>
      <c r="CU4" s="66">
        <v>164677.496974072</v>
      </c>
      <c r="CV4" s="66">
        <v>170037.800782238</v>
      </c>
      <c r="CW4" s="66">
        <v>172547.082968168</v>
      </c>
      <c r="CX4" s="66">
        <v>171558.262372511</v>
      </c>
      <c r="CY4" s="66">
        <v>181841.590363621</v>
      </c>
      <c r="CZ4" s="67">
        <v>182778.238991064</v>
      </c>
    </row>
    <row r="5" ht="15" spans="1:104">
      <c r="A5" s="287" t="s">
        <v>164</v>
      </c>
      <c r="B5" s="288" t="s">
        <v>165</v>
      </c>
      <c r="C5" s="81">
        <v>960.836444488127</v>
      </c>
      <c r="D5" s="82">
        <v>911.255916767807</v>
      </c>
      <c r="E5" s="82">
        <v>1138.64117449247</v>
      </c>
      <c r="F5" s="82">
        <v>1175.28421474239</v>
      </c>
      <c r="G5" s="82">
        <v>1340.17480263571</v>
      </c>
      <c r="H5" s="82">
        <v>1286.25671336547</v>
      </c>
      <c r="I5" s="82">
        <v>1302.8471970703</v>
      </c>
      <c r="J5" s="82">
        <v>1574.61178411093</v>
      </c>
      <c r="K5" s="82">
        <v>2046.22666465038</v>
      </c>
      <c r="L5" s="82">
        <v>2010.21719780296</v>
      </c>
      <c r="M5" s="82">
        <v>2072.58109252921</v>
      </c>
      <c r="N5" s="82">
        <v>2377.81229371895</v>
      </c>
      <c r="O5" s="82">
        <v>3170.72619794798</v>
      </c>
      <c r="P5" s="82">
        <v>2987.73191954411</v>
      </c>
      <c r="Q5" s="82">
        <v>3183.64753178715</v>
      </c>
      <c r="R5" s="82">
        <v>3286.62310839549</v>
      </c>
      <c r="S5" s="82">
        <v>3864.48999121348</v>
      </c>
      <c r="T5" s="82">
        <v>4200.70613847613</v>
      </c>
      <c r="U5" s="82">
        <v>4631.37133469332</v>
      </c>
      <c r="V5" s="82">
        <v>5606.56829755387</v>
      </c>
      <c r="W5" s="82">
        <v>8102.4299381495</v>
      </c>
      <c r="X5" s="82">
        <v>8501.91013885374</v>
      </c>
      <c r="Y5" s="82">
        <v>9323.93729266907</v>
      </c>
      <c r="Z5" s="82">
        <v>8500.69544153286</v>
      </c>
      <c r="AA5" s="82">
        <v>12445.2177343144</v>
      </c>
      <c r="AB5" s="82">
        <v>11304.0218359149</v>
      </c>
      <c r="AC5" s="82">
        <v>14887.8114458341</v>
      </c>
      <c r="AD5" s="82">
        <v>10631.068381233</v>
      </c>
      <c r="AE5" s="82">
        <v>11529.6810117201</v>
      </c>
      <c r="AF5" s="82">
        <v>11483.7661494202</v>
      </c>
      <c r="AG5" s="82">
        <v>10399.2165570599</v>
      </c>
      <c r="AH5" s="82">
        <v>10318.8710596001</v>
      </c>
      <c r="AI5" s="82">
        <v>9486.76691511402</v>
      </c>
      <c r="AJ5" s="82">
        <v>7645.76696987787</v>
      </c>
      <c r="AK5" s="82">
        <v>8165.25465661495</v>
      </c>
      <c r="AL5" s="82">
        <v>7713.48614805976</v>
      </c>
      <c r="AM5" s="82">
        <v>6985.13707915833</v>
      </c>
      <c r="AN5" s="82">
        <v>7559.41291071686</v>
      </c>
      <c r="AO5" s="82">
        <v>6952.05425900933</v>
      </c>
      <c r="AP5" s="82">
        <v>7087.07538953783</v>
      </c>
      <c r="AQ5" s="82">
        <v>8864.49478735538</v>
      </c>
      <c r="AR5" s="82">
        <v>11006.6150867557</v>
      </c>
      <c r="AS5" s="82">
        <v>9619.80613025493</v>
      </c>
      <c r="AT5" s="82">
        <v>7689.54206954272</v>
      </c>
      <c r="AU5" s="82">
        <v>7867.20542483158</v>
      </c>
      <c r="AV5" s="82">
        <v>7533.41878268017</v>
      </c>
      <c r="AW5" s="82">
        <v>8079.02306373561</v>
      </c>
      <c r="AX5" s="82">
        <v>7922.37273613949</v>
      </c>
      <c r="AY5" s="82">
        <v>9086.33521107202</v>
      </c>
      <c r="AZ5" s="82">
        <v>8322.41510708771</v>
      </c>
      <c r="BA5" s="82">
        <v>8328.27238719415</v>
      </c>
      <c r="BB5" s="82">
        <v>9186.04258714175</v>
      </c>
      <c r="BC5" s="82">
        <v>9468.06962582777</v>
      </c>
      <c r="BD5" s="82">
        <v>9277.96310874956</v>
      </c>
      <c r="BE5" s="82">
        <v>9867.17253191026</v>
      </c>
      <c r="BF5" s="82">
        <v>9291.22381949776</v>
      </c>
      <c r="BG5" s="82">
        <v>9713.77106777395</v>
      </c>
      <c r="BH5" s="82">
        <v>8085.04130724569</v>
      </c>
      <c r="BI5" s="82">
        <v>7796.81159717805</v>
      </c>
      <c r="BJ5" s="82">
        <v>6429.27479565026</v>
      </c>
      <c r="BK5" s="82">
        <v>6260.33162447941</v>
      </c>
      <c r="BL5" s="82">
        <v>6238.12790448141</v>
      </c>
      <c r="BM5" s="82">
        <v>6326.14599744965</v>
      </c>
      <c r="BN5" s="82">
        <v>6733.0899080185</v>
      </c>
      <c r="BO5" s="82">
        <v>6560.28630325918</v>
      </c>
      <c r="BP5" s="82">
        <v>7052.31743736049</v>
      </c>
      <c r="BQ5" s="82">
        <v>7193.66026326943</v>
      </c>
      <c r="BR5" s="82">
        <v>7407.53210467502</v>
      </c>
      <c r="BS5" s="82">
        <v>7489.18189883237</v>
      </c>
      <c r="BT5" s="82">
        <v>8306.19701601408</v>
      </c>
      <c r="BU5" s="82">
        <v>8085.95978698249</v>
      </c>
      <c r="BV5" s="82">
        <v>8157.06212583412</v>
      </c>
      <c r="BW5" s="82">
        <v>8150.45614393518</v>
      </c>
      <c r="BX5" s="82">
        <v>8197.30644608414</v>
      </c>
      <c r="BY5" s="82">
        <v>8290.64158921021</v>
      </c>
      <c r="BZ5" s="82">
        <v>8225.30254147415</v>
      </c>
      <c r="CA5" s="82">
        <v>8801.18626551141</v>
      </c>
      <c r="CB5" s="82">
        <v>8347.72526042673</v>
      </c>
      <c r="CC5" s="82">
        <v>8894.16427048047</v>
      </c>
      <c r="CD5" s="82">
        <v>9151.28295574494</v>
      </c>
      <c r="CE5" s="82">
        <v>9481.01462858172</v>
      </c>
      <c r="CF5" s="82">
        <v>10955.2115281965</v>
      </c>
      <c r="CG5" s="82">
        <v>12243.7711575455</v>
      </c>
      <c r="CH5" s="82">
        <v>11585.0025369502</v>
      </c>
      <c r="CI5" s="82">
        <v>12009.6203005308</v>
      </c>
      <c r="CJ5" s="82">
        <v>11720.0568387047</v>
      </c>
      <c r="CK5" s="82">
        <v>14150.4051857195</v>
      </c>
      <c r="CL5" s="82">
        <v>15527.7599709323</v>
      </c>
      <c r="CM5" s="82">
        <v>16335.6893989344</v>
      </c>
      <c r="CN5" s="82">
        <v>17256.952992826</v>
      </c>
      <c r="CO5" s="82">
        <v>17200.649349562</v>
      </c>
      <c r="CP5" s="82">
        <v>18225.458534215</v>
      </c>
      <c r="CQ5" s="82">
        <v>19389.5541498898</v>
      </c>
      <c r="CR5" s="82">
        <v>19132.2997837552</v>
      </c>
      <c r="CS5" s="82">
        <v>20633.7183844039</v>
      </c>
      <c r="CT5" s="82">
        <v>21269.0289676695</v>
      </c>
      <c r="CU5" s="82">
        <v>19468.7367090683</v>
      </c>
      <c r="CV5" s="82">
        <v>21617.7067600226</v>
      </c>
      <c r="CW5" s="82">
        <v>22418.9675685976</v>
      </c>
      <c r="CX5" s="82">
        <v>20927.8879005766</v>
      </c>
      <c r="CY5" s="82">
        <v>21688.3220196985</v>
      </c>
      <c r="CZ5" s="83">
        <v>23576.2133932767</v>
      </c>
    </row>
    <row r="6" ht="15" spans="1:104">
      <c r="A6" s="287" t="s">
        <v>166</v>
      </c>
      <c r="B6" s="288" t="s">
        <v>167</v>
      </c>
      <c r="C6" s="81">
        <v>11673.7359679145</v>
      </c>
      <c r="D6" s="82">
        <v>12071.8608315115</v>
      </c>
      <c r="E6" s="82">
        <v>12402.9839970361</v>
      </c>
      <c r="F6" s="82">
        <v>13163.5867179068</v>
      </c>
      <c r="G6" s="82">
        <v>13668.0106175417</v>
      </c>
      <c r="H6" s="82">
        <v>14081.2286357017</v>
      </c>
      <c r="I6" s="82">
        <v>14946.8213546406</v>
      </c>
      <c r="J6" s="82">
        <v>15561.5304147584</v>
      </c>
      <c r="K6" s="82">
        <v>16088.5543226461</v>
      </c>
      <c r="L6" s="82">
        <v>16723.3536573483</v>
      </c>
      <c r="M6" s="82">
        <v>17970.5355382546</v>
      </c>
      <c r="N6" s="82">
        <v>19241.6969257175</v>
      </c>
      <c r="O6" s="82">
        <v>19918.5664110339</v>
      </c>
      <c r="P6" s="82">
        <v>21272.2893684079</v>
      </c>
      <c r="Q6" s="82">
        <v>22549.248347253</v>
      </c>
      <c r="R6" s="82">
        <v>23863.9471870674</v>
      </c>
      <c r="S6" s="82">
        <v>28859.2405331617</v>
      </c>
      <c r="T6" s="82">
        <v>30055.3973668845</v>
      </c>
      <c r="U6" s="82">
        <v>31093.3209111388</v>
      </c>
      <c r="V6" s="82">
        <v>32671.0429584887</v>
      </c>
      <c r="W6" s="82">
        <v>35326.097815036</v>
      </c>
      <c r="X6" s="82">
        <v>39867.5632020822</v>
      </c>
      <c r="Y6" s="82">
        <v>44645.7076541149</v>
      </c>
      <c r="Z6" s="82">
        <v>51645.9035370946</v>
      </c>
      <c r="AA6" s="82">
        <v>61568.8722128429</v>
      </c>
      <c r="AB6" s="82">
        <v>70601.8910612689</v>
      </c>
      <c r="AC6" s="82">
        <v>77480.0971774915</v>
      </c>
      <c r="AD6" s="82">
        <v>83617.2747153283</v>
      </c>
      <c r="AE6" s="82">
        <v>85363.3231652236</v>
      </c>
      <c r="AF6" s="82">
        <v>87393.561725328</v>
      </c>
      <c r="AG6" s="82">
        <v>90805.4461610509</v>
      </c>
      <c r="AH6" s="82">
        <v>95676.4589160195</v>
      </c>
      <c r="AI6" s="82">
        <v>98446.6107055379</v>
      </c>
      <c r="AJ6" s="82">
        <v>97157.905600686</v>
      </c>
      <c r="AK6" s="82">
        <v>98510.485821038</v>
      </c>
      <c r="AL6" s="82">
        <v>103814.450331307</v>
      </c>
      <c r="AM6" s="82">
        <v>105881.752235874</v>
      </c>
      <c r="AN6" s="82">
        <v>103302.077114841</v>
      </c>
      <c r="AO6" s="82">
        <v>106667.602633885</v>
      </c>
      <c r="AP6" s="82">
        <v>104431.617740404</v>
      </c>
      <c r="AQ6" s="82">
        <v>109358.268781444</v>
      </c>
      <c r="AR6" s="82">
        <v>112352.54405013</v>
      </c>
      <c r="AS6" s="82">
        <v>115277.472677958</v>
      </c>
      <c r="AT6" s="82">
        <v>116018.819916335</v>
      </c>
      <c r="AU6" s="82">
        <v>117453.572461673</v>
      </c>
      <c r="AV6" s="82">
        <v>121620.636138359</v>
      </c>
      <c r="AW6" s="82">
        <v>124456.841905452</v>
      </c>
      <c r="AX6" s="82">
        <v>126491.742791314</v>
      </c>
      <c r="AY6" s="82">
        <v>127831.884067606</v>
      </c>
      <c r="AZ6" s="82">
        <v>131369.046358024</v>
      </c>
      <c r="BA6" s="82">
        <v>137226.529099279</v>
      </c>
      <c r="BB6" s="82">
        <v>138976.670593936</v>
      </c>
      <c r="BC6" s="82">
        <v>140564.797831174</v>
      </c>
      <c r="BD6" s="82">
        <v>142226.715744015</v>
      </c>
      <c r="BE6" s="82">
        <v>145716.749626664</v>
      </c>
      <c r="BF6" s="82">
        <v>146383.655078811</v>
      </c>
      <c r="BG6" s="82">
        <v>147400.76120289</v>
      </c>
      <c r="BH6" s="82">
        <v>145980.66378793</v>
      </c>
      <c r="BI6" s="82">
        <v>147484.193647486</v>
      </c>
      <c r="BJ6" s="82">
        <v>148855.000438648</v>
      </c>
      <c r="BK6" s="82">
        <v>146746.280985132</v>
      </c>
      <c r="BL6" s="82">
        <v>147097.015468513</v>
      </c>
      <c r="BM6" s="82">
        <v>153538.24796458</v>
      </c>
      <c r="BN6" s="82">
        <v>158116.123147268</v>
      </c>
      <c r="BO6" s="82">
        <v>156968.206096379</v>
      </c>
      <c r="BP6" s="82">
        <v>158240.383601835</v>
      </c>
      <c r="BQ6" s="82">
        <v>160580.666870005</v>
      </c>
      <c r="BR6" s="82">
        <v>161440.217674846</v>
      </c>
      <c r="BS6" s="82">
        <v>159993.534189121</v>
      </c>
      <c r="BT6" s="82">
        <v>159449.400117467</v>
      </c>
      <c r="BU6" s="82">
        <v>157593.640600914</v>
      </c>
      <c r="BV6" s="82">
        <v>154486.764324497</v>
      </c>
      <c r="BW6" s="82">
        <v>152180.835678445</v>
      </c>
      <c r="BX6" s="82">
        <v>152041.509085121</v>
      </c>
      <c r="BY6" s="82">
        <v>152103.327538009</v>
      </c>
      <c r="BZ6" s="82">
        <v>152103.32158788</v>
      </c>
      <c r="CA6" s="82">
        <v>150743.030964681</v>
      </c>
      <c r="CB6" s="82">
        <v>147119.016416078</v>
      </c>
      <c r="CC6" s="82">
        <v>151691.628066372</v>
      </c>
      <c r="CD6" s="82">
        <v>152555.253372428</v>
      </c>
      <c r="CE6" s="82">
        <v>154499.060196859</v>
      </c>
      <c r="CF6" s="82">
        <v>152999.883287308</v>
      </c>
      <c r="CG6" s="82">
        <v>154239.308904413</v>
      </c>
      <c r="CH6" s="82">
        <v>154176.720966532</v>
      </c>
      <c r="CI6" s="82">
        <v>152121.454202683</v>
      </c>
      <c r="CJ6" s="82">
        <v>148176.716045446</v>
      </c>
      <c r="CK6" s="82">
        <v>150001.840267854</v>
      </c>
      <c r="CL6" s="82">
        <v>145568.436530958</v>
      </c>
      <c r="CM6" s="82">
        <v>144808.583933564</v>
      </c>
      <c r="CN6" s="82">
        <v>145557.015894654</v>
      </c>
      <c r="CO6" s="82">
        <v>145601.967976849</v>
      </c>
      <c r="CP6" s="82">
        <v>145584.0366684</v>
      </c>
      <c r="CQ6" s="82">
        <v>144322.409899349</v>
      </c>
      <c r="CR6" s="82">
        <v>144820.626379905</v>
      </c>
      <c r="CS6" s="82">
        <v>146219.377122909</v>
      </c>
      <c r="CT6" s="82">
        <v>145098.035394415</v>
      </c>
      <c r="CU6" s="82">
        <v>145208.760265003</v>
      </c>
      <c r="CV6" s="82">
        <v>148420.094022216</v>
      </c>
      <c r="CW6" s="82">
        <v>150128.11539957</v>
      </c>
      <c r="CX6" s="82">
        <v>150630.374471934</v>
      </c>
      <c r="CY6" s="82">
        <v>160153.268343923</v>
      </c>
      <c r="CZ6" s="83">
        <v>159202.025597788</v>
      </c>
    </row>
    <row r="7" ht="15" spans="1:104">
      <c r="A7" s="76" t="s">
        <v>168</v>
      </c>
      <c r="B7" s="289" t="s">
        <v>169</v>
      </c>
      <c r="C7" s="77">
        <v>2825.19755313451</v>
      </c>
      <c r="D7" s="78">
        <v>2744.97395313451</v>
      </c>
      <c r="E7" s="78">
        <v>2712.00195313451</v>
      </c>
      <c r="F7" s="78">
        <v>2727.46995313451</v>
      </c>
      <c r="G7" s="78">
        <v>2694.02495313451</v>
      </c>
      <c r="H7" s="78">
        <v>2490.533602554</v>
      </c>
      <c r="I7" s="78">
        <v>2472.81432231432</v>
      </c>
      <c r="J7" s="78">
        <v>2439.47974912007</v>
      </c>
      <c r="K7" s="78">
        <v>2334.00946439158</v>
      </c>
      <c r="L7" s="78">
        <v>2400.782207</v>
      </c>
      <c r="M7" s="78">
        <v>2404.654162</v>
      </c>
      <c r="N7" s="78">
        <v>2459.098765</v>
      </c>
      <c r="O7" s="78">
        <v>2552.344113</v>
      </c>
      <c r="P7" s="78">
        <v>2704.82740609363</v>
      </c>
      <c r="Q7" s="78">
        <v>2702.02442908936</v>
      </c>
      <c r="R7" s="78">
        <v>2716.79935862445</v>
      </c>
      <c r="S7" s="78">
        <v>2496.11741157543</v>
      </c>
      <c r="T7" s="78">
        <v>2348.1018710451</v>
      </c>
      <c r="U7" s="78">
        <v>2062.45645763975</v>
      </c>
      <c r="V7" s="78">
        <v>2058.58734485294</v>
      </c>
      <c r="W7" s="78">
        <v>1478.92131029782</v>
      </c>
      <c r="X7" s="78">
        <v>1495.28861054403</v>
      </c>
      <c r="Y7" s="78">
        <v>1507.0700551954</v>
      </c>
      <c r="Z7" s="78">
        <v>1450.30876228822</v>
      </c>
      <c r="AA7" s="78">
        <v>1495.18131445138</v>
      </c>
      <c r="AB7" s="78">
        <v>1468.03154852724</v>
      </c>
      <c r="AC7" s="78">
        <v>1422.5410613196</v>
      </c>
      <c r="AD7" s="78">
        <v>1483.6590082672</v>
      </c>
      <c r="AE7" s="78">
        <v>1491.50123690773</v>
      </c>
      <c r="AF7" s="78">
        <v>1559.59943350733</v>
      </c>
      <c r="AG7" s="78">
        <v>1541.91707536232</v>
      </c>
      <c r="AH7" s="78">
        <v>1603.63946014523</v>
      </c>
      <c r="AI7" s="78">
        <v>1641.90247313074</v>
      </c>
      <c r="AJ7" s="78">
        <v>1572.43002642008</v>
      </c>
      <c r="AK7" s="78">
        <v>1584.50427657735</v>
      </c>
      <c r="AL7" s="78">
        <v>1639.39438191454</v>
      </c>
      <c r="AM7" s="78">
        <v>2218.09827500674</v>
      </c>
      <c r="AN7" s="78">
        <v>2264.23144728434</v>
      </c>
      <c r="AO7" s="78">
        <v>2352.01239888783</v>
      </c>
      <c r="AP7" s="78">
        <v>3492.25071160236</v>
      </c>
      <c r="AQ7" s="78">
        <v>3800.29192808684</v>
      </c>
      <c r="AR7" s="78">
        <v>3797.40673180091</v>
      </c>
      <c r="AS7" s="78">
        <v>3975.94976053922</v>
      </c>
      <c r="AT7" s="78">
        <v>4223.09435503001</v>
      </c>
      <c r="AU7" s="78">
        <v>4487.41536927224</v>
      </c>
      <c r="AV7" s="78">
        <v>4418.63913338296</v>
      </c>
      <c r="AW7" s="78">
        <v>4450.11043956632</v>
      </c>
      <c r="AX7" s="78">
        <v>4554.02336572828</v>
      </c>
      <c r="AY7" s="78">
        <v>4855.12237636528</v>
      </c>
      <c r="AZ7" s="78">
        <v>4756.45105754442</v>
      </c>
      <c r="BA7" s="78">
        <v>4827.62862611276</v>
      </c>
      <c r="BB7" s="78">
        <v>4978.80352564028</v>
      </c>
      <c r="BC7" s="78">
        <v>5217.57556181238</v>
      </c>
      <c r="BD7" s="78">
        <v>5066.24624741815</v>
      </c>
      <c r="BE7" s="78">
        <v>5045.17680993897</v>
      </c>
      <c r="BF7" s="78">
        <v>5116.63679150467</v>
      </c>
      <c r="BG7" s="78">
        <v>7333.74967981397</v>
      </c>
      <c r="BH7" s="78">
        <v>7105.98846941649</v>
      </c>
      <c r="BI7" s="78">
        <v>7005.69565132796</v>
      </c>
      <c r="BJ7" s="78">
        <v>10319.7294920222</v>
      </c>
      <c r="BK7" s="78">
        <v>11313.1932274146</v>
      </c>
      <c r="BL7" s="78">
        <v>11337.0674174784</v>
      </c>
      <c r="BM7" s="78">
        <v>12696.8183238309</v>
      </c>
      <c r="BN7" s="78">
        <v>12698.9643039249</v>
      </c>
      <c r="BO7" s="78">
        <v>12092.074558815</v>
      </c>
      <c r="BP7" s="78">
        <v>12170.192362692</v>
      </c>
      <c r="BQ7" s="78">
        <v>12145.1843177229</v>
      </c>
      <c r="BR7" s="78">
        <v>12313.3006657318</v>
      </c>
      <c r="BS7" s="78">
        <v>12067.4755305913</v>
      </c>
      <c r="BT7" s="78">
        <v>11137.8899806308</v>
      </c>
      <c r="BU7" s="78">
        <v>10690.3995377038</v>
      </c>
      <c r="BV7" s="78">
        <v>10651.4719545011</v>
      </c>
      <c r="BW7" s="78">
        <v>11554.7883757119</v>
      </c>
      <c r="BX7" s="78">
        <v>11488.7836306026</v>
      </c>
      <c r="BY7" s="78">
        <v>11888.7189522916</v>
      </c>
      <c r="BZ7" s="78">
        <v>12793.6127849887</v>
      </c>
      <c r="CA7" s="78">
        <v>12417.6004208112</v>
      </c>
      <c r="CB7" s="78">
        <v>11428.3621170358</v>
      </c>
      <c r="CC7" s="78">
        <v>11834.5200314614</v>
      </c>
      <c r="CD7" s="78">
        <v>12295.0627084248</v>
      </c>
      <c r="CE7" s="78">
        <v>13885.0411239955</v>
      </c>
      <c r="CF7" s="78">
        <v>14471.5814384709</v>
      </c>
      <c r="CG7" s="78">
        <v>15682.0864717818</v>
      </c>
      <c r="CH7" s="78">
        <v>15936.661556976</v>
      </c>
      <c r="CI7" s="78">
        <v>15859.3242384243</v>
      </c>
      <c r="CJ7" s="78">
        <v>14153.2440769724</v>
      </c>
      <c r="CK7" s="78">
        <v>14283.3134880646</v>
      </c>
      <c r="CL7" s="78">
        <v>12939.0952184738</v>
      </c>
      <c r="CM7" s="78">
        <v>13389.9916694499</v>
      </c>
      <c r="CN7" s="78">
        <v>12857.1489491679</v>
      </c>
      <c r="CO7" s="78">
        <v>12686.1814895929</v>
      </c>
      <c r="CP7" s="78">
        <v>12610.2910872024</v>
      </c>
      <c r="CQ7" s="78">
        <v>11809.4132146755</v>
      </c>
      <c r="CR7" s="78">
        <v>11227.0582993311</v>
      </c>
      <c r="CS7" s="78">
        <v>10883.2709686834</v>
      </c>
      <c r="CT7" s="78">
        <v>11660.3781465017</v>
      </c>
      <c r="CU7" s="78">
        <v>12773.4974302044</v>
      </c>
      <c r="CV7" s="78">
        <v>12526.6650757526</v>
      </c>
      <c r="CW7" s="78">
        <v>12475.6358704591</v>
      </c>
      <c r="CX7" s="78">
        <v>14035.643509905</v>
      </c>
      <c r="CY7" s="78">
        <v>15999.5247587659</v>
      </c>
      <c r="CZ7" s="79">
        <v>16541.4885421242</v>
      </c>
    </row>
    <row r="8" ht="15" spans="1:104">
      <c r="A8" s="68" t="s">
        <v>164</v>
      </c>
      <c r="B8" s="290" t="s">
        <v>170</v>
      </c>
      <c r="C8" s="72">
        <v>0.4876</v>
      </c>
      <c r="D8" s="73">
        <v>0</v>
      </c>
      <c r="E8" s="73">
        <v>0</v>
      </c>
      <c r="F8" s="73">
        <v>0</v>
      </c>
      <c r="G8" s="73">
        <v>0</v>
      </c>
      <c r="H8" s="73">
        <v>0</v>
      </c>
      <c r="I8" s="73">
        <v>0</v>
      </c>
      <c r="J8" s="73">
        <v>0</v>
      </c>
      <c r="K8" s="73">
        <v>0</v>
      </c>
      <c r="L8" s="73">
        <v>0</v>
      </c>
      <c r="M8" s="73">
        <v>0</v>
      </c>
      <c r="N8" s="73">
        <v>0</v>
      </c>
      <c r="O8" s="73">
        <v>0</v>
      </c>
      <c r="P8" s="73">
        <v>0</v>
      </c>
      <c r="Q8" s="73">
        <v>0</v>
      </c>
      <c r="R8" s="73">
        <v>0</v>
      </c>
      <c r="S8" s="73">
        <v>0</v>
      </c>
      <c r="T8" s="73">
        <v>0</v>
      </c>
      <c r="U8" s="73">
        <v>0</v>
      </c>
      <c r="V8" s="73">
        <v>0</v>
      </c>
      <c r="W8" s="73">
        <v>0</v>
      </c>
      <c r="X8" s="73">
        <v>0</v>
      </c>
      <c r="Y8" s="73">
        <v>0</v>
      </c>
      <c r="Z8" s="73">
        <v>0</v>
      </c>
      <c r="AA8" s="73">
        <v>0</v>
      </c>
      <c r="AB8" s="73">
        <v>0</v>
      </c>
      <c r="AC8" s="73">
        <v>0</v>
      </c>
      <c r="AD8" s="73">
        <v>0</v>
      </c>
      <c r="AE8" s="73">
        <v>0</v>
      </c>
      <c r="AF8" s="73">
        <v>0</v>
      </c>
      <c r="AG8" s="73">
        <v>18.7781084886128</v>
      </c>
      <c r="AH8" s="73">
        <v>35.3361230281279</v>
      </c>
      <c r="AI8" s="73">
        <v>9.02542022025337e-5</v>
      </c>
      <c r="AJ8" s="73">
        <v>0</v>
      </c>
      <c r="AK8" s="73">
        <v>0</v>
      </c>
      <c r="AL8" s="73">
        <v>0</v>
      </c>
      <c r="AM8" s="73">
        <v>0</v>
      </c>
      <c r="AN8" s="73">
        <v>0</v>
      </c>
      <c r="AO8" s="73">
        <v>0</v>
      </c>
      <c r="AP8" s="73">
        <v>0</v>
      </c>
      <c r="AQ8" s="73">
        <v>0</v>
      </c>
      <c r="AR8" s="73">
        <v>8.01595948525939</v>
      </c>
      <c r="AS8" s="73">
        <v>55.5849755771276</v>
      </c>
      <c r="AT8" s="73">
        <v>99.6759348012807</v>
      </c>
      <c r="AU8" s="73">
        <v>7.87605929919137</v>
      </c>
      <c r="AV8" s="73">
        <v>0.102078026663057</v>
      </c>
      <c r="AW8" s="73">
        <v>0.101649846071476</v>
      </c>
      <c r="AX8" s="73">
        <v>0.101</v>
      </c>
      <c r="AY8" s="73">
        <v>0.101</v>
      </c>
      <c r="AZ8" s="73">
        <v>0.101</v>
      </c>
      <c r="BA8" s="73">
        <v>0</v>
      </c>
      <c r="BB8" s="73">
        <v>0</v>
      </c>
      <c r="BC8" s="73">
        <v>0</v>
      </c>
      <c r="BD8" s="73">
        <v>0</v>
      </c>
      <c r="BE8" s="73">
        <v>0</v>
      </c>
      <c r="BF8" s="73">
        <v>0.905</v>
      </c>
      <c r="BG8" s="73">
        <v>1.23</v>
      </c>
      <c r="BH8" s="73">
        <v>25.61561056</v>
      </c>
      <c r="BI8" s="73">
        <v>25.20757646</v>
      </c>
      <c r="BJ8" s="73">
        <v>16.09686849</v>
      </c>
      <c r="BK8" s="73">
        <v>21.65182354</v>
      </c>
      <c r="BL8" s="73">
        <v>21.63222747</v>
      </c>
      <c r="BM8" s="73">
        <v>15.87764519</v>
      </c>
      <c r="BN8" s="73">
        <v>15.8809727</v>
      </c>
      <c r="BO8" s="73">
        <v>13.61158955</v>
      </c>
      <c r="BP8" s="73">
        <v>11.59805665</v>
      </c>
      <c r="BQ8" s="73">
        <v>14.0301087</v>
      </c>
      <c r="BR8" s="73">
        <v>16.91580817</v>
      </c>
      <c r="BS8" s="73">
        <v>19.30957556</v>
      </c>
      <c r="BT8" s="73">
        <v>17.58746169</v>
      </c>
      <c r="BU8" s="73">
        <v>21.54847121</v>
      </c>
      <c r="BV8" s="73">
        <v>23.05844553</v>
      </c>
      <c r="BW8" s="73">
        <v>17.90861252</v>
      </c>
      <c r="BX8" s="73">
        <v>17.77379652</v>
      </c>
      <c r="BY8" s="73">
        <v>17.441581748</v>
      </c>
      <c r="BZ8" s="73">
        <v>15.606122908</v>
      </c>
      <c r="CA8" s="73">
        <v>14.9291881167827</v>
      </c>
      <c r="CB8" s="73">
        <v>16.9179687267827</v>
      </c>
      <c r="CC8" s="73">
        <v>18.888595084708</v>
      </c>
      <c r="CD8" s="73">
        <v>22.039426284708</v>
      </c>
      <c r="CE8" s="73">
        <v>24.61343745</v>
      </c>
      <c r="CF8" s="291">
        <v>29.4555812971242</v>
      </c>
      <c r="CG8" s="291">
        <v>32.2461658871242</v>
      </c>
      <c r="CH8" s="291">
        <v>28.99473358</v>
      </c>
      <c r="CI8" s="291">
        <v>24.3014089634538</v>
      </c>
      <c r="CJ8" s="291">
        <v>30.4117848334538</v>
      </c>
      <c r="CK8" s="291">
        <v>35.6591433434538</v>
      </c>
      <c r="CL8" s="291">
        <v>35.0890920346048</v>
      </c>
      <c r="CM8" s="291">
        <v>55.36529737</v>
      </c>
      <c r="CN8" s="291">
        <v>59.57999421</v>
      </c>
      <c r="CO8" s="291">
        <v>54.3645033700359</v>
      </c>
      <c r="CP8" s="291">
        <v>114.652146859984</v>
      </c>
      <c r="CQ8" s="291">
        <v>115.772715529932</v>
      </c>
      <c r="CR8" s="291">
        <v>121.679585020077</v>
      </c>
      <c r="CS8" s="291">
        <v>120.490245020109</v>
      </c>
      <c r="CT8" s="291">
        <v>245.292404021229</v>
      </c>
      <c r="CU8" s="291">
        <v>183.635581555644</v>
      </c>
      <c r="CV8" s="291">
        <v>185.626715264033</v>
      </c>
      <c r="CW8" s="291">
        <v>157.567551375591</v>
      </c>
      <c r="CX8" s="291">
        <v>145.880615835486</v>
      </c>
      <c r="CY8" s="291">
        <v>118.605835249923</v>
      </c>
      <c r="CZ8" s="292">
        <v>127.455799879988</v>
      </c>
    </row>
    <row r="9" spans="1:104">
      <c r="A9" s="80" t="s">
        <v>171</v>
      </c>
      <c r="B9" s="288">
        <v>6</v>
      </c>
      <c r="C9" s="81">
        <v>0</v>
      </c>
      <c r="D9" s="82">
        <v>0</v>
      </c>
      <c r="E9" s="82">
        <v>0</v>
      </c>
      <c r="F9" s="82">
        <v>0</v>
      </c>
      <c r="G9" s="82">
        <v>0</v>
      </c>
      <c r="H9" s="82">
        <v>0</v>
      </c>
      <c r="I9" s="82">
        <v>0</v>
      </c>
      <c r="J9" s="82">
        <v>0</v>
      </c>
      <c r="K9" s="82">
        <v>0</v>
      </c>
      <c r="L9" s="82">
        <v>0</v>
      </c>
      <c r="M9" s="82">
        <v>0</v>
      </c>
      <c r="N9" s="82">
        <v>0</v>
      </c>
      <c r="O9" s="82">
        <v>0</v>
      </c>
      <c r="P9" s="82">
        <v>0</v>
      </c>
      <c r="Q9" s="82">
        <v>0</v>
      </c>
      <c r="R9" s="82">
        <v>0</v>
      </c>
      <c r="S9" s="82">
        <v>0</v>
      </c>
      <c r="T9" s="82">
        <v>0</v>
      </c>
      <c r="U9" s="82">
        <v>0</v>
      </c>
      <c r="V9" s="82">
        <v>0</v>
      </c>
      <c r="W9" s="82">
        <v>0</v>
      </c>
      <c r="X9" s="82">
        <v>0</v>
      </c>
      <c r="Y9" s="82">
        <v>0</v>
      </c>
      <c r="Z9" s="82">
        <v>0</v>
      </c>
      <c r="AA9" s="82">
        <v>0</v>
      </c>
      <c r="AB9" s="82">
        <v>0</v>
      </c>
      <c r="AC9" s="82">
        <v>0</v>
      </c>
      <c r="AD9" s="82">
        <v>0</v>
      </c>
      <c r="AE9" s="82">
        <v>0</v>
      </c>
      <c r="AF9" s="82">
        <v>0</v>
      </c>
      <c r="AG9" s="82">
        <v>0</v>
      </c>
      <c r="AH9" s="82">
        <v>0</v>
      </c>
      <c r="AI9" s="82">
        <v>0</v>
      </c>
      <c r="AJ9" s="82">
        <v>0</v>
      </c>
      <c r="AK9" s="82">
        <v>0</v>
      </c>
      <c r="AL9" s="82">
        <v>0</v>
      </c>
      <c r="AM9" s="82">
        <v>0</v>
      </c>
      <c r="AN9" s="82">
        <v>0</v>
      </c>
      <c r="AO9" s="82">
        <v>0</v>
      </c>
      <c r="AP9" s="82">
        <v>0</v>
      </c>
      <c r="AQ9" s="82">
        <v>0</v>
      </c>
      <c r="AR9" s="82">
        <v>0</v>
      </c>
      <c r="AS9" s="82">
        <v>0</v>
      </c>
      <c r="AT9" s="82">
        <v>0</v>
      </c>
      <c r="AU9" s="82">
        <v>0</v>
      </c>
      <c r="AV9" s="82">
        <v>0</v>
      </c>
      <c r="AW9" s="82">
        <v>0</v>
      </c>
      <c r="AX9" s="82">
        <v>0</v>
      </c>
      <c r="AY9" s="82">
        <v>0</v>
      </c>
      <c r="AZ9" s="82">
        <v>0</v>
      </c>
      <c r="BA9" s="82">
        <v>0</v>
      </c>
      <c r="BB9" s="82">
        <v>0</v>
      </c>
      <c r="BC9" s="82">
        <v>0</v>
      </c>
      <c r="BD9" s="82">
        <v>0</v>
      </c>
      <c r="BE9" s="82">
        <v>0</v>
      </c>
      <c r="BF9" s="82">
        <v>0</v>
      </c>
      <c r="BG9" s="82">
        <v>0</v>
      </c>
      <c r="BH9" s="82">
        <v>0</v>
      </c>
      <c r="BI9" s="82">
        <v>0</v>
      </c>
      <c r="BJ9" s="82">
        <v>0</v>
      </c>
      <c r="BK9" s="82">
        <v>0</v>
      </c>
      <c r="BL9" s="82">
        <v>0</v>
      </c>
      <c r="BM9" s="82">
        <v>0</v>
      </c>
      <c r="BN9" s="82">
        <v>0</v>
      </c>
      <c r="BO9" s="82">
        <v>0</v>
      </c>
      <c r="BP9" s="82">
        <v>0</v>
      </c>
      <c r="BQ9" s="82">
        <v>0</v>
      </c>
      <c r="BR9" s="82">
        <v>0</v>
      </c>
      <c r="BS9" s="82">
        <v>0</v>
      </c>
      <c r="BT9" s="82">
        <v>0</v>
      </c>
      <c r="BU9" s="82">
        <v>0</v>
      </c>
      <c r="BV9" s="82">
        <v>0</v>
      </c>
      <c r="BW9" s="82">
        <v>0</v>
      </c>
      <c r="BX9" s="82">
        <v>0</v>
      </c>
      <c r="BY9" s="82">
        <v>0</v>
      </c>
      <c r="BZ9" s="82">
        <v>0</v>
      </c>
      <c r="CA9" s="82">
        <v>0</v>
      </c>
      <c r="CB9" s="82">
        <v>0</v>
      </c>
      <c r="CC9" s="82">
        <v>0</v>
      </c>
      <c r="CD9" s="82">
        <v>0</v>
      </c>
      <c r="CE9" s="82">
        <v>0</v>
      </c>
      <c r="CF9" s="82">
        <v>0</v>
      </c>
      <c r="CG9" s="82">
        <v>0</v>
      </c>
      <c r="CH9" s="82">
        <v>0</v>
      </c>
      <c r="CI9" s="82">
        <v>0</v>
      </c>
      <c r="CJ9" s="82">
        <v>0</v>
      </c>
      <c r="CK9" s="82">
        <v>0</v>
      </c>
      <c r="CL9" s="82">
        <v>0</v>
      </c>
      <c r="CM9" s="82">
        <v>0</v>
      </c>
      <c r="CN9" s="82">
        <v>0</v>
      </c>
      <c r="CO9" s="82">
        <v>0</v>
      </c>
      <c r="CP9" s="82">
        <v>0</v>
      </c>
      <c r="CQ9" s="82">
        <v>0</v>
      </c>
      <c r="CR9" s="82">
        <v>0</v>
      </c>
      <c r="CS9" s="82">
        <v>0</v>
      </c>
      <c r="CT9" s="82">
        <v>0</v>
      </c>
      <c r="CU9" s="82">
        <v>0</v>
      </c>
      <c r="CV9" s="82">
        <v>0</v>
      </c>
      <c r="CW9" s="82">
        <v>0</v>
      </c>
      <c r="CX9" s="82">
        <v>0</v>
      </c>
      <c r="CY9" s="82">
        <v>0</v>
      </c>
      <c r="CZ9" s="83">
        <v>0</v>
      </c>
    </row>
    <row r="10" ht="15" spans="1:104">
      <c r="A10" s="80" t="s">
        <v>172</v>
      </c>
      <c r="B10" s="288">
        <v>7</v>
      </c>
      <c r="C10" s="81">
        <v>0.4876</v>
      </c>
      <c r="D10" s="82">
        <v>0</v>
      </c>
      <c r="E10" s="82">
        <v>0</v>
      </c>
      <c r="F10" s="82">
        <v>0</v>
      </c>
      <c r="G10" s="82">
        <v>0</v>
      </c>
      <c r="H10" s="82">
        <v>0</v>
      </c>
      <c r="I10" s="82">
        <v>0</v>
      </c>
      <c r="J10" s="82">
        <v>0</v>
      </c>
      <c r="K10" s="82">
        <v>0</v>
      </c>
      <c r="L10" s="82">
        <v>0</v>
      </c>
      <c r="M10" s="82">
        <v>0</v>
      </c>
      <c r="N10" s="82">
        <v>0</v>
      </c>
      <c r="O10" s="82">
        <v>0</v>
      </c>
      <c r="P10" s="82">
        <v>0</v>
      </c>
      <c r="Q10" s="82">
        <v>0</v>
      </c>
      <c r="R10" s="82">
        <v>0</v>
      </c>
      <c r="S10" s="82">
        <v>0</v>
      </c>
      <c r="T10" s="82">
        <v>0</v>
      </c>
      <c r="U10" s="82">
        <v>0</v>
      </c>
      <c r="V10" s="82">
        <v>0</v>
      </c>
      <c r="W10" s="82">
        <v>0</v>
      </c>
      <c r="X10" s="82">
        <v>0</v>
      </c>
      <c r="Y10" s="82">
        <v>0</v>
      </c>
      <c r="Z10" s="82">
        <v>0</v>
      </c>
      <c r="AA10" s="82">
        <v>0</v>
      </c>
      <c r="AB10" s="82">
        <v>0</v>
      </c>
      <c r="AC10" s="82">
        <v>0</v>
      </c>
      <c r="AD10" s="82">
        <v>0</v>
      </c>
      <c r="AE10" s="82">
        <v>0</v>
      </c>
      <c r="AF10" s="82">
        <v>0</v>
      </c>
      <c r="AG10" s="82">
        <v>18.7781084886128</v>
      </c>
      <c r="AH10" s="82">
        <v>35.3361230281279</v>
      </c>
      <c r="AI10" s="82">
        <v>9.02542022025337e-5</v>
      </c>
      <c r="AJ10" s="82">
        <v>0</v>
      </c>
      <c r="AK10" s="82">
        <v>0</v>
      </c>
      <c r="AL10" s="82">
        <v>0</v>
      </c>
      <c r="AM10" s="82">
        <v>0</v>
      </c>
      <c r="AN10" s="82">
        <v>0</v>
      </c>
      <c r="AO10" s="82">
        <v>0</v>
      </c>
      <c r="AP10" s="82">
        <v>0</v>
      </c>
      <c r="AQ10" s="82">
        <v>0</v>
      </c>
      <c r="AR10" s="82">
        <v>7.91495948525939</v>
      </c>
      <c r="AS10" s="82">
        <v>55.4839755771276</v>
      </c>
      <c r="AT10" s="82">
        <v>99.5749348012807</v>
      </c>
      <c r="AU10" s="82">
        <v>7.77505929919137</v>
      </c>
      <c r="AV10" s="82">
        <v>0.00107802666305745</v>
      </c>
      <c r="AW10" s="82">
        <v>0.000649846071476375</v>
      </c>
      <c r="AX10" s="82">
        <v>0</v>
      </c>
      <c r="AY10" s="82">
        <v>0</v>
      </c>
      <c r="AZ10" s="82">
        <v>0</v>
      </c>
      <c r="BA10" s="82">
        <v>0</v>
      </c>
      <c r="BB10" s="82">
        <v>0</v>
      </c>
      <c r="BC10" s="82">
        <v>0</v>
      </c>
      <c r="BD10" s="82">
        <v>0</v>
      </c>
      <c r="BE10" s="82">
        <v>0</v>
      </c>
      <c r="BF10" s="82">
        <v>0</v>
      </c>
      <c r="BG10" s="82">
        <v>0</v>
      </c>
      <c r="BH10" s="82">
        <v>0</v>
      </c>
      <c r="BI10" s="82">
        <v>0</v>
      </c>
      <c r="BJ10" s="82">
        <v>0</v>
      </c>
      <c r="BK10" s="82">
        <v>0</v>
      </c>
      <c r="BL10" s="82">
        <v>0</v>
      </c>
      <c r="BM10" s="82">
        <v>0</v>
      </c>
      <c r="BN10" s="82">
        <v>0</v>
      </c>
      <c r="BO10" s="82">
        <v>0</v>
      </c>
      <c r="BP10" s="82">
        <v>0</v>
      </c>
      <c r="BQ10" s="82">
        <v>0</v>
      </c>
      <c r="BR10" s="82">
        <v>0</v>
      </c>
      <c r="BS10" s="82">
        <v>0</v>
      </c>
      <c r="BT10" s="82">
        <v>0</v>
      </c>
      <c r="BU10" s="82">
        <v>0</v>
      </c>
      <c r="BV10" s="82">
        <v>0</v>
      </c>
      <c r="BW10" s="82">
        <v>0</v>
      </c>
      <c r="BX10" s="82">
        <v>0</v>
      </c>
      <c r="BY10" s="82">
        <v>0</v>
      </c>
      <c r="BZ10" s="82">
        <v>0</v>
      </c>
      <c r="CA10" s="82">
        <v>0</v>
      </c>
      <c r="CB10" s="82">
        <v>0</v>
      </c>
      <c r="CC10" s="82">
        <v>0</v>
      </c>
      <c r="CD10" s="82">
        <v>0</v>
      </c>
      <c r="CE10" s="82">
        <v>0</v>
      </c>
      <c r="CF10" s="82">
        <v>0</v>
      </c>
      <c r="CG10" s="82">
        <v>0</v>
      </c>
      <c r="CH10" s="82">
        <v>0</v>
      </c>
      <c r="CI10" s="82">
        <v>0</v>
      </c>
      <c r="CJ10" s="82">
        <v>0</v>
      </c>
      <c r="CK10" s="82">
        <v>0</v>
      </c>
      <c r="CL10" s="82">
        <v>0</v>
      </c>
      <c r="CM10" s="82">
        <v>0</v>
      </c>
      <c r="CN10" s="82">
        <v>0</v>
      </c>
      <c r="CO10" s="82">
        <v>0</v>
      </c>
      <c r="CP10" s="82">
        <v>0</v>
      </c>
      <c r="CQ10" s="82">
        <v>0</v>
      </c>
      <c r="CR10" s="82">
        <v>0</v>
      </c>
      <c r="CS10" s="82">
        <v>0</v>
      </c>
      <c r="CT10" s="82">
        <v>0</v>
      </c>
      <c r="CU10" s="82">
        <v>0</v>
      </c>
      <c r="CV10" s="82">
        <v>0</v>
      </c>
      <c r="CW10" s="82">
        <v>0</v>
      </c>
      <c r="CX10" s="82">
        <v>0</v>
      </c>
      <c r="CY10" s="82">
        <v>0</v>
      </c>
      <c r="CZ10" s="83">
        <v>0</v>
      </c>
    </row>
    <row r="11" spans="1:104">
      <c r="A11" s="80" t="s">
        <v>173</v>
      </c>
      <c r="B11" s="288">
        <v>8</v>
      </c>
      <c r="C11" s="81">
        <v>0</v>
      </c>
      <c r="D11" s="82">
        <v>0</v>
      </c>
      <c r="E11" s="82">
        <v>0</v>
      </c>
      <c r="F11" s="82">
        <v>0</v>
      </c>
      <c r="G11" s="82">
        <v>0</v>
      </c>
      <c r="H11" s="82">
        <v>0</v>
      </c>
      <c r="I11" s="82">
        <v>0</v>
      </c>
      <c r="J11" s="82">
        <v>0</v>
      </c>
      <c r="K11" s="82">
        <v>0</v>
      </c>
      <c r="L11" s="82">
        <v>0</v>
      </c>
      <c r="M11" s="82">
        <v>0</v>
      </c>
      <c r="N11" s="82">
        <v>0</v>
      </c>
      <c r="O11" s="82">
        <v>0</v>
      </c>
      <c r="P11" s="82">
        <v>0</v>
      </c>
      <c r="Q11" s="82">
        <v>0</v>
      </c>
      <c r="R11" s="82">
        <v>0</v>
      </c>
      <c r="S11" s="82">
        <v>0</v>
      </c>
      <c r="T11" s="82">
        <v>0</v>
      </c>
      <c r="U11" s="82">
        <v>0</v>
      </c>
      <c r="V11" s="82">
        <v>0</v>
      </c>
      <c r="W11" s="82">
        <v>0</v>
      </c>
      <c r="X11" s="82">
        <v>0</v>
      </c>
      <c r="Y11" s="82">
        <v>0</v>
      </c>
      <c r="Z11" s="82">
        <v>0</v>
      </c>
      <c r="AA11" s="82">
        <v>0</v>
      </c>
      <c r="AB11" s="82">
        <v>0</v>
      </c>
      <c r="AC11" s="82">
        <v>0</v>
      </c>
      <c r="AD11" s="82">
        <v>0</v>
      </c>
      <c r="AE11" s="82">
        <v>0</v>
      </c>
      <c r="AF11" s="82">
        <v>0</v>
      </c>
      <c r="AG11" s="82">
        <v>0</v>
      </c>
      <c r="AH11" s="82">
        <v>0</v>
      </c>
      <c r="AI11" s="82">
        <v>0</v>
      </c>
      <c r="AJ11" s="82">
        <v>0</v>
      </c>
      <c r="AK11" s="82">
        <v>0</v>
      </c>
      <c r="AL11" s="82">
        <v>0</v>
      </c>
      <c r="AM11" s="82">
        <v>0</v>
      </c>
      <c r="AN11" s="82">
        <v>0</v>
      </c>
      <c r="AO11" s="82">
        <v>0</v>
      </c>
      <c r="AP11" s="82">
        <v>0</v>
      </c>
      <c r="AQ11" s="82">
        <v>0</v>
      </c>
      <c r="AR11" s="82">
        <v>0</v>
      </c>
      <c r="AS11" s="82">
        <v>0</v>
      </c>
      <c r="AT11" s="82">
        <v>0</v>
      </c>
      <c r="AU11" s="82">
        <v>0</v>
      </c>
      <c r="AV11" s="82">
        <v>0</v>
      </c>
      <c r="AW11" s="82">
        <v>0</v>
      </c>
      <c r="AX11" s="82">
        <v>0</v>
      </c>
      <c r="AY11" s="82">
        <v>0</v>
      </c>
      <c r="AZ11" s="82">
        <v>0</v>
      </c>
      <c r="BA11" s="82">
        <v>0</v>
      </c>
      <c r="BB11" s="82">
        <v>0</v>
      </c>
      <c r="BC11" s="82">
        <v>0</v>
      </c>
      <c r="BD11" s="82">
        <v>0</v>
      </c>
      <c r="BE11" s="82">
        <v>0</v>
      </c>
      <c r="BF11" s="82">
        <v>0</v>
      </c>
      <c r="BG11" s="82">
        <v>0</v>
      </c>
      <c r="BH11" s="82">
        <v>0</v>
      </c>
      <c r="BI11" s="82">
        <v>0</v>
      </c>
      <c r="BJ11" s="82">
        <v>0</v>
      </c>
      <c r="BK11" s="82">
        <v>0</v>
      </c>
      <c r="BL11" s="82">
        <v>0</v>
      </c>
      <c r="BM11" s="82">
        <v>0</v>
      </c>
      <c r="BN11" s="82">
        <v>0</v>
      </c>
      <c r="BO11" s="82">
        <v>0</v>
      </c>
      <c r="BP11" s="82">
        <v>0</v>
      </c>
      <c r="BQ11" s="82">
        <v>0</v>
      </c>
      <c r="BR11" s="82">
        <v>0</v>
      </c>
      <c r="BS11" s="82">
        <v>0</v>
      </c>
      <c r="BT11" s="82">
        <v>0</v>
      </c>
      <c r="BU11" s="82">
        <v>0</v>
      </c>
      <c r="BV11" s="82">
        <v>0</v>
      </c>
      <c r="BW11" s="82">
        <v>0</v>
      </c>
      <c r="BX11" s="82">
        <v>0</v>
      </c>
      <c r="BY11" s="82">
        <v>0</v>
      </c>
      <c r="BZ11" s="82">
        <v>0</v>
      </c>
      <c r="CA11" s="82">
        <v>0</v>
      </c>
      <c r="CB11" s="82">
        <v>0</v>
      </c>
      <c r="CC11" s="82">
        <v>0</v>
      </c>
      <c r="CD11" s="82">
        <v>0</v>
      </c>
      <c r="CE11" s="82">
        <v>0</v>
      </c>
      <c r="CF11" s="82">
        <v>0</v>
      </c>
      <c r="CG11" s="82">
        <v>0</v>
      </c>
      <c r="CH11" s="82">
        <v>0</v>
      </c>
      <c r="CI11" s="82">
        <v>0</v>
      </c>
      <c r="CJ11" s="82">
        <v>0</v>
      </c>
      <c r="CK11" s="82">
        <v>0</v>
      </c>
      <c r="CL11" s="82">
        <v>0</v>
      </c>
      <c r="CM11" s="82">
        <v>0</v>
      </c>
      <c r="CN11" s="82">
        <v>0</v>
      </c>
      <c r="CO11" s="82">
        <v>0</v>
      </c>
      <c r="CP11" s="82">
        <v>0</v>
      </c>
      <c r="CQ11" s="82">
        <v>0</v>
      </c>
      <c r="CR11" s="82">
        <v>0</v>
      </c>
      <c r="CS11" s="82">
        <v>0</v>
      </c>
      <c r="CT11" s="82">
        <v>0</v>
      </c>
      <c r="CU11" s="82">
        <v>0</v>
      </c>
      <c r="CV11" s="82">
        <v>0</v>
      </c>
      <c r="CW11" s="82">
        <v>0</v>
      </c>
      <c r="CX11" s="82">
        <v>0</v>
      </c>
      <c r="CY11" s="82">
        <v>0</v>
      </c>
      <c r="CZ11" s="83">
        <v>0</v>
      </c>
    </row>
    <row r="12" spans="1:104">
      <c r="A12" s="80" t="s">
        <v>174</v>
      </c>
      <c r="B12" s="288">
        <v>9</v>
      </c>
      <c r="C12" s="81">
        <v>0</v>
      </c>
      <c r="D12" s="82">
        <v>0</v>
      </c>
      <c r="E12" s="82">
        <v>0</v>
      </c>
      <c r="F12" s="82">
        <v>0</v>
      </c>
      <c r="G12" s="82">
        <v>0</v>
      </c>
      <c r="H12" s="82">
        <v>0</v>
      </c>
      <c r="I12" s="82">
        <v>0</v>
      </c>
      <c r="J12" s="82">
        <v>0</v>
      </c>
      <c r="K12" s="82">
        <v>0</v>
      </c>
      <c r="L12" s="82">
        <v>0</v>
      </c>
      <c r="M12" s="82">
        <v>0</v>
      </c>
      <c r="N12" s="82">
        <v>0</v>
      </c>
      <c r="O12" s="82">
        <v>0</v>
      </c>
      <c r="P12" s="82">
        <v>0</v>
      </c>
      <c r="Q12" s="82">
        <v>0</v>
      </c>
      <c r="R12" s="82">
        <v>0</v>
      </c>
      <c r="S12" s="82">
        <v>0</v>
      </c>
      <c r="T12" s="82">
        <v>0</v>
      </c>
      <c r="U12" s="82">
        <v>0</v>
      </c>
      <c r="V12" s="82">
        <v>0</v>
      </c>
      <c r="W12" s="82">
        <v>0</v>
      </c>
      <c r="X12" s="82">
        <v>0</v>
      </c>
      <c r="Y12" s="82">
        <v>0</v>
      </c>
      <c r="Z12" s="82">
        <v>0</v>
      </c>
      <c r="AA12" s="82">
        <v>0</v>
      </c>
      <c r="AB12" s="82">
        <v>0</v>
      </c>
      <c r="AC12" s="82">
        <v>0</v>
      </c>
      <c r="AD12" s="82">
        <v>0</v>
      </c>
      <c r="AE12" s="82">
        <v>0</v>
      </c>
      <c r="AF12" s="82">
        <v>0</v>
      </c>
      <c r="AG12" s="82">
        <v>0</v>
      </c>
      <c r="AH12" s="82">
        <v>0</v>
      </c>
      <c r="AI12" s="82">
        <v>0</v>
      </c>
      <c r="AJ12" s="82">
        <v>0</v>
      </c>
      <c r="AK12" s="82">
        <v>0</v>
      </c>
      <c r="AL12" s="82">
        <v>0</v>
      </c>
      <c r="AM12" s="82">
        <v>0</v>
      </c>
      <c r="AN12" s="82">
        <v>0</v>
      </c>
      <c r="AO12" s="82">
        <v>0</v>
      </c>
      <c r="AP12" s="82">
        <v>0</v>
      </c>
      <c r="AQ12" s="82">
        <v>0</v>
      </c>
      <c r="AR12" s="82">
        <v>0.101</v>
      </c>
      <c r="AS12" s="82">
        <v>0.101</v>
      </c>
      <c r="AT12" s="82">
        <v>0.101</v>
      </c>
      <c r="AU12" s="82">
        <v>0.101</v>
      </c>
      <c r="AV12" s="82">
        <v>0.101</v>
      </c>
      <c r="AW12" s="82">
        <v>0.101</v>
      </c>
      <c r="AX12" s="82">
        <v>0.101</v>
      </c>
      <c r="AY12" s="82">
        <v>0.101</v>
      </c>
      <c r="AZ12" s="82">
        <v>0.101</v>
      </c>
      <c r="BA12" s="82">
        <v>0</v>
      </c>
      <c r="BB12" s="82">
        <v>0</v>
      </c>
      <c r="BC12" s="82">
        <v>0</v>
      </c>
      <c r="BD12" s="82">
        <v>0</v>
      </c>
      <c r="BE12" s="82">
        <v>0</v>
      </c>
      <c r="BF12" s="82">
        <v>0.905</v>
      </c>
      <c r="BG12" s="82">
        <v>1.23</v>
      </c>
      <c r="BH12" s="82">
        <v>25.61561056</v>
      </c>
      <c r="BI12" s="82">
        <v>25.20757646</v>
      </c>
      <c r="BJ12" s="82">
        <v>16.09686849</v>
      </c>
      <c r="BK12" s="82">
        <v>21.65182354</v>
      </c>
      <c r="BL12" s="82">
        <v>21.63222747</v>
      </c>
      <c r="BM12" s="82">
        <v>15.87764519</v>
      </c>
      <c r="BN12" s="82">
        <v>15.8809727</v>
      </c>
      <c r="BO12" s="82">
        <v>13.61158955</v>
      </c>
      <c r="BP12" s="82">
        <v>11.59805665</v>
      </c>
      <c r="BQ12" s="82">
        <v>14.0301087</v>
      </c>
      <c r="BR12" s="82">
        <v>16.91580817</v>
      </c>
      <c r="BS12" s="82">
        <v>19.30957556</v>
      </c>
      <c r="BT12" s="82">
        <v>17.58746169</v>
      </c>
      <c r="BU12" s="82">
        <v>21.54847121</v>
      </c>
      <c r="BV12" s="82">
        <v>23.05844553</v>
      </c>
      <c r="BW12" s="82">
        <v>17.90861252</v>
      </c>
      <c r="BX12" s="82">
        <v>17.77379652</v>
      </c>
      <c r="BY12" s="82">
        <v>17.441581748</v>
      </c>
      <c r="BZ12" s="82">
        <v>15.606122908</v>
      </c>
      <c r="CA12" s="82">
        <v>14.9291881167827</v>
      </c>
      <c r="CB12" s="82">
        <v>16.9179687267827</v>
      </c>
      <c r="CC12" s="82">
        <v>18.888595084708</v>
      </c>
      <c r="CD12" s="82">
        <v>22.039426284708</v>
      </c>
      <c r="CE12" s="82">
        <v>24.61343745</v>
      </c>
      <c r="CF12" s="82">
        <v>29.4555812971242</v>
      </c>
      <c r="CG12" s="82">
        <v>32.2461658871242</v>
      </c>
      <c r="CH12" s="82">
        <v>28.99473358</v>
      </c>
      <c r="CI12" s="82">
        <v>24.3014089634538</v>
      </c>
      <c r="CJ12" s="82">
        <v>30.2870848334538</v>
      </c>
      <c r="CK12" s="82">
        <v>35.6069033434538</v>
      </c>
      <c r="CL12" s="82">
        <v>34.8963620346048</v>
      </c>
      <c r="CM12" s="82">
        <v>55.12605737</v>
      </c>
      <c r="CN12" s="82">
        <v>59.43440421</v>
      </c>
      <c r="CO12" s="82">
        <v>54.3638933700359</v>
      </c>
      <c r="CP12" s="82">
        <v>49.5011468599844</v>
      </c>
      <c r="CQ12" s="82">
        <v>50.6217155299324</v>
      </c>
      <c r="CR12" s="82">
        <v>56.5285850200771</v>
      </c>
      <c r="CS12" s="82">
        <v>55.3392450201094</v>
      </c>
      <c r="CT12" s="82">
        <v>131.289404021229</v>
      </c>
      <c r="CU12" s="82">
        <v>69.7725815556439</v>
      </c>
      <c r="CV12" s="82">
        <v>71.7637152640331</v>
      </c>
      <c r="CW12" s="82">
        <v>43.7045513755907</v>
      </c>
      <c r="CX12" s="82">
        <v>63.6486158354858</v>
      </c>
      <c r="CY12" s="82">
        <v>39.0308352499232</v>
      </c>
      <c r="CZ12" s="83">
        <v>47.880799879988</v>
      </c>
    </row>
    <row r="13" spans="1:104">
      <c r="A13" s="80" t="s">
        <v>175</v>
      </c>
      <c r="B13" s="288">
        <v>10</v>
      </c>
      <c r="C13" s="81">
        <v>0</v>
      </c>
      <c r="D13" s="82">
        <v>0</v>
      </c>
      <c r="E13" s="82">
        <v>0</v>
      </c>
      <c r="F13" s="82">
        <v>0</v>
      </c>
      <c r="G13" s="82">
        <v>0</v>
      </c>
      <c r="H13" s="82">
        <v>0</v>
      </c>
      <c r="I13" s="82">
        <v>0</v>
      </c>
      <c r="J13" s="82">
        <v>0</v>
      </c>
      <c r="K13" s="82">
        <v>0</v>
      </c>
      <c r="L13" s="82">
        <v>0</v>
      </c>
      <c r="M13" s="82">
        <v>0</v>
      </c>
      <c r="N13" s="82">
        <v>0</v>
      </c>
      <c r="O13" s="82">
        <v>0</v>
      </c>
      <c r="P13" s="82">
        <v>0</v>
      </c>
      <c r="Q13" s="82">
        <v>0</v>
      </c>
      <c r="R13" s="82">
        <v>0</v>
      </c>
      <c r="S13" s="82">
        <v>0</v>
      </c>
      <c r="T13" s="82">
        <v>0</v>
      </c>
      <c r="U13" s="82">
        <v>0</v>
      </c>
      <c r="V13" s="82">
        <v>0</v>
      </c>
      <c r="W13" s="82">
        <v>0</v>
      </c>
      <c r="X13" s="82">
        <v>0</v>
      </c>
      <c r="Y13" s="82">
        <v>0</v>
      </c>
      <c r="Z13" s="82">
        <v>0</v>
      </c>
      <c r="AA13" s="82">
        <v>0</v>
      </c>
      <c r="AB13" s="82">
        <v>0</v>
      </c>
      <c r="AC13" s="82">
        <v>0</v>
      </c>
      <c r="AD13" s="82">
        <v>0</v>
      </c>
      <c r="AE13" s="82">
        <v>0</v>
      </c>
      <c r="AF13" s="82">
        <v>0</v>
      </c>
      <c r="AG13" s="82">
        <v>0</v>
      </c>
      <c r="AH13" s="82">
        <v>0</v>
      </c>
      <c r="AI13" s="82">
        <v>0</v>
      </c>
      <c r="AJ13" s="82">
        <v>0</v>
      </c>
      <c r="AK13" s="82">
        <v>0</v>
      </c>
      <c r="AL13" s="82">
        <v>0</v>
      </c>
      <c r="AM13" s="82">
        <v>0</v>
      </c>
      <c r="AN13" s="82">
        <v>0</v>
      </c>
      <c r="AO13" s="82">
        <v>0</v>
      </c>
      <c r="AP13" s="82">
        <v>0</v>
      </c>
      <c r="AQ13" s="82">
        <v>0</v>
      </c>
      <c r="AR13" s="82">
        <v>0</v>
      </c>
      <c r="AS13" s="82">
        <v>0</v>
      </c>
      <c r="AT13" s="82">
        <v>0</v>
      </c>
      <c r="AU13" s="82">
        <v>0</v>
      </c>
      <c r="AV13" s="82">
        <v>0</v>
      </c>
      <c r="AW13" s="82">
        <v>0</v>
      </c>
      <c r="AX13" s="82">
        <v>0</v>
      </c>
      <c r="AY13" s="82">
        <v>0</v>
      </c>
      <c r="AZ13" s="82">
        <v>0</v>
      </c>
      <c r="BA13" s="82">
        <v>0</v>
      </c>
      <c r="BB13" s="82">
        <v>0</v>
      </c>
      <c r="BC13" s="82">
        <v>0</v>
      </c>
      <c r="BD13" s="82">
        <v>0</v>
      </c>
      <c r="BE13" s="82">
        <v>0</v>
      </c>
      <c r="BF13" s="82">
        <v>0</v>
      </c>
      <c r="BG13" s="82">
        <v>0</v>
      </c>
      <c r="BH13" s="82">
        <v>0</v>
      </c>
      <c r="BI13" s="82">
        <v>0</v>
      </c>
      <c r="BJ13" s="82">
        <v>0</v>
      </c>
      <c r="BK13" s="82">
        <v>0</v>
      </c>
      <c r="BL13" s="82">
        <v>0</v>
      </c>
      <c r="BM13" s="82">
        <v>0</v>
      </c>
      <c r="BN13" s="82">
        <v>0</v>
      </c>
      <c r="BO13" s="82">
        <v>0</v>
      </c>
      <c r="BP13" s="82">
        <v>0</v>
      </c>
      <c r="BQ13" s="82">
        <v>0</v>
      </c>
      <c r="BR13" s="82">
        <v>0</v>
      </c>
      <c r="BS13" s="82">
        <v>0</v>
      </c>
      <c r="BT13" s="82">
        <v>0</v>
      </c>
      <c r="BU13" s="82">
        <v>0</v>
      </c>
      <c r="BV13" s="82">
        <v>0</v>
      </c>
      <c r="BW13" s="82">
        <v>0</v>
      </c>
      <c r="BX13" s="82">
        <v>0</v>
      </c>
      <c r="BY13" s="82">
        <v>0</v>
      </c>
      <c r="BZ13" s="82">
        <v>0</v>
      </c>
      <c r="CA13" s="82">
        <v>0</v>
      </c>
      <c r="CB13" s="82">
        <v>0</v>
      </c>
      <c r="CC13" s="82">
        <v>0</v>
      </c>
      <c r="CD13" s="82">
        <v>0</v>
      </c>
      <c r="CE13" s="82">
        <v>0</v>
      </c>
      <c r="CF13" s="82">
        <v>0</v>
      </c>
      <c r="CG13" s="82">
        <v>0</v>
      </c>
      <c r="CH13" s="82">
        <v>0</v>
      </c>
      <c r="CI13" s="82">
        <v>0</v>
      </c>
      <c r="CJ13" s="82">
        <v>0.1247</v>
      </c>
      <c r="CK13" s="82">
        <v>0.05224</v>
      </c>
      <c r="CL13" s="82">
        <v>0.19273</v>
      </c>
      <c r="CM13" s="82">
        <v>0.23924</v>
      </c>
      <c r="CN13" s="82">
        <v>0.14559</v>
      </c>
      <c r="CO13" s="82">
        <v>0.00061</v>
      </c>
      <c r="CP13" s="82">
        <v>65.151</v>
      </c>
      <c r="CQ13" s="82">
        <v>65.151</v>
      </c>
      <c r="CR13" s="82">
        <v>65.151</v>
      </c>
      <c r="CS13" s="82">
        <v>65.151</v>
      </c>
      <c r="CT13" s="82">
        <v>114.003</v>
      </c>
      <c r="CU13" s="82">
        <v>113.863</v>
      </c>
      <c r="CV13" s="82">
        <v>113.863</v>
      </c>
      <c r="CW13" s="82">
        <v>113.863</v>
      </c>
      <c r="CX13" s="82">
        <v>82.232</v>
      </c>
      <c r="CY13" s="82">
        <v>79.575</v>
      </c>
      <c r="CZ13" s="83">
        <v>79.575</v>
      </c>
    </row>
    <row r="14" ht="14.25" customHeight="1" spans="1:104">
      <c r="A14" s="75" t="s">
        <v>166</v>
      </c>
      <c r="B14" s="290" t="s">
        <v>176</v>
      </c>
      <c r="C14" s="72">
        <v>2824.70995313451</v>
      </c>
      <c r="D14" s="73">
        <v>2744.97395313451</v>
      </c>
      <c r="E14" s="73">
        <v>2712.00195313451</v>
      </c>
      <c r="F14" s="73">
        <v>2727.46995313451</v>
      </c>
      <c r="G14" s="73">
        <v>2694.02495313451</v>
      </c>
      <c r="H14" s="73">
        <v>2490.533602554</v>
      </c>
      <c r="I14" s="73">
        <v>2472.81432231432</v>
      </c>
      <c r="J14" s="73">
        <v>2439.47974912007</v>
      </c>
      <c r="K14" s="73">
        <v>2334.00946439158</v>
      </c>
      <c r="L14" s="73">
        <v>2400.782207</v>
      </c>
      <c r="M14" s="73">
        <v>2404.654162</v>
      </c>
      <c r="N14" s="73">
        <v>2459.098765</v>
      </c>
      <c r="O14" s="73">
        <v>2552.344113</v>
      </c>
      <c r="P14" s="73">
        <v>2704.82740609363</v>
      </c>
      <c r="Q14" s="73">
        <v>2702.02442908936</v>
      </c>
      <c r="R14" s="73">
        <v>2716.79935862445</v>
      </c>
      <c r="S14" s="73">
        <v>2496.11741157543</v>
      </c>
      <c r="T14" s="73">
        <v>2348.1018710451</v>
      </c>
      <c r="U14" s="73">
        <v>2062.45645763975</v>
      </c>
      <c r="V14" s="73">
        <v>2058.58734485294</v>
      </c>
      <c r="W14" s="73">
        <v>1478.92131029782</v>
      </c>
      <c r="X14" s="73">
        <v>1495.28861054403</v>
      </c>
      <c r="Y14" s="73">
        <v>1507.0700551954</v>
      </c>
      <c r="Z14" s="73">
        <v>1450.30876228822</v>
      </c>
      <c r="AA14" s="73">
        <v>1495.18131445138</v>
      </c>
      <c r="AB14" s="73">
        <v>1468.03154852724</v>
      </c>
      <c r="AC14" s="73">
        <v>1422.5410613196</v>
      </c>
      <c r="AD14" s="73">
        <v>1483.6590082672</v>
      </c>
      <c r="AE14" s="73">
        <v>1491.50123690773</v>
      </c>
      <c r="AF14" s="73">
        <v>1559.59943350733</v>
      </c>
      <c r="AG14" s="73">
        <v>1523.13896687371</v>
      </c>
      <c r="AH14" s="73">
        <v>1568.3033371171</v>
      </c>
      <c r="AI14" s="73">
        <v>1641.90238287654</v>
      </c>
      <c r="AJ14" s="73">
        <v>1572.43002642008</v>
      </c>
      <c r="AK14" s="73">
        <v>1584.50427657735</v>
      </c>
      <c r="AL14" s="73">
        <v>1639.39438191454</v>
      </c>
      <c r="AM14" s="73">
        <v>2218.09827500674</v>
      </c>
      <c r="AN14" s="73">
        <v>2264.23144728434</v>
      </c>
      <c r="AO14" s="73">
        <v>2352.01239888783</v>
      </c>
      <c r="AP14" s="73">
        <v>3492.25071160236</v>
      </c>
      <c r="AQ14" s="73">
        <v>3800.29192808684</v>
      </c>
      <c r="AR14" s="73">
        <v>3789.39077231565</v>
      </c>
      <c r="AS14" s="73">
        <v>3920.3647849621</v>
      </c>
      <c r="AT14" s="73">
        <v>4123.41842022873</v>
      </c>
      <c r="AU14" s="73">
        <v>4479.53930997305</v>
      </c>
      <c r="AV14" s="73">
        <v>4418.5370553563</v>
      </c>
      <c r="AW14" s="73">
        <v>4450.00878972025</v>
      </c>
      <c r="AX14" s="73">
        <v>4553.92236572828</v>
      </c>
      <c r="AY14" s="73">
        <v>4855.02137636528</v>
      </c>
      <c r="AZ14" s="73">
        <v>4756.35005754442</v>
      </c>
      <c r="BA14" s="73">
        <v>4827.62862611276</v>
      </c>
      <c r="BB14" s="73">
        <v>4978.80352564028</v>
      </c>
      <c r="BC14" s="73">
        <v>5217.57556181238</v>
      </c>
      <c r="BD14" s="73">
        <v>5066.24624741815</v>
      </c>
      <c r="BE14" s="73">
        <v>5045.17680993897</v>
      </c>
      <c r="BF14" s="73">
        <v>5115.73179150467</v>
      </c>
      <c r="BG14" s="73">
        <v>7332.51967981397</v>
      </c>
      <c r="BH14" s="73">
        <v>7080.37285885649</v>
      </c>
      <c r="BI14" s="73">
        <v>6980.48807486796</v>
      </c>
      <c r="BJ14" s="73">
        <v>10303.6326235322</v>
      </c>
      <c r="BK14" s="73">
        <v>11291.5414038746</v>
      </c>
      <c r="BL14" s="73">
        <v>11315.4351900084</v>
      </c>
      <c r="BM14" s="73">
        <v>12680.9406786409</v>
      </c>
      <c r="BN14" s="73">
        <v>12683.0833312249</v>
      </c>
      <c r="BO14" s="73">
        <v>12078.462969265</v>
      </c>
      <c r="BP14" s="73">
        <v>12158.594306042</v>
      </c>
      <c r="BQ14" s="73">
        <v>12131.1542090229</v>
      </c>
      <c r="BR14" s="73">
        <v>12296.3848575618</v>
      </c>
      <c r="BS14" s="73">
        <v>12048.1659550313</v>
      </c>
      <c r="BT14" s="73">
        <v>11120.3025189408</v>
      </c>
      <c r="BU14" s="73">
        <v>10668.8510664938</v>
      </c>
      <c r="BV14" s="73">
        <v>10628.4135089711</v>
      </c>
      <c r="BW14" s="73">
        <v>11536.8797631919</v>
      </c>
      <c r="BX14" s="73">
        <v>11471.0098340826</v>
      </c>
      <c r="BY14" s="73">
        <v>11871.2773705436</v>
      </c>
      <c r="BZ14" s="73">
        <v>12778.0066620807</v>
      </c>
      <c r="CA14" s="73">
        <v>12402.6712326945</v>
      </c>
      <c r="CB14" s="73">
        <v>11411.444148309</v>
      </c>
      <c r="CC14" s="73">
        <v>11815.6314363766</v>
      </c>
      <c r="CD14" s="73">
        <v>12273.0232821401</v>
      </c>
      <c r="CE14" s="73">
        <v>13860.4276865455</v>
      </c>
      <c r="CF14" s="291">
        <v>14442.1258571738</v>
      </c>
      <c r="CG14" s="291">
        <v>15649.8403058947</v>
      </c>
      <c r="CH14" s="291">
        <v>15907.666823396</v>
      </c>
      <c r="CI14" s="291">
        <v>15835.0228294608</v>
      </c>
      <c r="CJ14" s="291">
        <v>14122.8322921389</v>
      </c>
      <c r="CK14" s="291">
        <v>14247.6543447211</v>
      </c>
      <c r="CL14" s="291">
        <v>12904.0061264392</v>
      </c>
      <c r="CM14" s="291">
        <v>13334.6263720799</v>
      </c>
      <c r="CN14" s="291">
        <v>12797.5689549579</v>
      </c>
      <c r="CO14" s="291">
        <v>12631.8169862228</v>
      </c>
      <c r="CP14" s="291">
        <v>12495.6389403424</v>
      </c>
      <c r="CQ14" s="291">
        <v>11693.6404991456</v>
      </c>
      <c r="CR14" s="291">
        <v>11105.378714311</v>
      </c>
      <c r="CS14" s="291">
        <v>10762.7807236633</v>
      </c>
      <c r="CT14" s="291">
        <v>11415.0857424804</v>
      </c>
      <c r="CU14" s="291">
        <v>12589.8618486488</v>
      </c>
      <c r="CV14" s="291">
        <v>12341.0383604886</v>
      </c>
      <c r="CW14" s="291">
        <v>12318.0683190835</v>
      </c>
      <c r="CX14" s="291">
        <v>13889.7628940695</v>
      </c>
      <c r="CY14" s="291">
        <v>15880.918923516</v>
      </c>
      <c r="CZ14" s="292">
        <v>16414.0327422442</v>
      </c>
    </row>
    <row r="15" spans="1:104">
      <c r="A15" s="84" t="s">
        <v>177</v>
      </c>
      <c r="B15" s="293">
        <v>12</v>
      </c>
      <c r="C15" s="81">
        <v>0</v>
      </c>
      <c r="D15" s="82">
        <v>0</v>
      </c>
      <c r="E15" s="82">
        <v>0</v>
      </c>
      <c r="F15" s="82">
        <v>0</v>
      </c>
      <c r="G15" s="82">
        <v>0</v>
      </c>
      <c r="H15" s="82">
        <v>0</v>
      </c>
      <c r="I15" s="82">
        <v>0</v>
      </c>
      <c r="J15" s="82">
        <v>0</v>
      </c>
      <c r="K15" s="82">
        <v>0</v>
      </c>
      <c r="L15" s="82">
        <v>0</v>
      </c>
      <c r="M15" s="82">
        <v>0</v>
      </c>
      <c r="N15" s="82">
        <v>0</v>
      </c>
      <c r="O15" s="82">
        <v>0</v>
      </c>
      <c r="P15" s="82">
        <v>0</v>
      </c>
      <c r="Q15" s="82">
        <v>0</v>
      </c>
      <c r="R15" s="82">
        <v>0</v>
      </c>
      <c r="S15" s="82">
        <v>0</v>
      </c>
      <c r="T15" s="82">
        <v>0</v>
      </c>
      <c r="U15" s="82">
        <v>0</v>
      </c>
      <c r="V15" s="82">
        <v>0</v>
      </c>
      <c r="W15" s="82">
        <v>0</v>
      </c>
      <c r="X15" s="82">
        <v>0</v>
      </c>
      <c r="Y15" s="82">
        <v>0</v>
      </c>
      <c r="Z15" s="82">
        <v>0</v>
      </c>
      <c r="AA15" s="82">
        <v>0</v>
      </c>
      <c r="AB15" s="82">
        <v>0</v>
      </c>
      <c r="AC15" s="82">
        <v>0</v>
      </c>
      <c r="AD15" s="82">
        <v>0</v>
      </c>
      <c r="AE15" s="82">
        <v>0</v>
      </c>
      <c r="AF15" s="82">
        <v>0</v>
      </c>
      <c r="AG15" s="82">
        <v>0</v>
      </c>
      <c r="AH15" s="82">
        <v>0</v>
      </c>
      <c r="AI15" s="82">
        <v>0</v>
      </c>
      <c r="AJ15" s="82">
        <v>0</v>
      </c>
      <c r="AK15" s="82">
        <v>0</v>
      </c>
      <c r="AL15" s="82">
        <v>0</v>
      </c>
      <c r="AM15" s="82">
        <v>0</v>
      </c>
      <c r="AN15" s="82">
        <v>0</v>
      </c>
      <c r="AO15" s="82">
        <v>0</v>
      </c>
      <c r="AP15" s="82">
        <v>0</v>
      </c>
      <c r="AQ15" s="82">
        <v>0</v>
      </c>
      <c r="AR15" s="82">
        <v>0</v>
      </c>
      <c r="AS15" s="82">
        <v>0</v>
      </c>
      <c r="AT15" s="82">
        <v>0</v>
      </c>
      <c r="AU15" s="82">
        <v>0</v>
      </c>
      <c r="AV15" s="82">
        <v>0</v>
      </c>
      <c r="AW15" s="82">
        <v>0</v>
      </c>
      <c r="AX15" s="82">
        <v>0</v>
      </c>
      <c r="AY15" s="82">
        <v>0</v>
      </c>
      <c r="AZ15" s="82">
        <v>0</v>
      </c>
      <c r="BA15" s="82">
        <v>0</v>
      </c>
      <c r="BB15" s="82">
        <v>0</v>
      </c>
      <c r="BC15" s="82">
        <v>0</v>
      </c>
      <c r="BD15" s="82">
        <v>0</v>
      </c>
      <c r="BE15" s="82">
        <v>0</v>
      </c>
      <c r="BF15" s="82">
        <v>0</v>
      </c>
      <c r="BG15" s="82">
        <v>0</v>
      </c>
      <c r="BH15" s="82">
        <v>0</v>
      </c>
      <c r="BI15" s="82">
        <v>0</v>
      </c>
      <c r="BJ15" s="82">
        <v>0</v>
      </c>
      <c r="BK15" s="82">
        <v>0</v>
      </c>
      <c r="BL15" s="82">
        <v>0</v>
      </c>
      <c r="BM15" s="82">
        <v>0</v>
      </c>
      <c r="BN15" s="82">
        <v>0</v>
      </c>
      <c r="BO15" s="82">
        <v>0</v>
      </c>
      <c r="BP15" s="82">
        <v>0</v>
      </c>
      <c r="BQ15" s="82">
        <v>0</v>
      </c>
      <c r="BR15" s="82">
        <v>0</v>
      </c>
      <c r="BS15" s="82">
        <v>0</v>
      </c>
      <c r="BT15" s="82">
        <v>0</v>
      </c>
      <c r="BU15" s="82">
        <v>0</v>
      </c>
      <c r="BV15" s="82">
        <v>0</v>
      </c>
      <c r="BW15" s="82">
        <v>0</v>
      </c>
      <c r="BX15" s="82">
        <v>0</v>
      </c>
      <c r="BY15" s="82">
        <v>0</v>
      </c>
      <c r="BZ15" s="82">
        <v>0</v>
      </c>
      <c r="CA15" s="82">
        <v>0</v>
      </c>
      <c r="CB15" s="82">
        <v>0</v>
      </c>
      <c r="CC15" s="82">
        <v>0</v>
      </c>
      <c r="CD15" s="82">
        <v>0</v>
      </c>
      <c r="CE15" s="82">
        <v>0</v>
      </c>
      <c r="CF15" s="82">
        <v>0</v>
      </c>
      <c r="CG15" s="82">
        <v>0</v>
      </c>
      <c r="CH15" s="82">
        <v>0</v>
      </c>
      <c r="CI15" s="82">
        <v>0</v>
      </c>
      <c r="CJ15" s="82">
        <v>0</v>
      </c>
      <c r="CK15" s="82">
        <v>0</v>
      </c>
      <c r="CL15" s="82">
        <v>0</v>
      </c>
      <c r="CM15" s="82">
        <v>0</v>
      </c>
      <c r="CN15" s="82">
        <v>0</v>
      </c>
      <c r="CO15" s="82">
        <v>0</v>
      </c>
      <c r="CP15" s="82">
        <v>0</v>
      </c>
      <c r="CQ15" s="82">
        <v>0</v>
      </c>
      <c r="CR15" s="82">
        <v>0</v>
      </c>
      <c r="CS15" s="82">
        <v>0</v>
      </c>
      <c r="CT15" s="82">
        <v>0</v>
      </c>
      <c r="CU15" s="82">
        <v>0</v>
      </c>
      <c r="CV15" s="82">
        <v>0</v>
      </c>
      <c r="CW15" s="82">
        <v>0</v>
      </c>
      <c r="CX15" s="82">
        <v>0</v>
      </c>
      <c r="CY15" s="82">
        <v>0</v>
      </c>
      <c r="CZ15" s="83">
        <v>0</v>
      </c>
    </row>
    <row r="16" spans="1:104">
      <c r="A16" s="84" t="s">
        <v>171</v>
      </c>
      <c r="B16" s="293">
        <v>13</v>
      </c>
      <c r="C16" s="81">
        <v>0</v>
      </c>
      <c r="D16" s="82">
        <v>0</v>
      </c>
      <c r="E16" s="82">
        <v>0</v>
      </c>
      <c r="F16" s="82">
        <v>0</v>
      </c>
      <c r="G16" s="82">
        <v>0</v>
      </c>
      <c r="H16" s="82">
        <v>0</v>
      </c>
      <c r="I16" s="82">
        <v>0</v>
      </c>
      <c r="J16" s="82">
        <v>0</v>
      </c>
      <c r="K16" s="82">
        <v>0</v>
      </c>
      <c r="L16" s="82">
        <v>0</v>
      </c>
      <c r="M16" s="82">
        <v>0</v>
      </c>
      <c r="N16" s="82">
        <v>0</v>
      </c>
      <c r="O16" s="82">
        <v>0</v>
      </c>
      <c r="P16" s="82">
        <v>0</v>
      </c>
      <c r="Q16" s="82">
        <v>0</v>
      </c>
      <c r="R16" s="82">
        <v>0</v>
      </c>
      <c r="S16" s="82">
        <v>0</v>
      </c>
      <c r="T16" s="82">
        <v>0</v>
      </c>
      <c r="U16" s="82">
        <v>0</v>
      </c>
      <c r="V16" s="82">
        <v>0</v>
      </c>
      <c r="W16" s="82">
        <v>0</v>
      </c>
      <c r="X16" s="82">
        <v>0</v>
      </c>
      <c r="Y16" s="82">
        <v>0</v>
      </c>
      <c r="Z16" s="82">
        <v>0</v>
      </c>
      <c r="AA16" s="82">
        <v>0</v>
      </c>
      <c r="AB16" s="82">
        <v>0</v>
      </c>
      <c r="AC16" s="82">
        <v>0</v>
      </c>
      <c r="AD16" s="82">
        <v>0</v>
      </c>
      <c r="AE16" s="82">
        <v>0</v>
      </c>
      <c r="AF16" s="82">
        <v>0</v>
      </c>
      <c r="AG16" s="82">
        <v>0</v>
      </c>
      <c r="AH16" s="82">
        <v>0</v>
      </c>
      <c r="AI16" s="82">
        <v>0</v>
      </c>
      <c r="AJ16" s="82">
        <v>0</v>
      </c>
      <c r="AK16" s="82">
        <v>0</v>
      </c>
      <c r="AL16" s="82">
        <v>0</v>
      </c>
      <c r="AM16" s="82">
        <v>0</v>
      </c>
      <c r="AN16" s="82">
        <v>0</v>
      </c>
      <c r="AO16" s="82">
        <v>0</v>
      </c>
      <c r="AP16" s="82">
        <v>0</v>
      </c>
      <c r="AQ16" s="82">
        <v>0</v>
      </c>
      <c r="AR16" s="82">
        <v>0</v>
      </c>
      <c r="AS16" s="82">
        <v>0</v>
      </c>
      <c r="AT16" s="82">
        <v>0</v>
      </c>
      <c r="AU16" s="82">
        <v>0</v>
      </c>
      <c r="AV16" s="82">
        <v>0</v>
      </c>
      <c r="AW16" s="82">
        <v>0</v>
      </c>
      <c r="AX16" s="82">
        <v>0</v>
      </c>
      <c r="AY16" s="82">
        <v>0</v>
      </c>
      <c r="AZ16" s="82">
        <v>0</v>
      </c>
      <c r="BA16" s="82">
        <v>0</v>
      </c>
      <c r="BB16" s="82">
        <v>0</v>
      </c>
      <c r="BC16" s="82">
        <v>0</v>
      </c>
      <c r="BD16" s="82">
        <v>0</v>
      </c>
      <c r="BE16" s="82">
        <v>0</v>
      </c>
      <c r="BF16" s="82">
        <v>0</v>
      </c>
      <c r="BG16" s="82">
        <v>0</v>
      </c>
      <c r="BH16" s="82">
        <v>0</v>
      </c>
      <c r="BI16" s="82">
        <v>0</v>
      </c>
      <c r="BJ16" s="82">
        <v>0</v>
      </c>
      <c r="BK16" s="82">
        <v>0</v>
      </c>
      <c r="BL16" s="82">
        <v>0</v>
      </c>
      <c r="BM16" s="82">
        <v>0</v>
      </c>
      <c r="BN16" s="82">
        <v>0</v>
      </c>
      <c r="BO16" s="82">
        <v>0</v>
      </c>
      <c r="BP16" s="82">
        <v>0</v>
      </c>
      <c r="BQ16" s="82">
        <v>0</v>
      </c>
      <c r="BR16" s="82">
        <v>0</v>
      </c>
      <c r="BS16" s="82">
        <v>0</v>
      </c>
      <c r="BT16" s="82">
        <v>0</v>
      </c>
      <c r="BU16" s="82">
        <v>0</v>
      </c>
      <c r="BV16" s="82">
        <v>0</v>
      </c>
      <c r="BW16" s="82">
        <v>0</v>
      </c>
      <c r="BX16" s="82">
        <v>0</v>
      </c>
      <c r="BY16" s="82">
        <v>0</v>
      </c>
      <c r="BZ16" s="82">
        <v>0</v>
      </c>
      <c r="CA16" s="82">
        <v>0</v>
      </c>
      <c r="CB16" s="82">
        <v>0</v>
      </c>
      <c r="CC16" s="82">
        <v>0</v>
      </c>
      <c r="CD16" s="82">
        <v>0</v>
      </c>
      <c r="CE16" s="82">
        <v>0</v>
      </c>
      <c r="CF16" s="82">
        <v>0</v>
      </c>
      <c r="CG16" s="82">
        <v>0</v>
      </c>
      <c r="CH16" s="82">
        <v>0</v>
      </c>
      <c r="CI16" s="82">
        <v>0</v>
      </c>
      <c r="CJ16" s="82">
        <v>0</v>
      </c>
      <c r="CK16" s="82">
        <v>0</v>
      </c>
      <c r="CL16" s="82">
        <v>0</v>
      </c>
      <c r="CM16" s="82">
        <v>0</v>
      </c>
      <c r="CN16" s="82">
        <v>0</v>
      </c>
      <c r="CO16" s="82">
        <v>0</v>
      </c>
      <c r="CP16" s="82">
        <v>0</v>
      </c>
      <c r="CQ16" s="82">
        <v>0</v>
      </c>
      <c r="CR16" s="82">
        <v>0</v>
      </c>
      <c r="CS16" s="82">
        <v>0</v>
      </c>
      <c r="CT16" s="82">
        <v>0</v>
      </c>
      <c r="CU16" s="82">
        <v>0</v>
      </c>
      <c r="CV16" s="82">
        <v>0</v>
      </c>
      <c r="CW16" s="82">
        <v>0</v>
      </c>
      <c r="CX16" s="82">
        <v>0</v>
      </c>
      <c r="CY16" s="82">
        <v>0</v>
      </c>
      <c r="CZ16" s="83">
        <v>0</v>
      </c>
    </row>
    <row r="17" ht="15" spans="1:104">
      <c r="A17" s="84" t="s">
        <v>172</v>
      </c>
      <c r="B17" s="293">
        <v>14</v>
      </c>
      <c r="C17" s="81">
        <v>547.74695313451</v>
      </c>
      <c r="D17" s="82">
        <v>512.43295313451</v>
      </c>
      <c r="E17" s="82">
        <v>483.29695313451</v>
      </c>
      <c r="F17" s="82">
        <v>459.16395313451</v>
      </c>
      <c r="G17" s="82">
        <v>445.01995313451</v>
      </c>
      <c r="H17" s="82">
        <v>254.795602554003</v>
      </c>
      <c r="I17" s="82">
        <v>217.523672314321</v>
      </c>
      <c r="J17" s="82">
        <v>180.257879120072</v>
      </c>
      <c r="K17" s="82">
        <v>39.9593643915799</v>
      </c>
      <c r="L17" s="82">
        <v>79.4141070000001</v>
      </c>
      <c r="M17" s="82">
        <v>82.6324620000001</v>
      </c>
      <c r="N17" s="82">
        <v>70.697765</v>
      </c>
      <c r="O17" s="82">
        <v>129.099013</v>
      </c>
      <c r="P17" s="82">
        <v>298.181906093628</v>
      </c>
      <c r="Q17" s="82">
        <v>326.563729089362</v>
      </c>
      <c r="R17" s="82">
        <v>334.596858624454</v>
      </c>
      <c r="S17" s="82">
        <v>113.417411575431</v>
      </c>
      <c r="T17" s="82">
        <v>114.1518710451</v>
      </c>
      <c r="U17" s="82">
        <v>78.62529066975</v>
      </c>
      <c r="V17" s="82">
        <v>67.923999982942</v>
      </c>
      <c r="W17" s="82">
        <v>52.296113167816</v>
      </c>
      <c r="X17" s="82">
        <v>49.4586105440251</v>
      </c>
      <c r="Y17" s="82">
        <v>32.0340551953972</v>
      </c>
      <c r="Z17" s="82">
        <v>36.643762288218</v>
      </c>
      <c r="AA17" s="82">
        <v>53.0993144513773</v>
      </c>
      <c r="AB17" s="82">
        <v>116.838548527239</v>
      </c>
      <c r="AC17" s="82">
        <v>68.7500613195977</v>
      </c>
      <c r="AD17" s="82">
        <v>93.5750082671958</v>
      </c>
      <c r="AE17" s="82">
        <v>60.3052369077307</v>
      </c>
      <c r="AF17" s="82">
        <v>54.2724335073328</v>
      </c>
      <c r="AG17" s="82">
        <v>53.579966873706</v>
      </c>
      <c r="AH17" s="82">
        <v>65.6813371171021</v>
      </c>
      <c r="AI17" s="82">
        <v>23.7583828765422</v>
      </c>
      <c r="AJ17" s="82">
        <v>0.0400264200792602</v>
      </c>
      <c r="AK17" s="82">
        <v>0.040276577355229</v>
      </c>
      <c r="AL17" s="82">
        <v>0.0533819145412388</v>
      </c>
      <c r="AM17" s="82">
        <v>0.0202750067403613</v>
      </c>
      <c r="AN17" s="82">
        <v>0.0204472843450479</v>
      </c>
      <c r="AO17" s="82">
        <v>13.583398887834</v>
      </c>
      <c r="AP17" s="82">
        <v>41.1987116023598</v>
      </c>
      <c r="AQ17" s="82">
        <v>49.1289280868385</v>
      </c>
      <c r="AR17" s="82">
        <v>49.682772315655</v>
      </c>
      <c r="AS17" s="82">
        <v>120.972784962097</v>
      </c>
      <c r="AT17" s="82">
        <v>94.6334157787307</v>
      </c>
      <c r="AU17" s="82">
        <v>23.8453099730458</v>
      </c>
      <c r="AV17" s="82">
        <v>38.9660553562969</v>
      </c>
      <c r="AW17" s="82">
        <v>21.2007897202516</v>
      </c>
      <c r="AX17" s="82">
        <v>21.1268517282797</v>
      </c>
      <c r="AY17" s="82">
        <v>14.0823935252753</v>
      </c>
      <c r="AZ17" s="82">
        <v>14.0730575444179</v>
      </c>
      <c r="BA17" s="82">
        <v>13.9976261127596</v>
      </c>
      <c r="BB17" s="82">
        <v>13.8181226402812</v>
      </c>
      <c r="BC17" s="82">
        <v>14.670561812382</v>
      </c>
      <c r="BD17" s="82">
        <v>0.674247418149857</v>
      </c>
      <c r="BE17" s="82">
        <v>0.668809938971229</v>
      </c>
      <c r="BF17" s="82">
        <v>0.723791504672897</v>
      </c>
      <c r="BG17" s="82">
        <v>1887.64867981397</v>
      </c>
      <c r="BH17" s="82">
        <v>1870.07685885649</v>
      </c>
      <c r="BI17" s="82">
        <v>1768.87307486796</v>
      </c>
      <c r="BJ17" s="82">
        <v>5007.83062353223</v>
      </c>
      <c r="BK17" s="82">
        <v>5038.01106387462</v>
      </c>
      <c r="BL17" s="82">
        <v>5074.17785000841</v>
      </c>
      <c r="BM17" s="82">
        <v>5367.70233864085</v>
      </c>
      <c r="BN17" s="82">
        <v>5330.87933122494</v>
      </c>
      <c r="BO17" s="82">
        <v>4713.740969265</v>
      </c>
      <c r="BP17" s="82">
        <v>4836.939306042</v>
      </c>
      <c r="BQ17" s="82">
        <v>4862.37720902288</v>
      </c>
      <c r="BR17" s="82">
        <v>5062.54965756183</v>
      </c>
      <c r="BS17" s="82">
        <v>4799.68895503133</v>
      </c>
      <c r="BT17" s="82">
        <v>3935.66451894084</v>
      </c>
      <c r="BU17" s="82">
        <v>3576.35706649375</v>
      </c>
      <c r="BV17" s="82">
        <v>3620.40050897114</v>
      </c>
      <c r="BW17" s="82">
        <v>4554.28376319195</v>
      </c>
      <c r="BX17" s="82">
        <v>4832.86283408263</v>
      </c>
      <c r="BY17" s="82">
        <v>5250.10137054361</v>
      </c>
      <c r="BZ17" s="82">
        <v>6466.86866208072</v>
      </c>
      <c r="CA17" s="82">
        <v>6133.39723269445</v>
      </c>
      <c r="CB17" s="82">
        <v>5479.40814830897</v>
      </c>
      <c r="CC17" s="82">
        <v>5941.88143637665</v>
      </c>
      <c r="CD17" s="82">
        <v>6728.71028214007</v>
      </c>
      <c r="CE17" s="82">
        <v>7202.66668654554</v>
      </c>
      <c r="CF17" s="82">
        <v>7108.69385717381</v>
      </c>
      <c r="CG17" s="82">
        <v>8361.37530589471</v>
      </c>
      <c r="CH17" s="82">
        <v>8739.02582339599</v>
      </c>
      <c r="CI17" s="82">
        <v>8748.73268946081</v>
      </c>
      <c r="CJ17" s="82">
        <v>7187.69529213894</v>
      </c>
      <c r="CK17" s="82">
        <v>7527.40534472111</v>
      </c>
      <c r="CL17" s="82">
        <v>6417.28936385215</v>
      </c>
      <c r="CM17" s="82">
        <v>6336.21979724287</v>
      </c>
      <c r="CN17" s="82">
        <v>5843.98920074915</v>
      </c>
      <c r="CO17" s="82">
        <v>5765.53494511138</v>
      </c>
      <c r="CP17" s="82">
        <v>5909.32940263448</v>
      </c>
      <c r="CQ17" s="82">
        <v>5135.17583729637</v>
      </c>
      <c r="CR17" s="82">
        <v>4852.50027129939</v>
      </c>
      <c r="CS17" s="82">
        <v>4618.31018914566</v>
      </c>
      <c r="CT17" s="82">
        <v>5371.27897228019</v>
      </c>
      <c r="CU17" s="82">
        <v>5537.92372805536</v>
      </c>
      <c r="CV17" s="82">
        <v>5458.16848476239</v>
      </c>
      <c r="CW17" s="82">
        <v>5407.2426978535</v>
      </c>
      <c r="CX17" s="82">
        <v>7168.82219421948</v>
      </c>
      <c r="CY17" s="82">
        <v>9311.91513423595</v>
      </c>
      <c r="CZ17" s="83">
        <v>10078.120043586</v>
      </c>
    </row>
    <row r="18" spans="1:104">
      <c r="A18" s="84" t="s">
        <v>173</v>
      </c>
      <c r="B18" s="293">
        <v>15</v>
      </c>
      <c r="C18" s="81">
        <v>2271.963</v>
      </c>
      <c r="D18" s="82">
        <v>2227.541</v>
      </c>
      <c r="E18" s="82">
        <v>2223.705</v>
      </c>
      <c r="F18" s="82">
        <v>2263.306</v>
      </c>
      <c r="G18" s="82">
        <v>2247.335</v>
      </c>
      <c r="H18" s="82">
        <v>2235.738</v>
      </c>
      <c r="I18" s="82">
        <v>2255.29065</v>
      </c>
      <c r="J18" s="82">
        <v>2259.22187</v>
      </c>
      <c r="K18" s="82">
        <v>2294.0501</v>
      </c>
      <c r="L18" s="82">
        <v>2321.3681</v>
      </c>
      <c r="M18" s="82">
        <v>2322.0217</v>
      </c>
      <c r="N18" s="82">
        <v>2388.401</v>
      </c>
      <c r="O18" s="82">
        <v>2423.2451</v>
      </c>
      <c r="P18" s="82">
        <v>2406.6455</v>
      </c>
      <c r="Q18" s="82">
        <v>2375.4607</v>
      </c>
      <c r="R18" s="82">
        <v>2382.2025</v>
      </c>
      <c r="S18" s="82">
        <v>2382.7</v>
      </c>
      <c r="T18" s="82">
        <v>2233.95</v>
      </c>
      <c r="U18" s="82">
        <v>1983.83116697</v>
      </c>
      <c r="V18" s="82">
        <v>1990.66334487</v>
      </c>
      <c r="W18" s="82">
        <v>1426.62519713</v>
      </c>
      <c r="X18" s="82">
        <v>1445.83</v>
      </c>
      <c r="Y18" s="82">
        <v>1475.036</v>
      </c>
      <c r="Z18" s="82">
        <v>1413.665</v>
      </c>
      <c r="AA18" s="82">
        <v>1442.082</v>
      </c>
      <c r="AB18" s="82">
        <v>1351.193</v>
      </c>
      <c r="AC18" s="82">
        <v>1353.791</v>
      </c>
      <c r="AD18" s="82">
        <v>1390.084</v>
      </c>
      <c r="AE18" s="82">
        <v>1431.196</v>
      </c>
      <c r="AF18" s="82">
        <v>1505.327</v>
      </c>
      <c r="AG18" s="82">
        <v>1469.559</v>
      </c>
      <c r="AH18" s="82">
        <v>1502.622</v>
      </c>
      <c r="AI18" s="82">
        <v>1618.144</v>
      </c>
      <c r="AJ18" s="82">
        <v>1572.39</v>
      </c>
      <c r="AK18" s="82">
        <v>1584.464</v>
      </c>
      <c r="AL18" s="82">
        <v>1639.341</v>
      </c>
      <c r="AM18" s="82">
        <v>2218.078</v>
      </c>
      <c r="AN18" s="82">
        <v>2264.211</v>
      </c>
      <c r="AO18" s="82">
        <v>2338.429</v>
      </c>
      <c r="AP18" s="82">
        <v>3451.052</v>
      </c>
      <c r="AQ18" s="82">
        <v>3751.163</v>
      </c>
      <c r="AR18" s="82">
        <v>3739.708</v>
      </c>
      <c r="AS18" s="82">
        <v>3799.392</v>
      </c>
      <c r="AT18" s="82">
        <v>4028.78500445</v>
      </c>
      <c r="AU18" s="82">
        <v>4455.694</v>
      </c>
      <c r="AV18" s="82">
        <v>4379.571</v>
      </c>
      <c r="AW18" s="82">
        <v>4428.808</v>
      </c>
      <c r="AX18" s="82">
        <v>4532.795514</v>
      </c>
      <c r="AY18" s="82">
        <v>4840.93898284</v>
      </c>
      <c r="AZ18" s="82">
        <v>4642.204</v>
      </c>
      <c r="BA18" s="82">
        <v>4712.937</v>
      </c>
      <c r="BB18" s="82">
        <v>4863.686403</v>
      </c>
      <c r="BC18" s="82">
        <v>5101.001</v>
      </c>
      <c r="BD18" s="82">
        <v>4997.238</v>
      </c>
      <c r="BE18" s="82">
        <v>4968.992</v>
      </c>
      <c r="BF18" s="82">
        <v>5039.636</v>
      </c>
      <c r="BG18" s="82">
        <v>5369.667</v>
      </c>
      <c r="BH18" s="82">
        <v>5168.858</v>
      </c>
      <c r="BI18" s="82">
        <v>5169.326</v>
      </c>
      <c r="BJ18" s="82">
        <v>5256.45</v>
      </c>
      <c r="BK18" s="82">
        <v>6214.542</v>
      </c>
      <c r="BL18" s="82">
        <v>6238.422</v>
      </c>
      <c r="BM18" s="82">
        <v>7310.97</v>
      </c>
      <c r="BN18" s="82">
        <v>7350.505</v>
      </c>
      <c r="BO18" s="82">
        <v>7363.583</v>
      </c>
      <c r="BP18" s="82">
        <v>7321.655</v>
      </c>
      <c r="BQ18" s="82">
        <v>7268.777</v>
      </c>
      <c r="BR18" s="82">
        <v>7233.8352</v>
      </c>
      <c r="BS18" s="82">
        <v>7248.477</v>
      </c>
      <c r="BT18" s="82">
        <v>7184.638</v>
      </c>
      <c r="BU18" s="82">
        <v>7092.494</v>
      </c>
      <c r="BV18" s="82">
        <v>7008.013</v>
      </c>
      <c r="BW18" s="82">
        <v>6982.596</v>
      </c>
      <c r="BX18" s="82">
        <v>6638.147</v>
      </c>
      <c r="BY18" s="82">
        <v>6621.176</v>
      </c>
      <c r="BZ18" s="82">
        <v>6311.138</v>
      </c>
      <c r="CA18" s="82">
        <v>6269.274</v>
      </c>
      <c r="CB18" s="82">
        <v>5932.036</v>
      </c>
      <c r="CC18" s="82">
        <v>5873.75</v>
      </c>
      <c r="CD18" s="82">
        <v>5544.313</v>
      </c>
      <c r="CE18" s="82">
        <v>6657.761</v>
      </c>
      <c r="CF18" s="82">
        <v>7333.432</v>
      </c>
      <c r="CG18" s="82">
        <v>7288.465</v>
      </c>
      <c r="CH18" s="82">
        <v>7168.641</v>
      </c>
      <c r="CI18" s="82">
        <v>7086.29014</v>
      </c>
      <c r="CJ18" s="82">
        <v>6935.137</v>
      </c>
      <c r="CK18" s="82">
        <v>6720.249</v>
      </c>
      <c r="CL18" s="82">
        <v>6486.71676258704</v>
      </c>
      <c r="CM18" s="82">
        <v>6998.406574837</v>
      </c>
      <c r="CN18" s="82">
        <v>6953.5797542088</v>
      </c>
      <c r="CO18" s="82">
        <v>6866.28204111147</v>
      </c>
      <c r="CP18" s="82">
        <v>6586.30953770789</v>
      </c>
      <c r="CQ18" s="82">
        <v>6558.46466184923</v>
      </c>
      <c r="CR18" s="82">
        <v>6252.87844301162</v>
      </c>
      <c r="CS18" s="82">
        <v>6144.47053451764</v>
      </c>
      <c r="CT18" s="82">
        <v>6043.80677020026</v>
      </c>
      <c r="CU18" s="82">
        <v>7051.93812059342</v>
      </c>
      <c r="CV18" s="82">
        <v>6882.86987572618</v>
      </c>
      <c r="CW18" s="82">
        <v>6910.82562123</v>
      </c>
      <c r="CX18" s="82">
        <v>6720.94069985</v>
      </c>
      <c r="CY18" s="82">
        <v>6569.00378928</v>
      </c>
      <c r="CZ18" s="83">
        <v>6335.91269865822</v>
      </c>
    </row>
    <row r="19" spans="1:104">
      <c r="A19" s="84" t="s">
        <v>174</v>
      </c>
      <c r="B19" s="293">
        <v>16</v>
      </c>
      <c r="C19" s="81">
        <v>0</v>
      </c>
      <c r="D19" s="82">
        <v>0</v>
      </c>
      <c r="E19" s="82">
        <v>0</v>
      </c>
      <c r="F19" s="82">
        <v>0</v>
      </c>
      <c r="G19" s="82">
        <v>0</v>
      </c>
      <c r="H19" s="82">
        <v>0</v>
      </c>
      <c r="I19" s="82">
        <v>0</v>
      </c>
      <c r="J19" s="82">
        <v>0</v>
      </c>
      <c r="K19" s="82">
        <v>0</v>
      </c>
      <c r="L19" s="82">
        <v>0</v>
      </c>
      <c r="M19" s="82">
        <v>0</v>
      </c>
      <c r="N19" s="82">
        <v>0</v>
      </c>
      <c r="O19" s="82">
        <v>0</v>
      </c>
      <c r="P19" s="82">
        <v>0</v>
      </c>
      <c r="Q19" s="82">
        <v>0</v>
      </c>
      <c r="R19" s="82">
        <v>0</v>
      </c>
      <c r="S19" s="82">
        <v>0</v>
      </c>
      <c r="T19" s="82">
        <v>0</v>
      </c>
      <c r="U19" s="82">
        <v>0</v>
      </c>
      <c r="V19" s="82">
        <v>0</v>
      </c>
      <c r="W19" s="82">
        <v>0</v>
      </c>
      <c r="X19" s="82">
        <v>0</v>
      </c>
      <c r="Y19" s="82">
        <v>0</v>
      </c>
      <c r="Z19" s="82">
        <v>0</v>
      </c>
      <c r="AA19" s="82">
        <v>0</v>
      </c>
      <c r="AB19" s="82">
        <v>0</v>
      </c>
      <c r="AC19" s="82">
        <v>0</v>
      </c>
      <c r="AD19" s="82">
        <v>0</v>
      </c>
      <c r="AE19" s="82">
        <v>0</v>
      </c>
      <c r="AF19" s="82">
        <v>0</v>
      </c>
      <c r="AG19" s="82">
        <v>0</v>
      </c>
      <c r="AH19" s="82">
        <v>0</v>
      </c>
      <c r="AI19" s="82">
        <v>0</v>
      </c>
      <c r="AJ19" s="82">
        <v>0</v>
      </c>
      <c r="AK19" s="82">
        <v>0</v>
      </c>
      <c r="AL19" s="82">
        <v>0</v>
      </c>
      <c r="AM19" s="82">
        <v>0</v>
      </c>
      <c r="AN19" s="82">
        <v>0</v>
      </c>
      <c r="AO19" s="82">
        <v>0</v>
      </c>
      <c r="AP19" s="82">
        <v>0</v>
      </c>
      <c r="AQ19" s="82">
        <v>0</v>
      </c>
      <c r="AR19" s="82">
        <v>0</v>
      </c>
      <c r="AS19" s="82">
        <v>0</v>
      </c>
      <c r="AT19" s="82">
        <v>0</v>
      </c>
      <c r="AU19" s="82">
        <v>0</v>
      </c>
      <c r="AV19" s="82">
        <v>0</v>
      </c>
      <c r="AW19" s="82">
        <v>0</v>
      </c>
      <c r="AX19" s="82">
        <v>0</v>
      </c>
      <c r="AY19" s="82">
        <v>0</v>
      </c>
      <c r="AZ19" s="82">
        <v>0</v>
      </c>
      <c r="BA19" s="82">
        <v>0</v>
      </c>
      <c r="BB19" s="82">
        <v>0</v>
      </c>
      <c r="BC19" s="82">
        <v>0</v>
      </c>
      <c r="BD19" s="82">
        <v>0</v>
      </c>
      <c r="BE19" s="82">
        <v>0</v>
      </c>
      <c r="BF19" s="82">
        <v>0</v>
      </c>
      <c r="BG19" s="82">
        <v>0</v>
      </c>
      <c r="BH19" s="82">
        <v>1.361</v>
      </c>
      <c r="BI19" s="82">
        <v>2.49</v>
      </c>
      <c r="BJ19" s="82">
        <v>0</v>
      </c>
      <c r="BK19" s="82">
        <v>0</v>
      </c>
      <c r="BL19" s="82">
        <v>0</v>
      </c>
      <c r="BM19" s="82">
        <v>0</v>
      </c>
      <c r="BN19" s="82">
        <v>0</v>
      </c>
      <c r="BO19" s="82">
        <v>0</v>
      </c>
      <c r="BP19" s="82">
        <v>0</v>
      </c>
      <c r="BQ19" s="82">
        <v>0</v>
      </c>
      <c r="BR19" s="82">
        <v>0</v>
      </c>
      <c r="BS19" s="82">
        <v>0</v>
      </c>
      <c r="BT19" s="82">
        <v>0</v>
      </c>
      <c r="BU19" s="82">
        <v>0</v>
      </c>
      <c r="BV19" s="82">
        <v>0</v>
      </c>
      <c r="BW19" s="82">
        <v>0</v>
      </c>
      <c r="BX19" s="82">
        <v>0</v>
      </c>
      <c r="BY19" s="82">
        <v>0</v>
      </c>
      <c r="BZ19" s="82">
        <v>0</v>
      </c>
      <c r="CA19" s="82">
        <v>0</v>
      </c>
      <c r="CB19" s="82">
        <v>0</v>
      </c>
      <c r="CC19" s="82">
        <v>0</v>
      </c>
      <c r="CD19" s="82">
        <v>0</v>
      </c>
      <c r="CE19" s="82">
        <v>0</v>
      </c>
      <c r="CF19" s="82">
        <v>0</v>
      </c>
      <c r="CG19" s="82">
        <v>0</v>
      </c>
      <c r="CH19" s="82">
        <v>0</v>
      </c>
      <c r="CI19" s="82">
        <v>0</v>
      </c>
      <c r="CJ19" s="82">
        <v>0</v>
      </c>
      <c r="CK19" s="82">
        <v>0</v>
      </c>
      <c r="CL19" s="82">
        <v>0</v>
      </c>
      <c r="CM19" s="82">
        <v>0</v>
      </c>
      <c r="CN19" s="82">
        <v>0</v>
      </c>
      <c r="CO19" s="82">
        <v>0</v>
      </c>
      <c r="CP19" s="82">
        <v>0</v>
      </c>
      <c r="CQ19" s="82">
        <v>0</v>
      </c>
      <c r="CR19" s="82">
        <v>0</v>
      </c>
      <c r="CS19" s="82">
        <v>0</v>
      </c>
      <c r="CT19" s="82">
        <v>0</v>
      </c>
      <c r="CU19" s="82">
        <v>0</v>
      </c>
      <c r="CV19" s="82">
        <v>0</v>
      </c>
      <c r="CW19" s="82">
        <v>0</v>
      </c>
      <c r="CX19" s="82">
        <v>0</v>
      </c>
      <c r="CY19" s="82">
        <v>0</v>
      </c>
      <c r="CZ19" s="83">
        <v>0</v>
      </c>
    </row>
    <row r="20" spans="1:104">
      <c r="A20" s="84" t="s">
        <v>175</v>
      </c>
      <c r="B20" s="293">
        <v>17</v>
      </c>
      <c r="C20" s="81">
        <v>5</v>
      </c>
      <c r="D20" s="82">
        <v>5</v>
      </c>
      <c r="E20" s="82">
        <v>5</v>
      </c>
      <c r="F20" s="82">
        <v>5</v>
      </c>
      <c r="G20" s="82">
        <v>1.67</v>
      </c>
      <c r="H20" s="82">
        <v>0</v>
      </c>
      <c r="I20" s="82">
        <v>0</v>
      </c>
      <c r="J20" s="82">
        <v>0</v>
      </c>
      <c r="K20" s="82">
        <v>0</v>
      </c>
      <c r="L20" s="82">
        <v>0</v>
      </c>
      <c r="M20" s="82">
        <v>0</v>
      </c>
      <c r="N20" s="82">
        <v>0</v>
      </c>
      <c r="O20" s="82">
        <v>0</v>
      </c>
      <c r="P20" s="82">
        <v>0</v>
      </c>
      <c r="Q20" s="82">
        <v>0</v>
      </c>
      <c r="R20" s="82">
        <v>0</v>
      </c>
      <c r="S20" s="82">
        <v>0</v>
      </c>
      <c r="T20" s="82">
        <v>0</v>
      </c>
      <c r="U20" s="82">
        <v>0</v>
      </c>
      <c r="V20" s="82">
        <v>0</v>
      </c>
      <c r="W20" s="82">
        <v>0</v>
      </c>
      <c r="X20" s="82">
        <v>0</v>
      </c>
      <c r="Y20" s="82">
        <v>0</v>
      </c>
      <c r="Z20" s="82">
        <v>0</v>
      </c>
      <c r="AA20" s="82">
        <v>0</v>
      </c>
      <c r="AB20" s="82">
        <v>0</v>
      </c>
      <c r="AC20" s="82">
        <v>0</v>
      </c>
      <c r="AD20" s="82">
        <v>0</v>
      </c>
      <c r="AE20" s="82">
        <v>0</v>
      </c>
      <c r="AF20" s="82">
        <v>0</v>
      </c>
      <c r="AG20" s="82">
        <v>0</v>
      </c>
      <c r="AH20" s="82">
        <v>0</v>
      </c>
      <c r="AI20" s="82">
        <v>0</v>
      </c>
      <c r="AJ20" s="82">
        <v>0</v>
      </c>
      <c r="AK20" s="82">
        <v>0</v>
      </c>
      <c r="AL20" s="82">
        <v>0</v>
      </c>
      <c r="AM20" s="82">
        <v>0</v>
      </c>
      <c r="AN20" s="82">
        <v>0</v>
      </c>
      <c r="AO20" s="82">
        <v>0</v>
      </c>
      <c r="AP20" s="82">
        <v>0</v>
      </c>
      <c r="AQ20" s="82">
        <v>0</v>
      </c>
      <c r="AR20" s="82">
        <v>0</v>
      </c>
      <c r="AS20" s="82">
        <v>0</v>
      </c>
      <c r="AT20" s="82">
        <v>0</v>
      </c>
      <c r="AU20" s="82">
        <v>0</v>
      </c>
      <c r="AV20" s="82">
        <v>0</v>
      </c>
      <c r="AW20" s="82">
        <v>0</v>
      </c>
      <c r="AX20" s="82">
        <v>0</v>
      </c>
      <c r="AY20" s="82">
        <v>0</v>
      </c>
      <c r="AZ20" s="82">
        <v>100.073</v>
      </c>
      <c r="BA20" s="82">
        <v>100.694</v>
      </c>
      <c r="BB20" s="82">
        <v>101.299</v>
      </c>
      <c r="BC20" s="82">
        <v>101.904</v>
      </c>
      <c r="BD20" s="82">
        <v>68.334</v>
      </c>
      <c r="BE20" s="82">
        <v>75.516</v>
      </c>
      <c r="BF20" s="82">
        <v>75.372</v>
      </c>
      <c r="BG20" s="82">
        <v>75.204</v>
      </c>
      <c r="BH20" s="82">
        <v>40.077</v>
      </c>
      <c r="BI20" s="82">
        <v>39.799</v>
      </c>
      <c r="BJ20" s="82">
        <v>39.352</v>
      </c>
      <c r="BK20" s="82">
        <v>38.98834</v>
      </c>
      <c r="BL20" s="82">
        <v>2.83534</v>
      </c>
      <c r="BM20" s="82">
        <v>2.26834</v>
      </c>
      <c r="BN20" s="82">
        <v>1.699</v>
      </c>
      <c r="BO20" s="82">
        <v>1.139</v>
      </c>
      <c r="BP20" s="82">
        <v>0</v>
      </c>
      <c r="BQ20" s="82">
        <v>0</v>
      </c>
      <c r="BR20" s="82">
        <v>0</v>
      </c>
      <c r="BS20" s="82">
        <v>0</v>
      </c>
      <c r="BT20" s="82">
        <v>0</v>
      </c>
      <c r="BU20" s="82">
        <v>0</v>
      </c>
      <c r="BV20" s="82">
        <v>0</v>
      </c>
      <c r="BW20" s="82">
        <v>0</v>
      </c>
      <c r="BX20" s="82">
        <v>0</v>
      </c>
      <c r="BY20" s="82">
        <v>0</v>
      </c>
      <c r="BZ20" s="82">
        <v>0</v>
      </c>
      <c r="CA20" s="82">
        <v>0</v>
      </c>
      <c r="CB20" s="82">
        <v>0</v>
      </c>
      <c r="CC20" s="82">
        <v>0</v>
      </c>
      <c r="CD20" s="82">
        <v>0</v>
      </c>
      <c r="CE20" s="82">
        <v>0</v>
      </c>
      <c r="CF20" s="82">
        <v>0</v>
      </c>
      <c r="CG20" s="82">
        <v>0</v>
      </c>
      <c r="CH20" s="82">
        <v>0</v>
      </c>
      <c r="CI20" s="82">
        <v>0</v>
      </c>
      <c r="CJ20" s="82">
        <v>0</v>
      </c>
      <c r="CK20" s="82">
        <v>0</v>
      </c>
      <c r="CL20" s="82">
        <v>0</v>
      </c>
      <c r="CM20" s="82">
        <v>0</v>
      </c>
      <c r="CN20" s="82">
        <v>0</v>
      </c>
      <c r="CO20" s="82">
        <v>0</v>
      </c>
      <c r="CP20" s="82">
        <v>0</v>
      </c>
      <c r="CQ20" s="82">
        <v>0</v>
      </c>
      <c r="CR20" s="82">
        <v>0</v>
      </c>
      <c r="CS20" s="82">
        <v>0</v>
      </c>
      <c r="CT20" s="82">
        <v>0</v>
      </c>
      <c r="CU20" s="82">
        <v>0</v>
      </c>
      <c r="CV20" s="82">
        <v>0</v>
      </c>
      <c r="CW20" s="82">
        <v>0</v>
      </c>
      <c r="CX20" s="82">
        <v>0</v>
      </c>
      <c r="CY20" s="82">
        <v>0</v>
      </c>
      <c r="CZ20" s="83">
        <v>0</v>
      </c>
    </row>
    <row r="21" ht="15" spans="1:104">
      <c r="A21" s="85" t="s">
        <v>178</v>
      </c>
      <c r="B21" s="289" t="s">
        <v>179</v>
      </c>
      <c r="C21" s="77">
        <v>1.90339319069204</v>
      </c>
      <c r="D21" s="78">
        <v>2.24749326432107</v>
      </c>
      <c r="E21" s="78">
        <v>2.16311089443686</v>
      </c>
      <c r="F21" s="78">
        <v>2.25002857700068</v>
      </c>
      <c r="G21" s="78">
        <v>2.25762776777395</v>
      </c>
      <c r="H21" s="78">
        <v>2.23487762817341</v>
      </c>
      <c r="I21" s="78">
        <v>2.25023036695196</v>
      </c>
      <c r="J21" s="78">
        <v>2.41001512432083</v>
      </c>
      <c r="K21" s="78">
        <v>2.47992085929355</v>
      </c>
      <c r="L21" s="78">
        <v>2.36970761974699</v>
      </c>
      <c r="M21" s="78">
        <v>2.55235616357217</v>
      </c>
      <c r="N21" s="78">
        <v>2.70676855999657</v>
      </c>
      <c r="O21" s="78">
        <v>2.3852401534891</v>
      </c>
      <c r="P21" s="78">
        <v>2.48323992771424</v>
      </c>
      <c r="Q21" s="78">
        <v>3.93714071045311</v>
      </c>
      <c r="R21" s="78">
        <v>3.57859773770065</v>
      </c>
      <c r="S21" s="78">
        <v>3.46595518782585</v>
      </c>
      <c r="T21" s="78">
        <v>14.8939567385447</v>
      </c>
      <c r="U21" s="78">
        <v>86.0500291390906</v>
      </c>
      <c r="V21" s="78">
        <v>132.359401218497</v>
      </c>
      <c r="W21" s="78">
        <v>103.542328412113</v>
      </c>
      <c r="X21" s="78">
        <v>244.200402938933</v>
      </c>
      <c r="Y21" s="78">
        <v>115.769383865347</v>
      </c>
      <c r="Z21" s="78">
        <v>193.557528794742</v>
      </c>
      <c r="AA21" s="78">
        <v>1076.84347630441</v>
      </c>
      <c r="AB21" s="78">
        <v>2081.24037090487</v>
      </c>
      <c r="AC21" s="78">
        <v>3144.18313082413</v>
      </c>
      <c r="AD21" s="78">
        <v>934.490776222967</v>
      </c>
      <c r="AE21" s="78">
        <v>106.893436710113</v>
      </c>
      <c r="AF21" s="78">
        <v>106.996304410195</v>
      </c>
      <c r="AG21" s="78">
        <v>32.379063561257</v>
      </c>
      <c r="AH21" s="78">
        <v>36.6223033271381</v>
      </c>
      <c r="AI21" s="78">
        <v>12.1276840053251</v>
      </c>
      <c r="AJ21" s="78">
        <v>2.47143486787318</v>
      </c>
      <c r="AK21" s="78">
        <v>175.727621604953</v>
      </c>
      <c r="AL21" s="78">
        <v>607.087226660771</v>
      </c>
      <c r="AM21" s="78">
        <v>1017.48735327417</v>
      </c>
      <c r="AN21" s="78">
        <v>1355.86334314166</v>
      </c>
      <c r="AO21" s="78">
        <v>1016.62194626295</v>
      </c>
      <c r="AP21" s="78">
        <v>693.585827871199</v>
      </c>
      <c r="AQ21" s="78">
        <v>1000.64980575552</v>
      </c>
      <c r="AR21" s="78">
        <v>3501.46315280147</v>
      </c>
      <c r="AS21" s="78">
        <v>2547.73187621144</v>
      </c>
      <c r="AT21" s="78">
        <v>684.292853352286</v>
      </c>
      <c r="AU21" s="78">
        <v>563.257436442426</v>
      </c>
      <c r="AV21" s="78">
        <v>657.806727118801</v>
      </c>
      <c r="AW21" s="78">
        <v>539.197847335896</v>
      </c>
      <c r="AX21" s="78">
        <v>549.963692691013</v>
      </c>
      <c r="AY21" s="78">
        <v>618.884003426357</v>
      </c>
      <c r="AZ21" s="78">
        <v>537.84997013982</v>
      </c>
      <c r="BA21" s="78">
        <v>535.600420705783</v>
      </c>
      <c r="BB21" s="78">
        <v>557.769520083786</v>
      </c>
      <c r="BC21" s="78">
        <v>546.700002328734</v>
      </c>
      <c r="BD21" s="78">
        <v>870.420720619837</v>
      </c>
      <c r="BE21" s="78">
        <v>805.718784224843</v>
      </c>
      <c r="BF21" s="78">
        <v>857.488802416965</v>
      </c>
      <c r="BG21" s="78">
        <v>953.65207568363</v>
      </c>
      <c r="BH21" s="78">
        <v>760.265129540431</v>
      </c>
      <c r="BI21" s="78">
        <v>779.21428383957</v>
      </c>
      <c r="BJ21" s="78">
        <v>875.294888978943</v>
      </c>
      <c r="BK21" s="78">
        <v>898.823690062818</v>
      </c>
      <c r="BL21" s="78">
        <v>892.036907334685</v>
      </c>
      <c r="BM21" s="78">
        <v>893.993565294045</v>
      </c>
      <c r="BN21" s="78">
        <v>739.385769292514</v>
      </c>
      <c r="BO21" s="78">
        <v>756.299818826917</v>
      </c>
      <c r="BP21" s="78">
        <v>1120.38220279148</v>
      </c>
      <c r="BQ21" s="78">
        <v>1097.84990109483</v>
      </c>
      <c r="BR21" s="78">
        <v>869.738079352559</v>
      </c>
      <c r="BS21" s="78">
        <v>926.315338222423</v>
      </c>
      <c r="BT21" s="78">
        <v>1899.18094653111</v>
      </c>
      <c r="BU21" s="78">
        <v>1188.56974245464</v>
      </c>
      <c r="BV21" s="78">
        <v>774.577928855583</v>
      </c>
      <c r="BW21" s="78">
        <v>770.396372451399</v>
      </c>
      <c r="BX21" s="78">
        <v>938.789306559557</v>
      </c>
      <c r="BY21" s="78">
        <v>759.411608895253</v>
      </c>
      <c r="BZ21" s="78">
        <v>634.037836002358</v>
      </c>
      <c r="CA21" s="78">
        <v>891.101160160978</v>
      </c>
      <c r="CB21" s="78">
        <v>949.885200695225</v>
      </c>
      <c r="CC21" s="78">
        <v>825.909203652641</v>
      </c>
      <c r="CD21" s="78">
        <v>805.595509154658</v>
      </c>
      <c r="CE21" s="78">
        <v>1329.36925308143</v>
      </c>
      <c r="CF21" s="78">
        <v>1835.99147315803</v>
      </c>
      <c r="CG21" s="78">
        <v>1714.69068105253</v>
      </c>
      <c r="CH21" s="78">
        <v>3051.34204159082</v>
      </c>
      <c r="CI21" s="78">
        <v>2535.76657868516</v>
      </c>
      <c r="CJ21" s="78">
        <v>2519.33428124251</v>
      </c>
      <c r="CK21" s="78">
        <v>2214.31428565088</v>
      </c>
      <c r="CL21" s="78">
        <v>2043.62769559036</v>
      </c>
      <c r="CM21" s="78">
        <v>2171.80232789685</v>
      </c>
      <c r="CN21" s="78">
        <v>2217.89527204847</v>
      </c>
      <c r="CO21" s="78">
        <v>2065.09306953545</v>
      </c>
      <c r="CP21" s="78">
        <v>2097.62940993047</v>
      </c>
      <c r="CQ21" s="78">
        <v>2233.06972452529</v>
      </c>
      <c r="CR21" s="78">
        <v>2094.17583354873</v>
      </c>
      <c r="CS21" s="78">
        <v>2035.99040246028</v>
      </c>
      <c r="CT21" s="78">
        <v>2204.01228452277</v>
      </c>
      <c r="CU21" s="78">
        <v>2469.96515625997</v>
      </c>
      <c r="CV21" s="78">
        <v>2212.74130394809</v>
      </c>
      <c r="CW21" s="78">
        <v>2205.85341922465</v>
      </c>
      <c r="CX21" s="78">
        <v>2165.84445454182</v>
      </c>
      <c r="CY21" s="78">
        <v>2594.43236279385</v>
      </c>
      <c r="CZ21" s="79">
        <v>2381.79133809018</v>
      </c>
    </row>
    <row r="22" ht="15" spans="1:104">
      <c r="A22" s="75" t="s">
        <v>164</v>
      </c>
      <c r="B22" s="290" t="s">
        <v>180</v>
      </c>
      <c r="C22" s="72">
        <v>0.000678200692041523</v>
      </c>
      <c r="D22" s="73">
        <v>0.344778274321073</v>
      </c>
      <c r="E22" s="73">
        <v>0.26039590443686</v>
      </c>
      <c r="F22" s="73">
        <v>0.347313587000677</v>
      </c>
      <c r="G22" s="73">
        <v>0.35491277777395</v>
      </c>
      <c r="H22" s="73">
        <v>0.332162638173411</v>
      </c>
      <c r="I22" s="73">
        <v>0.347515376951959</v>
      </c>
      <c r="J22" s="73">
        <v>0.507300134320828</v>
      </c>
      <c r="K22" s="73">
        <v>0.577205869293552</v>
      </c>
      <c r="L22" s="73">
        <v>0.466992629746986</v>
      </c>
      <c r="M22" s="73">
        <v>0.649641173572172</v>
      </c>
      <c r="N22" s="73">
        <v>0.804053569996568</v>
      </c>
      <c r="O22" s="73">
        <v>0.498001513489102</v>
      </c>
      <c r="P22" s="73">
        <v>0.580524937714241</v>
      </c>
      <c r="Q22" s="73">
        <v>2.03442572045311</v>
      </c>
      <c r="R22" s="73">
        <v>1.67588274770065</v>
      </c>
      <c r="S22" s="73">
        <v>1.56324019782585</v>
      </c>
      <c r="T22" s="73">
        <v>12.9912417485447</v>
      </c>
      <c r="U22" s="73">
        <v>84.1473141490906</v>
      </c>
      <c r="V22" s="73">
        <v>130.456686228497</v>
      </c>
      <c r="W22" s="73">
        <v>101.639613422113</v>
      </c>
      <c r="X22" s="73">
        <v>242.297687948933</v>
      </c>
      <c r="Y22" s="73">
        <v>113.866668875347</v>
      </c>
      <c r="Z22" s="73">
        <v>191.654813804742</v>
      </c>
      <c r="AA22" s="73">
        <v>1074.94076131441</v>
      </c>
      <c r="AB22" s="73">
        <v>2079.33765591487</v>
      </c>
      <c r="AC22" s="73">
        <v>3142.28041583413</v>
      </c>
      <c r="AD22" s="73">
        <v>932.588061232967</v>
      </c>
      <c r="AE22" s="73">
        <v>104.990721720113</v>
      </c>
      <c r="AF22" s="73">
        <v>105.093589420195</v>
      </c>
      <c r="AG22" s="73">
        <v>30.476348571257</v>
      </c>
      <c r="AH22" s="73">
        <v>34.7195883371381</v>
      </c>
      <c r="AI22" s="73">
        <v>10.2249690153251</v>
      </c>
      <c r="AJ22" s="73">
        <v>0.568719877873184</v>
      </c>
      <c r="AK22" s="73">
        <v>173.824906614953</v>
      </c>
      <c r="AL22" s="73">
        <v>63.9696980597549</v>
      </c>
      <c r="AM22" s="73">
        <v>479.72175915833</v>
      </c>
      <c r="AN22" s="73">
        <v>832.216610716866</v>
      </c>
      <c r="AO22" s="73">
        <v>508.687709009334</v>
      </c>
      <c r="AP22" s="73">
        <v>159.149989537829</v>
      </c>
      <c r="AQ22" s="73">
        <v>470.434127355382</v>
      </c>
      <c r="AR22" s="73">
        <v>2957.59459447544</v>
      </c>
      <c r="AS22" s="73">
        <v>1997.8348846778</v>
      </c>
      <c r="AT22" s="73">
        <v>144.657874741438</v>
      </c>
      <c r="AU22" s="73">
        <v>36.3294645323854</v>
      </c>
      <c r="AV22" s="73">
        <v>123.746409653509</v>
      </c>
      <c r="AW22" s="73">
        <v>15.3269588895355</v>
      </c>
      <c r="AX22" s="73">
        <v>18.1099011394875</v>
      </c>
      <c r="AY22" s="73">
        <v>88.0631189779063</v>
      </c>
      <c r="AZ22" s="73">
        <v>20.4534593861045</v>
      </c>
      <c r="BA22" s="73">
        <v>16.2112102864029</v>
      </c>
      <c r="BB22" s="73">
        <v>28.4474585253143</v>
      </c>
      <c r="BC22" s="73">
        <v>10.6951780996443</v>
      </c>
      <c r="BD22" s="73">
        <v>333.098171983377</v>
      </c>
      <c r="BE22" s="73">
        <v>268.290259517121</v>
      </c>
      <c r="BF22" s="73">
        <v>115.903679497757</v>
      </c>
      <c r="BG22" s="73">
        <v>215.573577773946</v>
      </c>
      <c r="BH22" s="73">
        <v>12.5325466856881</v>
      </c>
      <c r="BI22" s="73">
        <v>10.9298807180559</v>
      </c>
      <c r="BJ22" s="73">
        <v>79.9112771602625</v>
      </c>
      <c r="BK22" s="73">
        <v>75.9541309394094</v>
      </c>
      <c r="BL22" s="73">
        <v>104.734567011412</v>
      </c>
      <c r="BM22" s="73">
        <v>169.365802259646</v>
      </c>
      <c r="BN22" s="73">
        <v>178.529010508506</v>
      </c>
      <c r="BO22" s="73">
        <v>242.536623709176</v>
      </c>
      <c r="BP22" s="73">
        <v>626.943217020491</v>
      </c>
      <c r="BQ22" s="73">
        <v>593.742213179984</v>
      </c>
      <c r="BR22" s="73">
        <v>368.299235619327</v>
      </c>
      <c r="BS22" s="73">
        <v>421.753149834526</v>
      </c>
      <c r="BT22" s="73">
        <v>1388.16520593405</v>
      </c>
      <c r="BU22" s="73">
        <v>694.514273772489</v>
      </c>
      <c r="BV22" s="73">
        <v>286.49230030412</v>
      </c>
      <c r="BW22" s="73">
        <v>286.240966862326</v>
      </c>
      <c r="BX22" s="73">
        <v>455.570299564139</v>
      </c>
      <c r="BY22" s="73">
        <v>275.489757462209</v>
      </c>
      <c r="BZ22" s="73">
        <v>159.097328566153</v>
      </c>
      <c r="CA22" s="73">
        <v>409.707027394625</v>
      </c>
      <c r="CB22" s="73">
        <v>472.755563402251</v>
      </c>
      <c r="CC22" s="73">
        <v>345.581379395764</v>
      </c>
      <c r="CD22" s="73">
        <v>315.711163760229</v>
      </c>
      <c r="CE22" s="73">
        <v>828.025657031717</v>
      </c>
      <c r="CF22" s="291">
        <v>1342.76908615934</v>
      </c>
      <c r="CG22" s="291">
        <v>1218.0262456584</v>
      </c>
      <c r="CH22" s="291">
        <v>989.8780292842</v>
      </c>
      <c r="CI22" s="291">
        <v>494.633727567375</v>
      </c>
      <c r="CJ22" s="291">
        <v>501.939113871195</v>
      </c>
      <c r="CK22" s="291">
        <v>270.385191342202</v>
      </c>
      <c r="CL22" s="291">
        <v>182.811485181605</v>
      </c>
      <c r="CM22" s="291">
        <v>230.885553564417</v>
      </c>
      <c r="CN22" s="291">
        <v>255.294932775983</v>
      </c>
      <c r="CO22" s="291">
        <v>119.748077012009</v>
      </c>
      <c r="CP22" s="291">
        <v>185.16305207481</v>
      </c>
      <c r="CQ22" s="291">
        <v>276.354757415343</v>
      </c>
      <c r="CR22" s="291">
        <v>164.057403205086</v>
      </c>
      <c r="CS22" s="291">
        <v>118.153288383801</v>
      </c>
      <c r="CT22" s="291">
        <v>227.875278648283</v>
      </c>
      <c r="CU22" s="291">
        <v>567.978178976413</v>
      </c>
      <c r="CV22" s="291">
        <v>279.382654758589</v>
      </c>
      <c r="CW22" s="291">
        <v>202.925568232149</v>
      </c>
      <c r="CX22" s="291">
        <v>168.504229919607</v>
      </c>
      <c r="CY22" s="291">
        <v>595.373274524778</v>
      </c>
      <c r="CZ22" s="292">
        <v>401.577269149962</v>
      </c>
    </row>
    <row r="23" spans="1:104">
      <c r="A23" s="84" t="s">
        <v>171</v>
      </c>
      <c r="B23" s="293">
        <v>20</v>
      </c>
      <c r="C23" s="81">
        <v>0.000678200692041523</v>
      </c>
      <c r="D23" s="82">
        <v>0.344778274321073</v>
      </c>
      <c r="E23" s="82">
        <v>0.26039590443686</v>
      </c>
      <c r="F23" s="82">
        <v>0.258280297901151</v>
      </c>
      <c r="G23" s="82">
        <v>0.17323439777395</v>
      </c>
      <c r="H23" s="82">
        <v>0.0403522460811963</v>
      </c>
      <c r="I23" s="82">
        <v>0.118297373052604</v>
      </c>
      <c r="J23" s="82">
        <v>0.117205692108668</v>
      </c>
      <c r="K23" s="82">
        <v>0.116349053577158</v>
      </c>
      <c r="L23" s="82">
        <v>0.11943730645055</v>
      </c>
      <c r="M23" s="82">
        <v>0.11943730645055</v>
      </c>
      <c r="N23" s="82">
        <v>0.11943730645055</v>
      </c>
      <c r="O23" s="82">
        <v>0.11943730645055</v>
      </c>
      <c r="P23" s="82">
        <v>0.101056868231567</v>
      </c>
      <c r="Q23" s="82">
        <v>0.176143475045804</v>
      </c>
      <c r="R23" s="82">
        <v>0.0779858588733651</v>
      </c>
      <c r="S23" s="82">
        <v>0.313889055153846</v>
      </c>
      <c r="T23" s="82">
        <v>0.0814961699223169</v>
      </c>
      <c r="U23" s="82">
        <v>0.831469593153926</v>
      </c>
      <c r="V23" s="82">
        <v>0</v>
      </c>
      <c r="W23" s="82">
        <v>1.00012490050754</v>
      </c>
      <c r="X23" s="82">
        <v>0.755132223978202</v>
      </c>
      <c r="Y23" s="82">
        <v>19.7490687736583</v>
      </c>
      <c r="Z23" s="82">
        <v>0.300140911066709</v>
      </c>
      <c r="AA23" s="82">
        <v>0.77467722519685</v>
      </c>
      <c r="AB23" s="82">
        <v>0.240304790020202</v>
      </c>
      <c r="AC23" s="82">
        <v>0.0489598146724478</v>
      </c>
      <c r="AD23" s="82">
        <v>0.00157204037590759</v>
      </c>
      <c r="AE23" s="82">
        <v>0.0109471844109726</v>
      </c>
      <c r="AF23" s="82">
        <v>0.00922594385781755</v>
      </c>
      <c r="AG23" s="82">
        <v>0.0223529529604141</v>
      </c>
      <c r="AH23" s="82">
        <v>0.0226931487418412</v>
      </c>
      <c r="AI23" s="82">
        <v>0.272739715962083</v>
      </c>
      <c r="AJ23" s="82">
        <v>0.568719877873184</v>
      </c>
      <c r="AK23" s="82">
        <v>169.146390761683</v>
      </c>
      <c r="AL23" s="82">
        <v>63.9696980597549</v>
      </c>
      <c r="AM23" s="82">
        <v>103.591005155597</v>
      </c>
      <c r="AN23" s="82">
        <v>91.0170395601442</v>
      </c>
      <c r="AO23" s="82">
        <v>41.1155251616401</v>
      </c>
      <c r="AP23" s="82">
        <v>73.739349602693</v>
      </c>
      <c r="AQ23" s="82">
        <v>239.540283011593</v>
      </c>
      <c r="AR23" s="82">
        <v>432.945235495169</v>
      </c>
      <c r="AS23" s="82">
        <v>140.215613933798</v>
      </c>
      <c r="AT23" s="82">
        <v>13.5382266286763</v>
      </c>
      <c r="AU23" s="82">
        <v>16.4844510552965</v>
      </c>
      <c r="AV23" s="82">
        <v>119.673254655742</v>
      </c>
      <c r="AW23" s="82">
        <v>11.8995157839941</v>
      </c>
      <c r="AX23" s="82">
        <v>15.3483036194875</v>
      </c>
      <c r="AY23" s="82">
        <v>88.0510922962027</v>
      </c>
      <c r="AZ23" s="82">
        <v>16.7908784261045</v>
      </c>
      <c r="BA23" s="82">
        <v>11.7210533617606</v>
      </c>
      <c r="BB23" s="82">
        <v>24.3893991653143</v>
      </c>
      <c r="BC23" s="82">
        <v>6.67513311964429</v>
      </c>
      <c r="BD23" s="82">
        <v>327.057474963377</v>
      </c>
      <c r="BE23" s="82">
        <v>258.969505573893</v>
      </c>
      <c r="BF23" s="82">
        <v>110.308996171226</v>
      </c>
      <c r="BG23" s="82">
        <v>209.274599683954</v>
      </c>
      <c r="BH23" s="82">
        <v>6.19692990568812</v>
      </c>
      <c r="BI23" s="82">
        <v>3.98076204805585</v>
      </c>
      <c r="BJ23" s="82">
        <v>73.5043044302625</v>
      </c>
      <c r="BK23" s="82">
        <v>70.916354268988</v>
      </c>
      <c r="BL23" s="82">
        <v>99.662189341412</v>
      </c>
      <c r="BM23" s="82">
        <v>105.223136614308</v>
      </c>
      <c r="BN23" s="82">
        <v>50.1959312986782</v>
      </c>
      <c r="BO23" s="82">
        <v>17.1860789052033</v>
      </c>
      <c r="BP23" s="82">
        <v>16.8370456141344</v>
      </c>
      <c r="BQ23" s="82">
        <v>18.4068134559584</v>
      </c>
      <c r="BR23" s="82">
        <v>15.3433685735951</v>
      </c>
      <c r="BS23" s="82">
        <v>10.575613865385</v>
      </c>
      <c r="BT23" s="82">
        <v>7.18231139774873</v>
      </c>
      <c r="BU23" s="82">
        <v>4.91934506497948</v>
      </c>
      <c r="BV23" s="82">
        <v>5.7710656671931</v>
      </c>
      <c r="BW23" s="82">
        <v>6.92456811709526</v>
      </c>
      <c r="BX23" s="82">
        <v>5.54731893177455</v>
      </c>
      <c r="BY23" s="82">
        <v>4.13014892383308</v>
      </c>
      <c r="BZ23" s="82">
        <v>4.6604370013521</v>
      </c>
      <c r="CA23" s="82">
        <v>3.85122062967825</v>
      </c>
      <c r="CB23" s="82">
        <v>4.83493650501888</v>
      </c>
      <c r="CC23" s="82">
        <v>4.44612224366153</v>
      </c>
      <c r="CD23" s="82">
        <v>5.38824410618498</v>
      </c>
      <c r="CE23" s="82">
        <v>2.63006561752251</v>
      </c>
      <c r="CF23" s="82">
        <v>4.89967951411095</v>
      </c>
      <c r="CG23" s="82">
        <v>72.9704787923312</v>
      </c>
      <c r="CH23" s="82">
        <v>4.28937590039464</v>
      </c>
      <c r="CI23" s="82">
        <v>7.89651824396017</v>
      </c>
      <c r="CJ23" s="82">
        <v>255.141512484672</v>
      </c>
      <c r="CK23" s="82">
        <v>11.2667570916558</v>
      </c>
      <c r="CL23" s="82">
        <v>11.1481378108831</v>
      </c>
      <c r="CM23" s="82">
        <v>12.8020210492413</v>
      </c>
      <c r="CN23" s="82">
        <v>10.3885877694231</v>
      </c>
      <c r="CO23" s="82">
        <v>13.5773306748892</v>
      </c>
      <c r="CP23" s="82">
        <v>13.0229689809501</v>
      </c>
      <c r="CQ23" s="82">
        <v>249.744791397784</v>
      </c>
      <c r="CR23" s="82">
        <v>13.3725776934469</v>
      </c>
      <c r="CS23" s="82">
        <v>113.220141143801</v>
      </c>
      <c r="CT23" s="82">
        <v>98.151240009358</v>
      </c>
      <c r="CU23" s="82">
        <v>365.412997538589</v>
      </c>
      <c r="CV23" s="82">
        <v>96.8651341596392</v>
      </c>
      <c r="CW23" s="82">
        <v>191.521505471684</v>
      </c>
      <c r="CX23" s="82">
        <v>162.203426499607</v>
      </c>
      <c r="CY23" s="82">
        <v>294.142000256818</v>
      </c>
      <c r="CZ23" s="83">
        <v>140.884212496841</v>
      </c>
    </row>
    <row r="24" ht="15" spans="1:104">
      <c r="A24" s="84" t="s">
        <v>172</v>
      </c>
      <c r="B24" s="293">
        <v>21</v>
      </c>
      <c r="C24" s="81">
        <v>0</v>
      </c>
      <c r="D24" s="82">
        <v>0</v>
      </c>
      <c r="E24" s="82">
        <v>0</v>
      </c>
      <c r="F24" s="82">
        <v>0.0336492890995261</v>
      </c>
      <c r="G24" s="82">
        <v>0</v>
      </c>
      <c r="H24" s="82">
        <v>0</v>
      </c>
      <c r="I24" s="82">
        <v>0</v>
      </c>
      <c r="J24" s="82">
        <v>0</v>
      </c>
      <c r="K24" s="82">
        <v>0</v>
      </c>
      <c r="L24" s="82">
        <v>0</v>
      </c>
      <c r="M24" s="82">
        <v>0</v>
      </c>
      <c r="N24" s="82">
        <v>0</v>
      </c>
      <c r="O24" s="82">
        <v>0</v>
      </c>
      <c r="P24" s="82">
        <v>0</v>
      </c>
      <c r="Q24" s="82">
        <v>0</v>
      </c>
      <c r="R24" s="82">
        <v>0</v>
      </c>
      <c r="S24" s="82">
        <v>0</v>
      </c>
      <c r="T24" s="82">
        <v>10.1817633305679</v>
      </c>
      <c r="U24" s="82">
        <v>82.2734459559367</v>
      </c>
      <c r="V24" s="82">
        <v>127.150041078497</v>
      </c>
      <c r="W24" s="82">
        <v>99.773849891605</v>
      </c>
      <c r="X24" s="82">
        <v>240.482295834955</v>
      </c>
      <c r="Y24" s="82">
        <v>91.8503599116886</v>
      </c>
      <c r="Z24" s="82">
        <v>190.168582763675</v>
      </c>
      <c r="AA24" s="82">
        <v>1072.96530629921</v>
      </c>
      <c r="AB24" s="82">
        <v>2077.98740848485</v>
      </c>
      <c r="AC24" s="82">
        <v>3141.72941214946</v>
      </c>
      <c r="AD24" s="82">
        <v>932.318638242591</v>
      </c>
      <c r="AE24" s="82">
        <v>104.771856375702</v>
      </c>
      <c r="AF24" s="82">
        <v>104.868228846337</v>
      </c>
      <c r="AG24" s="82">
        <v>30.2606122782965</v>
      </c>
      <c r="AH24" s="82">
        <v>34.5507465683962</v>
      </c>
      <c r="AI24" s="82">
        <v>9.95222929936306</v>
      </c>
      <c r="AJ24" s="82">
        <v>0</v>
      </c>
      <c r="AK24" s="82">
        <v>4.67851585327005</v>
      </c>
      <c r="AL24" s="82">
        <v>0</v>
      </c>
      <c r="AM24" s="82">
        <v>376.130754002732</v>
      </c>
      <c r="AN24" s="82">
        <v>741.199571156722</v>
      </c>
      <c r="AO24" s="82">
        <v>467.572183847694</v>
      </c>
      <c r="AP24" s="82">
        <v>85.4106399351362</v>
      </c>
      <c r="AQ24" s="82">
        <v>230.893844343789</v>
      </c>
      <c r="AR24" s="82">
        <v>2524.64935898027</v>
      </c>
      <c r="AS24" s="82">
        <v>1857.61927074401</v>
      </c>
      <c r="AT24" s="82">
        <v>131.119648112762</v>
      </c>
      <c r="AU24" s="82">
        <v>19.8450134770889</v>
      </c>
      <c r="AV24" s="82">
        <v>0</v>
      </c>
      <c r="AW24" s="82">
        <v>0</v>
      </c>
      <c r="AX24" s="82">
        <v>0</v>
      </c>
      <c r="AY24" s="82">
        <v>0</v>
      </c>
      <c r="AZ24" s="82">
        <v>0</v>
      </c>
      <c r="BA24" s="82">
        <v>1.31882624464227</v>
      </c>
      <c r="BB24" s="82">
        <v>0</v>
      </c>
      <c r="BC24" s="82">
        <v>0</v>
      </c>
      <c r="BD24" s="82">
        <v>0</v>
      </c>
      <c r="BE24" s="82">
        <v>0</v>
      </c>
      <c r="BF24" s="82">
        <v>0</v>
      </c>
      <c r="BG24" s="82">
        <v>0</v>
      </c>
      <c r="BH24" s="82">
        <v>0</v>
      </c>
      <c r="BI24" s="82">
        <v>0</v>
      </c>
      <c r="BJ24" s="82">
        <v>0</v>
      </c>
      <c r="BK24" s="82">
        <v>0</v>
      </c>
      <c r="BL24" s="82">
        <v>0</v>
      </c>
      <c r="BM24" s="82">
        <v>60.4215289353384</v>
      </c>
      <c r="BN24" s="82">
        <v>120.834960344676</v>
      </c>
      <c r="BO24" s="82">
        <v>220.781245673973</v>
      </c>
      <c r="BP24" s="82">
        <v>605.968705166356</v>
      </c>
      <c r="BQ24" s="82">
        <v>572.701062354026</v>
      </c>
      <c r="BR24" s="82">
        <v>350.214614845732</v>
      </c>
      <c r="BS24" s="82">
        <v>408.120840579141</v>
      </c>
      <c r="BT24" s="82">
        <v>1376.9217139363</v>
      </c>
      <c r="BU24" s="82">
        <v>685.461825697509</v>
      </c>
      <c r="BV24" s="82">
        <v>276.306023366926</v>
      </c>
      <c r="BW24" s="82">
        <v>275.311696675231</v>
      </c>
      <c r="BX24" s="82">
        <v>445.758563402365</v>
      </c>
      <c r="BY24" s="82">
        <v>267.284043268376</v>
      </c>
      <c r="BZ24" s="82">
        <v>150.620529714801</v>
      </c>
      <c r="CA24" s="82">
        <v>401.607725734947</v>
      </c>
      <c r="CB24" s="82">
        <v>463.171428717232</v>
      </c>
      <c r="CC24" s="82">
        <v>335.578224632103</v>
      </c>
      <c r="CD24" s="82">
        <v>305.187768634044</v>
      </c>
      <c r="CE24" s="82">
        <v>821.189420854195</v>
      </c>
      <c r="CF24" s="82">
        <v>1333.18302321523</v>
      </c>
      <c r="CG24" s="82">
        <v>1140.33314440607</v>
      </c>
      <c r="CH24" s="82">
        <v>980.752704403805</v>
      </c>
      <c r="CI24" s="82">
        <v>483.301766083415</v>
      </c>
      <c r="CJ24" s="82">
        <v>242.915826376523</v>
      </c>
      <c r="CK24" s="82">
        <v>254.415412210546</v>
      </c>
      <c r="CL24" s="82">
        <v>166.542006670722</v>
      </c>
      <c r="CM24" s="82">
        <v>214.428082715176</v>
      </c>
      <c r="CN24" s="82">
        <v>240.80187874656</v>
      </c>
      <c r="CO24" s="82">
        <v>101.92158316712</v>
      </c>
      <c r="CP24" s="82">
        <v>168.174377043859</v>
      </c>
      <c r="CQ24" s="82">
        <v>22.8654709875594</v>
      </c>
      <c r="CR24" s="82">
        <v>146.519044611639</v>
      </c>
      <c r="CS24" s="82">
        <v>0</v>
      </c>
      <c r="CT24" s="82">
        <v>124.880233898925</v>
      </c>
      <c r="CU24" s="82">
        <v>198.655631977824</v>
      </c>
      <c r="CV24" s="82">
        <v>178.05087686895</v>
      </c>
      <c r="CW24" s="82">
        <v>6.16577705046436</v>
      </c>
      <c r="CX24" s="82">
        <v>0</v>
      </c>
      <c r="CY24" s="82">
        <v>295.69847486796</v>
      </c>
      <c r="CZ24" s="83">
        <v>253.800497153122</v>
      </c>
    </row>
    <row r="25" spans="1:104">
      <c r="A25" s="84" t="s">
        <v>173</v>
      </c>
      <c r="B25" s="293">
        <v>22</v>
      </c>
      <c r="C25" s="81">
        <v>0</v>
      </c>
      <c r="D25" s="82">
        <v>0</v>
      </c>
      <c r="E25" s="82">
        <v>0</v>
      </c>
      <c r="F25" s="82">
        <v>0</v>
      </c>
      <c r="G25" s="82">
        <v>0</v>
      </c>
      <c r="H25" s="82">
        <v>0</v>
      </c>
      <c r="I25" s="82">
        <v>0</v>
      </c>
      <c r="J25" s="82">
        <v>0</v>
      </c>
      <c r="K25" s="82">
        <v>0</v>
      </c>
      <c r="L25" s="82">
        <v>0</v>
      </c>
      <c r="M25" s="82">
        <v>0</v>
      </c>
      <c r="N25" s="82">
        <v>0</v>
      </c>
      <c r="O25" s="82">
        <v>0</v>
      </c>
      <c r="P25" s="82">
        <v>0</v>
      </c>
      <c r="Q25" s="82">
        <v>0</v>
      </c>
      <c r="R25" s="82">
        <v>0</v>
      </c>
      <c r="S25" s="82">
        <v>0</v>
      </c>
      <c r="T25" s="82">
        <v>0</v>
      </c>
      <c r="U25" s="82">
        <v>0</v>
      </c>
      <c r="V25" s="82">
        <v>0</v>
      </c>
      <c r="W25" s="82">
        <v>0</v>
      </c>
      <c r="X25" s="82">
        <v>0</v>
      </c>
      <c r="Y25" s="82">
        <v>0</v>
      </c>
      <c r="Z25" s="82">
        <v>0</v>
      </c>
      <c r="AA25" s="82">
        <v>0</v>
      </c>
      <c r="AB25" s="82">
        <v>0</v>
      </c>
      <c r="AC25" s="82">
        <v>0</v>
      </c>
      <c r="AD25" s="82">
        <v>0</v>
      </c>
      <c r="AE25" s="82">
        <v>0</v>
      </c>
      <c r="AF25" s="82">
        <v>0</v>
      </c>
      <c r="AG25" s="82">
        <v>0</v>
      </c>
      <c r="AH25" s="82">
        <v>0</v>
      </c>
      <c r="AI25" s="82">
        <v>0</v>
      </c>
      <c r="AJ25" s="82">
        <v>0</v>
      </c>
      <c r="AK25" s="82">
        <v>0</v>
      </c>
      <c r="AL25" s="82">
        <v>0</v>
      </c>
      <c r="AM25" s="82">
        <v>0</v>
      </c>
      <c r="AN25" s="82">
        <v>0</v>
      </c>
      <c r="AO25" s="82">
        <v>0</v>
      </c>
      <c r="AP25" s="82">
        <v>0</v>
      </c>
      <c r="AQ25" s="82">
        <v>0</v>
      </c>
      <c r="AR25" s="82">
        <v>0</v>
      </c>
      <c r="AS25" s="82">
        <v>0</v>
      </c>
      <c r="AT25" s="82">
        <v>0</v>
      </c>
      <c r="AU25" s="82">
        <v>0</v>
      </c>
      <c r="AV25" s="82">
        <v>0</v>
      </c>
      <c r="AW25" s="82">
        <v>0</v>
      </c>
      <c r="AX25" s="82">
        <v>0</v>
      </c>
      <c r="AY25" s="82">
        <v>0</v>
      </c>
      <c r="AZ25" s="82">
        <v>0</v>
      </c>
      <c r="BA25" s="82">
        <v>0</v>
      </c>
      <c r="BB25" s="82">
        <v>0</v>
      </c>
      <c r="BC25" s="82">
        <v>0</v>
      </c>
      <c r="BD25" s="82">
        <v>0</v>
      </c>
      <c r="BE25" s="82">
        <v>0</v>
      </c>
      <c r="BF25" s="82">
        <v>0</v>
      </c>
      <c r="BG25" s="82">
        <v>0</v>
      </c>
      <c r="BH25" s="82">
        <v>0</v>
      </c>
      <c r="BI25" s="82">
        <v>0</v>
      </c>
      <c r="BJ25" s="82">
        <v>0</v>
      </c>
      <c r="BK25" s="82">
        <v>0</v>
      </c>
      <c r="BL25" s="82">
        <v>0</v>
      </c>
      <c r="BM25" s="82">
        <v>0</v>
      </c>
      <c r="BN25" s="82">
        <v>0</v>
      </c>
      <c r="BO25" s="82">
        <v>0</v>
      </c>
      <c r="BP25" s="82">
        <v>0</v>
      </c>
      <c r="BQ25" s="82">
        <v>0</v>
      </c>
      <c r="BR25" s="82">
        <v>0</v>
      </c>
      <c r="BS25" s="82">
        <v>0</v>
      </c>
      <c r="BT25" s="82">
        <v>0</v>
      </c>
      <c r="BU25" s="82">
        <v>0</v>
      </c>
      <c r="BV25" s="82">
        <v>0</v>
      </c>
      <c r="BW25" s="82">
        <v>0</v>
      </c>
      <c r="BX25" s="82">
        <v>0</v>
      </c>
      <c r="BY25" s="82">
        <v>0</v>
      </c>
      <c r="BZ25" s="82">
        <v>0</v>
      </c>
      <c r="CA25" s="82">
        <v>0</v>
      </c>
      <c r="CB25" s="82">
        <v>0</v>
      </c>
      <c r="CC25" s="82">
        <v>0</v>
      </c>
      <c r="CD25" s="82">
        <v>0</v>
      </c>
      <c r="CE25" s="82">
        <v>0</v>
      </c>
      <c r="CF25" s="82">
        <v>0</v>
      </c>
      <c r="CG25" s="82">
        <v>0</v>
      </c>
      <c r="CH25" s="82">
        <v>0</v>
      </c>
      <c r="CI25" s="82">
        <v>0</v>
      </c>
      <c r="CJ25" s="82">
        <v>0</v>
      </c>
      <c r="CK25" s="82">
        <v>0</v>
      </c>
      <c r="CL25" s="82">
        <v>0</v>
      </c>
      <c r="CM25" s="82">
        <v>0</v>
      </c>
      <c r="CN25" s="82">
        <v>0</v>
      </c>
      <c r="CO25" s="82">
        <v>0</v>
      </c>
      <c r="CP25" s="82">
        <v>0</v>
      </c>
      <c r="CQ25" s="82">
        <v>0</v>
      </c>
      <c r="CR25" s="82">
        <v>0</v>
      </c>
      <c r="CS25" s="82">
        <v>0</v>
      </c>
      <c r="CT25" s="82">
        <v>0</v>
      </c>
      <c r="CU25" s="82">
        <v>0</v>
      </c>
      <c r="CV25" s="82">
        <v>0</v>
      </c>
      <c r="CW25" s="82">
        <v>0</v>
      </c>
      <c r="CX25" s="82">
        <v>0</v>
      </c>
      <c r="CY25" s="82">
        <v>0</v>
      </c>
      <c r="CZ25" s="83">
        <v>0</v>
      </c>
    </row>
    <row r="26" spans="1:104">
      <c r="A26" s="84" t="s">
        <v>174</v>
      </c>
      <c r="B26" s="293">
        <v>23</v>
      </c>
      <c r="C26" s="81">
        <v>0</v>
      </c>
      <c r="D26" s="82">
        <v>0</v>
      </c>
      <c r="E26" s="82">
        <v>0</v>
      </c>
      <c r="F26" s="82">
        <v>0</v>
      </c>
      <c r="G26" s="82">
        <v>0</v>
      </c>
      <c r="H26" s="82">
        <v>0</v>
      </c>
      <c r="I26" s="82">
        <v>0</v>
      </c>
      <c r="J26" s="82">
        <v>0</v>
      </c>
      <c r="K26" s="82">
        <v>0</v>
      </c>
      <c r="L26" s="82">
        <v>0</v>
      </c>
      <c r="M26" s="82">
        <v>0</v>
      </c>
      <c r="N26" s="82">
        <v>0</v>
      </c>
      <c r="O26" s="82">
        <v>0</v>
      </c>
      <c r="P26" s="82">
        <v>0</v>
      </c>
      <c r="Q26" s="82">
        <v>0</v>
      </c>
      <c r="R26" s="82">
        <v>0</v>
      </c>
      <c r="S26" s="82">
        <v>0</v>
      </c>
      <c r="T26" s="82">
        <v>0</v>
      </c>
      <c r="U26" s="82">
        <v>0</v>
      </c>
      <c r="V26" s="82">
        <v>0</v>
      </c>
      <c r="W26" s="82">
        <v>0</v>
      </c>
      <c r="X26" s="82">
        <v>0</v>
      </c>
      <c r="Y26" s="82">
        <v>0</v>
      </c>
      <c r="Z26" s="82">
        <v>0</v>
      </c>
      <c r="AA26" s="82">
        <v>0</v>
      </c>
      <c r="AB26" s="82">
        <v>0</v>
      </c>
      <c r="AC26" s="82">
        <v>0</v>
      </c>
      <c r="AD26" s="82">
        <v>0</v>
      </c>
      <c r="AE26" s="82">
        <v>0</v>
      </c>
      <c r="AF26" s="82">
        <v>0</v>
      </c>
      <c r="AG26" s="82">
        <v>0</v>
      </c>
      <c r="AH26" s="82">
        <v>0</v>
      </c>
      <c r="AI26" s="82">
        <v>0</v>
      </c>
      <c r="AJ26" s="82">
        <v>0</v>
      </c>
      <c r="AK26" s="82">
        <v>0</v>
      </c>
      <c r="AL26" s="82">
        <v>0</v>
      </c>
      <c r="AM26" s="82">
        <v>0</v>
      </c>
      <c r="AN26" s="82">
        <v>0</v>
      </c>
      <c r="AO26" s="82">
        <v>0</v>
      </c>
      <c r="AP26" s="82">
        <v>0</v>
      </c>
      <c r="AQ26" s="82">
        <v>0</v>
      </c>
      <c r="AR26" s="82">
        <v>0</v>
      </c>
      <c r="AS26" s="82">
        <v>0</v>
      </c>
      <c r="AT26" s="82">
        <v>0</v>
      </c>
      <c r="AU26" s="82">
        <v>0</v>
      </c>
      <c r="AV26" s="82">
        <v>4.0731549977668</v>
      </c>
      <c r="AW26" s="82">
        <v>3.42744310554143</v>
      </c>
      <c r="AX26" s="82">
        <v>2.76159752</v>
      </c>
      <c r="AY26" s="82">
        <v>0.0120266817035956</v>
      </c>
      <c r="AZ26" s="82">
        <v>0</v>
      </c>
      <c r="BA26" s="82">
        <v>0</v>
      </c>
      <c r="BB26" s="82">
        <v>0</v>
      </c>
      <c r="BC26" s="82">
        <v>0</v>
      </c>
      <c r="BD26" s="82">
        <v>0</v>
      </c>
      <c r="BE26" s="82">
        <v>0</v>
      </c>
      <c r="BF26" s="82">
        <v>0</v>
      </c>
      <c r="BG26" s="82">
        <v>0</v>
      </c>
      <c r="BH26" s="82">
        <v>0</v>
      </c>
      <c r="BI26" s="82">
        <v>0</v>
      </c>
      <c r="BJ26" s="82">
        <v>0</v>
      </c>
      <c r="BK26" s="82">
        <v>0</v>
      </c>
      <c r="BL26" s="82">
        <v>0</v>
      </c>
      <c r="BM26" s="82">
        <v>0</v>
      </c>
      <c r="BN26" s="82">
        <v>0</v>
      </c>
      <c r="BO26" s="82">
        <v>0</v>
      </c>
      <c r="BP26" s="82">
        <v>4.13746624</v>
      </c>
      <c r="BQ26" s="82">
        <v>2.63433737</v>
      </c>
      <c r="BR26" s="82">
        <v>2.7412522</v>
      </c>
      <c r="BS26" s="82">
        <v>3.05669539</v>
      </c>
      <c r="BT26" s="82">
        <v>4.0611806</v>
      </c>
      <c r="BU26" s="82">
        <v>4.13310301</v>
      </c>
      <c r="BV26" s="82">
        <v>4.41521127</v>
      </c>
      <c r="BW26" s="82">
        <v>4.00470207</v>
      </c>
      <c r="BX26" s="82">
        <v>4.26441723</v>
      </c>
      <c r="BY26" s="82">
        <v>4.07556527</v>
      </c>
      <c r="BZ26" s="82">
        <v>3.81636185</v>
      </c>
      <c r="CA26" s="82">
        <v>4.24808103</v>
      </c>
      <c r="CB26" s="82">
        <v>4.74919818</v>
      </c>
      <c r="CC26" s="82">
        <v>5.55703252</v>
      </c>
      <c r="CD26" s="82">
        <v>5.13515102</v>
      </c>
      <c r="CE26" s="82">
        <v>4.20617056</v>
      </c>
      <c r="CF26" s="82">
        <v>4.68638343</v>
      </c>
      <c r="CG26" s="82">
        <v>4.72262246</v>
      </c>
      <c r="CH26" s="82">
        <v>4.83594898</v>
      </c>
      <c r="CI26" s="82">
        <v>3.43544324</v>
      </c>
      <c r="CJ26" s="82">
        <v>3.88177501</v>
      </c>
      <c r="CK26" s="82">
        <v>4.70302204</v>
      </c>
      <c r="CL26" s="82">
        <v>5.1213407</v>
      </c>
      <c r="CM26" s="82">
        <v>3.6554498</v>
      </c>
      <c r="CN26" s="82">
        <v>4.10446626</v>
      </c>
      <c r="CO26" s="82">
        <v>4.24916317</v>
      </c>
      <c r="CP26" s="82">
        <v>3.96570605</v>
      </c>
      <c r="CQ26" s="82">
        <v>3.74449503</v>
      </c>
      <c r="CR26" s="82">
        <v>4.1657809</v>
      </c>
      <c r="CS26" s="82">
        <v>4.93314724</v>
      </c>
      <c r="CT26" s="82">
        <v>4.84380474</v>
      </c>
      <c r="CU26" s="82">
        <v>3.90954946</v>
      </c>
      <c r="CV26" s="82">
        <v>4.46664373</v>
      </c>
      <c r="CW26" s="82">
        <v>5.23828571</v>
      </c>
      <c r="CX26" s="82">
        <v>6.30080342</v>
      </c>
      <c r="CY26" s="82">
        <v>5.5327994</v>
      </c>
      <c r="CZ26" s="83">
        <v>6.8925595</v>
      </c>
    </row>
    <row r="27" spans="1:104">
      <c r="A27" s="84" t="s">
        <v>175</v>
      </c>
      <c r="B27" s="293">
        <v>24</v>
      </c>
      <c r="C27" s="81">
        <v>0</v>
      </c>
      <c r="D27" s="82">
        <v>0</v>
      </c>
      <c r="E27" s="82">
        <v>0</v>
      </c>
      <c r="F27" s="82">
        <v>0.055384</v>
      </c>
      <c r="G27" s="82">
        <v>0.18167838</v>
      </c>
      <c r="H27" s="82">
        <v>0.291810392092215</v>
      </c>
      <c r="I27" s="82">
        <v>0.229218003899355</v>
      </c>
      <c r="J27" s="82">
        <v>0.39009444221216</v>
      </c>
      <c r="K27" s="82">
        <v>0.460856815716394</v>
      </c>
      <c r="L27" s="82">
        <v>0.347555323296435</v>
      </c>
      <c r="M27" s="82">
        <v>0.530203867121622</v>
      </c>
      <c r="N27" s="82">
        <v>0.684616263546018</v>
      </c>
      <c r="O27" s="82">
        <v>0.378564207038552</v>
      </c>
      <c r="P27" s="82">
        <v>0.479468069482674</v>
      </c>
      <c r="Q27" s="82">
        <v>1.85828224540731</v>
      </c>
      <c r="R27" s="82">
        <v>1.59789688882729</v>
      </c>
      <c r="S27" s="82">
        <v>1.249351142672</v>
      </c>
      <c r="T27" s="82">
        <v>2.72798224805447</v>
      </c>
      <c r="U27" s="82">
        <v>1.0423986</v>
      </c>
      <c r="V27" s="82">
        <v>3.30664515</v>
      </c>
      <c r="W27" s="82">
        <v>0.86563863</v>
      </c>
      <c r="X27" s="82">
        <v>1.06025989</v>
      </c>
      <c r="Y27" s="82">
        <v>2.26724019</v>
      </c>
      <c r="Z27" s="82">
        <v>1.18609013</v>
      </c>
      <c r="AA27" s="82">
        <v>1.20077779</v>
      </c>
      <c r="AB27" s="82">
        <v>1.10994264</v>
      </c>
      <c r="AC27" s="82">
        <v>0.50204387</v>
      </c>
      <c r="AD27" s="82">
        <v>0.26785095</v>
      </c>
      <c r="AE27" s="82">
        <v>0.20791816</v>
      </c>
      <c r="AF27" s="82">
        <v>0.21613463</v>
      </c>
      <c r="AG27" s="82">
        <v>0.19338334</v>
      </c>
      <c r="AH27" s="82">
        <v>0.14614862</v>
      </c>
      <c r="AI27" s="82">
        <v>0</v>
      </c>
      <c r="AJ27" s="82">
        <v>0</v>
      </c>
      <c r="AK27" s="82">
        <v>0</v>
      </c>
      <c r="AL27" s="82">
        <v>0</v>
      </c>
      <c r="AM27" s="82">
        <v>0</v>
      </c>
      <c r="AN27" s="82">
        <v>0</v>
      </c>
      <c r="AO27" s="82">
        <v>0</v>
      </c>
      <c r="AP27" s="82">
        <v>0</v>
      </c>
      <c r="AQ27" s="82">
        <v>0</v>
      </c>
      <c r="AR27" s="82">
        <v>0</v>
      </c>
      <c r="AS27" s="82">
        <v>0</v>
      </c>
      <c r="AT27" s="82">
        <v>0</v>
      </c>
      <c r="AU27" s="82">
        <v>0</v>
      </c>
      <c r="AV27" s="82">
        <v>0</v>
      </c>
      <c r="AW27" s="82">
        <v>0</v>
      </c>
      <c r="AX27" s="82">
        <v>0</v>
      </c>
      <c r="AY27" s="82">
        <v>0</v>
      </c>
      <c r="AZ27" s="82">
        <v>3.66258096</v>
      </c>
      <c r="BA27" s="82">
        <v>3.17133068</v>
      </c>
      <c r="BB27" s="82">
        <v>4.05805936</v>
      </c>
      <c r="BC27" s="82">
        <v>4.02004498</v>
      </c>
      <c r="BD27" s="82">
        <v>6.04069702</v>
      </c>
      <c r="BE27" s="82">
        <v>9.32075394322799</v>
      </c>
      <c r="BF27" s="82">
        <v>5.59468332653106</v>
      </c>
      <c r="BG27" s="82">
        <v>6.29897808999177</v>
      </c>
      <c r="BH27" s="82">
        <v>6.33561678</v>
      </c>
      <c r="BI27" s="82">
        <v>6.94911867</v>
      </c>
      <c r="BJ27" s="82">
        <v>6.40697273</v>
      </c>
      <c r="BK27" s="82">
        <v>5.03777667042146</v>
      </c>
      <c r="BL27" s="82">
        <v>5.07237767</v>
      </c>
      <c r="BM27" s="82">
        <v>3.72113671</v>
      </c>
      <c r="BN27" s="82">
        <v>7.49811886515114</v>
      </c>
      <c r="BO27" s="82">
        <v>4.56929913</v>
      </c>
      <c r="BP27" s="82">
        <v>0</v>
      </c>
      <c r="BQ27" s="82">
        <v>0</v>
      </c>
      <c r="BR27" s="82">
        <v>0</v>
      </c>
      <c r="BS27" s="82">
        <v>0</v>
      </c>
      <c r="BT27" s="82">
        <v>0</v>
      </c>
      <c r="BU27" s="82">
        <v>0</v>
      </c>
      <c r="BV27" s="82">
        <v>0</v>
      </c>
      <c r="BW27" s="82">
        <v>0</v>
      </c>
      <c r="BX27" s="82">
        <v>0</v>
      </c>
      <c r="BY27" s="82">
        <v>0</v>
      </c>
      <c r="BZ27" s="82">
        <v>0</v>
      </c>
      <c r="CA27" s="82">
        <v>0</v>
      </c>
      <c r="CB27" s="82">
        <v>0</v>
      </c>
      <c r="CC27" s="82">
        <v>0</v>
      </c>
      <c r="CD27" s="82">
        <v>0</v>
      </c>
      <c r="CE27" s="82">
        <v>0</v>
      </c>
      <c r="CF27" s="82">
        <v>0</v>
      </c>
      <c r="CG27" s="82">
        <v>0</v>
      </c>
      <c r="CH27" s="82">
        <v>0</v>
      </c>
      <c r="CI27" s="82">
        <v>0</v>
      </c>
      <c r="CJ27" s="82">
        <v>0</v>
      </c>
      <c r="CK27" s="82">
        <v>0</v>
      </c>
      <c r="CL27" s="82">
        <v>0</v>
      </c>
      <c r="CM27" s="82">
        <v>0</v>
      </c>
      <c r="CN27" s="82">
        <v>0</v>
      </c>
      <c r="CO27" s="82">
        <v>0</v>
      </c>
      <c r="CP27" s="82">
        <v>0</v>
      </c>
      <c r="CQ27" s="82">
        <v>0</v>
      </c>
      <c r="CR27" s="82">
        <v>0</v>
      </c>
      <c r="CS27" s="82">
        <v>0</v>
      </c>
      <c r="CT27" s="82">
        <v>0</v>
      </c>
      <c r="CU27" s="82">
        <v>0</v>
      </c>
      <c r="CV27" s="82">
        <v>0</v>
      </c>
      <c r="CW27" s="82">
        <v>0</v>
      </c>
      <c r="CX27" s="82">
        <v>0</v>
      </c>
      <c r="CY27" s="82">
        <v>0</v>
      </c>
      <c r="CZ27" s="83">
        <v>0</v>
      </c>
    </row>
    <row r="28" ht="12.75" customHeight="1" spans="1:104">
      <c r="A28" s="75" t="s">
        <v>166</v>
      </c>
      <c r="B28" s="290" t="s">
        <v>181</v>
      </c>
      <c r="C28" s="72">
        <v>1.90271499</v>
      </c>
      <c r="D28" s="73">
        <v>1.90271499</v>
      </c>
      <c r="E28" s="73">
        <v>1.90271499</v>
      </c>
      <c r="F28" s="73">
        <v>1.90271499</v>
      </c>
      <c r="G28" s="73">
        <v>1.90271499</v>
      </c>
      <c r="H28" s="73">
        <v>1.90271499</v>
      </c>
      <c r="I28" s="73">
        <v>1.90271499</v>
      </c>
      <c r="J28" s="73">
        <v>1.90271499</v>
      </c>
      <c r="K28" s="73">
        <v>1.90271499</v>
      </c>
      <c r="L28" s="73">
        <v>1.90271499</v>
      </c>
      <c r="M28" s="73">
        <v>1.90271499</v>
      </c>
      <c r="N28" s="73">
        <v>1.90271499</v>
      </c>
      <c r="O28" s="73">
        <v>1.88723864</v>
      </c>
      <c r="P28" s="73">
        <v>1.90271499</v>
      </c>
      <c r="Q28" s="73">
        <v>1.90271499</v>
      </c>
      <c r="R28" s="73">
        <v>1.90271499</v>
      </c>
      <c r="S28" s="73">
        <v>1.90271499</v>
      </c>
      <c r="T28" s="73">
        <v>1.90271499</v>
      </c>
      <c r="U28" s="73">
        <v>1.90271499</v>
      </c>
      <c r="V28" s="73">
        <v>1.90271499</v>
      </c>
      <c r="W28" s="73">
        <v>1.90271499</v>
      </c>
      <c r="X28" s="73">
        <v>1.90271499</v>
      </c>
      <c r="Y28" s="73">
        <v>1.90271499</v>
      </c>
      <c r="Z28" s="73">
        <v>1.90271499</v>
      </c>
      <c r="AA28" s="73">
        <v>1.90271499</v>
      </c>
      <c r="AB28" s="73">
        <v>1.90271499</v>
      </c>
      <c r="AC28" s="73">
        <v>1.90271499</v>
      </c>
      <c r="AD28" s="73">
        <v>1.90271499</v>
      </c>
      <c r="AE28" s="73">
        <v>1.90271499</v>
      </c>
      <c r="AF28" s="73">
        <v>1.90271499</v>
      </c>
      <c r="AG28" s="73">
        <v>1.90271499</v>
      </c>
      <c r="AH28" s="73">
        <v>1.90271499</v>
      </c>
      <c r="AI28" s="73">
        <v>1.90271499</v>
      </c>
      <c r="AJ28" s="73">
        <v>1.90271499</v>
      </c>
      <c r="AK28" s="73">
        <v>1.90271499</v>
      </c>
      <c r="AL28" s="73">
        <v>543.117528601016</v>
      </c>
      <c r="AM28" s="73">
        <v>537.76559411584</v>
      </c>
      <c r="AN28" s="73">
        <v>523.646732424798</v>
      </c>
      <c r="AO28" s="73">
        <v>507.934237253619</v>
      </c>
      <c r="AP28" s="73">
        <v>534.43583833337</v>
      </c>
      <c r="AQ28" s="73">
        <v>530.215678400136</v>
      </c>
      <c r="AR28" s="73">
        <v>543.868558326026</v>
      </c>
      <c r="AS28" s="73">
        <v>549.896991533635</v>
      </c>
      <c r="AT28" s="73">
        <v>539.634978610848</v>
      </c>
      <c r="AU28" s="73">
        <v>526.92797191004</v>
      </c>
      <c r="AV28" s="73">
        <v>534.060317465292</v>
      </c>
      <c r="AW28" s="73">
        <v>523.870888446361</v>
      </c>
      <c r="AX28" s="73">
        <v>531.853791551525</v>
      </c>
      <c r="AY28" s="73">
        <v>530.82088444845</v>
      </c>
      <c r="AZ28" s="73">
        <v>517.396510753715</v>
      </c>
      <c r="BA28" s="73">
        <v>519.38921041938</v>
      </c>
      <c r="BB28" s="73">
        <v>529.322061558472</v>
      </c>
      <c r="BC28" s="73">
        <v>536.00482422909</v>
      </c>
      <c r="BD28" s="73">
        <v>537.32254863646</v>
      </c>
      <c r="BE28" s="73">
        <v>537.428524707722</v>
      </c>
      <c r="BF28" s="73">
        <v>741.585122919208</v>
      </c>
      <c r="BG28" s="73">
        <v>738.078497909685</v>
      </c>
      <c r="BH28" s="73">
        <v>747.732582854743</v>
      </c>
      <c r="BI28" s="73">
        <v>768.284403121514</v>
      </c>
      <c r="BJ28" s="73">
        <v>795.383611818681</v>
      </c>
      <c r="BK28" s="73">
        <v>822.869559123409</v>
      </c>
      <c r="BL28" s="73">
        <v>787.302340323273</v>
      </c>
      <c r="BM28" s="73">
        <v>724.627763034399</v>
      </c>
      <c r="BN28" s="73">
        <v>560.856758784008</v>
      </c>
      <c r="BO28" s="73">
        <v>513.763195117741</v>
      </c>
      <c r="BP28" s="73">
        <v>493.438985770993</v>
      </c>
      <c r="BQ28" s="73">
        <v>504.107687914842</v>
      </c>
      <c r="BR28" s="73">
        <v>501.438843733232</v>
      </c>
      <c r="BS28" s="73">
        <v>504.562188387897</v>
      </c>
      <c r="BT28" s="73">
        <v>511.01574059706</v>
      </c>
      <c r="BU28" s="73">
        <v>494.055468682147</v>
      </c>
      <c r="BV28" s="73">
        <v>488.085628551463</v>
      </c>
      <c r="BW28" s="73">
        <v>484.155405589073</v>
      </c>
      <c r="BX28" s="73">
        <v>483.219006995417</v>
      </c>
      <c r="BY28" s="73">
        <v>483.921851433044</v>
      </c>
      <c r="BZ28" s="73">
        <v>474.940507436204</v>
      </c>
      <c r="CA28" s="73">
        <v>481.394132766353</v>
      </c>
      <c r="CB28" s="73">
        <v>477.129637292974</v>
      </c>
      <c r="CC28" s="73">
        <v>480.327824256877</v>
      </c>
      <c r="CD28" s="73">
        <v>489.884345394429</v>
      </c>
      <c r="CE28" s="73">
        <v>501.343596049716</v>
      </c>
      <c r="CF28" s="73">
        <v>493.222386998686</v>
      </c>
      <c r="CG28" s="73">
        <v>496.664435394124</v>
      </c>
      <c r="CH28" s="73">
        <v>2061.46401230662</v>
      </c>
      <c r="CI28" s="73">
        <v>2041.13285111778</v>
      </c>
      <c r="CJ28" s="73">
        <v>2017.39516737131</v>
      </c>
      <c r="CK28" s="73">
        <v>1943.92909430867</v>
      </c>
      <c r="CL28" s="73">
        <v>1860.81621040875</v>
      </c>
      <c r="CM28" s="73">
        <v>1940.91677433244</v>
      </c>
      <c r="CN28" s="73">
        <v>1962.60033927248</v>
      </c>
      <c r="CO28" s="73">
        <v>1945.34499252344</v>
      </c>
      <c r="CP28" s="73">
        <v>1912.46635785566</v>
      </c>
      <c r="CQ28" s="73">
        <v>1956.71496710995</v>
      </c>
      <c r="CR28" s="73">
        <v>1930.11843034365</v>
      </c>
      <c r="CS28" s="73">
        <v>1917.83711407648</v>
      </c>
      <c r="CT28" s="73">
        <v>1976.13700587449</v>
      </c>
      <c r="CU28" s="73">
        <v>1901.98697728356</v>
      </c>
      <c r="CV28" s="73">
        <v>1933.3586491895</v>
      </c>
      <c r="CW28" s="73">
        <v>2002.9278509925</v>
      </c>
      <c r="CX28" s="73">
        <v>1997.34022462221</v>
      </c>
      <c r="CY28" s="73">
        <v>1999.05908826908</v>
      </c>
      <c r="CZ28" s="74">
        <v>1980.21406894022</v>
      </c>
    </row>
    <row r="29" spans="1:104">
      <c r="A29" s="84" t="s">
        <v>177</v>
      </c>
      <c r="B29" s="293">
        <v>26</v>
      </c>
      <c r="C29" s="81">
        <v>0</v>
      </c>
      <c r="D29" s="82">
        <v>0</v>
      </c>
      <c r="E29" s="82">
        <v>0</v>
      </c>
      <c r="F29" s="82">
        <v>0</v>
      </c>
      <c r="G29" s="82">
        <v>0</v>
      </c>
      <c r="H29" s="82">
        <v>0</v>
      </c>
      <c r="I29" s="82">
        <v>0</v>
      </c>
      <c r="J29" s="82">
        <v>0</v>
      </c>
      <c r="K29" s="82">
        <v>0</v>
      </c>
      <c r="L29" s="82">
        <v>0</v>
      </c>
      <c r="M29" s="82">
        <v>0</v>
      </c>
      <c r="N29" s="82">
        <v>0</v>
      </c>
      <c r="O29" s="82">
        <v>0</v>
      </c>
      <c r="P29" s="82">
        <v>0</v>
      </c>
      <c r="Q29" s="82">
        <v>0</v>
      </c>
      <c r="R29" s="82">
        <v>0</v>
      </c>
      <c r="S29" s="82">
        <v>0</v>
      </c>
      <c r="T29" s="82">
        <v>0</v>
      </c>
      <c r="U29" s="82">
        <v>0</v>
      </c>
      <c r="V29" s="82">
        <v>0</v>
      </c>
      <c r="W29" s="82">
        <v>0</v>
      </c>
      <c r="X29" s="82">
        <v>0</v>
      </c>
      <c r="Y29" s="82">
        <v>0</v>
      </c>
      <c r="Z29" s="82">
        <v>0</v>
      </c>
      <c r="AA29" s="82">
        <v>0</v>
      </c>
      <c r="AB29" s="82">
        <v>0</v>
      </c>
      <c r="AC29" s="82">
        <v>0</v>
      </c>
      <c r="AD29" s="82">
        <v>0</v>
      </c>
      <c r="AE29" s="82">
        <v>0</v>
      </c>
      <c r="AF29" s="82">
        <v>0</v>
      </c>
      <c r="AG29" s="82">
        <v>0</v>
      </c>
      <c r="AH29" s="82">
        <v>0</v>
      </c>
      <c r="AI29" s="82">
        <v>0</v>
      </c>
      <c r="AJ29" s="82">
        <v>0</v>
      </c>
      <c r="AK29" s="82">
        <v>0</v>
      </c>
      <c r="AL29" s="82">
        <v>542.128021611328</v>
      </c>
      <c r="AM29" s="82">
        <v>536.77641505584</v>
      </c>
      <c r="AN29" s="82">
        <v>522.190696333787</v>
      </c>
      <c r="AO29" s="82">
        <v>506.944332523619</v>
      </c>
      <c r="AP29" s="82">
        <v>533.446659273362</v>
      </c>
      <c r="AQ29" s="82">
        <v>529.22649934</v>
      </c>
      <c r="AR29" s="82">
        <v>542.864144827454</v>
      </c>
      <c r="AS29" s="82">
        <v>548.907812473634</v>
      </c>
      <c r="AT29" s="82">
        <v>538.597265070208</v>
      </c>
      <c r="AU29" s="82">
        <v>525.924275672574</v>
      </c>
      <c r="AV29" s="82">
        <v>530.957209142654</v>
      </c>
      <c r="AW29" s="82">
        <v>519.114225073016</v>
      </c>
      <c r="AX29" s="82">
        <v>529.147614495196</v>
      </c>
      <c r="AY29" s="82">
        <v>529.831031534032</v>
      </c>
      <c r="AZ29" s="82">
        <v>516.407331693715</v>
      </c>
      <c r="BA29" s="82">
        <v>518.40003135938</v>
      </c>
      <c r="BB29" s="82">
        <v>528.332882498472</v>
      </c>
      <c r="BC29" s="82">
        <v>535.01564516909</v>
      </c>
      <c r="BD29" s="82">
        <v>536.33317108239</v>
      </c>
      <c r="BE29" s="82">
        <v>536.439345647722</v>
      </c>
      <c r="BF29" s="82">
        <v>516.712468149203</v>
      </c>
      <c r="BG29" s="82">
        <v>503.205843139676</v>
      </c>
      <c r="BH29" s="82">
        <v>480.656446034743</v>
      </c>
      <c r="BI29" s="82">
        <v>487.502273291514</v>
      </c>
      <c r="BJ29" s="82">
        <v>488.055158658681</v>
      </c>
      <c r="BK29" s="82">
        <v>481.831760103409</v>
      </c>
      <c r="BL29" s="82">
        <v>488.679880173273</v>
      </c>
      <c r="BM29" s="82">
        <v>484.962995194413</v>
      </c>
      <c r="BN29" s="82">
        <v>485.788321224498</v>
      </c>
      <c r="BO29" s="82">
        <v>465.570534007741</v>
      </c>
      <c r="BP29" s="82">
        <v>472.449806710993</v>
      </c>
      <c r="BQ29" s="82">
        <v>483.118508854842</v>
      </c>
      <c r="BR29" s="82">
        <v>490.449664673232</v>
      </c>
      <c r="BS29" s="82">
        <v>493.573009327897</v>
      </c>
      <c r="BT29" s="82">
        <v>505.04203788706</v>
      </c>
      <c r="BU29" s="82">
        <v>488.081765972147</v>
      </c>
      <c r="BV29" s="82">
        <v>487.111925841463</v>
      </c>
      <c r="BW29" s="82">
        <v>483.181702879073</v>
      </c>
      <c r="BX29" s="82">
        <v>482.245304285417</v>
      </c>
      <c r="BY29" s="82">
        <v>482.948148723044</v>
      </c>
      <c r="BZ29" s="82">
        <v>473.966804726204</v>
      </c>
      <c r="CA29" s="82">
        <v>480.420430056353</v>
      </c>
      <c r="CB29" s="82">
        <v>476.155934582974</v>
      </c>
      <c r="CC29" s="82">
        <v>479.354121546877</v>
      </c>
      <c r="CD29" s="82">
        <v>488.910642684429</v>
      </c>
      <c r="CE29" s="82">
        <v>500.369893339716</v>
      </c>
      <c r="CF29" s="82">
        <v>492.248684288686</v>
      </c>
      <c r="CG29" s="82">
        <v>495.690732684124</v>
      </c>
      <c r="CH29" s="82">
        <v>2060.49030959662</v>
      </c>
      <c r="CI29" s="82">
        <v>2040.15914840778</v>
      </c>
      <c r="CJ29" s="82">
        <v>2016.40266467131</v>
      </c>
      <c r="CK29" s="82">
        <v>1942.93659159867</v>
      </c>
      <c r="CL29" s="82">
        <v>1859.82370770875</v>
      </c>
      <c r="CM29" s="82">
        <v>1939.94307162244</v>
      </c>
      <c r="CN29" s="82">
        <v>1961.62663656248</v>
      </c>
      <c r="CO29" s="82">
        <v>1944.37128981344</v>
      </c>
      <c r="CP29" s="82">
        <v>1911.49265514566</v>
      </c>
      <c r="CQ29" s="82">
        <v>1955.74126439995</v>
      </c>
      <c r="CR29" s="82">
        <v>1929.14472763365</v>
      </c>
      <c r="CS29" s="82">
        <v>1916.86341136648</v>
      </c>
      <c r="CT29" s="82">
        <v>1975.16330316449</v>
      </c>
      <c r="CU29" s="82">
        <v>1901.01327457356</v>
      </c>
      <c r="CV29" s="82">
        <v>1932.3849464795</v>
      </c>
      <c r="CW29" s="82">
        <v>2001.9541482825</v>
      </c>
      <c r="CX29" s="82">
        <v>1996.36652191221</v>
      </c>
      <c r="CY29" s="82">
        <v>1998.08538555908</v>
      </c>
      <c r="CZ29" s="83">
        <v>1979.24036623022</v>
      </c>
    </row>
    <row r="30" spans="1:104">
      <c r="A30" s="84" t="s">
        <v>171</v>
      </c>
      <c r="B30" s="293">
        <v>27</v>
      </c>
      <c r="C30" s="81">
        <v>0</v>
      </c>
      <c r="D30" s="82">
        <v>0</v>
      </c>
      <c r="E30" s="82">
        <v>0</v>
      </c>
      <c r="F30" s="82">
        <v>0</v>
      </c>
      <c r="G30" s="82">
        <v>0</v>
      </c>
      <c r="H30" s="82">
        <v>0</v>
      </c>
      <c r="I30" s="82">
        <v>0</v>
      </c>
      <c r="J30" s="82">
        <v>0</v>
      </c>
      <c r="K30" s="82">
        <v>0</v>
      </c>
      <c r="L30" s="82">
        <v>0</v>
      </c>
      <c r="M30" s="82">
        <v>0</v>
      </c>
      <c r="N30" s="82">
        <v>0</v>
      </c>
      <c r="O30" s="82">
        <v>0</v>
      </c>
      <c r="P30" s="82">
        <v>0</v>
      </c>
      <c r="Q30" s="82">
        <v>0</v>
      </c>
      <c r="R30" s="82">
        <v>0</v>
      </c>
      <c r="S30" s="82">
        <v>0</v>
      </c>
      <c r="T30" s="82">
        <v>0</v>
      </c>
      <c r="U30" s="82">
        <v>0</v>
      </c>
      <c r="V30" s="82">
        <v>0</v>
      </c>
      <c r="W30" s="82">
        <v>0</v>
      </c>
      <c r="X30" s="82">
        <v>0</v>
      </c>
      <c r="Y30" s="82">
        <v>0</v>
      </c>
      <c r="Z30" s="82">
        <v>0</v>
      </c>
      <c r="AA30" s="82">
        <v>0</v>
      </c>
      <c r="AB30" s="82">
        <v>0</v>
      </c>
      <c r="AC30" s="82">
        <v>0</v>
      </c>
      <c r="AD30" s="82">
        <v>0</v>
      </c>
      <c r="AE30" s="82">
        <v>0</v>
      </c>
      <c r="AF30" s="82">
        <v>0</v>
      </c>
      <c r="AG30" s="82">
        <v>0</v>
      </c>
      <c r="AH30" s="82">
        <v>0</v>
      </c>
      <c r="AI30" s="82">
        <v>0</v>
      </c>
      <c r="AJ30" s="82">
        <v>0</v>
      </c>
      <c r="AK30" s="82">
        <v>0</v>
      </c>
      <c r="AL30" s="82">
        <v>0</v>
      </c>
      <c r="AM30" s="82">
        <v>0</v>
      </c>
      <c r="AN30" s="82">
        <v>0</v>
      </c>
      <c r="AO30" s="82">
        <v>0</v>
      </c>
      <c r="AP30" s="82">
        <v>0</v>
      </c>
      <c r="AQ30" s="82">
        <v>0</v>
      </c>
      <c r="AR30" s="82">
        <v>0</v>
      </c>
      <c r="AS30" s="82">
        <v>0</v>
      </c>
      <c r="AT30" s="82">
        <v>0</v>
      </c>
      <c r="AU30" s="82">
        <v>0</v>
      </c>
      <c r="AV30" s="82">
        <v>0</v>
      </c>
      <c r="AW30" s="82">
        <v>0</v>
      </c>
      <c r="AX30" s="82">
        <v>0</v>
      </c>
      <c r="AY30" s="82">
        <v>0</v>
      </c>
      <c r="AZ30" s="82">
        <v>0</v>
      </c>
      <c r="BA30" s="82">
        <v>0</v>
      </c>
      <c r="BB30" s="82">
        <v>0</v>
      </c>
      <c r="BC30" s="82">
        <v>0</v>
      </c>
      <c r="BD30" s="82">
        <v>0</v>
      </c>
      <c r="BE30" s="82">
        <v>0</v>
      </c>
      <c r="BF30" s="82">
        <v>223.883475710006</v>
      </c>
      <c r="BG30" s="82">
        <v>233.883475710008</v>
      </c>
      <c r="BH30" s="82">
        <v>266.08695776</v>
      </c>
      <c r="BI30" s="82">
        <v>279.79295077</v>
      </c>
      <c r="BJ30" s="82">
        <v>306.3392741</v>
      </c>
      <c r="BK30" s="82">
        <v>340.04861996</v>
      </c>
      <c r="BL30" s="82">
        <v>297.63328109</v>
      </c>
      <c r="BM30" s="82">
        <v>238.675588779986</v>
      </c>
      <c r="BN30" s="82">
        <v>73.74980538</v>
      </c>
      <c r="BO30" s="82">
        <v>47.20348205</v>
      </c>
      <c r="BP30" s="82">
        <v>20</v>
      </c>
      <c r="BQ30" s="82">
        <v>20</v>
      </c>
      <c r="BR30" s="82">
        <v>10</v>
      </c>
      <c r="BS30" s="82">
        <v>10</v>
      </c>
      <c r="BT30" s="82">
        <v>5</v>
      </c>
      <c r="BU30" s="82">
        <v>5</v>
      </c>
      <c r="BV30" s="82">
        <v>0</v>
      </c>
      <c r="BW30" s="82">
        <v>0</v>
      </c>
      <c r="BX30" s="82">
        <v>0</v>
      </c>
      <c r="BY30" s="82">
        <v>0</v>
      </c>
      <c r="BZ30" s="82">
        <v>0</v>
      </c>
      <c r="CA30" s="82">
        <v>0</v>
      </c>
      <c r="CB30" s="82">
        <v>0</v>
      </c>
      <c r="CC30" s="82">
        <v>0</v>
      </c>
      <c r="CD30" s="82">
        <v>0</v>
      </c>
      <c r="CE30" s="82">
        <v>0</v>
      </c>
      <c r="CF30" s="82">
        <v>0</v>
      </c>
      <c r="CG30" s="82">
        <v>0</v>
      </c>
      <c r="CH30" s="82">
        <v>0</v>
      </c>
      <c r="CI30" s="82">
        <v>0</v>
      </c>
      <c r="CJ30" s="82">
        <v>0</v>
      </c>
      <c r="CK30" s="82">
        <v>0</v>
      </c>
      <c r="CL30" s="82">
        <v>0</v>
      </c>
      <c r="CM30" s="82">
        <v>0</v>
      </c>
      <c r="CN30" s="82">
        <v>0</v>
      </c>
      <c r="CO30" s="82">
        <v>0</v>
      </c>
      <c r="CP30" s="82">
        <v>0</v>
      </c>
      <c r="CQ30" s="82">
        <v>0</v>
      </c>
      <c r="CR30" s="82">
        <v>0</v>
      </c>
      <c r="CS30" s="82">
        <v>0</v>
      </c>
      <c r="CT30" s="82">
        <v>0</v>
      </c>
      <c r="CU30" s="82">
        <v>0</v>
      </c>
      <c r="CV30" s="82">
        <v>0</v>
      </c>
      <c r="CW30" s="82">
        <v>0</v>
      </c>
      <c r="CX30" s="82">
        <v>0</v>
      </c>
      <c r="CY30" s="82">
        <v>0</v>
      </c>
      <c r="CZ30" s="83">
        <v>0</v>
      </c>
    </row>
    <row r="31" ht="15" spans="1:104">
      <c r="A31" s="84" t="s">
        <v>172</v>
      </c>
      <c r="B31" s="293">
        <v>28</v>
      </c>
      <c r="C31" s="81">
        <v>0</v>
      </c>
      <c r="D31" s="82">
        <v>0</v>
      </c>
      <c r="E31" s="82">
        <v>0</v>
      </c>
      <c r="F31" s="82">
        <v>0</v>
      </c>
      <c r="G31" s="82">
        <v>0</v>
      </c>
      <c r="H31" s="82">
        <v>0</v>
      </c>
      <c r="I31" s="82">
        <v>0</v>
      </c>
      <c r="J31" s="82">
        <v>0</v>
      </c>
      <c r="K31" s="82">
        <v>0</v>
      </c>
      <c r="L31" s="82">
        <v>0</v>
      </c>
      <c r="M31" s="82">
        <v>0</v>
      </c>
      <c r="N31" s="82">
        <v>0</v>
      </c>
      <c r="O31" s="82">
        <v>0</v>
      </c>
      <c r="P31" s="82">
        <v>0</v>
      </c>
      <c r="Q31" s="82">
        <v>0</v>
      </c>
      <c r="R31" s="82">
        <v>0</v>
      </c>
      <c r="S31" s="82">
        <v>0</v>
      </c>
      <c r="T31" s="82">
        <v>0</v>
      </c>
      <c r="U31" s="82">
        <v>0</v>
      </c>
      <c r="V31" s="82">
        <v>0</v>
      </c>
      <c r="W31" s="82">
        <v>0</v>
      </c>
      <c r="X31" s="82">
        <v>0</v>
      </c>
      <c r="Y31" s="82">
        <v>0</v>
      </c>
      <c r="Z31" s="82">
        <v>0</v>
      </c>
      <c r="AA31" s="82">
        <v>0</v>
      </c>
      <c r="AB31" s="82">
        <v>0</v>
      </c>
      <c r="AC31" s="82">
        <v>0</v>
      </c>
      <c r="AD31" s="82">
        <v>0</v>
      </c>
      <c r="AE31" s="82">
        <v>0</v>
      </c>
      <c r="AF31" s="82">
        <v>0</v>
      </c>
      <c r="AG31" s="82">
        <v>0</v>
      </c>
      <c r="AH31" s="82">
        <v>0</v>
      </c>
      <c r="AI31" s="82">
        <v>0</v>
      </c>
      <c r="AJ31" s="82">
        <v>0</v>
      </c>
      <c r="AK31" s="82">
        <v>0</v>
      </c>
      <c r="AL31" s="82">
        <v>0</v>
      </c>
      <c r="AM31" s="82">
        <v>0</v>
      </c>
      <c r="AN31" s="82">
        <v>0</v>
      </c>
      <c r="AO31" s="82">
        <v>0</v>
      </c>
      <c r="AP31" s="82">
        <v>0</v>
      </c>
      <c r="AQ31" s="82">
        <v>0</v>
      </c>
      <c r="AR31" s="82">
        <v>0</v>
      </c>
      <c r="AS31" s="82">
        <v>0</v>
      </c>
      <c r="AT31" s="82">
        <v>0</v>
      </c>
      <c r="AU31" s="82">
        <v>0</v>
      </c>
      <c r="AV31" s="82">
        <v>0</v>
      </c>
      <c r="AW31" s="82">
        <v>0</v>
      </c>
      <c r="AX31" s="82">
        <v>0</v>
      </c>
      <c r="AY31" s="82">
        <v>0</v>
      </c>
      <c r="AZ31" s="82">
        <v>0</v>
      </c>
      <c r="BA31" s="82">
        <v>0</v>
      </c>
      <c r="BB31" s="82">
        <v>0</v>
      </c>
      <c r="BC31" s="82">
        <v>0</v>
      </c>
      <c r="BD31" s="82">
        <v>0</v>
      </c>
      <c r="BE31" s="82">
        <v>0</v>
      </c>
      <c r="BF31" s="82">
        <v>0</v>
      </c>
      <c r="BG31" s="82">
        <v>0</v>
      </c>
      <c r="BH31" s="82">
        <v>0</v>
      </c>
      <c r="BI31" s="82">
        <v>0</v>
      </c>
      <c r="BJ31" s="82">
        <v>0</v>
      </c>
      <c r="BK31" s="82">
        <v>0</v>
      </c>
      <c r="BL31" s="82">
        <v>0</v>
      </c>
      <c r="BM31" s="82">
        <v>0</v>
      </c>
      <c r="BN31" s="82">
        <v>0</v>
      </c>
      <c r="BO31" s="82">
        <v>0</v>
      </c>
      <c r="BP31" s="82">
        <v>0</v>
      </c>
      <c r="BQ31" s="82">
        <v>0</v>
      </c>
      <c r="BR31" s="82">
        <v>0</v>
      </c>
      <c r="BS31" s="82">
        <v>0</v>
      </c>
      <c r="BT31" s="82">
        <v>0</v>
      </c>
      <c r="BU31" s="82">
        <v>0</v>
      </c>
      <c r="BV31" s="82">
        <v>0</v>
      </c>
      <c r="BW31" s="82">
        <v>0</v>
      </c>
      <c r="BX31" s="82">
        <v>0</v>
      </c>
      <c r="BY31" s="82">
        <v>0</v>
      </c>
      <c r="BZ31" s="82">
        <v>0</v>
      </c>
      <c r="CA31" s="82">
        <v>0</v>
      </c>
      <c r="CB31" s="82">
        <v>0</v>
      </c>
      <c r="CC31" s="82">
        <v>0</v>
      </c>
      <c r="CD31" s="82">
        <v>0</v>
      </c>
      <c r="CE31" s="82">
        <v>0</v>
      </c>
      <c r="CF31" s="82">
        <v>0</v>
      </c>
      <c r="CG31" s="82">
        <v>0</v>
      </c>
      <c r="CH31" s="82">
        <v>0</v>
      </c>
      <c r="CI31" s="82">
        <v>0</v>
      </c>
      <c r="CJ31" s="82">
        <v>0</v>
      </c>
      <c r="CK31" s="82">
        <v>0</v>
      </c>
      <c r="CL31" s="82">
        <v>0</v>
      </c>
      <c r="CM31" s="82">
        <v>0</v>
      </c>
      <c r="CN31" s="82">
        <v>0</v>
      </c>
      <c r="CO31" s="82">
        <v>0</v>
      </c>
      <c r="CP31" s="82">
        <v>0</v>
      </c>
      <c r="CQ31" s="82">
        <v>0</v>
      </c>
      <c r="CR31" s="82">
        <v>0</v>
      </c>
      <c r="CS31" s="82">
        <v>0</v>
      </c>
      <c r="CT31" s="82">
        <v>0</v>
      </c>
      <c r="CU31" s="82">
        <v>0</v>
      </c>
      <c r="CV31" s="82">
        <v>0</v>
      </c>
      <c r="CW31" s="82">
        <v>0</v>
      </c>
      <c r="CX31" s="82">
        <v>0</v>
      </c>
      <c r="CY31" s="82">
        <v>0</v>
      </c>
      <c r="CZ31" s="83">
        <v>0</v>
      </c>
    </row>
    <row r="32" spans="1:104">
      <c r="A32" s="84" t="s">
        <v>173</v>
      </c>
      <c r="B32" s="293">
        <v>29</v>
      </c>
      <c r="C32" s="81">
        <v>0</v>
      </c>
      <c r="D32" s="82">
        <v>0</v>
      </c>
      <c r="E32" s="82">
        <v>0</v>
      </c>
      <c r="F32" s="82">
        <v>0</v>
      </c>
      <c r="G32" s="82">
        <v>0</v>
      </c>
      <c r="H32" s="82">
        <v>0</v>
      </c>
      <c r="I32" s="82">
        <v>0</v>
      </c>
      <c r="J32" s="82">
        <v>0</v>
      </c>
      <c r="K32" s="82">
        <v>0</v>
      </c>
      <c r="L32" s="82">
        <v>0</v>
      </c>
      <c r="M32" s="82">
        <v>0</v>
      </c>
      <c r="N32" s="82">
        <v>0</v>
      </c>
      <c r="O32" s="82">
        <v>0</v>
      </c>
      <c r="P32" s="82">
        <v>0</v>
      </c>
      <c r="Q32" s="82">
        <v>0</v>
      </c>
      <c r="R32" s="82">
        <v>0</v>
      </c>
      <c r="S32" s="82">
        <v>0</v>
      </c>
      <c r="T32" s="82">
        <v>0</v>
      </c>
      <c r="U32" s="82">
        <v>0</v>
      </c>
      <c r="V32" s="82">
        <v>0</v>
      </c>
      <c r="W32" s="82">
        <v>0</v>
      </c>
      <c r="X32" s="82">
        <v>0</v>
      </c>
      <c r="Y32" s="82">
        <v>0</v>
      </c>
      <c r="Z32" s="82">
        <v>0</v>
      </c>
      <c r="AA32" s="82">
        <v>0</v>
      </c>
      <c r="AB32" s="82">
        <v>0</v>
      </c>
      <c r="AC32" s="82">
        <v>0</v>
      </c>
      <c r="AD32" s="82">
        <v>0</v>
      </c>
      <c r="AE32" s="82">
        <v>0</v>
      </c>
      <c r="AF32" s="82">
        <v>0</v>
      </c>
      <c r="AG32" s="82">
        <v>0</v>
      </c>
      <c r="AH32" s="82">
        <v>0</v>
      </c>
      <c r="AI32" s="82">
        <v>0</v>
      </c>
      <c r="AJ32" s="82">
        <v>0</v>
      </c>
      <c r="AK32" s="82">
        <v>0</v>
      </c>
      <c r="AL32" s="82">
        <v>0</v>
      </c>
      <c r="AM32" s="82">
        <v>0</v>
      </c>
      <c r="AN32" s="82">
        <v>0</v>
      </c>
      <c r="AO32" s="82">
        <v>0</v>
      </c>
      <c r="AP32" s="82">
        <v>0</v>
      </c>
      <c r="AQ32" s="82">
        <v>0</v>
      </c>
      <c r="AR32" s="82">
        <v>0</v>
      </c>
      <c r="AS32" s="82">
        <v>0</v>
      </c>
      <c r="AT32" s="82">
        <v>0</v>
      </c>
      <c r="AU32" s="82">
        <v>0</v>
      </c>
      <c r="AV32" s="82">
        <v>0</v>
      </c>
      <c r="AW32" s="82">
        <v>0</v>
      </c>
      <c r="AX32" s="82">
        <v>0</v>
      </c>
      <c r="AY32" s="82">
        <v>0</v>
      </c>
      <c r="AZ32" s="82">
        <v>0</v>
      </c>
      <c r="BA32" s="82">
        <v>0</v>
      </c>
      <c r="BB32" s="82">
        <v>0</v>
      </c>
      <c r="BC32" s="82">
        <v>0</v>
      </c>
      <c r="BD32" s="82">
        <v>0</v>
      </c>
      <c r="BE32" s="82">
        <v>0</v>
      </c>
      <c r="BF32" s="82">
        <v>0</v>
      </c>
      <c r="BG32" s="82">
        <v>0</v>
      </c>
      <c r="BH32" s="82">
        <v>0</v>
      </c>
      <c r="BI32" s="82">
        <v>0</v>
      </c>
      <c r="BJ32" s="82">
        <v>0</v>
      </c>
      <c r="BK32" s="82">
        <v>0</v>
      </c>
      <c r="BL32" s="82">
        <v>0</v>
      </c>
      <c r="BM32" s="82">
        <v>0</v>
      </c>
      <c r="BN32" s="82">
        <v>0</v>
      </c>
      <c r="BO32" s="82">
        <v>0</v>
      </c>
      <c r="BP32" s="82">
        <v>0</v>
      </c>
      <c r="BQ32" s="82">
        <v>0</v>
      </c>
      <c r="BR32" s="82">
        <v>0</v>
      </c>
      <c r="BS32" s="82">
        <v>0</v>
      </c>
      <c r="BT32" s="82">
        <v>0</v>
      </c>
      <c r="BU32" s="82">
        <v>0</v>
      </c>
      <c r="BV32" s="82">
        <v>0</v>
      </c>
      <c r="BW32" s="82">
        <v>0</v>
      </c>
      <c r="BX32" s="82">
        <v>0</v>
      </c>
      <c r="BY32" s="82">
        <v>0</v>
      </c>
      <c r="BZ32" s="82">
        <v>0</v>
      </c>
      <c r="CA32" s="82">
        <v>0</v>
      </c>
      <c r="CB32" s="82">
        <v>0</v>
      </c>
      <c r="CC32" s="82">
        <v>0</v>
      </c>
      <c r="CD32" s="82">
        <v>0</v>
      </c>
      <c r="CE32" s="82">
        <v>0</v>
      </c>
      <c r="CF32" s="82">
        <v>0</v>
      </c>
      <c r="CG32" s="82">
        <v>0</v>
      </c>
      <c r="CH32" s="82">
        <v>0</v>
      </c>
      <c r="CI32" s="82">
        <v>0</v>
      </c>
      <c r="CJ32" s="82">
        <v>0</v>
      </c>
      <c r="CK32" s="82">
        <v>0</v>
      </c>
      <c r="CL32" s="82">
        <v>0</v>
      </c>
      <c r="CM32" s="82">
        <v>0</v>
      </c>
      <c r="CN32" s="82">
        <v>0</v>
      </c>
      <c r="CO32" s="82">
        <v>0</v>
      </c>
      <c r="CP32" s="82">
        <v>0</v>
      </c>
      <c r="CQ32" s="82">
        <v>0</v>
      </c>
      <c r="CR32" s="82">
        <v>0</v>
      </c>
      <c r="CS32" s="82">
        <v>0</v>
      </c>
      <c r="CT32" s="82">
        <v>0</v>
      </c>
      <c r="CU32" s="82">
        <v>0</v>
      </c>
      <c r="CV32" s="82">
        <v>0</v>
      </c>
      <c r="CW32" s="82">
        <v>0</v>
      </c>
      <c r="CX32" s="82">
        <v>0</v>
      </c>
      <c r="CY32" s="82">
        <v>0</v>
      </c>
      <c r="CZ32" s="83">
        <v>0</v>
      </c>
    </row>
    <row r="33" spans="1:104">
      <c r="A33" s="84" t="s">
        <v>174</v>
      </c>
      <c r="B33" s="293">
        <v>30</v>
      </c>
      <c r="C33" s="81">
        <v>0</v>
      </c>
      <c r="D33" s="82">
        <v>0</v>
      </c>
      <c r="E33" s="82">
        <v>0</v>
      </c>
      <c r="F33" s="82">
        <v>0</v>
      </c>
      <c r="G33" s="82">
        <v>0</v>
      </c>
      <c r="H33" s="82">
        <v>0</v>
      </c>
      <c r="I33" s="82">
        <v>0</v>
      </c>
      <c r="J33" s="82">
        <v>0</v>
      </c>
      <c r="K33" s="82">
        <v>0</v>
      </c>
      <c r="L33" s="82">
        <v>0</v>
      </c>
      <c r="M33" s="82">
        <v>0</v>
      </c>
      <c r="N33" s="82">
        <v>0</v>
      </c>
      <c r="O33" s="82">
        <v>0</v>
      </c>
      <c r="P33" s="82">
        <v>0</v>
      </c>
      <c r="Q33" s="82">
        <v>0</v>
      </c>
      <c r="R33" s="82">
        <v>0</v>
      </c>
      <c r="S33" s="82">
        <v>0</v>
      </c>
      <c r="T33" s="82">
        <v>0</v>
      </c>
      <c r="U33" s="82">
        <v>0</v>
      </c>
      <c r="V33" s="82">
        <v>0</v>
      </c>
      <c r="W33" s="82">
        <v>0</v>
      </c>
      <c r="X33" s="82">
        <v>0</v>
      </c>
      <c r="Y33" s="82">
        <v>0</v>
      </c>
      <c r="Z33" s="82">
        <v>0</v>
      </c>
      <c r="AA33" s="82">
        <v>0</v>
      </c>
      <c r="AB33" s="82">
        <v>0</v>
      </c>
      <c r="AC33" s="82">
        <v>0</v>
      </c>
      <c r="AD33" s="82">
        <v>0</v>
      </c>
      <c r="AE33" s="82">
        <v>0</v>
      </c>
      <c r="AF33" s="82">
        <v>0</v>
      </c>
      <c r="AG33" s="82">
        <v>0</v>
      </c>
      <c r="AH33" s="82">
        <v>0</v>
      </c>
      <c r="AI33" s="82">
        <v>0</v>
      </c>
      <c r="AJ33" s="82">
        <v>0</v>
      </c>
      <c r="AK33" s="82">
        <v>0</v>
      </c>
      <c r="AL33" s="82">
        <v>0</v>
      </c>
      <c r="AM33" s="82">
        <v>0</v>
      </c>
      <c r="AN33" s="82">
        <v>0</v>
      </c>
      <c r="AO33" s="82">
        <v>0</v>
      </c>
      <c r="AP33" s="82">
        <v>0</v>
      </c>
      <c r="AQ33" s="82">
        <v>0</v>
      </c>
      <c r="AR33" s="82">
        <v>0</v>
      </c>
      <c r="AS33" s="82">
        <v>0</v>
      </c>
      <c r="AT33" s="82">
        <v>0</v>
      </c>
      <c r="AU33" s="82">
        <v>0</v>
      </c>
      <c r="AV33" s="82">
        <v>0</v>
      </c>
      <c r="AW33" s="82">
        <v>0</v>
      </c>
      <c r="AX33" s="82">
        <v>0</v>
      </c>
      <c r="AY33" s="82">
        <v>0</v>
      </c>
      <c r="AZ33" s="82">
        <v>0</v>
      </c>
      <c r="BA33" s="82">
        <v>0</v>
      </c>
      <c r="BB33" s="82">
        <v>0</v>
      </c>
      <c r="BC33" s="82">
        <v>0</v>
      </c>
      <c r="BD33" s="82">
        <v>0</v>
      </c>
      <c r="BE33" s="82">
        <v>0</v>
      </c>
      <c r="BF33" s="82">
        <v>0</v>
      </c>
      <c r="BG33" s="82">
        <v>0</v>
      </c>
      <c r="BH33" s="82">
        <v>0</v>
      </c>
      <c r="BI33" s="82">
        <v>0</v>
      </c>
      <c r="BJ33" s="82">
        <v>0</v>
      </c>
      <c r="BK33" s="82">
        <v>0</v>
      </c>
      <c r="BL33" s="82">
        <v>0</v>
      </c>
      <c r="BM33" s="82">
        <v>0</v>
      </c>
      <c r="BN33" s="82">
        <v>0</v>
      </c>
      <c r="BO33" s="82">
        <v>0</v>
      </c>
      <c r="BP33" s="82">
        <v>0</v>
      </c>
      <c r="BQ33" s="82">
        <v>0</v>
      </c>
      <c r="BR33" s="82">
        <v>0</v>
      </c>
      <c r="BS33" s="82">
        <v>0</v>
      </c>
      <c r="BT33" s="82">
        <v>0</v>
      </c>
      <c r="BU33" s="82">
        <v>0</v>
      </c>
      <c r="BV33" s="82">
        <v>0</v>
      </c>
      <c r="BW33" s="82">
        <v>0</v>
      </c>
      <c r="BX33" s="82">
        <v>0</v>
      </c>
      <c r="BY33" s="82">
        <v>0</v>
      </c>
      <c r="BZ33" s="82">
        <v>0</v>
      </c>
      <c r="CA33" s="82">
        <v>0</v>
      </c>
      <c r="CB33" s="82">
        <v>0</v>
      </c>
      <c r="CC33" s="82">
        <v>0</v>
      </c>
      <c r="CD33" s="82">
        <v>0</v>
      </c>
      <c r="CE33" s="82">
        <v>0</v>
      </c>
      <c r="CF33" s="82">
        <v>0</v>
      </c>
      <c r="CG33" s="82">
        <v>0</v>
      </c>
      <c r="CH33" s="82">
        <v>0</v>
      </c>
      <c r="CI33" s="82">
        <v>0</v>
      </c>
      <c r="CJ33" s="82">
        <v>0</v>
      </c>
      <c r="CK33" s="82">
        <v>0</v>
      </c>
      <c r="CL33" s="82">
        <v>0</v>
      </c>
      <c r="CM33" s="82">
        <v>0</v>
      </c>
      <c r="CN33" s="82">
        <v>0</v>
      </c>
      <c r="CO33" s="82">
        <v>0</v>
      </c>
      <c r="CP33" s="82">
        <v>0</v>
      </c>
      <c r="CQ33" s="82">
        <v>0</v>
      </c>
      <c r="CR33" s="82">
        <v>0</v>
      </c>
      <c r="CS33" s="82">
        <v>0</v>
      </c>
      <c r="CT33" s="82">
        <v>0</v>
      </c>
      <c r="CU33" s="82">
        <v>0</v>
      </c>
      <c r="CV33" s="82">
        <v>0</v>
      </c>
      <c r="CW33" s="82">
        <v>0</v>
      </c>
      <c r="CX33" s="82">
        <v>0</v>
      </c>
      <c r="CY33" s="82">
        <v>0</v>
      </c>
      <c r="CZ33" s="83">
        <v>0</v>
      </c>
    </row>
    <row r="34" spans="1:104">
      <c r="A34" s="84" t="s">
        <v>175</v>
      </c>
      <c r="B34" s="293">
        <v>31</v>
      </c>
      <c r="C34" s="81">
        <v>1.90271499</v>
      </c>
      <c r="D34" s="82">
        <v>1.90271499</v>
      </c>
      <c r="E34" s="82">
        <v>1.90271499</v>
      </c>
      <c r="F34" s="82">
        <v>1.90271499</v>
      </c>
      <c r="G34" s="82">
        <v>1.90271499</v>
      </c>
      <c r="H34" s="82">
        <v>1.90271499</v>
      </c>
      <c r="I34" s="82">
        <v>1.90271499</v>
      </c>
      <c r="J34" s="82">
        <v>1.90271499</v>
      </c>
      <c r="K34" s="82">
        <v>1.90271499</v>
      </c>
      <c r="L34" s="82">
        <v>1.90271499</v>
      </c>
      <c r="M34" s="82">
        <v>1.90271499</v>
      </c>
      <c r="N34" s="82">
        <v>1.90271499</v>
      </c>
      <c r="O34" s="82">
        <v>1.88723864</v>
      </c>
      <c r="P34" s="82">
        <v>1.90271499</v>
      </c>
      <c r="Q34" s="82">
        <v>1.90271499</v>
      </c>
      <c r="R34" s="82">
        <v>1.90271499</v>
      </c>
      <c r="S34" s="82">
        <v>1.90271499</v>
      </c>
      <c r="T34" s="82">
        <v>1.90271499</v>
      </c>
      <c r="U34" s="82">
        <v>1.90271499</v>
      </c>
      <c r="V34" s="82">
        <v>1.90271499</v>
      </c>
      <c r="W34" s="82">
        <v>1.90271499</v>
      </c>
      <c r="X34" s="82">
        <v>1.90271499</v>
      </c>
      <c r="Y34" s="82">
        <v>1.90271499</v>
      </c>
      <c r="Z34" s="82">
        <v>1.90271499</v>
      </c>
      <c r="AA34" s="82">
        <v>1.90271499</v>
      </c>
      <c r="AB34" s="82">
        <v>1.90271499</v>
      </c>
      <c r="AC34" s="82">
        <v>1.90271499</v>
      </c>
      <c r="AD34" s="82">
        <v>1.90271499</v>
      </c>
      <c r="AE34" s="82">
        <v>1.90271499</v>
      </c>
      <c r="AF34" s="82">
        <v>1.90271499</v>
      </c>
      <c r="AG34" s="82">
        <v>1.90271499</v>
      </c>
      <c r="AH34" s="82">
        <v>1.90271499</v>
      </c>
      <c r="AI34" s="82">
        <v>1.90271499</v>
      </c>
      <c r="AJ34" s="82">
        <v>1.90271499</v>
      </c>
      <c r="AK34" s="82">
        <v>1.90271499</v>
      </c>
      <c r="AL34" s="82">
        <v>0.989506989687976</v>
      </c>
      <c r="AM34" s="82">
        <v>0.98917906</v>
      </c>
      <c r="AN34" s="82">
        <v>1.45603609101102</v>
      </c>
      <c r="AO34" s="82">
        <v>0.98990473</v>
      </c>
      <c r="AP34" s="82">
        <v>0.989179060008132</v>
      </c>
      <c r="AQ34" s="82">
        <v>0.989179060135599</v>
      </c>
      <c r="AR34" s="82">
        <v>1.00441349857241</v>
      </c>
      <c r="AS34" s="82">
        <v>0.989179060001371</v>
      </c>
      <c r="AT34" s="82">
        <v>1.03771354064058</v>
      </c>
      <c r="AU34" s="82">
        <v>1.00369623746631</v>
      </c>
      <c r="AV34" s="82">
        <v>3.10310832263788</v>
      </c>
      <c r="AW34" s="82">
        <v>4.75666337334493</v>
      </c>
      <c r="AX34" s="82">
        <v>2.70617705632991</v>
      </c>
      <c r="AY34" s="82">
        <v>0.98985291441825</v>
      </c>
      <c r="AZ34" s="82">
        <v>0.98917906</v>
      </c>
      <c r="BA34" s="82">
        <v>0.98917906</v>
      </c>
      <c r="BB34" s="82">
        <v>0.98917906</v>
      </c>
      <c r="BC34" s="82">
        <v>0.98917906</v>
      </c>
      <c r="BD34" s="82">
        <v>0.989377554069538</v>
      </c>
      <c r="BE34" s="82">
        <v>0.98917906</v>
      </c>
      <c r="BF34" s="82">
        <v>0.98917906</v>
      </c>
      <c r="BG34" s="82">
        <v>0.98917906</v>
      </c>
      <c r="BH34" s="82">
        <v>0.98917906</v>
      </c>
      <c r="BI34" s="82">
        <v>0.98917906</v>
      </c>
      <c r="BJ34" s="82">
        <v>0.98917906</v>
      </c>
      <c r="BK34" s="82">
        <v>0.98917906</v>
      </c>
      <c r="BL34" s="82">
        <v>0.98917906</v>
      </c>
      <c r="BM34" s="82">
        <v>0.98917906</v>
      </c>
      <c r="BN34" s="82">
        <v>1.31863217951022</v>
      </c>
      <c r="BO34" s="82">
        <v>0.98917906</v>
      </c>
      <c r="BP34" s="82">
        <v>0.98917906</v>
      </c>
      <c r="BQ34" s="82">
        <v>0.98917906</v>
      </c>
      <c r="BR34" s="82">
        <v>0.98917906</v>
      </c>
      <c r="BS34" s="82">
        <v>0.98917906</v>
      </c>
      <c r="BT34" s="82">
        <v>0.97370271</v>
      </c>
      <c r="BU34" s="82">
        <v>0.97370271</v>
      </c>
      <c r="BV34" s="82">
        <v>0.97370271</v>
      </c>
      <c r="BW34" s="82">
        <v>0.97370271</v>
      </c>
      <c r="BX34" s="82">
        <v>0.97370271</v>
      </c>
      <c r="BY34" s="82">
        <v>0.97370271</v>
      </c>
      <c r="BZ34" s="82">
        <v>0.97370271</v>
      </c>
      <c r="CA34" s="82">
        <v>0.97370271</v>
      </c>
      <c r="CB34" s="82">
        <v>0.97370271</v>
      </c>
      <c r="CC34" s="82">
        <v>0.97370271</v>
      </c>
      <c r="CD34" s="82">
        <v>0.97370271</v>
      </c>
      <c r="CE34" s="82">
        <v>0.97370271</v>
      </c>
      <c r="CF34" s="82">
        <v>0.97370271</v>
      </c>
      <c r="CG34" s="82">
        <v>0.97370271</v>
      </c>
      <c r="CH34" s="82">
        <v>0.97370271</v>
      </c>
      <c r="CI34" s="82">
        <v>0.97370271</v>
      </c>
      <c r="CJ34" s="82">
        <v>0.9925027</v>
      </c>
      <c r="CK34" s="82">
        <v>0.99250271</v>
      </c>
      <c r="CL34" s="82">
        <v>0.9925027</v>
      </c>
      <c r="CM34" s="82">
        <v>0.97370271</v>
      </c>
      <c r="CN34" s="82">
        <v>0.97370271</v>
      </c>
      <c r="CO34" s="82">
        <v>0.97370271</v>
      </c>
      <c r="CP34" s="82">
        <v>0.97370271</v>
      </c>
      <c r="CQ34" s="82">
        <v>0.97370271</v>
      </c>
      <c r="CR34" s="82">
        <v>0.97370271</v>
      </c>
      <c r="CS34" s="82">
        <v>0.97370271</v>
      </c>
      <c r="CT34" s="82">
        <v>0.97370271</v>
      </c>
      <c r="CU34" s="82">
        <v>0.97370271</v>
      </c>
      <c r="CV34" s="82">
        <v>0.97370271</v>
      </c>
      <c r="CW34" s="82">
        <v>0.97370271</v>
      </c>
      <c r="CX34" s="82">
        <v>0.97370271</v>
      </c>
      <c r="CY34" s="82">
        <v>0.97370271</v>
      </c>
      <c r="CZ34" s="83">
        <v>0.97370271</v>
      </c>
    </row>
    <row r="35" ht="15" spans="1:104">
      <c r="A35" s="85" t="s">
        <v>182</v>
      </c>
      <c r="B35" s="289" t="s">
        <v>183</v>
      </c>
      <c r="C35" s="77">
        <v>423.50449607746</v>
      </c>
      <c r="D35" s="78">
        <v>422.244921880472</v>
      </c>
      <c r="E35" s="78">
        <v>556.017687499619</v>
      </c>
      <c r="F35" s="78">
        <v>702.584290937678</v>
      </c>
      <c r="G35" s="78">
        <v>859.534329275118</v>
      </c>
      <c r="H35" s="78">
        <v>860.529258784956</v>
      </c>
      <c r="I35" s="78">
        <v>1201.41336572177</v>
      </c>
      <c r="J35" s="78">
        <v>1407.57596845648</v>
      </c>
      <c r="K35" s="78">
        <v>1848.97305342774</v>
      </c>
      <c r="L35" s="78">
        <v>1890.83881787367</v>
      </c>
      <c r="M35" s="78">
        <v>2556.9330689259</v>
      </c>
      <c r="N35" s="78">
        <v>3163.91273779626</v>
      </c>
      <c r="O35" s="78">
        <v>4119.30625540624</v>
      </c>
      <c r="P35" s="78">
        <v>4463.56039355013</v>
      </c>
      <c r="Q35" s="78">
        <v>5214.64548516466</v>
      </c>
      <c r="R35" s="78">
        <v>6000.3495892966</v>
      </c>
      <c r="S35" s="78">
        <v>7681.52587483235</v>
      </c>
      <c r="T35" s="78">
        <v>8631.83771562247</v>
      </c>
      <c r="U35" s="78">
        <v>9751.09485942567</v>
      </c>
      <c r="V35" s="78">
        <v>10582.9603292743</v>
      </c>
      <c r="W35" s="78">
        <v>15316.3006353444</v>
      </c>
      <c r="X35" s="78">
        <v>17416.6253238405</v>
      </c>
      <c r="Y35" s="78">
        <v>20417.3449873094</v>
      </c>
      <c r="Z35" s="78">
        <v>23763.3356768455</v>
      </c>
      <c r="AA35" s="78">
        <v>33323.3582212337</v>
      </c>
      <c r="AB35" s="78">
        <v>38395.0001761887</v>
      </c>
      <c r="AC35" s="78">
        <v>45905.9326009713</v>
      </c>
      <c r="AD35" s="78">
        <v>45875.8645865394</v>
      </c>
      <c r="AE35" s="78">
        <v>45946.1930034885</v>
      </c>
      <c r="AF35" s="78">
        <v>45110.4496038798</v>
      </c>
      <c r="AG35" s="78">
        <v>45064.4465542284</v>
      </c>
      <c r="AH35" s="78">
        <v>41597.4824905424</v>
      </c>
      <c r="AI35" s="78">
        <v>39221.1768460343</v>
      </c>
      <c r="AJ35" s="78">
        <v>34105.7710988956</v>
      </c>
      <c r="AK35" s="78">
        <v>32219.3021168576</v>
      </c>
      <c r="AL35" s="78">
        <v>31387.1990842517</v>
      </c>
      <c r="AM35" s="78">
        <v>30190.0820565492</v>
      </c>
      <c r="AN35" s="78">
        <v>26177.6455706168</v>
      </c>
      <c r="AO35" s="78">
        <v>24787.0927719657</v>
      </c>
      <c r="AP35" s="78">
        <v>19041.7360487711</v>
      </c>
      <c r="AQ35" s="78">
        <v>19947.8725785345</v>
      </c>
      <c r="AR35" s="78">
        <v>19859.3460116869</v>
      </c>
      <c r="AS35" s="78">
        <v>18820.2500379098</v>
      </c>
      <c r="AT35" s="78">
        <v>16469.0581647654</v>
      </c>
      <c r="AU35" s="78">
        <v>14604.7652733901</v>
      </c>
      <c r="AV35" s="78">
        <v>14840.1851344876</v>
      </c>
      <c r="AW35" s="78">
        <v>14421.7273605764</v>
      </c>
      <c r="AX35" s="78">
        <v>13959.8980621998</v>
      </c>
      <c r="AY35" s="78">
        <v>13524.9043455878</v>
      </c>
      <c r="AZ35" s="78">
        <v>12736.1884497325</v>
      </c>
      <c r="BA35" s="78">
        <v>11555.1009316776</v>
      </c>
      <c r="BB35" s="78">
        <v>11529.5854181621</v>
      </c>
      <c r="BC35" s="78">
        <v>11160.4390298126</v>
      </c>
      <c r="BD35" s="78">
        <v>10571.264504452</v>
      </c>
      <c r="BE35" s="78">
        <v>10679.9373480463</v>
      </c>
      <c r="BF35" s="78">
        <v>10556.522670224</v>
      </c>
      <c r="BG35" s="78">
        <v>10119.4812149366</v>
      </c>
      <c r="BH35" s="78">
        <v>9292.80327769664</v>
      </c>
      <c r="BI35" s="78">
        <v>9666.47400346551</v>
      </c>
      <c r="BJ35" s="78">
        <v>8575.4406085487</v>
      </c>
      <c r="BK35" s="78">
        <v>7972.77923699448</v>
      </c>
      <c r="BL35" s="78">
        <v>7697.6335256911</v>
      </c>
      <c r="BM35" s="78">
        <v>7667.09868413821</v>
      </c>
      <c r="BN35" s="78">
        <v>7562.13800447343</v>
      </c>
      <c r="BO35" s="78">
        <v>7153.26126450875</v>
      </c>
      <c r="BP35" s="78">
        <v>6662.27549040359</v>
      </c>
      <c r="BQ35" s="78">
        <v>6168.08242168406</v>
      </c>
      <c r="BR35" s="78">
        <v>6289.00292562684</v>
      </c>
      <c r="BS35" s="78">
        <v>6501.87398213602</v>
      </c>
      <c r="BT35" s="78">
        <v>5933.79933408682</v>
      </c>
      <c r="BU35" s="78">
        <v>6067.26266989887</v>
      </c>
      <c r="BV35" s="78">
        <v>5750.12490752756</v>
      </c>
      <c r="BW35" s="78">
        <v>5752.02697492118</v>
      </c>
      <c r="BX35" s="78">
        <v>5248.53594641779</v>
      </c>
      <c r="BY35" s="78">
        <v>5112.68183375921</v>
      </c>
      <c r="BZ35" s="78">
        <v>4590.20346640778</v>
      </c>
      <c r="CA35" s="78">
        <v>4818.12599383348</v>
      </c>
      <c r="CB35" s="78">
        <v>4649.21024416951</v>
      </c>
      <c r="CC35" s="78">
        <v>5068.05278722113</v>
      </c>
      <c r="CD35" s="78">
        <v>5053.47191754121</v>
      </c>
      <c r="CE35" s="78">
        <v>4837.42886895857</v>
      </c>
      <c r="CF35" s="78">
        <v>4978.75743669419</v>
      </c>
      <c r="CG35" s="78">
        <v>5975.13640903738</v>
      </c>
      <c r="CH35" s="78">
        <v>5735.06814950779</v>
      </c>
      <c r="CI35" s="78">
        <v>5493.81955353032</v>
      </c>
      <c r="CJ35" s="78">
        <v>8225.29131210403</v>
      </c>
      <c r="CK35" s="78">
        <v>9675.59964362868</v>
      </c>
      <c r="CL35" s="78">
        <v>8006.33299641418</v>
      </c>
      <c r="CM35" s="78">
        <v>9675.42016646691</v>
      </c>
      <c r="CN35" s="78">
        <v>10616.6821713619</v>
      </c>
      <c r="CO35" s="78">
        <v>10162.5856812176</v>
      </c>
      <c r="CP35" s="78">
        <v>10631.1194690944</v>
      </c>
      <c r="CQ35" s="78">
        <v>11202.2521644257</v>
      </c>
      <c r="CR35" s="78">
        <v>12530.8126041134</v>
      </c>
      <c r="CS35" s="78">
        <v>14323.0719688706</v>
      </c>
      <c r="CT35" s="78">
        <v>14724.9303933164</v>
      </c>
      <c r="CU35" s="78">
        <v>13120.3933492856</v>
      </c>
      <c r="CV35" s="78">
        <v>14570.021783384</v>
      </c>
      <c r="CW35" s="78">
        <v>15634.1572787829</v>
      </c>
      <c r="CX35" s="78">
        <v>15977.3317632022</v>
      </c>
      <c r="CY35" s="78">
        <v>18287.4101673654</v>
      </c>
      <c r="CZ35" s="79">
        <v>19152.1401450582</v>
      </c>
    </row>
    <row r="36" ht="15" spans="1:104">
      <c r="A36" s="75" t="s">
        <v>164</v>
      </c>
      <c r="B36" s="290" t="s">
        <v>184</v>
      </c>
      <c r="C36" s="72">
        <v>267.735754456837</v>
      </c>
      <c r="D36" s="73">
        <v>246.70054007826</v>
      </c>
      <c r="E36" s="73">
        <v>334.974183672901</v>
      </c>
      <c r="F36" s="73">
        <v>431.678447181855</v>
      </c>
      <c r="G36" s="73">
        <v>624.898248355069</v>
      </c>
      <c r="H36" s="73">
        <v>602.941159658264</v>
      </c>
      <c r="I36" s="73">
        <v>513.381177431359</v>
      </c>
      <c r="J36" s="73">
        <v>713.581025436029</v>
      </c>
      <c r="K36" s="73">
        <v>1005.08056052045</v>
      </c>
      <c r="L36" s="73">
        <v>966.484753894685</v>
      </c>
      <c r="M36" s="73">
        <v>1069.45107430678</v>
      </c>
      <c r="N36" s="73">
        <v>1191.47841331335</v>
      </c>
      <c r="O36" s="73">
        <v>1807.82774794414</v>
      </c>
      <c r="P36" s="73">
        <v>1697.72822395879</v>
      </c>
      <c r="Q36" s="73">
        <v>1840.6832360667</v>
      </c>
      <c r="R36" s="73">
        <v>2030.20001564779</v>
      </c>
      <c r="S36" s="73">
        <v>2290.20863101565</v>
      </c>
      <c r="T36" s="73">
        <v>2560.85044672758</v>
      </c>
      <c r="U36" s="73">
        <v>2965.83712054423</v>
      </c>
      <c r="V36" s="73">
        <v>3841.58820132537</v>
      </c>
      <c r="W36" s="73">
        <v>6297.18200472739</v>
      </c>
      <c r="X36" s="73">
        <v>6203.00055090481</v>
      </c>
      <c r="Y36" s="73">
        <v>6412.23142379373</v>
      </c>
      <c r="Z36" s="73">
        <v>4922.37001772812</v>
      </c>
      <c r="AA36" s="73">
        <v>7465.475333</v>
      </c>
      <c r="AB36" s="73">
        <v>5271.6101</v>
      </c>
      <c r="AC36" s="73">
        <v>7353.04485</v>
      </c>
      <c r="AD36" s="73">
        <v>5061.55311</v>
      </c>
      <c r="AE36" s="73">
        <v>6102.75527</v>
      </c>
      <c r="AF36" s="73">
        <v>6027.50183</v>
      </c>
      <c r="AG36" s="73">
        <v>4802.13862</v>
      </c>
      <c r="AH36" s="73">
        <v>3354.2484382348</v>
      </c>
      <c r="AI36" s="73">
        <v>3093.35940584449</v>
      </c>
      <c r="AJ36" s="73">
        <v>2227.77956</v>
      </c>
      <c r="AK36" s="73">
        <v>2098.95308</v>
      </c>
      <c r="AL36" s="73">
        <v>1633.259</v>
      </c>
      <c r="AM36" s="73">
        <v>1646.201</v>
      </c>
      <c r="AN36" s="73">
        <v>1730.38</v>
      </c>
      <c r="AO36" s="73">
        <v>1324.443</v>
      </c>
      <c r="AP36" s="73">
        <v>1108.611</v>
      </c>
      <c r="AQ36" s="73">
        <v>1622.524</v>
      </c>
      <c r="AR36" s="73">
        <v>2372.654012795</v>
      </c>
      <c r="AS36" s="73">
        <v>1712.591</v>
      </c>
      <c r="AT36" s="73">
        <v>1212.2364</v>
      </c>
      <c r="AU36" s="73">
        <v>1046.6201</v>
      </c>
      <c r="AV36" s="73">
        <v>898.13</v>
      </c>
      <c r="AW36" s="73">
        <v>1223.379</v>
      </c>
      <c r="AX36" s="73">
        <v>939.735</v>
      </c>
      <c r="AY36" s="73">
        <v>1647.608</v>
      </c>
      <c r="AZ36" s="73">
        <v>1371.424</v>
      </c>
      <c r="BA36" s="73">
        <v>960.777</v>
      </c>
      <c r="BB36" s="73">
        <v>962.294</v>
      </c>
      <c r="BC36" s="73">
        <v>1227.598</v>
      </c>
      <c r="BD36" s="73">
        <v>1024.158</v>
      </c>
      <c r="BE36" s="73">
        <v>1103.331</v>
      </c>
      <c r="BF36" s="73">
        <v>1021.078</v>
      </c>
      <c r="BG36" s="73">
        <v>1467.555</v>
      </c>
      <c r="BH36" s="73">
        <v>837.507</v>
      </c>
      <c r="BI36" s="73">
        <v>802.418</v>
      </c>
      <c r="BJ36" s="73">
        <v>775.491</v>
      </c>
      <c r="BK36" s="73">
        <v>764.381</v>
      </c>
      <c r="BL36" s="73">
        <v>766.119</v>
      </c>
      <c r="BM36" s="73">
        <v>751.09</v>
      </c>
      <c r="BN36" s="73">
        <v>739.915</v>
      </c>
      <c r="BO36" s="73">
        <v>583.29</v>
      </c>
      <c r="BP36" s="73">
        <v>646.658</v>
      </c>
      <c r="BQ36" s="73">
        <v>662.672</v>
      </c>
      <c r="BR36" s="73">
        <v>771.025292417714</v>
      </c>
      <c r="BS36" s="73">
        <v>701.565753437848</v>
      </c>
      <c r="BT36" s="73">
        <v>714.783535390029</v>
      </c>
      <c r="BU36" s="73">
        <v>857.548</v>
      </c>
      <c r="BV36" s="73">
        <v>955.021</v>
      </c>
      <c r="BW36" s="73">
        <v>997.055</v>
      </c>
      <c r="BX36" s="73">
        <v>1208.129</v>
      </c>
      <c r="BY36" s="73">
        <v>1188.06</v>
      </c>
      <c r="BZ36" s="73">
        <v>934.943</v>
      </c>
      <c r="CA36" s="73">
        <v>1097.659</v>
      </c>
      <c r="CB36" s="73">
        <v>942.524</v>
      </c>
      <c r="CC36" s="73">
        <v>1187.562</v>
      </c>
      <c r="CD36" s="73">
        <v>1373.43</v>
      </c>
      <c r="CE36" s="73">
        <v>1312.4138</v>
      </c>
      <c r="CF36" s="73">
        <v>1562.7198</v>
      </c>
      <c r="CG36" s="73">
        <v>2204.7378</v>
      </c>
      <c r="CH36" s="73">
        <v>1975.038</v>
      </c>
      <c r="CI36" s="73">
        <v>1837.71</v>
      </c>
      <c r="CJ36" s="73">
        <v>2659.46002</v>
      </c>
      <c r="CK36" s="73">
        <v>3409.0581</v>
      </c>
      <c r="CL36" s="73">
        <v>4199.08557021604</v>
      </c>
      <c r="CM36" s="73">
        <v>5658.29394</v>
      </c>
      <c r="CN36" s="73">
        <v>6004.19658</v>
      </c>
      <c r="CO36" s="73">
        <v>5224.60729</v>
      </c>
      <c r="CP36" s="73">
        <v>5329.96698788016</v>
      </c>
      <c r="CQ36" s="73">
        <v>6333.4108</v>
      </c>
      <c r="CR36" s="73">
        <v>6923.55653</v>
      </c>
      <c r="CS36" s="73">
        <v>7961.61681</v>
      </c>
      <c r="CT36" s="73">
        <v>8384.221715</v>
      </c>
      <c r="CU36" s="73">
        <v>6633.54542853626</v>
      </c>
      <c r="CV36" s="73">
        <v>7830.23336</v>
      </c>
      <c r="CW36" s="73">
        <v>7922.18524</v>
      </c>
      <c r="CX36" s="73">
        <v>7448.03151982155</v>
      </c>
      <c r="CY36" s="73">
        <v>7926.90427092382</v>
      </c>
      <c r="CZ36" s="74">
        <v>9052.67431890675</v>
      </c>
    </row>
    <row r="37" spans="1:104">
      <c r="A37" s="84" t="s">
        <v>171</v>
      </c>
      <c r="B37" s="293">
        <v>34</v>
      </c>
      <c r="C37" s="81">
        <v>165.151269</v>
      </c>
      <c r="D37" s="82">
        <v>143.001286</v>
      </c>
      <c r="E37" s="82">
        <v>182.877781</v>
      </c>
      <c r="F37" s="82">
        <v>290.517163</v>
      </c>
      <c r="G37" s="82">
        <v>308.223338</v>
      </c>
      <c r="H37" s="82">
        <v>265.126324</v>
      </c>
      <c r="I37" s="82">
        <v>147.166165</v>
      </c>
      <c r="J37" s="82">
        <v>178.831506</v>
      </c>
      <c r="K37" s="82">
        <v>328.072513</v>
      </c>
      <c r="L37" s="82">
        <v>284.483922</v>
      </c>
      <c r="M37" s="82">
        <v>359.998448</v>
      </c>
      <c r="N37" s="82">
        <v>402.09</v>
      </c>
      <c r="O37" s="82">
        <v>430.512209</v>
      </c>
      <c r="P37" s="82">
        <v>412.1823279</v>
      </c>
      <c r="Q37" s="82">
        <v>328.386817</v>
      </c>
      <c r="R37" s="82">
        <v>555.685</v>
      </c>
      <c r="S37" s="82">
        <v>386.535416</v>
      </c>
      <c r="T37" s="82">
        <v>545.018</v>
      </c>
      <c r="U37" s="82">
        <v>638.262</v>
      </c>
      <c r="V37" s="82">
        <v>646.282</v>
      </c>
      <c r="W37" s="82">
        <v>804.18213</v>
      </c>
      <c r="X37" s="82">
        <v>725.65028</v>
      </c>
      <c r="Y37" s="82">
        <v>780.09053</v>
      </c>
      <c r="Z37" s="82">
        <v>742.20202</v>
      </c>
      <c r="AA37" s="82">
        <v>1297.90378</v>
      </c>
      <c r="AB37" s="82">
        <v>805.1473</v>
      </c>
      <c r="AC37" s="82">
        <v>1412.99101</v>
      </c>
      <c r="AD37" s="82">
        <v>907.82569</v>
      </c>
      <c r="AE37" s="82">
        <v>1863.86497</v>
      </c>
      <c r="AF37" s="82">
        <v>2153.97575</v>
      </c>
      <c r="AG37" s="82">
        <v>1669.03186</v>
      </c>
      <c r="AH37" s="82">
        <v>790.685</v>
      </c>
      <c r="AI37" s="82">
        <v>702.69208</v>
      </c>
      <c r="AJ37" s="82">
        <v>501.32235</v>
      </c>
      <c r="AK37" s="82">
        <v>476.60608</v>
      </c>
      <c r="AL37" s="82">
        <v>450.814</v>
      </c>
      <c r="AM37" s="82">
        <v>837.608</v>
      </c>
      <c r="AN37" s="82">
        <v>1129.993</v>
      </c>
      <c r="AO37" s="82">
        <v>743.344</v>
      </c>
      <c r="AP37" s="82">
        <v>796.808</v>
      </c>
      <c r="AQ37" s="82">
        <v>1275.372</v>
      </c>
      <c r="AR37" s="82">
        <v>1805.715</v>
      </c>
      <c r="AS37" s="82">
        <v>1236.306</v>
      </c>
      <c r="AT37" s="82">
        <v>769.4914</v>
      </c>
      <c r="AU37" s="82">
        <v>772.0811</v>
      </c>
      <c r="AV37" s="82">
        <v>499.826</v>
      </c>
      <c r="AW37" s="82">
        <v>932.606</v>
      </c>
      <c r="AX37" s="82">
        <v>547.651</v>
      </c>
      <c r="AY37" s="82">
        <v>1203.346</v>
      </c>
      <c r="AZ37" s="82">
        <v>1016.384</v>
      </c>
      <c r="BA37" s="82">
        <v>734.563</v>
      </c>
      <c r="BB37" s="82">
        <v>695.213</v>
      </c>
      <c r="BC37" s="82">
        <v>829.525</v>
      </c>
      <c r="BD37" s="82">
        <v>652.98</v>
      </c>
      <c r="BE37" s="82">
        <v>864.004</v>
      </c>
      <c r="BF37" s="82">
        <v>833.834</v>
      </c>
      <c r="BG37" s="82">
        <v>987.959</v>
      </c>
      <c r="BH37" s="82">
        <v>690.799</v>
      </c>
      <c r="BI37" s="82">
        <v>647.743</v>
      </c>
      <c r="BJ37" s="82">
        <v>625.845</v>
      </c>
      <c r="BK37" s="82">
        <v>575.126</v>
      </c>
      <c r="BL37" s="82">
        <v>591.399</v>
      </c>
      <c r="BM37" s="82">
        <v>600.11</v>
      </c>
      <c r="BN37" s="82">
        <v>603.75</v>
      </c>
      <c r="BO37" s="82">
        <v>473.799</v>
      </c>
      <c r="BP37" s="82">
        <v>515.644</v>
      </c>
      <c r="BQ37" s="82">
        <v>496.58</v>
      </c>
      <c r="BR37" s="82">
        <v>567.777</v>
      </c>
      <c r="BS37" s="82">
        <v>505.44</v>
      </c>
      <c r="BT37" s="82">
        <v>508.247</v>
      </c>
      <c r="BU37" s="82">
        <v>584.905</v>
      </c>
      <c r="BV37" s="82">
        <v>614.878</v>
      </c>
      <c r="BW37" s="82">
        <v>704.199</v>
      </c>
      <c r="BX37" s="82">
        <v>687.752</v>
      </c>
      <c r="BY37" s="82">
        <v>938.111</v>
      </c>
      <c r="BZ37" s="82">
        <v>687.228</v>
      </c>
      <c r="CA37" s="82">
        <v>863.592</v>
      </c>
      <c r="CB37" s="82">
        <v>757.565</v>
      </c>
      <c r="CC37" s="82">
        <v>916.275</v>
      </c>
      <c r="CD37" s="82">
        <v>1148.941</v>
      </c>
      <c r="CE37" s="82">
        <v>1149.3548</v>
      </c>
      <c r="CF37" s="82">
        <v>1203.3578</v>
      </c>
      <c r="CG37" s="82">
        <v>1731.7298</v>
      </c>
      <c r="CH37" s="82">
        <v>1509.5</v>
      </c>
      <c r="CI37" s="82">
        <v>1612.268</v>
      </c>
      <c r="CJ37" s="82">
        <v>1366.184</v>
      </c>
      <c r="CK37" s="82">
        <v>1991.111</v>
      </c>
      <c r="CL37" s="82">
        <v>3348.847</v>
      </c>
      <c r="CM37" s="82">
        <v>4456.55</v>
      </c>
      <c r="CN37" s="82">
        <v>4434.37446</v>
      </c>
      <c r="CO37" s="82">
        <v>4159.00255</v>
      </c>
      <c r="CP37" s="82">
        <v>4037.90768</v>
      </c>
      <c r="CQ37" s="82">
        <v>4700.68058</v>
      </c>
      <c r="CR37" s="82">
        <v>4813.68608</v>
      </c>
      <c r="CS37" s="82">
        <v>5261.09685</v>
      </c>
      <c r="CT37" s="82">
        <v>5166.20627</v>
      </c>
      <c r="CU37" s="82">
        <v>5174.94427</v>
      </c>
      <c r="CV37" s="82">
        <v>6302.3258</v>
      </c>
      <c r="CW37" s="82">
        <v>6286.40739</v>
      </c>
      <c r="CX37" s="82">
        <v>5981.94369</v>
      </c>
      <c r="CY37" s="82">
        <v>6376.92076</v>
      </c>
      <c r="CZ37" s="83">
        <v>6118.09494</v>
      </c>
    </row>
    <row r="38" ht="15" spans="1:104">
      <c r="A38" s="84" t="s">
        <v>172</v>
      </c>
      <c r="B38" s="293">
        <v>35</v>
      </c>
      <c r="C38" s="81">
        <v>0</v>
      </c>
      <c r="D38" s="82">
        <v>0</v>
      </c>
      <c r="E38" s="82">
        <v>0</v>
      </c>
      <c r="F38" s="82">
        <v>0</v>
      </c>
      <c r="G38" s="82">
        <v>0</v>
      </c>
      <c r="H38" s="82">
        <v>0</v>
      </c>
      <c r="I38" s="82">
        <v>0</v>
      </c>
      <c r="J38" s="82">
        <v>0</v>
      </c>
      <c r="K38" s="82">
        <v>0</v>
      </c>
      <c r="L38" s="82">
        <v>0</v>
      </c>
      <c r="M38" s="82">
        <v>0</v>
      </c>
      <c r="N38" s="82">
        <v>0</v>
      </c>
      <c r="O38" s="82">
        <v>0</v>
      </c>
      <c r="P38" s="82">
        <v>0</v>
      </c>
      <c r="Q38" s="82">
        <v>0</v>
      </c>
      <c r="R38" s="82">
        <v>0</v>
      </c>
      <c r="S38" s="82">
        <v>0</v>
      </c>
      <c r="T38" s="82">
        <v>0</v>
      </c>
      <c r="U38" s="82">
        <v>0</v>
      </c>
      <c r="V38" s="82">
        <v>0</v>
      </c>
      <c r="W38" s="82">
        <v>0</v>
      </c>
      <c r="X38" s="82">
        <v>0</v>
      </c>
      <c r="Y38" s="82">
        <v>0</v>
      </c>
      <c r="Z38" s="82">
        <v>0</v>
      </c>
      <c r="AA38" s="82">
        <v>0</v>
      </c>
      <c r="AB38" s="82">
        <v>0</v>
      </c>
      <c r="AC38" s="82">
        <v>0</v>
      </c>
      <c r="AD38" s="82">
        <v>0</v>
      </c>
      <c r="AE38" s="82">
        <v>0</v>
      </c>
      <c r="AF38" s="82">
        <v>0</v>
      </c>
      <c r="AG38" s="82">
        <v>0</v>
      </c>
      <c r="AH38" s="82">
        <v>0</v>
      </c>
      <c r="AI38" s="82">
        <v>0</v>
      </c>
      <c r="AJ38" s="82">
        <v>0</v>
      </c>
      <c r="AK38" s="82">
        <v>0</v>
      </c>
      <c r="AL38" s="82">
        <v>0</v>
      </c>
      <c r="AM38" s="82">
        <v>0</v>
      </c>
      <c r="AN38" s="82">
        <v>0</v>
      </c>
      <c r="AO38" s="82">
        <v>0</v>
      </c>
      <c r="AP38" s="82">
        <v>0</v>
      </c>
      <c r="AQ38" s="82">
        <v>0</v>
      </c>
      <c r="AR38" s="82">
        <v>0</v>
      </c>
      <c r="AS38" s="82">
        <v>0</v>
      </c>
      <c r="AT38" s="82">
        <v>0</v>
      </c>
      <c r="AU38" s="82">
        <v>0</v>
      </c>
      <c r="AV38" s="82">
        <v>0</v>
      </c>
      <c r="AW38" s="82">
        <v>0</v>
      </c>
      <c r="AX38" s="82">
        <v>0</v>
      </c>
      <c r="AY38" s="82">
        <v>0</v>
      </c>
      <c r="AZ38" s="82">
        <v>0</v>
      </c>
      <c r="BA38" s="82">
        <v>0</v>
      </c>
      <c r="BB38" s="82">
        <v>0</v>
      </c>
      <c r="BC38" s="82">
        <v>0</v>
      </c>
      <c r="BD38" s="82">
        <v>0</v>
      </c>
      <c r="BE38" s="82">
        <v>0</v>
      </c>
      <c r="BF38" s="82">
        <v>0</v>
      </c>
      <c r="BG38" s="82">
        <v>0</v>
      </c>
      <c r="BH38" s="82">
        <v>0</v>
      </c>
      <c r="BI38" s="82">
        <v>0</v>
      </c>
      <c r="BJ38" s="82">
        <v>0</v>
      </c>
      <c r="BK38" s="82">
        <v>0</v>
      </c>
      <c r="BL38" s="82">
        <v>0</v>
      </c>
      <c r="BM38" s="82">
        <v>0</v>
      </c>
      <c r="BN38" s="82">
        <v>0</v>
      </c>
      <c r="BO38" s="82">
        <v>0</v>
      </c>
      <c r="BP38" s="82">
        <v>0</v>
      </c>
      <c r="BQ38" s="82">
        <v>0</v>
      </c>
      <c r="BR38" s="82">
        <v>0.0172924177144699</v>
      </c>
      <c r="BS38" s="82">
        <v>0.0177534378479222</v>
      </c>
      <c r="BT38" s="82">
        <v>0.0185353900285885</v>
      </c>
      <c r="BU38" s="82">
        <v>0</v>
      </c>
      <c r="BV38" s="82">
        <v>0</v>
      </c>
      <c r="BW38" s="82">
        <v>0</v>
      </c>
      <c r="BX38" s="82">
        <v>0</v>
      </c>
      <c r="BY38" s="82">
        <v>0</v>
      </c>
      <c r="BZ38" s="82">
        <v>0</v>
      </c>
      <c r="CA38" s="82">
        <v>0</v>
      </c>
      <c r="CB38" s="82">
        <v>0</v>
      </c>
      <c r="CC38" s="82">
        <v>0</v>
      </c>
      <c r="CD38" s="82">
        <v>0</v>
      </c>
      <c r="CE38" s="82">
        <v>0</v>
      </c>
      <c r="CF38" s="82">
        <v>0</v>
      </c>
      <c r="CG38" s="82">
        <v>0</v>
      </c>
      <c r="CH38" s="82">
        <v>0</v>
      </c>
      <c r="CI38" s="82">
        <v>0</v>
      </c>
      <c r="CJ38" s="82">
        <v>0</v>
      </c>
      <c r="CK38" s="82">
        <v>0</v>
      </c>
      <c r="CL38" s="82">
        <v>0</v>
      </c>
      <c r="CM38" s="82">
        <v>0</v>
      </c>
      <c r="CN38" s="82">
        <v>0</v>
      </c>
      <c r="CO38" s="82">
        <v>0</v>
      </c>
      <c r="CP38" s="82">
        <v>0</v>
      </c>
      <c r="CQ38" s="82">
        <v>0</v>
      </c>
      <c r="CR38" s="82">
        <v>0</v>
      </c>
      <c r="CS38" s="82">
        <v>0</v>
      </c>
      <c r="CT38" s="82">
        <v>0.012875</v>
      </c>
      <c r="CU38" s="82">
        <v>2.82182853626074</v>
      </c>
      <c r="CV38" s="82">
        <v>4.32638</v>
      </c>
      <c r="CW38" s="82">
        <v>9.02348</v>
      </c>
      <c r="CX38" s="82">
        <v>11.1252726988316</v>
      </c>
      <c r="CY38" s="82">
        <v>10.1370809238234</v>
      </c>
      <c r="CZ38" s="83">
        <v>30.1104989067471</v>
      </c>
    </row>
    <row r="39" spans="1:104">
      <c r="A39" s="84" t="s">
        <v>173</v>
      </c>
      <c r="B39" s="293">
        <v>36</v>
      </c>
      <c r="C39" s="81">
        <v>98.216385456837</v>
      </c>
      <c r="D39" s="82">
        <v>101.13875407826</v>
      </c>
      <c r="E39" s="82">
        <v>148.257402672901</v>
      </c>
      <c r="F39" s="82">
        <v>138.133284181855</v>
      </c>
      <c r="G39" s="82">
        <v>310.445310355069</v>
      </c>
      <c r="H39" s="82">
        <v>334.522252658264</v>
      </c>
      <c r="I39" s="82">
        <v>361.800213431358</v>
      </c>
      <c r="J39" s="82">
        <v>531.588723436029</v>
      </c>
      <c r="K39" s="82">
        <v>673.112607520447</v>
      </c>
      <c r="L39" s="82">
        <v>671.481471894685</v>
      </c>
      <c r="M39" s="82">
        <v>683.89032630678</v>
      </c>
      <c r="N39" s="82">
        <v>764.15341331335</v>
      </c>
      <c r="O39" s="82">
        <v>1359.68853894414</v>
      </c>
      <c r="P39" s="82">
        <v>1265.93489605879</v>
      </c>
      <c r="Q39" s="82">
        <v>1486.8180990667</v>
      </c>
      <c r="R39" s="82">
        <v>1363.19971564779</v>
      </c>
      <c r="S39" s="82">
        <v>1728.74891501565</v>
      </c>
      <c r="T39" s="82">
        <v>1958.05044672758</v>
      </c>
      <c r="U39" s="82">
        <v>2274.86912054423</v>
      </c>
      <c r="V39" s="82">
        <v>3047.65090132537</v>
      </c>
      <c r="W39" s="82">
        <v>5318.21717472739</v>
      </c>
      <c r="X39" s="82">
        <v>5303.21422090481</v>
      </c>
      <c r="Y39" s="82">
        <v>5377.25339379373</v>
      </c>
      <c r="Z39" s="82">
        <v>3974.27390772812</v>
      </c>
      <c r="AA39" s="82">
        <v>5801.355373</v>
      </c>
      <c r="AB39" s="82">
        <v>3873.167</v>
      </c>
      <c r="AC39" s="82">
        <v>5406.89</v>
      </c>
      <c r="AD39" s="82">
        <v>3801.856</v>
      </c>
      <c r="AE39" s="82">
        <v>3747.49</v>
      </c>
      <c r="AF39" s="82">
        <v>3444.58</v>
      </c>
      <c r="AG39" s="82">
        <v>2654.03</v>
      </c>
      <c r="AH39" s="82">
        <v>2079.6454382348</v>
      </c>
      <c r="AI39" s="82">
        <v>2010.92933584449</v>
      </c>
      <c r="AJ39" s="82">
        <v>1506.081</v>
      </c>
      <c r="AK39" s="82">
        <v>1129.356</v>
      </c>
      <c r="AL39" s="82">
        <v>807.011</v>
      </c>
      <c r="AM39" s="82">
        <v>353.076</v>
      </c>
      <c r="AN39" s="82">
        <v>399.643</v>
      </c>
      <c r="AO39" s="82">
        <v>422.804</v>
      </c>
      <c r="AP39" s="82">
        <v>151.568</v>
      </c>
      <c r="AQ39" s="82">
        <v>227.74</v>
      </c>
      <c r="AR39" s="82">
        <v>408.345012794996</v>
      </c>
      <c r="AS39" s="82">
        <v>356.269</v>
      </c>
      <c r="AT39" s="82">
        <v>289.73</v>
      </c>
      <c r="AU39" s="82">
        <v>130.833</v>
      </c>
      <c r="AV39" s="82">
        <v>275.338</v>
      </c>
      <c r="AW39" s="82">
        <v>196.164</v>
      </c>
      <c r="AX39" s="82">
        <v>319.266</v>
      </c>
      <c r="AY39" s="82">
        <v>360.945</v>
      </c>
      <c r="AZ39" s="82">
        <v>284.835</v>
      </c>
      <c r="BA39" s="82">
        <v>156.923</v>
      </c>
      <c r="BB39" s="82">
        <v>205.912</v>
      </c>
      <c r="BC39" s="82">
        <v>316.588</v>
      </c>
      <c r="BD39" s="82">
        <v>272.913</v>
      </c>
      <c r="BE39" s="82">
        <v>165.218</v>
      </c>
      <c r="BF39" s="82">
        <v>120.315</v>
      </c>
      <c r="BG39" s="82">
        <v>351.77</v>
      </c>
      <c r="BH39" s="82">
        <v>66.938</v>
      </c>
      <c r="BI39" s="82">
        <v>93.78</v>
      </c>
      <c r="BJ39" s="82">
        <v>89.73</v>
      </c>
      <c r="BK39" s="82">
        <v>149.098</v>
      </c>
      <c r="BL39" s="82">
        <v>101.391</v>
      </c>
      <c r="BM39" s="82">
        <v>98.956</v>
      </c>
      <c r="BN39" s="82">
        <v>96.801</v>
      </c>
      <c r="BO39" s="82">
        <v>69.886</v>
      </c>
      <c r="BP39" s="82">
        <v>85.948</v>
      </c>
      <c r="BQ39" s="82">
        <v>92.911</v>
      </c>
      <c r="BR39" s="82">
        <v>88.155</v>
      </c>
      <c r="BS39" s="82">
        <v>116.652</v>
      </c>
      <c r="BT39" s="82">
        <v>110.482</v>
      </c>
      <c r="BU39" s="82">
        <v>160.858</v>
      </c>
      <c r="BV39" s="82">
        <v>165.559</v>
      </c>
      <c r="BW39" s="82">
        <v>132.063</v>
      </c>
      <c r="BX39" s="82">
        <v>101.838</v>
      </c>
      <c r="BY39" s="82">
        <v>25.957</v>
      </c>
      <c r="BZ39" s="82">
        <v>33.66</v>
      </c>
      <c r="CA39" s="82">
        <v>95.479</v>
      </c>
      <c r="CB39" s="82">
        <v>30.741</v>
      </c>
      <c r="CC39" s="82">
        <v>61.818</v>
      </c>
      <c r="CD39" s="82">
        <v>0.435</v>
      </c>
      <c r="CE39" s="82">
        <v>23.938</v>
      </c>
      <c r="CF39" s="82">
        <v>80.45</v>
      </c>
      <c r="CG39" s="82">
        <v>194.085</v>
      </c>
      <c r="CH39" s="82">
        <v>210.675</v>
      </c>
      <c r="CI39" s="82">
        <v>9.266</v>
      </c>
      <c r="CJ39" s="82">
        <v>1022.07702</v>
      </c>
      <c r="CK39" s="82">
        <v>987.31833</v>
      </c>
      <c r="CL39" s="82">
        <v>555.83132</v>
      </c>
      <c r="CM39" s="82">
        <v>797.594</v>
      </c>
      <c r="CN39" s="82">
        <v>1120.2</v>
      </c>
      <c r="CO39" s="82">
        <v>569.724</v>
      </c>
      <c r="CP39" s="82">
        <v>766.559</v>
      </c>
      <c r="CQ39" s="82">
        <v>743.707</v>
      </c>
      <c r="CR39" s="82">
        <v>1108.136</v>
      </c>
      <c r="CS39" s="82">
        <v>1843.54</v>
      </c>
      <c r="CT39" s="82">
        <v>2287.391</v>
      </c>
      <c r="CU39" s="82">
        <v>1045.408</v>
      </c>
      <c r="CV39" s="82">
        <v>1040.001</v>
      </c>
      <c r="CW39" s="82">
        <v>841.939</v>
      </c>
      <c r="CX39" s="82">
        <v>825.090327122719</v>
      </c>
      <c r="CY39" s="82">
        <v>785.032</v>
      </c>
      <c r="CZ39" s="83">
        <v>2201.99</v>
      </c>
    </row>
    <row r="40" spans="1:104">
      <c r="A40" s="84" t="s">
        <v>174</v>
      </c>
      <c r="B40" s="293">
        <v>37</v>
      </c>
      <c r="C40" s="81">
        <v>0</v>
      </c>
      <c r="D40" s="82">
        <v>0</v>
      </c>
      <c r="E40" s="82">
        <v>0</v>
      </c>
      <c r="F40" s="82">
        <v>0</v>
      </c>
      <c r="G40" s="82">
        <v>0</v>
      </c>
      <c r="H40" s="82">
        <v>0</v>
      </c>
      <c r="I40" s="82">
        <v>0</v>
      </c>
      <c r="J40" s="82">
        <v>0</v>
      </c>
      <c r="K40" s="82">
        <v>0</v>
      </c>
      <c r="L40" s="82">
        <v>0</v>
      </c>
      <c r="M40" s="82">
        <v>0</v>
      </c>
      <c r="N40" s="82">
        <v>0</v>
      </c>
      <c r="O40" s="82">
        <v>0</v>
      </c>
      <c r="P40" s="82">
        <v>0</v>
      </c>
      <c r="Q40" s="82">
        <v>0</v>
      </c>
      <c r="R40" s="82">
        <v>0</v>
      </c>
      <c r="S40" s="82">
        <v>0</v>
      </c>
      <c r="T40" s="82">
        <v>0</v>
      </c>
      <c r="U40" s="82">
        <v>0</v>
      </c>
      <c r="V40" s="82">
        <v>0</v>
      </c>
      <c r="W40" s="82">
        <v>0</v>
      </c>
      <c r="X40" s="82">
        <v>0</v>
      </c>
      <c r="Y40" s="82">
        <v>0</v>
      </c>
      <c r="Z40" s="82">
        <v>0</v>
      </c>
      <c r="AA40" s="82">
        <v>0</v>
      </c>
      <c r="AB40" s="82">
        <v>0</v>
      </c>
      <c r="AC40" s="82">
        <v>0</v>
      </c>
      <c r="AD40" s="82">
        <v>0</v>
      </c>
      <c r="AE40" s="82">
        <v>0</v>
      </c>
      <c r="AF40" s="82">
        <v>0</v>
      </c>
      <c r="AG40" s="82">
        <v>0</v>
      </c>
      <c r="AH40" s="82">
        <v>0</v>
      </c>
      <c r="AI40" s="82">
        <v>0</v>
      </c>
      <c r="AJ40" s="82">
        <v>0</v>
      </c>
      <c r="AK40" s="82">
        <v>0</v>
      </c>
      <c r="AL40" s="82">
        <v>0</v>
      </c>
      <c r="AM40" s="82">
        <v>0</v>
      </c>
      <c r="AN40" s="82">
        <v>0</v>
      </c>
      <c r="AO40" s="82">
        <v>0</v>
      </c>
      <c r="AP40" s="82">
        <v>0</v>
      </c>
      <c r="AQ40" s="82">
        <v>0</v>
      </c>
      <c r="AR40" s="82">
        <v>0</v>
      </c>
      <c r="AS40" s="82">
        <v>0</v>
      </c>
      <c r="AT40" s="82">
        <v>0</v>
      </c>
      <c r="AU40" s="82">
        <v>0</v>
      </c>
      <c r="AV40" s="82">
        <v>0</v>
      </c>
      <c r="AW40" s="82">
        <v>0</v>
      </c>
      <c r="AX40" s="82">
        <v>0</v>
      </c>
      <c r="AY40" s="82">
        <v>0</v>
      </c>
      <c r="AZ40" s="82">
        <v>0</v>
      </c>
      <c r="BA40" s="82">
        <v>0</v>
      </c>
      <c r="BB40" s="82">
        <v>0</v>
      </c>
      <c r="BC40" s="82">
        <v>0</v>
      </c>
      <c r="BD40" s="82">
        <v>0</v>
      </c>
      <c r="BE40" s="82">
        <v>0</v>
      </c>
      <c r="BF40" s="82">
        <v>0</v>
      </c>
      <c r="BG40" s="82">
        <v>0</v>
      </c>
      <c r="BH40" s="82">
        <v>0</v>
      </c>
      <c r="BI40" s="82">
        <v>0</v>
      </c>
      <c r="BJ40" s="82">
        <v>0</v>
      </c>
      <c r="BK40" s="82">
        <v>0</v>
      </c>
      <c r="BL40" s="82">
        <v>0</v>
      </c>
      <c r="BM40" s="82">
        <v>0</v>
      </c>
      <c r="BN40" s="82">
        <v>0</v>
      </c>
      <c r="BO40" s="82">
        <v>0</v>
      </c>
      <c r="BP40" s="82">
        <v>0</v>
      </c>
      <c r="BQ40" s="82">
        <v>0</v>
      </c>
      <c r="BR40" s="82">
        <v>0</v>
      </c>
      <c r="BS40" s="82">
        <v>0</v>
      </c>
      <c r="BT40" s="82">
        <v>0</v>
      </c>
      <c r="BU40" s="82">
        <v>0</v>
      </c>
      <c r="BV40" s="82">
        <v>0</v>
      </c>
      <c r="BW40" s="82">
        <v>0</v>
      </c>
      <c r="BX40" s="82">
        <v>0</v>
      </c>
      <c r="BY40" s="82">
        <v>0</v>
      </c>
      <c r="BZ40" s="82">
        <v>0</v>
      </c>
      <c r="CA40" s="82">
        <v>0</v>
      </c>
      <c r="CB40" s="82">
        <v>0</v>
      </c>
      <c r="CC40" s="82">
        <v>0</v>
      </c>
      <c r="CD40" s="82">
        <v>0</v>
      </c>
      <c r="CE40" s="82">
        <v>0</v>
      </c>
      <c r="CF40" s="82">
        <v>0</v>
      </c>
      <c r="CG40" s="82">
        <v>0</v>
      </c>
      <c r="CH40" s="82">
        <v>0</v>
      </c>
      <c r="CI40" s="82">
        <v>0</v>
      </c>
      <c r="CJ40" s="82">
        <v>0</v>
      </c>
      <c r="CK40" s="82">
        <v>0</v>
      </c>
      <c r="CL40" s="82">
        <v>0</v>
      </c>
      <c r="CM40" s="82">
        <v>0</v>
      </c>
      <c r="CN40" s="82">
        <v>0</v>
      </c>
      <c r="CO40" s="82">
        <v>0</v>
      </c>
      <c r="CP40" s="82">
        <v>0</v>
      </c>
      <c r="CQ40" s="82">
        <v>0</v>
      </c>
      <c r="CR40" s="82">
        <v>0</v>
      </c>
      <c r="CS40" s="82">
        <v>0</v>
      </c>
      <c r="CT40" s="82">
        <v>0</v>
      </c>
      <c r="CU40" s="82">
        <v>0</v>
      </c>
      <c r="CV40" s="82">
        <v>0</v>
      </c>
      <c r="CW40" s="82">
        <v>0</v>
      </c>
      <c r="CX40" s="82">
        <v>0</v>
      </c>
      <c r="CY40" s="82">
        <v>0</v>
      </c>
      <c r="CZ40" s="83">
        <v>0</v>
      </c>
    </row>
    <row r="41" spans="1:104">
      <c r="A41" s="84" t="s">
        <v>175</v>
      </c>
      <c r="B41" s="293">
        <v>38</v>
      </c>
      <c r="C41" s="81">
        <v>4.3681</v>
      </c>
      <c r="D41" s="82">
        <v>2.5605</v>
      </c>
      <c r="E41" s="82">
        <v>3.839</v>
      </c>
      <c r="F41" s="82">
        <v>3.028</v>
      </c>
      <c r="G41" s="82">
        <v>6.2296</v>
      </c>
      <c r="H41" s="82">
        <v>3.292583</v>
      </c>
      <c r="I41" s="82">
        <v>4.414799</v>
      </c>
      <c r="J41" s="82">
        <v>3.160796</v>
      </c>
      <c r="K41" s="82">
        <v>3.89544000000001</v>
      </c>
      <c r="L41" s="82">
        <v>10.51936</v>
      </c>
      <c r="M41" s="82">
        <v>25.5623</v>
      </c>
      <c r="N41" s="82">
        <v>25.235</v>
      </c>
      <c r="O41" s="82">
        <v>17.627</v>
      </c>
      <c r="P41" s="82">
        <v>19.611</v>
      </c>
      <c r="Q41" s="82">
        <v>25.47832</v>
      </c>
      <c r="R41" s="82">
        <v>111.3153</v>
      </c>
      <c r="S41" s="82">
        <v>174.9243</v>
      </c>
      <c r="T41" s="82">
        <v>57.782</v>
      </c>
      <c r="U41" s="82">
        <v>52.706</v>
      </c>
      <c r="V41" s="82">
        <v>147.6553</v>
      </c>
      <c r="W41" s="82">
        <v>174.7827</v>
      </c>
      <c r="X41" s="82">
        <v>174.13605</v>
      </c>
      <c r="Y41" s="82">
        <v>254.8875</v>
      </c>
      <c r="Z41" s="82">
        <v>205.89409</v>
      </c>
      <c r="AA41" s="82">
        <v>366.21618</v>
      </c>
      <c r="AB41" s="82">
        <v>593.2958</v>
      </c>
      <c r="AC41" s="82">
        <v>533.16384</v>
      </c>
      <c r="AD41" s="82">
        <v>351.87142</v>
      </c>
      <c r="AE41" s="82">
        <v>491.4003</v>
      </c>
      <c r="AF41" s="82">
        <v>428.94608</v>
      </c>
      <c r="AG41" s="82">
        <v>479.07676</v>
      </c>
      <c r="AH41" s="82">
        <v>483.918</v>
      </c>
      <c r="AI41" s="82">
        <v>379.73799</v>
      </c>
      <c r="AJ41" s="82">
        <v>220.37621</v>
      </c>
      <c r="AK41" s="82">
        <v>492.991</v>
      </c>
      <c r="AL41" s="82">
        <v>375.434</v>
      </c>
      <c r="AM41" s="82">
        <v>455.517</v>
      </c>
      <c r="AN41" s="82">
        <v>200.744</v>
      </c>
      <c r="AO41" s="82">
        <v>158.295</v>
      </c>
      <c r="AP41" s="82">
        <v>160.235</v>
      </c>
      <c r="AQ41" s="82">
        <v>119.412</v>
      </c>
      <c r="AR41" s="82">
        <v>158.594</v>
      </c>
      <c r="AS41" s="82">
        <v>120.016</v>
      </c>
      <c r="AT41" s="82">
        <v>153.015</v>
      </c>
      <c r="AU41" s="82">
        <v>143.706</v>
      </c>
      <c r="AV41" s="82">
        <v>122.966</v>
      </c>
      <c r="AW41" s="82">
        <v>94.609</v>
      </c>
      <c r="AX41" s="82">
        <v>72.818</v>
      </c>
      <c r="AY41" s="82">
        <v>83.317</v>
      </c>
      <c r="AZ41" s="82">
        <v>70.205</v>
      </c>
      <c r="BA41" s="82">
        <v>69.291</v>
      </c>
      <c r="BB41" s="82">
        <v>61.169</v>
      </c>
      <c r="BC41" s="82">
        <v>81.485</v>
      </c>
      <c r="BD41" s="82">
        <v>98.265</v>
      </c>
      <c r="BE41" s="82">
        <v>74.109</v>
      </c>
      <c r="BF41" s="82">
        <v>66.929</v>
      </c>
      <c r="BG41" s="82">
        <v>127.826</v>
      </c>
      <c r="BH41" s="82">
        <v>79.77</v>
      </c>
      <c r="BI41" s="82">
        <v>60.895</v>
      </c>
      <c r="BJ41" s="82">
        <v>59.916</v>
      </c>
      <c r="BK41" s="82">
        <v>40.157</v>
      </c>
      <c r="BL41" s="82">
        <v>73.329</v>
      </c>
      <c r="BM41" s="82">
        <v>52.024</v>
      </c>
      <c r="BN41" s="82">
        <v>39.364</v>
      </c>
      <c r="BO41" s="82">
        <v>39.605</v>
      </c>
      <c r="BP41" s="82">
        <v>45.066</v>
      </c>
      <c r="BQ41" s="82">
        <v>73.181</v>
      </c>
      <c r="BR41" s="82">
        <v>115.076</v>
      </c>
      <c r="BS41" s="82">
        <v>79.456</v>
      </c>
      <c r="BT41" s="82">
        <v>96.036</v>
      </c>
      <c r="BU41" s="82">
        <v>111.785</v>
      </c>
      <c r="BV41" s="82">
        <v>174.584</v>
      </c>
      <c r="BW41" s="82">
        <v>160.793</v>
      </c>
      <c r="BX41" s="82">
        <v>418.539</v>
      </c>
      <c r="BY41" s="82">
        <v>223.992</v>
      </c>
      <c r="BZ41" s="82">
        <v>214.055</v>
      </c>
      <c r="CA41" s="82">
        <v>138.588</v>
      </c>
      <c r="CB41" s="82">
        <v>154.218</v>
      </c>
      <c r="CC41" s="82">
        <v>209.469</v>
      </c>
      <c r="CD41" s="82">
        <v>224.054</v>
      </c>
      <c r="CE41" s="82">
        <v>139.121</v>
      </c>
      <c r="CF41" s="82">
        <v>278.912</v>
      </c>
      <c r="CG41" s="82">
        <v>278.923</v>
      </c>
      <c r="CH41" s="82">
        <v>254.863</v>
      </c>
      <c r="CI41" s="82">
        <v>216.176</v>
      </c>
      <c r="CJ41" s="82">
        <v>271.199</v>
      </c>
      <c r="CK41" s="82">
        <v>430.62877</v>
      </c>
      <c r="CL41" s="82">
        <v>294.407250216043</v>
      </c>
      <c r="CM41" s="82">
        <v>404.14994</v>
      </c>
      <c r="CN41" s="82">
        <v>449.62212</v>
      </c>
      <c r="CO41" s="82">
        <v>495.88074</v>
      </c>
      <c r="CP41" s="82">
        <v>525.500307880161</v>
      </c>
      <c r="CQ41" s="82">
        <v>889.02322</v>
      </c>
      <c r="CR41" s="82">
        <v>1001.73445</v>
      </c>
      <c r="CS41" s="82">
        <v>856.97996</v>
      </c>
      <c r="CT41" s="82">
        <v>930.61157</v>
      </c>
      <c r="CU41" s="82">
        <v>410.37133</v>
      </c>
      <c r="CV41" s="82">
        <v>483.58018</v>
      </c>
      <c r="CW41" s="82">
        <v>784.81537</v>
      </c>
      <c r="CX41" s="82">
        <v>629.87223</v>
      </c>
      <c r="CY41" s="82">
        <v>754.81443</v>
      </c>
      <c r="CZ41" s="83">
        <v>702.47888</v>
      </c>
    </row>
    <row r="42" ht="15" spans="1:104">
      <c r="A42" s="86" t="s">
        <v>166</v>
      </c>
      <c r="B42" s="294" t="s">
        <v>185</v>
      </c>
      <c r="C42" s="87">
        <v>155.768741620623</v>
      </c>
      <c r="D42" s="88">
        <v>175.544381802213</v>
      </c>
      <c r="E42" s="88">
        <v>221.043503826718</v>
      </c>
      <c r="F42" s="88">
        <v>270.905843755822</v>
      </c>
      <c r="G42" s="88">
        <v>234.636080920049</v>
      </c>
      <c r="H42" s="88">
        <v>257.588099126692</v>
      </c>
      <c r="I42" s="88">
        <v>688.032188290409</v>
      </c>
      <c r="J42" s="88">
        <v>693.994943020456</v>
      </c>
      <c r="K42" s="88">
        <v>843.892492907289</v>
      </c>
      <c r="L42" s="88">
        <v>924.354063978984</v>
      </c>
      <c r="M42" s="88">
        <v>1487.48199461912</v>
      </c>
      <c r="N42" s="88">
        <v>1972.43432448291</v>
      </c>
      <c r="O42" s="88">
        <v>2311.4785074621</v>
      </c>
      <c r="P42" s="88">
        <v>2765.83216959134</v>
      </c>
      <c r="Q42" s="88">
        <v>3373.96224909796</v>
      </c>
      <c r="R42" s="88">
        <v>3970.14957364882</v>
      </c>
      <c r="S42" s="88">
        <v>5391.3172438167</v>
      </c>
      <c r="T42" s="88">
        <v>6070.98726889488</v>
      </c>
      <c r="U42" s="88">
        <v>6785.25773888144</v>
      </c>
      <c r="V42" s="88">
        <v>6741.37212794896</v>
      </c>
      <c r="W42" s="88">
        <v>9019.11863061704</v>
      </c>
      <c r="X42" s="88">
        <v>11213.6247729357</v>
      </c>
      <c r="Y42" s="88">
        <v>14005.1135635157</v>
      </c>
      <c r="Z42" s="88">
        <v>18840.9656591174</v>
      </c>
      <c r="AA42" s="88">
        <v>25857.8828882337</v>
      </c>
      <c r="AB42" s="88">
        <v>33123.3900761887</v>
      </c>
      <c r="AC42" s="88">
        <v>38552.8877509713</v>
      </c>
      <c r="AD42" s="88">
        <v>40814.3114765394</v>
      </c>
      <c r="AE42" s="88">
        <v>39843.4377334885</v>
      </c>
      <c r="AF42" s="88">
        <v>39082.9477738798</v>
      </c>
      <c r="AG42" s="88">
        <v>40262.3079342284</v>
      </c>
      <c r="AH42" s="88">
        <v>38243.2340523076</v>
      </c>
      <c r="AI42" s="88">
        <v>36127.8174401898</v>
      </c>
      <c r="AJ42" s="88">
        <v>31877.9915388956</v>
      </c>
      <c r="AK42" s="88">
        <v>30120.3490368576</v>
      </c>
      <c r="AL42" s="88">
        <v>29753.9400842517</v>
      </c>
      <c r="AM42" s="88">
        <v>28543.8810565492</v>
      </c>
      <c r="AN42" s="88">
        <v>24447.2655706168</v>
      </c>
      <c r="AO42" s="88">
        <v>23462.6497719657</v>
      </c>
      <c r="AP42" s="88">
        <v>17933.125048771</v>
      </c>
      <c r="AQ42" s="88">
        <v>18325.3485785345</v>
      </c>
      <c r="AR42" s="88">
        <v>17486.6919988919</v>
      </c>
      <c r="AS42" s="88">
        <v>17107.6590379098</v>
      </c>
      <c r="AT42" s="88">
        <v>15256.8217647654</v>
      </c>
      <c r="AU42" s="88">
        <v>13558.1451733901</v>
      </c>
      <c r="AV42" s="88">
        <v>13942.0551344876</v>
      </c>
      <c r="AW42" s="88">
        <v>13198.3483605764</v>
      </c>
      <c r="AX42" s="88">
        <v>13020.1630621998</v>
      </c>
      <c r="AY42" s="88">
        <v>11877.2963455878</v>
      </c>
      <c r="AZ42" s="88">
        <v>11364.7644497325</v>
      </c>
      <c r="BA42" s="88">
        <v>10594.3239316776</v>
      </c>
      <c r="BB42" s="88">
        <v>10567.2914181621</v>
      </c>
      <c r="BC42" s="88">
        <v>9932.84102981264</v>
      </c>
      <c r="BD42" s="88">
        <v>9547.10650445198</v>
      </c>
      <c r="BE42" s="88">
        <v>9576.60634804633</v>
      </c>
      <c r="BF42" s="88">
        <v>9535.44467022404</v>
      </c>
      <c r="BG42" s="88">
        <v>8651.92621493657</v>
      </c>
      <c r="BH42" s="88">
        <v>8455.29627769664</v>
      </c>
      <c r="BI42" s="88">
        <v>8864.05600346551</v>
      </c>
      <c r="BJ42" s="88">
        <v>7799.9496085487</v>
      </c>
      <c r="BK42" s="88">
        <v>7208.39823699448</v>
      </c>
      <c r="BL42" s="88">
        <v>6931.5145256911</v>
      </c>
      <c r="BM42" s="88">
        <v>6916.00868413821</v>
      </c>
      <c r="BN42" s="88">
        <v>6822.22300447343</v>
      </c>
      <c r="BO42" s="88">
        <v>6569.97126450875</v>
      </c>
      <c r="BP42" s="88">
        <v>6015.61749040359</v>
      </c>
      <c r="BQ42" s="88">
        <v>5505.41042168406</v>
      </c>
      <c r="BR42" s="88">
        <v>5517.97763320912</v>
      </c>
      <c r="BS42" s="88">
        <v>5800.30822869818</v>
      </c>
      <c r="BT42" s="88">
        <v>5219.01579869679</v>
      </c>
      <c r="BU42" s="88">
        <v>5209.71466989887</v>
      </c>
      <c r="BV42" s="88">
        <v>4795.10390752756</v>
      </c>
      <c r="BW42" s="88">
        <v>4754.97197492118</v>
      </c>
      <c r="BX42" s="88">
        <v>4040.40694641779</v>
      </c>
      <c r="BY42" s="88">
        <v>3924.62183375921</v>
      </c>
      <c r="BZ42" s="88">
        <v>3655.26046640778</v>
      </c>
      <c r="CA42" s="88">
        <v>3720.46699383348</v>
      </c>
      <c r="CB42" s="88">
        <v>3706.68624416951</v>
      </c>
      <c r="CC42" s="88">
        <v>3880.49078722113</v>
      </c>
      <c r="CD42" s="88">
        <v>3680.04191754121</v>
      </c>
      <c r="CE42" s="88">
        <v>3525.01506895857</v>
      </c>
      <c r="CF42" s="88">
        <v>3416.03763669419</v>
      </c>
      <c r="CG42" s="88">
        <v>3770.39860903738</v>
      </c>
      <c r="CH42" s="88">
        <v>3760.03014950779</v>
      </c>
      <c r="CI42" s="88">
        <v>3656.10955353032</v>
      </c>
      <c r="CJ42" s="88">
        <v>5565.83129210403</v>
      </c>
      <c r="CK42" s="88">
        <v>6266.54154362868</v>
      </c>
      <c r="CL42" s="88">
        <v>3807.24742619814</v>
      </c>
      <c r="CM42" s="88">
        <v>4017.12622646691</v>
      </c>
      <c r="CN42" s="88">
        <v>4612.48559136194</v>
      </c>
      <c r="CO42" s="88">
        <v>4937.97839121759</v>
      </c>
      <c r="CP42" s="88">
        <v>5301.15248121426</v>
      </c>
      <c r="CQ42" s="88">
        <v>4868.84136442571</v>
      </c>
      <c r="CR42" s="88">
        <v>5607.25607411342</v>
      </c>
      <c r="CS42" s="88">
        <v>6361.45515887055</v>
      </c>
      <c r="CT42" s="88">
        <v>6340.70867831643</v>
      </c>
      <c r="CU42" s="88">
        <v>6486.84792074933</v>
      </c>
      <c r="CV42" s="88">
        <v>6739.788423384</v>
      </c>
      <c r="CW42" s="88">
        <v>7711.97203878285</v>
      </c>
      <c r="CX42" s="88">
        <v>8529.30024338063</v>
      </c>
      <c r="CY42" s="88">
        <v>10360.5058964416</v>
      </c>
      <c r="CZ42" s="89">
        <v>10099.4658261514</v>
      </c>
    </row>
    <row r="43" spans="1:104">
      <c r="A43" s="84" t="s">
        <v>171</v>
      </c>
      <c r="B43" s="293">
        <v>40</v>
      </c>
      <c r="C43" s="81">
        <v>0.183458</v>
      </c>
      <c r="D43" s="82">
        <v>0.308098</v>
      </c>
      <c r="E43" s="82">
        <v>1.052496</v>
      </c>
      <c r="F43" s="82">
        <v>1.490795</v>
      </c>
      <c r="G43" s="82">
        <v>1.847301</v>
      </c>
      <c r="H43" s="82">
        <v>12.909815</v>
      </c>
      <c r="I43" s="82">
        <v>197.46872</v>
      </c>
      <c r="J43" s="82">
        <v>198.440251</v>
      </c>
      <c r="K43" s="82">
        <v>137.374304</v>
      </c>
      <c r="L43" s="82">
        <v>123.331647</v>
      </c>
      <c r="M43" s="82">
        <v>63.08414</v>
      </c>
      <c r="N43" s="82">
        <v>103.368</v>
      </c>
      <c r="O43" s="82">
        <v>146.853033</v>
      </c>
      <c r="P43" s="82">
        <v>195.034</v>
      </c>
      <c r="Q43" s="82">
        <v>187.563</v>
      </c>
      <c r="R43" s="82">
        <v>186.652</v>
      </c>
      <c r="S43" s="82">
        <v>200.779</v>
      </c>
      <c r="T43" s="82">
        <v>183.797</v>
      </c>
      <c r="U43" s="82">
        <v>179.726</v>
      </c>
      <c r="V43" s="82">
        <v>219.764</v>
      </c>
      <c r="W43" s="82">
        <v>308.33296</v>
      </c>
      <c r="X43" s="82">
        <v>316.57169</v>
      </c>
      <c r="Y43" s="82">
        <v>257.7798</v>
      </c>
      <c r="Z43" s="82">
        <v>268.19068</v>
      </c>
      <c r="AA43" s="82">
        <v>487.26063</v>
      </c>
      <c r="AB43" s="82">
        <v>611.791</v>
      </c>
      <c r="AC43" s="82">
        <v>647.05201</v>
      </c>
      <c r="AD43" s="82">
        <v>724.27296</v>
      </c>
      <c r="AE43" s="82">
        <v>701.39</v>
      </c>
      <c r="AF43" s="82">
        <v>586.151</v>
      </c>
      <c r="AG43" s="82">
        <v>590.85</v>
      </c>
      <c r="AH43" s="82">
        <v>581.283</v>
      </c>
      <c r="AI43" s="82">
        <v>527.596</v>
      </c>
      <c r="AJ43" s="82">
        <v>298.077</v>
      </c>
      <c r="AK43" s="82">
        <v>313.516</v>
      </c>
      <c r="AL43" s="82">
        <v>298.88</v>
      </c>
      <c r="AM43" s="82">
        <v>289.652</v>
      </c>
      <c r="AN43" s="82">
        <v>252.937</v>
      </c>
      <c r="AO43" s="82">
        <v>260.564</v>
      </c>
      <c r="AP43" s="82">
        <v>268.647</v>
      </c>
      <c r="AQ43" s="82">
        <v>275.122</v>
      </c>
      <c r="AR43" s="82">
        <v>278.862</v>
      </c>
      <c r="AS43" s="82">
        <v>277.674</v>
      </c>
      <c r="AT43" s="82">
        <v>254.968</v>
      </c>
      <c r="AU43" s="82">
        <v>262.202</v>
      </c>
      <c r="AV43" s="82">
        <v>549.865</v>
      </c>
      <c r="AW43" s="82">
        <v>590.911</v>
      </c>
      <c r="AX43" s="82">
        <v>550.1</v>
      </c>
      <c r="AY43" s="82">
        <v>428.534</v>
      </c>
      <c r="AZ43" s="82">
        <v>440.808</v>
      </c>
      <c r="BA43" s="82">
        <v>868.501</v>
      </c>
      <c r="BB43" s="82">
        <v>917.9</v>
      </c>
      <c r="BC43" s="82">
        <v>944.619</v>
      </c>
      <c r="BD43" s="82">
        <v>904.077</v>
      </c>
      <c r="BE43" s="82">
        <v>931.533</v>
      </c>
      <c r="BF43" s="82">
        <v>826.381</v>
      </c>
      <c r="BG43" s="82">
        <v>815.956</v>
      </c>
      <c r="BH43" s="82">
        <v>795.158</v>
      </c>
      <c r="BI43" s="82">
        <v>788.018</v>
      </c>
      <c r="BJ43" s="82">
        <v>110.631</v>
      </c>
      <c r="BK43" s="82">
        <v>149.402</v>
      </c>
      <c r="BL43" s="82">
        <v>125.036</v>
      </c>
      <c r="BM43" s="82">
        <v>129.38</v>
      </c>
      <c r="BN43" s="82">
        <v>130.463</v>
      </c>
      <c r="BO43" s="82">
        <v>158.433</v>
      </c>
      <c r="BP43" s="82">
        <v>162.2</v>
      </c>
      <c r="BQ43" s="82">
        <v>171.421</v>
      </c>
      <c r="BR43" s="82">
        <v>184.717</v>
      </c>
      <c r="BS43" s="82">
        <v>193.41</v>
      </c>
      <c r="BT43" s="82">
        <v>231.572</v>
      </c>
      <c r="BU43" s="82">
        <v>165.942</v>
      </c>
      <c r="BV43" s="82">
        <v>165.69</v>
      </c>
      <c r="BW43" s="82">
        <v>306.108</v>
      </c>
      <c r="BX43" s="82">
        <v>246.787</v>
      </c>
      <c r="BY43" s="82">
        <v>209.669</v>
      </c>
      <c r="BZ43" s="82">
        <v>224.303</v>
      </c>
      <c r="CA43" s="82">
        <v>237.435</v>
      </c>
      <c r="CB43" s="82">
        <v>203.164</v>
      </c>
      <c r="CC43" s="82">
        <v>256.232</v>
      </c>
      <c r="CD43" s="82">
        <v>188.935</v>
      </c>
      <c r="CE43" s="82">
        <v>244.042</v>
      </c>
      <c r="CF43" s="82">
        <v>430.629</v>
      </c>
      <c r="CG43" s="82">
        <v>350.881</v>
      </c>
      <c r="CH43" s="82">
        <v>255.252</v>
      </c>
      <c r="CI43" s="82">
        <v>226.176</v>
      </c>
      <c r="CJ43" s="82">
        <v>396.678</v>
      </c>
      <c r="CK43" s="82">
        <v>459.137</v>
      </c>
      <c r="CL43" s="82">
        <v>748.949</v>
      </c>
      <c r="CM43" s="82">
        <v>1462.594</v>
      </c>
      <c r="CN43" s="82">
        <v>2141.26633</v>
      </c>
      <c r="CO43" s="82">
        <v>2685.24112</v>
      </c>
      <c r="CP43" s="82">
        <v>3158.69995</v>
      </c>
      <c r="CQ43" s="82">
        <v>2811.0182</v>
      </c>
      <c r="CR43" s="82">
        <v>3630.09395</v>
      </c>
      <c r="CS43" s="82">
        <v>3768.77</v>
      </c>
      <c r="CT43" s="82">
        <v>3632.489</v>
      </c>
      <c r="CU43" s="82">
        <v>3041.689</v>
      </c>
      <c r="CV43" s="82">
        <v>3078.295</v>
      </c>
      <c r="CW43" s="82">
        <v>2758.371</v>
      </c>
      <c r="CX43" s="82">
        <v>2683.125</v>
      </c>
      <c r="CY43" s="82">
        <v>2767.601</v>
      </c>
      <c r="CZ43" s="83">
        <v>2712.39</v>
      </c>
    </row>
    <row r="44" ht="15" spans="1:104">
      <c r="A44" s="84" t="s">
        <v>172</v>
      </c>
      <c r="B44" s="293">
        <v>41</v>
      </c>
      <c r="C44" s="81">
        <v>31.332</v>
      </c>
      <c r="D44" s="82">
        <v>47.192</v>
      </c>
      <c r="E44" s="82">
        <v>27.195</v>
      </c>
      <c r="F44" s="82">
        <v>0.202</v>
      </c>
      <c r="G44" s="82">
        <v>0.208</v>
      </c>
      <c r="H44" s="82">
        <v>0.2024</v>
      </c>
      <c r="I44" s="82">
        <v>2.7978</v>
      </c>
      <c r="J44" s="82">
        <v>2.7978</v>
      </c>
      <c r="K44" s="82">
        <v>57.1715</v>
      </c>
      <c r="L44" s="82">
        <v>45.2816</v>
      </c>
      <c r="M44" s="82">
        <v>39.3229</v>
      </c>
      <c r="N44" s="82">
        <v>40.571140516209</v>
      </c>
      <c r="O44" s="82">
        <v>120.22189503883</v>
      </c>
      <c r="P44" s="82">
        <v>149.786167488283</v>
      </c>
      <c r="Q44" s="82">
        <v>235.966616904706</v>
      </c>
      <c r="R44" s="82">
        <v>280.485483132659</v>
      </c>
      <c r="S44" s="82">
        <v>754.067160487849</v>
      </c>
      <c r="T44" s="82">
        <v>891.225580606608</v>
      </c>
      <c r="U44" s="82">
        <v>1482.05694545575</v>
      </c>
      <c r="V44" s="82">
        <v>1548.98994716247</v>
      </c>
      <c r="W44" s="82">
        <v>1824.84973305199</v>
      </c>
      <c r="X44" s="82">
        <v>2081.49891788318</v>
      </c>
      <c r="Y44" s="82">
        <v>2523.38964827383</v>
      </c>
      <c r="Z44" s="82">
        <v>2543.79649499308</v>
      </c>
      <c r="AA44" s="82">
        <v>2984.12106123368</v>
      </c>
      <c r="AB44" s="82">
        <v>3212.57307618875</v>
      </c>
      <c r="AC44" s="82">
        <v>3560.03374097133</v>
      </c>
      <c r="AD44" s="82">
        <v>3648.83751653939</v>
      </c>
      <c r="AE44" s="82">
        <v>3266.19673348849</v>
      </c>
      <c r="AF44" s="82">
        <v>3145.20712734734</v>
      </c>
      <c r="AG44" s="82">
        <v>3253.89244975638</v>
      </c>
      <c r="AH44" s="82">
        <v>3320.20265177351</v>
      </c>
      <c r="AI44" s="82">
        <v>2518.26094031595</v>
      </c>
      <c r="AJ44" s="82">
        <v>1845.26174320073</v>
      </c>
      <c r="AK44" s="82">
        <v>2797.96757973248</v>
      </c>
      <c r="AL44" s="82">
        <v>2911.25660546911</v>
      </c>
      <c r="AM44" s="82">
        <v>2905.45925937406</v>
      </c>
      <c r="AN44" s="82">
        <v>6846.36007118685</v>
      </c>
      <c r="AO44" s="82">
        <v>6513.50564237287</v>
      </c>
      <c r="AP44" s="82">
        <v>10510.1471886187</v>
      </c>
      <c r="AQ44" s="82">
        <v>10695.4854796797</v>
      </c>
      <c r="AR44" s="82">
        <v>11070.5792638919</v>
      </c>
      <c r="AS44" s="82">
        <v>10556.0356542061</v>
      </c>
      <c r="AT44" s="82">
        <v>9199.89338479721</v>
      </c>
      <c r="AU44" s="82">
        <v>7916.31932339008</v>
      </c>
      <c r="AV44" s="82">
        <v>8140.09713448762</v>
      </c>
      <c r="AW44" s="82">
        <v>7603.00736057643</v>
      </c>
      <c r="AX44" s="82">
        <v>7814.70806219976</v>
      </c>
      <c r="AY44" s="82">
        <v>6639.76034558783</v>
      </c>
      <c r="AZ44" s="82">
        <v>7240.84944973252</v>
      </c>
      <c r="BA44" s="82">
        <v>6271.15793167757</v>
      </c>
      <c r="BB44" s="82">
        <v>6247.46641816211</v>
      </c>
      <c r="BC44" s="82">
        <v>5739.69502981264</v>
      </c>
      <c r="BD44" s="82">
        <v>5353.81150445198</v>
      </c>
      <c r="BE44" s="82">
        <v>5463.37334804633</v>
      </c>
      <c r="BF44" s="82">
        <v>5508.81667022404</v>
      </c>
      <c r="BG44" s="82">
        <v>4704.11421493657</v>
      </c>
      <c r="BH44" s="82">
        <v>4594.06227769664</v>
      </c>
      <c r="BI44" s="82">
        <v>4812.51000346551</v>
      </c>
      <c r="BJ44" s="82">
        <v>4589.2546085487</v>
      </c>
      <c r="BK44" s="82">
        <v>3999.88823699447</v>
      </c>
      <c r="BL44" s="82">
        <v>3832.3995256911</v>
      </c>
      <c r="BM44" s="82">
        <v>3793.13568413821</v>
      </c>
      <c r="BN44" s="82">
        <v>3787.28200447343</v>
      </c>
      <c r="BO44" s="82">
        <v>3316.18226450875</v>
      </c>
      <c r="BP44" s="82">
        <v>3044.05749040359</v>
      </c>
      <c r="BQ44" s="82">
        <v>2567.90842168406</v>
      </c>
      <c r="BR44" s="82">
        <v>2532.39963320912</v>
      </c>
      <c r="BS44" s="82">
        <v>2780.76122869818</v>
      </c>
      <c r="BT44" s="82">
        <v>2627.55879869679</v>
      </c>
      <c r="BU44" s="82">
        <v>2607.03566989887</v>
      </c>
      <c r="BV44" s="82">
        <v>2577.01490752756</v>
      </c>
      <c r="BW44" s="82">
        <v>2441.92897492118</v>
      </c>
      <c r="BX44" s="82">
        <v>2154.79184226779</v>
      </c>
      <c r="BY44" s="82">
        <v>2112.11572960921</v>
      </c>
      <c r="BZ44" s="82">
        <v>2001.91436225778</v>
      </c>
      <c r="CA44" s="82">
        <v>1875.85288968348</v>
      </c>
      <c r="CB44" s="82">
        <v>1870.77214001951</v>
      </c>
      <c r="CC44" s="82">
        <v>1841.19968307113</v>
      </c>
      <c r="CD44" s="82">
        <v>1779.39381339121</v>
      </c>
      <c r="CE44" s="82">
        <v>1568.21096480857</v>
      </c>
      <c r="CF44" s="82">
        <v>1434.25153254419</v>
      </c>
      <c r="CG44" s="82">
        <v>1859.70750488738</v>
      </c>
      <c r="CH44" s="82">
        <v>1885.00304535779</v>
      </c>
      <c r="CI44" s="82">
        <v>1888.76244938032</v>
      </c>
      <c r="CJ44" s="82">
        <v>1758.05018795403</v>
      </c>
      <c r="CK44" s="82">
        <v>1403.24743947868</v>
      </c>
      <c r="CL44" s="82">
        <v>1361.22232204814</v>
      </c>
      <c r="CM44" s="82">
        <v>752.64712231691</v>
      </c>
      <c r="CN44" s="82">
        <v>742.693157211942</v>
      </c>
      <c r="CO44" s="82">
        <v>553.596128681702</v>
      </c>
      <c r="CP44" s="82">
        <v>511.736174487704</v>
      </c>
      <c r="CQ44" s="82">
        <v>516.812060275714</v>
      </c>
      <c r="CR44" s="82">
        <v>510.060019963417</v>
      </c>
      <c r="CS44" s="82">
        <v>1005.19205472055</v>
      </c>
      <c r="CT44" s="82">
        <v>970.028574166431</v>
      </c>
      <c r="CU44" s="82">
        <v>1342.03381659933</v>
      </c>
      <c r="CV44" s="82">
        <v>1808.580319234</v>
      </c>
      <c r="CW44" s="82">
        <v>1950.67893463285</v>
      </c>
      <c r="CX44" s="82">
        <v>2242.38513923063</v>
      </c>
      <c r="CY44" s="82">
        <v>3593.99379229158</v>
      </c>
      <c r="CZ44" s="83">
        <v>3631.58572200144</v>
      </c>
    </row>
    <row r="45" spans="1:104">
      <c r="A45" s="84" t="s">
        <v>173</v>
      </c>
      <c r="B45" s="293">
        <v>42</v>
      </c>
      <c r="C45" s="81">
        <v>124.253283620623</v>
      </c>
      <c r="D45" s="82">
        <v>128.044283802213</v>
      </c>
      <c r="E45" s="82">
        <v>192.796007826718</v>
      </c>
      <c r="F45" s="82">
        <v>269.213048755822</v>
      </c>
      <c r="G45" s="82">
        <v>232.580779920049</v>
      </c>
      <c r="H45" s="82">
        <v>244.475884126692</v>
      </c>
      <c r="I45" s="82">
        <v>487.765668290409</v>
      </c>
      <c r="J45" s="82">
        <v>492.756892020456</v>
      </c>
      <c r="K45" s="82">
        <v>649.346688907289</v>
      </c>
      <c r="L45" s="82">
        <v>755.740816978984</v>
      </c>
      <c r="M45" s="82">
        <v>1385.07495461912</v>
      </c>
      <c r="N45" s="82">
        <v>1828.4951839667</v>
      </c>
      <c r="O45" s="82">
        <v>2044.40357942327</v>
      </c>
      <c r="P45" s="82">
        <v>2421.01200210306</v>
      </c>
      <c r="Q45" s="82">
        <v>2950.43263219325</v>
      </c>
      <c r="R45" s="82">
        <v>3503.01209051616</v>
      </c>
      <c r="S45" s="82">
        <v>4436.47108332885</v>
      </c>
      <c r="T45" s="82">
        <v>4995.96468828827</v>
      </c>
      <c r="U45" s="82">
        <v>5123.47479342568</v>
      </c>
      <c r="V45" s="82">
        <v>4972.61818078649</v>
      </c>
      <c r="W45" s="82">
        <v>6885.93593756504</v>
      </c>
      <c r="X45" s="82">
        <v>8815.5541650525</v>
      </c>
      <c r="Y45" s="82">
        <v>11223.9441152419</v>
      </c>
      <c r="Z45" s="82">
        <v>16028.9784841243</v>
      </c>
      <c r="AA45" s="82">
        <v>22386.501197</v>
      </c>
      <c r="AB45" s="82">
        <v>29299.026</v>
      </c>
      <c r="AC45" s="82">
        <v>34345.802</v>
      </c>
      <c r="AD45" s="82">
        <v>36441.201</v>
      </c>
      <c r="AE45" s="82">
        <v>35875.851</v>
      </c>
      <c r="AF45" s="82">
        <v>35351.5896465324</v>
      </c>
      <c r="AG45" s="82">
        <v>36417.565484472</v>
      </c>
      <c r="AH45" s="82">
        <v>34341.7484005341</v>
      </c>
      <c r="AI45" s="82">
        <v>33081.9604998739</v>
      </c>
      <c r="AJ45" s="82">
        <v>29734.6527956949</v>
      </c>
      <c r="AK45" s="82">
        <v>27008.8654571251</v>
      </c>
      <c r="AL45" s="82">
        <v>26543.8034787826</v>
      </c>
      <c r="AM45" s="82">
        <v>25348.7697971751</v>
      </c>
      <c r="AN45" s="82">
        <v>17347.96849943</v>
      </c>
      <c r="AO45" s="82">
        <v>16688.5801295929</v>
      </c>
      <c r="AP45" s="82">
        <v>7154.33086015237</v>
      </c>
      <c r="AQ45" s="82">
        <v>7354.74109885478</v>
      </c>
      <c r="AR45" s="82">
        <v>6137.250735</v>
      </c>
      <c r="AS45" s="82">
        <v>6273.94938370363</v>
      </c>
      <c r="AT45" s="82">
        <v>5801.96037996824</v>
      </c>
      <c r="AU45" s="82">
        <v>5379.62385</v>
      </c>
      <c r="AV45" s="82">
        <v>5252.093</v>
      </c>
      <c r="AW45" s="82">
        <v>5004.43</v>
      </c>
      <c r="AX45" s="82">
        <v>4655.355</v>
      </c>
      <c r="AY45" s="82">
        <v>4809.002</v>
      </c>
      <c r="AZ45" s="82">
        <v>3683.107</v>
      </c>
      <c r="BA45" s="82">
        <v>3454.665</v>
      </c>
      <c r="BB45" s="82">
        <v>3401.925</v>
      </c>
      <c r="BC45" s="82">
        <v>3248.527</v>
      </c>
      <c r="BD45" s="82">
        <v>3289.218</v>
      </c>
      <c r="BE45" s="82">
        <v>3181.7</v>
      </c>
      <c r="BF45" s="82">
        <v>3200.247</v>
      </c>
      <c r="BG45" s="82">
        <v>3131.856</v>
      </c>
      <c r="BH45" s="82">
        <v>3066.076</v>
      </c>
      <c r="BI45" s="82">
        <v>3263.528</v>
      </c>
      <c r="BJ45" s="82">
        <v>3100.064</v>
      </c>
      <c r="BK45" s="82">
        <v>3059.108</v>
      </c>
      <c r="BL45" s="82">
        <v>2974.079</v>
      </c>
      <c r="BM45" s="82">
        <v>2993.493</v>
      </c>
      <c r="BN45" s="82">
        <v>2904.478</v>
      </c>
      <c r="BO45" s="82">
        <v>3095.356</v>
      </c>
      <c r="BP45" s="82">
        <v>2809.36</v>
      </c>
      <c r="BQ45" s="82">
        <v>2766.081</v>
      </c>
      <c r="BR45" s="82">
        <v>2800.861</v>
      </c>
      <c r="BS45" s="82">
        <v>2826.137</v>
      </c>
      <c r="BT45" s="82">
        <v>2359.885</v>
      </c>
      <c r="BU45" s="82">
        <v>2436.737</v>
      </c>
      <c r="BV45" s="82">
        <v>2052.399</v>
      </c>
      <c r="BW45" s="82">
        <v>2006.935</v>
      </c>
      <c r="BX45" s="82">
        <v>1638.82810415</v>
      </c>
      <c r="BY45" s="82">
        <v>1602.83710415</v>
      </c>
      <c r="BZ45" s="82">
        <v>1429.04310415</v>
      </c>
      <c r="CA45" s="82">
        <v>1607.17910415</v>
      </c>
      <c r="CB45" s="82">
        <v>1632.75010415</v>
      </c>
      <c r="CC45" s="82">
        <v>1783.05910415</v>
      </c>
      <c r="CD45" s="82">
        <v>1711.71310415</v>
      </c>
      <c r="CE45" s="82">
        <v>1712.76210415</v>
      </c>
      <c r="CF45" s="82">
        <v>1551.15710415</v>
      </c>
      <c r="CG45" s="82">
        <v>1559.81010415</v>
      </c>
      <c r="CH45" s="82">
        <v>1619.77510415</v>
      </c>
      <c r="CI45" s="82">
        <v>1541.17110415</v>
      </c>
      <c r="CJ45" s="82">
        <v>3411.10310415</v>
      </c>
      <c r="CK45" s="82">
        <v>4404.15710415</v>
      </c>
      <c r="CL45" s="82">
        <v>1697.07610415</v>
      </c>
      <c r="CM45" s="82">
        <v>1801.88510415</v>
      </c>
      <c r="CN45" s="82">
        <v>1728.52610415</v>
      </c>
      <c r="CO45" s="82">
        <v>1699.14114253589</v>
      </c>
      <c r="CP45" s="82">
        <v>1630.71635672656</v>
      </c>
      <c r="CQ45" s="82">
        <v>1541.01110415</v>
      </c>
      <c r="CR45" s="82">
        <v>1467.10210415</v>
      </c>
      <c r="CS45" s="82">
        <v>1587.49310415</v>
      </c>
      <c r="CT45" s="82">
        <v>1738.19110415</v>
      </c>
      <c r="CU45" s="82">
        <v>2103.12510415</v>
      </c>
      <c r="CV45" s="82">
        <v>1852.91310415</v>
      </c>
      <c r="CW45" s="82">
        <v>3002.92210415</v>
      </c>
      <c r="CX45" s="82">
        <v>3603.79010415</v>
      </c>
      <c r="CY45" s="82">
        <v>3998.91110415</v>
      </c>
      <c r="CZ45" s="83">
        <v>3755.49010415</v>
      </c>
    </row>
    <row r="46" spans="1:104">
      <c r="A46" s="84" t="s">
        <v>174</v>
      </c>
      <c r="B46" s="293">
        <v>43</v>
      </c>
      <c r="C46" s="81">
        <v>0</v>
      </c>
      <c r="D46" s="82">
        <v>0</v>
      </c>
      <c r="E46" s="82">
        <v>0</v>
      </c>
      <c r="F46" s="82">
        <v>0</v>
      </c>
      <c r="G46" s="82">
        <v>0</v>
      </c>
      <c r="H46" s="82">
        <v>0</v>
      </c>
      <c r="I46" s="82">
        <v>0</v>
      </c>
      <c r="J46" s="82">
        <v>0</v>
      </c>
      <c r="K46" s="82">
        <v>0</v>
      </c>
      <c r="L46" s="82">
        <v>0</v>
      </c>
      <c r="M46" s="82">
        <v>0</v>
      </c>
      <c r="N46" s="82">
        <v>0</v>
      </c>
      <c r="O46" s="82">
        <v>0</v>
      </c>
      <c r="P46" s="82">
        <v>0</v>
      </c>
      <c r="Q46" s="82">
        <v>0</v>
      </c>
      <c r="R46" s="82">
        <v>0</v>
      </c>
      <c r="S46" s="82">
        <v>0</v>
      </c>
      <c r="T46" s="82">
        <v>0</v>
      </c>
      <c r="U46" s="82">
        <v>0</v>
      </c>
      <c r="V46" s="82">
        <v>0</v>
      </c>
      <c r="W46" s="82">
        <v>0</v>
      </c>
      <c r="X46" s="82">
        <v>0</v>
      </c>
      <c r="Y46" s="82">
        <v>0</v>
      </c>
      <c r="Z46" s="82">
        <v>0</v>
      </c>
      <c r="AA46" s="82">
        <v>0</v>
      </c>
      <c r="AB46" s="82">
        <v>0</v>
      </c>
      <c r="AC46" s="82">
        <v>0</v>
      </c>
      <c r="AD46" s="82">
        <v>0</v>
      </c>
      <c r="AE46" s="82">
        <v>0</v>
      </c>
      <c r="AF46" s="82">
        <v>0</v>
      </c>
      <c r="AG46" s="82">
        <v>0</v>
      </c>
      <c r="AH46" s="82">
        <v>0</v>
      </c>
      <c r="AI46" s="82">
        <v>0</v>
      </c>
      <c r="AJ46" s="82">
        <v>0</v>
      </c>
      <c r="AK46" s="82">
        <v>0</v>
      </c>
      <c r="AL46" s="82">
        <v>0</v>
      </c>
      <c r="AM46" s="82">
        <v>0</v>
      </c>
      <c r="AN46" s="82">
        <v>0</v>
      </c>
      <c r="AO46" s="82">
        <v>0</v>
      </c>
      <c r="AP46" s="82">
        <v>0</v>
      </c>
      <c r="AQ46" s="82">
        <v>0</v>
      </c>
      <c r="AR46" s="82">
        <v>0</v>
      </c>
      <c r="AS46" s="82">
        <v>0</v>
      </c>
      <c r="AT46" s="82">
        <v>0</v>
      </c>
      <c r="AU46" s="82">
        <v>0</v>
      </c>
      <c r="AV46" s="82">
        <v>0</v>
      </c>
      <c r="AW46" s="82">
        <v>0</v>
      </c>
      <c r="AX46" s="82">
        <v>0</v>
      </c>
      <c r="AY46" s="82">
        <v>0</v>
      </c>
      <c r="AZ46" s="82">
        <v>0</v>
      </c>
      <c r="BA46" s="82">
        <v>0</v>
      </c>
      <c r="BB46" s="82">
        <v>0</v>
      </c>
      <c r="BC46" s="82">
        <v>0</v>
      </c>
      <c r="BD46" s="82">
        <v>0</v>
      </c>
      <c r="BE46" s="82">
        <v>0</v>
      </c>
      <c r="BF46" s="82">
        <v>0</v>
      </c>
      <c r="BG46" s="82">
        <v>0</v>
      </c>
      <c r="BH46" s="82">
        <v>0</v>
      </c>
      <c r="BI46" s="82">
        <v>0</v>
      </c>
      <c r="BJ46" s="82">
        <v>0</v>
      </c>
      <c r="BK46" s="82">
        <v>0</v>
      </c>
      <c r="BL46" s="82">
        <v>0</v>
      </c>
      <c r="BM46" s="82">
        <v>0</v>
      </c>
      <c r="BN46" s="82">
        <v>0</v>
      </c>
      <c r="BO46" s="82">
        <v>0</v>
      </c>
      <c r="BP46" s="82">
        <v>0</v>
      </c>
      <c r="BQ46" s="82">
        <v>0</v>
      </c>
      <c r="BR46" s="82">
        <v>0</v>
      </c>
      <c r="BS46" s="82">
        <v>0</v>
      </c>
      <c r="BT46" s="82">
        <v>0</v>
      </c>
      <c r="BU46" s="82">
        <v>0</v>
      </c>
      <c r="BV46" s="82">
        <v>0</v>
      </c>
      <c r="BW46" s="82">
        <v>0</v>
      </c>
      <c r="BX46" s="82">
        <v>0</v>
      </c>
      <c r="BY46" s="82">
        <v>0</v>
      </c>
      <c r="BZ46" s="82">
        <v>0</v>
      </c>
      <c r="CA46" s="82">
        <v>0</v>
      </c>
      <c r="CB46" s="82">
        <v>0</v>
      </c>
      <c r="CC46" s="82">
        <v>0</v>
      </c>
      <c r="CD46" s="82">
        <v>0</v>
      </c>
      <c r="CE46" s="82">
        <v>0</v>
      </c>
      <c r="CF46" s="82">
        <v>0</v>
      </c>
      <c r="CG46" s="82">
        <v>0</v>
      </c>
      <c r="CH46" s="82">
        <v>0</v>
      </c>
      <c r="CI46" s="82">
        <v>0</v>
      </c>
      <c r="CJ46" s="82">
        <v>0</v>
      </c>
      <c r="CK46" s="82">
        <v>0</v>
      </c>
      <c r="CL46" s="82">
        <v>0</v>
      </c>
      <c r="CM46" s="82">
        <v>0</v>
      </c>
      <c r="CN46" s="82">
        <v>0</v>
      </c>
      <c r="CO46" s="82">
        <v>0</v>
      </c>
      <c r="CP46" s="82">
        <v>0</v>
      </c>
      <c r="CQ46" s="82">
        <v>0</v>
      </c>
      <c r="CR46" s="82">
        <v>0</v>
      </c>
      <c r="CS46" s="82">
        <v>0</v>
      </c>
      <c r="CT46" s="82">
        <v>0</v>
      </c>
      <c r="CU46" s="82">
        <v>0</v>
      </c>
      <c r="CV46" s="82">
        <v>0</v>
      </c>
      <c r="CW46" s="82">
        <v>0</v>
      </c>
      <c r="CX46" s="82">
        <v>0</v>
      </c>
      <c r="CY46" s="82">
        <v>0</v>
      </c>
      <c r="CZ46" s="83">
        <v>0</v>
      </c>
    </row>
    <row r="47" spans="1:104">
      <c r="A47" s="84" t="s">
        <v>175</v>
      </c>
      <c r="B47" s="293">
        <v>44</v>
      </c>
      <c r="C47" s="81">
        <v>0</v>
      </c>
      <c r="D47" s="82">
        <v>0</v>
      </c>
      <c r="E47" s="82">
        <v>0</v>
      </c>
      <c r="F47" s="82">
        <v>0</v>
      </c>
      <c r="G47" s="82">
        <v>0</v>
      </c>
      <c r="H47" s="82">
        <v>0</v>
      </c>
      <c r="I47" s="82">
        <v>0</v>
      </c>
      <c r="J47" s="82">
        <v>0</v>
      </c>
      <c r="K47" s="82">
        <v>0</v>
      </c>
      <c r="L47" s="82">
        <v>0</v>
      </c>
      <c r="M47" s="82">
        <v>0</v>
      </c>
      <c r="N47" s="82">
        <v>0</v>
      </c>
      <c r="O47" s="82">
        <v>0</v>
      </c>
      <c r="P47" s="82">
        <v>0</v>
      </c>
      <c r="Q47" s="82">
        <v>0</v>
      </c>
      <c r="R47" s="82">
        <v>0</v>
      </c>
      <c r="S47" s="82">
        <v>0</v>
      </c>
      <c r="T47" s="82">
        <v>0</v>
      </c>
      <c r="U47" s="82">
        <v>0</v>
      </c>
      <c r="V47" s="82">
        <v>0</v>
      </c>
      <c r="W47" s="82">
        <v>0</v>
      </c>
      <c r="X47" s="82">
        <v>0</v>
      </c>
      <c r="Y47" s="82">
        <v>0</v>
      </c>
      <c r="Z47" s="82">
        <v>0</v>
      </c>
      <c r="AA47" s="82">
        <v>0</v>
      </c>
      <c r="AB47" s="82">
        <v>0</v>
      </c>
      <c r="AC47" s="82">
        <v>0</v>
      </c>
      <c r="AD47" s="82">
        <v>0</v>
      </c>
      <c r="AE47" s="82">
        <v>0</v>
      </c>
      <c r="AF47" s="82">
        <v>0</v>
      </c>
      <c r="AG47" s="82">
        <v>0</v>
      </c>
      <c r="AH47" s="82">
        <v>0</v>
      </c>
      <c r="AI47" s="82">
        <v>0</v>
      </c>
      <c r="AJ47" s="82">
        <v>0</v>
      </c>
      <c r="AK47" s="82">
        <v>0</v>
      </c>
      <c r="AL47" s="82">
        <v>0</v>
      </c>
      <c r="AM47" s="82">
        <v>0</v>
      </c>
      <c r="AN47" s="82">
        <v>0</v>
      </c>
      <c r="AO47" s="82">
        <v>0</v>
      </c>
      <c r="AP47" s="82">
        <v>0</v>
      </c>
      <c r="AQ47" s="82">
        <v>0</v>
      </c>
      <c r="AR47" s="82">
        <v>0</v>
      </c>
      <c r="AS47" s="82">
        <v>0</v>
      </c>
      <c r="AT47" s="82">
        <v>0</v>
      </c>
      <c r="AU47" s="82">
        <v>0</v>
      </c>
      <c r="AV47" s="82">
        <v>0</v>
      </c>
      <c r="AW47" s="82">
        <v>0</v>
      </c>
      <c r="AX47" s="82">
        <v>0</v>
      </c>
      <c r="AY47" s="82">
        <v>0</v>
      </c>
      <c r="AZ47" s="82">
        <v>0</v>
      </c>
      <c r="BA47" s="82">
        <v>0</v>
      </c>
      <c r="BB47" s="82">
        <v>0</v>
      </c>
      <c r="BC47" s="82">
        <v>0</v>
      </c>
      <c r="BD47" s="82">
        <v>0</v>
      </c>
      <c r="BE47" s="82">
        <v>0</v>
      </c>
      <c r="BF47" s="82">
        <v>0</v>
      </c>
      <c r="BG47" s="82">
        <v>0</v>
      </c>
      <c r="BH47" s="82">
        <v>0</v>
      </c>
      <c r="BI47" s="82">
        <v>0</v>
      </c>
      <c r="BJ47" s="82">
        <v>0</v>
      </c>
      <c r="BK47" s="82">
        <v>0</v>
      </c>
      <c r="BL47" s="82">
        <v>0</v>
      </c>
      <c r="BM47" s="82">
        <v>0</v>
      </c>
      <c r="BN47" s="82">
        <v>0</v>
      </c>
      <c r="BO47" s="82">
        <v>0</v>
      </c>
      <c r="BP47" s="82">
        <v>0</v>
      </c>
      <c r="BQ47" s="82">
        <v>0</v>
      </c>
      <c r="BR47" s="82">
        <v>0</v>
      </c>
      <c r="BS47" s="82">
        <v>0</v>
      </c>
      <c r="BT47" s="82">
        <v>0</v>
      </c>
      <c r="BU47" s="82">
        <v>0</v>
      </c>
      <c r="BV47" s="82">
        <v>0</v>
      </c>
      <c r="BW47" s="82">
        <v>0</v>
      </c>
      <c r="BX47" s="82">
        <v>0</v>
      </c>
      <c r="BY47" s="82">
        <v>0</v>
      </c>
      <c r="BZ47" s="82">
        <v>0</v>
      </c>
      <c r="CA47" s="82">
        <v>0</v>
      </c>
      <c r="CB47" s="82">
        <v>0</v>
      </c>
      <c r="CC47" s="82">
        <v>0</v>
      </c>
      <c r="CD47" s="82">
        <v>0</v>
      </c>
      <c r="CE47" s="82">
        <v>0</v>
      </c>
      <c r="CF47" s="82">
        <v>0</v>
      </c>
      <c r="CG47" s="82">
        <v>0</v>
      </c>
      <c r="CH47" s="82">
        <v>0</v>
      </c>
      <c r="CI47" s="82">
        <v>0</v>
      </c>
      <c r="CJ47" s="82">
        <v>0</v>
      </c>
      <c r="CK47" s="82">
        <v>0</v>
      </c>
      <c r="CL47" s="82">
        <v>0</v>
      </c>
      <c r="CM47" s="82">
        <v>0</v>
      </c>
      <c r="CN47" s="82">
        <v>0</v>
      </c>
      <c r="CO47" s="82">
        <v>0</v>
      </c>
      <c r="CP47" s="82">
        <v>0</v>
      </c>
      <c r="CQ47" s="82">
        <v>0</v>
      </c>
      <c r="CR47" s="82">
        <v>0</v>
      </c>
      <c r="CS47" s="82">
        <v>0</v>
      </c>
      <c r="CT47" s="82">
        <v>0</v>
      </c>
      <c r="CU47" s="82">
        <v>0</v>
      </c>
      <c r="CV47" s="82">
        <v>0</v>
      </c>
      <c r="CW47" s="82">
        <v>0</v>
      </c>
      <c r="CX47" s="82">
        <v>0</v>
      </c>
      <c r="CY47" s="82">
        <v>0</v>
      </c>
      <c r="CZ47" s="83">
        <v>0</v>
      </c>
    </row>
    <row r="48" ht="15" spans="1:104">
      <c r="A48" s="90" t="s">
        <v>186</v>
      </c>
      <c r="B48" s="289" t="s">
        <v>187</v>
      </c>
      <c r="C48" s="77">
        <v>2297.06454</v>
      </c>
      <c r="D48" s="78">
        <v>2312.6611</v>
      </c>
      <c r="E48" s="78">
        <v>2469.29854</v>
      </c>
      <c r="F48" s="78">
        <v>2648.71704</v>
      </c>
      <c r="G48" s="78">
        <v>2573.07482</v>
      </c>
      <c r="H48" s="78">
        <v>2701.0705601</v>
      </c>
      <c r="I48" s="78">
        <v>2863.13837330786</v>
      </c>
      <c r="J48" s="78">
        <v>3088.5562961685</v>
      </c>
      <c r="K48" s="78">
        <v>3239.63384861784</v>
      </c>
      <c r="L48" s="78">
        <v>3597.68046265785</v>
      </c>
      <c r="M48" s="78">
        <v>3716.57846369435</v>
      </c>
      <c r="N48" s="78">
        <v>4164.75359808014</v>
      </c>
      <c r="O48" s="78">
        <v>4432.25524042211</v>
      </c>
      <c r="P48" s="78">
        <v>4398.94814838048</v>
      </c>
      <c r="Q48" s="78">
        <v>4725.68041407568</v>
      </c>
      <c r="R48" s="78">
        <v>4827.50832980409</v>
      </c>
      <c r="S48" s="78">
        <v>5867.6467427796</v>
      </c>
      <c r="T48" s="78">
        <v>6070.50355195452</v>
      </c>
      <c r="U48" s="78">
        <v>6683.85047962762</v>
      </c>
      <c r="V48" s="78">
        <v>7322.11642069678</v>
      </c>
      <c r="W48" s="78">
        <v>7307.80656913116</v>
      </c>
      <c r="X48" s="78">
        <v>8132.00342361248</v>
      </c>
      <c r="Y48" s="78">
        <v>9601.70534041375</v>
      </c>
      <c r="Z48" s="78">
        <v>10569.719940699</v>
      </c>
      <c r="AA48" s="78">
        <v>12605.6753451678</v>
      </c>
      <c r="AB48" s="78">
        <v>13450.0935315629</v>
      </c>
      <c r="AC48" s="78">
        <v>15148.8934602106</v>
      </c>
      <c r="AD48" s="78">
        <v>17315.1524455317</v>
      </c>
      <c r="AE48" s="78">
        <v>19267.7948198373</v>
      </c>
      <c r="AF48" s="78">
        <v>20921.2878329509</v>
      </c>
      <c r="AG48" s="78">
        <v>21719.9574349588</v>
      </c>
      <c r="AH48" s="78">
        <v>24542.0690816049</v>
      </c>
      <c r="AI48" s="78">
        <v>26859.4128274815</v>
      </c>
      <c r="AJ48" s="78">
        <v>27605.7141703803</v>
      </c>
      <c r="AK48" s="78">
        <v>29577.3249226131</v>
      </c>
      <c r="AL48" s="78">
        <v>30584.6059165394</v>
      </c>
      <c r="AM48" s="78">
        <v>29809.199210202</v>
      </c>
      <c r="AN48" s="78">
        <v>29894.7690845147</v>
      </c>
      <c r="AO48" s="78">
        <v>30913.9810757779</v>
      </c>
      <c r="AP48" s="78">
        <v>31772.1018616973</v>
      </c>
      <c r="AQ48" s="78">
        <v>41199.2067964224</v>
      </c>
      <c r="AR48" s="78">
        <v>39615.020390596</v>
      </c>
      <c r="AS48" s="78">
        <v>40257.2417835528</v>
      </c>
      <c r="AT48" s="78">
        <v>40185.4972427301</v>
      </c>
      <c r="AU48" s="78">
        <v>43089.1424973999</v>
      </c>
      <c r="AV48" s="78">
        <v>43959.5157960496</v>
      </c>
      <c r="AW48" s="78">
        <v>46588.7431117087</v>
      </c>
      <c r="AX48" s="78">
        <v>47735.8802568342</v>
      </c>
      <c r="AY48" s="78">
        <v>50311.0444119028</v>
      </c>
      <c r="AZ48" s="78">
        <v>51115.3962525814</v>
      </c>
      <c r="BA48" s="78">
        <v>56262.516169231</v>
      </c>
      <c r="BB48" s="78">
        <v>57539.5201784463</v>
      </c>
      <c r="BC48" s="78">
        <v>58928.661139682</v>
      </c>
      <c r="BD48" s="78">
        <v>59077.4744988192</v>
      </c>
      <c r="BE48" s="78">
        <v>63052.0797149083</v>
      </c>
      <c r="BF48" s="78">
        <v>58350.071504163</v>
      </c>
      <c r="BG48" s="78">
        <v>59572.81981023</v>
      </c>
      <c r="BH48" s="78">
        <v>41918.5586085217</v>
      </c>
      <c r="BI48" s="78">
        <v>41133.1243360314</v>
      </c>
      <c r="BJ48" s="78">
        <v>39180.1609547488</v>
      </c>
      <c r="BK48" s="78">
        <v>36558.3062851393</v>
      </c>
      <c r="BL48" s="78">
        <v>36473.8193024898</v>
      </c>
      <c r="BM48" s="78">
        <v>39102.7806687661</v>
      </c>
      <c r="BN48" s="78">
        <v>39528.624137636</v>
      </c>
      <c r="BO48" s="78">
        <v>38838.8141974876</v>
      </c>
      <c r="BP48" s="78">
        <v>40080.9477433082</v>
      </c>
      <c r="BQ48" s="78">
        <v>42163.0730327729</v>
      </c>
      <c r="BR48" s="78">
        <v>43310.0016170631</v>
      </c>
      <c r="BS48" s="78">
        <v>43614.362957004</v>
      </c>
      <c r="BT48" s="78">
        <v>43202.9963522323</v>
      </c>
      <c r="BU48" s="78">
        <v>42884.0448278391</v>
      </c>
      <c r="BV48" s="78">
        <v>41306.0051094467</v>
      </c>
      <c r="BW48" s="78">
        <v>39661.6788757121</v>
      </c>
      <c r="BX48" s="78">
        <v>39020.3350376249</v>
      </c>
      <c r="BY48" s="78">
        <v>39661.8458322732</v>
      </c>
      <c r="BZ48" s="78">
        <v>41013.0293719552</v>
      </c>
      <c r="CA48" s="78">
        <v>41040.5467653864</v>
      </c>
      <c r="CB48" s="78">
        <v>37404.8104746043</v>
      </c>
      <c r="CC48" s="78">
        <v>39737.737914517</v>
      </c>
      <c r="CD48" s="78">
        <v>40701.0200719619</v>
      </c>
      <c r="CE48" s="78">
        <v>41388.0271394055</v>
      </c>
      <c r="CF48" s="78">
        <v>41412.2559971814</v>
      </c>
      <c r="CG48" s="78">
        <v>42662.1342700866</v>
      </c>
      <c r="CH48" s="78">
        <v>42908.3831254075</v>
      </c>
      <c r="CI48" s="78">
        <v>44013.3962125738</v>
      </c>
      <c r="CJ48" s="78">
        <v>40543.9654318312</v>
      </c>
      <c r="CK48" s="78">
        <v>43591.5111012298</v>
      </c>
      <c r="CL48" s="78">
        <v>43752.1732954117</v>
      </c>
      <c r="CM48" s="78">
        <v>42227.3018366849</v>
      </c>
      <c r="CN48" s="78">
        <v>43265.5040329016</v>
      </c>
      <c r="CO48" s="78">
        <v>43768.6142150655</v>
      </c>
      <c r="CP48" s="78">
        <v>45004.5498968346</v>
      </c>
      <c r="CQ48" s="78">
        <v>45463.4627579125</v>
      </c>
      <c r="CR48" s="78">
        <v>45172.1558711218</v>
      </c>
      <c r="CS48" s="78">
        <v>45898.5634586388</v>
      </c>
      <c r="CT48" s="78">
        <v>45701.4763107736</v>
      </c>
      <c r="CU48" s="78">
        <v>45172.7172853918</v>
      </c>
      <c r="CV48" s="78">
        <v>48210.2824102237</v>
      </c>
      <c r="CW48" s="78">
        <v>50150.6595507711</v>
      </c>
      <c r="CX48" s="78">
        <v>50671.6487759319</v>
      </c>
      <c r="CY48" s="78">
        <v>55062.84713995</v>
      </c>
      <c r="CZ48" s="79">
        <v>57324.4424257917</v>
      </c>
    </row>
    <row r="49" ht="29" spans="1:104">
      <c r="A49" s="86" t="s">
        <v>164</v>
      </c>
      <c r="B49" s="290" t="s">
        <v>188</v>
      </c>
      <c r="C49" s="72">
        <v>692.612411830598</v>
      </c>
      <c r="D49" s="73">
        <v>664.210598415226</v>
      </c>
      <c r="E49" s="73">
        <v>803.406594915136</v>
      </c>
      <c r="F49" s="73">
        <v>743.258453973533</v>
      </c>
      <c r="G49" s="73">
        <v>714.921641502871</v>
      </c>
      <c r="H49" s="73">
        <v>682.98339106903</v>
      </c>
      <c r="I49" s="73">
        <v>789.118504261994</v>
      </c>
      <c r="J49" s="73">
        <v>860.523458540583</v>
      </c>
      <c r="K49" s="73">
        <v>1040.56889826064</v>
      </c>
      <c r="L49" s="73">
        <v>1043.26545127853</v>
      </c>
      <c r="M49" s="73">
        <v>1002.48037704886</v>
      </c>
      <c r="N49" s="73">
        <v>1185.5298268356</v>
      </c>
      <c r="O49" s="73">
        <v>1362.40044849035</v>
      </c>
      <c r="P49" s="73">
        <v>1289.4231706476</v>
      </c>
      <c r="Q49" s="73">
        <v>1340.92987</v>
      </c>
      <c r="R49" s="73">
        <v>1254.74721</v>
      </c>
      <c r="S49" s="73">
        <v>1572.71812</v>
      </c>
      <c r="T49" s="73">
        <v>1626.86445</v>
      </c>
      <c r="U49" s="73">
        <v>1581.3869</v>
      </c>
      <c r="V49" s="73">
        <v>1634.52341</v>
      </c>
      <c r="W49" s="73">
        <v>1703.60832</v>
      </c>
      <c r="X49" s="73">
        <v>2056.6119</v>
      </c>
      <c r="Y49" s="73">
        <v>2797.8392</v>
      </c>
      <c r="Z49" s="73">
        <v>3386.67061</v>
      </c>
      <c r="AA49" s="73">
        <v>3904.80164</v>
      </c>
      <c r="AB49" s="73">
        <v>3953.07408</v>
      </c>
      <c r="AC49" s="73">
        <v>4392.48618</v>
      </c>
      <c r="AD49" s="73">
        <v>4636.92721</v>
      </c>
      <c r="AE49" s="73">
        <v>5321.93502</v>
      </c>
      <c r="AF49" s="73">
        <v>5351.17073</v>
      </c>
      <c r="AG49" s="73">
        <v>5547.82348</v>
      </c>
      <c r="AH49" s="73">
        <v>6894.56691</v>
      </c>
      <c r="AI49" s="73">
        <v>6383.18245</v>
      </c>
      <c r="AJ49" s="73">
        <v>5417.41869</v>
      </c>
      <c r="AK49" s="73">
        <v>5892.47667</v>
      </c>
      <c r="AL49" s="73">
        <v>6016.25745</v>
      </c>
      <c r="AM49" s="73">
        <v>4859.21432</v>
      </c>
      <c r="AN49" s="73">
        <v>4996.8163</v>
      </c>
      <c r="AO49" s="73">
        <v>5118.92355</v>
      </c>
      <c r="AP49" s="73">
        <v>5819.3144</v>
      </c>
      <c r="AQ49" s="73">
        <v>6771.53666</v>
      </c>
      <c r="AR49" s="73">
        <v>5668.35052</v>
      </c>
      <c r="AS49" s="73">
        <v>5853.79527</v>
      </c>
      <c r="AT49" s="73">
        <v>6232.97186</v>
      </c>
      <c r="AU49" s="73">
        <v>6776.379801</v>
      </c>
      <c r="AV49" s="73">
        <v>6511.440295</v>
      </c>
      <c r="AW49" s="73">
        <v>6840.215455</v>
      </c>
      <c r="AX49" s="73">
        <v>6964.426835</v>
      </c>
      <c r="AY49" s="73">
        <v>7350.56309209411</v>
      </c>
      <c r="AZ49" s="73">
        <v>6930.43664770161</v>
      </c>
      <c r="BA49" s="73">
        <v>7351.28417690775</v>
      </c>
      <c r="BB49" s="73">
        <v>8195.30112861644</v>
      </c>
      <c r="BC49" s="73">
        <v>8229.77644772813</v>
      </c>
      <c r="BD49" s="73">
        <v>7920.70693676618</v>
      </c>
      <c r="BE49" s="73">
        <v>8495.55127239314</v>
      </c>
      <c r="BF49" s="73">
        <v>8153.33714</v>
      </c>
      <c r="BG49" s="73">
        <v>8029.41249</v>
      </c>
      <c r="BH49" s="73">
        <v>7209.38615</v>
      </c>
      <c r="BI49" s="73">
        <v>6958.25614</v>
      </c>
      <c r="BJ49" s="73">
        <v>5557.77565</v>
      </c>
      <c r="BK49" s="73">
        <v>5398.34467</v>
      </c>
      <c r="BL49" s="73">
        <v>5345.64211</v>
      </c>
      <c r="BM49" s="73">
        <v>5389.81255</v>
      </c>
      <c r="BN49" s="73">
        <v>5798.76492480999</v>
      </c>
      <c r="BO49" s="73">
        <v>5720.84809</v>
      </c>
      <c r="BP49" s="73">
        <v>5767.11816369</v>
      </c>
      <c r="BQ49" s="73">
        <v>5923.21594138945</v>
      </c>
      <c r="BR49" s="73">
        <v>6251.29176846798</v>
      </c>
      <c r="BS49" s="73">
        <v>6346.55342</v>
      </c>
      <c r="BT49" s="73">
        <v>6185.660813</v>
      </c>
      <c r="BU49" s="73">
        <v>6512.349042</v>
      </c>
      <c r="BV49" s="73">
        <v>6892.49038</v>
      </c>
      <c r="BW49" s="73">
        <v>6849.25156455285</v>
      </c>
      <c r="BX49" s="73">
        <v>6515.83335</v>
      </c>
      <c r="BY49" s="73">
        <v>6809.65025</v>
      </c>
      <c r="BZ49" s="73">
        <v>7115.65609</v>
      </c>
      <c r="CA49" s="73">
        <v>7278.89105</v>
      </c>
      <c r="CB49" s="73">
        <v>6915.5277282977</v>
      </c>
      <c r="CC49" s="73">
        <v>7342.132296</v>
      </c>
      <c r="CD49" s="73">
        <v>7440.1023657</v>
      </c>
      <c r="CE49" s="73">
        <v>7315.9617341</v>
      </c>
      <c r="CF49" s="73">
        <v>8020.26706074</v>
      </c>
      <c r="CG49" s="73">
        <v>8788.760946</v>
      </c>
      <c r="CH49" s="73">
        <v>8591.09177408601</v>
      </c>
      <c r="CI49" s="73">
        <v>9652.975164</v>
      </c>
      <c r="CJ49" s="73">
        <v>8528.24592</v>
      </c>
      <c r="CK49" s="73">
        <v>10435.3027510339</v>
      </c>
      <c r="CL49" s="73">
        <v>11110.7738235</v>
      </c>
      <c r="CM49" s="73">
        <v>10391.144608</v>
      </c>
      <c r="CN49" s="73">
        <v>10937.88148584</v>
      </c>
      <c r="CO49" s="73">
        <v>11801.92947918</v>
      </c>
      <c r="CP49" s="73">
        <v>12595.6763474</v>
      </c>
      <c r="CQ49" s="73">
        <v>12664.0158769445</v>
      </c>
      <c r="CR49" s="73">
        <v>11923.00626553</v>
      </c>
      <c r="CS49" s="73">
        <v>12433.458041</v>
      </c>
      <c r="CT49" s="73">
        <v>12411.63957</v>
      </c>
      <c r="CU49" s="73">
        <v>12083.57752</v>
      </c>
      <c r="CV49" s="73">
        <v>13322.46403</v>
      </c>
      <c r="CW49" s="73">
        <v>14136.2892089899</v>
      </c>
      <c r="CX49" s="73">
        <v>13165.471535</v>
      </c>
      <c r="CY49" s="73">
        <v>13047.438639</v>
      </c>
      <c r="CZ49" s="74">
        <v>13994.50600534</v>
      </c>
    </row>
    <row r="50" spans="1:104">
      <c r="A50" s="84" t="s">
        <v>171</v>
      </c>
      <c r="B50" s="293">
        <v>48</v>
      </c>
      <c r="C50" s="81">
        <v>0</v>
      </c>
      <c r="D50" s="82">
        <v>0</v>
      </c>
      <c r="E50" s="82">
        <v>0</v>
      </c>
      <c r="F50" s="82">
        <v>0</v>
      </c>
      <c r="G50" s="82">
        <v>0</v>
      </c>
      <c r="H50" s="82">
        <v>0</v>
      </c>
      <c r="I50" s="82">
        <v>0</v>
      </c>
      <c r="J50" s="82">
        <v>0</v>
      </c>
      <c r="K50" s="82">
        <v>0</v>
      </c>
      <c r="L50" s="82">
        <v>0</v>
      </c>
      <c r="M50" s="82">
        <v>0</v>
      </c>
      <c r="N50" s="82">
        <v>0</v>
      </c>
      <c r="O50" s="82">
        <v>0</v>
      </c>
      <c r="P50" s="82">
        <v>0</v>
      </c>
      <c r="Q50" s="82">
        <v>0</v>
      </c>
      <c r="R50" s="82">
        <v>0</v>
      </c>
      <c r="S50" s="82">
        <v>0</v>
      </c>
      <c r="T50" s="82">
        <v>0</v>
      </c>
      <c r="U50" s="82">
        <v>0</v>
      </c>
      <c r="V50" s="82">
        <v>0</v>
      </c>
      <c r="W50" s="82">
        <v>0</v>
      </c>
      <c r="X50" s="82">
        <v>0</v>
      </c>
      <c r="Y50" s="82">
        <v>0</v>
      </c>
      <c r="Z50" s="82">
        <v>0</v>
      </c>
      <c r="AA50" s="82">
        <v>0</v>
      </c>
      <c r="AB50" s="82">
        <v>0</v>
      </c>
      <c r="AC50" s="82">
        <v>0</v>
      </c>
      <c r="AD50" s="82">
        <v>0</v>
      </c>
      <c r="AE50" s="82">
        <v>0</v>
      </c>
      <c r="AF50" s="82">
        <v>0</v>
      </c>
      <c r="AG50" s="82">
        <v>0</v>
      </c>
      <c r="AH50" s="82">
        <v>0</v>
      </c>
      <c r="AI50" s="82">
        <v>0</v>
      </c>
      <c r="AJ50" s="82">
        <v>0</v>
      </c>
      <c r="AK50" s="82">
        <v>0</v>
      </c>
      <c r="AL50" s="82">
        <v>0</v>
      </c>
      <c r="AM50" s="82">
        <v>0</v>
      </c>
      <c r="AN50" s="82">
        <v>0</v>
      </c>
      <c r="AO50" s="82">
        <v>0</v>
      </c>
      <c r="AP50" s="82">
        <v>0</v>
      </c>
      <c r="AQ50" s="82">
        <v>0</v>
      </c>
      <c r="AR50" s="82">
        <v>0</v>
      </c>
      <c r="AS50" s="82">
        <v>0</v>
      </c>
      <c r="AT50" s="82">
        <v>0</v>
      </c>
      <c r="AU50" s="82">
        <v>0</v>
      </c>
      <c r="AV50" s="82">
        <v>0</v>
      </c>
      <c r="AW50" s="82">
        <v>0</v>
      </c>
      <c r="AX50" s="82">
        <v>0</v>
      </c>
      <c r="AY50" s="82">
        <v>0</v>
      </c>
      <c r="AZ50" s="82">
        <v>0</v>
      </c>
      <c r="BA50" s="82">
        <v>0</v>
      </c>
      <c r="BB50" s="82">
        <v>0</v>
      </c>
      <c r="BC50" s="82">
        <v>0</v>
      </c>
      <c r="BD50" s="82">
        <v>0</v>
      </c>
      <c r="BE50" s="82">
        <v>0</v>
      </c>
      <c r="BF50" s="82">
        <v>0</v>
      </c>
      <c r="BG50" s="82">
        <v>0</v>
      </c>
      <c r="BH50" s="82">
        <v>0</v>
      </c>
      <c r="BI50" s="82">
        <v>0</v>
      </c>
      <c r="BJ50" s="82">
        <v>0</v>
      </c>
      <c r="BK50" s="82">
        <v>0</v>
      </c>
      <c r="BL50" s="82">
        <v>0</v>
      </c>
      <c r="BM50" s="82">
        <v>0</v>
      </c>
      <c r="BN50" s="82">
        <v>0</v>
      </c>
      <c r="BO50" s="82">
        <v>0</v>
      </c>
      <c r="BP50" s="82">
        <v>0</v>
      </c>
      <c r="BQ50" s="82">
        <v>0</v>
      </c>
      <c r="BR50" s="82">
        <v>0</v>
      </c>
      <c r="BS50" s="82">
        <v>0</v>
      </c>
      <c r="BT50" s="82">
        <v>0</v>
      </c>
      <c r="BU50" s="82">
        <v>0</v>
      </c>
      <c r="BV50" s="82">
        <v>0</v>
      </c>
      <c r="BW50" s="82">
        <v>0</v>
      </c>
      <c r="BX50" s="82">
        <v>0</v>
      </c>
      <c r="BY50" s="82">
        <v>0</v>
      </c>
      <c r="BZ50" s="82">
        <v>0</v>
      </c>
      <c r="CA50" s="82">
        <v>0</v>
      </c>
      <c r="CB50" s="82">
        <v>0</v>
      </c>
      <c r="CC50" s="82">
        <v>0</v>
      </c>
      <c r="CD50" s="82">
        <v>0</v>
      </c>
      <c r="CE50" s="82">
        <v>0</v>
      </c>
      <c r="CF50" s="82">
        <v>0</v>
      </c>
      <c r="CG50" s="82">
        <v>0</v>
      </c>
      <c r="CH50" s="82">
        <v>0</v>
      </c>
      <c r="CI50" s="82">
        <v>0</v>
      </c>
      <c r="CJ50" s="82">
        <v>0</v>
      </c>
      <c r="CK50" s="82">
        <v>0</v>
      </c>
      <c r="CL50" s="82">
        <v>0</v>
      </c>
      <c r="CM50" s="82">
        <v>0</v>
      </c>
      <c r="CN50" s="82">
        <v>0</v>
      </c>
      <c r="CO50" s="82">
        <v>0</v>
      </c>
      <c r="CP50" s="82">
        <v>0</v>
      </c>
      <c r="CQ50" s="82">
        <v>0</v>
      </c>
      <c r="CR50" s="82">
        <v>0</v>
      </c>
      <c r="CS50" s="82">
        <v>0</v>
      </c>
      <c r="CT50" s="82">
        <v>0</v>
      </c>
      <c r="CU50" s="82">
        <v>0</v>
      </c>
      <c r="CV50" s="82">
        <v>0</v>
      </c>
      <c r="CW50" s="82">
        <v>0</v>
      </c>
      <c r="CX50" s="82">
        <v>0</v>
      </c>
      <c r="CY50" s="82">
        <v>0</v>
      </c>
      <c r="CZ50" s="83">
        <v>0</v>
      </c>
    </row>
    <row r="51" ht="15" spans="1:104">
      <c r="A51" s="84" t="s">
        <v>172</v>
      </c>
      <c r="B51" s="293">
        <v>49</v>
      </c>
      <c r="C51" s="81">
        <v>0</v>
      </c>
      <c r="D51" s="82">
        <v>0</v>
      </c>
      <c r="E51" s="82">
        <v>0</v>
      </c>
      <c r="F51" s="82">
        <v>0</v>
      </c>
      <c r="G51" s="82">
        <v>0</v>
      </c>
      <c r="H51" s="82">
        <v>0</v>
      </c>
      <c r="I51" s="82">
        <v>0</v>
      </c>
      <c r="J51" s="82">
        <v>0</v>
      </c>
      <c r="K51" s="82">
        <v>0.021</v>
      </c>
      <c r="L51" s="82">
        <v>0.021</v>
      </c>
      <c r="M51" s="82">
        <v>0.021</v>
      </c>
      <c r="N51" s="82">
        <v>0.021</v>
      </c>
      <c r="O51" s="82">
        <v>0.021</v>
      </c>
      <c r="P51" s="82">
        <v>3.495</v>
      </c>
      <c r="Q51" s="82">
        <v>2.3051</v>
      </c>
      <c r="R51" s="82">
        <v>1.5038</v>
      </c>
      <c r="S51" s="82">
        <v>3.9784</v>
      </c>
      <c r="T51" s="82">
        <v>4.48331</v>
      </c>
      <c r="U51" s="82">
        <v>4.74831</v>
      </c>
      <c r="V51" s="82">
        <v>3.7936</v>
      </c>
      <c r="W51" s="82">
        <v>4.1543</v>
      </c>
      <c r="X51" s="82">
        <v>3.6796</v>
      </c>
      <c r="Y51" s="82">
        <v>2.019</v>
      </c>
      <c r="Z51" s="82">
        <v>1.386</v>
      </c>
      <c r="AA51" s="82">
        <v>1.594</v>
      </c>
      <c r="AB51" s="82">
        <v>0.782</v>
      </c>
      <c r="AC51" s="82">
        <v>0.684</v>
      </c>
      <c r="AD51" s="82">
        <v>0.475</v>
      </c>
      <c r="AE51" s="82">
        <v>0.296</v>
      </c>
      <c r="AF51" s="82">
        <v>0.208</v>
      </c>
      <c r="AG51" s="82">
        <v>0.113</v>
      </c>
      <c r="AH51" s="82">
        <v>0.116</v>
      </c>
      <c r="AI51" s="82">
        <v>0.089</v>
      </c>
      <c r="AJ51" s="82">
        <v>0.042</v>
      </c>
      <c r="AK51" s="82">
        <v>0.299</v>
      </c>
      <c r="AL51" s="82">
        <v>0</v>
      </c>
      <c r="AM51" s="82">
        <v>0.09</v>
      </c>
      <c r="AN51" s="82">
        <v>0.09</v>
      </c>
      <c r="AO51" s="82">
        <v>0.09</v>
      </c>
      <c r="AP51" s="82">
        <v>0</v>
      </c>
      <c r="AQ51" s="82">
        <v>0</v>
      </c>
      <c r="AR51" s="82">
        <v>0</v>
      </c>
      <c r="AS51" s="82">
        <v>0</v>
      </c>
      <c r="AT51" s="82">
        <v>0</v>
      </c>
      <c r="AU51" s="82">
        <v>0</v>
      </c>
      <c r="AV51" s="82">
        <v>0</v>
      </c>
      <c r="AW51" s="82">
        <v>0</v>
      </c>
      <c r="AX51" s="82">
        <v>0</v>
      </c>
      <c r="AY51" s="82">
        <v>0</v>
      </c>
      <c r="AZ51" s="82">
        <v>0</v>
      </c>
      <c r="BA51" s="82">
        <v>0</v>
      </c>
      <c r="BB51" s="82">
        <v>0</v>
      </c>
      <c r="BC51" s="82">
        <v>0</v>
      </c>
      <c r="BD51" s="82">
        <v>0</v>
      </c>
      <c r="BE51" s="82">
        <v>0</v>
      </c>
      <c r="BF51" s="82">
        <v>0</v>
      </c>
      <c r="BG51" s="82">
        <v>0</v>
      </c>
      <c r="BH51" s="82">
        <v>0</v>
      </c>
      <c r="BI51" s="82">
        <v>0</v>
      </c>
      <c r="BJ51" s="82">
        <v>0</v>
      </c>
      <c r="BK51" s="82">
        <v>0</v>
      </c>
      <c r="BL51" s="82">
        <v>0</v>
      </c>
      <c r="BM51" s="82">
        <v>0</v>
      </c>
      <c r="BN51" s="82">
        <v>0</v>
      </c>
      <c r="BO51" s="82">
        <v>0</v>
      </c>
      <c r="BP51" s="82">
        <v>0</v>
      </c>
      <c r="BQ51" s="82">
        <v>0</v>
      </c>
      <c r="BR51" s="82">
        <v>0</v>
      </c>
      <c r="BS51" s="82">
        <v>0</v>
      </c>
      <c r="BT51" s="82">
        <v>0</v>
      </c>
      <c r="BU51" s="82">
        <v>0</v>
      </c>
      <c r="BV51" s="82">
        <v>0</v>
      </c>
      <c r="BW51" s="82">
        <v>0</v>
      </c>
      <c r="BX51" s="82">
        <v>0</v>
      </c>
      <c r="BY51" s="82">
        <v>0</v>
      </c>
      <c r="BZ51" s="82">
        <v>0</v>
      </c>
      <c r="CA51" s="82">
        <v>0</v>
      </c>
      <c r="CB51" s="82">
        <v>0</v>
      </c>
      <c r="CC51" s="82">
        <v>0</v>
      </c>
      <c r="CD51" s="82">
        <v>0</v>
      </c>
      <c r="CE51" s="82">
        <v>0</v>
      </c>
      <c r="CF51" s="82">
        <v>0</v>
      </c>
      <c r="CG51" s="82">
        <v>0</v>
      </c>
      <c r="CH51" s="82">
        <v>0</v>
      </c>
      <c r="CI51" s="82">
        <v>0</v>
      </c>
      <c r="CJ51" s="82">
        <v>0</v>
      </c>
      <c r="CK51" s="82">
        <v>0</v>
      </c>
      <c r="CL51" s="82">
        <v>0</v>
      </c>
      <c r="CM51" s="82">
        <v>0</v>
      </c>
      <c r="CN51" s="82">
        <v>0</v>
      </c>
      <c r="CO51" s="82">
        <v>0</v>
      </c>
      <c r="CP51" s="82">
        <v>0</v>
      </c>
      <c r="CQ51" s="82">
        <v>0</v>
      </c>
      <c r="CR51" s="82">
        <v>0</v>
      </c>
      <c r="CS51" s="82">
        <v>0</v>
      </c>
      <c r="CT51" s="82">
        <v>0</v>
      </c>
      <c r="CU51" s="82">
        <v>0</v>
      </c>
      <c r="CV51" s="82">
        <v>0</v>
      </c>
      <c r="CW51" s="82">
        <v>0</v>
      </c>
      <c r="CX51" s="82">
        <v>0</v>
      </c>
      <c r="CY51" s="82">
        <v>0</v>
      </c>
      <c r="CZ51" s="83">
        <v>0</v>
      </c>
    </row>
    <row r="52" spans="1:104">
      <c r="A52" s="84" t="s">
        <v>173</v>
      </c>
      <c r="B52" s="293">
        <v>50</v>
      </c>
      <c r="C52" s="81">
        <v>38.7985</v>
      </c>
      <c r="D52" s="82">
        <v>39.91441</v>
      </c>
      <c r="E52" s="82">
        <v>38.22804</v>
      </c>
      <c r="F52" s="82">
        <v>55.49685</v>
      </c>
      <c r="G52" s="82">
        <v>36.09045</v>
      </c>
      <c r="H52" s="82">
        <v>30.08423</v>
      </c>
      <c r="I52" s="82">
        <v>51.13347</v>
      </c>
      <c r="J52" s="82">
        <v>66.62974</v>
      </c>
      <c r="K52" s="82">
        <v>141.05671</v>
      </c>
      <c r="L52" s="82">
        <v>129.99445</v>
      </c>
      <c r="M52" s="82">
        <v>126.97777</v>
      </c>
      <c r="N52" s="82">
        <v>191.96887</v>
      </c>
      <c r="O52" s="82">
        <v>212.85176</v>
      </c>
      <c r="P52" s="82">
        <v>261.92745</v>
      </c>
      <c r="Q52" s="82">
        <v>245.70737</v>
      </c>
      <c r="R52" s="82">
        <v>151.04366</v>
      </c>
      <c r="S52" s="82">
        <v>274.95292</v>
      </c>
      <c r="T52" s="82">
        <v>0</v>
      </c>
      <c r="U52" s="82">
        <v>0</v>
      </c>
      <c r="V52" s="82">
        <v>0</v>
      </c>
      <c r="W52" s="82">
        <v>369.17366</v>
      </c>
      <c r="X52" s="82">
        <v>565.40184</v>
      </c>
      <c r="Y52" s="82">
        <v>748.05369</v>
      </c>
      <c r="Z52" s="82">
        <v>1027.58381</v>
      </c>
      <c r="AA52" s="82">
        <v>1162.66211</v>
      </c>
      <c r="AB52" s="82">
        <v>1148.61213</v>
      </c>
      <c r="AC52" s="82">
        <v>1232.41519</v>
      </c>
      <c r="AD52" s="82">
        <v>1053.60432</v>
      </c>
      <c r="AE52" s="82">
        <v>1437.3242</v>
      </c>
      <c r="AF52" s="82">
        <v>1551.06968</v>
      </c>
      <c r="AG52" s="82">
        <v>1792.17228</v>
      </c>
      <c r="AH52" s="82">
        <v>2673.33023</v>
      </c>
      <c r="AI52" s="82">
        <v>2247.1651</v>
      </c>
      <c r="AJ52" s="82">
        <v>1574.54072</v>
      </c>
      <c r="AK52" s="82">
        <v>1457.44365</v>
      </c>
      <c r="AL52" s="82">
        <v>1723.43206</v>
      </c>
      <c r="AM52" s="82">
        <v>918.44889</v>
      </c>
      <c r="AN52" s="82">
        <v>813.15373</v>
      </c>
      <c r="AO52" s="82">
        <v>857.69448</v>
      </c>
      <c r="AP52" s="82">
        <v>1475.70755</v>
      </c>
      <c r="AQ52" s="82">
        <v>1287.72872</v>
      </c>
      <c r="AR52" s="82">
        <v>1208.8266</v>
      </c>
      <c r="AS52" s="82">
        <v>1203.88569</v>
      </c>
      <c r="AT52" s="82">
        <v>1191.42072</v>
      </c>
      <c r="AU52" s="82">
        <v>1175.773381</v>
      </c>
      <c r="AV52" s="82">
        <v>800.412511</v>
      </c>
      <c r="AW52" s="82">
        <v>815.010671</v>
      </c>
      <c r="AX52" s="82">
        <v>741.979761</v>
      </c>
      <c r="AY52" s="82">
        <v>869.25555410031</v>
      </c>
      <c r="AZ52" s="82">
        <v>999.07627504309</v>
      </c>
      <c r="BA52" s="82">
        <v>813.83587410031</v>
      </c>
      <c r="BB52" s="82">
        <v>884.89227410031</v>
      </c>
      <c r="BC52" s="82">
        <v>901.04149136031</v>
      </c>
      <c r="BD52" s="82">
        <v>1128.09073136031</v>
      </c>
      <c r="BE52" s="82">
        <v>1174.46331136031</v>
      </c>
      <c r="BF52" s="82">
        <v>984.77589</v>
      </c>
      <c r="BG52" s="82">
        <v>1114.38154</v>
      </c>
      <c r="BH52" s="82">
        <v>696.51208</v>
      </c>
      <c r="BI52" s="82">
        <v>820.30732</v>
      </c>
      <c r="BJ52" s="82">
        <v>560.72948</v>
      </c>
      <c r="BK52" s="82">
        <v>457.88029</v>
      </c>
      <c r="BL52" s="82">
        <v>485.0689</v>
      </c>
      <c r="BM52" s="82">
        <v>515.76792</v>
      </c>
      <c r="BN52" s="82">
        <v>450.03563</v>
      </c>
      <c r="BO52" s="82">
        <v>417.1035</v>
      </c>
      <c r="BP52" s="82">
        <v>387.70092</v>
      </c>
      <c r="BQ52" s="82">
        <v>406.76271</v>
      </c>
      <c r="BR52" s="82">
        <v>371.81269</v>
      </c>
      <c r="BS52" s="82">
        <v>588.14749</v>
      </c>
      <c r="BT52" s="82">
        <v>473.53857</v>
      </c>
      <c r="BU52" s="82">
        <v>501.13269</v>
      </c>
      <c r="BV52" s="82">
        <v>698.90832</v>
      </c>
      <c r="BW52" s="82">
        <v>616.3208</v>
      </c>
      <c r="BX52" s="82">
        <v>626.01151</v>
      </c>
      <c r="BY52" s="82">
        <v>534.27922</v>
      </c>
      <c r="BZ52" s="82">
        <v>528.94369</v>
      </c>
      <c r="CA52" s="82">
        <v>522.54847</v>
      </c>
      <c r="CB52" s="82">
        <v>491.94796</v>
      </c>
      <c r="CC52" s="82">
        <v>609.99884</v>
      </c>
      <c r="CD52" s="82">
        <v>471.63869</v>
      </c>
      <c r="CE52" s="82">
        <v>465.23868</v>
      </c>
      <c r="CF52" s="82">
        <v>756.7997</v>
      </c>
      <c r="CG52" s="82">
        <v>774.93569</v>
      </c>
      <c r="CH52" s="82">
        <v>869.77095</v>
      </c>
      <c r="CI52" s="82">
        <v>927.90307</v>
      </c>
      <c r="CJ52" s="82">
        <v>867.90594</v>
      </c>
      <c r="CK52" s="82">
        <v>1069.31032</v>
      </c>
      <c r="CL52" s="82">
        <v>1581.64912</v>
      </c>
      <c r="CM52" s="82">
        <v>1180.00268</v>
      </c>
      <c r="CN52" s="82">
        <v>1044.8949</v>
      </c>
      <c r="CO52" s="82">
        <v>1050.1039</v>
      </c>
      <c r="CP52" s="82">
        <v>1784.57145</v>
      </c>
      <c r="CQ52" s="82">
        <v>1800.13731</v>
      </c>
      <c r="CR52" s="82">
        <v>1179.65771</v>
      </c>
      <c r="CS52" s="82">
        <v>1389.49521</v>
      </c>
      <c r="CT52" s="82">
        <v>1518.16286</v>
      </c>
      <c r="CU52" s="82">
        <v>1425.3795</v>
      </c>
      <c r="CV52" s="82">
        <v>1309.89624</v>
      </c>
      <c r="CW52" s="82">
        <v>1327.51135</v>
      </c>
      <c r="CX52" s="82">
        <v>1149.59712</v>
      </c>
      <c r="CY52" s="82">
        <v>1171.05236</v>
      </c>
      <c r="CZ52" s="83">
        <v>1199.2699</v>
      </c>
    </row>
    <row r="53" spans="1:104">
      <c r="A53" s="84" t="s">
        <v>174</v>
      </c>
      <c r="B53" s="293">
        <v>51</v>
      </c>
      <c r="C53" s="81">
        <v>470.50392</v>
      </c>
      <c r="D53" s="82">
        <v>444.56917</v>
      </c>
      <c r="E53" s="82">
        <v>584.67315</v>
      </c>
      <c r="F53" s="82">
        <v>556.75704</v>
      </c>
      <c r="G53" s="82">
        <v>540.98833</v>
      </c>
      <c r="H53" s="82">
        <v>529.27716</v>
      </c>
      <c r="I53" s="82">
        <v>596.87888</v>
      </c>
      <c r="J53" s="82">
        <v>691.98873</v>
      </c>
      <c r="K53" s="82">
        <v>771.68793</v>
      </c>
      <c r="L53" s="82">
        <v>814.40909</v>
      </c>
      <c r="M53" s="82">
        <v>711.68426</v>
      </c>
      <c r="N53" s="82">
        <v>909.53828</v>
      </c>
      <c r="O53" s="82">
        <v>1006.92353</v>
      </c>
      <c r="P53" s="82">
        <v>966.35206</v>
      </c>
      <c r="Q53" s="82">
        <v>1037.86228</v>
      </c>
      <c r="R53" s="82">
        <v>1044.59259</v>
      </c>
      <c r="S53" s="82">
        <v>1222.31058</v>
      </c>
      <c r="T53" s="82">
        <v>1229.80573</v>
      </c>
      <c r="U53" s="82">
        <v>1245.04549</v>
      </c>
      <c r="V53" s="82">
        <v>1243.89659</v>
      </c>
      <c r="W53" s="82">
        <v>1259.35088</v>
      </c>
      <c r="X53" s="82">
        <v>1441.42138</v>
      </c>
      <c r="Y53" s="82">
        <v>1969.50009</v>
      </c>
      <c r="Z53" s="82">
        <v>2320.28728</v>
      </c>
      <c r="AA53" s="82">
        <v>2683.99244</v>
      </c>
      <c r="AB53" s="82">
        <v>2704.24704</v>
      </c>
      <c r="AC53" s="82">
        <v>3053.08643</v>
      </c>
      <c r="AD53" s="82">
        <v>3434.97634</v>
      </c>
      <c r="AE53" s="82">
        <v>3704.24854</v>
      </c>
      <c r="AF53" s="82">
        <v>3665.52022</v>
      </c>
      <c r="AG53" s="82">
        <v>3619.63113</v>
      </c>
      <c r="AH53" s="82">
        <v>4094.98216</v>
      </c>
      <c r="AI53" s="82">
        <v>4001.82499</v>
      </c>
      <c r="AJ53" s="82">
        <v>3763.71097</v>
      </c>
      <c r="AK53" s="82">
        <v>4336.28295</v>
      </c>
      <c r="AL53" s="82">
        <v>4102.06312</v>
      </c>
      <c r="AM53" s="82">
        <v>3788.30997</v>
      </c>
      <c r="AN53" s="82">
        <v>4065.70336</v>
      </c>
      <c r="AO53" s="82">
        <v>4129.42071</v>
      </c>
      <c r="AP53" s="82">
        <v>4227.38161</v>
      </c>
      <c r="AQ53" s="82">
        <v>5305.64918</v>
      </c>
      <c r="AR53" s="82">
        <v>4330.0825</v>
      </c>
      <c r="AS53" s="82">
        <v>4527.52185</v>
      </c>
      <c r="AT53" s="82">
        <v>4923.44518</v>
      </c>
      <c r="AU53" s="82">
        <v>5455.06055</v>
      </c>
      <c r="AV53" s="82">
        <v>5578.065364</v>
      </c>
      <c r="AW53" s="82">
        <v>5875.911904</v>
      </c>
      <c r="AX53" s="82">
        <v>6090.243684</v>
      </c>
      <c r="AY53" s="82">
        <v>6307.9021079938</v>
      </c>
      <c r="AZ53" s="82">
        <v>5688.72702265852</v>
      </c>
      <c r="BA53" s="82">
        <v>6283.60574280744</v>
      </c>
      <c r="BB53" s="82">
        <v>6994.17690451613</v>
      </c>
      <c r="BC53" s="82">
        <v>7218.57807636782</v>
      </c>
      <c r="BD53" s="82">
        <v>6629.64694540587</v>
      </c>
      <c r="BE53" s="82">
        <v>7160.02690103283</v>
      </c>
      <c r="BF53" s="82">
        <v>7099.31579</v>
      </c>
      <c r="BG53" s="82">
        <v>6808.83082</v>
      </c>
      <c r="BH53" s="82">
        <v>6403.66309</v>
      </c>
      <c r="BI53" s="82">
        <v>6065.14822</v>
      </c>
      <c r="BJ53" s="82">
        <v>4928.91596</v>
      </c>
      <c r="BK53" s="82">
        <v>4837.52031</v>
      </c>
      <c r="BL53" s="82">
        <v>4736.63856</v>
      </c>
      <c r="BM53" s="82">
        <v>4805.22268</v>
      </c>
      <c r="BN53" s="82">
        <v>5043.88192480999</v>
      </c>
      <c r="BO53" s="82">
        <v>5202.53492</v>
      </c>
      <c r="BP53" s="82">
        <v>5260.19547369</v>
      </c>
      <c r="BQ53" s="82">
        <v>5390.18223138945</v>
      </c>
      <c r="BR53" s="82">
        <v>5682.43621846698</v>
      </c>
      <c r="BS53" s="82">
        <v>5649.17454</v>
      </c>
      <c r="BT53" s="82">
        <v>5643.356543</v>
      </c>
      <c r="BU53" s="82">
        <v>5865.970262</v>
      </c>
      <c r="BV53" s="82">
        <v>6058.2189</v>
      </c>
      <c r="BW53" s="82">
        <v>6124.20324455285</v>
      </c>
      <c r="BX53" s="82">
        <v>5837.72036</v>
      </c>
      <c r="BY53" s="82">
        <v>6220.98062</v>
      </c>
      <c r="BZ53" s="82">
        <v>6545.49383</v>
      </c>
      <c r="CA53" s="82">
        <v>6696.44086</v>
      </c>
      <c r="CB53" s="82">
        <v>6328.3295782977</v>
      </c>
      <c r="CC53" s="82">
        <v>6643.124506</v>
      </c>
      <c r="CD53" s="82">
        <v>6919.7644457</v>
      </c>
      <c r="CE53" s="82">
        <v>6787.7452841</v>
      </c>
      <c r="CF53" s="82">
        <v>7063.07957074</v>
      </c>
      <c r="CG53" s="82">
        <v>7708.333156</v>
      </c>
      <c r="CH53" s="82">
        <v>7538.92746408601</v>
      </c>
      <c r="CI53" s="82">
        <v>7616.752624</v>
      </c>
      <c r="CJ53" s="82">
        <v>7533.30392</v>
      </c>
      <c r="CK53" s="82">
        <v>8773.80286103386</v>
      </c>
      <c r="CL53" s="82">
        <v>8871.6029935</v>
      </c>
      <c r="CM53" s="82">
        <v>8760.802888</v>
      </c>
      <c r="CN53" s="82">
        <v>9314.23870584</v>
      </c>
      <c r="CO53" s="82">
        <v>10119.73506918</v>
      </c>
      <c r="CP53" s="82">
        <v>10250.5892474</v>
      </c>
      <c r="CQ53" s="82">
        <v>10198.3017969445</v>
      </c>
      <c r="CR53" s="82">
        <v>10148.01238553</v>
      </c>
      <c r="CS53" s="82">
        <v>10326.792169</v>
      </c>
      <c r="CT53" s="82">
        <v>10247.51025</v>
      </c>
      <c r="CU53" s="82">
        <v>9880.24014999999</v>
      </c>
      <c r="CV53" s="82">
        <v>10748.49582</v>
      </c>
      <c r="CW53" s="82">
        <v>11603.4511389899</v>
      </c>
      <c r="CX53" s="82">
        <v>11293.076675</v>
      </c>
      <c r="CY53" s="82">
        <v>11037.319519</v>
      </c>
      <c r="CZ53" s="83">
        <v>11567.41660534</v>
      </c>
    </row>
    <row r="54" spans="1:104">
      <c r="A54" s="84" t="s">
        <v>175</v>
      </c>
      <c r="B54" s="293">
        <v>52</v>
      </c>
      <c r="C54" s="81">
        <v>183.309991830598</v>
      </c>
      <c r="D54" s="82">
        <v>179.727018415226</v>
      </c>
      <c r="E54" s="82">
        <v>180.505404915136</v>
      </c>
      <c r="F54" s="82">
        <v>131.004563973533</v>
      </c>
      <c r="G54" s="82">
        <v>137.842861502871</v>
      </c>
      <c r="H54" s="82">
        <v>123.62200106903</v>
      </c>
      <c r="I54" s="82">
        <v>141.106154261994</v>
      </c>
      <c r="J54" s="82">
        <v>101.904988540583</v>
      </c>
      <c r="K54" s="82">
        <v>127.803258260636</v>
      </c>
      <c r="L54" s="82">
        <v>98.8409112785325</v>
      </c>
      <c r="M54" s="82">
        <v>163.79734704886</v>
      </c>
      <c r="N54" s="82">
        <v>84.0016768356041</v>
      </c>
      <c r="O54" s="82">
        <v>142.604158490347</v>
      </c>
      <c r="P54" s="82">
        <v>57.648660647604</v>
      </c>
      <c r="Q54" s="82">
        <v>55.05512</v>
      </c>
      <c r="R54" s="82">
        <v>57.60716</v>
      </c>
      <c r="S54" s="82">
        <v>71.47622</v>
      </c>
      <c r="T54" s="82">
        <v>69.04622</v>
      </c>
      <c r="U54" s="82">
        <v>57.84754</v>
      </c>
      <c r="V54" s="82">
        <v>55.14689</v>
      </c>
      <c r="W54" s="82">
        <v>70.92948</v>
      </c>
      <c r="X54" s="82">
        <v>46.10908</v>
      </c>
      <c r="Y54" s="82">
        <v>78.26642</v>
      </c>
      <c r="Z54" s="82">
        <v>37.41352</v>
      </c>
      <c r="AA54" s="82">
        <v>56.55309</v>
      </c>
      <c r="AB54" s="82">
        <v>99.43291</v>
      </c>
      <c r="AC54" s="82">
        <v>106.30056</v>
      </c>
      <c r="AD54" s="82">
        <v>147.87155</v>
      </c>
      <c r="AE54" s="82">
        <v>180.06628</v>
      </c>
      <c r="AF54" s="82">
        <v>134.37283</v>
      </c>
      <c r="AG54" s="82">
        <v>135.90707</v>
      </c>
      <c r="AH54" s="82">
        <v>126.13852</v>
      </c>
      <c r="AI54" s="82">
        <v>134.10336</v>
      </c>
      <c r="AJ54" s="82">
        <v>79.125</v>
      </c>
      <c r="AK54" s="82">
        <v>98.45107</v>
      </c>
      <c r="AL54" s="82">
        <v>190.76227</v>
      </c>
      <c r="AM54" s="82">
        <v>152.36546</v>
      </c>
      <c r="AN54" s="82">
        <v>117.86921</v>
      </c>
      <c r="AO54" s="82">
        <v>131.71836</v>
      </c>
      <c r="AP54" s="82">
        <v>116.22524</v>
      </c>
      <c r="AQ54" s="82">
        <v>178.15876</v>
      </c>
      <c r="AR54" s="82">
        <v>129.44142</v>
      </c>
      <c r="AS54" s="82">
        <v>122.38773</v>
      </c>
      <c r="AT54" s="82">
        <v>118.10596</v>
      </c>
      <c r="AU54" s="82">
        <v>145.54587</v>
      </c>
      <c r="AV54" s="82">
        <v>132.96242</v>
      </c>
      <c r="AW54" s="82">
        <v>149.29288</v>
      </c>
      <c r="AX54" s="82">
        <v>132.20339</v>
      </c>
      <c r="AY54" s="82">
        <v>173.40543</v>
      </c>
      <c r="AZ54" s="82">
        <v>242.63335</v>
      </c>
      <c r="BA54" s="82">
        <v>253.84256</v>
      </c>
      <c r="BB54" s="82">
        <v>316.23195</v>
      </c>
      <c r="BC54" s="82">
        <v>110.15688</v>
      </c>
      <c r="BD54" s="82">
        <v>162.96926</v>
      </c>
      <c r="BE54" s="82">
        <v>161.06106</v>
      </c>
      <c r="BF54" s="82">
        <v>69.24546</v>
      </c>
      <c r="BG54" s="82">
        <v>106.20013</v>
      </c>
      <c r="BH54" s="82">
        <v>109.21098</v>
      </c>
      <c r="BI54" s="82">
        <v>72.8006</v>
      </c>
      <c r="BJ54" s="82">
        <v>68.13021</v>
      </c>
      <c r="BK54" s="82">
        <v>102.94407</v>
      </c>
      <c r="BL54" s="82">
        <v>123.93465</v>
      </c>
      <c r="BM54" s="82">
        <v>68.82195</v>
      </c>
      <c r="BN54" s="82">
        <v>304.84737</v>
      </c>
      <c r="BO54" s="82">
        <v>101.20967</v>
      </c>
      <c r="BP54" s="82">
        <v>119.22177</v>
      </c>
      <c r="BQ54" s="82">
        <v>126.271</v>
      </c>
      <c r="BR54" s="82">
        <v>197.042860001</v>
      </c>
      <c r="BS54" s="82">
        <v>109.23139</v>
      </c>
      <c r="BT54" s="82">
        <v>68.7657</v>
      </c>
      <c r="BU54" s="82">
        <v>145.24609</v>
      </c>
      <c r="BV54" s="82">
        <v>135.36316</v>
      </c>
      <c r="BW54" s="82">
        <v>108.72752</v>
      </c>
      <c r="BX54" s="82">
        <v>52.10148</v>
      </c>
      <c r="BY54" s="82">
        <v>54.39041</v>
      </c>
      <c r="BZ54" s="82">
        <v>41.21857</v>
      </c>
      <c r="CA54" s="82">
        <v>59.90172</v>
      </c>
      <c r="CB54" s="82">
        <v>95.25019</v>
      </c>
      <c r="CC54" s="82">
        <v>89.00895</v>
      </c>
      <c r="CD54" s="82">
        <v>48.69923</v>
      </c>
      <c r="CE54" s="82">
        <v>62.97777</v>
      </c>
      <c r="CF54" s="82">
        <v>200.38779</v>
      </c>
      <c r="CG54" s="82">
        <v>305.4921</v>
      </c>
      <c r="CH54" s="82">
        <v>182.39336</v>
      </c>
      <c r="CI54" s="82">
        <v>1108.31947</v>
      </c>
      <c r="CJ54" s="82">
        <v>127.03606</v>
      </c>
      <c r="CK54" s="82">
        <v>592.18957</v>
      </c>
      <c r="CL54" s="82">
        <v>657.52171</v>
      </c>
      <c r="CM54" s="82">
        <v>450.33904</v>
      </c>
      <c r="CN54" s="82">
        <v>578.74788</v>
      </c>
      <c r="CO54" s="82">
        <v>632.09051</v>
      </c>
      <c r="CP54" s="82">
        <v>560.51565</v>
      </c>
      <c r="CQ54" s="82">
        <v>665.57677</v>
      </c>
      <c r="CR54" s="82">
        <v>595.33617</v>
      </c>
      <c r="CS54" s="82">
        <v>717.170662</v>
      </c>
      <c r="CT54" s="82">
        <v>645.96646</v>
      </c>
      <c r="CU54" s="82">
        <v>777.95787</v>
      </c>
      <c r="CV54" s="82">
        <v>1264.07197</v>
      </c>
      <c r="CW54" s="82">
        <v>1205.32672</v>
      </c>
      <c r="CX54" s="82">
        <v>722.79774</v>
      </c>
      <c r="CY54" s="82">
        <v>839.06676</v>
      </c>
      <c r="CZ54" s="83">
        <v>1227.8195</v>
      </c>
    </row>
    <row r="55" ht="29" spans="1:104">
      <c r="A55" s="86" t="s">
        <v>166</v>
      </c>
      <c r="B55" s="290" t="s">
        <v>189</v>
      </c>
      <c r="C55" s="72">
        <v>1604.4521281694</v>
      </c>
      <c r="D55" s="73">
        <v>1648.45050158477</v>
      </c>
      <c r="E55" s="73">
        <v>1665.89194508486</v>
      </c>
      <c r="F55" s="73">
        <v>1905.45858602647</v>
      </c>
      <c r="G55" s="73">
        <v>1858.15317849713</v>
      </c>
      <c r="H55" s="73">
        <v>2018.08716903097</v>
      </c>
      <c r="I55" s="73">
        <v>2074.01986904587</v>
      </c>
      <c r="J55" s="73">
        <v>2228.03283762791</v>
      </c>
      <c r="K55" s="73">
        <v>2199.0649503572</v>
      </c>
      <c r="L55" s="73">
        <v>2554.41501137932</v>
      </c>
      <c r="M55" s="73">
        <v>2714.09808664549</v>
      </c>
      <c r="N55" s="73">
        <v>2979.22377124454</v>
      </c>
      <c r="O55" s="73">
        <v>3069.85479193176</v>
      </c>
      <c r="P55" s="73">
        <v>3109.52497773288</v>
      </c>
      <c r="Q55" s="73">
        <v>3384.75054407568</v>
      </c>
      <c r="R55" s="73">
        <v>3572.76111980409</v>
      </c>
      <c r="S55" s="73">
        <v>4294.9286227796</v>
      </c>
      <c r="T55" s="73">
        <v>4443.63910195452</v>
      </c>
      <c r="U55" s="73">
        <v>5102.46357962762</v>
      </c>
      <c r="V55" s="73">
        <v>5687.59301069678</v>
      </c>
      <c r="W55" s="73">
        <v>5604.19824913116</v>
      </c>
      <c r="X55" s="73">
        <v>6075.39152361248</v>
      </c>
      <c r="Y55" s="73">
        <v>6803.86614041375</v>
      </c>
      <c r="Z55" s="73">
        <v>7183.04933069897</v>
      </c>
      <c r="AA55" s="73">
        <v>8700.87370516783</v>
      </c>
      <c r="AB55" s="73">
        <v>9497.01945156294</v>
      </c>
      <c r="AC55" s="73">
        <v>10756.4072802106</v>
      </c>
      <c r="AD55" s="73">
        <v>12678.2252355317</v>
      </c>
      <c r="AE55" s="73">
        <v>13945.8597998373</v>
      </c>
      <c r="AF55" s="73">
        <v>15570.1171029509</v>
      </c>
      <c r="AG55" s="73">
        <v>16172.1339549588</v>
      </c>
      <c r="AH55" s="73">
        <v>17647.5021716049</v>
      </c>
      <c r="AI55" s="73">
        <v>20476.2303774815</v>
      </c>
      <c r="AJ55" s="73">
        <v>22188.2954803803</v>
      </c>
      <c r="AK55" s="73">
        <v>23684.8482526131</v>
      </c>
      <c r="AL55" s="73">
        <v>24568.3484665394</v>
      </c>
      <c r="AM55" s="73">
        <v>24949.984890202</v>
      </c>
      <c r="AN55" s="73">
        <v>24897.9527845147</v>
      </c>
      <c r="AO55" s="73">
        <v>25795.0575257779</v>
      </c>
      <c r="AP55" s="73">
        <v>25952.7874616973</v>
      </c>
      <c r="AQ55" s="73">
        <v>34427.6701364224</v>
      </c>
      <c r="AR55" s="73">
        <v>33946.669870596</v>
      </c>
      <c r="AS55" s="73">
        <v>34403.4465135528</v>
      </c>
      <c r="AT55" s="73">
        <v>33952.5253827301</v>
      </c>
      <c r="AU55" s="73">
        <v>36312.7626963999</v>
      </c>
      <c r="AV55" s="73">
        <v>37448.0755010496</v>
      </c>
      <c r="AW55" s="73">
        <v>39748.5276567087</v>
      </c>
      <c r="AX55" s="73">
        <v>40771.4534218342</v>
      </c>
      <c r="AY55" s="73">
        <v>42960.4813198087</v>
      </c>
      <c r="AZ55" s="73">
        <v>44184.9596048798</v>
      </c>
      <c r="BA55" s="73">
        <v>48911.2319923233</v>
      </c>
      <c r="BB55" s="73">
        <v>49344.2190498298</v>
      </c>
      <c r="BC55" s="73">
        <v>50698.8846919539</v>
      </c>
      <c r="BD55" s="73">
        <v>51156.767562053</v>
      </c>
      <c r="BE55" s="73">
        <v>54556.5284425151</v>
      </c>
      <c r="BF55" s="73">
        <v>50196.734364163</v>
      </c>
      <c r="BG55" s="73">
        <v>51543.40732023</v>
      </c>
      <c r="BH55" s="73">
        <v>34709.1724585217</v>
      </c>
      <c r="BI55" s="73">
        <v>34174.8681960314</v>
      </c>
      <c r="BJ55" s="73">
        <v>33622.3853047488</v>
      </c>
      <c r="BK55" s="73">
        <v>31159.9616151393</v>
      </c>
      <c r="BL55" s="73">
        <v>31128.1771924898</v>
      </c>
      <c r="BM55" s="73">
        <v>33712.9681187661</v>
      </c>
      <c r="BN55" s="73">
        <v>33729.859212826</v>
      </c>
      <c r="BO55" s="73">
        <v>33117.9661074876</v>
      </c>
      <c r="BP55" s="73">
        <v>34313.8295796182</v>
      </c>
      <c r="BQ55" s="73">
        <v>36239.8570913835</v>
      </c>
      <c r="BR55" s="73">
        <v>37058.7098485951</v>
      </c>
      <c r="BS55" s="73">
        <v>37267.809537004</v>
      </c>
      <c r="BT55" s="73">
        <v>37017.3355392323</v>
      </c>
      <c r="BU55" s="73">
        <v>36371.6957858391</v>
      </c>
      <c r="BV55" s="73">
        <v>34413.5147294467</v>
      </c>
      <c r="BW55" s="73">
        <v>32812.4273111592</v>
      </c>
      <c r="BX55" s="73">
        <v>32504.5016876249</v>
      </c>
      <c r="BY55" s="73">
        <v>32852.1955822732</v>
      </c>
      <c r="BZ55" s="73">
        <v>33897.3732819552</v>
      </c>
      <c r="CA55" s="73">
        <v>33761.6557153864</v>
      </c>
      <c r="CB55" s="73">
        <v>30489.2827463066</v>
      </c>
      <c r="CC55" s="73">
        <v>32395.605618517</v>
      </c>
      <c r="CD55" s="73">
        <v>33260.9177062619</v>
      </c>
      <c r="CE55" s="73">
        <v>34072.0654053055</v>
      </c>
      <c r="CF55" s="73">
        <v>33391.9889364414</v>
      </c>
      <c r="CG55" s="73">
        <v>33873.3733240866</v>
      </c>
      <c r="CH55" s="73">
        <v>34317.2913513215</v>
      </c>
      <c r="CI55" s="73">
        <v>34360.4210485738</v>
      </c>
      <c r="CJ55" s="73">
        <v>32015.7195118312</v>
      </c>
      <c r="CK55" s="73">
        <v>33156.208350196</v>
      </c>
      <c r="CL55" s="73">
        <v>32641.3994719117</v>
      </c>
      <c r="CM55" s="73">
        <v>31836.1572286849</v>
      </c>
      <c r="CN55" s="73">
        <v>32327.6225470616</v>
      </c>
      <c r="CO55" s="73">
        <v>31966.6847358855</v>
      </c>
      <c r="CP55" s="73">
        <v>32408.8735494346</v>
      </c>
      <c r="CQ55" s="73">
        <v>32799.446880968</v>
      </c>
      <c r="CR55" s="73">
        <v>33249.1496055918</v>
      </c>
      <c r="CS55" s="73">
        <v>33465.1054176388</v>
      </c>
      <c r="CT55" s="73">
        <v>33289.8367407736</v>
      </c>
      <c r="CU55" s="73">
        <v>33089.1397653918</v>
      </c>
      <c r="CV55" s="73">
        <v>34887.8183802237</v>
      </c>
      <c r="CW55" s="73">
        <v>36014.3703417812</v>
      </c>
      <c r="CX55" s="73">
        <v>37506.1772409319</v>
      </c>
      <c r="CY55" s="73">
        <v>42015.40850095</v>
      </c>
      <c r="CZ55" s="74">
        <v>43329.9364204517</v>
      </c>
    </row>
    <row r="56" spans="1:104">
      <c r="A56" s="84" t="s">
        <v>171</v>
      </c>
      <c r="B56" s="293">
        <v>54</v>
      </c>
      <c r="C56" s="81">
        <v>0</v>
      </c>
      <c r="D56" s="82">
        <v>0</v>
      </c>
      <c r="E56" s="82">
        <v>0</v>
      </c>
      <c r="F56" s="82">
        <v>0</v>
      </c>
      <c r="G56" s="82">
        <v>0</v>
      </c>
      <c r="H56" s="82">
        <v>0</v>
      </c>
      <c r="I56" s="82">
        <v>0</v>
      </c>
      <c r="J56" s="82">
        <v>0</v>
      </c>
      <c r="K56" s="82">
        <v>0</v>
      </c>
      <c r="L56" s="82">
        <v>0</v>
      </c>
      <c r="M56" s="82">
        <v>0</v>
      </c>
      <c r="N56" s="82">
        <v>0</v>
      </c>
      <c r="O56" s="82">
        <v>0</v>
      </c>
      <c r="P56" s="82">
        <v>0</v>
      </c>
      <c r="Q56" s="82">
        <v>0</v>
      </c>
      <c r="R56" s="82">
        <v>0</v>
      </c>
      <c r="S56" s="82">
        <v>0</v>
      </c>
      <c r="T56" s="82">
        <v>0</v>
      </c>
      <c r="U56" s="82">
        <v>0</v>
      </c>
      <c r="V56" s="82">
        <v>0</v>
      </c>
      <c r="W56" s="82">
        <v>0</v>
      </c>
      <c r="X56" s="82">
        <v>0</v>
      </c>
      <c r="Y56" s="82">
        <v>0</v>
      </c>
      <c r="Z56" s="82">
        <v>0</v>
      </c>
      <c r="AA56" s="82">
        <v>0</v>
      </c>
      <c r="AB56" s="82">
        <v>0</v>
      </c>
      <c r="AC56" s="82">
        <v>0</v>
      </c>
      <c r="AD56" s="82">
        <v>0</v>
      </c>
      <c r="AE56" s="82">
        <v>0</v>
      </c>
      <c r="AF56" s="82">
        <v>0</v>
      </c>
      <c r="AG56" s="82">
        <v>0</v>
      </c>
      <c r="AH56" s="82">
        <v>0</v>
      </c>
      <c r="AI56" s="82">
        <v>0</v>
      </c>
      <c r="AJ56" s="82">
        <v>0</v>
      </c>
      <c r="AK56" s="82">
        <v>0</v>
      </c>
      <c r="AL56" s="82">
        <v>0</v>
      </c>
      <c r="AM56" s="82">
        <v>0</v>
      </c>
      <c r="AN56" s="82">
        <v>0</v>
      </c>
      <c r="AO56" s="82">
        <v>0</v>
      </c>
      <c r="AP56" s="82">
        <v>0</v>
      </c>
      <c r="AQ56" s="82">
        <v>0</v>
      </c>
      <c r="AR56" s="82">
        <v>0</v>
      </c>
      <c r="AS56" s="82">
        <v>0</v>
      </c>
      <c r="AT56" s="82">
        <v>0</v>
      </c>
      <c r="AU56" s="82">
        <v>0</v>
      </c>
      <c r="AV56" s="82">
        <v>0</v>
      </c>
      <c r="AW56" s="82">
        <v>0</v>
      </c>
      <c r="AX56" s="82">
        <v>0</v>
      </c>
      <c r="AY56" s="82">
        <v>0</v>
      </c>
      <c r="AZ56" s="82">
        <v>0</v>
      </c>
      <c r="BA56" s="82">
        <v>0</v>
      </c>
      <c r="BB56" s="82">
        <v>0</v>
      </c>
      <c r="BC56" s="82">
        <v>0</v>
      </c>
      <c r="BD56" s="82">
        <v>0</v>
      </c>
      <c r="BE56" s="82">
        <v>0</v>
      </c>
      <c r="BF56" s="82">
        <v>0</v>
      </c>
      <c r="BG56" s="82">
        <v>0</v>
      </c>
      <c r="BH56" s="82">
        <v>0</v>
      </c>
      <c r="BI56" s="82">
        <v>0</v>
      </c>
      <c r="BJ56" s="82">
        <v>0</v>
      </c>
      <c r="BK56" s="82">
        <v>0</v>
      </c>
      <c r="BL56" s="82">
        <v>0</v>
      </c>
      <c r="BM56" s="82">
        <v>0</v>
      </c>
      <c r="BN56" s="82">
        <v>0</v>
      </c>
      <c r="BO56" s="82">
        <v>0</v>
      </c>
      <c r="BP56" s="82">
        <v>0</v>
      </c>
      <c r="BQ56" s="82">
        <v>0</v>
      </c>
      <c r="BR56" s="82">
        <v>0</v>
      </c>
      <c r="BS56" s="82">
        <v>0</v>
      </c>
      <c r="BT56" s="82">
        <v>0</v>
      </c>
      <c r="BU56" s="82">
        <v>0</v>
      </c>
      <c r="BV56" s="82">
        <v>0</v>
      </c>
      <c r="BW56" s="82">
        <v>0</v>
      </c>
      <c r="BX56" s="82">
        <v>0</v>
      </c>
      <c r="BY56" s="82">
        <v>0</v>
      </c>
      <c r="BZ56" s="82">
        <v>0</v>
      </c>
      <c r="CA56" s="82">
        <v>0</v>
      </c>
      <c r="CB56" s="82">
        <v>0</v>
      </c>
      <c r="CC56" s="82">
        <v>0</v>
      </c>
      <c r="CD56" s="82">
        <v>0</v>
      </c>
      <c r="CE56" s="82">
        <v>0</v>
      </c>
      <c r="CF56" s="82">
        <v>0</v>
      </c>
      <c r="CG56" s="82">
        <v>0</v>
      </c>
      <c r="CH56" s="82">
        <v>0</v>
      </c>
      <c r="CI56" s="82">
        <v>0</v>
      </c>
      <c r="CJ56" s="82">
        <v>0</v>
      </c>
      <c r="CK56" s="82">
        <v>0</v>
      </c>
      <c r="CL56" s="82">
        <v>0</v>
      </c>
      <c r="CM56" s="82">
        <v>0</v>
      </c>
      <c r="CN56" s="82">
        <v>0</v>
      </c>
      <c r="CO56" s="82">
        <v>0</v>
      </c>
      <c r="CP56" s="82">
        <v>0</v>
      </c>
      <c r="CQ56" s="82">
        <v>0</v>
      </c>
      <c r="CR56" s="82">
        <v>0</v>
      </c>
      <c r="CS56" s="82">
        <v>0</v>
      </c>
      <c r="CT56" s="82">
        <v>0</v>
      </c>
      <c r="CU56" s="82">
        <v>0</v>
      </c>
      <c r="CV56" s="82">
        <v>0</v>
      </c>
      <c r="CW56" s="82">
        <v>0</v>
      </c>
      <c r="CX56" s="82">
        <v>0</v>
      </c>
      <c r="CY56" s="82">
        <v>0</v>
      </c>
      <c r="CZ56" s="83">
        <v>0</v>
      </c>
    </row>
    <row r="57" ht="15" spans="1:104">
      <c r="A57" s="84" t="s">
        <v>172</v>
      </c>
      <c r="B57" s="293">
        <v>55</v>
      </c>
      <c r="C57" s="81">
        <v>14.76991</v>
      </c>
      <c r="D57" s="82">
        <v>13.83986</v>
      </c>
      <c r="E57" s="82">
        <v>16.08565</v>
      </c>
      <c r="F57" s="82">
        <v>151.94749</v>
      </c>
      <c r="G57" s="82">
        <v>132.86969</v>
      </c>
      <c r="H57" s="82">
        <v>128.6695101</v>
      </c>
      <c r="I57" s="82">
        <v>121.042223307864</v>
      </c>
      <c r="J57" s="82">
        <v>123.158986168496</v>
      </c>
      <c r="K57" s="82">
        <v>98.5632686178406</v>
      </c>
      <c r="L57" s="82">
        <v>85.1449226578535</v>
      </c>
      <c r="M57" s="82">
        <v>90.6641836943514</v>
      </c>
      <c r="N57" s="82">
        <v>96.1629780801444</v>
      </c>
      <c r="O57" s="82">
        <v>110.044400422108</v>
      </c>
      <c r="P57" s="82">
        <v>115.745228380484</v>
      </c>
      <c r="Q57" s="82">
        <v>141.478164075681</v>
      </c>
      <c r="R57" s="82">
        <v>155.247339804089</v>
      </c>
      <c r="S57" s="82">
        <v>147.839402779597</v>
      </c>
      <c r="T57" s="82">
        <v>169.406551954517</v>
      </c>
      <c r="U57" s="82">
        <v>221.245255097615</v>
      </c>
      <c r="V57" s="82">
        <v>244.059672606784</v>
      </c>
      <c r="W57" s="82">
        <v>146.81299643116</v>
      </c>
      <c r="X57" s="82">
        <v>147.191713612478</v>
      </c>
      <c r="Y57" s="82">
        <v>148.397860413746</v>
      </c>
      <c r="Z57" s="82">
        <v>69.8423806989667</v>
      </c>
      <c r="AA57" s="82">
        <v>87.8117051678268</v>
      </c>
      <c r="AB57" s="82">
        <v>257.52477156294</v>
      </c>
      <c r="AC57" s="82">
        <v>616.132960210588</v>
      </c>
      <c r="AD57" s="82">
        <v>660.746575531732</v>
      </c>
      <c r="AE57" s="82">
        <v>669.491049837318</v>
      </c>
      <c r="AF57" s="82">
        <v>714.413762950865</v>
      </c>
      <c r="AG57" s="82">
        <v>784.959234958802</v>
      </c>
      <c r="AH57" s="82">
        <v>685.310941604874</v>
      </c>
      <c r="AI57" s="82">
        <v>602.12970748153</v>
      </c>
      <c r="AJ57" s="82">
        <v>761.586930380343</v>
      </c>
      <c r="AK57" s="82">
        <v>807.130292613077</v>
      </c>
      <c r="AL57" s="82">
        <v>805.698246539427</v>
      </c>
      <c r="AM57" s="82">
        <v>800.160560201992</v>
      </c>
      <c r="AN57" s="82">
        <v>794.405724514684</v>
      </c>
      <c r="AO57" s="82">
        <v>1183.41386577789</v>
      </c>
      <c r="AP57" s="82">
        <v>1224.37892169728</v>
      </c>
      <c r="AQ57" s="82">
        <v>9053.43760642242</v>
      </c>
      <c r="AR57" s="82">
        <v>9727.22899059598</v>
      </c>
      <c r="AS57" s="82">
        <v>9864.00741355277</v>
      </c>
      <c r="AT57" s="82">
        <v>9198.87020873012</v>
      </c>
      <c r="AU57" s="82">
        <v>10254.4338163999</v>
      </c>
      <c r="AV57" s="82">
        <v>10769.8032999141</v>
      </c>
      <c r="AW57" s="82">
        <v>10646.5247855732</v>
      </c>
      <c r="AX57" s="82">
        <v>11048.2814806987</v>
      </c>
      <c r="AY57" s="82">
        <v>11130.0701777777</v>
      </c>
      <c r="AZ57" s="82">
        <v>10744.0235375978</v>
      </c>
      <c r="BA57" s="82">
        <v>14412.0816075364</v>
      </c>
      <c r="BB57" s="82">
        <v>13078.3663280367</v>
      </c>
      <c r="BC57" s="82">
        <v>12975.5781743298</v>
      </c>
      <c r="BD57" s="82">
        <v>12836.4217984289</v>
      </c>
      <c r="BE57" s="82">
        <v>15687.1252587969</v>
      </c>
      <c r="BF57" s="82">
        <v>15429.035894163</v>
      </c>
      <c r="BG57" s="82">
        <v>15912.83112023</v>
      </c>
      <c r="BH57" s="82">
        <v>14253.0021685217</v>
      </c>
      <c r="BI57" s="82">
        <v>13572.7263760314</v>
      </c>
      <c r="BJ57" s="82">
        <v>12974.4006047488</v>
      </c>
      <c r="BK57" s="82">
        <v>9617.77174513926</v>
      </c>
      <c r="BL57" s="82">
        <v>9449.94229675979</v>
      </c>
      <c r="BM57" s="82">
        <v>9915.16478303608</v>
      </c>
      <c r="BN57" s="82">
        <v>10245.959032826</v>
      </c>
      <c r="BO57" s="82">
        <v>9891.57964748764</v>
      </c>
      <c r="BP57" s="82">
        <v>10137.4530751882</v>
      </c>
      <c r="BQ57" s="82">
        <v>12745.1001113835</v>
      </c>
      <c r="BR57" s="82">
        <v>13120.4188485951</v>
      </c>
      <c r="BS57" s="82">
        <v>12926.334148544</v>
      </c>
      <c r="BT57" s="82">
        <v>12211.317216053</v>
      </c>
      <c r="BU57" s="82">
        <v>11791.7463062275</v>
      </c>
      <c r="BV57" s="82">
        <v>10251.9017460166</v>
      </c>
      <c r="BW57" s="82">
        <v>10097.8118088927</v>
      </c>
      <c r="BX57" s="82">
        <v>9859.95197023201</v>
      </c>
      <c r="BY57" s="82">
        <v>10113.9903959291</v>
      </c>
      <c r="BZ57" s="82">
        <v>10660.5468623934</v>
      </c>
      <c r="CA57" s="82">
        <v>9491.13290213642</v>
      </c>
      <c r="CB57" s="82">
        <v>8083.03430545385</v>
      </c>
      <c r="CC57" s="82">
        <v>9278.3394799185</v>
      </c>
      <c r="CD57" s="82">
        <v>10235.8761984959</v>
      </c>
      <c r="CE57" s="82">
        <v>10540.2344137135</v>
      </c>
      <c r="CF57" s="82">
        <v>10391.6829349731</v>
      </c>
      <c r="CG57" s="82">
        <v>10626.3480767125</v>
      </c>
      <c r="CH57" s="82">
        <v>10467.4453918367</v>
      </c>
      <c r="CI57" s="82">
        <v>10724.0885331069</v>
      </c>
      <c r="CJ57" s="82">
        <v>8546.91517157331</v>
      </c>
      <c r="CK57" s="82">
        <v>7708.86992296101</v>
      </c>
      <c r="CL57" s="82">
        <v>7401.65720849473</v>
      </c>
      <c r="CM57" s="82">
        <v>6936.68326348393</v>
      </c>
      <c r="CN57" s="82">
        <v>7086.36984706163</v>
      </c>
      <c r="CO57" s="82">
        <v>6767.39205391473</v>
      </c>
      <c r="CP57" s="82">
        <v>7046.21297238902</v>
      </c>
      <c r="CQ57" s="82">
        <v>7149.60367096803</v>
      </c>
      <c r="CR57" s="82">
        <v>7106.11612559182</v>
      </c>
      <c r="CS57" s="82">
        <v>7098.37398467585</v>
      </c>
      <c r="CT57" s="82">
        <v>6590.67469820632</v>
      </c>
      <c r="CU57" s="82">
        <v>6633.62991876495</v>
      </c>
      <c r="CV57" s="82">
        <v>7394.6408654568</v>
      </c>
      <c r="CW57" s="82">
        <v>7876.8619425093</v>
      </c>
      <c r="CX57" s="82">
        <v>8216.32091121232</v>
      </c>
      <c r="CY57" s="82">
        <v>8882.39201056597</v>
      </c>
      <c r="CZ57" s="83">
        <v>9201.82552082673</v>
      </c>
    </row>
    <row r="58" spans="1:104">
      <c r="A58" s="84" t="s">
        <v>173</v>
      </c>
      <c r="B58" s="293">
        <v>56</v>
      </c>
      <c r="C58" s="81">
        <v>1275.6337481694</v>
      </c>
      <c r="D58" s="82">
        <v>1295.76170158477</v>
      </c>
      <c r="E58" s="82">
        <v>1303.41262508486</v>
      </c>
      <c r="F58" s="82">
        <v>1370.72468602647</v>
      </c>
      <c r="G58" s="82">
        <v>1370.71237849713</v>
      </c>
      <c r="H58" s="82">
        <v>1500.38956893097</v>
      </c>
      <c r="I58" s="82">
        <v>1513.60839573801</v>
      </c>
      <c r="J58" s="82">
        <v>1612.13930145942</v>
      </c>
      <c r="K58" s="82">
        <v>1594.95206173936</v>
      </c>
      <c r="L58" s="82">
        <v>1935.17708872147</v>
      </c>
      <c r="M58" s="82">
        <v>2054.89224295114</v>
      </c>
      <c r="N58" s="82">
        <v>2273.6055931644</v>
      </c>
      <c r="O58" s="82">
        <v>2350.99151150965</v>
      </c>
      <c r="P58" s="82">
        <v>2362.1832593524</v>
      </c>
      <c r="Q58" s="82">
        <v>2506.7791</v>
      </c>
      <c r="R58" s="82">
        <v>2648.6867</v>
      </c>
      <c r="S58" s="82">
        <v>3374.60031</v>
      </c>
      <c r="T58" s="82">
        <v>3446.07266</v>
      </c>
      <c r="U58" s="82">
        <v>3980.21415453</v>
      </c>
      <c r="V58" s="82">
        <v>4359.33000809</v>
      </c>
      <c r="W58" s="82">
        <v>4393.7465327</v>
      </c>
      <c r="X58" s="82">
        <v>4801.15597</v>
      </c>
      <c r="Y58" s="82">
        <v>5468.71542</v>
      </c>
      <c r="Z58" s="82">
        <v>6002.73617</v>
      </c>
      <c r="AA58" s="82">
        <v>7380.73774</v>
      </c>
      <c r="AB58" s="82">
        <v>7912.72328</v>
      </c>
      <c r="AC58" s="82">
        <v>8824.85978</v>
      </c>
      <c r="AD58" s="82">
        <v>10530.31315</v>
      </c>
      <c r="AE58" s="82">
        <v>11589.83716</v>
      </c>
      <c r="AF58" s="82">
        <v>13168.68105</v>
      </c>
      <c r="AG58" s="82">
        <v>13693.016</v>
      </c>
      <c r="AH58" s="82">
        <v>15185.52849</v>
      </c>
      <c r="AI58" s="82">
        <v>18062.35349</v>
      </c>
      <c r="AJ58" s="82">
        <v>19720.84714</v>
      </c>
      <c r="AK58" s="82">
        <v>21211.71471</v>
      </c>
      <c r="AL58" s="82">
        <v>22071.46331</v>
      </c>
      <c r="AM58" s="82">
        <v>22586.18379</v>
      </c>
      <c r="AN58" s="82">
        <v>22584.34531</v>
      </c>
      <c r="AO58" s="82">
        <v>23027.24024</v>
      </c>
      <c r="AP58" s="82">
        <v>23106.04838</v>
      </c>
      <c r="AQ58" s="82">
        <v>23658.19492</v>
      </c>
      <c r="AR58" s="82">
        <v>22411.26305</v>
      </c>
      <c r="AS58" s="82">
        <v>22802.81886</v>
      </c>
      <c r="AT58" s="82">
        <v>23016.141784</v>
      </c>
      <c r="AU58" s="82">
        <v>24336.10314</v>
      </c>
      <c r="AV58" s="82">
        <v>24931.2372011356</v>
      </c>
      <c r="AW58" s="82">
        <v>27329.1551311356</v>
      </c>
      <c r="AX58" s="82">
        <v>27879.3641711355</v>
      </c>
      <c r="AY58" s="82">
        <v>29883.354862031</v>
      </c>
      <c r="AZ58" s="82">
        <v>31334.367897282</v>
      </c>
      <c r="BA58" s="82">
        <v>32386.7784447869</v>
      </c>
      <c r="BB58" s="82">
        <v>34056.5094917931</v>
      </c>
      <c r="BC58" s="82">
        <v>35615.6644723541</v>
      </c>
      <c r="BD58" s="82">
        <v>36157.1499183541</v>
      </c>
      <c r="BE58" s="82">
        <v>36594.6444070583</v>
      </c>
      <c r="BF58" s="82">
        <v>32583.35248</v>
      </c>
      <c r="BG58" s="82">
        <v>33284.91429</v>
      </c>
      <c r="BH58" s="82">
        <v>18023.19252</v>
      </c>
      <c r="BI58" s="82">
        <v>18127.05121</v>
      </c>
      <c r="BJ58" s="82">
        <v>17820.38361</v>
      </c>
      <c r="BK58" s="82">
        <v>18900.84518</v>
      </c>
      <c r="BL58" s="82">
        <v>19058.81713</v>
      </c>
      <c r="BM58" s="82">
        <v>20894.78587</v>
      </c>
      <c r="BN58" s="82">
        <v>20811.02206</v>
      </c>
      <c r="BO58" s="82">
        <v>20939.28718</v>
      </c>
      <c r="BP58" s="82">
        <v>21908.92729443</v>
      </c>
      <c r="BQ58" s="82">
        <v>21420.52092</v>
      </c>
      <c r="BR58" s="82">
        <v>22012.66661</v>
      </c>
      <c r="BS58" s="82">
        <v>22258.53896</v>
      </c>
      <c r="BT58" s="82">
        <v>22622.65811</v>
      </c>
      <c r="BU58" s="82">
        <v>22191.23529</v>
      </c>
      <c r="BV58" s="82">
        <v>22078.92794</v>
      </c>
      <c r="BW58" s="82">
        <v>20680.894822649</v>
      </c>
      <c r="BX58" s="82">
        <v>20565.189744</v>
      </c>
      <c r="BY58" s="82">
        <v>20672.686884</v>
      </c>
      <c r="BZ58" s="82">
        <v>21189.94043</v>
      </c>
      <c r="CA58" s="82">
        <v>22309.856991769</v>
      </c>
      <c r="CB58" s="82">
        <v>20452.927823769</v>
      </c>
      <c r="CC58" s="82">
        <v>21043.76839438</v>
      </c>
      <c r="CD58" s="82">
        <v>21085.70583</v>
      </c>
      <c r="CE58" s="82">
        <v>21572.19247</v>
      </c>
      <c r="CF58" s="82">
        <v>21153.14625</v>
      </c>
      <c r="CG58" s="82">
        <v>21360.2611</v>
      </c>
      <c r="CH58" s="82">
        <v>21406.65451</v>
      </c>
      <c r="CI58" s="82">
        <v>21261.45723</v>
      </c>
      <c r="CJ58" s="82">
        <v>21000.75791</v>
      </c>
      <c r="CK58" s="82">
        <v>23190.35949</v>
      </c>
      <c r="CL58" s="82">
        <v>22989.38244</v>
      </c>
      <c r="CM58" s="82">
        <v>22803.37348</v>
      </c>
      <c r="CN58" s="82">
        <v>23034.51287</v>
      </c>
      <c r="CO58" s="82">
        <v>23175.4877</v>
      </c>
      <c r="CP58" s="82">
        <v>23384.62578</v>
      </c>
      <c r="CQ58" s="82">
        <v>23823.53988</v>
      </c>
      <c r="CR58" s="82">
        <v>24080.65495</v>
      </c>
      <c r="CS58" s="82">
        <v>24249.830992963</v>
      </c>
      <c r="CT58" s="82">
        <v>24616.523665221</v>
      </c>
      <c r="CU58" s="82">
        <v>24340.7935992719</v>
      </c>
      <c r="CV58" s="82">
        <v>25330.2463392719</v>
      </c>
      <c r="CW58" s="82">
        <v>25811.9383992719</v>
      </c>
      <c r="CX58" s="82">
        <v>26885.31398</v>
      </c>
      <c r="CY58" s="82">
        <v>30735.04909</v>
      </c>
      <c r="CZ58" s="83">
        <v>31550.00529</v>
      </c>
    </row>
    <row r="59" spans="1:104">
      <c r="A59" s="84" t="s">
        <v>174</v>
      </c>
      <c r="B59" s="293">
        <v>57</v>
      </c>
      <c r="C59" s="81">
        <v>314.04847</v>
      </c>
      <c r="D59" s="82">
        <v>338.84894</v>
      </c>
      <c r="E59" s="82">
        <v>346.39367</v>
      </c>
      <c r="F59" s="82">
        <v>382.78641</v>
      </c>
      <c r="G59" s="82">
        <v>354.57111</v>
      </c>
      <c r="H59" s="82">
        <v>389.02809</v>
      </c>
      <c r="I59" s="82">
        <v>439.36925</v>
      </c>
      <c r="J59" s="82">
        <v>492.73455</v>
      </c>
      <c r="K59" s="82">
        <v>505.54962</v>
      </c>
      <c r="L59" s="82">
        <v>534.093</v>
      </c>
      <c r="M59" s="82">
        <v>568.54166</v>
      </c>
      <c r="N59" s="82">
        <v>609.4552</v>
      </c>
      <c r="O59" s="82">
        <v>608.81888</v>
      </c>
      <c r="P59" s="82">
        <v>631.59649</v>
      </c>
      <c r="Q59" s="82">
        <v>736.49328</v>
      </c>
      <c r="R59" s="82">
        <v>768.82708</v>
      </c>
      <c r="S59" s="82">
        <v>772.48891</v>
      </c>
      <c r="T59" s="82">
        <v>828.15989</v>
      </c>
      <c r="U59" s="82">
        <v>901.00417</v>
      </c>
      <c r="V59" s="82">
        <v>1084.20333</v>
      </c>
      <c r="W59" s="82">
        <v>1063.63872</v>
      </c>
      <c r="X59" s="82">
        <v>1127.04384</v>
      </c>
      <c r="Y59" s="82">
        <v>1186.75286</v>
      </c>
      <c r="Z59" s="82">
        <v>1110.47078</v>
      </c>
      <c r="AA59" s="82">
        <v>1232.32426</v>
      </c>
      <c r="AB59" s="82">
        <v>1326.7714</v>
      </c>
      <c r="AC59" s="82">
        <v>1315.41454</v>
      </c>
      <c r="AD59" s="82">
        <v>1487.16551</v>
      </c>
      <c r="AE59" s="82">
        <v>1686.53159</v>
      </c>
      <c r="AF59" s="82">
        <v>1687.02229</v>
      </c>
      <c r="AG59" s="82">
        <v>1694.15872</v>
      </c>
      <c r="AH59" s="82">
        <v>1776.66274</v>
      </c>
      <c r="AI59" s="82">
        <v>1811.74718</v>
      </c>
      <c r="AJ59" s="82">
        <v>1705.86141</v>
      </c>
      <c r="AK59" s="82">
        <v>1666.00325</v>
      </c>
      <c r="AL59" s="82">
        <v>1691.18691</v>
      </c>
      <c r="AM59" s="82">
        <v>1563.64054</v>
      </c>
      <c r="AN59" s="82">
        <v>1519.20175</v>
      </c>
      <c r="AO59" s="82">
        <v>1584.40342</v>
      </c>
      <c r="AP59" s="82">
        <v>1622.36016</v>
      </c>
      <c r="AQ59" s="82">
        <v>1716.03761</v>
      </c>
      <c r="AR59" s="82">
        <v>1808.17783</v>
      </c>
      <c r="AS59" s="82">
        <v>1736.62024</v>
      </c>
      <c r="AT59" s="82">
        <v>1737.51339</v>
      </c>
      <c r="AU59" s="82">
        <v>1722.22574</v>
      </c>
      <c r="AV59" s="82">
        <v>1747.035</v>
      </c>
      <c r="AW59" s="82">
        <v>1772.84774</v>
      </c>
      <c r="AX59" s="82">
        <v>1843.80777</v>
      </c>
      <c r="AY59" s="82">
        <v>1947.05628</v>
      </c>
      <c r="AZ59" s="82">
        <v>2043.43994</v>
      </c>
      <c r="BA59" s="82">
        <v>2025.46878</v>
      </c>
      <c r="BB59" s="82">
        <v>2115.51463</v>
      </c>
      <c r="BC59" s="82">
        <v>2019.15228527</v>
      </c>
      <c r="BD59" s="82">
        <v>2060.43260527</v>
      </c>
      <c r="BE59" s="82">
        <v>2151.06770666</v>
      </c>
      <c r="BF59" s="82">
        <v>1999.51743</v>
      </c>
      <c r="BG59" s="82">
        <v>2159.4824</v>
      </c>
      <c r="BH59" s="82">
        <v>2225.34625</v>
      </c>
      <c r="BI59" s="82">
        <v>2133.79259</v>
      </c>
      <c r="BJ59" s="82">
        <v>2509.86351</v>
      </c>
      <c r="BK59" s="82">
        <v>2348.82672</v>
      </c>
      <c r="BL59" s="82">
        <v>2321.36066573</v>
      </c>
      <c r="BM59" s="82">
        <v>2321.61664573</v>
      </c>
      <c r="BN59" s="82">
        <v>2162.81843</v>
      </c>
      <c r="BO59" s="82">
        <v>1814.74187</v>
      </c>
      <c r="BP59" s="82">
        <v>1760.17154</v>
      </c>
      <c r="BQ59" s="82">
        <v>1581.47518</v>
      </c>
      <c r="BR59" s="82">
        <v>1472.04456</v>
      </c>
      <c r="BS59" s="82">
        <v>1623.46766</v>
      </c>
      <c r="BT59" s="82">
        <v>1634.26766</v>
      </c>
      <c r="BU59" s="82">
        <v>1828.15179</v>
      </c>
      <c r="BV59" s="82">
        <v>1907.29115</v>
      </c>
      <c r="BW59" s="82">
        <v>1831.81676</v>
      </c>
      <c r="BX59" s="82">
        <v>1863.05155</v>
      </c>
      <c r="BY59" s="82">
        <v>1836.3926</v>
      </c>
      <c r="BZ59" s="82">
        <v>1825.87394</v>
      </c>
      <c r="CA59" s="82">
        <v>1749.21317</v>
      </c>
      <c r="CB59" s="82">
        <v>1686.6967</v>
      </c>
      <c r="CC59" s="82">
        <v>1783.02027</v>
      </c>
      <c r="CD59" s="82">
        <v>1664.79756</v>
      </c>
      <c r="CE59" s="82">
        <v>1689.86644</v>
      </c>
      <c r="CF59" s="82">
        <v>1547.755467</v>
      </c>
      <c r="CG59" s="82">
        <v>1520.98722</v>
      </c>
      <c r="CH59" s="82">
        <v>1952.64539</v>
      </c>
      <c r="CI59" s="82">
        <v>1894.0453</v>
      </c>
      <c r="CJ59" s="82">
        <v>1959.80518</v>
      </c>
      <c r="CK59" s="82">
        <v>1495.46708</v>
      </c>
      <c r="CL59" s="82">
        <v>1542.37011</v>
      </c>
      <c r="CM59" s="82">
        <v>1465.43232</v>
      </c>
      <c r="CN59" s="82">
        <v>1464.08694</v>
      </c>
      <c r="CO59" s="82">
        <v>1333.40479</v>
      </c>
      <c r="CP59" s="82">
        <v>1402.76808</v>
      </c>
      <c r="CQ59" s="82">
        <v>1229.36146</v>
      </c>
      <c r="CR59" s="82">
        <v>1388.16522</v>
      </c>
      <c r="CS59" s="82">
        <v>1437.85362</v>
      </c>
      <c r="CT59" s="82">
        <v>1436.7012</v>
      </c>
      <c r="CU59" s="82">
        <v>1499.30895</v>
      </c>
      <c r="CV59" s="82">
        <v>1483.11937</v>
      </c>
      <c r="CW59" s="82">
        <v>1635.70598</v>
      </c>
      <c r="CX59" s="82">
        <v>1730.92363</v>
      </c>
      <c r="CY59" s="82">
        <v>1668.025834</v>
      </c>
      <c r="CZ59" s="83">
        <v>1676.87776</v>
      </c>
    </row>
    <row r="60" ht="15" spans="1:104">
      <c r="A60" s="84" t="s">
        <v>190</v>
      </c>
      <c r="B60" s="293">
        <v>58</v>
      </c>
      <c r="C60" s="81">
        <v>0</v>
      </c>
      <c r="D60" s="82">
        <v>0</v>
      </c>
      <c r="E60" s="82">
        <v>0</v>
      </c>
      <c r="F60" s="82">
        <v>0</v>
      </c>
      <c r="G60" s="82">
        <v>0</v>
      </c>
      <c r="H60" s="82">
        <v>0</v>
      </c>
      <c r="I60" s="82">
        <v>0</v>
      </c>
      <c r="J60" s="82">
        <v>0</v>
      </c>
      <c r="K60" s="82">
        <v>0</v>
      </c>
      <c r="L60" s="82">
        <v>0</v>
      </c>
      <c r="M60" s="82">
        <v>0</v>
      </c>
      <c r="N60" s="82">
        <v>0</v>
      </c>
      <c r="O60" s="82">
        <v>0</v>
      </c>
      <c r="P60" s="82">
        <v>0</v>
      </c>
      <c r="Q60" s="82">
        <v>0</v>
      </c>
      <c r="R60" s="82">
        <v>0</v>
      </c>
      <c r="S60" s="82">
        <v>0</v>
      </c>
      <c r="T60" s="82">
        <v>0</v>
      </c>
      <c r="U60" s="82">
        <v>0</v>
      </c>
      <c r="V60" s="82">
        <v>0</v>
      </c>
      <c r="W60" s="82">
        <v>0</v>
      </c>
      <c r="X60" s="82">
        <v>0</v>
      </c>
      <c r="Y60" s="82">
        <v>0</v>
      </c>
      <c r="Z60" s="82">
        <v>0</v>
      </c>
      <c r="AA60" s="82">
        <v>0</v>
      </c>
      <c r="AB60" s="82">
        <v>0</v>
      </c>
      <c r="AC60" s="82">
        <v>0</v>
      </c>
      <c r="AD60" s="82">
        <v>0</v>
      </c>
      <c r="AE60" s="82">
        <v>0</v>
      </c>
      <c r="AF60" s="82">
        <v>0</v>
      </c>
      <c r="AG60" s="82">
        <v>0</v>
      </c>
      <c r="AH60" s="82">
        <v>0</v>
      </c>
      <c r="AI60" s="82">
        <v>0</v>
      </c>
      <c r="AJ60" s="82">
        <v>0</v>
      </c>
      <c r="AK60" s="82">
        <v>0</v>
      </c>
      <c r="AL60" s="82">
        <v>0</v>
      </c>
      <c r="AM60" s="82">
        <v>0</v>
      </c>
      <c r="AN60" s="82">
        <v>0</v>
      </c>
      <c r="AO60" s="82">
        <v>0</v>
      </c>
      <c r="AP60" s="82">
        <v>0</v>
      </c>
      <c r="AQ60" s="82">
        <v>0</v>
      </c>
      <c r="AR60" s="82">
        <v>0</v>
      </c>
      <c r="AS60" s="82">
        <v>0</v>
      </c>
      <c r="AT60" s="82">
        <v>0</v>
      </c>
      <c r="AU60" s="82">
        <v>0</v>
      </c>
      <c r="AV60" s="82">
        <v>0</v>
      </c>
      <c r="AW60" s="82">
        <v>0</v>
      </c>
      <c r="AX60" s="82">
        <v>0</v>
      </c>
      <c r="AY60" s="82">
        <v>0</v>
      </c>
      <c r="AZ60" s="82">
        <v>63.12823</v>
      </c>
      <c r="BA60" s="82">
        <v>86.90316</v>
      </c>
      <c r="BB60" s="82">
        <v>93.8286</v>
      </c>
      <c r="BC60" s="82">
        <v>88.48976</v>
      </c>
      <c r="BD60" s="82">
        <v>102.76324</v>
      </c>
      <c r="BE60" s="82">
        <v>123.69107</v>
      </c>
      <c r="BF60" s="82">
        <v>184.82856</v>
      </c>
      <c r="BG60" s="82">
        <v>186.17951</v>
      </c>
      <c r="BH60" s="82">
        <v>207.63152</v>
      </c>
      <c r="BI60" s="82">
        <v>341.29802</v>
      </c>
      <c r="BJ60" s="82">
        <v>317.73758</v>
      </c>
      <c r="BK60" s="82">
        <v>292.51797</v>
      </c>
      <c r="BL60" s="82">
        <v>298.0571</v>
      </c>
      <c r="BM60" s="82">
        <v>581.40082</v>
      </c>
      <c r="BN60" s="82">
        <v>510.05969</v>
      </c>
      <c r="BO60" s="82">
        <v>472.35741</v>
      </c>
      <c r="BP60" s="82">
        <v>507.27767</v>
      </c>
      <c r="BQ60" s="82">
        <v>492.76088</v>
      </c>
      <c r="BR60" s="82">
        <v>453.57983</v>
      </c>
      <c r="BS60" s="82">
        <v>459.46876846</v>
      </c>
      <c r="BT60" s="82">
        <v>549.092553179359</v>
      </c>
      <c r="BU60" s="82">
        <v>560.562399611635</v>
      </c>
      <c r="BV60" s="82">
        <v>175.393893430136</v>
      </c>
      <c r="BW60" s="82">
        <v>201.903919617516</v>
      </c>
      <c r="BX60" s="82">
        <v>216.308423392926</v>
      </c>
      <c r="BY60" s="82">
        <v>229.125702344046</v>
      </c>
      <c r="BZ60" s="82">
        <v>221.012049561742</v>
      </c>
      <c r="CA60" s="82">
        <v>211.452651480996</v>
      </c>
      <c r="CB60" s="82">
        <v>266.623917083706</v>
      </c>
      <c r="CC60" s="82">
        <v>290.477474218545</v>
      </c>
      <c r="CD60" s="82">
        <v>274.538117765968</v>
      </c>
      <c r="CE60" s="82">
        <v>269.772081592</v>
      </c>
      <c r="CF60" s="82">
        <v>299.404284468319</v>
      </c>
      <c r="CG60" s="82">
        <v>365.776927374157</v>
      </c>
      <c r="CH60" s="82">
        <v>490.54605948479</v>
      </c>
      <c r="CI60" s="82">
        <v>480.82998546696</v>
      </c>
      <c r="CJ60" s="82">
        <v>508.241250257932</v>
      </c>
      <c r="CK60" s="82">
        <v>761.51185723495</v>
      </c>
      <c r="CL60" s="82">
        <v>707.989713416984</v>
      </c>
      <c r="CM60" s="82">
        <v>630.668165200994</v>
      </c>
      <c r="CN60" s="82">
        <v>742.65289</v>
      </c>
      <c r="CO60" s="82">
        <v>690.400191970752</v>
      </c>
      <c r="CP60" s="82">
        <v>575.266717045584</v>
      </c>
      <c r="CQ60" s="82">
        <v>596.94187</v>
      </c>
      <c r="CR60" s="82">
        <v>674.21331</v>
      </c>
      <c r="CS60" s="82">
        <v>679.04682</v>
      </c>
      <c r="CT60" s="82">
        <v>645.937177346266</v>
      </c>
      <c r="CU60" s="82">
        <v>615.407297354917</v>
      </c>
      <c r="CV60" s="82">
        <v>679.811805494991</v>
      </c>
      <c r="CW60" s="82">
        <v>689.86402</v>
      </c>
      <c r="CX60" s="82">
        <v>673.618719719623</v>
      </c>
      <c r="CY60" s="82">
        <v>729.941566384009</v>
      </c>
      <c r="CZ60" s="83">
        <v>901.227849624923</v>
      </c>
    </row>
    <row r="61" ht="15" spans="1:104">
      <c r="A61" s="295" t="s">
        <v>191</v>
      </c>
      <c r="B61" s="293" t="s">
        <v>192</v>
      </c>
      <c r="C61" s="87"/>
      <c r="D61" s="88"/>
      <c r="E61" s="88"/>
      <c r="F61" s="88"/>
      <c r="G61" s="88"/>
      <c r="H61" s="88"/>
      <c r="I61" s="88"/>
      <c r="J61" s="88"/>
      <c r="K61" s="88"/>
      <c r="L61" s="88"/>
      <c r="M61" s="88"/>
      <c r="N61" s="88"/>
      <c r="O61" s="88"/>
      <c r="P61" s="88"/>
      <c r="Q61" s="88"/>
      <c r="R61" s="88"/>
      <c r="S61" s="88"/>
      <c r="T61" s="82">
        <v>246.190927206819</v>
      </c>
      <c r="U61" s="82">
        <v>263.972743241261</v>
      </c>
      <c r="V61" s="82">
        <v>288.666535677744</v>
      </c>
      <c r="W61" s="82">
        <v>239.355108979685</v>
      </c>
      <c r="X61" s="82">
        <v>415.643513820547</v>
      </c>
      <c r="Y61" s="82">
        <v>515.408051541436</v>
      </c>
      <c r="Z61" s="82">
        <v>702.883401598534</v>
      </c>
      <c r="AA61" s="82">
        <v>1049.00136202616</v>
      </c>
      <c r="AB61" s="82">
        <v>1428.34256792565</v>
      </c>
      <c r="AC61" s="82">
        <v>2012.10297944903</v>
      </c>
      <c r="AD61" s="82">
        <v>2250.05897245414</v>
      </c>
      <c r="AE61" s="82">
        <v>2762.22997051464</v>
      </c>
      <c r="AF61" s="82">
        <v>2769.33505315747</v>
      </c>
      <c r="AG61" s="82">
        <v>2992.47111637758</v>
      </c>
      <c r="AH61" s="82">
        <v>2708.61608528079</v>
      </c>
      <c r="AI61" s="82">
        <v>2056.95814386179</v>
      </c>
      <c r="AJ61" s="82">
        <v>1945.23466485946</v>
      </c>
      <c r="AK61" s="82">
        <v>1995.42856224241</v>
      </c>
      <c r="AL61" s="82">
        <v>2016.17809613946</v>
      </c>
      <c r="AM61" s="82">
        <v>1970.89682887437</v>
      </c>
      <c r="AN61" s="82">
        <v>1897.85022467473</v>
      </c>
      <c r="AO61" s="82">
        <v>1871.08180662046</v>
      </c>
      <c r="AP61" s="82">
        <v>1938.27137839168</v>
      </c>
      <c r="AQ61" s="82">
        <v>1910.47321493242</v>
      </c>
      <c r="AR61" s="82">
        <v>1997.31348483708</v>
      </c>
      <c r="AS61" s="82">
        <v>1989.63526474045</v>
      </c>
      <c r="AT61" s="82">
        <v>1992.71207419841</v>
      </c>
      <c r="AU61" s="82">
        <v>2133.89757790103</v>
      </c>
      <c r="AV61" s="82">
        <v>2123.16074389353</v>
      </c>
      <c r="AW61" s="82">
        <v>2105.68127478521</v>
      </c>
      <c r="AX61" s="82">
        <v>2106.2688668945</v>
      </c>
      <c r="AY61" s="82">
        <v>1982.18451537089</v>
      </c>
      <c r="AZ61" s="82">
        <v>1919.54595716022</v>
      </c>
      <c r="BA61" s="82">
        <v>2835.90377605341</v>
      </c>
      <c r="BB61" s="82">
        <v>2854.43745018227</v>
      </c>
      <c r="BC61" s="82">
        <v>2897.2049544333</v>
      </c>
      <c r="BD61" s="82">
        <v>2913.70384379587</v>
      </c>
      <c r="BE61" s="82">
        <v>3866.80020387633</v>
      </c>
      <c r="BF61" s="82">
        <v>3767.02164142386</v>
      </c>
      <c r="BG61" s="82">
        <v>3464.1606248215</v>
      </c>
      <c r="BH61" s="82">
        <v>3317.52604766334</v>
      </c>
      <c r="BI61" s="82">
        <v>2588.67003888937</v>
      </c>
      <c r="BJ61" s="82">
        <v>2440.01390452619</v>
      </c>
      <c r="BK61" s="82">
        <v>2611.69900507338</v>
      </c>
      <c r="BL61" s="82">
        <v>2587.72582184797</v>
      </c>
      <c r="BM61" s="82">
        <v>2671.06554</v>
      </c>
      <c r="BN61" s="82">
        <v>2922.08145</v>
      </c>
      <c r="BO61" s="82">
        <v>2636.31210295101</v>
      </c>
      <c r="BP61" s="82">
        <v>2777.97323697104</v>
      </c>
      <c r="BQ61" s="82">
        <v>2780.01553625288</v>
      </c>
      <c r="BR61" s="82">
        <v>2890.84012131367</v>
      </c>
      <c r="BS61" s="82">
        <v>2816.05026292649</v>
      </c>
      <c r="BT61" s="82">
        <v>2908.27190418765</v>
      </c>
      <c r="BU61" s="82">
        <v>2902.78816154172</v>
      </c>
      <c r="BV61" s="82">
        <v>2394.1979788938</v>
      </c>
      <c r="BW61" s="82">
        <v>2211.22753327114</v>
      </c>
      <c r="BX61" s="82">
        <v>1373.06895008138</v>
      </c>
      <c r="BY61" s="82">
        <v>1345.85208368492</v>
      </c>
      <c r="BZ61" s="82">
        <v>1231.843807481</v>
      </c>
      <c r="CA61" s="82">
        <v>1443.86230268043</v>
      </c>
      <c r="CB61" s="82">
        <v>1223.71728868196</v>
      </c>
      <c r="CC61" s="82">
        <v>1296.34619045723</v>
      </c>
      <c r="CD61" s="82">
        <v>1202.04822521342</v>
      </c>
      <c r="CE61" s="82">
        <v>1247.19451487332</v>
      </c>
      <c r="CF61" s="82">
        <v>1350.98911394349</v>
      </c>
      <c r="CG61" s="82">
        <v>1381.80004232987</v>
      </c>
      <c r="CH61" s="82">
        <v>1349.14952781466</v>
      </c>
      <c r="CI61" s="82">
        <v>2498.50961999885</v>
      </c>
      <c r="CJ61" s="82">
        <v>1537.12798910128</v>
      </c>
      <c r="CK61" s="82">
        <v>2170.38583131163</v>
      </c>
      <c r="CL61" s="82">
        <v>2852.09451465636</v>
      </c>
      <c r="CM61" s="82">
        <v>1861.4743013143</v>
      </c>
      <c r="CN61" s="82">
        <v>1935.47330153822</v>
      </c>
      <c r="CO61" s="82">
        <v>2191.33546639941</v>
      </c>
      <c r="CP61" s="82">
        <v>2348.57266436688</v>
      </c>
      <c r="CQ61" s="82">
        <v>2886.72982438548</v>
      </c>
      <c r="CR61" s="82">
        <v>3206.18364840455</v>
      </c>
      <c r="CS61" s="82">
        <v>3356.88062548074</v>
      </c>
      <c r="CT61" s="82">
        <v>3247.35721976654</v>
      </c>
      <c r="CU61" s="82">
        <v>3586.20168403088</v>
      </c>
      <c r="CV61" s="82">
        <v>4967.62008190498</v>
      </c>
      <c r="CW61" s="82">
        <v>5487.88104683519</v>
      </c>
      <c r="CX61" s="82">
        <v>4840.3350235721</v>
      </c>
      <c r="CY61" s="82">
        <v>6625.72302520718</v>
      </c>
      <c r="CZ61" s="83">
        <v>8100.36199582336</v>
      </c>
    </row>
    <row r="62" spans="1:104">
      <c r="A62" s="296" t="s">
        <v>164</v>
      </c>
      <c r="B62" s="293">
        <v>60</v>
      </c>
      <c r="C62" s="87"/>
      <c r="D62" s="88"/>
      <c r="E62" s="88"/>
      <c r="F62" s="88"/>
      <c r="G62" s="88"/>
      <c r="H62" s="88"/>
      <c r="I62" s="88"/>
      <c r="J62" s="88"/>
      <c r="K62" s="88"/>
      <c r="L62" s="88"/>
      <c r="M62" s="88"/>
      <c r="N62" s="88"/>
      <c r="O62" s="88"/>
      <c r="P62" s="88"/>
      <c r="Q62" s="88"/>
      <c r="R62" s="88"/>
      <c r="S62" s="88"/>
      <c r="T62" s="82">
        <v>62.02754</v>
      </c>
      <c r="U62" s="82">
        <v>65.40642</v>
      </c>
      <c r="V62" s="82">
        <v>65.24553</v>
      </c>
      <c r="W62" s="82">
        <v>83.32429</v>
      </c>
      <c r="X62" s="82">
        <v>94.28618</v>
      </c>
      <c r="Y62" s="82">
        <v>102.72515</v>
      </c>
      <c r="Z62" s="82">
        <v>100.98829</v>
      </c>
      <c r="AA62" s="82">
        <v>59.93689</v>
      </c>
      <c r="AB62" s="82">
        <v>164.1968</v>
      </c>
      <c r="AC62" s="82">
        <v>211.65541</v>
      </c>
      <c r="AD62" s="82">
        <v>256.15047</v>
      </c>
      <c r="AE62" s="82">
        <v>165.87899</v>
      </c>
      <c r="AF62" s="82">
        <v>125.70998</v>
      </c>
      <c r="AG62" s="82">
        <v>128.38672</v>
      </c>
      <c r="AH62" s="82">
        <v>129.63065</v>
      </c>
      <c r="AI62" s="82">
        <v>36.01087</v>
      </c>
      <c r="AJ62" s="82">
        <v>45.13263</v>
      </c>
      <c r="AK62" s="82">
        <v>72.85518</v>
      </c>
      <c r="AL62" s="82">
        <v>45.42804</v>
      </c>
      <c r="AM62" s="82">
        <v>53.5534</v>
      </c>
      <c r="AN62" s="82">
        <v>70.10051</v>
      </c>
      <c r="AO62" s="82">
        <v>78.80493</v>
      </c>
      <c r="AP62" s="82">
        <v>107.41051</v>
      </c>
      <c r="AQ62" s="82">
        <v>107.04519</v>
      </c>
      <c r="AR62" s="82">
        <v>152.08876</v>
      </c>
      <c r="AS62" s="82">
        <v>144.98324</v>
      </c>
      <c r="AT62" s="82">
        <v>90.30773</v>
      </c>
      <c r="AU62" s="82">
        <v>100.70682</v>
      </c>
      <c r="AV62" s="82">
        <v>109.97901</v>
      </c>
      <c r="AW62" s="82">
        <v>111.79245</v>
      </c>
      <c r="AX62" s="82">
        <v>96.99021</v>
      </c>
      <c r="AY62" s="82">
        <v>90.63624</v>
      </c>
      <c r="AZ62" s="82">
        <v>113.2853</v>
      </c>
      <c r="BA62" s="82">
        <v>125.99152</v>
      </c>
      <c r="BB62" s="82">
        <v>138.15945</v>
      </c>
      <c r="BC62" s="82">
        <v>115.56549</v>
      </c>
      <c r="BD62" s="82">
        <v>121.6325</v>
      </c>
      <c r="BE62" s="82">
        <v>131.67379</v>
      </c>
      <c r="BF62" s="82">
        <v>99.08746</v>
      </c>
      <c r="BG62" s="82">
        <v>68.07842</v>
      </c>
      <c r="BH62" s="82">
        <v>78.95588</v>
      </c>
      <c r="BI62" s="82">
        <v>170.33955</v>
      </c>
      <c r="BJ62" s="82">
        <v>82.169</v>
      </c>
      <c r="BK62" s="82">
        <v>57.34578</v>
      </c>
      <c r="BL62" s="82">
        <v>89.04746</v>
      </c>
      <c r="BM62" s="82">
        <v>97.05668</v>
      </c>
      <c r="BN62" s="82">
        <v>314.23979</v>
      </c>
      <c r="BO62" s="82">
        <v>76.62947</v>
      </c>
      <c r="BP62" s="82">
        <v>83.2158</v>
      </c>
      <c r="BQ62" s="82">
        <v>90.60717</v>
      </c>
      <c r="BR62" s="82">
        <v>166.577930001</v>
      </c>
      <c r="BS62" s="82">
        <v>70.02536</v>
      </c>
      <c r="BT62" s="82">
        <v>72.24364</v>
      </c>
      <c r="BU62" s="82">
        <v>117.22506</v>
      </c>
      <c r="BV62" s="82">
        <v>110.49135</v>
      </c>
      <c r="BW62" s="82">
        <v>64.57497</v>
      </c>
      <c r="BX62" s="82">
        <v>48.72345</v>
      </c>
      <c r="BY62" s="82">
        <v>157.72703</v>
      </c>
      <c r="BZ62" s="82">
        <v>63.27027</v>
      </c>
      <c r="CA62" s="82">
        <v>80.17916</v>
      </c>
      <c r="CB62" s="82">
        <v>112.1005</v>
      </c>
      <c r="CC62" s="82">
        <v>116.08633</v>
      </c>
      <c r="CD62" s="82">
        <v>60.19067</v>
      </c>
      <c r="CE62" s="82">
        <v>38.16448</v>
      </c>
      <c r="CF62" s="82">
        <v>96.84093</v>
      </c>
      <c r="CG62" s="82">
        <v>116.33014</v>
      </c>
      <c r="CH62" s="82">
        <v>114.66178</v>
      </c>
      <c r="CI62" s="82">
        <v>1135.77391</v>
      </c>
      <c r="CJ62" s="82">
        <v>162.99244</v>
      </c>
      <c r="CK62" s="82">
        <v>617.74328</v>
      </c>
      <c r="CL62" s="82">
        <v>1341.88264</v>
      </c>
      <c r="CM62" s="82">
        <v>404.0027</v>
      </c>
      <c r="CN62" s="82">
        <v>200.512472</v>
      </c>
      <c r="CO62" s="82">
        <v>320.61013</v>
      </c>
      <c r="CP62" s="82">
        <v>186.33028</v>
      </c>
      <c r="CQ62" s="82">
        <v>399.396</v>
      </c>
      <c r="CR62" s="82">
        <v>409.57878</v>
      </c>
      <c r="CS62" s="82">
        <v>473.735192</v>
      </c>
      <c r="CT62" s="82">
        <v>481.95315</v>
      </c>
      <c r="CU62" s="82">
        <v>505.1395</v>
      </c>
      <c r="CV62" s="82">
        <v>879.03368</v>
      </c>
      <c r="CW62" s="82">
        <v>817.75529</v>
      </c>
      <c r="CX62" s="82">
        <v>351.1704</v>
      </c>
      <c r="CY62" s="82">
        <v>711.35544</v>
      </c>
      <c r="CZ62" s="83">
        <v>1313.11575</v>
      </c>
    </row>
    <row r="63" spans="1:104">
      <c r="A63" s="296" t="s">
        <v>166</v>
      </c>
      <c r="B63" s="293">
        <v>61</v>
      </c>
      <c r="C63" s="87"/>
      <c r="D63" s="88"/>
      <c r="E63" s="88"/>
      <c r="F63" s="88"/>
      <c r="G63" s="88"/>
      <c r="H63" s="88"/>
      <c r="I63" s="88"/>
      <c r="J63" s="88"/>
      <c r="K63" s="88"/>
      <c r="L63" s="88"/>
      <c r="M63" s="88"/>
      <c r="N63" s="88"/>
      <c r="O63" s="88"/>
      <c r="P63" s="88"/>
      <c r="Q63" s="88"/>
      <c r="R63" s="88"/>
      <c r="S63" s="88"/>
      <c r="T63" s="82">
        <v>184.163387206819</v>
      </c>
      <c r="U63" s="82">
        <v>198.566323241261</v>
      </c>
      <c r="V63" s="82">
        <v>223.421005677744</v>
      </c>
      <c r="W63" s="82">
        <v>156.030818979685</v>
      </c>
      <c r="X63" s="82">
        <v>321.357333820547</v>
      </c>
      <c r="Y63" s="82">
        <v>412.682901541436</v>
      </c>
      <c r="Z63" s="82">
        <v>601.895111598534</v>
      </c>
      <c r="AA63" s="82">
        <v>989.064472026159</v>
      </c>
      <c r="AB63" s="82">
        <v>1264.14576792565</v>
      </c>
      <c r="AC63" s="82">
        <v>1800.44756944903</v>
      </c>
      <c r="AD63" s="82">
        <v>1993.90850245414</v>
      </c>
      <c r="AE63" s="82">
        <v>2596.35098051464</v>
      </c>
      <c r="AF63" s="82">
        <v>2643.62507315747</v>
      </c>
      <c r="AG63" s="82">
        <v>2864.08439637758</v>
      </c>
      <c r="AH63" s="82">
        <v>2578.98543528079</v>
      </c>
      <c r="AI63" s="82">
        <v>2020.94727386179</v>
      </c>
      <c r="AJ63" s="82">
        <v>1900.10203485946</v>
      </c>
      <c r="AK63" s="82">
        <v>1922.57338224241</v>
      </c>
      <c r="AL63" s="82">
        <v>1970.75005613946</v>
      </c>
      <c r="AM63" s="82">
        <v>1917.34342887437</v>
      </c>
      <c r="AN63" s="82">
        <v>1827.74971467473</v>
      </c>
      <c r="AO63" s="82">
        <v>1792.27687662046</v>
      </c>
      <c r="AP63" s="82">
        <v>1830.86086839168</v>
      </c>
      <c r="AQ63" s="82">
        <v>1803.42802493242</v>
      </c>
      <c r="AR63" s="82">
        <v>1845.22472483708</v>
      </c>
      <c r="AS63" s="82">
        <v>1844.65202474045</v>
      </c>
      <c r="AT63" s="82">
        <v>1902.40434419841</v>
      </c>
      <c r="AU63" s="82">
        <v>2033.19075790103</v>
      </c>
      <c r="AV63" s="82">
        <v>2013.18173389353</v>
      </c>
      <c r="AW63" s="82">
        <v>1993.88882478521</v>
      </c>
      <c r="AX63" s="82">
        <v>2009.2786568945</v>
      </c>
      <c r="AY63" s="82">
        <v>1891.54827537089</v>
      </c>
      <c r="AZ63" s="82">
        <v>1806.26065716022</v>
      </c>
      <c r="BA63" s="82">
        <v>2709.91225605341</v>
      </c>
      <c r="BB63" s="82">
        <v>2716.27800018227</v>
      </c>
      <c r="BC63" s="82">
        <v>2781.6394644333</v>
      </c>
      <c r="BD63" s="82">
        <v>2792.07134379587</v>
      </c>
      <c r="BE63" s="82">
        <v>3735.12641387633</v>
      </c>
      <c r="BF63" s="82">
        <v>3667.93418142386</v>
      </c>
      <c r="BG63" s="82">
        <v>3396.0822048215</v>
      </c>
      <c r="BH63" s="82">
        <v>3238.57016766334</v>
      </c>
      <c r="BI63" s="82">
        <v>2418.33048888937</v>
      </c>
      <c r="BJ63" s="82">
        <v>2357.84490452619</v>
      </c>
      <c r="BK63" s="82">
        <v>2554.35322507338</v>
      </c>
      <c r="BL63" s="82">
        <v>2498.67836184797</v>
      </c>
      <c r="BM63" s="82">
        <v>2574.00886</v>
      </c>
      <c r="BN63" s="82">
        <v>2607.84166</v>
      </c>
      <c r="BO63" s="82">
        <v>2559.68263295101</v>
      </c>
      <c r="BP63" s="82">
        <v>2694.75743697104</v>
      </c>
      <c r="BQ63" s="82">
        <v>2689.40836625288</v>
      </c>
      <c r="BR63" s="82">
        <v>2724.26219131267</v>
      </c>
      <c r="BS63" s="82">
        <v>2746.02490292649</v>
      </c>
      <c r="BT63" s="82">
        <v>2836.02826418765</v>
      </c>
      <c r="BU63" s="82">
        <v>2785.56310154172</v>
      </c>
      <c r="BV63" s="82">
        <v>2283.7066288938</v>
      </c>
      <c r="BW63" s="82">
        <v>2146.65256327114</v>
      </c>
      <c r="BX63" s="82">
        <v>1324.34550008138</v>
      </c>
      <c r="BY63" s="82">
        <v>1188.12505368492</v>
      </c>
      <c r="BZ63" s="82">
        <v>1168.573537481</v>
      </c>
      <c r="CA63" s="82">
        <v>1363.68314268043</v>
      </c>
      <c r="CB63" s="82">
        <v>1111.61678868196</v>
      </c>
      <c r="CC63" s="82">
        <v>1180.25986045723</v>
      </c>
      <c r="CD63" s="82">
        <v>1141.85755521342</v>
      </c>
      <c r="CE63" s="82">
        <v>1209.03003487332</v>
      </c>
      <c r="CF63" s="82">
        <v>1254.14818394349</v>
      </c>
      <c r="CG63" s="82">
        <v>1265.46990232987</v>
      </c>
      <c r="CH63" s="82">
        <v>1234.48774781466</v>
      </c>
      <c r="CI63" s="82">
        <v>1362.73570999885</v>
      </c>
      <c r="CJ63" s="82">
        <v>1374.13554910128</v>
      </c>
      <c r="CK63" s="82">
        <v>1552.64255131163</v>
      </c>
      <c r="CL63" s="82">
        <v>1510.21187465636</v>
      </c>
      <c r="CM63" s="82">
        <v>1457.4716013143</v>
      </c>
      <c r="CN63" s="82">
        <v>1734.96082953822</v>
      </c>
      <c r="CO63" s="82">
        <v>1870.72533639941</v>
      </c>
      <c r="CP63" s="82">
        <v>2162.24238436688</v>
      </c>
      <c r="CQ63" s="82">
        <v>2487.33382438548</v>
      </c>
      <c r="CR63" s="82">
        <v>2796.60486840455</v>
      </c>
      <c r="CS63" s="82">
        <v>2883.14543348074</v>
      </c>
      <c r="CT63" s="82">
        <v>2765.40406976654</v>
      </c>
      <c r="CU63" s="82">
        <v>3081.06218403088</v>
      </c>
      <c r="CV63" s="82">
        <v>4088.58640190497</v>
      </c>
      <c r="CW63" s="82">
        <v>4670.12575683519</v>
      </c>
      <c r="CX63" s="82">
        <v>4489.1646235721</v>
      </c>
      <c r="CY63" s="82">
        <v>5914.36758520718</v>
      </c>
      <c r="CZ63" s="83">
        <v>6787.24624582336</v>
      </c>
    </row>
    <row r="64" ht="29" spans="1:104">
      <c r="A64" s="297" t="s">
        <v>193</v>
      </c>
      <c r="B64" s="293" t="s">
        <v>194</v>
      </c>
      <c r="C64" s="87"/>
      <c r="D64" s="88"/>
      <c r="E64" s="88"/>
      <c r="F64" s="88"/>
      <c r="G64" s="88"/>
      <c r="H64" s="88"/>
      <c r="I64" s="88"/>
      <c r="J64" s="88"/>
      <c r="K64" s="88"/>
      <c r="L64" s="88"/>
      <c r="M64" s="88"/>
      <c r="N64" s="88"/>
      <c r="O64" s="88"/>
      <c r="P64" s="88"/>
      <c r="Q64" s="88"/>
      <c r="R64" s="88"/>
      <c r="S64" s="88"/>
      <c r="T64" s="82">
        <v>5824.3126247477</v>
      </c>
      <c r="U64" s="82">
        <v>6419.87773638635</v>
      </c>
      <c r="V64" s="82">
        <v>7033.44988501904</v>
      </c>
      <c r="W64" s="82">
        <v>7068.45146015147</v>
      </c>
      <c r="X64" s="82">
        <v>7716.35990979193</v>
      </c>
      <c r="Y64" s="82">
        <v>9086.29728887231</v>
      </c>
      <c r="Z64" s="82">
        <v>9866.83653910043</v>
      </c>
      <c r="AA64" s="82">
        <v>11556.6739831417</v>
      </c>
      <c r="AB64" s="82">
        <v>12021.7509636373</v>
      </c>
      <c r="AC64" s="82">
        <v>13136.7904807616</v>
      </c>
      <c r="AD64" s="82">
        <v>15065.0934730776</v>
      </c>
      <c r="AE64" s="82">
        <v>16505.5648493227</v>
      </c>
      <c r="AF64" s="82">
        <v>18151.9527797934</v>
      </c>
      <c r="AG64" s="82">
        <v>18727.4863185812</v>
      </c>
      <c r="AH64" s="82">
        <v>21833.4529963241</v>
      </c>
      <c r="AI64" s="82">
        <v>24802.4546836197</v>
      </c>
      <c r="AJ64" s="82">
        <v>25660.4795055209</v>
      </c>
      <c r="AK64" s="82">
        <v>27581.8963603707</v>
      </c>
      <c r="AL64" s="82">
        <v>28568.4278204</v>
      </c>
      <c r="AM64" s="82">
        <v>27838.3023813276</v>
      </c>
      <c r="AN64" s="82">
        <v>27996.9188598399</v>
      </c>
      <c r="AO64" s="82">
        <v>29042.8992691574</v>
      </c>
      <c r="AP64" s="82">
        <v>29833.8304833056</v>
      </c>
      <c r="AQ64" s="82">
        <v>39288.73358149</v>
      </c>
      <c r="AR64" s="82">
        <v>37617.7069057589</v>
      </c>
      <c r="AS64" s="82">
        <v>38267.6065188123</v>
      </c>
      <c r="AT64" s="82">
        <v>38192.7851685317</v>
      </c>
      <c r="AU64" s="82">
        <v>40955.2449194989</v>
      </c>
      <c r="AV64" s="82">
        <v>41836.3550521561</v>
      </c>
      <c r="AW64" s="82">
        <v>44483.0618369235</v>
      </c>
      <c r="AX64" s="82">
        <v>45629.6113899397</v>
      </c>
      <c r="AY64" s="82">
        <v>48328.8598965319</v>
      </c>
      <c r="AZ64" s="82">
        <v>49195.8502954212</v>
      </c>
      <c r="BA64" s="82">
        <v>53426.6123931776</v>
      </c>
      <c r="BB64" s="82">
        <v>54685.082728264</v>
      </c>
      <c r="BC64" s="82">
        <v>56031.4561852487</v>
      </c>
      <c r="BD64" s="82">
        <v>56163.7706550233</v>
      </c>
      <c r="BE64" s="82">
        <v>59185.279511032</v>
      </c>
      <c r="BF64" s="82">
        <v>54583.0498627391</v>
      </c>
      <c r="BG64" s="82">
        <v>56108.6591854085</v>
      </c>
      <c r="BH64" s="82">
        <v>38601.0325608584</v>
      </c>
      <c r="BI64" s="82">
        <v>38544.454297142</v>
      </c>
      <c r="BJ64" s="82">
        <v>36740.1470502226</v>
      </c>
      <c r="BK64" s="82">
        <v>33946.6072800659</v>
      </c>
      <c r="BL64" s="82">
        <v>33886.0934806418</v>
      </c>
      <c r="BM64" s="82">
        <v>36431.7151287661</v>
      </c>
      <c r="BN64" s="82">
        <v>36606.542687636</v>
      </c>
      <c r="BO64" s="82">
        <v>36202.5020945366</v>
      </c>
      <c r="BP64" s="82">
        <v>37302.9745063371</v>
      </c>
      <c r="BQ64" s="82">
        <v>39383.05749652</v>
      </c>
      <c r="BR64" s="82">
        <v>40419.1614957494</v>
      </c>
      <c r="BS64" s="82">
        <v>40798.3126940775</v>
      </c>
      <c r="BT64" s="82">
        <v>40294.7244480447</v>
      </c>
      <c r="BU64" s="82">
        <v>39981.2566662974</v>
      </c>
      <c r="BV64" s="82">
        <v>38911.8071305529</v>
      </c>
      <c r="BW64" s="82">
        <v>37450.4513424409</v>
      </c>
      <c r="BX64" s="82">
        <v>37647.2660875436</v>
      </c>
      <c r="BY64" s="82">
        <v>38315.9937485883</v>
      </c>
      <c r="BZ64" s="82">
        <v>39781.1855644742</v>
      </c>
      <c r="CA64" s="82">
        <v>39596.684462706</v>
      </c>
      <c r="CB64" s="82">
        <v>36181.0931859223</v>
      </c>
      <c r="CC64" s="82">
        <v>38441.3917240598</v>
      </c>
      <c r="CD64" s="82">
        <v>39498.9718467485</v>
      </c>
      <c r="CE64" s="82">
        <v>40140.8326245322</v>
      </c>
      <c r="CF64" s="82">
        <v>40061.2668832379</v>
      </c>
      <c r="CG64" s="82">
        <v>41280.3342277568</v>
      </c>
      <c r="CH64" s="82">
        <v>41559.2335975928</v>
      </c>
      <c r="CI64" s="82">
        <v>41514.886592575</v>
      </c>
      <c r="CJ64" s="82">
        <v>39006.83744273</v>
      </c>
      <c r="CK64" s="82">
        <v>41421.1252699182</v>
      </c>
      <c r="CL64" s="82">
        <v>40900.0787807554</v>
      </c>
      <c r="CM64" s="82">
        <v>40365.8275353706</v>
      </c>
      <c r="CN64" s="82">
        <v>41330.0307313634</v>
      </c>
      <c r="CO64" s="82">
        <v>41577.2787486661</v>
      </c>
      <c r="CP64" s="82">
        <v>42655.9772324677</v>
      </c>
      <c r="CQ64" s="82">
        <v>42576.732933527</v>
      </c>
      <c r="CR64" s="82">
        <v>41965.9722227173</v>
      </c>
      <c r="CS64" s="82">
        <v>42541.6828331581</v>
      </c>
      <c r="CT64" s="82">
        <v>42454.119091007</v>
      </c>
      <c r="CU64" s="82">
        <v>41586.5156013609</v>
      </c>
      <c r="CV64" s="82">
        <v>43242.6623283187</v>
      </c>
      <c r="CW64" s="82">
        <v>44662.7785039359</v>
      </c>
      <c r="CX64" s="82">
        <v>45831.3137523598</v>
      </c>
      <c r="CY64" s="82">
        <v>48437.1241147428</v>
      </c>
      <c r="CZ64" s="83">
        <v>49224.0804299683</v>
      </c>
    </row>
    <row r="65" spans="1:104">
      <c r="A65" s="296" t="s">
        <v>164</v>
      </c>
      <c r="B65" s="293">
        <v>63</v>
      </c>
      <c r="C65" s="87"/>
      <c r="D65" s="88"/>
      <c r="E65" s="88"/>
      <c r="F65" s="88"/>
      <c r="G65" s="88"/>
      <c r="H65" s="88"/>
      <c r="I65" s="88"/>
      <c r="J65" s="88"/>
      <c r="K65" s="88"/>
      <c r="L65" s="88"/>
      <c r="M65" s="88"/>
      <c r="N65" s="88"/>
      <c r="O65" s="88"/>
      <c r="P65" s="88"/>
      <c r="Q65" s="88"/>
      <c r="R65" s="88"/>
      <c r="S65" s="88"/>
      <c r="T65" s="82">
        <v>1564.83691</v>
      </c>
      <c r="U65" s="82">
        <v>1515.98048</v>
      </c>
      <c r="V65" s="82">
        <v>1569.27788</v>
      </c>
      <c r="W65" s="82">
        <v>1620.28403</v>
      </c>
      <c r="X65" s="82">
        <v>1962.32572</v>
      </c>
      <c r="Y65" s="82">
        <v>2695.11405</v>
      </c>
      <c r="Z65" s="82">
        <v>3285.68232</v>
      </c>
      <c r="AA65" s="82">
        <v>3844.86475</v>
      </c>
      <c r="AB65" s="82">
        <v>3788.87728</v>
      </c>
      <c r="AC65" s="82">
        <v>4180.83077</v>
      </c>
      <c r="AD65" s="82">
        <v>4380.77674</v>
      </c>
      <c r="AE65" s="82">
        <v>5156.05603</v>
      </c>
      <c r="AF65" s="82">
        <v>5225.46075</v>
      </c>
      <c r="AG65" s="82">
        <v>5419.43676</v>
      </c>
      <c r="AH65" s="82">
        <v>6764.93626</v>
      </c>
      <c r="AI65" s="82">
        <v>6347.17158</v>
      </c>
      <c r="AJ65" s="82">
        <v>5372.28606</v>
      </c>
      <c r="AK65" s="82">
        <v>5819.62149</v>
      </c>
      <c r="AL65" s="82">
        <v>5970.82941</v>
      </c>
      <c r="AM65" s="82">
        <v>4805.66092</v>
      </c>
      <c r="AN65" s="82">
        <v>4926.71579</v>
      </c>
      <c r="AO65" s="82">
        <v>5040.11862</v>
      </c>
      <c r="AP65" s="82">
        <v>5711.90389</v>
      </c>
      <c r="AQ65" s="82">
        <v>6664.49147</v>
      </c>
      <c r="AR65" s="82">
        <v>5516.26176</v>
      </c>
      <c r="AS65" s="82">
        <v>5708.81203</v>
      </c>
      <c r="AT65" s="82">
        <v>6142.66413</v>
      </c>
      <c r="AU65" s="82">
        <v>6675.672981</v>
      </c>
      <c r="AV65" s="82">
        <v>6401.461285</v>
      </c>
      <c r="AW65" s="82">
        <v>6728.423005</v>
      </c>
      <c r="AX65" s="82">
        <v>6867.436625</v>
      </c>
      <c r="AY65" s="82">
        <v>7259.92685209411</v>
      </c>
      <c r="AZ65" s="82">
        <v>6817.15134770161</v>
      </c>
      <c r="BA65" s="82">
        <v>7225.29265690775</v>
      </c>
      <c r="BB65" s="82">
        <v>8057.14167861644</v>
      </c>
      <c r="BC65" s="82">
        <v>8114.21095772813</v>
      </c>
      <c r="BD65" s="82">
        <v>7799.07443676618</v>
      </c>
      <c r="BE65" s="82">
        <v>8363.87748239314</v>
      </c>
      <c r="BF65" s="82">
        <v>8054.24968</v>
      </c>
      <c r="BG65" s="82">
        <v>7961.33407</v>
      </c>
      <c r="BH65" s="82">
        <v>7130.43027</v>
      </c>
      <c r="BI65" s="82">
        <v>6787.91659</v>
      </c>
      <c r="BJ65" s="82">
        <v>5475.60665</v>
      </c>
      <c r="BK65" s="82">
        <v>5340.99889</v>
      </c>
      <c r="BL65" s="82">
        <v>5256.59465</v>
      </c>
      <c r="BM65" s="82">
        <v>5292.75587</v>
      </c>
      <c r="BN65" s="82">
        <v>5484.52513480999</v>
      </c>
      <c r="BO65" s="82">
        <v>5644.21862</v>
      </c>
      <c r="BP65" s="82">
        <v>5683.90236369</v>
      </c>
      <c r="BQ65" s="82">
        <v>5832.60877138945</v>
      </c>
      <c r="BR65" s="82">
        <v>6084.71383846698</v>
      </c>
      <c r="BS65" s="82">
        <v>6276.52806</v>
      </c>
      <c r="BT65" s="82">
        <v>6113.417173</v>
      </c>
      <c r="BU65" s="82">
        <v>6395.123982</v>
      </c>
      <c r="BV65" s="82">
        <v>6781.99903</v>
      </c>
      <c r="BW65" s="82">
        <v>6784.67659455285</v>
      </c>
      <c r="BX65" s="82">
        <v>6467.1099</v>
      </c>
      <c r="BY65" s="82">
        <v>6651.92322</v>
      </c>
      <c r="BZ65" s="82">
        <v>7052.38582</v>
      </c>
      <c r="CA65" s="82">
        <v>7198.71189</v>
      </c>
      <c r="CB65" s="82">
        <v>6803.4272282977</v>
      </c>
      <c r="CC65" s="82">
        <v>7226.045966</v>
      </c>
      <c r="CD65" s="82">
        <v>7379.9116957</v>
      </c>
      <c r="CE65" s="82">
        <v>7277.7972541</v>
      </c>
      <c r="CF65" s="82">
        <v>7923.42613074</v>
      </c>
      <c r="CG65" s="82">
        <v>8672.430806</v>
      </c>
      <c r="CH65" s="82">
        <v>8476.42999408601</v>
      </c>
      <c r="CI65" s="82">
        <v>8517.201254</v>
      </c>
      <c r="CJ65" s="82">
        <v>8365.25348</v>
      </c>
      <c r="CK65" s="82">
        <v>9817.55947103386</v>
      </c>
      <c r="CL65" s="82">
        <v>9768.8911835</v>
      </c>
      <c r="CM65" s="82">
        <v>9987.141908</v>
      </c>
      <c r="CN65" s="82">
        <v>10737.36901384</v>
      </c>
      <c r="CO65" s="82">
        <v>11481.31934918</v>
      </c>
      <c r="CP65" s="82">
        <v>12409.3460674</v>
      </c>
      <c r="CQ65" s="82">
        <v>12264.6198769445</v>
      </c>
      <c r="CR65" s="82">
        <v>11513.42748553</v>
      </c>
      <c r="CS65" s="82">
        <v>11959.722849</v>
      </c>
      <c r="CT65" s="82">
        <v>11929.68642</v>
      </c>
      <c r="CU65" s="82">
        <v>11578.43802</v>
      </c>
      <c r="CV65" s="82">
        <v>12443.43035</v>
      </c>
      <c r="CW65" s="82">
        <v>13318.5339189899</v>
      </c>
      <c r="CX65" s="82">
        <v>12814.301135</v>
      </c>
      <c r="CY65" s="82">
        <v>12336.083199</v>
      </c>
      <c r="CZ65" s="83">
        <v>12681.39025534</v>
      </c>
    </row>
    <row r="66" spans="1:104">
      <c r="A66" s="296" t="s">
        <v>166</v>
      </c>
      <c r="B66" s="293">
        <v>64</v>
      </c>
      <c r="C66" s="87"/>
      <c r="D66" s="88"/>
      <c r="E66" s="88"/>
      <c r="F66" s="88"/>
      <c r="G66" s="88"/>
      <c r="H66" s="88"/>
      <c r="I66" s="88"/>
      <c r="J66" s="88"/>
      <c r="K66" s="88"/>
      <c r="L66" s="88"/>
      <c r="M66" s="88"/>
      <c r="N66" s="88"/>
      <c r="O66" s="88"/>
      <c r="P66" s="88"/>
      <c r="Q66" s="88"/>
      <c r="R66" s="88"/>
      <c r="S66" s="88"/>
      <c r="T66" s="82">
        <v>4259.4757147477</v>
      </c>
      <c r="U66" s="82">
        <v>4903.89725638635</v>
      </c>
      <c r="V66" s="82">
        <v>5464.17200501904</v>
      </c>
      <c r="W66" s="82">
        <v>5448.16743015147</v>
      </c>
      <c r="X66" s="82">
        <v>5754.03418979193</v>
      </c>
      <c r="Y66" s="82">
        <v>6391.18323887231</v>
      </c>
      <c r="Z66" s="82">
        <v>6581.15421910043</v>
      </c>
      <c r="AA66" s="82">
        <v>7711.80923314167</v>
      </c>
      <c r="AB66" s="82">
        <v>8232.87368363729</v>
      </c>
      <c r="AC66" s="82">
        <v>8955.95971076156</v>
      </c>
      <c r="AD66" s="82">
        <v>10684.3167330776</v>
      </c>
      <c r="AE66" s="82">
        <v>11349.5088193227</v>
      </c>
      <c r="AF66" s="82">
        <v>12926.4920297934</v>
      </c>
      <c r="AG66" s="82">
        <v>13308.0495585812</v>
      </c>
      <c r="AH66" s="82">
        <v>15068.5167363241</v>
      </c>
      <c r="AI66" s="82">
        <v>18455.2831036197</v>
      </c>
      <c r="AJ66" s="82">
        <v>20288.1934455209</v>
      </c>
      <c r="AK66" s="82">
        <v>21762.2748703707</v>
      </c>
      <c r="AL66" s="82">
        <v>22597.5984104</v>
      </c>
      <c r="AM66" s="82">
        <v>23032.6414613276</v>
      </c>
      <c r="AN66" s="82">
        <v>23070.20306984</v>
      </c>
      <c r="AO66" s="82">
        <v>24002.7806491574</v>
      </c>
      <c r="AP66" s="82">
        <v>24121.9265933056</v>
      </c>
      <c r="AQ66" s="82">
        <v>32624.24211149</v>
      </c>
      <c r="AR66" s="82">
        <v>32101.4451457589</v>
      </c>
      <c r="AS66" s="82">
        <v>32558.7944888123</v>
      </c>
      <c r="AT66" s="82">
        <v>32050.1210385317</v>
      </c>
      <c r="AU66" s="82">
        <v>34279.5719384989</v>
      </c>
      <c r="AV66" s="82">
        <v>35434.8937671561</v>
      </c>
      <c r="AW66" s="82">
        <v>37754.6388319235</v>
      </c>
      <c r="AX66" s="82">
        <v>38762.1747649397</v>
      </c>
      <c r="AY66" s="82">
        <v>41068.9330444378</v>
      </c>
      <c r="AZ66" s="82">
        <v>42378.6989477196</v>
      </c>
      <c r="BA66" s="82">
        <v>46201.3197362699</v>
      </c>
      <c r="BB66" s="82">
        <v>46627.9410496476</v>
      </c>
      <c r="BC66" s="82">
        <v>47917.2452275206</v>
      </c>
      <c r="BD66" s="82">
        <v>48364.6962182571</v>
      </c>
      <c r="BE66" s="82">
        <v>50821.4020286388</v>
      </c>
      <c r="BF66" s="82">
        <v>46528.8001827391</v>
      </c>
      <c r="BG66" s="82">
        <v>48147.3251154085</v>
      </c>
      <c r="BH66" s="82">
        <v>31470.6022908584</v>
      </c>
      <c r="BI66" s="82">
        <v>31756.537707142</v>
      </c>
      <c r="BJ66" s="82">
        <v>31264.5404002226</v>
      </c>
      <c r="BK66" s="82">
        <v>28605.6083900659</v>
      </c>
      <c r="BL66" s="82">
        <v>28629.4988306418</v>
      </c>
      <c r="BM66" s="82">
        <v>31138.9592587661</v>
      </c>
      <c r="BN66" s="82">
        <v>31122.017552826</v>
      </c>
      <c r="BO66" s="82">
        <v>30558.2834745366</v>
      </c>
      <c r="BP66" s="82">
        <v>31619.0721426471</v>
      </c>
      <c r="BQ66" s="82">
        <v>33550.4487251306</v>
      </c>
      <c r="BR66" s="82">
        <v>34334.4476572824</v>
      </c>
      <c r="BS66" s="82">
        <v>34521.7846340775</v>
      </c>
      <c r="BT66" s="82">
        <v>34181.3072750447</v>
      </c>
      <c r="BU66" s="82">
        <v>33586.1326842974</v>
      </c>
      <c r="BV66" s="82">
        <v>32129.8081005529</v>
      </c>
      <c r="BW66" s="82">
        <v>30665.7747478881</v>
      </c>
      <c r="BX66" s="82">
        <v>31180.1561875436</v>
      </c>
      <c r="BY66" s="82">
        <v>31664.0705285883</v>
      </c>
      <c r="BZ66" s="82">
        <v>32728.7997444742</v>
      </c>
      <c r="CA66" s="82">
        <v>32397.972572706</v>
      </c>
      <c r="CB66" s="82">
        <v>29377.6659576246</v>
      </c>
      <c r="CC66" s="82">
        <v>31215.3457580598</v>
      </c>
      <c r="CD66" s="82">
        <v>32119.0601510485</v>
      </c>
      <c r="CE66" s="82">
        <v>32863.0353704322</v>
      </c>
      <c r="CF66" s="82">
        <v>32137.8407524979</v>
      </c>
      <c r="CG66" s="82">
        <v>32607.9034217568</v>
      </c>
      <c r="CH66" s="82">
        <v>33082.8036035068</v>
      </c>
      <c r="CI66" s="82">
        <v>32997.685338575</v>
      </c>
      <c r="CJ66" s="82">
        <v>30641.58396273</v>
      </c>
      <c r="CK66" s="82">
        <v>31603.5657988843</v>
      </c>
      <c r="CL66" s="82">
        <v>31131.1875972554</v>
      </c>
      <c r="CM66" s="82">
        <v>30378.6856273706</v>
      </c>
      <c r="CN66" s="82">
        <v>30592.6617175234</v>
      </c>
      <c r="CO66" s="82">
        <v>30095.9593994861</v>
      </c>
      <c r="CP66" s="82">
        <v>30246.6311650677</v>
      </c>
      <c r="CQ66" s="82">
        <v>30312.1130565825</v>
      </c>
      <c r="CR66" s="82">
        <v>30452.5447371873</v>
      </c>
      <c r="CS66" s="82">
        <v>30581.9599841581</v>
      </c>
      <c r="CT66" s="82">
        <v>30524.432671007</v>
      </c>
      <c r="CU66" s="82">
        <v>30008.0775813609</v>
      </c>
      <c r="CV66" s="82">
        <v>30799.2319783187</v>
      </c>
      <c r="CW66" s="82">
        <v>31344.244584946</v>
      </c>
      <c r="CX66" s="82">
        <v>33017.0126173598</v>
      </c>
      <c r="CY66" s="82">
        <v>36101.0409157428</v>
      </c>
      <c r="CZ66" s="83">
        <v>36542.6901746283</v>
      </c>
    </row>
    <row r="67" ht="27" customHeight="1" spans="1:104">
      <c r="A67" s="90" t="s">
        <v>195</v>
      </c>
      <c r="B67" s="289" t="s">
        <v>196</v>
      </c>
      <c r="C67" s="77">
        <v>7086.90243</v>
      </c>
      <c r="D67" s="78">
        <v>7500.98928</v>
      </c>
      <c r="E67" s="78">
        <v>7802.14388</v>
      </c>
      <c r="F67" s="78">
        <v>8257.84962</v>
      </c>
      <c r="G67" s="78">
        <v>8879.29369</v>
      </c>
      <c r="H67" s="78">
        <v>9313.11705</v>
      </c>
      <c r="I67" s="78">
        <v>9710.05226</v>
      </c>
      <c r="J67" s="78">
        <v>10198.12017</v>
      </c>
      <c r="K67" s="78">
        <v>10709.6847</v>
      </c>
      <c r="L67" s="78">
        <v>10841.89966</v>
      </c>
      <c r="M67" s="78">
        <v>11362.39858</v>
      </c>
      <c r="N67" s="78">
        <v>11829.03735</v>
      </c>
      <c r="O67" s="78">
        <v>11983.00176</v>
      </c>
      <c r="P67" s="78">
        <v>12690.2021</v>
      </c>
      <c r="Q67" s="78">
        <v>13086.60841</v>
      </c>
      <c r="R67" s="78">
        <v>13602.33442</v>
      </c>
      <c r="S67" s="78">
        <v>16674.97454</v>
      </c>
      <c r="T67" s="78">
        <v>17190.76641</v>
      </c>
      <c r="U67" s="78">
        <v>17141.24042</v>
      </c>
      <c r="V67" s="78">
        <v>18181.58776</v>
      </c>
      <c r="W67" s="78">
        <v>19221.95691</v>
      </c>
      <c r="X67" s="78">
        <v>21081.35558</v>
      </c>
      <c r="Y67" s="78">
        <v>22327.75518</v>
      </c>
      <c r="Z67" s="78">
        <v>24169.67707</v>
      </c>
      <c r="AA67" s="78">
        <v>25513.03159</v>
      </c>
      <c r="AB67" s="78">
        <v>26511.54727</v>
      </c>
      <c r="AC67" s="78">
        <v>26746.35837</v>
      </c>
      <c r="AD67" s="78">
        <v>28639.17628</v>
      </c>
      <c r="AE67" s="78">
        <v>30080.62168</v>
      </c>
      <c r="AF67" s="78">
        <v>31178.9947</v>
      </c>
      <c r="AG67" s="78">
        <v>32845.96259</v>
      </c>
      <c r="AH67" s="78">
        <v>38215.51664</v>
      </c>
      <c r="AI67" s="78">
        <v>40198.75779</v>
      </c>
      <c r="AJ67" s="78">
        <v>41517.28584</v>
      </c>
      <c r="AK67" s="78">
        <v>43118.88154</v>
      </c>
      <c r="AL67" s="78">
        <v>47309.64987</v>
      </c>
      <c r="AM67" s="78">
        <v>49632.02242</v>
      </c>
      <c r="AN67" s="78">
        <v>51168.98058</v>
      </c>
      <c r="AO67" s="78">
        <v>54549.9487</v>
      </c>
      <c r="AP67" s="78">
        <v>56519.01868</v>
      </c>
      <c r="AQ67" s="78">
        <v>52274.74246</v>
      </c>
      <c r="AR67" s="78">
        <v>56585.92285</v>
      </c>
      <c r="AS67" s="78">
        <v>59296.10535</v>
      </c>
      <c r="AT67" s="78">
        <v>62146.41937</v>
      </c>
      <c r="AU67" s="78">
        <v>62576.19731</v>
      </c>
      <c r="AV67" s="78">
        <v>65277.90813</v>
      </c>
      <c r="AW67" s="78">
        <v>66536.08621</v>
      </c>
      <c r="AX67" s="78">
        <v>67614.35015</v>
      </c>
      <c r="AY67" s="78">
        <v>67608.2641413955</v>
      </c>
      <c r="AZ67" s="78">
        <v>70545.5757351137</v>
      </c>
      <c r="BA67" s="78">
        <v>72373.9553387455</v>
      </c>
      <c r="BB67" s="78">
        <v>73557.0345387455</v>
      </c>
      <c r="BC67" s="78">
        <v>74179.4917233655</v>
      </c>
      <c r="BD67" s="78">
        <v>75919.2728814556</v>
      </c>
      <c r="BE67" s="78">
        <v>76001.0095014555</v>
      </c>
      <c r="BF67" s="78">
        <v>80794.15913</v>
      </c>
      <c r="BG67" s="78">
        <v>79134.82949</v>
      </c>
      <c r="BH67" s="78">
        <v>94988.08961</v>
      </c>
      <c r="BI67" s="78">
        <v>96696.49697</v>
      </c>
      <c r="BJ67" s="78">
        <v>96333.64929</v>
      </c>
      <c r="BK67" s="78">
        <v>96263.51017</v>
      </c>
      <c r="BL67" s="78">
        <v>96934.58622</v>
      </c>
      <c r="BM67" s="78">
        <v>99503.70272</v>
      </c>
      <c r="BN67" s="78">
        <v>104320.10083996</v>
      </c>
      <c r="BO67" s="78">
        <v>104688.04256</v>
      </c>
      <c r="BP67" s="78">
        <v>105258.90324</v>
      </c>
      <c r="BQ67" s="78">
        <v>106200.13746</v>
      </c>
      <c r="BR67" s="78">
        <v>106065.706491746</v>
      </c>
      <c r="BS67" s="78">
        <v>104372.68828</v>
      </c>
      <c r="BT67" s="78">
        <v>105581.73052</v>
      </c>
      <c r="BU67" s="78">
        <v>104849.32361</v>
      </c>
      <c r="BV67" s="78">
        <v>104161.64655</v>
      </c>
      <c r="BW67" s="78">
        <v>102592.401223583</v>
      </c>
      <c r="BX67" s="78">
        <v>103542.37161</v>
      </c>
      <c r="BY67" s="78">
        <v>102971.3109</v>
      </c>
      <c r="BZ67" s="78">
        <v>101297.74067</v>
      </c>
      <c r="CA67" s="78">
        <v>100376.84289</v>
      </c>
      <c r="CB67" s="78">
        <v>101034.47364</v>
      </c>
      <c r="CC67" s="78">
        <v>103119.5724</v>
      </c>
      <c r="CD67" s="78">
        <v>102851.38612109</v>
      </c>
      <c r="CE67" s="78">
        <v>102540.20844</v>
      </c>
      <c r="CF67" s="78">
        <v>101256.50847</v>
      </c>
      <c r="CG67" s="78">
        <v>100449.03223</v>
      </c>
      <c r="CH67" s="78">
        <v>98130.26863</v>
      </c>
      <c r="CI67" s="78">
        <v>96228.76792</v>
      </c>
      <c r="CJ67" s="78">
        <v>94454.937782</v>
      </c>
      <c r="CK67" s="78">
        <v>94387.506935</v>
      </c>
      <c r="CL67" s="78">
        <v>94354.967296</v>
      </c>
      <c r="CM67" s="78">
        <v>93679.757332</v>
      </c>
      <c r="CN67" s="78">
        <v>93856.738462</v>
      </c>
      <c r="CO67" s="78">
        <v>94120.142871</v>
      </c>
      <c r="CP67" s="78">
        <v>93465.9053395533</v>
      </c>
      <c r="CQ67" s="78">
        <v>93003.7661877</v>
      </c>
      <c r="CR67" s="78">
        <v>92928.7235555446</v>
      </c>
      <c r="CS67" s="78">
        <v>93712.19870866</v>
      </c>
      <c r="CT67" s="78">
        <v>92076.26722697</v>
      </c>
      <c r="CU67" s="78">
        <v>91140.92375293</v>
      </c>
      <c r="CV67" s="78">
        <v>92518.09020893</v>
      </c>
      <c r="CW67" s="78">
        <v>92080.77684893</v>
      </c>
      <c r="CX67" s="78">
        <v>88707.79386893</v>
      </c>
      <c r="CY67" s="78">
        <v>89897.3759347462</v>
      </c>
      <c r="CZ67" s="79">
        <v>87378.37654</v>
      </c>
    </row>
    <row r="68" ht="29" spans="1:104">
      <c r="A68" s="91" t="s">
        <v>197</v>
      </c>
      <c r="B68" s="293">
        <v>66</v>
      </c>
      <c r="C68" s="81">
        <v>7086.90243</v>
      </c>
      <c r="D68" s="82">
        <v>7450.65728</v>
      </c>
      <c r="E68" s="82">
        <v>7749.89488</v>
      </c>
      <c r="F68" s="82">
        <v>8207.44662</v>
      </c>
      <c r="G68" s="82">
        <v>8826.98469</v>
      </c>
      <c r="H68" s="82">
        <v>9262.66105</v>
      </c>
      <c r="I68" s="82">
        <v>9657.70026</v>
      </c>
      <c r="J68" s="82">
        <v>10147.60617</v>
      </c>
      <c r="K68" s="82">
        <v>10657.2387</v>
      </c>
      <c r="L68" s="82">
        <v>10791.33876</v>
      </c>
      <c r="M68" s="82">
        <v>11184.91268</v>
      </c>
      <c r="N68" s="82">
        <v>11653.49165</v>
      </c>
      <c r="O68" s="82">
        <v>11805.59156</v>
      </c>
      <c r="P68" s="82">
        <v>12514.6181</v>
      </c>
      <c r="Q68" s="82">
        <v>12905.93146</v>
      </c>
      <c r="R68" s="82">
        <v>13329.27787</v>
      </c>
      <c r="S68" s="82">
        <v>14973.26944</v>
      </c>
      <c r="T68" s="82">
        <v>15475.97851</v>
      </c>
      <c r="U68" s="82">
        <v>15445.03332</v>
      </c>
      <c r="V68" s="82">
        <v>16170.609</v>
      </c>
      <c r="W68" s="82">
        <v>17174.95574</v>
      </c>
      <c r="X68" s="82">
        <v>18989.42771</v>
      </c>
      <c r="Y68" s="82">
        <v>19851.33227</v>
      </c>
      <c r="Z68" s="82">
        <v>20852.88328</v>
      </c>
      <c r="AA68" s="82">
        <v>22229.50011</v>
      </c>
      <c r="AB68" s="82">
        <v>23194.41009</v>
      </c>
      <c r="AC68" s="82">
        <v>24271.7547</v>
      </c>
      <c r="AD68" s="82">
        <v>26142.27732</v>
      </c>
      <c r="AE68" s="82">
        <v>27621.86841</v>
      </c>
      <c r="AF68" s="82">
        <v>28751.26204</v>
      </c>
      <c r="AG68" s="82">
        <v>30244.0944</v>
      </c>
      <c r="AH68" s="82">
        <v>32535.56445</v>
      </c>
      <c r="AI68" s="82">
        <v>34861.11681</v>
      </c>
      <c r="AJ68" s="82">
        <v>36175.39263</v>
      </c>
      <c r="AK68" s="82">
        <v>37960.0143</v>
      </c>
      <c r="AL68" s="82">
        <v>40531.38613</v>
      </c>
      <c r="AM68" s="82">
        <v>42988.3784</v>
      </c>
      <c r="AN68" s="82">
        <v>44498.07437</v>
      </c>
      <c r="AO68" s="82">
        <v>46462.95823</v>
      </c>
      <c r="AP68" s="82">
        <v>48378.52021</v>
      </c>
      <c r="AQ68" s="82">
        <v>49721.7726</v>
      </c>
      <c r="AR68" s="82">
        <v>53155.13855</v>
      </c>
      <c r="AS68" s="82">
        <v>56441.39611</v>
      </c>
      <c r="AT68" s="82">
        <v>58299.46926</v>
      </c>
      <c r="AU68" s="82">
        <v>59589.39396</v>
      </c>
      <c r="AV68" s="82">
        <v>62297.37515</v>
      </c>
      <c r="AW68" s="82">
        <v>63411.83246</v>
      </c>
      <c r="AX68" s="82">
        <v>63904.21039</v>
      </c>
      <c r="AY68" s="82">
        <v>63632.5756213955</v>
      </c>
      <c r="AZ68" s="82">
        <v>66712.7734763955</v>
      </c>
      <c r="BA68" s="82">
        <v>68157.9368487455</v>
      </c>
      <c r="BB68" s="82">
        <v>69431.7856787456</v>
      </c>
      <c r="BC68" s="82">
        <v>69896.5421233655</v>
      </c>
      <c r="BD68" s="82">
        <v>71644.3952314555</v>
      </c>
      <c r="BE68" s="82">
        <v>72688.4463614555</v>
      </c>
      <c r="BF68" s="82">
        <v>73431.65292</v>
      </c>
      <c r="BG68" s="82">
        <v>72220.20553</v>
      </c>
      <c r="BH68" s="82">
        <v>73229.03002</v>
      </c>
      <c r="BI68" s="82">
        <v>74552.91269</v>
      </c>
      <c r="BJ68" s="82">
        <v>75396.223</v>
      </c>
      <c r="BK68" s="82">
        <v>75992.36825</v>
      </c>
      <c r="BL68" s="82">
        <v>77015.42081</v>
      </c>
      <c r="BM68" s="82">
        <v>76884.44355</v>
      </c>
      <c r="BN68" s="82">
        <v>77802.27179</v>
      </c>
      <c r="BO68" s="82">
        <v>78026.66464</v>
      </c>
      <c r="BP68" s="82">
        <v>79034.06316</v>
      </c>
      <c r="BQ68" s="82">
        <v>80260.83637</v>
      </c>
      <c r="BR68" s="82">
        <v>81568.64262</v>
      </c>
      <c r="BS68" s="82">
        <v>80428.16892</v>
      </c>
      <c r="BT68" s="82">
        <v>81493.46789</v>
      </c>
      <c r="BU68" s="82">
        <v>81373.9931</v>
      </c>
      <c r="BV68" s="82">
        <v>81668.21379</v>
      </c>
      <c r="BW68" s="82">
        <v>81391.23471</v>
      </c>
      <c r="BX68" s="82">
        <v>82596.36185</v>
      </c>
      <c r="BY68" s="82">
        <v>83525.80106</v>
      </c>
      <c r="BZ68" s="82">
        <v>83154.02709</v>
      </c>
      <c r="CA68" s="82">
        <v>82230.49702</v>
      </c>
      <c r="CB68" s="82">
        <v>82204.19065</v>
      </c>
      <c r="CC68" s="82">
        <v>83082.65899</v>
      </c>
      <c r="CD68" s="82">
        <v>82671.63380109</v>
      </c>
      <c r="CE68" s="82">
        <v>82432.91483</v>
      </c>
      <c r="CF68" s="82">
        <v>82120.77275</v>
      </c>
      <c r="CG68" s="82">
        <v>81713.04693</v>
      </c>
      <c r="CH68" s="82">
        <v>80866.93734</v>
      </c>
      <c r="CI68" s="82">
        <v>79283.93285</v>
      </c>
      <c r="CJ68" s="82">
        <v>77986.63851</v>
      </c>
      <c r="CK68" s="82">
        <v>77978.84028</v>
      </c>
      <c r="CL68" s="82">
        <v>78328.88575</v>
      </c>
      <c r="CM68" s="82">
        <v>78093.52237</v>
      </c>
      <c r="CN68" s="82">
        <v>78874.57249</v>
      </c>
      <c r="CO68" s="82">
        <v>79385.537621</v>
      </c>
      <c r="CP68" s="82">
        <v>79037.05832</v>
      </c>
      <c r="CQ68" s="82">
        <v>78463.3189977</v>
      </c>
      <c r="CR68" s="82">
        <v>78594.4664055446</v>
      </c>
      <c r="CS68" s="82">
        <v>78995.96648866</v>
      </c>
      <c r="CT68" s="82">
        <v>77943.19534697</v>
      </c>
      <c r="CU68" s="82">
        <v>76986.60047893</v>
      </c>
      <c r="CV68" s="82">
        <v>78712.61486893</v>
      </c>
      <c r="CW68" s="82">
        <v>77992.46589893</v>
      </c>
      <c r="CX68" s="82">
        <v>76958.58131893</v>
      </c>
      <c r="CY68" s="82">
        <v>76971.28317</v>
      </c>
      <c r="CZ68" s="83">
        <v>77586.09367</v>
      </c>
    </row>
    <row r="69" ht="39.75" customHeight="1" spans="1:104">
      <c r="A69" s="91" t="s">
        <v>198</v>
      </c>
      <c r="B69" s="293">
        <v>67</v>
      </c>
      <c r="C69" s="81">
        <v>0</v>
      </c>
      <c r="D69" s="82">
        <v>50.332</v>
      </c>
      <c r="E69" s="82">
        <v>52.249</v>
      </c>
      <c r="F69" s="82">
        <v>50.403</v>
      </c>
      <c r="G69" s="82">
        <v>52.309</v>
      </c>
      <c r="H69" s="82">
        <v>50.456</v>
      </c>
      <c r="I69" s="82">
        <v>52.352</v>
      </c>
      <c r="J69" s="82">
        <v>50.514</v>
      </c>
      <c r="K69" s="82">
        <v>52.446</v>
      </c>
      <c r="L69" s="82">
        <v>50.5609</v>
      </c>
      <c r="M69" s="82">
        <v>177.4859</v>
      </c>
      <c r="N69" s="82">
        <v>175.5457</v>
      </c>
      <c r="O69" s="82">
        <v>177.4102</v>
      </c>
      <c r="P69" s="82">
        <v>175.584</v>
      </c>
      <c r="Q69" s="82">
        <v>180.67695</v>
      </c>
      <c r="R69" s="82">
        <v>273.05655</v>
      </c>
      <c r="S69" s="82">
        <v>1701.7051</v>
      </c>
      <c r="T69" s="82">
        <v>1714.7879</v>
      </c>
      <c r="U69" s="82">
        <v>1696.2071</v>
      </c>
      <c r="V69" s="82">
        <v>2010.97876</v>
      </c>
      <c r="W69" s="82">
        <v>2047.00117</v>
      </c>
      <c r="X69" s="82">
        <v>2091.92787</v>
      </c>
      <c r="Y69" s="82">
        <v>2476.42291</v>
      </c>
      <c r="Z69" s="82">
        <v>3316.79379</v>
      </c>
      <c r="AA69" s="82">
        <v>3283.53148</v>
      </c>
      <c r="AB69" s="82">
        <v>3317.13718</v>
      </c>
      <c r="AC69" s="82">
        <v>2474.60367</v>
      </c>
      <c r="AD69" s="82">
        <v>2496.89896</v>
      </c>
      <c r="AE69" s="82">
        <v>2458.75327</v>
      </c>
      <c r="AF69" s="82">
        <v>2427.73266</v>
      </c>
      <c r="AG69" s="82">
        <v>2601.86819</v>
      </c>
      <c r="AH69" s="82">
        <v>5679.95219</v>
      </c>
      <c r="AI69" s="82">
        <v>5337.64098</v>
      </c>
      <c r="AJ69" s="82">
        <v>5341.89321</v>
      </c>
      <c r="AK69" s="82">
        <v>5158.86724</v>
      </c>
      <c r="AL69" s="82">
        <v>6778.26374</v>
      </c>
      <c r="AM69" s="82">
        <v>6643.64402</v>
      </c>
      <c r="AN69" s="82">
        <v>6670.90621</v>
      </c>
      <c r="AO69" s="82">
        <v>8086.99047</v>
      </c>
      <c r="AP69" s="82">
        <v>8140.49847</v>
      </c>
      <c r="AQ69" s="82">
        <v>2552.96986</v>
      </c>
      <c r="AR69" s="82">
        <v>2060.30869</v>
      </c>
      <c r="AS69" s="82">
        <v>1741.98289</v>
      </c>
      <c r="AT69" s="82">
        <v>2722.76819</v>
      </c>
      <c r="AU69" s="82">
        <v>2597.76769</v>
      </c>
      <c r="AV69" s="82">
        <v>2604.21682</v>
      </c>
      <c r="AW69" s="82">
        <v>2742.63469</v>
      </c>
      <c r="AX69" s="82">
        <v>3328.1153</v>
      </c>
      <c r="AY69" s="82">
        <v>3429.18649</v>
      </c>
      <c r="AZ69" s="82">
        <v>3443.69129</v>
      </c>
      <c r="BA69" s="82">
        <v>3547.41623</v>
      </c>
      <c r="BB69" s="82">
        <v>3230.66711</v>
      </c>
      <c r="BC69" s="82">
        <v>3392.20692</v>
      </c>
      <c r="BD69" s="82">
        <v>3376.75363</v>
      </c>
      <c r="BE69" s="82">
        <v>2265.11179</v>
      </c>
      <c r="BF69" s="82">
        <v>2074.8155</v>
      </c>
      <c r="BG69" s="82">
        <v>1536.3951</v>
      </c>
      <c r="BH69" s="82">
        <v>1425.98102</v>
      </c>
      <c r="BI69" s="82">
        <v>1448.17315</v>
      </c>
      <c r="BJ69" s="82">
        <v>1139.52942</v>
      </c>
      <c r="BK69" s="82">
        <v>932.65412</v>
      </c>
      <c r="BL69" s="82">
        <v>738.38237</v>
      </c>
      <c r="BM69" s="82">
        <v>2959.01908</v>
      </c>
      <c r="BN69" s="82">
        <v>7029.77734</v>
      </c>
      <c r="BO69" s="82">
        <v>7063.86508</v>
      </c>
      <c r="BP69" s="82">
        <v>7134.30571</v>
      </c>
      <c r="BQ69" s="82">
        <v>6830.81899</v>
      </c>
      <c r="BR69" s="82">
        <v>6555.30554</v>
      </c>
      <c r="BS69" s="82">
        <v>6687.7281</v>
      </c>
      <c r="BT69" s="82">
        <v>7084.60505</v>
      </c>
      <c r="BU69" s="82">
        <v>7130.71049</v>
      </c>
      <c r="BV69" s="82">
        <v>6742.61616</v>
      </c>
      <c r="BW69" s="82">
        <v>6571.89419</v>
      </c>
      <c r="BX69" s="82">
        <v>6852.84594</v>
      </c>
      <c r="BY69" s="82">
        <v>6766.13021</v>
      </c>
      <c r="BZ69" s="82">
        <v>6796.21137</v>
      </c>
      <c r="CA69" s="82">
        <v>6961.74952</v>
      </c>
      <c r="CB69" s="82">
        <v>7710.78289</v>
      </c>
      <c r="CC69" s="82">
        <v>9167.45612</v>
      </c>
      <c r="CD69" s="82">
        <v>9915.61214</v>
      </c>
      <c r="CE69" s="82">
        <v>10014.55777</v>
      </c>
      <c r="CF69" s="82">
        <v>9870.62964</v>
      </c>
      <c r="CG69" s="82">
        <v>9994.27481</v>
      </c>
      <c r="CH69" s="82">
        <v>9241.69657</v>
      </c>
      <c r="CI69" s="82">
        <v>9275.0195</v>
      </c>
      <c r="CJ69" s="82">
        <v>9255.82248</v>
      </c>
      <c r="CK69" s="82">
        <v>9789.05474</v>
      </c>
      <c r="CL69" s="82">
        <v>9706.38087</v>
      </c>
      <c r="CM69" s="82">
        <v>9881.61241</v>
      </c>
      <c r="CN69" s="82">
        <v>10041.74435</v>
      </c>
      <c r="CO69" s="82">
        <v>10135.69316</v>
      </c>
      <c r="CP69" s="82">
        <v>10038.74153</v>
      </c>
      <c r="CQ69" s="82">
        <v>10195.54545</v>
      </c>
      <c r="CR69" s="82">
        <v>10172.1418</v>
      </c>
      <c r="CS69" s="82">
        <v>10317.58614</v>
      </c>
      <c r="CT69" s="82">
        <v>10166.19684</v>
      </c>
      <c r="CU69" s="82">
        <v>10297.80895</v>
      </c>
      <c r="CV69" s="82">
        <v>10193.95842</v>
      </c>
      <c r="CW69" s="82">
        <v>10327.97167</v>
      </c>
      <c r="CX69" s="82">
        <v>8175.24725</v>
      </c>
      <c r="CY69" s="82">
        <v>8313.66299</v>
      </c>
      <c r="CZ69" s="83">
        <v>6815.34879</v>
      </c>
    </row>
    <row r="70" ht="15" spans="1:104">
      <c r="A70" s="91" t="s">
        <v>199</v>
      </c>
      <c r="B70" s="293">
        <v>68</v>
      </c>
      <c r="C70" s="87"/>
      <c r="D70" s="88"/>
      <c r="E70" s="88"/>
      <c r="F70" s="88"/>
      <c r="G70" s="88"/>
      <c r="H70" s="88"/>
      <c r="I70" s="88"/>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2">
        <v>1370.47561</v>
      </c>
      <c r="AS70" s="82">
        <v>1112.72635</v>
      </c>
      <c r="AT70" s="82">
        <v>1124.18192</v>
      </c>
      <c r="AU70" s="82">
        <v>389.03566</v>
      </c>
      <c r="AV70" s="82">
        <v>376.31616</v>
      </c>
      <c r="AW70" s="82">
        <v>381.61906</v>
      </c>
      <c r="AX70" s="82">
        <v>382.02446</v>
      </c>
      <c r="AY70" s="82">
        <v>546.50203</v>
      </c>
      <c r="AZ70" s="82">
        <v>389.110968718152</v>
      </c>
      <c r="BA70" s="82">
        <v>668.60226</v>
      </c>
      <c r="BB70" s="82">
        <v>894.58175</v>
      </c>
      <c r="BC70" s="82">
        <v>890.74268</v>
      </c>
      <c r="BD70" s="82">
        <v>898.12402</v>
      </c>
      <c r="BE70" s="82">
        <v>1047.45135</v>
      </c>
      <c r="BF70" s="82">
        <v>5287.69071</v>
      </c>
      <c r="BG70" s="82">
        <v>5378.22886</v>
      </c>
      <c r="BH70" s="82">
        <v>20333.07857</v>
      </c>
      <c r="BI70" s="82">
        <v>20695.41113</v>
      </c>
      <c r="BJ70" s="82">
        <v>19797.89687</v>
      </c>
      <c r="BK70" s="82">
        <v>19338.4878</v>
      </c>
      <c r="BL70" s="82">
        <v>19180.78304</v>
      </c>
      <c r="BM70" s="82">
        <v>19660.24009</v>
      </c>
      <c r="BN70" s="82">
        <v>19488.05170996</v>
      </c>
      <c r="BO70" s="82">
        <v>19597.51284</v>
      </c>
      <c r="BP70" s="82">
        <v>19090.53437</v>
      </c>
      <c r="BQ70" s="82">
        <v>19108.4821</v>
      </c>
      <c r="BR70" s="82">
        <v>17941.7583317465</v>
      </c>
      <c r="BS70" s="82">
        <v>17256.79126</v>
      </c>
      <c r="BT70" s="82">
        <v>17003.65758</v>
      </c>
      <c r="BU70" s="82">
        <v>16344.62002</v>
      </c>
      <c r="BV70" s="82">
        <v>15750.8166</v>
      </c>
      <c r="BW70" s="82">
        <v>14629.2723235833</v>
      </c>
      <c r="BX70" s="82">
        <v>14093.16382</v>
      </c>
      <c r="BY70" s="82">
        <v>12679.37963</v>
      </c>
      <c r="BZ70" s="82">
        <v>11347.50221</v>
      </c>
      <c r="CA70" s="82">
        <v>11184.59635</v>
      </c>
      <c r="CB70" s="82">
        <v>11119.5001</v>
      </c>
      <c r="CC70" s="82">
        <v>10869.45729</v>
      </c>
      <c r="CD70" s="82">
        <v>10264.14018</v>
      </c>
      <c r="CE70" s="82">
        <v>10092.73584</v>
      </c>
      <c r="CF70" s="82">
        <v>9265.10608</v>
      </c>
      <c r="CG70" s="82">
        <v>8741.71049</v>
      </c>
      <c r="CH70" s="82">
        <v>8021.63472</v>
      </c>
      <c r="CI70" s="82">
        <v>7669.81557</v>
      </c>
      <c r="CJ70" s="82">
        <v>7212.476792</v>
      </c>
      <c r="CK70" s="82">
        <v>6619.611915</v>
      </c>
      <c r="CL70" s="82">
        <v>6319.700676</v>
      </c>
      <c r="CM70" s="82">
        <v>5704.622552</v>
      </c>
      <c r="CN70" s="82">
        <v>4940.421622</v>
      </c>
      <c r="CO70" s="82">
        <v>4598.91209</v>
      </c>
      <c r="CP70" s="82">
        <v>4390.10548955328</v>
      </c>
      <c r="CQ70" s="82">
        <v>4344.90174</v>
      </c>
      <c r="CR70" s="82">
        <v>4162.11535</v>
      </c>
      <c r="CS70" s="82">
        <v>4398.64608</v>
      </c>
      <c r="CT70" s="82">
        <v>3966.87504</v>
      </c>
      <c r="CU70" s="82">
        <v>3856.514324</v>
      </c>
      <c r="CV70" s="82">
        <v>3611.51692</v>
      </c>
      <c r="CW70" s="82">
        <v>3760.33928</v>
      </c>
      <c r="CX70" s="82">
        <v>3573.9653</v>
      </c>
      <c r="CY70" s="82">
        <v>4612.42977474616</v>
      </c>
      <c r="CZ70" s="83">
        <v>2976.93408</v>
      </c>
    </row>
    <row r="71" ht="15" spans="1:104">
      <c r="A71" s="110" t="s">
        <v>200</v>
      </c>
      <c r="B71" s="298"/>
      <c r="C71" s="299"/>
      <c r="D71" s="300"/>
      <c r="E71" s="300"/>
      <c r="F71" s="300"/>
      <c r="G71" s="300"/>
      <c r="H71" s="300"/>
      <c r="I71" s="300"/>
      <c r="J71" s="300"/>
      <c r="K71" s="300"/>
      <c r="L71" s="300"/>
      <c r="M71" s="300"/>
      <c r="N71" s="300"/>
      <c r="O71" s="300"/>
      <c r="P71" s="300"/>
      <c r="Q71" s="300"/>
      <c r="R71" s="300"/>
      <c r="S71" s="300"/>
      <c r="T71" s="300"/>
      <c r="U71" s="300"/>
      <c r="V71" s="300"/>
      <c r="W71" s="300"/>
      <c r="X71" s="300"/>
      <c r="Y71" s="300"/>
      <c r="Z71" s="300"/>
      <c r="AA71" s="300"/>
      <c r="AB71" s="300"/>
      <c r="AC71" s="300"/>
      <c r="AD71" s="300"/>
      <c r="AE71" s="300"/>
      <c r="AF71" s="300"/>
      <c r="AG71" s="300"/>
      <c r="AH71" s="300"/>
      <c r="AI71" s="300"/>
      <c r="AJ71" s="300"/>
      <c r="AK71" s="300"/>
      <c r="AL71" s="300"/>
      <c r="AM71" s="300"/>
      <c r="AN71" s="300"/>
      <c r="AO71" s="300"/>
      <c r="AP71" s="300"/>
      <c r="AQ71" s="300"/>
      <c r="AR71" s="300"/>
      <c r="AS71" s="300"/>
      <c r="AT71" s="300"/>
      <c r="AU71" s="300"/>
      <c r="AV71" s="300"/>
      <c r="AW71" s="300"/>
      <c r="AX71" s="300"/>
      <c r="AY71" s="300"/>
      <c r="AZ71" s="300"/>
      <c r="BA71" s="300"/>
      <c r="BB71" s="300"/>
      <c r="BC71" s="300"/>
      <c r="BD71" s="300"/>
      <c r="BE71" s="300"/>
      <c r="BF71" s="300"/>
      <c r="BG71" s="300"/>
      <c r="BH71" s="300"/>
      <c r="BI71" s="300"/>
      <c r="BJ71" s="300"/>
      <c r="BK71" s="300"/>
      <c r="BL71" s="300"/>
      <c r="BM71" s="300"/>
      <c r="BN71" s="300"/>
      <c r="BO71" s="300"/>
      <c r="BP71" s="300"/>
      <c r="BQ71" s="300"/>
      <c r="BR71" s="300"/>
      <c r="BS71" s="300"/>
      <c r="BT71" s="300"/>
      <c r="BU71" s="300"/>
      <c r="BV71" s="300"/>
      <c r="BW71" s="300"/>
      <c r="BX71" s="300"/>
      <c r="BY71" s="300"/>
      <c r="BZ71" s="300"/>
      <c r="CA71" s="300"/>
      <c r="CB71" s="300"/>
      <c r="CC71" s="300"/>
      <c r="CD71" s="300"/>
      <c r="CE71" s="300"/>
      <c r="CF71" s="301"/>
      <c r="CG71" s="301"/>
      <c r="CH71" s="302"/>
      <c r="CI71" s="302"/>
      <c r="CJ71" s="302"/>
      <c r="CK71" s="302"/>
      <c r="CL71" s="302"/>
      <c r="CM71" s="302"/>
      <c r="CN71" s="302"/>
      <c r="CO71" s="302"/>
      <c r="CP71" s="302"/>
      <c r="CQ71" s="302"/>
      <c r="CR71" s="302"/>
      <c r="CS71" s="302"/>
      <c r="CT71" s="302"/>
      <c r="CU71" s="302"/>
      <c r="CV71" s="302"/>
      <c r="CW71" s="302"/>
      <c r="CX71" s="302"/>
      <c r="CY71" s="302"/>
      <c r="CZ71" s="303"/>
    </row>
    <row r="72" ht="20.25" customHeight="1" spans="1:104">
      <c r="A72" s="90" t="s">
        <v>201</v>
      </c>
      <c r="B72" s="304">
        <v>69</v>
      </c>
      <c r="C72" s="77">
        <v>644.255</v>
      </c>
      <c r="D72" s="78">
        <v>639.505</v>
      </c>
      <c r="E72" s="78">
        <v>603.451</v>
      </c>
      <c r="F72" s="78">
        <v>580.557</v>
      </c>
      <c r="G72" s="78">
        <v>537.769</v>
      </c>
      <c r="H72" s="78">
        <v>610.692</v>
      </c>
      <c r="I72" s="78">
        <v>538.184</v>
      </c>
      <c r="J72" s="78">
        <v>541.381</v>
      </c>
      <c r="K72" s="78">
        <v>536.938</v>
      </c>
      <c r="L72" s="78">
        <v>535.483</v>
      </c>
      <c r="M72" s="78">
        <v>543.756</v>
      </c>
      <c r="N72" s="78">
        <v>575.598</v>
      </c>
      <c r="O72" s="78">
        <v>549.409</v>
      </c>
      <c r="P72" s="78">
        <v>549.441</v>
      </c>
      <c r="Q72" s="78">
        <v>565.052</v>
      </c>
      <c r="R72" s="78">
        <v>610.478</v>
      </c>
      <c r="S72" s="78">
        <v>633.278</v>
      </c>
      <c r="T72" s="78">
        <v>634.994</v>
      </c>
      <c r="U72" s="78">
        <v>626.07231453</v>
      </c>
      <c r="V72" s="78">
        <v>654.38599809</v>
      </c>
      <c r="W72" s="78">
        <v>592.5446427</v>
      </c>
      <c r="X72" s="78">
        <v>603.596</v>
      </c>
      <c r="Y72" s="78">
        <v>595.053</v>
      </c>
      <c r="Z72" s="78">
        <v>598.983</v>
      </c>
      <c r="AA72" s="78">
        <v>552.643</v>
      </c>
      <c r="AB72" s="78">
        <v>565.162</v>
      </c>
      <c r="AC72" s="78">
        <v>531.604</v>
      </c>
      <c r="AD72" s="78">
        <v>520.851</v>
      </c>
      <c r="AE72" s="78">
        <v>500.558</v>
      </c>
      <c r="AF72" s="78">
        <v>524.303</v>
      </c>
      <c r="AG72" s="78">
        <v>481.476</v>
      </c>
      <c r="AH72" s="78">
        <v>482.898</v>
      </c>
      <c r="AI72" s="78">
        <v>513.011</v>
      </c>
      <c r="AJ72" s="78">
        <v>505.382</v>
      </c>
      <c r="AK72" s="78">
        <v>494.688</v>
      </c>
      <c r="AL72" s="78">
        <v>515.61</v>
      </c>
      <c r="AM72" s="78">
        <v>486.244</v>
      </c>
      <c r="AN72" s="78">
        <v>491.516</v>
      </c>
      <c r="AO72" s="78">
        <v>322.098</v>
      </c>
      <c r="AP72" s="78">
        <v>321.422</v>
      </c>
      <c r="AQ72" s="78">
        <v>310.478</v>
      </c>
      <c r="AR72" s="78">
        <v>307.703</v>
      </c>
      <c r="AS72" s="78">
        <v>306.25</v>
      </c>
      <c r="AT72" s="78">
        <v>300.697804</v>
      </c>
      <c r="AU72" s="78">
        <v>441.997</v>
      </c>
      <c r="AV72" s="78">
        <v>446.723</v>
      </c>
      <c r="AW72" s="78">
        <v>466.434</v>
      </c>
      <c r="AX72" s="78">
        <v>469.642</v>
      </c>
      <c r="AY72" s="78">
        <v>470.56228225</v>
      </c>
      <c r="AZ72" s="78">
        <v>471.701</v>
      </c>
      <c r="BA72" s="78">
        <v>469.006</v>
      </c>
      <c r="BB72" s="78">
        <v>482.53142</v>
      </c>
      <c r="BC72" s="78">
        <v>495.15337</v>
      </c>
      <c r="BD72" s="78">
        <v>443.00593</v>
      </c>
      <c r="BE72" s="78">
        <v>432.241568</v>
      </c>
      <c r="BF72" s="78">
        <v>428.178</v>
      </c>
      <c r="BG72" s="78">
        <v>416.327</v>
      </c>
      <c r="BH72" s="78">
        <v>529.974</v>
      </c>
      <c r="BI72" s="78">
        <v>518.607</v>
      </c>
      <c r="BJ72" s="78">
        <v>475.718</v>
      </c>
      <c r="BK72" s="78">
        <v>665.695</v>
      </c>
      <c r="BL72" s="78">
        <v>663.301</v>
      </c>
      <c r="BM72" s="78">
        <v>651.808</v>
      </c>
      <c r="BN72" s="78">
        <v>581.369</v>
      </c>
      <c r="BO72" s="78">
        <v>828.339</v>
      </c>
      <c r="BP72" s="78">
        <v>823.512</v>
      </c>
      <c r="BQ72" s="78">
        <v>716.032</v>
      </c>
      <c r="BR72" s="78">
        <v>942.301</v>
      </c>
      <c r="BS72" s="78">
        <v>1314.137</v>
      </c>
      <c r="BT72" s="78">
        <v>1319.72</v>
      </c>
      <c r="BU72" s="78">
        <v>1506.993</v>
      </c>
      <c r="BV72" s="78">
        <v>1548.293</v>
      </c>
      <c r="BW72" s="78">
        <v>1590.173</v>
      </c>
      <c r="BX72" s="78">
        <v>1591.288</v>
      </c>
      <c r="BY72" s="78">
        <v>1745.954</v>
      </c>
      <c r="BZ72" s="78">
        <v>1417.947</v>
      </c>
      <c r="CA72" s="78">
        <v>1564.101</v>
      </c>
      <c r="CB72" s="78">
        <v>1537.684</v>
      </c>
      <c r="CC72" s="78">
        <v>1598.84</v>
      </c>
      <c r="CD72" s="78">
        <v>1656.123</v>
      </c>
      <c r="CE72" s="78">
        <v>1636.032</v>
      </c>
      <c r="CF72" s="305">
        <v>1679.382</v>
      </c>
      <c r="CG72" s="305">
        <v>1737.289</v>
      </c>
      <c r="CH72" s="305">
        <v>1897.687</v>
      </c>
      <c r="CI72" s="305">
        <v>2260.34064</v>
      </c>
      <c r="CJ72" s="305">
        <v>2254.786</v>
      </c>
      <c r="CK72" s="305">
        <v>2512.16</v>
      </c>
      <c r="CL72" s="305">
        <v>2403.851</v>
      </c>
      <c r="CM72" s="305">
        <v>2365.699</v>
      </c>
      <c r="CN72" s="305">
        <v>2414.534</v>
      </c>
      <c r="CO72" s="305">
        <v>2488.337</v>
      </c>
      <c r="CP72" s="305">
        <v>2444.3745007482</v>
      </c>
      <c r="CQ72" s="305">
        <v>2772.82959</v>
      </c>
      <c r="CR72" s="305">
        <v>2786.00463</v>
      </c>
      <c r="CS72" s="305">
        <v>2916.52206</v>
      </c>
      <c r="CT72" s="305">
        <v>2917.3364</v>
      </c>
      <c r="CU72" s="305">
        <v>2973.9116</v>
      </c>
      <c r="CV72" s="305">
        <v>3115.21111</v>
      </c>
      <c r="CW72" s="305">
        <v>3194.28263</v>
      </c>
      <c r="CX72" s="305">
        <v>3185.64963</v>
      </c>
      <c r="CY72" s="305">
        <v>3283.51048</v>
      </c>
      <c r="CZ72" s="306">
        <v>3260.25522</v>
      </c>
    </row>
    <row r="73" ht="15" spans="1:104">
      <c r="A73" s="90" t="s">
        <v>202</v>
      </c>
      <c r="B73" s="304" t="s">
        <v>203</v>
      </c>
      <c r="C73" s="307"/>
      <c r="D73" s="305"/>
      <c r="E73" s="305"/>
      <c r="F73" s="305"/>
      <c r="G73" s="305"/>
      <c r="H73" s="305"/>
      <c r="I73" s="305"/>
      <c r="J73" s="305"/>
      <c r="K73" s="305"/>
      <c r="L73" s="305"/>
      <c r="M73" s="305"/>
      <c r="N73" s="305"/>
      <c r="O73" s="305"/>
      <c r="P73" s="305"/>
      <c r="Q73" s="305"/>
      <c r="R73" s="305"/>
      <c r="S73" s="305"/>
      <c r="T73" s="305"/>
      <c r="U73" s="305"/>
      <c r="V73" s="305"/>
      <c r="W73" s="305"/>
      <c r="X73" s="305">
        <v>2184.47710254467</v>
      </c>
      <c r="Y73" s="305">
        <v>2398.42932609641</v>
      </c>
      <c r="Z73" s="305">
        <v>2431.98392372821</v>
      </c>
      <c r="AA73" s="305">
        <v>3568.98951307983</v>
      </c>
      <c r="AB73" s="305">
        <v>4636.52752611287</v>
      </c>
      <c r="AC73" s="305">
        <v>6579.96571451981</v>
      </c>
      <c r="AD73" s="305">
        <v>4429.30802780352</v>
      </c>
      <c r="AE73" s="305">
        <v>3389.32271189058</v>
      </c>
      <c r="AF73" s="305">
        <v>3306.09289254225</v>
      </c>
      <c r="AG73" s="305">
        <v>3120.01450119031</v>
      </c>
      <c r="AH73" s="305">
        <v>3295.08384161531</v>
      </c>
      <c r="AI73" s="305">
        <v>2871.41589285708</v>
      </c>
      <c r="AJ73" s="305">
        <v>2568.19912452131</v>
      </c>
      <c r="AK73" s="305">
        <v>3680.80830619745</v>
      </c>
      <c r="AL73" s="305">
        <v>3623.05931814197</v>
      </c>
      <c r="AM73" s="305">
        <v>3785.69473794628</v>
      </c>
      <c r="AN73" s="305">
        <v>8344.61185028781</v>
      </c>
      <c r="AO73" s="305">
        <v>7831.35332345297</v>
      </c>
      <c r="AP73" s="305">
        <v>11181.9715370363</v>
      </c>
      <c r="AQ73" s="305">
        <v>19199.8202763042</v>
      </c>
      <c r="AR73" s="305">
        <v>22135.5523181763</v>
      </c>
      <c r="AS73" s="305">
        <v>22172.4751441062</v>
      </c>
      <c r="AT73" s="305">
        <v>20017.0002130989</v>
      </c>
      <c r="AU73" s="305">
        <v>19247.9690325591</v>
      </c>
      <c r="AV73" s="305">
        <v>18890.4175666048</v>
      </c>
      <c r="AW73" s="305">
        <v>23662.7704358808</v>
      </c>
      <c r="AX73" s="305">
        <v>23390.6007042052</v>
      </c>
      <c r="AY73" s="305">
        <v>16297.6837517313</v>
      </c>
      <c r="AZ73" s="305">
        <v>16603.5176668981</v>
      </c>
      <c r="BA73" s="305">
        <v>20390.4668333556</v>
      </c>
      <c r="BB73" s="305">
        <v>18901.9605374112</v>
      </c>
      <c r="BC73" s="305">
        <v>18595.964453212</v>
      </c>
      <c r="BD73" s="305">
        <v>18268.1379289274</v>
      </c>
      <c r="BE73" s="305">
        <v>20398.1973841691</v>
      </c>
      <c r="BF73" s="305">
        <v>20250.1909148681</v>
      </c>
      <c r="BG73" s="305">
        <v>23524.0585943612</v>
      </c>
      <c r="BH73" s="305">
        <v>21956.5068862343</v>
      </c>
      <c r="BI73" s="305">
        <v>20749.5252931542</v>
      </c>
      <c r="BJ73" s="305">
        <v>24034.2917983383</v>
      </c>
      <c r="BK73" s="305">
        <v>19839.8131463742</v>
      </c>
      <c r="BL73" s="305">
        <v>18900.3265069407</v>
      </c>
      <c r="BM73" s="305">
        <v>18756.3894626854</v>
      </c>
      <c r="BN73" s="305">
        <v>18383.1987937589</v>
      </c>
      <c r="BO73" s="305">
        <v>17723.9855210205</v>
      </c>
      <c r="BP73" s="305">
        <v>17606.5528445391</v>
      </c>
      <c r="BQ73" s="305">
        <v>19691.2547500929</v>
      </c>
      <c r="BR73" s="305">
        <v>20206.8197245563</v>
      </c>
      <c r="BS73" s="305">
        <v>19962.0589632687</v>
      </c>
      <c r="BT73" s="305">
        <v>20315.9408497724</v>
      </c>
      <c r="BU73" s="305">
        <v>19414.181008791</v>
      </c>
      <c r="BV73" s="305">
        <v>16994.3360271586</v>
      </c>
      <c r="BW73" s="305">
        <v>18109.8619825437</v>
      </c>
      <c r="BX73" s="305">
        <v>17295.1723307439</v>
      </c>
      <c r="BY73" s="305">
        <v>16996.1250469788</v>
      </c>
      <c r="BZ73" s="305">
        <v>18150.5817393623</v>
      </c>
      <c r="CA73" s="305">
        <v>17217.2715425714</v>
      </c>
      <c r="CB73" s="305">
        <v>17528.0550501069</v>
      </c>
      <c r="CC73" s="305">
        <v>17187.0259923938</v>
      </c>
      <c r="CD73" s="305">
        <v>17517.9697190439</v>
      </c>
      <c r="CE73" s="305">
        <v>18351.171885134</v>
      </c>
      <c r="CF73" s="305">
        <v>18663.5779788541</v>
      </c>
      <c r="CG73" s="305">
        <v>19992.3812774632</v>
      </c>
      <c r="CH73" s="305">
        <v>20083.3579123326</v>
      </c>
      <c r="CI73" s="305">
        <v>20053.9262708738</v>
      </c>
      <c r="CJ73" s="305">
        <v>19035.5418808713</v>
      </c>
      <c r="CK73" s="305">
        <v>18838.874459734</v>
      </c>
      <c r="CL73" s="305">
        <v>17982.5238551034</v>
      </c>
      <c r="CM73" s="305">
        <v>16885.9425829389</v>
      </c>
      <c r="CN73" s="305">
        <v>16073.877380723</v>
      </c>
      <c r="CO73" s="305">
        <v>15456.9859361282</v>
      </c>
      <c r="CP73" s="305">
        <v>15722.4115680794</v>
      </c>
      <c r="CQ73" s="305">
        <v>14123.0674952676</v>
      </c>
      <c r="CR73" s="305">
        <v>13893.0829483984</v>
      </c>
      <c r="CS73" s="305">
        <v>14026.0843714071</v>
      </c>
      <c r="CT73" s="305">
        <v>13772.648372563</v>
      </c>
      <c r="CU73" s="305">
        <v>14467.1373223152</v>
      </c>
      <c r="CV73" s="305">
        <v>16000.5024795974</v>
      </c>
      <c r="CW73" s="305">
        <v>16831.0217817881</v>
      </c>
      <c r="CX73" s="305">
        <v>18370.9951957389</v>
      </c>
      <c r="CY73" s="305">
        <v>22732.639594881</v>
      </c>
      <c r="CZ73" s="306">
        <v>24076.2857402476</v>
      </c>
    </row>
    <row r="74" spans="1:104">
      <c r="A74" s="308" t="s">
        <v>168</v>
      </c>
      <c r="B74" s="309">
        <v>71</v>
      </c>
      <c r="C74" s="310"/>
      <c r="D74" s="311"/>
      <c r="E74" s="311"/>
      <c r="F74" s="311"/>
      <c r="G74" s="311"/>
      <c r="H74" s="311"/>
      <c r="I74" s="311"/>
      <c r="J74" s="311"/>
      <c r="K74" s="311"/>
      <c r="L74" s="311"/>
      <c r="M74" s="311"/>
      <c r="N74" s="311"/>
      <c r="O74" s="311"/>
      <c r="P74" s="311"/>
      <c r="Q74" s="311"/>
      <c r="R74" s="311"/>
      <c r="S74" s="311"/>
      <c r="T74" s="311"/>
      <c r="U74" s="311"/>
      <c r="V74" s="311"/>
      <c r="W74" s="311"/>
      <c r="X74" s="311">
        <v>46.5293550000001</v>
      </c>
      <c r="Y74" s="311">
        <v>30.7895294517356</v>
      </c>
      <c r="Z74" s="311">
        <v>35.427261</v>
      </c>
      <c r="AA74" s="311">
        <v>52.8135006377953</v>
      </c>
      <c r="AB74" s="311">
        <v>116.616023767677</v>
      </c>
      <c r="AC74" s="311">
        <v>68.7500613195977</v>
      </c>
      <c r="AD74" s="311">
        <v>93.5750082671958</v>
      </c>
      <c r="AE74" s="311">
        <v>60.3052369077307</v>
      </c>
      <c r="AF74" s="311">
        <v>54.2724335073328</v>
      </c>
      <c r="AG74" s="311">
        <v>72.3580753623188</v>
      </c>
      <c r="AH74" s="311">
        <v>101.01746014523</v>
      </c>
      <c r="AI74" s="311">
        <v>23.7583828765422</v>
      </c>
      <c r="AJ74" s="311">
        <v>0.0400264200792602</v>
      </c>
      <c r="AK74" s="311">
        <v>0.040276577355229</v>
      </c>
      <c r="AL74" s="311">
        <v>0.0533819145412388</v>
      </c>
      <c r="AM74" s="311">
        <v>0.0202750067403613</v>
      </c>
      <c r="AN74" s="311">
        <v>0.0204472843450479</v>
      </c>
      <c r="AO74" s="311">
        <v>13.583398887834</v>
      </c>
      <c r="AP74" s="311">
        <v>41.1987116023598</v>
      </c>
      <c r="AQ74" s="311">
        <v>49.1289280868385</v>
      </c>
      <c r="AR74" s="311">
        <v>57.5977318009144</v>
      </c>
      <c r="AS74" s="311">
        <v>176.456760539224</v>
      </c>
      <c r="AT74" s="311">
        <v>194.208350580011</v>
      </c>
      <c r="AU74" s="311">
        <v>31.6203692722372</v>
      </c>
      <c r="AV74" s="311">
        <v>38.96713338296</v>
      </c>
      <c r="AW74" s="311">
        <v>21.2014395663231</v>
      </c>
      <c r="AX74" s="311">
        <v>21.1268517282797</v>
      </c>
      <c r="AY74" s="311">
        <v>14.0823935252753</v>
      </c>
      <c r="AZ74" s="311">
        <v>14.0730575444179</v>
      </c>
      <c r="BA74" s="311">
        <v>13.9976261127596</v>
      </c>
      <c r="BB74" s="311">
        <v>13.8181226402812</v>
      </c>
      <c r="BC74" s="311">
        <v>14.670561812382</v>
      </c>
      <c r="BD74" s="311">
        <v>0.674236431553505</v>
      </c>
      <c r="BE74" s="311">
        <v>0.668804489973845</v>
      </c>
      <c r="BF74" s="311">
        <v>0.674760857614074</v>
      </c>
      <c r="BG74" s="311">
        <v>2003.41309569509</v>
      </c>
      <c r="BH74" s="311">
        <v>2027.15113654727</v>
      </c>
      <c r="BI74" s="311">
        <v>1924.66718367347</v>
      </c>
      <c r="BJ74" s="311">
        <v>5362.94109904389</v>
      </c>
      <c r="BK74" s="311">
        <v>5248.79270892418</v>
      </c>
      <c r="BL74" s="311">
        <v>5040.83069891159</v>
      </c>
      <c r="BM74" s="311">
        <v>4965.61164507175</v>
      </c>
      <c r="BN74" s="311">
        <v>4662.81188564956</v>
      </c>
      <c r="BO74" s="311">
        <v>4347.299</v>
      </c>
      <c r="BP74" s="311">
        <v>4403.534</v>
      </c>
      <c r="BQ74" s="311">
        <v>4370.21738768734</v>
      </c>
      <c r="BR74" s="311">
        <v>4453.28734243855</v>
      </c>
      <c r="BS74" s="311">
        <v>4101.56053199242</v>
      </c>
      <c r="BT74" s="311">
        <v>3558.57287653756</v>
      </c>
      <c r="BU74" s="311">
        <v>3295.21177017814</v>
      </c>
      <c r="BV74" s="311">
        <v>3235.77616716055</v>
      </c>
      <c r="BW74" s="311">
        <v>4228.52767914028</v>
      </c>
      <c r="BX74" s="311">
        <v>4304.74375348445</v>
      </c>
      <c r="BY74" s="311">
        <v>4428.03133202103</v>
      </c>
      <c r="BZ74" s="311">
        <v>5480.76748185774</v>
      </c>
      <c r="CA74" s="311">
        <v>5148.40109143071</v>
      </c>
      <c r="CB74" s="311">
        <v>5044.98760769489</v>
      </c>
      <c r="CC74" s="311">
        <v>5084.8129777666</v>
      </c>
      <c r="CD74" s="311">
        <v>5704.86546389691</v>
      </c>
      <c r="CE74" s="311">
        <v>5919.3609552494</v>
      </c>
      <c r="CF74" s="311">
        <v>6242.73807486663</v>
      </c>
      <c r="CG74" s="311">
        <v>7250.11971682783</v>
      </c>
      <c r="CH74" s="311">
        <v>7599.82072700088</v>
      </c>
      <c r="CI74" s="311">
        <v>7578.60097827488</v>
      </c>
      <c r="CJ74" s="311">
        <v>7065.41196031097</v>
      </c>
      <c r="CK74" s="311">
        <v>7370.11594616724</v>
      </c>
      <c r="CL74" s="311">
        <v>6658.55530895268</v>
      </c>
      <c r="CM74" s="311">
        <v>6392.13699304764</v>
      </c>
      <c r="CN74" s="311">
        <v>6209.41439240985</v>
      </c>
      <c r="CO74" s="311">
        <v>6088.81988852266</v>
      </c>
      <c r="CP74" s="311">
        <v>6321.5910082193</v>
      </c>
      <c r="CQ74" s="311">
        <v>5231.72718111836</v>
      </c>
      <c r="CR74" s="311">
        <v>4987.33962331905</v>
      </c>
      <c r="CS74" s="311">
        <v>4810.47073115622</v>
      </c>
      <c r="CT74" s="311">
        <v>5487.7093912815</v>
      </c>
      <c r="CU74" s="311">
        <v>5725.75803288537</v>
      </c>
      <c r="CV74" s="311">
        <v>5694.99418483928</v>
      </c>
      <c r="CW74" s="311">
        <v>5785.72143944873</v>
      </c>
      <c r="CX74" s="311">
        <v>7507.33054391092</v>
      </c>
      <c r="CY74" s="311">
        <v>9593.75065204988</v>
      </c>
      <c r="CZ74" s="312">
        <v>10440.9744232918</v>
      </c>
    </row>
    <row r="75" spans="1:104">
      <c r="A75" s="308" t="s">
        <v>178</v>
      </c>
      <c r="B75" s="309">
        <v>72</v>
      </c>
      <c r="C75" s="310"/>
      <c r="D75" s="311"/>
      <c r="E75" s="311"/>
      <c r="F75" s="311"/>
      <c r="G75" s="311"/>
      <c r="H75" s="311"/>
      <c r="I75" s="311"/>
      <c r="J75" s="311"/>
      <c r="K75" s="311"/>
      <c r="L75" s="311"/>
      <c r="M75" s="311"/>
      <c r="N75" s="311"/>
      <c r="O75" s="311"/>
      <c r="P75" s="311"/>
      <c r="Q75" s="311"/>
      <c r="R75" s="311"/>
      <c r="S75" s="311"/>
      <c r="T75" s="311"/>
      <c r="U75" s="311"/>
      <c r="V75" s="311"/>
      <c r="W75" s="311"/>
      <c r="X75" s="311">
        <v>240.482295834955</v>
      </c>
      <c r="Y75" s="311">
        <v>91.8503599116886</v>
      </c>
      <c r="Z75" s="311">
        <v>190.168582763675</v>
      </c>
      <c r="AA75" s="311">
        <v>1072.96530629921</v>
      </c>
      <c r="AB75" s="311">
        <v>2077.98740848485</v>
      </c>
      <c r="AC75" s="311">
        <v>3141.72941214946</v>
      </c>
      <c r="AD75" s="311">
        <v>932.318638242591</v>
      </c>
      <c r="AE75" s="311">
        <v>104.771856375702</v>
      </c>
      <c r="AF75" s="311">
        <v>104.868228846337</v>
      </c>
      <c r="AG75" s="311">
        <v>30.2606122782965</v>
      </c>
      <c r="AH75" s="311">
        <v>34.5507465683962</v>
      </c>
      <c r="AI75" s="311">
        <v>9.95222929936306</v>
      </c>
      <c r="AJ75" s="311">
        <v>0</v>
      </c>
      <c r="AK75" s="311">
        <v>4.67851585327005</v>
      </c>
      <c r="AL75" s="311">
        <v>0</v>
      </c>
      <c r="AM75" s="311">
        <v>376.130754002732</v>
      </c>
      <c r="AN75" s="311">
        <v>741.199571156722</v>
      </c>
      <c r="AO75" s="311">
        <v>467.572183847694</v>
      </c>
      <c r="AP75" s="311">
        <v>85.4106399351362</v>
      </c>
      <c r="AQ75" s="311">
        <v>230.893844343789</v>
      </c>
      <c r="AR75" s="311">
        <v>2524.64935898027</v>
      </c>
      <c r="AS75" s="311">
        <v>1857.61927074401</v>
      </c>
      <c r="AT75" s="311">
        <v>131.119648112762</v>
      </c>
      <c r="AU75" s="311">
        <v>19.8450134770889</v>
      </c>
      <c r="AV75" s="311">
        <v>0</v>
      </c>
      <c r="AW75" s="311">
        <v>0</v>
      </c>
      <c r="AX75" s="311">
        <v>0</v>
      </c>
      <c r="AY75" s="311">
        <v>0</v>
      </c>
      <c r="AZ75" s="311">
        <v>0</v>
      </c>
      <c r="BA75" s="311">
        <v>1.31882624464227</v>
      </c>
      <c r="BB75" s="311">
        <v>0</v>
      </c>
      <c r="BC75" s="311">
        <v>0</v>
      </c>
      <c r="BD75" s="311">
        <v>0</v>
      </c>
      <c r="BE75" s="311">
        <v>0</v>
      </c>
      <c r="BF75" s="311">
        <v>0</v>
      </c>
      <c r="BG75" s="311">
        <v>0</v>
      </c>
      <c r="BH75" s="311">
        <v>0</v>
      </c>
      <c r="BI75" s="311">
        <v>0</v>
      </c>
      <c r="BJ75" s="311">
        <v>0</v>
      </c>
      <c r="BK75" s="311">
        <v>0</v>
      </c>
      <c r="BL75" s="311">
        <v>0</v>
      </c>
      <c r="BM75" s="311">
        <v>61.6672698281462</v>
      </c>
      <c r="BN75" s="311">
        <v>125.590394383831</v>
      </c>
      <c r="BO75" s="311">
        <v>226.086555852261</v>
      </c>
      <c r="BP75" s="311">
        <v>621.854317725433</v>
      </c>
      <c r="BQ75" s="311">
        <v>585.822017873212</v>
      </c>
      <c r="BR75" s="311">
        <v>356.65663354729</v>
      </c>
      <c r="BS75" s="311">
        <v>420.082927812716</v>
      </c>
      <c r="BT75" s="311">
        <v>1425.96373315322</v>
      </c>
      <c r="BU75" s="311">
        <v>706.174699483992</v>
      </c>
      <c r="BV75" s="311">
        <v>285.092764480679</v>
      </c>
      <c r="BW75" s="311">
        <v>278.128923997918</v>
      </c>
      <c r="BX75" s="311">
        <v>451.919301389327</v>
      </c>
      <c r="BY75" s="311">
        <v>274.734404646151</v>
      </c>
      <c r="BZ75" s="311">
        <v>156.654236707132</v>
      </c>
      <c r="CA75" s="311">
        <v>415.048707232285</v>
      </c>
      <c r="CB75" s="311">
        <v>485.185746867112</v>
      </c>
      <c r="CC75" s="311">
        <v>348.557809026316</v>
      </c>
      <c r="CD75" s="311">
        <v>312.925265851512</v>
      </c>
      <c r="CE75" s="311">
        <v>834.50489106935</v>
      </c>
      <c r="CF75" s="311">
        <v>1349.59248746734</v>
      </c>
      <c r="CG75" s="311">
        <v>1152.26918273388</v>
      </c>
      <c r="CH75" s="311">
        <v>989.435554615927</v>
      </c>
      <c r="CI75" s="311">
        <v>489.349279990736</v>
      </c>
      <c r="CJ75" s="311">
        <v>246.647489009457</v>
      </c>
      <c r="CK75" s="311">
        <v>256.759345579793</v>
      </c>
      <c r="CL75" s="311">
        <v>167.816911749282</v>
      </c>
      <c r="CM75" s="311">
        <v>216.216076948017</v>
      </c>
      <c r="CN75" s="311">
        <v>242.072390471763</v>
      </c>
      <c r="CO75" s="311">
        <v>103.004593931626</v>
      </c>
      <c r="CP75" s="311">
        <v>169.302590258604</v>
      </c>
      <c r="CQ75" s="311">
        <v>22.9740463305174</v>
      </c>
      <c r="CR75" s="311">
        <v>146.777666860647</v>
      </c>
      <c r="CS75" s="311">
        <v>0</v>
      </c>
      <c r="CT75" s="311">
        <v>125.592216172406</v>
      </c>
      <c r="CU75" s="311">
        <v>199.251193796081</v>
      </c>
      <c r="CV75" s="311">
        <v>178.125511458251</v>
      </c>
      <c r="CW75" s="311">
        <v>6.16292112186629</v>
      </c>
      <c r="CX75" s="311">
        <v>0</v>
      </c>
      <c r="CY75" s="311">
        <v>296.71829565011</v>
      </c>
      <c r="CZ75" s="312">
        <v>260.759028343463</v>
      </c>
    </row>
    <row r="76" spans="1:104">
      <c r="A76" s="308" t="s">
        <v>182</v>
      </c>
      <c r="B76" s="309">
        <v>73</v>
      </c>
      <c r="C76" s="310"/>
      <c r="D76" s="311"/>
      <c r="E76" s="311"/>
      <c r="F76" s="311"/>
      <c r="G76" s="311"/>
      <c r="H76" s="311"/>
      <c r="I76" s="311"/>
      <c r="J76" s="311"/>
      <c r="K76" s="311"/>
      <c r="L76" s="311"/>
      <c r="M76" s="311"/>
      <c r="N76" s="311"/>
      <c r="O76" s="311"/>
      <c r="P76" s="311"/>
      <c r="Q76" s="311"/>
      <c r="R76" s="311"/>
      <c r="S76" s="311"/>
      <c r="T76" s="311"/>
      <c r="U76" s="311"/>
      <c r="V76" s="311"/>
      <c r="W76" s="311"/>
      <c r="X76" s="311">
        <v>1754.00123881783</v>
      </c>
      <c r="Y76" s="311">
        <v>2128.85142775297</v>
      </c>
      <c r="Z76" s="311">
        <v>2138.37648291149</v>
      </c>
      <c r="AA76" s="311">
        <v>2357.9308</v>
      </c>
      <c r="AB76" s="311">
        <v>2189.09065142119</v>
      </c>
      <c r="AC76" s="311">
        <v>2757.53752602404</v>
      </c>
      <c r="AD76" s="311">
        <v>2749.04294097057</v>
      </c>
      <c r="AE76" s="311">
        <v>2561.56316111753</v>
      </c>
      <c r="AF76" s="311">
        <v>2441.56919553078</v>
      </c>
      <c r="AG76" s="311">
        <v>2236.53712223873</v>
      </c>
      <c r="AH76" s="311">
        <v>2472.1225483282</v>
      </c>
      <c r="AI76" s="311">
        <v>2219.74343402719</v>
      </c>
      <c r="AJ76" s="311">
        <v>1806.7494203928</v>
      </c>
      <c r="AK76" s="311">
        <v>2868.15518469693</v>
      </c>
      <c r="AL76" s="311">
        <v>2816.41863941241</v>
      </c>
      <c r="AM76" s="311">
        <v>2593.44807840002</v>
      </c>
      <c r="AN76" s="311">
        <v>6802.53150256726</v>
      </c>
      <c r="AO76" s="311">
        <v>6535.50000181788</v>
      </c>
      <c r="AP76" s="311">
        <v>10219.1003060021</v>
      </c>
      <c r="AQ76" s="311">
        <v>10685.5425764311</v>
      </c>
      <c r="AR76" s="311">
        <v>10841.0480405717</v>
      </c>
      <c r="AS76" s="311">
        <v>11364.0527618534</v>
      </c>
      <c r="AT76" s="311">
        <v>10890.9392045086</v>
      </c>
      <c r="AU76" s="311">
        <v>10419.2068727674</v>
      </c>
      <c r="AV76" s="311">
        <v>10112.8781564738</v>
      </c>
      <c r="AW76" s="311">
        <v>14383.3670043769</v>
      </c>
      <c r="AX76" s="311">
        <v>14091.301140751</v>
      </c>
      <c r="AY76" s="311">
        <v>6985.39073193671</v>
      </c>
      <c r="AZ76" s="311">
        <v>7313.02582650702</v>
      </c>
      <c r="BA76" s="311">
        <v>6767.11464075686</v>
      </c>
      <c r="BB76" s="311">
        <v>6697.89425234482</v>
      </c>
      <c r="BC76" s="311">
        <v>6309.70902161181</v>
      </c>
      <c r="BD76" s="311">
        <v>6134.91656353268</v>
      </c>
      <c r="BE76" s="311">
        <v>5833.97844862017</v>
      </c>
      <c r="BF76" s="311">
        <v>5805.73027236219</v>
      </c>
      <c r="BG76" s="311">
        <v>5219.88483079274</v>
      </c>
      <c r="BH76" s="311">
        <v>5134.19869745374</v>
      </c>
      <c r="BI76" s="311">
        <v>5029.65421198431</v>
      </c>
      <c r="BJ76" s="311">
        <v>4921.79618394329</v>
      </c>
      <c r="BK76" s="311">
        <v>4768.73794549131</v>
      </c>
      <c r="BL76" s="311">
        <v>4224.90582031901</v>
      </c>
      <c r="BM76" s="311">
        <v>4041.50397285194</v>
      </c>
      <c r="BN76" s="311">
        <v>3954.93358262901</v>
      </c>
      <c r="BO76" s="311">
        <v>3648.5386803265</v>
      </c>
      <c r="BP76" s="311">
        <v>3059.56571026439</v>
      </c>
      <c r="BQ76" s="311">
        <v>2537.5629575494</v>
      </c>
      <c r="BR76" s="311">
        <v>2465.13199134457</v>
      </c>
      <c r="BS76" s="311">
        <v>2757.47482352418</v>
      </c>
      <c r="BT76" s="311">
        <v>2706.2580620543</v>
      </c>
      <c r="BU76" s="311">
        <v>2595.16112171738</v>
      </c>
      <c r="BV76" s="311">
        <v>2580.72917589334</v>
      </c>
      <c r="BW76" s="311">
        <v>2549.75530879964</v>
      </c>
      <c r="BX76" s="311">
        <v>2318.20835863224</v>
      </c>
      <c r="BY76" s="311">
        <v>2288.41484626609</v>
      </c>
      <c r="BZ76" s="311">
        <v>2100.47065771233</v>
      </c>
      <c r="CA76" s="311">
        <v>1969.2576315108</v>
      </c>
      <c r="CB76" s="311">
        <v>2366.06790101844</v>
      </c>
      <c r="CC76" s="311">
        <v>2219.80115561013</v>
      </c>
      <c r="CD76" s="311">
        <v>1912.64206980563</v>
      </c>
      <c r="CE76" s="311">
        <v>1677.5908619566</v>
      </c>
      <c r="CF76" s="311">
        <v>1353.46073716374</v>
      </c>
      <c r="CG76" s="311">
        <v>1800.04667679481</v>
      </c>
      <c r="CH76" s="311">
        <v>1808.49456523021</v>
      </c>
      <c r="CI76" s="311">
        <v>1852.8608692434</v>
      </c>
      <c r="CJ76" s="311">
        <v>1850.83600300491</v>
      </c>
      <c r="CK76" s="311">
        <v>1529.0181219133</v>
      </c>
      <c r="CL76" s="311">
        <v>1453.58488818344</v>
      </c>
      <c r="CM76" s="311">
        <v>803.791315557117</v>
      </c>
      <c r="CN76" s="311">
        <v>766.47299466339</v>
      </c>
      <c r="CO76" s="311">
        <v>581.294066052021</v>
      </c>
      <c r="CP76" s="311">
        <v>536.654886973676</v>
      </c>
      <c r="CQ76" s="311">
        <v>540.147178610525</v>
      </c>
      <c r="CR76" s="311">
        <v>526.897768715251</v>
      </c>
      <c r="CS76" s="311">
        <v>1014.87989742057</v>
      </c>
      <c r="CT76" s="311">
        <v>961.945989478273</v>
      </c>
      <c r="CU76" s="311">
        <v>1365.03415182868</v>
      </c>
      <c r="CV76" s="311">
        <v>1805.64922674609</v>
      </c>
      <c r="CW76" s="311">
        <v>2010.6259032392</v>
      </c>
      <c r="CX76" s="311">
        <v>2217.90052211679</v>
      </c>
      <c r="CY76" s="311">
        <v>3599.00018958518</v>
      </c>
      <c r="CZ76" s="312">
        <v>3669.0844086356</v>
      </c>
    </row>
    <row r="77" ht="29" spans="1:104">
      <c r="A77" s="313" t="s">
        <v>204</v>
      </c>
      <c r="B77" s="314">
        <v>74</v>
      </c>
      <c r="C77" s="315"/>
      <c r="D77" s="316"/>
      <c r="E77" s="316"/>
      <c r="F77" s="316"/>
      <c r="G77" s="316"/>
      <c r="H77" s="316"/>
      <c r="I77" s="316"/>
      <c r="J77" s="316"/>
      <c r="K77" s="316"/>
      <c r="L77" s="316"/>
      <c r="M77" s="316"/>
      <c r="N77" s="316"/>
      <c r="O77" s="316"/>
      <c r="P77" s="316"/>
      <c r="Q77" s="316"/>
      <c r="R77" s="316"/>
      <c r="S77" s="316"/>
      <c r="T77" s="316"/>
      <c r="U77" s="316"/>
      <c r="V77" s="316"/>
      <c r="W77" s="316"/>
      <c r="X77" s="316">
        <v>143.464212891886</v>
      </c>
      <c r="Y77" s="316">
        <v>146.938008980015</v>
      </c>
      <c r="Z77" s="316">
        <v>68.0115970530393</v>
      </c>
      <c r="AA77" s="316">
        <v>85.279906142819</v>
      </c>
      <c r="AB77" s="316">
        <v>252.833442439155</v>
      </c>
      <c r="AC77" s="316">
        <v>611.948715026714</v>
      </c>
      <c r="AD77" s="316">
        <v>654.371440323165</v>
      </c>
      <c r="AE77" s="316">
        <v>662.682457489609</v>
      </c>
      <c r="AF77" s="316">
        <v>705.383034657801</v>
      </c>
      <c r="AG77" s="316">
        <v>780.858691310973</v>
      </c>
      <c r="AH77" s="316">
        <v>687.393086573484</v>
      </c>
      <c r="AI77" s="316">
        <v>617.961846653985</v>
      </c>
      <c r="AJ77" s="316">
        <v>761.409677708428</v>
      </c>
      <c r="AK77" s="316">
        <v>807.934329069899</v>
      </c>
      <c r="AL77" s="316">
        <v>806.587296815022</v>
      </c>
      <c r="AM77" s="316">
        <v>816.095630536795</v>
      </c>
      <c r="AN77" s="316">
        <v>800.860329279491</v>
      </c>
      <c r="AO77" s="316">
        <v>814.697738899566</v>
      </c>
      <c r="AP77" s="316">
        <v>836.261879496724</v>
      </c>
      <c r="AQ77" s="316">
        <v>8234.25492744244</v>
      </c>
      <c r="AR77" s="316">
        <v>8712.25718682341</v>
      </c>
      <c r="AS77" s="316">
        <v>8774.34635096954</v>
      </c>
      <c r="AT77" s="316">
        <v>8800.73300989753</v>
      </c>
      <c r="AU77" s="316">
        <v>8777.29677704238</v>
      </c>
      <c r="AV77" s="316">
        <v>8738.57227674805</v>
      </c>
      <c r="AW77" s="316">
        <v>9258.20199193757</v>
      </c>
      <c r="AX77" s="316">
        <v>9278.17271172597</v>
      </c>
      <c r="AY77" s="316">
        <v>9298.21062626931</v>
      </c>
      <c r="AZ77" s="316">
        <v>9276.41878284671</v>
      </c>
      <c r="BA77" s="316">
        <v>13608.0357402413</v>
      </c>
      <c r="BB77" s="316">
        <v>12190.2481624261</v>
      </c>
      <c r="BC77" s="316">
        <v>12271.5848697878</v>
      </c>
      <c r="BD77" s="316">
        <v>12132.5471289632</v>
      </c>
      <c r="BE77" s="316">
        <v>14563.5501310589</v>
      </c>
      <c r="BF77" s="316">
        <v>14443.7858816483</v>
      </c>
      <c r="BG77" s="316">
        <v>16300.7606678734</v>
      </c>
      <c r="BH77" s="316">
        <v>14795.1570522333</v>
      </c>
      <c r="BI77" s="316">
        <v>13795.2038974964</v>
      </c>
      <c r="BJ77" s="316">
        <v>13749.5545153511</v>
      </c>
      <c r="BK77" s="316">
        <v>9822.28249195873</v>
      </c>
      <c r="BL77" s="316">
        <v>9634.58998771006</v>
      </c>
      <c r="BM77" s="316">
        <v>9687.60657493357</v>
      </c>
      <c r="BN77" s="316">
        <v>9639.86293109652</v>
      </c>
      <c r="BO77" s="316">
        <v>9502.06128484176</v>
      </c>
      <c r="BP77" s="316">
        <v>9521.59881654924</v>
      </c>
      <c r="BQ77" s="316">
        <v>12197.652386983</v>
      </c>
      <c r="BR77" s="316">
        <v>12931.7437572259</v>
      </c>
      <c r="BS77" s="316">
        <v>12682.9406799394</v>
      </c>
      <c r="BT77" s="316">
        <v>12625.1461780273</v>
      </c>
      <c r="BU77" s="316">
        <v>12817.6334174115</v>
      </c>
      <c r="BV77" s="316">
        <v>10892.7379196241</v>
      </c>
      <c r="BW77" s="316">
        <v>11053.4500706058</v>
      </c>
      <c r="BX77" s="316">
        <v>10220.3009172379</v>
      </c>
      <c r="BY77" s="316">
        <v>10004.9444640455</v>
      </c>
      <c r="BZ77" s="316">
        <v>10412.6893630851</v>
      </c>
      <c r="CA77" s="316">
        <v>9684.56411239757</v>
      </c>
      <c r="CB77" s="316">
        <v>9631.81379452642</v>
      </c>
      <c r="CC77" s="316">
        <v>9533.85404999076</v>
      </c>
      <c r="CD77" s="316">
        <v>9587.53691948982</v>
      </c>
      <c r="CE77" s="316">
        <v>9919.71517685863</v>
      </c>
      <c r="CF77" s="316">
        <v>9717.78667935644</v>
      </c>
      <c r="CG77" s="316">
        <v>9789.94570110667</v>
      </c>
      <c r="CH77" s="316">
        <v>9685.60706548556</v>
      </c>
      <c r="CI77" s="316">
        <v>10133.1151433648</v>
      </c>
      <c r="CJ77" s="316">
        <v>9872.64642854592</v>
      </c>
      <c r="CK77" s="316">
        <v>9682.98104607365</v>
      </c>
      <c r="CL77" s="316">
        <v>9702.56674621796</v>
      </c>
      <c r="CM77" s="316">
        <v>9473.79819738616</v>
      </c>
      <c r="CN77" s="316">
        <v>8855.91760317802</v>
      </c>
      <c r="CO77" s="316">
        <v>8683.86738762189</v>
      </c>
      <c r="CP77" s="316">
        <v>8694.86308262783</v>
      </c>
      <c r="CQ77" s="316">
        <v>8328.21908920818</v>
      </c>
      <c r="CR77" s="316">
        <v>8232.06788950343</v>
      </c>
      <c r="CS77" s="316">
        <v>8200.73374283033</v>
      </c>
      <c r="CT77" s="316">
        <v>7197.40077563082</v>
      </c>
      <c r="CU77" s="316">
        <v>7177.09394380507</v>
      </c>
      <c r="CV77" s="316">
        <v>8321.73355655376</v>
      </c>
      <c r="CW77" s="316">
        <v>9028.5115179783</v>
      </c>
      <c r="CX77" s="316">
        <v>8645.76412971122</v>
      </c>
      <c r="CY77" s="316">
        <v>9243.17045759586</v>
      </c>
      <c r="CZ77" s="317">
        <v>9705.46787997674</v>
      </c>
    </row>
    <row r="78" ht="9" customHeight="1" spans="1:104">
      <c r="A78" s="318"/>
      <c r="B78" s="319"/>
      <c r="C78" s="320"/>
      <c r="D78" s="320"/>
      <c r="E78" s="320"/>
      <c r="F78" s="320"/>
      <c r="G78" s="320"/>
      <c r="H78" s="320"/>
      <c r="I78" s="320"/>
      <c r="J78" s="320"/>
      <c r="K78" s="320"/>
      <c r="L78" s="320"/>
      <c r="M78" s="320"/>
      <c r="N78" s="320"/>
      <c r="O78" s="320"/>
      <c r="P78" s="320"/>
      <c r="Q78" s="320"/>
      <c r="R78" s="320"/>
      <c r="S78" s="320"/>
      <c r="T78" s="320"/>
      <c r="U78" s="320"/>
      <c r="V78" s="320"/>
      <c r="W78" s="320"/>
      <c r="X78" s="320"/>
      <c r="Y78" s="320"/>
      <c r="Z78" s="320"/>
      <c r="AA78" s="320"/>
      <c r="AB78" s="320"/>
      <c r="AC78" s="320"/>
      <c r="AD78" s="320"/>
      <c r="AE78" s="320"/>
      <c r="AF78" s="320"/>
      <c r="AG78" s="320"/>
      <c r="AH78" s="320"/>
      <c r="AI78" s="320"/>
      <c r="AJ78" s="320"/>
      <c r="AK78" s="320"/>
      <c r="AL78" s="320"/>
      <c r="AM78" s="320"/>
      <c r="AN78" s="320"/>
      <c r="AO78" s="320"/>
      <c r="AP78" s="320"/>
      <c r="AQ78" s="320"/>
      <c r="AR78" s="320"/>
      <c r="AS78" s="320"/>
      <c r="AT78" s="320"/>
      <c r="AU78" s="320"/>
      <c r="AV78" s="320"/>
      <c r="AW78" s="320"/>
      <c r="AX78" s="320"/>
      <c r="AY78" s="320"/>
      <c r="AZ78" s="320"/>
      <c r="BA78" s="320"/>
      <c r="BB78" s="320"/>
      <c r="BC78" s="320"/>
      <c r="BD78" s="320"/>
      <c r="BE78" s="320"/>
      <c r="BF78" s="320"/>
      <c r="BG78" s="320"/>
      <c r="BH78" s="320"/>
      <c r="BI78" s="320"/>
      <c r="BJ78" s="320"/>
      <c r="BK78" s="320"/>
      <c r="BL78" s="320"/>
      <c r="BM78" s="320"/>
      <c r="BN78" s="320"/>
      <c r="BO78" s="320"/>
      <c r="BP78" s="320"/>
      <c r="BQ78" s="320"/>
      <c r="BR78" s="320"/>
      <c r="BS78" s="320"/>
      <c r="BT78" s="320"/>
      <c r="BU78" s="320"/>
      <c r="BV78" s="320"/>
      <c r="BW78" s="320"/>
      <c r="BX78" s="320"/>
      <c r="BY78" s="320"/>
      <c r="BZ78" s="320"/>
      <c r="CA78" s="320"/>
      <c r="CB78" s="52"/>
      <c r="CE78" s="320"/>
      <c r="CF78" s="52"/>
      <c r="CG78" s="52"/>
      <c r="CH78" s="52"/>
      <c r="CI78" s="52"/>
      <c r="CJ78" s="52"/>
      <c r="CK78" s="52"/>
      <c r="CL78" s="52"/>
      <c r="CM78" s="52"/>
      <c r="CN78" s="52"/>
      <c r="CO78" s="52"/>
      <c r="CP78" s="52"/>
      <c r="CQ78" s="52"/>
      <c r="CR78" s="52"/>
      <c r="CS78" s="52"/>
      <c r="CT78" s="52"/>
      <c r="CU78" s="52"/>
      <c r="CV78" s="52"/>
      <c r="CW78" s="52"/>
      <c r="CX78" s="52"/>
      <c r="CY78" s="52"/>
      <c r="CZ78" s="52"/>
    </row>
    <row r="79" ht="12" customHeight="1" spans="1:104">
      <c r="A79" s="321" t="s">
        <v>205</v>
      </c>
      <c r="B79" s="321"/>
      <c r="C79" s="321"/>
      <c r="D79" s="321"/>
      <c r="E79" s="321"/>
      <c r="F79" s="321"/>
      <c r="G79" s="321"/>
      <c r="H79" s="321"/>
      <c r="I79" s="321"/>
      <c r="J79" s="321"/>
      <c r="K79" s="321"/>
      <c r="L79" s="321"/>
      <c r="M79" s="321"/>
      <c r="N79" s="321"/>
      <c r="O79" s="321"/>
      <c r="P79" s="321"/>
      <c r="Q79" s="321"/>
      <c r="R79" s="321"/>
      <c r="S79" s="321"/>
      <c r="T79" s="321"/>
      <c r="U79" s="321"/>
      <c r="V79" s="321"/>
      <c r="W79" s="321"/>
      <c r="X79" s="321"/>
      <c r="Y79" s="321"/>
      <c r="Z79" s="321"/>
      <c r="AA79" s="321"/>
      <c r="AB79" s="321"/>
      <c r="AC79" s="321"/>
      <c r="AD79" s="321"/>
      <c r="AE79" s="321"/>
      <c r="AF79" s="321"/>
      <c r="AG79" s="321"/>
      <c r="AH79" s="321"/>
      <c r="AI79" s="321"/>
      <c r="AJ79" s="321"/>
      <c r="AK79" s="321"/>
      <c r="AL79" s="321"/>
      <c r="AM79" s="321"/>
      <c r="AN79" s="321"/>
      <c r="AO79" s="321"/>
      <c r="AP79" s="321"/>
      <c r="AQ79" s="321"/>
      <c r="AR79" s="321"/>
      <c r="AS79" s="321"/>
      <c r="AT79" s="321"/>
      <c r="AU79" s="321"/>
      <c r="AV79" s="321"/>
      <c r="AW79" s="321"/>
      <c r="AX79" s="321"/>
      <c r="AY79" s="321"/>
      <c r="AZ79" s="321"/>
      <c r="BA79" s="321"/>
      <c r="BB79" s="321"/>
      <c r="BC79" s="321"/>
      <c r="BD79" s="321"/>
      <c r="BE79" s="321"/>
      <c r="BF79" s="321"/>
      <c r="BG79" s="321"/>
      <c r="BH79" s="321"/>
      <c r="BI79" s="321"/>
      <c r="BJ79" s="321"/>
      <c r="BK79" s="321"/>
      <c r="BL79" s="321"/>
      <c r="BM79" s="321"/>
      <c r="BN79" s="321"/>
      <c r="BO79" s="321"/>
      <c r="BP79" s="321"/>
      <c r="BQ79" s="321"/>
      <c r="BR79" s="321"/>
      <c r="BS79" s="321"/>
      <c r="BT79" s="321"/>
      <c r="BU79" s="321"/>
      <c r="BV79" s="321"/>
      <c r="BW79" s="321"/>
      <c r="CF79" s="322"/>
      <c r="CG79" s="322"/>
      <c r="CH79" s="322"/>
      <c r="CI79" s="322"/>
      <c r="CJ79" s="322"/>
      <c r="CK79" s="322"/>
      <c r="CL79" s="322"/>
      <c r="CM79" s="322"/>
      <c r="CN79" s="322"/>
      <c r="CO79" s="322"/>
      <c r="CP79" s="322"/>
      <c r="CQ79" s="322"/>
      <c r="CR79" s="322"/>
      <c r="CS79" s="322"/>
      <c r="CT79" s="322"/>
      <c r="CU79" s="322"/>
      <c r="CV79" s="322"/>
      <c r="CW79" s="322"/>
      <c r="CX79" s="322"/>
      <c r="CY79" s="322"/>
      <c r="CZ79" s="322"/>
    </row>
    <row r="80" ht="15" spans="1:104">
      <c r="A80" s="323" t="s">
        <v>206</v>
      </c>
      <c r="B80" s="323"/>
      <c r="C80" s="323"/>
      <c r="D80" s="323"/>
      <c r="E80" s="323"/>
      <c r="F80" s="323"/>
      <c r="G80" s="323"/>
      <c r="H80" s="323"/>
      <c r="I80" s="323"/>
      <c r="J80" s="323"/>
      <c r="K80" s="323"/>
      <c r="L80" s="323"/>
      <c r="M80" s="323"/>
      <c r="N80" s="323"/>
      <c r="O80" s="323"/>
      <c r="P80" s="323"/>
      <c r="Q80" s="323"/>
      <c r="R80" s="323"/>
      <c r="S80" s="323"/>
      <c r="T80" s="323"/>
      <c r="U80" s="323"/>
      <c r="V80" s="323"/>
      <c r="W80" s="323"/>
      <c r="X80" s="323"/>
      <c r="Y80" s="323"/>
      <c r="Z80" s="323"/>
      <c r="AA80" s="323"/>
      <c r="AB80" s="323"/>
      <c r="AC80" s="323"/>
      <c r="AD80" s="323"/>
      <c r="AE80" s="323"/>
      <c r="AF80" s="323"/>
      <c r="AG80" s="323"/>
      <c r="AH80" s="323"/>
      <c r="AI80" s="323"/>
      <c r="AJ80" s="323"/>
      <c r="AK80" s="323"/>
      <c r="AL80" s="323"/>
      <c r="AM80" s="323"/>
      <c r="AN80" s="323"/>
      <c r="AO80" s="323"/>
      <c r="AP80" s="323"/>
      <c r="AQ80" s="323"/>
      <c r="AR80" s="323"/>
      <c r="AS80" s="323"/>
      <c r="AT80" s="323"/>
      <c r="AU80" s="323"/>
      <c r="AV80" s="323"/>
      <c r="AW80" s="323"/>
      <c r="AX80" s="323"/>
      <c r="AY80" s="323"/>
      <c r="AZ80" s="323"/>
      <c r="BA80" s="323"/>
      <c r="BB80" s="323"/>
      <c r="BC80" s="323"/>
      <c r="BD80" s="323"/>
      <c r="BE80" s="323"/>
      <c r="BF80" s="323"/>
      <c r="BG80" s="323"/>
      <c r="BH80" s="323"/>
      <c r="BI80" s="323"/>
      <c r="BJ80" s="323"/>
      <c r="BK80" s="323"/>
      <c r="BL80" s="323"/>
      <c r="BM80" s="323"/>
      <c r="BN80" s="323"/>
      <c r="BO80" s="323"/>
      <c r="BP80" s="323"/>
      <c r="BQ80" s="323"/>
      <c r="BR80" s="323"/>
      <c r="BS80" s="323"/>
      <c r="BT80" s="323"/>
      <c r="BU80" s="323"/>
      <c r="BV80" s="323"/>
      <c r="BW80" s="323"/>
      <c r="BX80" s="323"/>
      <c r="BY80" s="323"/>
      <c r="BZ80" s="323"/>
      <c r="CA80" s="323"/>
      <c r="CE80" s="323"/>
    </row>
    <row r="83" spans="3:104">
      <c r="CN83" s="322"/>
      <c r="CO83" s="322"/>
      <c r="CP83" s="322"/>
      <c r="CQ83" s="322"/>
      <c r="CR83" s="322"/>
      <c r="CS83" s="322"/>
      <c r="CT83" s="322"/>
      <c r="CU83" s="322"/>
      <c r="CV83" s="322"/>
      <c r="CW83" s="322"/>
      <c r="CX83" s="322"/>
      <c r="CY83" s="322"/>
      <c r="CZ83" s="322"/>
    </row>
    <row r="84" spans="3:104">
      <c r="CN84" s="322"/>
      <c r="CO84" s="322"/>
      <c r="CP84" s="322"/>
      <c r="CQ84" s="322"/>
      <c r="CR84" s="322"/>
      <c r="CS84" s="322"/>
      <c r="CT84" s="322"/>
      <c r="CU84" s="322"/>
      <c r="CV84" s="322"/>
      <c r="CW84" s="322"/>
      <c r="CX84" s="322"/>
      <c r="CY84" s="322"/>
      <c r="CZ84" s="322"/>
    </row>
    <row r="85" spans="3:104">
      <c r="CN85" s="322"/>
      <c r="CO85" s="322"/>
      <c r="CP85" s="322"/>
      <c r="CQ85" s="322"/>
      <c r="CR85" s="322"/>
      <c r="CS85" s="322"/>
      <c r="CT85" s="322"/>
      <c r="CU85" s="322"/>
      <c r="CV85" s="322"/>
      <c r="CW85" s="322"/>
      <c r="CX85" s="322"/>
      <c r="CY85" s="322"/>
      <c r="CZ85" s="322"/>
    </row>
    <row r="86" spans="3:104">
      <c r="CN86" s="322"/>
      <c r="CO86" s="322"/>
      <c r="CP86" s="322"/>
      <c r="CQ86" s="322"/>
      <c r="CR86" s="322"/>
      <c r="CS86" s="322"/>
      <c r="CT86" s="322"/>
      <c r="CU86" s="322"/>
      <c r="CV86" s="322"/>
      <c r="CW86" s="322"/>
      <c r="CX86" s="322"/>
      <c r="CY86" s="322"/>
      <c r="CZ86" s="322"/>
    </row>
    <row r="87" spans="3:104">
      <c r="C87" s="324"/>
      <c r="D87" s="324"/>
      <c r="E87" s="324"/>
      <c r="F87" s="324"/>
      <c r="G87" s="324"/>
      <c r="H87" s="324"/>
      <c r="I87" s="324"/>
      <c r="J87" s="324"/>
      <c r="K87" s="324"/>
      <c r="L87" s="324"/>
      <c r="M87" s="324"/>
      <c r="N87" s="324"/>
      <c r="O87" s="324"/>
      <c r="P87" s="324"/>
      <c r="Q87" s="324"/>
      <c r="R87" s="324"/>
      <c r="S87" s="324"/>
      <c r="T87" s="324"/>
      <c r="U87" s="324"/>
      <c r="V87" s="324"/>
      <c r="W87" s="324"/>
      <c r="X87" s="324"/>
      <c r="Y87" s="324"/>
      <c r="Z87" s="324"/>
      <c r="AA87" s="324"/>
      <c r="AB87" s="324"/>
      <c r="AC87" s="324"/>
      <c r="AD87" s="324"/>
      <c r="AE87" s="324"/>
      <c r="AF87" s="324"/>
      <c r="AG87" s="324"/>
      <c r="AH87" s="324"/>
      <c r="CN87" s="322"/>
      <c r="CO87" s="322"/>
      <c r="CP87" s="322"/>
      <c r="CQ87" s="322"/>
      <c r="CR87" s="322"/>
      <c r="CS87" s="322"/>
      <c r="CT87" s="322"/>
      <c r="CU87" s="322"/>
      <c r="CV87" s="322"/>
      <c r="CW87" s="322"/>
      <c r="CX87" s="322"/>
      <c r="CY87" s="322"/>
      <c r="CZ87" s="322"/>
    </row>
    <row r="88" spans="3:104">
      <c r="CN88" s="322"/>
      <c r="CO88" s="322"/>
      <c r="CP88" s="322"/>
      <c r="CQ88" s="322"/>
      <c r="CR88" s="322"/>
      <c r="CS88" s="322"/>
      <c r="CT88" s="322"/>
      <c r="CU88" s="322"/>
      <c r="CV88" s="322"/>
      <c r="CW88" s="322"/>
      <c r="CX88" s="322"/>
      <c r="CY88" s="322"/>
      <c r="CZ88" s="322"/>
    </row>
    <row r="89" spans="3:104">
      <c r="CN89" s="322"/>
      <c r="CO89" s="322"/>
      <c r="CP89" s="322"/>
      <c r="CQ89" s="322"/>
      <c r="CR89" s="322"/>
      <c r="CS89" s="322"/>
      <c r="CT89" s="322"/>
      <c r="CU89" s="322"/>
      <c r="CV89" s="322"/>
      <c r="CW89" s="322"/>
      <c r="CX89" s="322"/>
      <c r="CY89" s="322"/>
      <c r="CZ89" s="322"/>
    </row>
    <row r="90" spans="3:104">
      <c r="CN90" s="322"/>
      <c r="CO90" s="322"/>
      <c r="CP90" s="322"/>
      <c r="CQ90" s="322"/>
      <c r="CR90" s="322"/>
      <c r="CS90" s="322"/>
      <c r="CT90" s="322"/>
      <c r="CU90" s="322"/>
      <c r="CV90" s="322"/>
      <c r="CW90" s="322"/>
      <c r="CX90" s="322"/>
      <c r="CY90" s="322"/>
      <c r="CZ90" s="322"/>
    </row>
    <row r="91" spans="3:104">
      <c r="CN91" s="322"/>
      <c r="CO91" s="322"/>
      <c r="CP91" s="322"/>
      <c r="CQ91" s="322"/>
      <c r="CR91" s="322"/>
      <c r="CS91" s="322"/>
      <c r="CT91" s="322"/>
      <c r="CU91" s="322"/>
      <c r="CV91" s="322"/>
      <c r="CW91" s="322"/>
      <c r="CX91" s="322"/>
      <c r="CY91" s="322"/>
      <c r="CZ91" s="322"/>
    </row>
    <row r="92" spans="3:104">
      <c r="CN92" s="322"/>
      <c r="CO92" s="322"/>
      <c r="CP92" s="322"/>
      <c r="CQ92" s="322"/>
      <c r="CR92" s="322"/>
      <c r="CS92" s="322"/>
      <c r="CT92" s="322"/>
      <c r="CU92" s="322"/>
      <c r="CV92" s="322"/>
      <c r="CW92" s="322"/>
      <c r="CX92" s="322"/>
      <c r="CY92" s="322"/>
      <c r="CZ92" s="322"/>
    </row>
    <row r="93" spans="3:104">
      <c r="CN93" s="322"/>
      <c r="CO93" s="322"/>
      <c r="CP93" s="322"/>
      <c r="CQ93" s="322"/>
      <c r="CR93" s="322"/>
      <c r="CS93" s="322"/>
      <c r="CT93" s="322"/>
      <c r="CU93" s="322"/>
      <c r="CV93" s="322"/>
      <c r="CW93" s="322"/>
      <c r="CX93" s="322"/>
      <c r="CY93" s="322"/>
      <c r="CZ93" s="322"/>
    </row>
    <row r="94" spans="3:104">
      <c r="CN94" s="322"/>
      <c r="CO94" s="322"/>
      <c r="CP94" s="322"/>
      <c r="CQ94" s="322"/>
      <c r="CR94" s="322"/>
      <c r="CS94" s="322"/>
      <c r="CT94" s="322"/>
      <c r="CU94" s="322"/>
      <c r="CV94" s="322"/>
      <c r="CW94" s="322"/>
      <c r="CX94" s="322"/>
      <c r="CY94" s="322"/>
      <c r="CZ94" s="322"/>
    </row>
    <row r="95" spans="3:104">
      <c r="CN95" s="322"/>
      <c r="CO95" s="322"/>
      <c r="CP95" s="322"/>
      <c r="CQ95" s="322"/>
      <c r="CR95" s="322"/>
      <c r="CS95" s="322"/>
      <c r="CT95" s="322"/>
      <c r="CU95" s="322"/>
      <c r="CV95" s="322"/>
      <c r="CW95" s="322"/>
      <c r="CX95" s="322"/>
      <c r="CY95" s="322"/>
      <c r="CZ95" s="322"/>
    </row>
    <row r="96" spans="3:104">
      <c r="CN96" s="322"/>
      <c r="CO96" s="322"/>
      <c r="CP96" s="322"/>
      <c r="CQ96" s="322"/>
      <c r="CR96" s="322"/>
      <c r="CS96" s="322"/>
      <c r="CT96" s="322"/>
      <c r="CU96" s="322"/>
      <c r="CV96" s="322"/>
      <c r="CW96" s="322"/>
      <c r="CX96" s="322"/>
      <c r="CY96" s="322"/>
      <c r="CZ96" s="322"/>
    </row>
    <row r="97" spans="92:104">
      <c r="CN97" s="322"/>
      <c r="CO97" s="322"/>
      <c r="CP97" s="322"/>
      <c r="CQ97" s="322"/>
      <c r="CR97" s="322"/>
      <c r="CS97" s="322"/>
      <c r="CT97" s="322"/>
      <c r="CU97" s="322"/>
      <c r="CV97" s="322"/>
      <c r="CW97" s="322"/>
      <c r="CX97" s="322"/>
      <c r="CY97" s="322"/>
      <c r="CZ97" s="322"/>
    </row>
    <row r="98" spans="92:104">
      <c r="CN98" s="322"/>
      <c r="CO98" s="322"/>
      <c r="CP98" s="322"/>
      <c r="CQ98" s="322"/>
      <c r="CR98" s="322"/>
      <c r="CS98" s="322"/>
      <c r="CT98" s="322"/>
      <c r="CU98" s="322"/>
      <c r="CV98" s="322"/>
      <c r="CW98" s="322"/>
      <c r="CX98" s="322"/>
      <c r="CY98" s="322"/>
      <c r="CZ98" s="322"/>
    </row>
    <row r="99" spans="92:104">
      <c r="CN99" s="322"/>
      <c r="CO99" s="322"/>
      <c r="CP99" s="322"/>
      <c r="CQ99" s="322"/>
      <c r="CR99" s="322"/>
      <c r="CS99" s="322"/>
      <c r="CT99" s="322"/>
      <c r="CU99" s="322"/>
      <c r="CV99" s="322"/>
      <c r="CW99" s="322"/>
      <c r="CX99" s="322"/>
      <c r="CY99" s="322"/>
      <c r="CZ99" s="322"/>
    </row>
    <row r="100" spans="92:104">
      <c r="CN100" s="322"/>
      <c r="CO100" s="322"/>
      <c r="CP100" s="322"/>
      <c r="CQ100" s="322"/>
      <c r="CR100" s="322"/>
      <c r="CS100" s="322"/>
      <c r="CT100" s="322"/>
      <c r="CU100" s="322"/>
      <c r="CV100" s="322"/>
      <c r="CW100" s="322"/>
      <c r="CX100" s="322"/>
      <c r="CY100" s="322"/>
      <c r="CZ100" s="322"/>
    </row>
    <row r="101" spans="92:104">
      <c r="CN101" s="322"/>
      <c r="CO101" s="322"/>
      <c r="CP101" s="322"/>
      <c r="CQ101" s="322"/>
      <c r="CR101" s="322"/>
      <c r="CS101" s="322"/>
      <c r="CT101" s="322"/>
      <c r="CU101" s="322"/>
      <c r="CV101" s="322"/>
      <c r="CW101" s="322"/>
      <c r="CX101" s="322"/>
      <c r="CY101" s="322"/>
      <c r="CZ101" s="322"/>
    </row>
    <row r="102" spans="92:104">
      <c r="CN102" s="322"/>
      <c r="CO102" s="322"/>
      <c r="CP102" s="322"/>
      <c r="CQ102" s="322"/>
      <c r="CR102" s="322"/>
      <c r="CS102" s="322"/>
      <c r="CT102" s="322"/>
      <c r="CU102" s="322"/>
      <c r="CV102" s="322"/>
      <c r="CW102" s="322"/>
      <c r="CX102" s="322"/>
      <c r="CY102" s="322"/>
      <c r="CZ102" s="322"/>
    </row>
    <row r="103" spans="92:104">
      <c r="CN103" s="322"/>
      <c r="CO103" s="322"/>
      <c r="CP103" s="322"/>
      <c r="CQ103" s="322"/>
      <c r="CR103" s="322"/>
      <c r="CS103" s="322"/>
      <c r="CT103" s="322"/>
      <c r="CU103" s="322"/>
      <c r="CV103" s="322"/>
      <c r="CW103" s="322"/>
      <c r="CX103" s="322"/>
      <c r="CY103" s="322"/>
      <c r="CZ103" s="322"/>
    </row>
    <row r="104" spans="92:104">
      <c r="CN104" s="322"/>
      <c r="CO104" s="322"/>
      <c r="CP104" s="322"/>
      <c r="CQ104" s="322"/>
      <c r="CR104" s="322"/>
      <c r="CS104" s="322"/>
      <c r="CT104" s="322"/>
      <c r="CU104" s="322"/>
      <c r="CV104" s="322"/>
      <c r="CW104" s="322"/>
      <c r="CX104" s="322"/>
      <c r="CY104" s="322"/>
      <c r="CZ104" s="322"/>
    </row>
    <row r="105" spans="92:104">
      <c r="CN105" s="322"/>
      <c r="CO105" s="322"/>
      <c r="CP105" s="322"/>
      <c r="CQ105" s="322"/>
      <c r="CR105" s="322"/>
      <c r="CS105" s="322"/>
      <c r="CT105" s="322"/>
      <c r="CU105" s="322"/>
      <c r="CV105" s="322"/>
      <c r="CW105" s="322"/>
      <c r="CX105" s="322"/>
      <c r="CY105" s="322"/>
      <c r="CZ105" s="322"/>
    </row>
    <row r="106" spans="92:104">
      <c r="CN106" s="322"/>
      <c r="CO106" s="322"/>
      <c r="CP106" s="322"/>
      <c r="CQ106" s="322"/>
      <c r="CR106" s="322"/>
      <c r="CS106" s="322"/>
      <c r="CT106" s="322"/>
      <c r="CU106" s="322"/>
      <c r="CV106" s="322"/>
      <c r="CW106" s="322"/>
      <c r="CX106" s="322"/>
      <c r="CY106" s="322"/>
      <c r="CZ106" s="322"/>
    </row>
    <row r="107" spans="92:104">
      <c r="CN107" s="322"/>
      <c r="CO107" s="322"/>
      <c r="CP107" s="322"/>
      <c r="CQ107" s="322"/>
      <c r="CR107" s="322"/>
      <c r="CS107" s="322"/>
      <c r="CT107" s="322"/>
      <c r="CU107" s="322"/>
      <c r="CV107" s="322"/>
      <c r="CW107" s="322"/>
      <c r="CX107" s="322"/>
      <c r="CY107" s="322"/>
      <c r="CZ107" s="322"/>
    </row>
    <row r="108" spans="92:104">
      <c r="CN108" s="322"/>
      <c r="CO108" s="322"/>
      <c r="CP108" s="322"/>
      <c r="CQ108" s="322"/>
      <c r="CR108" s="322"/>
      <c r="CS108" s="322"/>
      <c r="CT108" s="322"/>
      <c r="CU108" s="322"/>
      <c r="CV108" s="322"/>
      <c r="CW108" s="322"/>
      <c r="CX108" s="322"/>
      <c r="CY108" s="322"/>
      <c r="CZ108" s="322"/>
    </row>
    <row r="109" spans="92:104">
      <c r="CN109" s="322"/>
      <c r="CO109" s="322"/>
      <c r="CP109" s="322"/>
      <c r="CQ109" s="322"/>
      <c r="CR109" s="322"/>
      <c r="CS109" s="322"/>
      <c r="CT109" s="322"/>
      <c r="CU109" s="322"/>
      <c r="CV109" s="322"/>
      <c r="CW109" s="322"/>
      <c r="CX109" s="322"/>
      <c r="CY109" s="322"/>
      <c r="CZ109" s="322"/>
    </row>
    <row r="110" spans="92:104">
      <c r="CN110" s="322"/>
      <c r="CO110" s="322"/>
      <c r="CP110" s="322"/>
      <c r="CQ110" s="322"/>
      <c r="CR110" s="322"/>
      <c r="CS110" s="322"/>
      <c r="CT110" s="322"/>
      <c r="CU110" s="322"/>
      <c r="CV110" s="322"/>
      <c r="CW110" s="322"/>
      <c r="CX110" s="322"/>
      <c r="CY110" s="322"/>
      <c r="CZ110" s="322"/>
    </row>
    <row r="111" spans="92:104">
      <c r="CN111" s="322"/>
      <c r="CO111" s="322"/>
      <c r="CP111" s="322"/>
      <c r="CQ111" s="322"/>
      <c r="CR111" s="322"/>
      <c r="CS111" s="322"/>
      <c r="CT111" s="322"/>
      <c r="CU111" s="322"/>
      <c r="CV111" s="322"/>
      <c r="CW111" s="322"/>
      <c r="CX111" s="322"/>
      <c r="CY111" s="322"/>
      <c r="CZ111" s="322"/>
    </row>
    <row r="112" spans="92:104">
      <c r="CN112" s="322"/>
      <c r="CO112" s="322"/>
      <c r="CP112" s="322"/>
      <c r="CQ112" s="322"/>
      <c r="CR112" s="322"/>
      <c r="CS112" s="322"/>
      <c r="CT112" s="322"/>
      <c r="CU112" s="322"/>
      <c r="CV112" s="322"/>
      <c r="CW112" s="322"/>
      <c r="CX112" s="322"/>
      <c r="CY112" s="322"/>
      <c r="CZ112" s="322"/>
    </row>
    <row r="113" spans="92:104">
      <c r="CN113" s="322"/>
      <c r="CO113" s="322"/>
      <c r="CP113" s="322"/>
      <c r="CQ113" s="322"/>
      <c r="CR113" s="322"/>
      <c r="CS113" s="322"/>
      <c r="CT113" s="322"/>
      <c r="CU113" s="322"/>
      <c r="CV113" s="322"/>
      <c r="CW113" s="322"/>
      <c r="CX113" s="322"/>
      <c r="CY113" s="322"/>
      <c r="CZ113" s="322"/>
    </row>
    <row r="114" spans="92:104">
      <c r="CN114" s="322"/>
      <c r="CO114" s="322"/>
      <c r="CP114" s="322"/>
      <c r="CQ114" s="322"/>
      <c r="CR114" s="322"/>
      <c r="CS114" s="322"/>
      <c r="CT114" s="322"/>
      <c r="CU114" s="322"/>
      <c r="CV114" s="322"/>
      <c r="CW114" s="322"/>
      <c r="CX114" s="322"/>
      <c r="CY114" s="322"/>
      <c r="CZ114" s="322"/>
    </row>
    <row r="115" spans="92:104">
      <c r="CN115" s="322"/>
      <c r="CO115" s="322"/>
      <c r="CP115" s="322"/>
      <c r="CQ115" s="322"/>
      <c r="CR115" s="322"/>
      <c r="CS115" s="322"/>
      <c r="CT115" s="322"/>
      <c r="CU115" s="322"/>
      <c r="CV115" s="322"/>
      <c r="CW115" s="322"/>
      <c r="CX115" s="322"/>
      <c r="CY115" s="322"/>
      <c r="CZ115" s="322"/>
    </row>
    <row r="116" spans="92:104">
      <c r="CN116" s="322"/>
      <c r="CO116" s="322"/>
      <c r="CP116" s="322"/>
      <c r="CQ116" s="322"/>
      <c r="CR116" s="322"/>
      <c r="CS116" s="322"/>
      <c r="CT116" s="322"/>
      <c r="CU116" s="322"/>
      <c r="CV116" s="322"/>
      <c r="CW116" s="322"/>
      <c r="CX116" s="322"/>
      <c r="CY116" s="322"/>
      <c r="CZ116" s="322"/>
    </row>
    <row r="117" spans="92:104">
      <c r="CN117" s="322"/>
      <c r="CO117" s="322"/>
      <c r="CP117" s="322"/>
      <c r="CQ117" s="322"/>
      <c r="CR117" s="322"/>
      <c r="CS117" s="322"/>
      <c r="CT117" s="322"/>
      <c r="CU117" s="322"/>
      <c r="CV117" s="322"/>
      <c r="CW117" s="322"/>
      <c r="CX117" s="322"/>
      <c r="CY117" s="322"/>
      <c r="CZ117" s="322"/>
    </row>
    <row r="118" spans="92:104">
      <c r="CN118" s="322"/>
      <c r="CO118" s="322"/>
      <c r="CP118" s="322"/>
      <c r="CQ118" s="322"/>
      <c r="CR118" s="322"/>
      <c r="CS118" s="322"/>
      <c r="CT118" s="322"/>
      <c r="CU118" s="322"/>
      <c r="CV118" s="322"/>
      <c r="CW118" s="322"/>
      <c r="CX118" s="322"/>
      <c r="CY118" s="322"/>
      <c r="CZ118" s="322"/>
    </row>
    <row r="119" spans="92:104">
      <c r="CN119" s="322"/>
      <c r="CO119" s="322"/>
      <c r="CP119" s="322"/>
      <c r="CQ119" s="322"/>
      <c r="CR119" s="322"/>
      <c r="CS119" s="322"/>
      <c r="CT119" s="322"/>
      <c r="CU119" s="322"/>
      <c r="CV119" s="322"/>
      <c r="CW119" s="322"/>
      <c r="CX119" s="322"/>
      <c r="CY119" s="322"/>
      <c r="CZ119" s="322"/>
    </row>
    <row r="120" spans="92:104">
      <c r="CN120" s="322"/>
      <c r="CO120" s="322"/>
      <c r="CP120" s="322"/>
      <c r="CQ120" s="322"/>
      <c r="CR120" s="322"/>
      <c r="CS120" s="322"/>
      <c r="CT120" s="322"/>
      <c r="CU120" s="322"/>
      <c r="CV120" s="322"/>
      <c r="CW120" s="322"/>
      <c r="CX120" s="322"/>
      <c r="CY120" s="322"/>
      <c r="CZ120" s="322"/>
    </row>
    <row r="121" spans="92:104">
      <c r="CN121" s="322"/>
      <c r="CO121" s="322"/>
      <c r="CP121" s="322"/>
      <c r="CQ121" s="322"/>
      <c r="CR121" s="322"/>
      <c r="CS121" s="322"/>
      <c r="CT121" s="322"/>
      <c r="CU121" s="322"/>
      <c r="CV121" s="322"/>
      <c r="CW121" s="322"/>
      <c r="CX121" s="322"/>
      <c r="CY121" s="322"/>
      <c r="CZ121" s="322"/>
    </row>
    <row r="122" spans="92:104">
      <c r="CN122" s="322"/>
      <c r="CO122" s="322"/>
      <c r="CP122" s="322"/>
      <c r="CQ122" s="322"/>
      <c r="CR122" s="322"/>
      <c r="CS122" s="322"/>
      <c r="CT122" s="322"/>
      <c r="CU122" s="322"/>
      <c r="CV122" s="322"/>
      <c r="CW122" s="322"/>
      <c r="CX122" s="322"/>
      <c r="CY122" s="322"/>
      <c r="CZ122" s="322"/>
    </row>
    <row r="123" spans="92:104">
      <c r="CN123" s="322"/>
      <c r="CO123" s="322"/>
      <c r="CP123" s="322"/>
      <c r="CQ123" s="322"/>
      <c r="CR123" s="322"/>
      <c r="CS123" s="322"/>
      <c r="CT123" s="322"/>
      <c r="CU123" s="322"/>
      <c r="CV123" s="322"/>
      <c r="CW123" s="322"/>
      <c r="CX123" s="322"/>
      <c r="CY123" s="322"/>
      <c r="CZ123" s="322"/>
    </row>
    <row r="124" spans="92:104">
      <c r="CN124" s="322"/>
      <c r="CO124" s="322"/>
      <c r="CP124" s="322"/>
      <c r="CQ124" s="322"/>
      <c r="CR124" s="322"/>
      <c r="CS124" s="322"/>
      <c r="CT124" s="322"/>
      <c r="CU124" s="322"/>
      <c r="CV124" s="322"/>
      <c r="CW124" s="322"/>
      <c r="CX124" s="322"/>
      <c r="CY124" s="322"/>
      <c r="CZ124" s="322"/>
    </row>
    <row r="125" spans="92:104">
      <c r="CN125" s="322"/>
      <c r="CO125" s="322"/>
      <c r="CP125" s="322"/>
      <c r="CQ125" s="322"/>
      <c r="CR125" s="322"/>
      <c r="CS125" s="322"/>
      <c r="CT125" s="322"/>
      <c r="CU125" s="322"/>
      <c r="CV125" s="322"/>
      <c r="CW125" s="322"/>
      <c r="CX125" s="322"/>
      <c r="CY125" s="322"/>
      <c r="CZ125" s="322"/>
    </row>
    <row r="126" spans="92:104">
      <c r="CN126" s="322"/>
      <c r="CO126" s="322"/>
      <c r="CP126" s="322"/>
      <c r="CQ126" s="322"/>
      <c r="CR126" s="322"/>
      <c r="CS126" s="322"/>
      <c r="CT126" s="322"/>
      <c r="CU126" s="322"/>
      <c r="CV126" s="322"/>
      <c r="CW126" s="322"/>
      <c r="CX126" s="322"/>
      <c r="CY126" s="322"/>
      <c r="CZ126" s="322"/>
    </row>
    <row r="127" spans="92:104">
      <c r="CN127" s="322"/>
      <c r="CO127" s="322"/>
      <c r="CP127" s="322"/>
      <c r="CQ127" s="322"/>
      <c r="CR127" s="322"/>
      <c r="CS127" s="322"/>
      <c r="CT127" s="322"/>
      <c r="CU127" s="322"/>
      <c r="CV127" s="322"/>
      <c r="CW127" s="322"/>
      <c r="CX127" s="322"/>
      <c r="CY127" s="322"/>
      <c r="CZ127" s="322"/>
    </row>
    <row r="128" spans="92:104">
      <c r="CN128" s="322"/>
      <c r="CO128" s="322"/>
      <c r="CP128" s="322"/>
      <c r="CQ128" s="322"/>
      <c r="CR128" s="322"/>
      <c r="CS128" s="322"/>
      <c r="CT128" s="322"/>
      <c r="CU128" s="322"/>
      <c r="CV128" s="322"/>
      <c r="CW128" s="322"/>
      <c r="CX128" s="322"/>
      <c r="CY128" s="322"/>
      <c r="CZ128" s="322"/>
    </row>
    <row r="129" spans="92:104">
      <c r="CN129" s="322"/>
      <c r="CO129" s="322"/>
      <c r="CP129" s="322"/>
      <c r="CQ129" s="322"/>
      <c r="CR129" s="322"/>
      <c r="CS129" s="322"/>
      <c r="CT129" s="322"/>
      <c r="CU129" s="322"/>
      <c r="CV129" s="322"/>
      <c r="CW129" s="322"/>
      <c r="CX129" s="322"/>
      <c r="CY129" s="322"/>
      <c r="CZ129" s="322"/>
    </row>
    <row r="130" spans="92:104">
      <c r="CN130" s="322"/>
      <c r="CO130" s="322"/>
      <c r="CP130" s="322"/>
      <c r="CQ130" s="322"/>
      <c r="CR130" s="322"/>
      <c r="CS130" s="322"/>
      <c r="CT130" s="322"/>
      <c r="CU130" s="322"/>
      <c r="CV130" s="322"/>
      <c r="CW130" s="322"/>
      <c r="CX130" s="322"/>
      <c r="CY130" s="322"/>
      <c r="CZ130" s="322"/>
    </row>
    <row r="131" spans="92:104">
      <c r="CN131" s="322"/>
      <c r="CO131" s="322"/>
      <c r="CP131" s="322"/>
      <c r="CQ131" s="322"/>
      <c r="CR131" s="322"/>
      <c r="CS131" s="322"/>
      <c r="CT131" s="322"/>
      <c r="CU131" s="322"/>
      <c r="CV131" s="322"/>
      <c r="CW131" s="322"/>
      <c r="CX131" s="322"/>
      <c r="CY131" s="322"/>
      <c r="CZ131" s="322"/>
    </row>
    <row r="132" spans="92:104">
      <c r="CN132" s="322"/>
      <c r="CO132" s="322"/>
      <c r="CP132" s="322"/>
      <c r="CQ132" s="322"/>
      <c r="CR132" s="322"/>
      <c r="CS132" s="322"/>
      <c r="CT132" s="322"/>
      <c r="CU132" s="322"/>
      <c r="CV132" s="322"/>
      <c r="CW132" s="322"/>
      <c r="CX132" s="322"/>
      <c r="CY132" s="322"/>
      <c r="CZ132" s="322"/>
    </row>
    <row r="133" spans="92:104">
      <c r="CN133" s="322"/>
      <c r="CO133" s="322"/>
      <c r="CP133" s="322"/>
      <c r="CQ133" s="322"/>
      <c r="CR133" s="322"/>
      <c r="CS133" s="322"/>
      <c r="CT133" s="322"/>
      <c r="CU133" s="322"/>
      <c r="CV133" s="322"/>
      <c r="CW133" s="322"/>
      <c r="CX133" s="322"/>
      <c r="CY133" s="322"/>
      <c r="CZ133" s="322"/>
    </row>
    <row r="134" spans="92:104">
      <c r="CN134" s="322"/>
      <c r="CO134" s="322"/>
      <c r="CP134" s="322"/>
      <c r="CQ134" s="322"/>
      <c r="CR134" s="322"/>
      <c r="CS134" s="322"/>
      <c r="CT134" s="322"/>
      <c r="CU134" s="322"/>
      <c r="CV134" s="322"/>
      <c r="CW134" s="322"/>
      <c r="CX134" s="322"/>
      <c r="CY134" s="322"/>
      <c r="CZ134" s="322"/>
    </row>
    <row r="135" spans="92:104">
      <c r="CN135" s="322"/>
      <c r="CO135" s="322"/>
      <c r="CP135" s="322"/>
      <c r="CQ135" s="322"/>
      <c r="CR135" s="322"/>
      <c r="CS135" s="322"/>
      <c r="CT135" s="322"/>
      <c r="CU135" s="322"/>
      <c r="CV135" s="322"/>
      <c r="CW135" s="322"/>
      <c r="CX135" s="322"/>
      <c r="CY135" s="322"/>
      <c r="CZ135" s="322"/>
    </row>
    <row r="136" spans="92:104">
      <c r="CN136" s="322"/>
      <c r="CO136" s="322"/>
      <c r="CP136" s="322"/>
      <c r="CQ136" s="322"/>
      <c r="CR136" s="322"/>
      <c r="CS136" s="322"/>
      <c r="CT136" s="322"/>
      <c r="CU136" s="322"/>
      <c r="CV136" s="322"/>
      <c r="CW136" s="322"/>
      <c r="CX136" s="322"/>
      <c r="CY136" s="322"/>
      <c r="CZ136" s="322"/>
    </row>
    <row r="137" spans="92:104">
      <c r="CN137" s="322"/>
      <c r="CO137" s="322"/>
      <c r="CP137" s="322"/>
      <c r="CQ137" s="322"/>
      <c r="CR137" s="322"/>
      <c r="CS137" s="322"/>
      <c r="CT137" s="322"/>
      <c r="CU137" s="322"/>
      <c r="CV137" s="322"/>
      <c r="CW137" s="322"/>
      <c r="CX137" s="322"/>
      <c r="CY137" s="322"/>
      <c r="CZ137" s="322"/>
    </row>
    <row r="138" spans="92:104">
      <c r="CN138" s="322"/>
      <c r="CO138" s="322"/>
      <c r="CP138" s="322"/>
      <c r="CQ138" s="322"/>
      <c r="CR138" s="322"/>
      <c r="CS138" s="322"/>
      <c r="CT138" s="322"/>
      <c r="CU138" s="322"/>
      <c r="CV138" s="322"/>
      <c r="CW138" s="322"/>
      <c r="CX138" s="322"/>
      <c r="CY138" s="322"/>
      <c r="CZ138" s="322"/>
    </row>
    <row r="139" spans="92:104">
      <c r="CN139" s="322"/>
      <c r="CO139" s="322"/>
      <c r="CP139" s="322"/>
      <c r="CQ139" s="322"/>
      <c r="CR139" s="322"/>
      <c r="CS139" s="322"/>
      <c r="CT139" s="322"/>
      <c r="CU139" s="322"/>
      <c r="CV139" s="322"/>
      <c r="CW139" s="322"/>
      <c r="CX139" s="322"/>
      <c r="CY139" s="322"/>
      <c r="CZ139" s="322"/>
    </row>
    <row r="140" spans="92:104">
      <c r="CN140" s="322"/>
      <c r="CO140" s="322"/>
      <c r="CP140" s="322"/>
      <c r="CQ140" s="322"/>
      <c r="CR140" s="322"/>
      <c r="CS140" s="322"/>
      <c r="CT140" s="322"/>
      <c r="CU140" s="322"/>
      <c r="CV140" s="322"/>
      <c r="CW140" s="322"/>
      <c r="CX140" s="322"/>
      <c r="CY140" s="322"/>
      <c r="CZ140" s="322"/>
    </row>
    <row r="141" spans="92:104">
      <c r="CN141" s="322"/>
      <c r="CO141" s="322"/>
      <c r="CP141" s="322"/>
      <c r="CQ141" s="322"/>
      <c r="CR141" s="322"/>
      <c r="CS141" s="322"/>
      <c r="CT141" s="322"/>
      <c r="CU141" s="322"/>
      <c r="CV141" s="322"/>
      <c r="CW141" s="322"/>
      <c r="CX141" s="322"/>
      <c r="CY141" s="322"/>
      <c r="CZ141" s="322"/>
    </row>
    <row r="142" spans="92:104">
      <c r="CN142" s="322"/>
      <c r="CO142" s="322"/>
      <c r="CP142" s="322"/>
      <c r="CQ142" s="322"/>
      <c r="CR142" s="322"/>
      <c r="CS142" s="322"/>
      <c r="CT142" s="322"/>
      <c r="CU142" s="322"/>
      <c r="CV142" s="322"/>
      <c r="CW142" s="322"/>
      <c r="CX142" s="322"/>
      <c r="CY142" s="322"/>
      <c r="CZ142" s="322"/>
    </row>
    <row r="143" spans="92:104">
      <c r="CN143" s="322"/>
      <c r="CO143" s="322"/>
      <c r="CP143" s="322"/>
      <c r="CQ143" s="322"/>
      <c r="CR143" s="322"/>
      <c r="CS143" s="322"/>
      <c r="CT143" s="322"/>
      <c r="CU143" s="322"/>
      <c r="CV143" s="322"/>
      <c r="CW143" s="322"/>
      <c r="CX143" s="322"/>
      <c r="CY143" s="322"/>
      <c r="CZ143" s="322"/>
    </row>
    <row r="144" spans="92:104">
      <c r="CN144" s="322"/>
      <c r="CO144" s="322"/>
      <c r="CP144" s="322"/>
      <c r="CQ144" s="322"/>
      <c r="CR144" s="322"/>
      <c r="CS144" s="322"/>
      <c r="CT144" s="322"/>
      <c r="CU144" s="322"/>
      <c r="CV144" s="322"/>
      <c r="CW144" s="322"/>
      <c r="CX144" s="322"/>
      <c r="CY144" s="322"/>
      <c r="CZ144" s="322"/>
    </row>
    <row r="145" spans="92:104">
      <c r="CN145" s="322"/>
      <c r="CO145" s="322"/>
      <c r="CP145" s="322"/>
      <c r="CQ145" s="322"/>
      <c r="CR145" s="322"/>
      <c r="CS145" s="322"/>
      <c r="CT145" s="322"/>
      <c r="CU145" s="322"/>
      <c r="CV145" s="322"/>
      <c r="CW145" s="322"/>
      <c r="CX145" s="322"/>
      <c r="CY145" s="322"/>
      <c r="CZ145" s="322"/>
    </row>
    <row r="146" spans="92:104">
      <c r="CN146" s="322"/>
      <c r="CO146" s="322"/>
      <c r="CP146" s="322"/>
      <c r="CQ146" s="322"/>
      <c r="CR146" s="322"/>
      <c r="CS146" s="322"/>
      <c r="CT146" s="322"/>
      <c r="CU146" s="322"/>
      <c r="CV146" s="322"/>
      <c r="CW146" s="322"/>
      <c r="CX146" s="322"/>
      <c r="CY146" s="322"/>
      <c r="CZ146" s="322"/>
    </row>
    <row r="147" spans="92:104">
      <c r="CN147" s="322"/>
      <c r="CO147" s="322"/>
      <c r="CP147" s="322"/>
      <c r="CQ147" s="322"/>
      <c r="CR147" s="322"/>
      <c r="CS147" s="322"/>
      <c r="CT147" s="322"/>
      <c r="CU147" s="322"/>
      <c r="CV147" s="322"/>
      <c r="CW147" s="322"/>
      <c r="CX147" s="322"/>
      <c r="CY147" s="322"/>
      <c r="CZ147" s="322"/>
    </row>
    <row r="148" spans="92:104">
      <c r="CN148" s="322"/>
      <c r="CO148" s="322"/>
      <c r="CP148" s="322"/>
      <c r="CQ148" s="322"/>
      <c r="CR148" s="322"/>
      <c r="CS148" s="322"/>
      <c r="CT148" s="322"/>
      <c r="CU148" s="322"/>
      <c r="CV148" s="322"/>
      <c r="CW148" s="322"/>
      <c r="CX148" s="322"/>
      <c r="CY148" s="322"/>
      <c r="CZ148" s="322"/>
    </row>
    <row r="149" spans="92:104">
      <c r="CN149" s="322"/>
      <c r="CO149" s="322"/>
      <c r="CP149" s="322"/>
      <c r="CQ149" s="322"/>
      <c r="CR149" s="322"/>
      <c r="CS149" s="322"/>
      <c r="CT149" s="322"/>
      <c r="CU149" s="322"/>
      <c r="CV149" s="322"/>
      <c r="CW149" s="322"/>
      <c r="CX149" s="322"/>
      <c r="CY149" s="322"/>
      <c r="CZ149" s="322"/>
    </row>
    <row r="150" spans="92:104">
      <c r="CN150" s="322"/>
      <c r="CO150" s="322"/>
      <c r="CP150" s="322"/>
      <c r="CQ150" s="322"/>
      <c r="CR150" s="322"/>
      <c r="CS150" s="322"/>
      <c r="CT150" s="322"/>
      <c r="CU150" s="322"/>
      <c r="CV150" s="322"/>
      <c r="CW150" s="322"/>
      <c r="CX150" s="322"/>
      <c r="CY150" s="322"/>
      <c r="CZ150" s="322"/>
    </row>
    <row r="151" spans="92:104">
      <c r="CN151" s="322"/>
      <c r="CO151" s="322"/>
      <c r="CP151" s="322"/>
      <c r="CQ151" s="322"/>
      <c r="CR151" s="322"/>
      <c r="CS151" s="322"/>
      <c r="CT151" s="322"/>
      <c r="CU151" s="322"/>
      <c r="CV151" s="322"/>
      <c r="CW151" s="322"/>
      <c r="CX151" s="322"/>
      <c r="CY151" s="322"/>
      <c r="CZ151" s="322"/>
    </row>
    <row r="152" spans="92:104">
      <c r="CN152" s="322"/>
      <c r="CO152" s="322"/>
      <c r="CP152" s="322"/>
      <c r="CQ152" s="322"/>
      <c r="CR152" s="322"/>
      <c r="CS152" s="322"/>
      <c r="CT152" s="322"/>
      <c r="CU152" s="322"/>
      <c r="CV152" s="322"/>
      <c r="CW152" s="322"/>
      <c r="CX152" s="322"/>
      <c r="CY152" s="322"/>
      <c r="CZ152" s="322"/>
    </row>
    <row r="153" spans="92:104">
      <c r="CN153" s="322"/>
      <c r="CO153" s="322"/>
      <c r="CP153" s="322"/>
      <c r="CQ153" s="322"/>
      <c r="CR153" s="322"/>
      <c r="CS153" s="322"/>
      <c r="CT153" s="322"/>
      <c r="CU153" s="322"/>
      <c r="CV153" s="322"/>
      <c r="CW153" s="322"/>
      <c r="CX153" s="322"/>
      <c r="CY153" s="322"/>
      <c r="CZ153" s="322"/>
    </row>
    <row r="154" spans="92:104">
      <c r="CN154" s="322"/>
      <c r="CO154" s="322"/>
      <c r="CP154" s="322"/>
      <c r="CQ154" s="322"/>
      <c r="CR154" s="322"/>
      <c r="CS154" s="322"/>
      <c r="CT154" s="322"/>
      <c r="CU154" s="322"/>
      <c r="CV154" s="322"/>
      <c r="CW154" s="322"/>
      <c r="CX154" s="322"/>
      <c r="CY154" s="322"/>
      <c r="CZ154" s="322"/>
    </row>
    <row r="155" spans="92:104">
      <c r="CN155" s="322"/>
      <c r="CO155" s="322"/>
      <c r="CP155" s="322"/>
      <c r="CQ155" s="322"/>
      <c r="CR155" s="322"/>
      <c r="CS155" s="322"/>
      <c r="CT155" s="322"/>
      <c r="CU155" s="322"/>
      <c r="CV155" s="322"/>
      <c r="CW155" s="322"/>
      <c r="CX155" s="322"/>
      <c r="CY155" s="322"/>
      <c r="CZ155" s="322"/>
    </row>
    <row r="156" spans="92:104">
      <c r="CN156" s="322"/>
      <c r="CO156" s="322"/>
      <c r="CP156" s="322"/>
      <c r="CQ156" s="322"/>
      <c r="CR156" s="322"/>
      <c r="CS156" s="322"/>
      <c r="CT156" s="322"/>
      <c r="CU156" s="322"/>
      <c r="CV156" s="322"/>
      <c r="CW156" s="322"/>
      <c r="CX156" s="322"/>
      <c r="CY156" s="322"/>
      <c r="CZ156" s="322"/>
    </row>
    <row r="159" spans="92:104">
      <c r="CN159" s="325"/>
      <c r="CO159" s="325"/>
      <c r="CP159" s="325"/>
      <c r="CQ159" s="325"/>
      <c r="CR159" s="325"/>
      <c r="CS159" s="325"/>
      <c r="CT159" s="325"/>
      <c r="CU159" s="325"/>
      <c r="CV159" s="325"/>
      <c r="CW159" s="325"/>
      <c r="CX159" s="325"/>
      <c r="CY159" s="325"/>
      <c r="CZ159" s="325"/>
    </row>
    <row r="160" spans="92:104">
      <c r="CN160" s="325"/>
      <c r="CO160" s="325"/>
      <c r="CP160" s="325"/>
      <c r="CQ160" s="325"/>
      <c r="CR160" s="325"/>
      <c r="CS160" s="325"/>
      <c r="CT160" s="325"/>
      <c r="CU160" s="325"/>
      <c r="CV160" s="325"/>
      <c r="CW160" s="325"/>
      <c r="CX160" s="325"/>
      <c r="CY160" s="325"/>
      <c r="CZ160" s="325"/>
    </row>
    <row r="161" spans="92:104">
      <c r="CN161" s="325"/>
      <c r="CO161" s="325"/>
      <c r="CP161" s="325"/>
      <c r="CQ161" s="325"/>
      <c r="CR161" s="325"/>
      <c r="CS161" s="325"/>
      <c r="CT161" s="325"/>
      <c r="CU161" s="325"/>
      <c r="CV161" s="325"/>
      <c r="CW161" s="325"/>
      <c r="CX161" s="325"/>
      <c r="CY161" s="325"/>
      <c r="CZ161" s="325"/>
    </row>
    <row r="162" spans="92:104">
      <c r="CN162" s="325"/>
      <c r="CO162" s="325"/>
      <c r="CP162" s="325"/>
      <c r="CQ162" s="325"/>
      <c r="CR162" s="325"/>
      <c r="CS162" s="325"/>
      <c r="CT162" s="325"/>
      <c r="CU162" s="325"/>
      <c r="CV162" s="325"/>
      <c r="CW162" s="325"/>
      <c r="CX162" s="325"/>
      <c r="CY162" s="325"/>
      <c r="CZ162" s="325"/>
    </row>
    <row r="163" spans="92:104">
      <c r="CN163" s="325"/>
      <c r="CO163" s="325"/>
      <c r="CP163" s="325"/>
      <c r="CQ163" s="325"/>
      <c r="CR163" s="325"/>
      <c r="CS163" s="325"/>
      <c r="CT163" s="325"/>
      <c r="CU163" s="325"/>
      <c r="CV163" s="325"/>
      <c r="CW163" s="325"/>
      <c r="CX163" s="325"/>
      <c r="CY163" s="325"/>
      <c r="CZ163" s="325"/>
    </row>
    <row r="164" spans="92:104">
      <c r="CN164" s="325"/>
      <c r="CO164" s="325"/>
      <c r="CP164" s="325"/>
      <c r="CQ164" s="325"/>
      <c r="CR164" s="325"/>
      <c r="CS164" s="325"/>
      <c r="CT164" s="325"/>
      <c r="CU164" s="325"/>
      <c r="CV164" s="325"/>
      <c r="CW164" s="325"/>
      <c r="CX164" s="325"/>
      <c r="CY164" s="325"/>
      <c r="CZ164" s="325"/>
    </row>
    <row r="165" spans="92:104">
      <c r="CN165" s="325"/>
      <c r="CO165" s="325"/>
      <c r="CP165" s="325"/>
      <c r="CQ165" s="325"/>
      <c r="CR165" s="325"/>
      <c r="CS165" s="325"/>
      <c r="CT165" s="325"/>
      <c r="CU165" s="325"/>
      <c r="CV165" s="325"/>
      <c r="CW165" s="325"/>
      <c r="CX165" s="325"/>
      <c r="CY165" s="325"/>
      <c r="CZ165" s="325"/>
    </row>
    <row r="166" spans="92:104">
      <c r="CN166" s="325"/>
      <c r="CO166" s="325"/>
      <c r="CP166" s="325"/>
      <c r="CQ166" s="325"/>
      <c r="CR166" s="325"/>
      <c r="CS166" s="325"/>
      <c r="CT166" s="325"/>
      <c r="CU166" s="325"/>
      <c r="CV166" s="325"/>
      <c r="CW166" s="325"/>
      <c r="CX166" s="325"/>
      <c r="CY166" s="325"/>
      <c r="CZ166" s="325"/>
    </row>
    <row r="167" spans="92:104">
      <c r="CN167" s="325"/>
      <c r="CO167" s="325"/>
      <c r="CP167" s="325"/>
      <c r="CQ167" s="325"/>
      <c r="CR167" s="325"/>
      <c r="CS167" s="325"/>
      <c r="CT167" s="325"/>
      <c r="CU167" s="325"/>
      <c r="CV167" s="325"/>
      <c r="CW167" s="325"/>
      <c r="CX167" s="325"/>
      <c r="CY167" s="325"/>
      <c r="CZ167" s="325"/>
    </row>
    <row r="168" spans="92:104">
      <c r="CN168" s="325"/>
      <c r="CO168" s="325"/>
      <c r="CP168" s="325"/>
      <c r="CQ168" s="325"/>
      <c r="CR168" s="325"/>
      <c r="CS168" s="325"/>
      <c r="CT168" s="325"/>
      <c r="CU168" s="325"/>
      <c r="CV168" s="325"/>
      <c r="CW168" s="325"/>
      <c r="CX168" s="325"/>
      <c r="CY168" s="325"/>
      <c r="CZ168" s="325"/>
    </row>
    <row r="169" spans="92:104">
      <c r="CN169" s="325"/>
      <c r="CO169" s="325"/>
      <c r="CP169" s="325"/>
      <c r="CQ169" s="325"/>
      <c r="CR169" s="325"/>
      <c r="CS169" s="325"/>
      <c r="CT169" s="325"/>
      <c r="CU169" s="325"/>
      <c r="CV169" s="325"/>
      <c r="CW169" s="325"/>
      <c r="CX169" s="325"/>
      <c r="CY169" s="325"/>
      <c r="CZ169" s="325"/>
    </row>
    <row r="170" spans="92:104">
      <c r="CN170" s="325"/>
      <c r="CO170" s="325"/>
      <c r="CP170" s="325"/>
      <c r="CQ170" s="325"/>
      <c r="CR170" s="325"/>
      <c r="CS170" s="325"/>
      <c r="CT170" s="325"/>
      <c r="CU170" s="325"/>
      <c r="CV170" s="325"/>
      <c r="CW170" s="325"/>
      <c r="CX170" s="325"/>
      <c r="CY170" s="325"/>
      <c r="CZ170" s="325"/>
    </row>
    <row r="171" spans="92:104">
      <c r="CN171" s="325"/>
      <c r="CO171" s="325"/>
      <c r="CP171" s="325"/>
      <c r="CQ171" s="325"/>
      <c r="CR171" s="325"/>
      <c r="CS171" s="325"/>
      <c r="CT171" s="325"/>
      <c r="CU171" s="325"/>
      <c r="CV171" s="325"/>
      <c r="CW171" s="325"/>
      <c r="CX171" s="325"/>
      <c r="CY171" s="325"/>
      <c r="CZ171" s="325"/>
    </row>
    <row r="172" spans="92:104">
      <c r="CN172" s="325"/>
      <c r="CO172" s="325"/>
      <c r="CP172" s="325"/>
      <c r="CQ172" s="325"/>
      <c r="CR172" s="325"/>
      <c r="CS172" s="325"/>
      <c r="CT172" s="325"/>
      <c r="CU172" s="325"/>
      <c r="CV172" s="325"/>
      <c r="CW172" s="325"/>
      <c r="CX172" s="325"/>
      <c r="CY172" s="325"/>
      <c r="CZ172" s="325"/>
    </row>
    <row r="173" spans="92:104">
      <c r="CN173" s="325"/>
      <c r="CO173" s="325"/>
      <c r="CP173" s="325"/>
      <c r="CQ173" s="325"/>
      <c r="CR173" s="325"/>
      <c r="CS173" s="325"/>
      <c r="CT173" s="325"/>
      <c r="CU173" s="325"/>
      <c r="CV173" s="325"/>
      <c r="CW173" s="325"/>
      <c r="CX173" s="325"/>
      <c r="CY173" s="325"/>
      <c r="CZ173" s="325"/>
    </row>
    <row r="174" spans="92:104">
      <c r="CN174" s="325"/>
      <c r="CO174" s="325"/>
      <c r="CP174" s="325"/>
      <c r="CQ174" s="325"/>
      <c r="CR174" s="325"/>
      <c r="CS174" s="325"/>
      <c r="CT174" s="325"/>
      <c r="CU174" s="325"/>
      <c r="CV174" s="325"/>
      <c r="CW174" s="325"/>
      <c r="CX174" s="325"/>
      <c r="CY174" s="325"/>
      <c r="CZ174" s="325"/>
    </row>
    <row r="175" spans="92:104">
      <c r="CN175" s="325"/>
      <c r="CO175" s="325"/>
      <c r="CP175" s="325"/>
      <c r="CQ175" s="325"/>
      <c r="CR175" s="325"/>
      <c r="CS175" s="325"/>
      <c r="CT175" s="325"/>
      <c r="CU175" s="325"/>
      <c r="CV175" s="325"/>
      <c r="CW175" s="325"/>
      <c r="CX175" s="325"/>
      <c r="CY175" s="325"/>
      <c r="CZ175" s="325"/>
    </row>
    <row r="176" spans="92:104">
      <c r="CN176" s="325"/>
      <c r="CO176" s="325"/>
      <c r="CP176" s="325"/>
      <c r="CQ176" s="325"/>
      <c r="CR176" s="325"/>
      <c r="CS176" s="325"/>
      <c r="CT176" s="325"/>
      <c r="CU176" s="325"/>
      <c r="CV176" s="325"/>
      <c r="CW176" s="325"/>
      <c r="CX176" s="325"/>
      <c r="CY176" s="325"/>
      <c r="CZ176" s="325"/>
    </row>
    <row r="177" spans="92:104">
      <c r="CN177" s="325"/>
      <c r="CO177" s="325"/>
      <c r="CP177" s="325"/>
      <c r="CQ177" s="325"/>
      <c r="CR177" s="325"/>
      <c r="CS177" s="325"/>
      <c r="CT177" s="325"/>
      <c r="CU177" s="325"/>
      <c r="CV177" s="325"/>
      <c r="CW177" s="325"/>
      <c r="CX177" s="325"/>
      <c r="CY177" s="325"/>
      <c r="CZ177" s="325"/>
    </row>
    <row r="178" spans="92:104">
      <c r="CN178" s="325"/>
      <c r="CO178" s="325"/>
      <c r="CP178" s="325"/>
      <c r="CQ178" s="325"/>
      <c r="CR178" s="325"/>
      <c r="CS178" s="325"/>
      <c r="CT178" s="325"/>
      <c r="CU178" s="325"/>
      <c r="CV178" s="325"/>
      <c r="CW178" s="325"/>
      <c r="CX178" s="325"/>
      <c r="CY178" s="325"/>
      <c r="CZ178" s="325"/>
    </row>
    <row r="179" spans="92:104">
      <c r="CN179" s="325"/>
      <c r="CO179" s="325"/>
      <c r="CP179" s="325"/>
      <c r="CQ179" s="325"/>
      <c r="CR179" s="325"/>
      <c r="CS179" s="325"/>
      <c r="CT179" s="325"/>
      <c r="CU179" s="325"/>
      <c r="CV179" s="325"/>
      <c r="CW179" s="325"/>
      <c r="CX179" s="325"/>
      <c r="CY179" s="325"/>
      <c r="CZ179" s="325"/>
    </row>
    <row r="180" spans="92:104">
      <c r="CN180" s="325"/>
      <c r="CO180" s="325"/>
      <c r="CP180" s="325"/>
      <c r="CQ180" s="325"/>
      <c r="CR180" s="325"/>
      <c r="CS180" s="325"/>
      <c r="CT180" s="325"/>
      <c r="CU180" s="325"/>
      <c r="CV180" s="325"/>
      <c r="CW180" s="325"/>
      <c r="CX180" s="325"/>
      <c r="CY180" s="325"/>
      <c r="CZ180" s="325"/>
    </row>
    <row r="181" spans="92:104">
      <c r="CN181" s="325"/>
      <c r="CO181" s="325"/>
      <c r="CP181" s="325"/>
      <c r="CQ181" s="325"/>
      <c r="CR181" s="325"/>
      <c r="CS181" s="325"/>
      <c r="CT181" s="325"/>
      <c r="CU181" s="325"/>
      <c r="CV181" s="325"/>
      <c r="CW181" s="325"/>
      <c r="CX181" s="325"/>
      <c r="CY181" s="325"/>
      <c r="CZ181" s="325"/>
    </row>
    <row r="182" spans="92:104">
      <c r="CN182" s="325"/>
      <c r="CO182" s="325"/>
      <c r="CP182" s="325"/>
      <c r="CQ182" s="325"/>
      <c r="CR182" s="325"/>
      <c r="CS182" s="325"/>
      <c r="CT182" s="325"/>
      <c r="CU182" s="325"/>
      <c r="CV182" s="325"/>
      <c r="CW182" s="325"/>
      <c r="CX182" s="325"/>
      <c r="CY182" s="325"/>
      <c r="CZ182" s="325"/>
    </row>
    <row r="183" spans="92:104">
      <c r="CN183" s="325"/>
      <c r="CO183" s="325"/>
      <c r="CP183" s="325"/>
      <c r="CQ183" s="325"/>
      <c r="CR183" s="325"/>
      <c r="CS183" s="325"/>
      <c r="CT183" s="325"/>
      <c r="CU183" s="325"/>
      <c r="CV183" s="325"/>
      <c r="CW183" s="325"/>
      <c r="CX183" s="325"/>
      <c r="CY183" s="325"/>
      <c r="CZ183" s="325"/>
    </row>
    <row r="184" spans="92:104">
      <c r="CN184" s="325"/>
      <c r="CO184" s="325"/>
      <c r="CP184" s="325"/>
      <c r="CQ184" s="325"/>
      <c r="CR184" s="325"/>
      <c r="CS184" s="325"/>
      <c r="CT184" s="325"/>
      <c r="CU184" s="325"/>
      <c r="CV184" s="325"/>
      <c r="CW184" s="325"/>
      <c r="CX184" s="325"/>
      <c r="CY184" s="325"/>
      <c r="CZ184" s="325"/>
    </row>
    <row r="185" spans="92:104">
      <c r="CN185" s="325"/>
      <c r="CO185" s="325"/>
      <c r="CP185" s="325"/>
      <c r="CQ185" s="325"/>
      <c r="CR185" s="325"/>
      <c r="CS185" s="325"/>
      <c r="CT185" s="325"/>
      <c r="CU185" s="325"/>
      <c r="CV185" s="325"/>
      <c r="CW185" s="325"/>
      <c r="CX185" s="325"/>
      <c r="CY185" s="325"/>
      <c r="CZ185" s="325"/>
    </row>
    <row r="186" spans="92:104">
      <c r="CN186" s="325"/>
      <c r="CO186" s="325"/>
      <c r="CP186" s="325"/>
      <c r="CQ186" s="325"/>
      <c r="CR186" s="325"/>
      <c r="CS186" s="325"/>
      <c r="CT186" s="325"/>
      <c r="CU186" s="325"/>
      <c r="CV186" s="325"/>
      <c r="CW186" s="325"/>
      <c r="CX186" s="325"/>
      <c r="CY186" s="325"/>
      <c r="CZ186" s="325"/>
    </row>
    <row r="187" spans="92:104">
      <c r="CN187" s="325"/>
      <c r="CO187" s="325"/>
      <c r="CP187" s="325"/>
      <c r="CQ187" s="325"/>
      <c r="CR187" s="325"/>
      <c r="CS187" s="325"/>
      <c r="CT187" s="325"/>
      <c r="CU187" s="325"/>
      <c r="CV187" s="325"/>
      <c r="CW187" s="325"/>
      <c r="CX187" s="325"/>
      <c r="CY187" s="325"/>
      <c r="CZ187" s="325"/>
    </row>
    <row r="188" spans="92:104">
      <c r="CN188" s="325"/>
      <c r="CO188" s="325"/>
      <c r="CP188" s="325"/>
      <c r="CQ188" s="325"/>
      <c r="CR188" s="325"/>
      <c r="CS188" s="325"/>
      <c r="CT188" s="325"/>
      <c r="CU188" s="325"/>
      <c r="CV188" s="325"/>
      <c r="CW188" s="325"/>
      <c r="CX188" s="325"/>
      <c r="CY188" s="325"/>
      <c r="CZ188" s="325"/>
    </row>
    <row r="189" spans="92:104">
      <c r="CN189" s="325"/>
      <c r="CO189" s="325"/>
      <c r="CP189" s="325"/>
      <c r="CQ189" s="325"/>
      <c r="CR189" s="325"/>
      <c r="CS189" s="325"/>
      <c r="CT189" s="325"/>
      <c r="CU189" s="325"/>
      <c r="CV189" s="325"/>
      <c r="CW189" s="325"/>
      <c r="CX189" s="325"/>
      <c r="CY189" s="325"/>
      <c r="CZ189" s="325"/>
    </row>
    <row r="190" spans="92:104">
      <c r="CN190" s="325"/>
      <c r="CO190" s="325"/>
      <c r="CP190" s="325"/>
      <c r="CQ190" s="325"/>
      <c r="CR190" s="325"/>
      <c r="CS190" s="325"/>
      <c r="CT190" s="325"/>
      <c r="CU190" s="325"/>
      <c r="CV190" s="325"/>
      <c r="CW190" s="325"/>
      <c r="CX190" s="325"/>
      <c r="CY190" s="325"/>
      <c r="CZ190" s="325"/>
    </row>
    <row r="191" spans="92:104">
      <c r="CN191" s="325"/>
      <c r="CO191" s="325"/>
      <c r="CP191" s="325"/>
      <c r="CQ191" s="325"/>
      <c r="CR191" s="325"/>
      <c r="CS191" s="325"/>
      <c r="CT191" s="325"/>
      <c r="CU191" s="325"/>
      <c r="CV191" s="325"/>
      <c r="CW191" s="325"/>
      <c r="CX191" s="325"/>
      <c r="CY191" s="325"/>
      <c r="CZ191" s="325"/>
    </row>
    <row r="192" spans="92:104">
      <c r="CN192" s="325"/>
      <c r="CO192" s="325"/>
      <c r="CP192" s="325"/>
      <c r="CQ192" s="325"/>
      <c r="CR192" s="325"/>
      <c r="CS192" s="325"/>
      <c r="CT192" s="325"/>
      <c r="CU192" s="325"/>
      <c r="CV192" s="325"/>
      <c r="CW192" s="325"/>
      <c r="CX192" s="325"/>
      <c r="CY192" s="325"/>
      <c r="CZ192" s="325"/>
    </row>
    <row r="193" spans="92:104">
      <c r="CN193" s="325"/>
      <c r="CO193" s="325"/>
      <c r="CP193" s="325"/>
      <c r="CQ193" s="325"/>
      <c r="CR193" s="325"/>
      <c r="CS193" s="325"/>
      <c r="CT193" s="325"/>
      <c r="CU193" s="325"/>
      <c r="CV193" s="325"/>
      <c r="CW193" s="325"/>
      <c r="CX193" s="325"/>
      <c r="CY193" s="325"/>
      <c r="CZ193" s="325"/>
    </row>
    <row r="194" spans="92:104">
      <c r="CN194" s="325"/>
      <c r="CO194" s="325"/>
      <c r="CP194" s="325"/>
      <c r="CQ194" s="325"/>
      <c r="CR194" s="325"/>
      <c r="CS194" s="325"/>
      <c r="CT194" s="325"/>
      <c r="CU194" s="325"/>
      <c r="CV194" s="325"/>
      <c r="CW194" s="325"/>
      <c r="CX194" s="325"/>
      <c r="CY194" s="325"/>
      <c r="CZ194" s="325"/>
    </row>
    <row r="195" spans="92:104">
      <c r="CN195" s="325"/>
      <c r="CO195" s="325"/>
      <c r="CP195" s="325"/>
      <c r="CQ195" s="325"/>
      <c r="CR195" s="325"/>
      <c r="CS195" s="325"/>
      <c r="CT195" s="325"/>
      <c r="CU195" s="325"/>
      <c r="CV195" s="325"/>
      <c r="CW195" s="325"/>
      <c r="CX195" s="325"/>
      <c r="CY195" s="325"/>
      <c r="CZ195" s="325"/>
    </row>
    <row r="196" spans="92:104">
      <c r="CN196" s="325"/>
      <c r="CO196" s="325"/>
      <c r="CP196" s="325"/>
      <c r="CQ196" s="325"/>
      <c r="CR196" s="325"/>
      <c r="CS196" s="325"/>
      <c r="CT196" s="325"/>
      <c r="CU196" s="325"/>
      <c r="CV196" s="325"/>
      <c r="CW196" s="325"/>
      <c r="CX196" s="325"/>
      <c r="CY196" s="325"/>
      <c r="CZ196" s="325"/>
    </row>
    <row r="197" spans="92:104">
      <c r="CN197" s="325"/>
      <c r="CO197" s="325"/>
      <c r="CP197" s="325"/>
      <c r="CQ197" s="325"/>
      <c r="CR197" s="325"/>
      <c r="CS197" s="325"/>
      <c r="CT197" s="325"/>
      <c r="CU197" s="325"/>
      <c r="CV197" s="325"/>
      <c r="CW197" s="325"/>
      <c r="CX197" s="325"/>
      <c r="CY197" s="325"/>
      <c r="CZ197" s="325"/>
    </row>
    <row r="198" spans="92:104">
      <c r="CN198" s="325"/>
      <c r="CO198" s="325"/>
      <c r="CP198" s="325"/>
      <c r="CQ198" s="325"/>
      <c r="CR198" s="325"/>
      <c r="CS198" s="325"/>
      <c r="CT198" s="325"/>
      <c r="CU198" s="325"/>
      <c r="CV198" s="325"/>
      <c r="CW198" s="325"/>
      <c r="CX198" s="325"/>
      <c r="CY198" s="325"/>
      <c r="CZ198" s="325"/>
    </row>
    <row r="199" spans="92:104">
      <c r="CN199" s="325"/>
      <c r="CO199" s="325"/>
      <c r="CP199" s="325"/>
      <c r="CQ199" s="325"/>
      <c r="CR199" s="325"/>
      <c r="CS199" s="325"/>
      <c r="CT199" s="325"/>
      <c r="CU199" s="325"/>
      <c r="CV199" s="325"/>
      <c r="CW199" s="325"/>
      <c r="CX199" s="325"/>
      <c r="CY199" s="325"/>
      <c r="CZ199" s="325"/>
    </row>
    <row r="200" spans="92:104">
      <c r="CN200" s="325"/>
      <c r="CO200" s="325"/>
      <c r="CP200" s="325"/>
      <c r="CQ200" s="325"/>
      <c r="CR200" s="325"/>
      <c r="CS200" s="325"/>
      <c r="CT200" s="325"/>
      <c r="CU200" s="325"/>
      <c r="CV200" s="325"/>
      <c r="CW200" s="325"/>
      <c r="CX200" s="325"/>
      <c r="CY200" s="325"/>
      <c r="CZ200" s="325"/>
    </row>
    <row r="201" spans="92:104">
      <c r="CN201" s="325"/>
      <c r="CO201" s="325"/>
      <c r="CP201" s="325"/>
      <c r="CQ201" s="325"/>
      <c r="CR201" s="325"/>
      <c r="CS201" s="325"/>
      <c r="CT201" s="325"/>
      <c r="CU201" s="325"/>
      <c r="CV201" s="325"/>
      <c r="CW201" s="325"/>
      <c r="CX201" s="325"/>
      <c r="CY201" s="325"/>
      <c r="CZ201" s="325"/>
    </row>
    <row r="202" spans="92:104">
      <c r="CN202" s="325"/>
      <c r="CO202" s="325"/>
      <c r="CP202" s="325"/>
      <c r="CQ202" s="325"/>
      <c r="CR202" s="325"/>
      <c r="CS202" s="325"/>
      <c r="CT202" s="325"/>
      <c r="CU202" s="325"/>
      <c r="CV202" s="325"/>
      <c r="CW202" s="325"/>
      <c r="CX202" s="325"/>
      <c r="CY202" s="325"/>
      <c r="CZ202" s="325"/>
    </row>
    <row r="203" spans="92:104">
      <c r="CN203" s="325"/>
      <c r="CO203" s="325"/>
      <c r="CP203" s="325"/>
      <c r="CQ203" s="325"/>
      <c r="CR203" s="325"/>
      <c r="CS203" s="325"/>
      <c r="CT203" s="325"/>
      <c r="CU203" s="325"/>
      <c r="CV203" s="325"/>
      <c r="CW203" s="325"/>
      <c r="CX203" s="325"/>
      <c r="CY203" s="325"/>
      <c r="CZ203" s="325"/>
    </row>
    <row r="204" spans="92:104">
      <c r="CN204" s="325"/>
      <c r="CO204" s="325"/>
      <c r="CP204" s="325"/>
      <c r="CQ204" s="325"/>
      <c r="CR204" s="325"/>
      <c r="CS204" s="325"/>
      <c r="CT204" s="325"/>
      <c r="CU204" s="325"/>
      <c r="CV204" s="325"/>
      <c r="CW204" s="325"/>
      <c r="CX204" s="325"/>
      <c r="CY204" s="325"/>
      <c r="CZ204" s="325"/>
    </row>
    <row r="205" spans="92:104">
      <c r="CN205" s="325"/>
      <c r="CO205" s="325"/>
      <c r="CP205" s="325"/>
      <c r="CQ205" s="325"/>
      <c r="CR205" s="325"/>
      <c r="CS205" s="325"/>
      <c r="CT205" s="325"/>
      <c r="CU205" s="325"/>
      <c r="CV205" s="325"/>
      <c r="CW205" s="325"/>
      <c r="CX205" s="325"/>
      <c r="CY205" s="325"/>
      <c r="CZ205" s="325"/>
    </row>
    <row r="206" spans="92:104">
      <c r="CN206" s="325"/>
      <c r="CO206" s="325"/>
      <c r="CP206" s="325"/>
      <c r="CQ206" s="325"/>
      <c r="CR206" s="325"/>
      <c r="CS206" s="325"/>
      <c r="CT206" s="325"/>
      <c r="CU206" s="325"/>
      <c r="CV206" s="325"/>
      <c r="CW206" s="325"/>
      <c r="CX206" s="325"/>
      <c r="CY206" s="325"/>
      <c r="CZ206" s="325"/>
    </row>
    <row r="207" spans="92:104">
      <c r="CN207" s="325"/>
      <c r="CO207" s="325"/>
      <c r="CP207" s="325"/>
      <c r="CQ207" s="325"/>
      <c r="CR207" s="325"/>
      <c r="CS207" s="325"/>
      <c r="CT207" s="325"/>
      <c r="CU207" s="325"/>
      <c r="CV207" s="325"/>
      <c r="CW207" s="325"/>
      <c r="CX207" s="325"/>
      <c r="CY207" s="325"/>
      <c r="CZ207" s="325"/>
    </row>
    <row r="208" spans="92:104">
      <c r="CN208" s="325"/>
      <c r="CO208" s="325"/>
      <c r="CP208" s="325"/>
      <c r="CQ208" s="325"/>
      <c r="CR208" s="325"/>
      <c r="CS208" s="325"/>
      <c r="CT208" s="325"/>
      <c r="CU208" s="325"/>
      <c r="CV208" s="325"/>
      <c r="CW208" s="325"/>
      <c r="CX208" s="325"/>
      <c r="CY208" s="325"/>
      <c r="CZ208" s="325"/>
    </row>
    <row r="209" spans="92:104">
      <c r="CN209" s="325"/>
      <c r="CO209" s="325"/>
      <c r="CP209" s="325"/>
      <c r="CQ209" s="325"/>
      <c r="CR209" s="325"/>
      <c r="CS209" s="325"/>
      <c r="CT209" s="325"/>
      <c r="CU209" s="325"/>
      <c r="CV209" s="325"/>
      <c r="CW209" s="325"/>
      <c r="CX209" s="325"/>
      <c r="CY209" s="325"/>
      <c r="CZ209" s="325"/>
    </row>
    <row r="210" spans="92:104">
      <c r="CN210" s="325"/>
      <c r="CO210" s="325"/>
      <c r="CP210" s="325"/>
      <c r="CQ210" s="325"/>
      <c r="CR210" s="325"/>
      <c r="CS210" s="325"/>
      <c r="CT210" s="325"/>
      <c r="CU210" s="325"/>
      <c r="CV210" s="325"/>
      <c r="CW210" s="325"/>
      <c r="CX210" s="325"/>
      <c r="CY210" s="325"/>
      <c r="CZ210" s="325"/>
    </row>
    <row r="211" spans="92:104">
      <c r="CN211" s="325"/>
      <c r="CO211" s="325"/>
      <c r="CP211" s="325"/>
      <c r="CQ211" s="325"/>
      <c r="CR211" s="325"/>
      <c r="CS211" s="325"/>
      <c r="CT211" s="325"/>
      <c r="CU211" s="325"/>
      <c r="CV211" s="325"/>
      <c r="CW211" s="325"/>
      <c r="CX211" s="325"/>
      <c r="CY211" s="325"/>
      <c r="CZ211" s="325"/>
    </row>
    <row r="212" spans="92:104">
      <c r="CN212" s="325"/>
      <c r="CO212" s="325"/>
      <c r="CP212" s="325"/>
      <c r="CQ212" s="325"/>
      <c r="CR212" s="325"/>
      <c r="CS212" s="325"/>
      <c r="CT212" s="325"/>
      <c r="CU212" s="325"/>
      <c r="CV212" s="325"/>
      <c r="CW212" s="325"/>
      <c r="CX212" s="325"/>
      <c r="CY212" s="325"/>
      <c r="CZ212" s="325"/>
    </row>
    <row r="213" spans="92:104">
      <c r="CN213" s="325"/>
      <c r="CO213" s="325"/>
      <c r="CP213" s="325"/>
      <c r="CQ213" s="325"/>
      <c r="CR213" s="325"/>
      <c r="CS213" s="325"/>
      <c r="CT213" s="325"/>
      <c r="CU213" s="325"/>
      <c r="CV213" s="325"/>
      <c r="CW213" s="325"/>
      <c r="CX213" s="325"/>
      <c r="CY213" s="325"/>
      <c r="CZ213" s="325"/>
    </row>
    <row r="214" spans="92:104">
      <c r="CN214" s="325"/>
      <c r="CO214" s="325"/>
      <c r="CP214" s="325"/>
      <c r="CQ214" s="325"/>
      <c r="CR214" s="325"/>
      <c r="CS214" s="325"/>
      <c r="CT214" s="325"/>
      <c r="CU214" s="325"/>
      <c r="CV214" s="325"/>
      <c r="CW214" s="325"/>
      <c r="CX214" s="325"/>
      <c r="CY214" s="325"/>
      <c r="CZ214" s="325"/>
    </row>
    <row r="215" spans="92:104">
      <c r="CN215" s="325"/>
      <c r="CO215" s="325"/>
      <c r="CP215" s="325"/>
      <c r="CQ215" s="325"/>
      <c r="CR215" s="325"/>
      <c r="CS215" s="325"/>
      <c r="CT215" s="325"/>
      <c r="CU215" s="325"/>
      <c r="CV215" s="325"/>
      <c r="CW215" s="325"/>
      <c r="CX215" s="325"/>
      <c r="CY215" s="325"/>
      <c r="CZ215" s="325"/>
    </row>
    <row r="216" spans="92:104">
      <c r="CN216" s="325"/>
      <c r="CO216" s="325"/>
      <c r="CP216" s="325"/>
      <c r="CQ216" s="325"/>
      <c r="CR216" s="325"/>
      <c r="CS216" s="325"/>
      <c r="CT216" s="325"/>
      <c r="CU216" s="325"/>
      <c r="CV216" s="325"/>
      <c r="CW216" s="325"/>
      <c r="CX216" s="325"/>
      <c r="CY216" s="325"/>
      <c r="CZ216" s="325"/>
    </row>
    <row r="217" spans="92:104">
      <c r="CN217" s="325"/>
      <c r="CO217" s="325"/>
      <c r="CP217" s="325"/>
      <c r="CQ217" s="325"/>
      <c r="CR217" s="325"/>
      <c r="CS217" s="325"/>
      <c r="CT217" s="325"/>
      <c r="CU217" s="325"/>
      <c r="CV217" s="325"/>
      <c r="CW217" s="325"/>
      <c r="CX217" s="325"/>
      <c r="CY217" s="325"/>
      <c r="CZ217" s="325"/>
    </row>
    <row r="218" spans="92:104">
      <c r="CN218" s="325"/>
      <c r="CO218" s="325"/>
      <c r="CP218" s="325"/>
      <c r="CQ218" s="325"/>
      <c r="CR218" s="325"/>
      <c r="CS218" s="325"/>
      <c r="CT218" s="325"/>
      <c r="CU218" s="325"/>
      <c r="CV218" s="325"/>
      <c r="CW218" s="325"/>
      <c r="CX218" s="325"/>
      <c r="CY218" s="325"/>
      <c r="CZ218" s="325"/>
    </row>
    <row r="219" spans="92:104">
      <c r="CN219" s="325"/>
      <c r="CO219" s="325"/>
      <c r="CP219" s="325"/>
      <c r="CQ219" s="325"/>
      <c r="CR219" s="325"/>
      <c r="CS219" s="325"/>
      <c r="CT219" s="325"/>
      <c r="CU219" s="325"/>
      <c r="CV219" s="325"/>
      <c r="CW219" s="325"/>
      <c r="CX219" s="325"/>
      <c r="CY219" s="325"/>
      <c r="CZ219" s="325"/>
    </row>
    <row r="220" spans="92:104">
      <c r="CN220" s="325"/>
      <c r="CO220" s="325"/>
      <c r="CP220" s="325"/>
      <c r="CQ220" s="325"/>
      <c r="CR220" s="325"/>
      <c r="CS220" s="325"/>
      <c r="CT220" s="325"/>
      <c r="CU220" s="325"/>
      <c r="CV220" s="325"/>
      <c r="CW220" s="325"/>
      <c r="CX220" s="325"/>
      <c r="CY220" s="325"/>
      <c r="CZ220" s="325"/>
    </row>
    <row r="221" spans="92:104">
      <c r="CN221" s="325"/>
      <c r="CO221" s="325"/>
      <c r="CP221" s="325"/>
      <c r="CQ221" s="325"/>
      <c r="CR221" s="325"/>
      <c r="CS221" s="325"/>
      <c r="CT221" s="325"/>
      <c r="CU221" s="325"/>
      <c r="CV221" s="325"/>
      <c r="CW221" s="325"/>
      <c r="CX221" s="325"/>
      <c r="CY221" s="325"/>
      <c r="CZ221" s="325"/>
    </row>
    <row r="222" spans="92:104">
      <c r="CN222" s="325"/>
      <c r="CO222" s="325"/>
      <c r="CP222" s="325"/>
      <c r="CQ222" s="325"/>
      <c r="CR222" s="325"/>
      <c r="CS222" s="325"/>
      <c r="CT222" s="325"/>
      <c r="CU222" s="325"/>
      <c r="CV222" s="325"/>
      <c r="CW222" s="325"/>
      <c r="CX222" s="325"/>
      <c r="CY222" s="325"/>
      <c r="CZ222" s="325"/>
    </row>
    <row r="223" spans="92:104">
      <c r="CN223" s="325"/>
      <c r="CO223" s="325"/>
      <c r="CP223" s="325"/>
      <c r="CQ223" s="325"/>
      <c r="CR223" s="325"/>
      <c r="CS223" s="325"/>
      <c r="CT223" s="325"/>
      <c r="CU223" s="325"/>
      <c r="CV223" s="325"/>
      <c r="CW223" s="325"/>
      <c r="CX223" s="325"/>
      <c r="CY223" s="325"/>
      <c r="CZ223" s="325"/>
    </row>
    <row r="224" spans="92:104">
      <c r="CN224" s="325"/>
      <c r="CO224" s="325"/>
      <c r="CP224" s="325"/>
      <c r="CQ224" s="325"/>
      <c r="CR224" s="325"/>
      <c r="CS224" s="325"/>
      <c r="CT224" s="325"/>
      <c r="CU224" s="325"/>
      <c r="CV224" s="325"/>
      <c r="CW224" s="325"/>
      <c r="CX224" s="325"/>
      <c r="CY224" s="325"/>
      <c r="CZ224" s="325"/>
    </row>
    <row r="225" spans="92:104">
      <c r="CN225" s="325"/>
      <c r="CO225" s="325"/>
      <c r="CP225" s="325"/>
      <c r="CQ225" s="325"/>
      <c r="CR225" s="325"/>
      <c r="CS225" s="325"/>
      <c r="CT225" s="325"/>
      <c r="CU225" s="325"/>
      <c r="CV225" s="325"/>
      <c r="CW225" s="325"/>
      <c r="CX225" s="325"/>
      <c r="CY225" s="325"/>
      <c r="CZ225" s="325"/>
    </row>
    <row r="226" spans="92:104">
      <c r="CN226" s="325"/>
      <c r="CO226" s="325"/>
      <c r="CP226" s="325"/>
      <c r="CQ226" s="325"/>
      <c r="CR226" s="325"/>
      <c r="CS226" s="325"/>
      <c r="CT226" s="325"/>
      <c r="CU226" s="325"/>
      <c r="CV226" s="325"/>
      <c r="CW226" s="325"/>
      <c r="CX226" s="325"/>
      <c r="CY226" s="325"/>
      <c r="CZ226" s="325"/>
    </row>
    <row r="227" spans="92:104">
      <c r="CN227" s="325"/>
      <c r="CO227" s="325"/>
      <c r="CP227" s="325"/>
      <c r="CQ227" s="325"/>
      <c r="CR227" s="325"/>
      <c r="CS227" s="325"/>
      <c r="CT227" s="325"/>
      <c r="CU227" s="325"/>
      <c r="CV227" s="325"/>
      <c r="CW227" s="325"/>
      <c r="CX227" s="325"/>
      <c r="CY227" s="325"/>
      <c r="CZ227" s="325"/>
    </row>
    <row r="228" spans="92:104">
      <c r="CN228" s="325"/>
      <c r="CO228" s="325"/>
      <c r="CP228" s="325"/>
      <c r="CQ228" s="325"/>
      <c r="CR228" s="325"/>
      <c r="CS228" s="325"/>
      <c r="CT228" s="325"/>
      <c r="CU228" s="325"/>
      <c r="CV228" s="325"/>
      <c r="CW228" s="325"/>
      <c r="CX228" s="325"/>
      <c r="CY228" s="325"/>
      <c r="CZ228" s="325"/>
    </row>
    <row r="229" spans="92:104">
      <c r="CN229" s="325"/>
      <c r="CO229" s="325"/>
      <c r="CP229" s="325"/>
      <c r="CQ229" s="325"/>
      <c r="CR229" s="325"/>
      <c r="CS229" s="325"/>
      <c r="CT229" s="325"/>
      <c r="CU229" s="325"/>
      <c r="CV229" s="325"/>
      <c r="CW229" s="325"/>
      <c r="CX229" s="325"/>
      <c r="CY229" s="325"/>
      <c r="CZ229" s="325"/>
    </row>
    <row r="230" spans="92:104">
      <c r="CN230" s="325"/>
      <c r="CO230" s="325"/>
      <c r="CP230" s="325"/>
      <c r="CQ230" s="325"/>
      <c r="CR230" s="325"/>
      <c r="CS230" s="325"/>
      <c r="CT230" s="325"/>
      <c r="CU230" s="325"/>
      <c r="CV230" s="325"/>
      <c r="CW230" s="325"/>
      <c r="CX230" s="325"/>
      <c r="CY230" s="325"/>
      <c r="CZ230" s="325"/>
    </row>
    <row r="231" spans="92:104">
      <c r="CN231" s="325"/>
      <c r="CO231" s="325"/>
      <c r="CP231" s="325"/>
      <c r="CQ231" s="325"/>
      <c r="CR231" s="325"/>
      <c r="CS231" s="325"/>
      <c r="CT231" s="325"/>
      <c r="CU231" s="325"/>
      <c r="CV231" s="325"/>
      <c r="CW231" s="325"/>
      <c r="CX231" s="325"/>
      <c r="CY231" s="325"/>
      <c r="CZ231" s="325"/>
    </row>
    <row r="232" spans="92:104">
      <c r="CN232" s="325"/>
      <c r="CO232" s="325"/>
      <c r="CP232" s="325"/>
      <c r="CQ232" s="325"/>
      <c r="CR232" s="325"/>
      <c r="CS232" s="325"/>
      <c r="CT232" s="325"/>
      <c r="CU232" s="325"/>
      <c r="CV232" s="325"/>
      <c r="CW232" s="325"/>
      <c r="CX232" s="325"/>
      <c r="CY232" s="325"/>
      <c r="CZ232" s="325"/>
    </row>
  </sheetData>
  <mergeCells count="1">
    <mergeCell ref="A79:BW79"/>
  </mergeCells>
  <pageMargins left="0.393700787401575" right="0.196850393700787" top="0.393700787401575" bottom="0.196850393700787" header="0.511811023622047" footer="0.511811023622047"/>
  <pageSetup paperSize="9" scale="84" fitToHeight="0" orientation="landscape"/>
  <headerFooter alignWithMargins="0"/>
  <rowBreaks count="1" manualBreakCount="1">
    <brk id="46" max="103"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Y41"/>
  <sheetViews>
    <sheetView showGridLines="0" zoomScale="85" zoomScaleNormal="85" zoomScaleSheetLayoutView="85" workbookViewId="0">
      <pane xSplit="2" ySplit="3" topLeftCell="C4" activePane="bottomRight" state="frozen"/>
      <selection/>
      <selection pane="topRight"/>
      <selection pane="bottomLeft"/>
      <selection pane="bottomRight" activeCell="A1" sqref="A1"/>
    </sheetView>
  </sheetViews>
  <sheetFormatPr defaultColWidth="9" defaultRowHeight="17.6"/>
  <cols>
    <col min="1" max="1" width="60.859375" style="239" customWidth="1"/>
    <col min="2" max="2" width="22.4296875" style="239" customWidth="1"/>
    <col min="3" max="5" width="10.2890625" style="239" hidden="1" customWidth="1" outlineLevel="1"/>
    <col min="6" max="6" width="10.2890625" style="239" customWidth="1" collapsed="1"/>
    <col min="7" max="9" width="10.2890625" style="239" hidden="1" customWidth="1" outlineLevel="1"/>
    <col min="10" max="10" width="10.2890625" style="239" customWidth="1" collapsed="1"/>
    <col min="11" max="13" width="10.2890625" style="239" hidden="1" customWidth="1" outlineLevel="1"/>
    <col min="14" max="14" width="10.2890625" style="239" customWidth="1" collapsed="1"/>
    <col min="15" max="17" width="10.2890625" style="239" hidden="1" customWidth="1" outlineLevel="1"/>
    <col min="18" max="18" width="10.2890625" style="239" customWidth="1" collapsed="1"/>
    <col min="19" max="21" width="10.2890625" style="240" hidden="1" customWidth="1" outlineLevel="1"/>
    <col min="22" max="22" width="10.2890625" style="240" customWidth="1" collapsed="1"/>
    <col min="23" max="25" width="10.2890625" style="240" hidden="1" customWidth="1" outlineLevel="1"/>
    <col min="26" max="26" width="10.2890625" style="240" customWidth="1" collapsed="1"/>
    <col min="27" max="29" width="10.2890625" style="240" hidden="1" customWidth="1" outlineLevel="2"/>
    <col min="30" max="30" width="10.2890625" style="240" customWidth="1" collapsed="1"/>
    <col min="31" max="31" width="10.2890625" style="240" hidden="1" customWidth="1" outlineLevel="1" collapsed="1"/>
    <col min="32" max="33" width="11.7109375" style="240" hidden="1" customWidth="1" outlineLevel="1"/>
    <col min="34" max="34" width="11.7109375" style="240" customWidth="1" collapsed="1"/>
    <col min="35" max="37" width="11.7109375" style="240" hidden="1" customWidth="1" outlineLevel="1"/>
    <col min="38" max="38" width="11.7109375" style="240" customWidth="1" collapsed="1"/>
    <col min="39" max="41" width="11.7109375" style="240" hidden="1" customWidth="1" outlineLevel="1"/>
    <col min="42" max="42" width="11.7109375" style="240" customWidth="1" collapsed="1"/>
    <col min="43" max="45" width="11.7109375" style="240" hidden="1" customWidth="1" outlineLevel="1"/>
    <col min="46" max="46" width="11.7109375" style="240" customWidth="1" collapsed="1"/>
    <col min="47" max="51" width="11.7109375" style="240" customWidth="1"/>
    <col min="52" max="58" width="10.2890625" style="241" customWidth="1"/>
    <col min="59" max="61" width="10.2890625" style="241" hidden="1" customWidth="1"/>
    <col min="62" max="62" width="10.2890625" style="241" customWidth="1"/>
    <col min="63" max="65" width="10.2890625" style="241" hidden="1" customWidth="1"/>
    <col min="66" max="66" width="10.2890625" style="241" customWidth="1"/>
    <col min="67" max="69" width="10.2890625" style="241" hidden="1" customWidth="1"/>
    <col min="70" max="70" width="10.2890625" style="241" customWidth="1"/>
    <col min="71" max="71" width="10.2890625" style="241" hidden="1" customWidth="1"/>
    <col min="72" max="73" width="10.5703125" style="241" hidden="1" customWidth="1"/>
    <col min="74" max="74" width="10.2890625" style="241" customWidth="1"/>
    <col min="75" max="78" width="10" style="241" customWidth="1"/>
    <col min="79" max="256" width="9.140625" style="241"/>
    <col min="257" max="257" width="41.140625" style="241" customWidth="1"/>
    <col min="258" max="258" width="10.2890625" style="241" customWidth="1"/>
    <col min="259" max="261" width="9" style="241" hidden="1" customWidth="1"/>
    <col min="262" max="262" width="10.2890625" style="241" customWidth="1"/>
    <col min="263" max="265" width="9" style="241" hidden="1" customWidth="1"/>
    <col min="266" max="266" width="10.2890625" style="241" customWidth="1"/>
    <col min="267" max="269" width="9" style="241" hidden="1" customWidth="1"/>
    <col min="270" max="270" width="10.2890625" style="241" customWidth="1"/>
    <col min="271" max="273" width="9" style="241" hidden="1" customWidth="1"/>
    <col min="274" max="274" width="10.2890625" style="241" customWidth="1"/>
    <col min="275" max="277" width="9" style="241" hidden="1" customWidth="1"/>
    <col min="278" max="278" width="10.2890625" style="241" customWidth="1"/>
    <col min="279" max="281" width="9" style="241" hidden="1" customWidth="1"/>
    <col min="282" max="282" width="10.5703125" style="241" customWidth="1"/>
    <col min="283" max="285" width="9" style="241" hidden="1" customWidth="1"/>
    <col min="286" max="286" width="10.5703125" style="241" customWidth="1"/>
    <col min="287" max="289" width="9" style="241" hidden="1" customWidth="1"/>
    <col min="290" max="290" width="10.5703125" style="241" customWidth="1"/>
    <col min="291" max="293" width="9" style="241" hidden="1" customWidth="1"/>
    <col min="294" max="294" width="10.2890625" style="241" customWidth="1"/>
    <col min="295" max="297" width="9" style="241" hidden="1" customWidth="1"/>
    <col min="298" max="298" width="10.5703125" style="241" customWidth="1"/>
    <col min="299" max="301" width="9" style="241" hidden="1" customWidth="1"/>
    <col min="302" max="302" width="10.2890625" style="241" customWidth="1"/>
    <col min="303" max="305" width="9" style="241" hidden="1" customWidth="1"/>
    <col min="306" max="306" width="10.2890625" style="241" customWidth="1"/>
    <col min="307" max="309" width="9" style="241" hidden="1" customWidth="1"/>
    <col min="310" max="310" width="10.2890625" style="241" customWidth="1"/>
    <col min="311" max="313" width="9" style="241" hidden="1" customWidth="1"/>
    <col min="314" max="314" width="10.2890625" style="241" customWidth="1"/>
    <col min="315" max="317" width="9" style="241" hidden="1" customWidth="1"/>
    <col min="318" max="318" width="10.2890625" style="241" customWidth="1"/>
    <col min="319" max="321" width="9" style="241" hidden="1" customWidth="1"/>
    <col min="322" max="322" width="10.2890625" style="241" customWidth="1"/>
    <col min="323" max="325" width="9" style="241" hidden="1" customWidth="1"/>
    <col min="326" max="326" width="10.2890625" style="241" customWidth="1"/>
    <col min="327" max="329" width="9" style="241" hidden="1" customWidth="1"/>
    <col min="330" max="330" width="10.2890625" style="241" customWidth="1"/>
    <col min="331" max="334" width="10" style="241" customWidth="1"/>
    <col min="335" max="512" width="9.140625" style="241"/>
    <col min="513" max="513" width="41.140625" style="241" customWidth="1"/>
    <col min="514" max="514" width="10.2890625" style="241" customWidth="1"/>
    <col min="515" max="517" width="9" style="241" hidden="1" customWidth="1"/>
    <col min="518" max="518" width="10.2890625" style="241" customWidth="1"/>
    <col min="519" max="521" width="9" style="241" hidden="1" customWidth="1"/>
    <col min="522" max="522" width="10.2890625" style="241" customWidth="1"/>
    <col min="523" max="525" width="9" style="241" hidden="1" customWidth="1"/>
    <col min="526" max="526" width="10.2890625" style="241" customWidth="1"/>
    <col min="527" max="529" width="9" style="241" hidden="1" customWidth="1"/>
    <col min="530" max="530" width="10.2890625" style="241" customWidth="1"/>
    <col min="531" max="533" width="9" style="241" hidden="1" customWidth="1"/>
    <col min="534" max="534" width="10.2890625" style="241" customWidth="1"/>
    <col min="535" max="537" width="9" style="241" hidden="1" customWidth="1"/>
    <col min="538" max="538" width="10.5703125" style="241" customWidth="1"/>
    <col min="539" max="541" width="9" style="241" hidden="1" customWidth="1"/>
    <col min="542" max="542" width="10.5703125" style="241" customWidth="1"/>
    <col min="543" max="545" width="9" style="241" hidden="1" customWidth="1"/>
    <col min="546" max="546" width="10.5703125" style="241" customWidth="1"/>
    <col min="547" max="549" width="9" style="241" hidden="1" customWidth="1"/>
    <col min="550" max="550" width="10.2890625" style="241" customWidth="1"/>
    <col min="551" max="553" width="9" style="241" hidden="1" customWidth="1"/>
    <col min="554" max="554" width="10.5703125" style="241" customWidth="1"/>
    <col min="555" max="557" width="9" style="241" hidden="1" customWidth="1"/>
    <col min="558" max="558" width="10.2890625" style="241" customWidth="1"/>
    <col min="559" max="561" width="9" style="241" hidden="1" customWidth="1"/>
    <col min="562" max="562" width="10.2890625" style="241" customWidth="1"/>
    <col min="563" max="565" width="9" style="241" hidden="1" customWidth="1"/>
    <col min="566" max="566" width="10.2890625" style="241" customWidth="1"/>
    <col min="567" max="569" width="9" style="241" hidden="1" customWidth="1"/>
    <col min="570" max="570" width="10.2890625" style="241" customWidth="1"/>
    <col min="571" max="573" width="9" style="241" hidden="1" customWidth="1"/>
    <col min="574" max="574" width="10.2890625" style="241" customWidth="1"/>
    <col min="575" max="577" width="9" style="241" hidden="1" customWidth="1"/>
    <col min="578" max="578" width="10.2890625" style="241" customWidth="1"/>
    <col min="579" max="581" width="9" style="241" hidden="1" customWidth="1"/>
    <col min="582" max="582" width="10.2890625" style="241" customWidth="1"/>
    <col min="583" max="585" width="9" style="241" hidden="1" customWidth="1"/>
    <col min="586" max="586" width="10.2890625" style="241" customWidth="1"/>
    <col min="587" max="590" width="10" style="241" customWidth="1"/>
    <col min="591" max="768" width="9.140625" style="241"/>
    <col min="769" max="769" width="41.140625" style="241" customWidth="1"/>
    <col min="770" max="770" width="10.2890625" style="241" customWidth="1"/>
    <col min="771" max="773" width="9" style="241" hidden="1" customWidth="1"/>
    <col min="774" max="774" width="10.2890625" style="241" customWidth="1"/>
    <col min="775" max="777" width="9" style="241" hidden="1" customWidth="1"/>
    <col min="778" max="778" width="10.2890625" style="241" customWidth="1"/>
    <col min="779" max="781" width="9" style="241" hidden="1" customWidth="1"/>
    <col min="782" max="782" width="10.2890625" style="241" customWidth="1"/>
    <col min="783" max="785" width="9" style="241" hidden="1" customWidth="1"/>
    <col min="786" max="786" width="10.2890625" style="241" customWidth="1"/>
    <col min="787" max="789" width="9" style="241" hidden="1" customWidth="1"/>
    <col min="790" max="790" width="10.2890625" style="241" customWidth="1"/>
    <col min="791" max="793" width="9" style="241" hidden="1" customWidth="1"/>
    <col min="794" max="794" width="10.5703125" style="241" customWidth="1"/>
    <col min="795" max="797" width="9" style="241" hidden="1" customWidth="1"/>
    <col min="798" max="798" width="10.5703125" style="241" customWidth="1"/>
    <col min="799" max="801" width="9" style="241" hidden="1" customWidth="1"/>
    <col min="802" max="802" width="10.5703125" style="241" customWidth="1"/>
    <col min="803" max="805" width="9" style="241" hidden="1" customWidth="1"/>
    <col min="806" max="806" width="10.2890625" style="241" customWidth="1"/>
    <col min="807" max="809" width="9" style="241" hidden="1" customWidth="1"/>
    <col min="810" max="810" width="10.5703125" style="241" customWidth="1"/>
    <col min="811" max="813" width="9" style="241" hidden="1" customWidth="1"/>
    <col min="814" max="814" width="10.2890625" style="241" customWidth="1"/>
    <col min="815" max="817" width="9" style="241" hidden="1" customWidth="1"/>
    <col min="818" max="818" width="10.2890625" style="241" customWidth="1"/>
    <col min="819" max="821" width="9" style="241" hidden="1" customWidth="1"/>
    <col min="822" max="822" width="10.2890625" style="241" customWidth="1"/>
    <col min="823" max="825" width="9" style="241" hidden="1" customWidth="1"/>
    <col min="826" max="826" width="10.2890625" style="241" customWidth="1"/>
    <col min="827" max="829" width="9" style="241" hidden="1" customWidth="1"/>
    <col min="830" max="830" width="10.2890625" style="241" customWidth="1"/>
    <col min="831" max="833" width="9" style="241" hidden="1" customWidth="1"/>
    <col min="834" max="834" width="10.2890625" style="241" customWidth="1"/>
    <col min="835" max="837" width="9" style="241" hidden="1" customWidth="1"/>
    <col min="838" max="838" width="10.2890625" style="241" customWidth="1"/>
    <col min="839" max="841" width="9" style="241" hidden="1" customWidth="1"/>
    <col min="842" max="842" width="10.2890625" style="241" customWidth="1"/>
    <col min="843" max="846" width="10" style="241" customWidth="1"/>
    <col min="847" max="1024" width="9.140625" style="241"/>
    <col min="1025" max="1025" width="41.140625" style="241" customWidth="1"/>
    <col min="1026" max="1026" width="10.2890625" style="241" customWidth="1"/>
    <col min="1027" max="1029" width="9" style="241" hidden="1" customWidth="1"/>
    <col min="1030" max="1030" width="10.2890625" style="241" customWidth="1"/>
    <col min="1031" max="1033" width="9" style="241" hidden="1" customWidth="1"/>
    <col min="1034" max="1034" width="10.2890625" style="241" customWidth="1"/>
    <col min="1035" max="1037" width="9" style="241" hidden="1" customWidth="1"/>
    <col min="1038" max="1038" width="10.2890625" style="241" customWidth="1"/>
    <col min="1039" max="1041" width="9" style="241" hidden="1" customWidth="1"/>
    <col min="1042" max="1042" width="10.2890625" style="241" customWidth="1"/>
    <col min="1043" max="1045" width="9" style="241" hidden="1" customWidth="1"/>
    <col min="1046" max="1046" width="10.2890625" style="241" customWidth="1"/>
    <col min="1047" max="1049" width="9" style="241" hidden="1" customWidth="1"/>
    <col min="1050" max="1050" width="10.5703125" style="241" customWidth="1"/>
    <col min="1051" max="1053" width="9" style="241" hidden="1" customWidth="1"/>
    <col min="1054" max="1054" width="10.5703125" style="241" customWidth="1"/>
    <col min="1055" max="1057" width="9" style="241" hidden="1" customWidth="1"/>
    <col min="1058" max="1058" width="10.5703125" style="241" customWidth="1"/>
    <col min="1059" max="1061" width="9" style="241" hidden="1" customWidth="1"/>
    <col min="1062" max="1062" width="10.2890625" style="241" customWidth="1"/>
    <col min="1063" max="1065" width="9" style="241" hidden="1" customWidth="1"/>
    <col min="1066" max="1066" width="10.5703125" style="241" customWidth="1"/>
    <col min="1067" max="1069" width="9" style="241" hidden="1" customWidth="1"/>
    <col min="1070" max="1070" width="10.2890625" style="241" customWidth="1"/>
    <col min="1071" max="1073" width="9" style="241" hidden="1" customWidth="1"/>
    <col min="1074" max="1074" width="10.2890625" style="241" customWidth="1"/>
    <col min="1075" max="1077" width="9" style="241" hidden="1" customWidth="1"/>
    <col min="1078" max="1078" width="10.2890625" style="241" customWidth="1"/>
    <col min="1079" max="1081" width="9" style="241" hidden="1" customWidth="1"/>
    <col min="1082" max="1082" width="10.2890625" style="241" customWidth="1"/>
    <col min="1083" max="1085" width="9" style="241" hidden="1" customWidth="1"/>
    <col min="1086" max="1086" width="10.2890625" style="241" customWidth="1"/>
    <col min="1087" max="1089" width="9" style="241" hidden="1" customWidth="1"/>
    <col min="1090" max="1090" width="10.2890625" style="241" customWidth="1"/>
    <col min="1091" max="1093" width="9" style="241" hidden="1" customWidth="1"/>
    <col min="1094" max="1094" width="10.2890625" style="241" customWidth="1"/>
    <col min="1095" max="1097" width="9" style="241" hidden="1" customWidth="1"/>
    <col min="1098" max="1098" width="10.2890625" style="241" customWidth="1"/>
    <col min="1099" max="1102" width="10" style="241" customWidth="1"/>
    <col min="1103" max="1280" width="9.140625" style="241"/>
    <col min="1281" max="1281" width="41.140625" style="241" customWidth="1"/>
    <col min="1282" max="1282" width="10.2890625" style="241" customWidth="1"/>
    <col min="1283" max="1285" width="9" style="241" hidden="1" customWidth="1"/>
    <col min="1286" max="1286" width="10.2890625" style="241" customWidth="1"/>
    <col min="1287" max="1289" width="9" style="241" hidden="1" customWidth="1"/>
    <col min="1290" max="1290" width="10.2890625" style="241" customWidth="1"/>
    <col min="1291" max="1293" width="9" style="241" hidden="1" customWidth="1"/>
    <col min="1294" max="1294" width="10.2890625" style="241" customWidth="1"/>
    <col min="1295" max="1297" width="9" style="241" hidden="1" customWidth="1"/>
    <col min="1298" max="1298" width="10.2890625" style="241" customWidth="1"/>
    <col min="1299" max="1301" width="9" style="241" hidden="1" customWidth="1"/>
    <col min="1302" max="1302" width="10.2890625" style="241" customWidth="1"/>
    <col min="1303" max="1305" width="9" style="241" hidden="1" customWidth="1"/>
    <col min="1306" max="1306" width="10.5703125" style="241" customWidth="1"/>
    <col min="1307" max="1309" width="9" style="241" hidden="1" customWidth="1"/>
    <col min="1310" max="1310" width="10.5703125" style="241" customWidth="1"/>
    <col min="1311" max="1313" width="9" style="241" hidden="1" customWidth="1"/>
    <col min="1314" max="1314" width="10.5703125" style="241" customWidth="1"/>
    <col min="1315" max="1317" width="9" style="241" hidden="1" customWidth="1"/>
    <col min="1318" max="1318" width="10.2890625" style="241" customWidth="1"/>
    <col min="1319" max="1321" width="9" style="241" hidden="1" customWidth="1"/>
    <col min="1322" max="1322" width="10.5703125" style="241" customWidth="1"/>
    <col min="1323" max="1325" width="9" style="241" hidden="1" customWidth="1"/>
    <col min="1326" max="1326" width="10.2890625" style="241" customWidth="1"/>
    <col min="1327" max="1329" width="9" style="241" hidden="1" customWidth="1"/>
    <col min="1330" max="1330" width="10.2890625" style="241" customWidth="1"/>
    <col min="1331" max="1333" width="9" style="241" hidden="1" customWidth="1"/>
    <col min="1334" max="1334" width="10.2890625" style="241" customWidth="1"/>
    <col min="1335" max="1337" width="9" style="241" hidden="1" customWidth="1"/>
    <col min="1338" max="1338" width="10.2890625" style="241" customWidth="1"/>
    <col min="1339" max="1341" width="9" style="241" hidden="1" customWidth="1"/>
    <col min="1342" max="1342" width="10.2890625" style="241" customWidth="1"/>
    <col min="1343" max="1345" width="9" style="241" hidden="1" customWidth="1"/>
    <col min="1346" max="1346" width="10.2890625" style="241" customWidth="1"/>
    <col min="1347" max="1349" width="9" style="241" hidden="1" customWidth="1"/>
    <col min="1350" max="1350" width="10.2890625" style="241" customWidth="1"/>
    <col min="1351" max="1353" width="9" style="241" hidden="1" customWidth="1"/>
    <col min="1354" max="1354" width="10.2890625" style="241" customWidth="1"/>
    <col min="1355" max="1358" width="10" style="241" customWidth="1"/>
    <col min="1359" max="1536" width="9.140625" style="241"/>
    <col min="1537" max="1537" width="41.140625" style="241" customWidth="1"/>
    <col min="1538" max="1538" width="10.2890625" style="241" customWidth="1"/>
    <col min="1539" max="1541" width="9" style="241" hidden="1" customWidth="1"/>
    <col min="1542" max="1542" width="10.2890625" style="241" customWidth="1"/>
    <col min="1543" max="1545" width="9" style="241" hidden="1" customWidth="1"/>
    <col min="1546" max="1546" width="10.2890625" style="241" customWidth="1"/>
    <col min="1547" max="1549" width="9" style="241" hidden="1" customWidth="1"/>
    <col min="1550" max="1550" width="10.2890625" style="241" customWidth="1"/>
    <col min="1551" max="1553" width="9" style="241" hidden="1" customWidth="1"/>
    <col min="1554" max="1554" width="10.2890625" style="241" customWidth="1"/>
    <col min="1555" max="1557" width="9" style="241" hidden="1" customWidth="1"/>
    <col min="1558" max="1558" width="10.2890625" style="241" customWidth="1"/>
    <col min="1559" max="1561" width="9" style="241" hidden="1" customWidth="1"/>
    <col min="1562" max="1562" width="10.5703125" style="241" customWidth="1"/>
    <col min="1563" max="1565" width="9" style="241" hidden="1" customWidth="1"/>
    <col min="1566" max="1566" width="10.5703125" style="241" customWidth="1"/>
    <col min="1567" max="1569" width="9" style="241" hidden="1" customWidth="1"/>
    <col min="1570" max="1570" width="10.5703125" style="241" customWidth="1"/>
    <col min="1571" max="1573" width="9" style="241" hidden="1" customWidth="1"/>
    <col min="1574" max="1574" width="10.2890625" style="241" customWidth="1"/>
    <col min="1575" max="1577" width="9" style="241" hidden="1" customWidth="1"/>
    <col min="1578" max="1578" width="10.5703125" style="241" customWidth="1"/>
    <col min="1579" max="1581" width="9" style="241" hidden="1" customWidth="1"/>
    <col min="1582" max="1582" width="10.2890625" style="241" customWidth="1"/>
    <col min="1583" max="1585" width="9" style="241" hidden="1" customWidth="1"/>
    <col min="1586" max="1586" width="10.2890625" style="241" customWidth="1"/>
    <col min="1587" max="1589" width="9" style="241" hidden="1" customWidth="1"/>
    <col min="1590" max="1590" width="10.2890625" style="241" customWidth="1"/>
    <col min="1591" max="1593" width="9" style="241" hidden="1" customWidth="1"/>
    <col min="1594" max="1594" width="10.2890625" style="241" customWidth="1"/>
    <col min="1595" max="1597" width="9" style="241" hidden="1" customWidth="1"/>
    <col min="1598" max="1598" width="10.2890625" style="241" customWidth="1"/>
    <col min="1599" max="1601" width="9" style="241" hidden="1" customWidth="1"/>
    <col min="1602" max="1602" width="10.2890625" style="241" customWidth="1"/>
    <col min="1603" max="1605" width="9" style="241" hidden="1" customWidth="1"/>
    <col min="1606" max="1606" width="10.2890625" style="241" customWidth="1"/>
    <col min="1607" max="1609" width="9" style="241" hidden="1" customWidth="1"/>
    <col min="1610" max="1610" width="10.2890625" style="241" customWidth="1"/>
    <col min="1611" max="1614" width="10" style="241" customWidth="1"/>
    <col min="1615" max="1792" width="9.140625" style="241"/>
    <col min="1793" max="1793" width="41.140625" style="241" customWidth="1"/>
    <col min="1794" max="1794" width="10.2890625" style="241" customWidth="1"/>
    <col min="1795" max="1797" width="9" style="241" hidden="1" customWidth="1"/>
    <col min="1798" max="1798" width="10.2890625" style="241" customWidth="1"/>
    <col min="1799" max="1801" width="9" style="241" hidden="1" customWidth="1"/>
    <col min="1802" max="1802" width="10.2890625" style="241" customWidth="1"/>
    <col min="1803" max="1805" width="9" style="241" hidden="1" customWidth="1"/>
    <col min="1806" max="1806" width="10.2890625" style="241" customWidth="1"/>
    <col min="1807" max="1809" width="9" style="241" hidden="1" customWidth="1"/>
    <col min="1810" max="1810" width="10.2890625" style="241" customWidth="1"/>
    <col min="1811" max="1813" width="9" style="241" hidden="1" customWidth="1"/>
    <col min="1814" max="1814" width="10.2890625" style="241" customWidth="1"/>
    <col min="1815" max="1817" width="9" style="241" hidden="1" customWidth="1"/>
    <col min="1818" max="1818" width="10.5703125" style="241" customWidth="1"/>
    <col min="1819" max="1821" width="9" style="241" hidden="1" customWidth="1"/>
    <col min="1822" max="1822" width="10.5703125" style="241" customWidth="1"/>
    <col min="1823" max="1825" width="9" style="241" hidden="1" customWidth="1"/>
    <col min="1826" max="1826" width="10.5703125" style="241" customWidth="1"/>
    <col min="1827" max="1829" width="9" style="241" hidden="1" customWidth="1"/>
    <col min="1830" max="1830" width="10.2890625" style="241" customWidth="1"/>
    <col min="1831" max="1833" width="9" style="241" hidden="1" customWidth="1"/>
    <col min="1834" max="1834" width="10.5703125" style="241" customWidth="1"/>
    <col min="1835" max="1837" width="9" style="241" hidden="1" customWidth="1"/>
    <col min="1838" max="1838" width="10.2890625" style="241" customWidth="1"/>
    <col min="1839" max="1841" width="9" style="241" hidden="1" customWidth="1"/>
    <col min="1842" max="1842" width="10.2890625" style="241" customWidth="1"/>
    <col min="1843" max="1845" width="9" style="241" hidden="1" customWidth="1"/>
    <col min="1846" max="1846" width="10.2890625" style="241" customWidth="1"/>
    <col min="1847" max="1849" width="9" style="241" hidden="1" customWidth="1"/>
    <col min="1850" max="1850" width="10.2890625" style="241" customWidth="1"/>
    <col min="1851" max="1853" width="9" style="241" hidden="1" customWidth="1"/>
    <col min="1854" max="1854" width="10.2890625" style="241" customWidth="1"/>
    <col min="1855" max="1857" width="9" style="241" hidden="1" customWidth="1"/>
    <col min="1858" max="1858" width="10.2890625" style="241" customWidth="1"/>
    <col min="1859" max="1861" width="9" style="241" hidden="1" customWidth="1"/>
    <col min="1862" max="1862" width="10.2890625" style="241" customWidth="1"/>
    <col min="1863" max="1865" width="9" style="241" hidden="1" customWidth="1"/>
    <col min="1866" max="1866" width="10.2890625" style="241" customWidth="1"/>
    <col min="1867" max="1870" width="10" style="241" customWidth="1"/>
    <col min="1871" max="2048" width="9.140625" style="241"/>
    <col min="2049" max="2049" width="41.140625" style="241" customWidth="1"/>
    <col min="2050" max="2050" width="10.2890625" style="241" customWidth="1"/>
    <col min="2051" max="2053" width="9" style="241" hidden="1" customWidth="1"/>
    <col min="2054" max="2054" width="10.2890625" style="241" customWidth="1"/>
    <col min="2055" max="2057" width="9" style="241" hidden="1" customWidth="1"/>
    <col min="2058" max="2058" width="10.2890625" style="241" customWidth="1"/>
    <col min="2059" max="2061" width="9" style="241" hidden="1" customWidth="1"/>
    <col min="2062" max="2062" width="10.2890625" style="241" customWidth="1"/>
    <col min="2063" max="2065" width="9" style="241" hidden="1" customWidth="1"/>
    <col min="2066" max="2066" width="10.2890625" style="241" customWidth="1"/>
    <col min="2067" max="2069" width="9" style="241" hidden="1" customWidth="1"/>
    <col min="2070" max="2070" width="10.2890625" style="241" customWidth="1"/>
    <col min="2071" max="2073" width="9" style="241" hidden="1" customWidth="1"/>
    <col min="2074" max="2074" width="10.5703125" style="241" customWidth="1"/>
    <col min="2075" max="2077" width="9" style="241" hidden="1" customWidth="1"/>
    <col min="2078" max="2078" width="10.5703125" style="241" customWidth="1"/>
    <col min="2079" max="2081" width="9" style="241" hidden="1" customWidth="1"/>
    <col min="2082" max="2082" width="10.5703125" style="241" customWidth="1"/>
    <col min="2083" max="2085" width="9" style="241" hidden="1" customWidth="1"/>
    <col min="2086" max="2086" width="10.2890625" style="241" customWidth="1"/>
    <col min="2087" max="2089" width="9" style="241" hidden="1" customWidth="1"/>
    <col min="2090" max="2090" width="10.5703125" style="241" customWidth="1"/>
    <col min="2091" max="2093" width="9" style="241" hidden="1" customWidth="1"/>
    <col min="2094" max="2094" width="10.2890625" style="241" customWidth="1"/>
    <col min="2095" max="2097" width="9" style="241" hidden="1" customWidth="1"/>
    <col min="2098" max="2098" width="10.2890625" style="241" customWidth="1"/>
    <col min="2099" max="2101" width="9" style="241" hidden="1" customWidth="1"/>
    <col min="2102" max="2102" width="10.2890625" style="241" customWidth="1"/>
    <col min="2103" max="2105" width="9" style="241" hidden="1" customWidth="1"/>
    <col min="2106" max="2106" width="10.2890625" style="241" customWidth="1"/>
    <col min="2107" max="2109" width="9" style="241" hidden="1" customWidth="1"/>
    <col min="2110" max="2110" width="10.2890625" style="241" customWidth="1"/>
    <col min="2111" max="2113" width="9" style="241" hidden="1" customWidth="1"/>
    <col min="2114" max="2114" width="10.2890625" style="241" customWidth="1"/>
    <col min="2115" max="2117" width="9" style="241" hidden="1" customWidth="1"/>
    <col min="2118" max="2118" width="10.2890625" style="241" customWidth="1"/>
    <col min="2119" max="2121" width="9" style="241" hidden="1" customWidth="1"/>
    <col min="2122" max="2122" width="10.2890625" style="241" customWidth="1"/>
    <col min="2123" max="2126" width="10" style="241" customWidth="1"/>
    <col min="2127" max="2304" width="9.140625" style="241"/>
    <col min="2305" max="2305" width="41.140625" style="241" customWidth="1"/>
    <col min="2306" max="2306" width="10.2890625" style="241" customWidth="1"/>
    <col min="2307" max="2309" width="9" style="241" hidden="1" customWidth="1"/>
    <col min="2310" max="2310" width="10.2890625" style="241" customWidth="1"/>
    <col min="2311" max="2313" width="9" style="241" hidden="1" customWidth="1"/>
    <col min="2314" max="2314" width="10.2890625" style="241" customWidth="1"/>
    <col min="2315" max="2317" width="9" style="241" hidden="1" customWidth="1"/>
    <col min="2318" max="2318" width="10.2890625" style="241" customWidth="1"/>
    <col min="2319" max="2321" width="9" style="241" hidden="1" customWidth="1"/>
    <col min="2322" max="2322" width="10.2890625" style="241" customWidth="1"/>
    <col min="2323" max="2325" width="9" style="241" hidden="1" customWidth="1"/>
    <col min="2326" max="2326" width="10.2890625" style="241" customWidth="1"/>
    <col min="2327" max="2329" width="9" style="241" hidden="1" customWidth="1"/>
    <col min="2330" max="2330" width="10.5703125" style="241" customWidth="1"/>
    <col min="2331" max="2333" width="9" style="241" hidden="1" customWidth="1"/>
    <col min="2334" max="2334" width="10.5703125" style="241" customWidth="1"/>
    <col min="2335" max="2337" width="9" style="241" hidden="1" customWidth="1"/>
    <col min="2338" max="2338" width="10.5703125" style="241" customWidth="1"/>
    <col min="2339" max="2341" width="9" style="241" hidden="1" customWidth="1"/>
    <col min="2342" max="2342" width="10.2890625" style="241" customWidth="1"/>
    <col min="2343" max="2345" width="9" style="241" hidden="1" customWidth="1"/>
    <col min="2346" max="2346" width="10.5703125" style="241" customWidth="1"/>
    <col min="2347" max="2349" width="9" style="241" hidden="1" customWidth="1"/>
    <col min="2350" max="2350" width="10.2890625" style="241" customWidth="1"/>
    <col min="2351" max="2353" width="9" style="241" hidden="1" customWidth="1"/>
    <col min="2354" max="2354" width="10.2890625" style="241" customWidth="1"/>
    <col min="2355" max="2357" width="9" style="241" hidden="1" customWidth="1"/>
    <col min="2358" max="2358" width="10.2890625" style="241" customWidth="1"/>
    <col min="2359" max="2361" width="9" style="241" hidden="1" customWidth="1"/>
    <col min="2362" max="2362" width="10.2890625" style="241" customWidth="1"/>
    <col min="2363" max="2365" width="9" style="241" hidden="1" customWidth="1"/>
    <col min="2366" max="2366" width="10.2890625" style="241" customWidth="1"/>
    <col min="2367" max="2369" width="9" style="241" hidden="1" customWidth="1"/>
    <col min="2370" max="2370" width="10.2890625" style="241" customWidth="1"/>
    <col min="2371" max="2373" width="9" style="241" hidden="1" customWidth="1"/>
    <col min="2374" max="2374" width="10.2890625" style="241" customWidth="1"/>
    <col min="2375" max="2377" width="9" style="241" hidden="1" customWidth="1"/>
    <col min="2378" max="2378" width="10.2890625" style="241" customWidth="1"/>
    <col min="2379" max="2382" width="10" style="241" customWidth="1"/>
    <col min="2383" max="2560" width="9.140625" style="241"/>
    <col min="2561" max="2561" width="41.140625" style="241" customWidth="1"/>
    <col min="2562" max="2562" width="10.2890625" style="241" customWidth="1"/>
    <col min="2563" max="2565" width="9" style="241" hidden="1" customWidth="1"/>
    <col min="2566" max="2566" width="10.2890625" style="241" customWidth="1"/>
    <col min="2567" max="2569" width="9" style="241" hidden="1" customWidth="1"/>
    <col min="2570" max="2570" width="10.2890625" style="241" customWidth="1"/>
    <col min="2571" max="2573" width="9" style="241" hidden="1" customWidth="1"/>
    <col min="2574" max="2574" width="10.2890625" style="241" customWidth="1"/>
    <col min="2575" max="2577" width="9" style="241" hidden="1" customWidth="1"/>
    <col min="2578" max="2578" width="10.2890625" style="241" customWidth="1"/>
    <col min="2579" max="2581" width="9" style="241" hidden="1" customWidth="1"/>
    <col min="2582" max="2582" width="10.2890625" style="241" customWidth="1"/>
    <col min="2583" max="2585" width="9" style="241" hidden="1" customWidth="1"/>
    <col min="2586" max="2586" width="10.5703125" style="241" customWidth="1"/>
    <col min="2587" max="2589" width="9" style="241" hidden="1" customWidth="1"/>
    <col min="2590" max="2590" width="10.5703125" style="241" customWidth="1"/>
    <col min="2591" max="2593" width="9" style="241" hidden="1" customWidth="1"/>
    <col min="2594" max="2594" width="10.5703125" style="241" customWidth="1"/>
    <col min="2595" max="2597" width="9" style="241" hidden="1" customWidth="1"/>
    <col min="2598" max="2598" width="10.2890625" style="241" customWidth="1"/>
    <col min="2599" max="2601" width="9" style="241" hidden="1" customWidth="1"/>
    <col min="2602" max="2602" width="10.5703125" style="241" customWidth="1"/>
    <col min="2603" max="2605" width="9" style="241" hidden="1" customWidth="1"/>
    <col min="2606" max="2606" width="10.2890625" style="241" customWidth="1"/>
    <col min="2607" max="2609" width="9" style="241" hidden="1" customWidth="1"/>
    <col min="2610" max="2610" width="10.2890625" style="241" customWidth="1"/>
    <col min="2611" max="2613" width="9" style="241" hidden="1" customWidth="1"/>
    <col min="2614" max="2614" width="10.2890625" style="241" customWidth="1"/>
    <col min="2615" max="2617" width="9" style="241" hidden="1" customWidth="1"/>
    <col min="2618" max="2618" width="10.2890625" style="241" customWidth="1"/>
    <col min="2619" max="2621" width="9" style="241" hidden="1" customWidth="1"/>
    <col min="2622" max="2622" width="10.2890625" style="241" customWidth="1"/>
    <col min="2623" max="2625" width="9" style="241" hidden="1" customWidth="1"/>
    <col min="2626" max="2626" width="10.2890625" style="241" customWidth="1"/>
    <col min="2627" max="2629" width="9" style="241" hidden="1" customWidth="1"/>
    <col min="2630" max="2630" width="10.2890625" style="241" customWidth="1"/>
    <col min="2631" max="2633" width="9" style="241" hidden="1" customWidth="1"/>
    <col min="2634" max="2634" width="10.2890625" style="241" customWidth="1"/>
    <col min="2635" max="2638" width="10" style="241" customWidth="1"/>
    <col min="2639" max="2816" width="9.140625" style="241"/>
    <col min="2817" max="2817" width="41.140625" style="241" customWidth="1"/>
    <col min="2818" max="2818" width="10.2890625" style="241" customWidth="1"/>
    <col min="2819" max="2821" width="9" style="241" hidden="1" customWidth="1"/>
    <col min="2822" max="2822" width="10.2890625" style="241" customWidth="1"/>
    <col min="2823" max="2825" width="9" style="241" hidden="1" customWidth="1"/>
    <col min="2826" max="2826" width="10.2890625" style="241" customWidth="1"/>
    <col min="2827" max="2829" width="9" style="241" hidden="1" customWidth="1"/>
    <col min="2830" max="2830" width="10.2890625" style="241" customWidth="1"/>
    <col min="2831" max="2833" width="9" style="241" hidden="1" customWidth="1"/>
    <col min="2834" max="2834" width="10.2890625" style="241" customWidth="1"/>
    <col min="2835" max="2837" width="9" style="241" hidden="1" customWidth="1"/>
    <col min="2838" max="2838" width="10.2890625" style="241" customWidth="1"/>
    <col min="2839" max="2841" width="9" style="241" hidden="1" customWidth="1"/>
    <col min="2842" max="2842" width="10.5703125" style="241" customWidth="1"/>
    <col min="2843" max="2845" width="9" style="241" hidden="1" customWidth="1"/>
    <col min="2846" max="2846" width="10.5703125" style="241" customWidth="1"/>
    <col min="2847" max="2849" width="9" style="241" hidden="1" customWidth="1"/>
    <col min="2850" max="2850" width="10.5703125" style="241" customWidth="1"/>
    <col min="2851" max="2853" width="9" style="241" hidden="1" customWidth="1"/>
    <col min="2854" max="2854" width="10.2890625" style="241" customWidth="1"/>
    <col min="2855" max="2857" width="9" style="241" hidden="1" customWidth="1"/>
    <col min="2858" max="2858" width="10.5703125" style="241" customWidth="1"/>
    <col min="2859" max="2861" width="9" style="241" hidden="1" customWidth="1"/>
    <col min="2862" max="2862" width="10.2890625" style="241" customWidth="1"/>
    <col min="2863" max="2865" width="9" style="241" hidden="1" customWidth="1"/>
    <col min="2866" max="2866" width="10.2890625" style="241" customWidth="1"/>
    <col min="2867" max="2869" width="9" style="241" hidden="1" customWidth="1"/>
    <col min="2870" max="2870" width="10.2890625" style="241" customWidth="1"/>
    <col min="2871" max="2873" width="9" style="241" hidden="1" customWidth="1"/>
    <col min="2874" max="2874" width="10.2890625" style="241" customWidth="1"/>
    <col min="2875" max="2877" width="9" style="241" hidden="1" customWidth="1"/>
    <col min="2878" max="2878" width="10.2890625" style="241" customWidth="1"/>
    <col min="2879" max="2881" width="9" style="241" hidden="1" customWidth="1"/>
    <col min="2882" max="2882" width="10.2890625" style="241" customWidth="1"/>
    <col min="2883" max="2885" width="9" style="241" hidden="1" customWidth="1"/>
    <col min="2886" max="2886" width="10.2890625" style="241" customWidth="1"/>
    <col min="2887" max="2889" width="9" style="241" hidden="1" customWidth="1"/>
    <col min="2890" max="2890" width="10.2890625" style="241" customWidth="1"/>
    <col min="2891" max="2894" width="10" style="241" customWidth="1"/>
    <col min="2895" max="3072" width="9.140625" style="241"/>
    <col min="3073" max="3073" width="41.140625" style="241" customWidth="1"/>
    <col min="3074" max="3074" width="10.2890625" style="241" customWidth="1"/>
    <col min="3075" max="3077" width="9" style="241" hidden="1" customWidth="1"/>
    <col min="3078" max="3078" width="10.2890625" style="241" customWidth="1"/>
    <col min="3079" max="3081" width="9" style="241" hidden="1" customWidth="1"/>
    <col min="3082" max="3082" width="10.2890625" style="241" customWidth="1"/>
    <col min="3083" max="3085" width="9" style="241" hidden="1" customWidth="1"/>
    <col min="3086" max="3086" width="10.2890625" style="241" customWidth="1"/>
    <col min="3087" max="3089" width="9" style="241" hidden="1" customWidth="1"/>
    <col min="3090" max="3090" width="10.2890625" style="241" customWidth="1"/>
    <col min="3091" max="3093" width="9" style="241" hidden="1" customWidth="1"/>
    <col min="3094" max="3094" width="10.2890625" style="241" customWidth="1"/>
    <col min="3095" max="3097" width="9" style="241" hidden="1" customWidth="1"/>
    <col min="3098" max="3098" width="10.5703125" style="241" customWidth="1"/>
    <col min="3099" max="3101" width="9" style="241" hidden="1" customWidth="1"/>
    <col min="3102" max="3102" width="10.5703125" style="241" customWidth="1"/>
    <col min="3103" max="3105" width="9" style="241" hidden="1" customWidth="1"/>
    <col min="3106" max="3106" width="10.5703125" style="241" customWidth="1"/>
    <col min="3107" max="3109" width="9" style="241" hidden="1" customWidth="1"/>
    <col min="3110" max="3110" width="10.2890625" style="241" customWidth="1"/>
    <col min="3111" max="3113" width="9" style="241" hidden="1" customWidth="1"/>
    <col min="3114" max="3114" width="10.5703125" style="241" customWidth="1"/>
    <col min="3115" max="3117" width="9" style="241" hidden="1" customWidth="1"/>
    <col min="3118" max="3118" width="10.2890625" style="241" customWidth="1"/>
    <col min="3119" max="3121" width="9" style="241" hidden="1" customWidth="1"/>
    <col min="3122" max="3122" width="10.2890625" style="241" customWidth="1"/>
    <col min="3123" max="3125" width="9" style="241" hidden="1" customWidth="1"/>
    <col min="3126" max="3126" width="10.2890625" style="241" customWidth="1"/>
    <col min="3127" max="3129" width="9" style="241" hidden="1" customWidth="1"/>
    <col min="3130" max="3130" width="10.2890625" style="241" customWidth="1"/>
    <col min="3131" max="3133" width="9" style="241" hidden="1" customWidth="1"/>
    <col min="3134" max="3134" width="10.2890625" style="241" customWidth="1"/>
    <col min="3135" max="3137" width="9" style="241" hidden="1" customWidth="1"/>
    <col min="3138" max="3138" width="10.2890625" style="241" customWidth="1"/>
    <col min="3139" max="3141" width="9" style="241" hidden="1" customWidth="1"/>
    <col min="3142" max="3142" width="10.2890625" style="241" customWidth="1"/>
    <col min="3143" max="3145" width="9" style="241" hidden="1" customWidth="1"/>
    <col min="3146" max="3146" width="10.2890625" style="241" customWidth="1"/>
    <col min="3147" max="3150" width="10" style="241" customWidth="1"/>
    <col min="3151" max="3328" width="9.140625" style="241"/>
    <col min="3329" max="3329" width="41.140625" style="241" customWidth="1"/>
    <col min="3330" max="3330" width="10.2890625" style="241" customWidth="1"/>
    <col min="3331" max="3333" width="9" style="241" hidden="1" customWidth="1"/>
    <col min="3334" max="3334" width="10.2890625" style="241" customWidth="1"/>
    <col min="3335" max="3337" width="9" style="241" hidden="1" customWidth="1"/>
    <col min="3338" max="3338" width="10.2890625" style="241" customWidth="1"/>
    <col min="3339" max="3341" width="9" style="241" hidden="1" customWidth="1"/>
    <col min="3342" max="3342" width="10.2890625" style="241" customWidth="1"/>
    <col min="3343" max="3345" width="9" style="241" hidden="1" customWidth="1"/>
    <col min="3346" max="3346" width="10.2890625" style="241" customWidth="1"/>
    <col min="3347" max="3349" width="9" style="241" hidden="1" customWidth="1"/>
    <col min="3350" max="3350" width="10.2890625" style="241" customWidth="1"/>
    <col min="3351" max="3353" width="9" style="241" hidden="1" customWidth="1"/>
    <col min="3354" max="3354" width="10.5703125" style="241" customWidth="1"/>
    <col min="3355" max="3357" width="9" style="241" hidden="1" customWidth="1"/>
    <col min="3358" max="3358" width="10.5703125" style="241" customWidth="1"/>
    <col min="3359" max="3361" width="9" style="241" hidden="1" customWidth="1"/>
    <col min="3362" max="3362" width="10.5703125" style="241" customWidth="1"/>
    <col min="3363" max="3365" width="9" style="241" hidden="1" customWidth="1"/>
    <col min="3366" max="3366" width="10.2890625" style="241" customWidth="1"/>
    <col min="3367" max="3369" width="9" style="241" hidden="1" customWidth="1"/>
    <col min="3370" max="3370" width="10.5703125" style="241" customWidth="1"/>
    <col min="3371" max="3373" width="9" style="241" hidden="1" customWidth="1"/>
    <col min="3374" max="3374" width="10.2890625" style="241" customWidth="1"/>
    <col min="3375" max="3377" width="9" style="241" hidden="1" customWidth="1"/>
    <col min="3378" max="3378" width="10.2890625" style="241" customWidth="1"/>
    <col min="3379" max="3381" width="9" style="241" hidden="1" customWidth="1"/>
    <col min="3382" max="3382" width="10.2890625" style="241" customWidth="1"/>
    <col min="3383" max="3385" width="9" style="241" hidden="1" customWidth="1"/>
    <col min="3386" max="3386" width="10.2890625" style="241" customWidth="1"/>
    <col min="3387" max="3389" width="9" style="241" hidden="1" customWidth="1"/>
    <col min="3390" max="3390" width="10.2890625" style="241" customWidth="1"/>
    <col min="3391" max="3393" width="9" style="241" hidden="1" customWidth="1"/>
    <col min="3394" max="3394" width="10.2890625" style="241" customWidth="1"/>
    <col min="3395" max="3397" width="9" style="241" hidden="1" customWidth="1"/>
    <col min="3398" max="3398" width="10.2890625" style="241" customWidth="1"/>
    <col min="3399" max="3401" width="9" style="241" hidden="1" customWidth="1"/>
    <col min="3402" max="3402" width="10.2890625" style="241" customWidth="1"/>
    <col min="3403" max="3406" width="10" style="241" customWidth="1"/>
    <col min="3407" max="3584" width="9.140625" style="241"/>
    <col min="3585" max="3585" width="41.140625" style="241" customWidth="1"/>
    <col min="3586" max="3586" width="10.2890625" style="241" customWidth="1"/>
    <col min="3587" max="3589" width="9" style="241" hidden="1" customWidth="1"/>
    <col min="3590" max="3590" width="10.2890625" style="241" customWidth="1"/>
    <col min="3591" max="3593" width="9" style="241" hidden="1" customWidth="1"/>
    <col min="3594" max="3594" width="10.2890625" style="241" customWidth="1"/>
    <col min="3595" max="3597" width="9" style="241" hidden="1" customWidth="1"/>
    <col min="3598" max="3598" width="10.2890625" style="241" customWidth="1"/>
    <col min="3599" max="3601" width="9" style="241" hidden="1" customWidth="1"/>
    <col min="3602" max="3602" width="10.2890625" style="241" customWidth="1"/>
    <col min="3603" max="3605" width="9" style="241" hidden="1" customWidth="1"/>
    <col min="3606" max="3606" width="10.2890625" style="241" customWidth="1"/>
    <col min="3607" max="3609" width="9" style="241" hidden="1" customWidth="1"/>
    <col min="3610" max="3610" width="10.5703125" style="241" customWidth="1"/>
    <col min="3611" max="3613" width="9" style="241" hidden="1" customWidth="1"/>
    <col min="3614" max="3614" width="10.5703125" style="241" customWidth="1"/>
    <col min="3615" max="3617" width="9" style="241" hidden="1" customWidth="1"/>
    <col min="3618" max="3618" width="10.5703125" style="241" customWidth="1"/>
    <col min="3619" max="3621" width="9" style="241" hidden="1" customWidth="1"/>
    <col min="3622" max="3622" width="10.2890625" style="241" customWidth="1"/>
    <col min="3623" max="3625" width="9" style="241" hidden="1" customWidth="1"/>
    <col min="3626" max="3626" width="10.5703125" style="241" customWidth="1"/>
    <col min="3627" max="3629" width="9" style="241" hidden="1" customWidth="1"/>
    <col min="3630" max="3630" width="10.2890625" style="241" customWidth="1"/>
    <col min="3631" max="3633" width="9" style="241" hidden="1" customWidth="1"/>
    <col min="3634" max="3634" width="10.2890625" style="241" customWidth="1"/>
    <col min="3635" max="3637" width="9" style="241" hidden="1" customWidth="1"/>
    <col min="3638" max="3638" width="10.2890625" style="241" customWidth="1"/>
    <col min="3639" max="3641" width="9" style="241" hidden="1" customWidth="1"/>
    <col min="3642" max="3642" width="10.2890625" style="241" customWidth="1"/>
    <col min="3643" max="3645" width="9" style="241" hidden="1" customWidth="1"/>
    <col min="3646" max="3646" width="10.2890625" style="241" customWidth="1"/>
    <col min="3647" max="3649" width="9" style="241" hidden="1" customWidth="1"/>
    <col min="3650" max="3650" width="10.2890625" style="241" customWidth="1"/>
    <col min="3651" max="3653" width="9" style="241" hidden="1" customWidth="1"/>
    <col min="3654" max="3654" width="10.2890625" style="241" customWidth="1"/>
    <col min="3655" max="3657" width="9" style="241" hidden="1" customWidth="1"/>
    <col min="3658" max="3658" width="10.2890625" style="241" customWidth="1"/>
    <col min="3659" max="3662" width="10" style="241" customWidth="1"/>
    <col min="3663" max="3840" width="9.140625" style="241"/>
    <col min="3841" max="3841" width="41.140625" style="241" customWidth="1"/>
    <col min="3842" max="3842" width="10.2890625" style="241" customWidth="1"/>
    <col min="3843" max="3845" width="9" style="241" hidden="1" customWidth="1"/>
    <col min="3846" max="3846" width="10.2890625" style="241" customWidth="1"/>
    <col min="3847" max="3849" width="9" style="241" hidden="1" customWidth="1"/>
    <col min="3850" max="3850" width="10.2890625" style="241" customWidth="1"/>
    <col min="3851" max="3853" width="9" style="241" hidden="1" customWidth="1"/>
    <col min="3854" max="3854" width="10.2890625" style="241" customWidth="1"/>
    <col min="3855" max="3857" width="9" style="241" hidden="1" customWidth="1"/>
    <col min="3858" max="3858" width="10.2890625" style="241" customWidth="1"/>
    <col min="3859" max="3861" width="9" style="241" hidden="1" customWidth="1"/>
    <col min="3862" max="3862" width="10.2890625" style="241" customWidth="1"/>
    <col min="3863" max="3865" width="9" style="241" hidden="1" customWidth="1"/>
    <col min="3866" max="3866" width="10.5703125" style="241" customWidth="1"/>
    <col min="3867" max="3869" width="9" style="241" hidden="1" customWidth="1"/>
    <col min="3870" max="3870" width="10.5703125" style="241" customWidth="1"/>
    <col min="3871" max="3873" width="9" style="241" hidden="1" customWidth="1"/>
    <col min="3874" max="3874" width="10.5703125" style="241" customWidth="1"/>
    <col min="3875" max="3877" width="9" style="241" hidden="1" customWidth="1"/>
    <col min="3878" max="3878" width="10.2890625" style="241" customWidth="1"/>
    <col min="3879" max="3881" width="9" style="241" hidden="1" customWidth="1"/>
    <col min="3882" max="3882" width="10.5703125" style="241" customWidth="1"/>
    <col min="3883" max="3885" width="9" style="241" hidden="1" customWidth="1"/>
    <col min="3886" max="3886" width="10.2890625" style="241" customWidth="1"/>
    <col min="3887" max="3889" width="9" style="241" hidden="1" customWidth="1"/>
    <col min="3890" max="3890" width="10.2890625" style="241" customWidth="1"/>
    <col min="3891" max="3893" width="9" style="241" hidden="1" customWidth="1"/>
    <col min="3894" max="3894" width="10.2890625" style="241" customWidth="1"/>
    <col min="3895" max="3897" width="9" style="241" hidden="1" customWidth="1"/>
    <col min="3898" max="3898" width="10.2890625" style="241" customWidth="1"/>
    <col min="3899" max="3901" width="9" style="241" hidden="1" customWidth="1"/>
    <col min="3902" max="3902" width="10.2890625" style="241" customWidth="1"/>
    <col min="3903" max="3905" width="9" style="241" hidden="1" customWidth="1"/>
    <col min="3906" max="3906" width="10.2890625" style="241" customWidth="1"/>
    <col min="3907" max="3909" width="9" style="241" hidden="1" customWidth="1"/>
    <col min="3910" max="3910" width="10.2890625" style="241" customWidth="1"/>
    <col min="3911" max="3913" width="9" style="241" hidden="1" customWidth="1"/>
    <col min="3914" max="3914" width="10.2890625" style="241" customWidth="1"/>
    <col min="3915" max="3918" width="10" style="241" customWidth="1"/>
    <col min="3919" max="4096" width="9.140625" style="241"/>
    <col min="4097" max="4097" width="41.140625" style="241" customWidth="1"/>
    <col min="4098" max="4098" width="10.2890625" style="241" customWidth="1"/>
    <col min="4099" max="4101" width="9" style="241" hidden="1" customWidth="1"/>
    <col min="4102" max="4102" width="10.2890625" style="241" customWidth="1"/>
    <col min="4103" max="4105" width="9" style="241" hidden="1" customWidth="1"/>
    <col min="4106" max="4106" width="10.2890625" style="241" customWidth="1"/>
    <col min="4107" max="4109" width="9" style="241" hidden="1" customWidth="1"/>
    <col min="4110" max="4110" width="10.2890625" style="241" customWidth="1"/>
    <col min="4111" max="4113" width="9" style="241" hidden="1" customWidth="1"/>
    <col min="4114" max="4114" width="10.2890625" style="241" customWidth="1"/>
    <col min="4115" max="4117" width="9" style="241" hidden="1" customWidth="1"/>
    <col min="4118" max="4118" width="10.2890625" style="241" customWidth="1"/>
    <col min="4119" max="4121" width="9" style="241" hidden="1" customWidth="1"/>
    <col min="4122" max="4122" width="10.5703125" style="241" customWidth="1"/>
    <col min="4123" max="4125" width="9" style="241" hidden="1" customWidth="1"/>
    <col min="4126" max="4126" width="10.5703125" style="241" customWidth="1"/>
    <col min="4127" max="4129" width="9" style="241" hidden="1" customWidth="1"/>
    <col min="4130" max="4130" width="10.5703125" style="241" customWidth="1"/>
    <col min="4131" max="4133" width="9" style="241" hidden="1" customWidth="1"/>
    <col min="4134" max="4134" width="10.2890625" style="241" customWidth="1"/>
    <col min="4135" max="4137" width="9" style="241" hidden="1" customWidth="1"/>
    <col min="4138" max="4138" width="10.5703125" style="241" customWidth="1"/>
    <col min="4139" max="4141" width="9" style="241" hidden="1" customWidth="1"/>
    <col min="4142" max="4142" width="10.2890625" style="241" customWidth="1"/>
    <col min="4143" max="4145" width="9" style="241" hidden="1" customWidth="1"/>
    <col min="4146" max="4146" width="10.2890625" style="241" customWidth="1"/>
    <col min="4147" max="4149" width="9" style="241" hidden="1" customWidth="1"/>
    <col min="4150" max="4150" width="10.2890625" style="241" customWidth="1"/>
    <col min="4151" max="4153" width="9" style="241" hidden="1" customWidth="1"/>
    <col min="4154" max="4154" width="10.2890625" style="241" customWidth="1"/>
    <col min="4155" max="4157" width="9" style="241" hidden="1" customWidth="1"/>
    <col min="4158" max="4158" width="10.2890625" style="241" customWidth="1"/>
    <col min="4159" max="4161" width="9" style="241" hidden="1" customWidth="1"/>
    <col min="4162" max="4162" width="10.2890625" style="241" customWidth="1"/>
    <col min="4163" max="4165" width="9" style="241" hidden="1" customWidth="1"/>
    <col min="4166" max="4166" width="10.2890625" style="241" customWidth="1"/>
    <col min="4167" max="4169" width="9" style="241" hidden="1" customWidth="1"/>
    <col min="4170" max="4170" width="10.2890625" style="241" customWidth="1"/>
    <col min="4171" max="4174" width="10" style="241" customWidth="1"/>
    <col min="4175" max="4352" width="9.140625" style="241"/>
    <col min="4353" max="4353" width="41.140625" style="241" customWidth="1"/>
    <col min="4354" max="4354" width="10.2890625" style="241" customWidth="1"/>
    <col min="4355" max="4357" width="9" style="241" hidden="1" customWidth="1"/>
    <col min="4358" max="4358" width="10.2890625" style="241" customWidth="1"/>
    <col min="4359" max="4361" width="9" style="241" hidden="1" customWidth="1"/>
    <col min="4362" max="4362" width="10.2890625" style="241" customWidth="1"/>
    <col min="4363" max="4365" width="9" style="241" hidden="1" customWidth="1"/>
    <col min="4366" max="4366" width="10.2890625" style="241" customWidth="1"/>
    <col min="4367" max="4369" width="9" style="241" hidden="1" customWidth="1"/>
    <col min="4370" max="4370" width="10.2890625" style="241" customWidth="1"/>
    <col min="4371" max="4373" width="9" style="241" hidden="1" customWidth="1"/>
    <col min="4374" max="4374" width="10.2890625" style="241" customWidth="1"/>
    <col min="4375" max="4377" width="9" style="241" hidden="1" customWidth="1"/>
    <col min="4378" max="4378" width="10.5703125" style="241" customWidth="1"/>
    <col min="4379" max="4381" width="9" style="241" hidden="1" customWidth="1"/>
    <col min="4382" max="4382" width="10.5703125" style="241" customWidth="1"/>
    <col min="4383" max="4385" width="9" style="241" hidden="1" customWidth="1"/>
    <col min="4386" max="4386" width="10.5703125" style="241" customWidth="1"/>
    <col min="4387" max="4389" width="9" style="241" hidden="1" customWidth="1"/>
    <col min="4390" max="4390" width="10.2890625" style="241" customWidth="1"/>
    <col min="4391" max="4393" width="9" style="241" hidden="1" customWidth="1"/>
    <col min="4394" max="4394" width="10.5703125" style="241" customWidth="1"/>
    <col min="4395" max="4397" width="9" style="241" hidden="1" customWidth="1"/>
    <col min="4398" max="4398" width="10.2890625" style="241" customWidth="1"/>
    <col min="4399" max="4401" width="9" style="241" hidden="1" customWidth="1"/>
    <col min="4402" max="4402" width="10.2890625" style="241" customWidth="1"/>
    <col min="4403" max="4405" width="9" style="241" hidden="1" customWidth="1"/>
    <col min="4406" max="4406" width="10.2890625" style="241" customWidth="1"/>
    <col min="4407" max="4409" width="9" style="241" hidden="1" customWidth="1"/>
    <col min="4410" max="4410" width="10.2890625" style="241" customWidth="1"/>
    <col min="4411" max="4413" width="9" style="241" hidden="1" customWidth="1"/>
    <col min="4414" max="4414" width="10.2890625" style="241" customWidth="1"/>
    <col min="4415" max="4417" width="9" style="241" hidden="1" customWidth="1"/>
    <col min="4418" max="4418" width="10.2890625" style="241" customWidth="1"/>
    <col min="4419" max="4421" width="9" style="241" hidden="1" customWidth="1"/>
    <col min="4422" max="4422" width="10.2890625" style="241" customWidth="1"/>
    <col min="4423" max="4425" width="9" style="241" hidden="1" customWidth="1"/>
    <col min="4426" max="4426" width="10.2890625" style="241" customWidth="1"/>
    <col min="4427" max="4430" width="10" style="241" customWidth="1"/>
    <col min="4431" max="4608" width="9.140625" style="241"/>
    <col min="4609" max="4609" width="41.140625" style="241" customWidth="1"/>
    <col min="4610" max="4610" width="10.2890625" style="241" customWidth="1"/>
    <col min="4611" max="4613" width="9" style="241" hidden="1" customWidth="1"/>
    <col min="4614" max="4614" width="10.2890625" style="241" customWidth="1"/>
    <col min="4615" max="4617" width="9" style="241" hidden="1" customWidth="1"/>
    <col min="4618" max="4618" width="10.2890625" style="241" customWidth="1"/>
    <col min="4619" max="4621" width="9" style="241" hidden="1" customWidth="1"/>
    <col min="4622" max="4622" width="10.2890625" style="241" customWidth="1"/>
    <col min="4623" max="4625" width="9" style="241" hidden="1" customWidth="1"/>
    <col min="4626" max="4626" width="10.2890625" style="241" customWidth="1"/>
    <col min="4627" max="4629" width="9" style="241" hidden="1" customWidth="1"/>
    <col min="4630" max="4630" width="10.2890625" style="241" customWidth="1"/>
    <col min="4631" max="4633" width="9" style="241" hidden="1" customWidth="1"/>
    <col min="4634" max="4634" width="10.5703125" style="241" customWidth="1"/>
    <col min="4635" max="4637" width="9" style="241" hidden="1" customWidth="1"/>
    <col min="4638" max="4638" width="10.5703125" style="241" customWidth="1"/>
    <col min="4639" max="4641" width="9" style="241" hidden="1" customWidth="1"/>
    <col min="4642" max="4642" width="10.5703125" style="241" customWidth="1"/>
    <col min="4643" max="4645" width="9" style="241" hidden="1" customWidth="1"/>
    <col min="4646" max="4646" width="10.2890625" style="241" customWidth="1"/>
    <col min="4647" max="4649" width="9" style="241" hidden="1" customWidth="1"/>
    <col min="4650" max="4650" width="10.5703125" style="241" customWidth="1"/>
    <col min="4651" max="4653" width="9" style="241" hidden="1" customWidth="1"/>
    <col min="4654" max="4654" width="10.2890625" style="241" customWidth="1"/>
    <col min="4655" max="4657" width="9" style="241" hidden="1" customWidth="1"/>
    <col min="4658" max="4658" width="10.2890625" style="241" customWidth="1"/>
    <col min="4659" max="4661" width="9" style="241" hidden="1" customWidth="1"/>
    <col min="4662" max="4662" width="10.2890625" style="241" customWidth="1"/>
    <col min="4663" max="4665" width="9" style="241" hidden="1" customWidth="1"/>
    <col min="4666" max="4666" width="10.2890625" style="241" customWidth="1"/>
    <col min="4667" max="4669" width="9" style="241" hidden="1" customWidth="1"/>
    <col min="4670" max="4670" width="10.2890625" style="241" customWidth="1"/>
    <col min="4671" max="4673" width="9" style="241" hidden="1" customWidth="1"/>
    <col min="4674" max="4674" width="10.2890625" style="241" customWidth="1"/>
    <col min="4675" max="4677" width="9" style="241" hidden="1" customWidth="1"/>
    <col min="4678" max="4678" width="10.2890625" style="241" customWidth="1"/>
    <col min="4679" max="4681" width="9" style="241" hidden="1" customWidth="1"/>
    <col min="4682" max="4682" width="10.2890625" style="241" customWidth="1"/>
    <col min="4683" max="4686" width="10" style="241" customWidth="1"/>
    <col min="4687" max="4864" width="9.140625" style="241"/>
    <col min="4865" max="4865" width="41.140625" style="241" customWidth="1"/>
    <col min="4866" max="4866" width="10.2890625" style="241" customWidth="1"/>
    <col min="4867" max="4869" width="9" style="241" hidden="1" customWidth="1"/>
    <col min="4870" max="4870" width="10.2890625" style="241" customWidth="1"/>
    <col min="4871" max="4873" width="9" style="241" hidden="1" customWidth="1"/>
    <col min="4874" max="4874" width="10.2890625" style="241" customWidth="1"/>
    <col min="4875" max="4877" width="9" style="241" hidden="1" customWidth="1"/>
    <col min="4878" max="4878" width="10.2890625" style="241" customWidth="1"/>
    <col min="4879" max="4881" width="9" style="241" hidden="1" customWidth="1"/>
    <col min="4882" max="4882" width="10.2890625" style="241" customWidth="1"/>
    <col min="4883" max="4885" width="9" style="241" hidden="1" customWidth="1"/>
    <col min="4886" max="4886" width="10.2890625" style="241" customWidth="1"/>
    <col min="4887" max="4889" width="9" style="241" hidden="1" customWidth="1"/>
    <col min="4890" max="4890" width="10.5703125" style="241" customWidth="1"/>
    <col min="4891" max="4893" width="9" style="241" hidden="1" customWidth="1"/>
    <col min="4894" max="4894" width="10.5703125" style="241" customWidth="1"/>
    <col min="4895" max="4897" width="9" style="241" hidden="1" customWidth="1"/>
    <col min="4898" max="4898" width="10.5703125" style="241" customWidth="1"/>
    <col min="4899" max="4901" width="9" style="241" hidden="1" customWidth="1"/>
    <col min="4902" max="4902" width="10.2890625" style="241" customWidth="1"/>
    <col min="4903" max="4905" width="9" style="241" hidden="1" customWidth="1"/>
    <col min="4906" max="4906" width="10.5703125" style="241" customWidth="1"/>
    <col min="4907" max="4909" width="9" style="241" hidden="1" customWidth="1"/>
    <col min="4910" max="4910" width="10.2890625" style="241" customWidth="1"/>
    <col min="4911" max="4913" width="9" style="241" hidden="1" customWidth="1"/>
    <col min="4914" max="4914" width="10.2890625" style="241" customWidth="1"/>
    <col min="4915" max="4917" width="9" style="241" hidden="1" customWidth="1"/>
    <col min="4918" max="4918" width="10.2890625" style="241" customWidth="1"/>
    <col min="4919" max="4921" width="9" style="241" hidden="1" customWidth="1"/>
    <col min="4922" max="4922" width="10.2890625" style="241" customWidth="1"/>
    <col min="4923" max="4925" width="9" style="241" hidden="1" customWidth="1"/>
    <col min="4926" max="4926" width="10.2890625" style="241" customWidth="1"/>
    <col min="4927" max="4929" width="9" style="241" hidden="1" customWidth="1"/>
    <col min="4930" max="4930" width="10.2890625" style="241" customWidth="1"/>
    <col min="4931" max="4933" width="9" style="241" hidden="1" customWidth="1"/>
    <col min="4934" max="4934" width="10.2890625" style="241" customWidth="1"/>
    <col min="4935" max="4937" width="9" style="241" hidden="1" customWidth="1"/>
    <col min="4938" max="4938" width="10.2890625" style="241" customWidth="1"/>
    <col min="4939" max="4942" width="10" style="241" customWidth="1"/>
    <col min="4943" max="5120" width="9.140625" style="241"/>
    <col min="5121" max="5121" width="41.140625" style="241" customWidth="1"/>
    <col min="5122" max="5122" width="10.2890625" style="241" customWidth="1"/>
    <col min="5123" max="5125" width="9" style="241" hidden="1" customWidth="1"/>
    <col min="5126" max="5126" width="10.2890625" style="241" customWidth="1"/>
    <col min="5127" max="5129" width="9" style="241" hidden="1" customWidth="1"/>
    <col min="5130" max="5130" width="10.2890625" style="241" customWidth="1"/>
    <col min="5131" max="5133" width="9" style="241" hidden="1" customWidth="1"/>
    <col min="5134" max="5134" width="10.2890625" style="241" customWidth="1"/>
    <col min="5135" max="5137" width="9" style="241" hidden="1" customWidth="1"/>
    <col min="5138" max="5138" width="10.2890625" style="241" customWidth="1"/>
    <col min="5139" max="5141" width="9" style="241" hidden="1" customWidth="1"/>
    <col min="5142" max="5142" width="10.2890625" style="241" customWidth="1"/>
    <col min="5143" max="5145" width="9" style="241" hidden="1" customWidth="1"/>
    <col min="5146" max="5146" width="10.5703125" style="241" customWidth="1"/>
    <col min="5147" max="5149" width="9" style="241" hidden="1" customWidth="1"/>
    <col min="5150" max="5150" width="10.5703125" style="241" customWidth="1"/>
    <col min="5151" max="5153" width="9" style="241" hidden="1" customWidth="1"/>
    <col min="5154" max="5154" width="10.5703125" style="241" customWidth="1"/>
    <col min="5155" max="5157" width="9" style="241" hidden="1" customWidth="1"/>
    <col min="5158" max="5158" width="10.2890625" style="241" customWidth="1"/>
    <col min="5159" max="5161" width="9" style="241" hidden="1" customWidth="1"/>
    <col min="5162" max="5162" width="10.5703125" style="241" customWidth="1"/>
    <col min="5163" max="5165" width="9" style="241" hidden="1" customWidth="1"/>
    <col min="5166" max="5166" width="10.2890625" style="241" customWidth="1"/>
    <col min="5167" max="5169" width="9" style="241" hidden="1" customWidth="1"/>
    <col min="5170" max="5170" width="10.2890625" style="241" customWidth="1"/>
    <col min="5171" max="5173" width="9" style="241" hidden="1" customWidth="1"/>
    <col min="5174" max="5174" width="10.2890625" style="241" customWidth="1"/>
    <col min="5175" max="5177" width="9" style="241" hidden="1" customWidth="1"/>
    <col min="5178" max="5178" width="10.2890625" style="241" customWidth="1"/>
    <col min="5179" max="5181" width="9" style="241" hidden="1" customWidth="1"/>
    <col min="5182" max="5182" width="10.2890625" style="241" customWidth="1"/>
    <col min="5183" max="5185" width="9" style="241" hidden="1" customWidth="1"/>
    <col min="5186" max="5186" width="10.2890625" style="241" customWidth="1"/>
    <col min="5187" max="5189" width="9" style="241" hidden="1" customWidth="1"/>
    <col min="5190" max="5190" width="10.2890625" style="241" customWidth="1"/>
    <col min="5191" max="5193" width="9" style="241" hidden="1" customWidth="1"/>
    <col min="5194" max="5194" width="10.2890625" style="241" customWidth="1"/>
    <col min="5195" max="5198" width="10" style="241" customWidth="1"/>
    <col min="5199" max="5376" width="9.140625" style="241"/>
    <col min="5377" max="5377" width="41.140625" style="241" customWidth="1"/>
    <col min="5378" max="5378" width="10.2890625" style="241" customWidth="1"/>
    <col min="5379" max="5381" width="9" style="241" hidden="1" customWidth="1"/>
    <col min="5382" max="5382" width="10.2890625" style="241" customWidth="1"/>
    <col min="5383" max="5385" width="9" style="241" hidden="1" customWidth="1"/>
    <col min="5386" max="5386" width="10.2890625" style="241" customWidth="1"/>
    <col min="5387" max="5389" width="9" style="241" hidden="1" customWidth="1"/>
    <col min="5390" max="5390" width="10.2890625" style="241" customWidth="1"/>
    <col min="5391" max="5393" width="9" style="241" hidden="1" customWidth="1"/>
    <col min="5394" max="5394" width="10.2890625" style="241" customWidth="1"/>
    <col min="5395" max="5397" width="9" style="241" hidden="1" customWidth="1"/>
    <col min="5398" max="5398" width="10.2890625" style="241" customWidth="1"/>
    <col min="5399" max="5401" width="9" style="241" hidden="1" customWidth="1"/>
    <col min="5402" max="5402" width="10.5703125" style="241" customWidth="1"/>
    <col min="5403" max="5405" width="9" style="241" hidden="1" customWidth="1"/>
    <col min="5406" max="5406" width="10.5703125" style="241" customWidth="1"/>
    <col min="5407" max="5409" width="9" style="241" hidden="1" customWidth="1"/>
    <col min="5410" max="5410" width="10.5703125" style="241" customWidth="1"/>
    <col min="5411" max="5413" width="9" style="241" hidden="1" customWidth="1"/>
    <col min="5414" max="5414" width="10.2890625" style="241" customWidth="1"/>
    <col min="5415" max="5417" width="9" style="241" hidden="1" customWidth="1"/>
    <col min="5418" max="5418" width="10.5703125" style="241" customWidth="1"/>
    <col min="5419" max="5421" width="9" style="241" hidden="1" customWidth="1"/>
    <col min="5422" max="5422" width="10.2890625" style="241" customWidth="1"/>
    <col min="5423" max="5425" width="9" style="241" hidden="1" customWidth="1"/>
    <col min="5426" max="5426" width="10.2890625" style="241" customWidth="1"/>
    <col min="5427" max="5429" width="9" style="241" hidden="1" customWidth="1"/>
    <col min="5430" max="5430" width="10.2890625" style="241" customWidth="1"/>
    <col min="5431" max="5433" width="9" style="241" hidden="1" customWidth="1"/>
    <col min="5434" max="5434" width="10.2890625" style="241" customWidth="1"/>
    <col min="5435" max="5437" width="9" style="241" hidden="1" customWidth="1"/>
    <col min="5438" max="5438" width="10.2890625" style="241" customWidth="1"/>
    <col min="5439" max="5441" width="9" style="241" hidden="1" customWidth="1"/>
    <col min="5442" max="5442" width="10.2890625" style="241" customWidth="1"/>
    <col min="5443" max="5445" width="9" style="241" hidden="1" customWidth="1"/>
    <col min="5446" max="5446" width="10.2890625" style="241" customWidth="1"/>
    <col min="5447" max="5449" width="9" style="241" hidden="1" customWidth="1"/>
    <col min="5450" max="5450" width="10.2890625" style="241" customWidth="1"/>
    <col min="5451" max="5454" width="10" style="241" customWidth="1"/>
    <col min="5455" max="5632" width="9.140625" style="241"/>
    <col min="5633" max="5633" width="41.140625" style="241" customWidth="1"/>
    <col min="5634" max="5634" width="10.2890625" style="241" customWidth="1"/>
    <col min="5635" max="5637" width="9" style="241" hidden="1" customWidth="1"/>
    <col min="5638" max="5638" width="10.2890625" style="241" customWidth="1"/>
    <col min="5639" max="5641" width="9" style="241" hidden="1" customWidth="1"/>
    <col min="5642" max="5642" width="10.2890625" style="241" customWidth="1"/>
    <col min="5643" max="5645" width="9" style="241" hidden="1" customWidth="1"/>
    <col min="5646" max="5646" width="10.2890625" style="241" customWidth="1"/>
    <col min="5647" max="5649" width="9" style="241" hidden="1" customWidth="1"/>
    <col min="5650" max="5650" width="10.2890625" style="241" customWidth="1"/>
    <col min="5651" max="5653" width="9" style="241" hidden="1" customWidth="1"/>
    <col min="5654" max="5654" width="10.2890625" style="241" customWidth="1"/>
    <col min="5655" max="5657" width="9" style="241" hidden="1" customWidth="1"/>
    <col min="5658" max="5658" width="10.5703125" style="241" customWidth="1"/>
    <col min="5659" max="5661" width="9" style="241" hidden="1" customWidth="1"/>
    <col min="5662" max="5662" width="10.5703125" style="241" customWidth="1"/>
    <col min="5663" max="5665" width="9" style="241" hidden="1" customWidth="1"/>
    <col min="5666" max="5666" width="10.5703125" style="241" customWidth="1"/>
    <col min="5667" max="5669" width="9" style="241" hidden="1" customWidth="1"/>
    <col min="5670" max="5670" width="10.2890625" style="241" customWidth="1"/>
    <col min="5671" max="5673" width="9" style="241" hidden="1" customWidth="1"/>
    <col min="5674" max="5674" width="10.5703125" style="241" customWidth="1"/>
    <col min="5675" max="5677" width="9" style="241" hidden="1" customWidth="1"/>
    <col min="5678" max="5678" width="10.2890625" style="241" customWidth="1"/>
    <col min="5679" max="5681" width="9" style="241" hidden="1" customWidth="1"/>
    <col min="5682" max="5682" width="10.2890625" style="241" customWidth="1"/>
    <col min="5683" max="5685" width="9" style="241" hidden="1" customWidth="1"/>
    <col min="5686" max="5686" width="10.2890625" style="241" customWidth="1"/>
    <col min="5687" max="5689" width="9" style="241" hidden="1" customWidth="1"/>
    <col min="5690" max="5690" width="10.2890625" style="241" customWidth="1"/>
    <col min="5691" max="5693" width="9" style="241" hidden="1" customWidth="1"/>
    <col min="5694" max="5694" width="10.2890625" style="241" customWidth="1"/>
    <col min="5695" max="5697" width="9" style="241" hidden="1" customWidth="1"/>
    <col min="5698" max="5698" width="10.2890625" style="241" customWidth="1"/>
    <col min="5699" max="5701" width="9" style="241" hidden="1" customWidth="1"/>
    <col min="5702" max="5702" width="10.2890625" style="241" customWidth="1"/>
    <col min="5703" max="5705" width="9" style="241" hidden="1" customWidth="1"/>
    <col min="5706" max="5706" width="10.2890625" style="241" customWidth="1"/>
    <col min="5707" max="5710" width="10" style="241" customWidth="1"/>
    <col min="5711" max="5888" width="9.140625" style="241"/>
    <col min="5889" max="5889" width="41.140625" style="241" customWidth="1"/>
    <col min="5890" max="5890" width="10.2890625" style="241" customWidth="1"/>
    <col min="5891" max="5893" width="9" style="241" hidden="1" customWidth="1"/>
    <col min="5894" max="5894" width="10.2890625" style="241" customWidth="1"/>
    <col min="5895" max="5897" width="9" style="241" hidden="1" customWidth="1"/>
    <col min="5898" max="5898" width="10.2890625" style="241" customWidth="1"/>
    <col min="5899" max="5901" width="9" style="241" hidden="1" customWidth="1"/>
    <col min="5902" max="5902" width="10.2890625" style="241" customWidth="1"/>
    <col min="5903" max="5905" width="9" style="241" hidden="1" customWidth="1"/>
    <col min="5906" max="5906" width="10.2890625" style="241" customWidth="1"/>
    <col min="5907" max="5909" width="9" style="241" hidden="1" customWidth="1"/>
    <col min="5910" max="5910" width="10.2890625" style="241" customWidth="1"/>
    <col min="5911" max="5913" width="9" style="241" hidden="1" customWidth="1"/>
    <col min="5914" max="5914" width="10.5703125" style="241" customWidth="1"/>
    <col min="5915" max="5917" width="9" style="241" hidden="1" customWidth="1"/>
    <col min="5918" max="5918" width="10.5703125" style="241" customWidth="1"/>
    <col min="5919" max="5921" width="9" style="241" hidden="1" customWidth="1"/>
    <col min="5922" max="5922" width="10.5703125" style="241" customWidth="1"/>
    <col min="5923" max="5925" width="9" style="241" hidden="1" customWidth="1"/>
    <col min="5926" max="5926" width="10.2890625" style="241" customWidth="1"/>
    <col min="5927" max="5929" width="9" style="241" hidden="1" customWidth="1"/>
    <col min="5930" max="5930" width="10.5703125" style="241" customWidth="1"/>
    <col min="5931" max="5933" width="9" style="241" hidden="1" customWidth="1"/>
    <col min="5934" max="5934" width="10.2890625" style="241" customWidth="1"/>
    <col min="5935" max="5937" width="9" style="241" hidden="1" customWidth="1"/>
    <col min="5938" max="5938" width="10.2890625" style="241" customWidth="1"/>
    <col min="5939" max="5941" width="9" style="241" hidden="1" customWidth="1"/>
    <col min="5942" max="5942" width="10.2890625" style="241" customWidth="1"/>
    <col min="5943" max="5945" width="9" style="241" hidden="1" customWidth="1"/>
    <col min="5946" max="5946" width="10.2890625" style="241" customWidth="1"/>
    <col min="5947" max="5949" width="9" style="241" hidden="1" customWidth="1"/>
    <col min="5950" max="5950" width="10.2890625" style="241" customWidth="1"/>
    <col min="5951" max="5953" width="9" style="241" hidden="1" customWidth="1"/>
    <col min="5954" max="5954" width="10.2890625" style="241" customWidth="1"/>
    <col min="5955" max="5957" width="9" style="241" hidden="1" customWidth="1"/>
    <col min="5958" max="5958" width="10.2890625" style="241" customWidth="1"/>
    <col min="5959" max="5961" width="9" style="241" hidden="1" customWidth="1"/>
    <col min="5962" max="5962" width="10.2890625" style="241" customWidth="1"/>
    <col min="5963" max="5966" width="10" style="241" customWidth="1"/>
    <col min="5967" max="6144" width="9.140625" style="241"/>
    <col min="6145" max="6145" width="41.140625" style="241" customWidth="1"/>
    <col min="6146" max="6146" width="10.2890625" style="241" customWidth="1"/>
    <col min="6147" max="6149" width="9" style="241" hidden="1" customWidth="1"/>
    <col min="6150" max="6150" width="10.2890625" style="241" customWidth="1"/>
    <col min="6151" max="6153" width="9" style="241" hidden="1" customWidth="1"/>
    <col min="6154" max="6154" width="10.2890625" style="241" customWidth="1"/>
    <col min="6155" max="6157" width="9" style="241" hidden="1" customWidth="1"/>
    <col min="6158" max="6158" width="10.2890625" style="241" customWidth="1"/>
    <col min="6159" max="6161" width="9" style="241" hidden="1" customWidth="1"/>
    <col min="6162" max="6162" width="10.2890625" style="241" customWidth="1"/>
    <col min="6163" max="6165" width="9" style="241" hidden="1" customWidth="1"/>
    <col min="6166" max="6166" width="10.2890625" style="241" customWidth="1"/>
    <col min="6167" max="6169" width="9" style="241" hidden="1" customWidth="1"/>
    <col min="6170" max="6170" width="10.5703125" style="241" customWidth="1"/>
    <col min="6171" max="6173" width="9" style="241" hidden="1" customWidth="1"/>
    <col min="6174" max="6174" width="10.5703125" style="241" customWidth="1"/>
    <col min="6175" max="6177" width="9" style="241" hidden="1" customWidth="1"/>
    <col min="6178" max="6178" width="10.5703125" style="241" customWidth="1"/>
    <col min="6179" max="6181" width="9" style="241" hidden="1" customWidth="1"/>
    <col min="6182" max="6182" width="10.2890625" style="241" customWidth="1"/>
    <col min="6183" max="6185" width="9" style="241" hidden="1" customWidth="1"/>
    <col min="6186" max="6186" width="10.5703125" style="241" customWidth="1"/>
    <col min="6187" max="6189" width="9" style="241" hidden="1" customWidth="1"/>
    <col min="6190" max="6190" width="10.2890625" style="241" customWidth="1"/>
    <col min="6191" max="6193" width="9" style="241" hidden="1" customWidth="1"/>
    <col min="6194" max="6194" width="10.2890625" style="241" customWidth="1"/>
    <col min="6195" max="6197" width="9" style="241" hidden="1" customWidth="1"/>
    <col min="6198" max="6198" width="10.2890625" style="241" customWidth="1"/>
    <col min="6199" max="6201" width="9" style="241" hidden="1" customWidth="1"/>
    <col min="6202" max="6202" width="10.2890625" style="241" customWidth="1"/>
    <col min="6203" max="6205" width="9" style="241" hidden="1" customWidth="1"/>
    <col min="6206" max="6206" width="10.2890625" style="241" customWidth="1"/>
    <col min="6207" max="6209" width="9" style="241" hidden="1" customWidth="1"/>
    <col min="6210" max="6210" width="10.2890625" style="241" customWidth="1"/>
    <col min="6211" max="6213" width="9" style="241" hidden="1" customWidth="1"/>
    <col min="6214" max="6214" width="10.2890625" style="241" customWidth="1"/>
    <col min="6215" max="6217" width="9" style="241" hidden="1" customWidth="1"/>
    <col min="6218" max="6218" width="10.2890625" style="241" customWidth="1"/>
    <col min="6219" max="6222" width="10" style="241" customWidth="1"/>
    <col min="6223" max="6400" width="9.140625" style="241"/>
    <col min="6401" max="6401" width="41.140625" style="241" customWidth="1"/>
    <col min="6402" max="6402" width="10.2890625" style="241" customWidth="1"/>
    <col min="6403" max="6405" width="9" style="241" hidden="1" customWidth="1"/>
    <col min="6406" max="6406" width="10.2890625" style="241" customWidth="1"/>
    <col min="6407" max="6409" width="9" style="241" hidden="1" customWidth="1"/>
    <col min="6410" max="6410" width="10.2890625" style="241" customWidth="1"/>
    <col min="6411" max="6413" width="9" style="241" hidden="1" customWidth="1"/>
    <col min="6414" max="6414" width="10.2890625" style="241" customWidth="1"/>
    <col min="6415" max="6417" width="9" style="241" hidden="1" customWidth="1"/>
    <col min="6418" max="6418" width="10.2890625" style="241" customWidth="1"/>
    <col min="6419" max="6421" width="9" style="241" hidden="1" customWidth="1"/>
    <col min="6422" max="6422" width="10.2890625" style="241" customWidth="1"/>
    <col min="6423" max="6425" width="9" style="241" hidden="1" customWidth="1"/>
    <col min="6426" max="6426" width="10.5703125" style="241" customWidth="1"/>
    <col min="6427" max="6429" width="9" style="241" hidden="1" customWidth="1"/>
    <col min="6430" max="6430" width="10.5703125" style="241" customWidth="1"/>
    <col min="6431" max="6433" width="9" style="241" hidden="1" customWidth="1"/>
    <col min="6434" max="6434" width="10.5703125" style="241" customWidth="1"/>
    <col min="6435" max="6437" width="9" style="241" hidden="1" customWidth="1"/>
    <col min="6438" max="6438" width="10.2890625" style="241" customWidth="1"/>
    <col min="6439" max="6441" width="9" style="241" hidden="1" customWidth="1"/>
    <col min="6442" max="6442" width="10.5703125" style="241" customWidth="1"/>
    <col min="6443" max="6445" width="9" style="241" hidden="1" customWidth="1"/>
    <col min="6446" max="6446" width="10.2890625" style="241" customWidth="1"/>
    <col min="6447" max="6449" width="9" style="241" hidden="1" customWidth="1"/>
    <col min="6450" max="6450" width="10.2890625" style="241" customWidth="1"/>
    <col min="6451" max="6453" width="9" style="241" hidden="1" customWidth="1"/>
    <col min="6454" max="6454" width="10.2890625" style="241" customWidth="1"/>
    <col min="6455" max="6457" width="9" style="241" hidden="1" customWidth="1"/>
    <col min="6458" max="6458" width="10.2890625" style="241" customWidth="1"/>
    <col min="6459" max="6461" width="9" style="241" hidden="1" customWidth="1"/>
    <col min="6462" max="6462" width="10.2890625" style="241" customWidth="1"/>
    <col min="6463" max="6465" width="9" style="241" hidden="1" customWidth="1"/>
    <col min="6466" max="6466" width="10.2890625" style="241" customWidth="1"/>
    <col min="6467" max="6469" width="9" style="241" hidden="1" customWidth="1"/>
    <col min="6470" max="6470" width="10.2890625" style="241" customWidth="1"/>
    <col min="6471" max="6473" width="9" style="241" hidden="1" customWidth="1"/>
    <col min="6474" max="6474" width="10.2890625" style="241" customWidth="1"/>
    <col min="6475" max="6478" width="10" style="241" customWidth="1"/>
    <col min="6479" max="6656" width="9.140625" style="241"/>
    <col min="6657" max="6657" width="41.140625" style="241" customWidth="1"/>
    <col min="6658" max="6658" width="10.2890625" style="241" customWidth="1"/>
    <col min="6659" max="6661" width="9" style="241" hidden="1" customWidth="1"/>
    <col min="6662" max="6662" width="10.2890625" style="241" customWidth="1"/>
    <col min="6663" max="6665" width="9" style="241" hidden="1" customWidth="1"/>
    <col min="6666" max="6666" width="10.2890625" style="241" customWidth="1"/>
    <col min="6667" max="6669" width="9" style="241" hidden="1" customWidth="1"/>
    <col min="6670" max="6670" width="10.2890625" style="241" customWidth="1"/>
    <col min="6671" max="6673" width="9" style="241" hidden="1" customWidth="1"/>
    <col min="6674" max="6674" width="10.2890625" style="241" customWidth="1"/>
    <col min="6675" max="6677" width="9" style="241" hidden="1" customWidth="1"/>
    <col min="6678" max="6678" width="10.2890625" style="241" customWidth="1"/>
    <col min="6679" max="6681" width="9" style="241" hidden="1" customWidth="1"/>
    <col min="6682" max="6682" width="10.5703125" style="241" customWidth="1"/>
    <col min="6683" max="6685" width="9" style="241" hidden="1" customWidth="1"/>
    <col min="6686" max="6686" width="10.5703125" style="241" customWidth="1"/>
    <col min="6687" max="6689" width="9" style="241" hidden="1" customWidth="1"/>
    <col min="6690" max="6690" width="10.5703125" style="241" customWidth="1"/>
    <col min="6691" max="6693" width="9" style="241" hidden="1" customWidth="1"/>
    <col min="6694" max="6694" width="10.2890625" style="241" customWidth="1"/>
    <col min="6695" max="6697" width="9" style="241" hidden="1" customWidth="1"/>
    <col min="6698" max="6698" width="10.5703125" style="241" customWidth="1"/>
    <col min="6699" max="6701" width="9" style="241" hidden="1" customWidth="1"/>
    <col min="6702" max="6702" width="10.2890625" style="241" customWidth="1"/>
    <col min="6703" max="6705" width="9" style="241" hidden="1" customWidth="1"/>
    <col min="6706" max="6706" width="10.2890625" style="241" customWidth="1"/>
    <col min="6707" max="6709" width="9" style="241" hidden="1" customWidth="1"/>
    <col min="6710" max="6710" width="10.2890625" style="241" customWidth="1"/>
    <col min="6711" max="6713" width="9" style="241" hidden="1" customWidth="1"/>
    <col min="6714" max="6714" width="10.2890625" style="241" customWidth="1"/>
    <col min="6715" max="6717" width="9" style="241" hidden="1" customWidth="1"/>
    <col min="6718" max="6718" width="10.2890625" style="241" customWidth="1"/>
    <col min="6719" max="6721" width="9" style="241" hidden="1" customWidth="1"/>
    <col min="6722" max="6722" width="10.2890625" style="241" customWidth="1"/>
    <col min="6723" max="6725" width="9" style="241" hidden="1" customWidth="1"/>
    <col min="6726" max="6726" width="10.2890625" style="241" customWidth="1"/>
    <col min="6727" max="6729" width="9" style="241" hidden="1" customWidth="1"/>
    <col min="6730" max="6730" width="10.2890625" style="241" customWidth="1"/>
    <col min="6731" max="6734" width="10" style="241" customWidth="1"/>
    <col min="6735" max="6912" width="9.140625" style="241"/>
    <col min="6913" max="6913" width="41.140625" style="241" customWidth="1"/>
    <col min="6914" max="6914" width="10.2890625" style="241" customWidth="1"/>
    <col min="6915" max="6917" width="9" style="241" hidden="1" customWidth="1"/>
    <col min="6918" max="6918" width="10.2890625" style="241" customWidth="1"/>
    <col min="6919" max="6921" width="9" style="241" hidden="1" customWidth="1"/>
    <col min="6922" max="6922" width="10.2890625" style="241" customWidth="1"/>
    <col min="6923" max="6925" width="9" style="241" hidden="1" customWidth="1"/>
    <col min="6926" max="6926" width="10.2890625" style="241" customWidth="1"/>
    <col min="6927" max="6929" width="9" style="241" hidden="1" customWidth="1"/>
    <col min="6930" max="6930" width="10.2890625" style="241" customWidth="1"/>
    <col min="6931" max="6933" width="9" style="241" hidden="1" customWidth="1"/>
    <col min="6934" max="6934" width="10.2890625" style="241" customWidth="1"/>
    <col min="6935" max="6937" width="9" style="241" hidden="1" customWidth="1"/>
    <col min="6938" max="6938" width="10.5703125" style="241" customWidth="1"/>
    <col min="6939" max="6941" width="9" style="241" hidden="1" customWidth="1"/>
    <col min="6942" max="6942" width="10.5703125" style="241" customWidth="1"/>
    <col min="6943" max="6945" width="9" style="241" hidden="1" customWidth="1"/>
    <col min="6946" max="6946" width="10.5703125" style="241" customWidth="1"/>
    <col min="6947" max="6949" width="9" style="241" hidden="1" customWidth="1"/>
    <col min="6950" max="6950" width="10.2890625" style="241" customWidth="1"/>
    <col min="6951" max="6953" width="9" style="241" hidden="1" customWidth="1"/>
    <col min="6954" max="6954" width="10.5703125" style="241" customWidth="1"/>
    <col min="6955" max="6957" width="9" style="241" hidden="1" customWidth="1"/>
    <col min="6958" max="6958" width="10.2890625" style="241" customWidth="1"/>
    <col min="6959" max="6961" width="9" style="241" hidden="1" customWidth="1"/>
    <col min="6962" max="6962" width="10.2890625" style="241" customWidth="1"/>
    <col min="6963" max="6965" width="9" style="241" hidden="1" customWidth="1"/>
    <col min="6966" max="6966" width="10.2890625" style="241" customWidth="1"/>
    <col min="6967" max="6969" width="9" style="241" hidden="1" customWidth="1"/>
    <col min="6970" max="6970" width="10.2890625" style="241" customWidth="1"/>
    <col min="6971" max="6973" width="9" style="241" hidden="1" customWidth="1"/>
    <col min="6974" max="6974" width="10.2890625" style="241" customWidth="1"/>
    <col min="6975" max="6977" width="9" style="241" hidden="1" customWidth="1"/>
    <col min="6978" max="6978" width="10.2890625" style="241" customWidth="1"/>
    <col min="6979" max="6981" width="9" style="241" hidden="1" customWidth="1"/>
    <col min="6982" max="6982" width="10.2890625" style="241" customWidth="1"/>
    <col min="6983" max="6985" width="9" style="241" hidden="1" customWidth="1"/>
    <col min="6986" max="6986" width="10.2890625" style="241" customWidth="1"/>
    <col min="6987" max="6990" width="10" style="241" customWidth="1"/>
    <col min="6991" max="7168" width="9.140625" style="241"/>
    <col min="7169" max="7169" width="41.140625" style="241" customWidth="1"/>
    <col min="7170" max="7170" width="10.2890625" style="241" customWidth="1"/>
    <col min="7171" max="7173" width="9" style="241" hidden="1" customWidth="1"/>
    <col min="7174" max="7174" width="10.2890625" style="241" customWidth="1"/>
    <col min="7175" max="7177" width="9" style="241" hidden="1" customWidth="1"/>
    <col min="7178" max="7178" width="10.2890625" style="241" customWidth="1"/>
    <col min="7179" max="7181" width="9" style="241" hidden="1" customWidth="1"/>
    <col min="7182" max="7182" width="10.2890625" style="241" customWidth="1"/>
    <col min="7183" max="7185" width="9" style="241" hidden="1" customWidth="1"/>
    <col min="7186" max="7186" width="10.2890625" style="241" customWidth="1"/>
    <col min="7187" max="7189" width="9" style="241" hidden="1" customWidth="1"/>
    <col min="7190" max="7190" width="10.2890625" style="241" customWidth="1"/>
    <col min="7191" max="7193" width="9" style="241" hidden="1" customWidth="1"/>
    <col min="7194" max="7194" width="10.5703125" style="241" customWidth="1"/>
    <col min="7195" max="7197" width="9" style="241" hidden="1" customWidth="1"/>
    <col min="7198" max="7198" width="10.5703125" style="241" customWidth="1"/>
    <col min="7199" max="7201" width="9" style="241" hidden="1" customWidth="1"/>
    <col min="7202" max="7202" width="10.5703125" style="241" customWidth="1"/>
    <col min="7203" max="7205" width="9" style="241" hidden="1" customWidth="1"/>
    <col min="7206" max="7206" width="10.2890625" style="241" customWidth="1"/>
    <col min="7207" max="7209" width="9" style="241" hidden="1" customWidth="1"/>
    <col min="7210" max="7210" width="10.5703125" style="241" customWidth="1"/>
    <col min="7211" max="7213" width="9" style="241" hidden="1" customWidth="1"/>
    <col min="7214" max="7214" width="10.2890625" style="241" customWidth="1"/>
    <col min="7215" max="7217" width="9" style="241" hidden="1" customWidth="1"/>
    <col min="7218" max="7218" width="10.2890625" style="241" customWidth="1"/>
    <col min="7219" max="7221" width="9" style="241" hidden="1" customWidth="1"/>
    <col min="7222" max="7222" width="10.2890625" style="241" customWidth="1"/>
    <col min="7223" max="7225" width="9" style="241" hidden="1" customWidth="1"/>
    <col min="7226" max="7226" width="10.2890625" style="241" customWidth="1"/>
    <col min="7227" max="7229" width="9" style="241" hidden="1" customWidth="1"/>
    <col min="7230" max="7230" width="10.2890625" style="241" customWidth="1"/>
    <col min="7231" max="7233" width="9" style="241" hidden="1" customWidth="1"/>
    <col min="7234" max="7234" width="10.2890625" style="241" customWidth="1"/>
    <col min="7235" max="7237" width="9" style="241" hidden="1" customWidth="1"/>
    <col min="7238" max="7238" width="10.2890625" style="241" customWidth="1"/>
    <col min="7239" max="7241" width="9" style="241" hidden="1" customWidth="1"/>
    <col min="7242" max="7242" width="10.2890625" style="241" customWidth="1"/>
    <col min="7243" max="7246" width="10" style="241" customWidth="1"/>
    <col min="7247" max="7424" width="9.140625" style="241"/>
    <col min="7425" max="7425" width="41.140625" style="241" customWidth="1"/>
    <col min="7426" max="7426" width="10.2890625" style="241" customWidth="1"/>
    <col min="7427" max="7429" width="9" style="241" hidden="1" customWidth="1"/>
    <col min="7430" max="7430" width="10.2890625" style="241" customWidth="1"/>
    <col min="7431" max="7433" width="9" style="241" hidden="1" customWidth="1"/>
    <col min="7434" max="7434" width="10.2890625" style="241" customWidth="1"/>
    <col min="7435" max="7437" width="9" style="241" hidden="1" customWidth="1"/>
    <col min="7438" max="7438" width="10.2890625" style="241" customWidth="1"/>
    <col min="7439" max="7441" width="9" style="241" hidden="1" customWidth="1"/>
    <col min="7442" max="7442" width="10.2890625" style="241" customWidth="1"/>
    <col min="7443" max="7445" width="9" style="241" hidden="1" customWidth="1"/>
    <col min="7446" max="7446" width="10.2890625" style="241" customWidth="1"/>
    <col min="7447" max="7449" width="9" style="241" hidden="1" customWidth="1"/>
    <col min="7450" max="7450" width="10.5703125" style="241" customWidth="1"/>
    <col min="7451" max="7453" width="9" style="241" hidden="1" customWidth="1"/>
    <col min="7454" max="7454" width="10.5703125" style="241" customWidth="1"/>
    <col min="7455" max="7457" width="9" style="241" hidden="1" customWidth="1"/>
    <col min="7458" max="7458" width="10.5703125" style="241" customWidth="1"/>
    <col min="7459" max="7461" width="9" style="241" hidden="1" customWidth="1"/>
    <col min="7462" max="7462" width="10.2890625" style="241" customWidth="1"/>
    <col min="7463" max="7465" width="9" style="241" hidden="1" customWidth="1"/>
    <col min="7466" max="7466" width="10.5703125" style="241" customWidth="1"/>
    <col min="7467" max="7469" width="9" style="241" hidden="1" customWidth="1"/>
    <col min="7470" max="7470" width="10.2890625" style="241" customWidth="1"/>
    <col min="7471" max="7473" width="9" style="241" hidden="1" customWidth="1"/>
    <col min="7474" max="7474" width="10.2890625" style="241" customWidth="1"/>
    <col min="7475" max="7477" width="9" style="241" hidden="1" customWidth="1"/>
    <col min="7478" max="7478" width="10.2890625" style="241" customWidth="1"/>
    <col min="7479" max="7481" width="9" style="241" hidden="1" customWidth="1"/>
    <col min="7482" max="7482" width="10.2890625" style="241" customWidth="1"/>
    <col min="7483" max="7485" width="9" style="241" hidden="1" customWidth="1"/>
    <col min="7486" max="7486" width="10.2890625" style="241" customWidth="1"/>
    <col min="7487" max="7489" width="9" style="241" hidden="1" customWidth="1"/>
    <col min="7490" max="7490" width="10.2890625" style="241" customWidth="1"/>
    <col min="7491" max="7493" width="9" style="241" hidden="1" customWidth="1"/>
    <col min="7494" max="7494" width="10.2890625" style="241" customWidth="1"/>
    <col min="7495" max="7497" width="9" style="241" hidden="1" customWidth="1"/>
    <col min="7498" max="7498" width="10.2890625" style="241" customWidth="1"/>
    <col min="7499" max="7502" width="10" style="241" customWidth="1"/>
    <col min="7503" max="7680" width="9.140625" style="241"/>
    <col min="7681" max="7681" width="41.140625" style="241" customWidth="1"/>
    <col min="7682" max="7682" width="10.2890625" style="241" customWidth="1"/>
    <col min="7683" max="7685" width="9" style="241" hidden="1" customWidth="1"/>
    <col min="7686" max="7686" width="10.2890625" style="241" customWidth="1"/>
    <col min="7687" max="7689" width="9" style="241" hidden="1" customWidth="1"/>
    <col min="7690" max="7690" width="10.2890625" style="241" customWidth="1"/>
    <col min="7691" max="7693" width="9" style="241" hidden="1" customWidth="1"/>
    <col min="7694" max="7694" width="10.2890625" style="241" customWidth="1"/>
    <col min="7695" max="7697" width="9" style="241" hidden="1" customWidth="1"/>
    <col min="7698" max="7698" width="10.2890625" style="241" customWidth="1"/>
    <col min="7699" max="7701" width="9" style="241" hidden="1" customWidth="1"/>
    <col min="7702" max="7702" width="10.2890625" style="241" customWidth="1"/>
    <col min="7703" max="7705" width="9" style="241" hidden="1" customWidth="1"/>
    <col min="7706" max="7706" width="10.5703125" style="241" customWidth="1"/>
    <col min="7707" max="7709" width="9" style="241" hidden="1" customWidth="1"/>
    <col min="7710" max="7710" width="10.5703125" style="241" customWidth="1"/>
    <col min="7711" max="7713" width="9" style="241" hidden="1" customWidth="1"/>
    <col min="7714" max="7714" width="10.5703125" style="241" customWidth="1"/>
    <col min="7715" max="7717" width="9" style="241" hidden="1" customWidth="1"/>
    <col min="7718" max="7718" width="10.2890625" style="241" customWidth="1"/>
    <col min="7719" max="7721" width="9" style="241" hidden="1" customWidth="1"/>
    <col min="7722" max="7722" width="10.5703125" style="241" customWidth="1"/>
    <col min="7723" max="7725" width="9" style="241" hidden="1" customWidth="1"/>
    <col min="7726" max="7726" width="10.2890625" style="241" customWidth="1"/>
    <col min="7727" max="7729" width="9" style="241" hidden="1" customWidth="1"/>
    <col min="7730" max="7730" width="10.2890625" style="241" customWidth="1"/>
    <col min="7731" max="7733" width="9" style="241" hidden="1" customWidth="1"/>
    <col min="7734" max="7734" width="10.2890625" style="241" customWidth="1"/>
    <col min="7735" max="7737" width="9" style="241" hidden="1" customWidth="1"/>
    <col min="7738" max="7738" width="10.2890625" style="241" customWidth="1"/>
    <col min="7739" max="7741" width="9" style="241" hidden="1" customWidth="1"/>
    <col min="7742" max="7742" width="10.2890625" style="241" customWidth="1"/>
    <col min="7743" max="7745" width="9" style="241" hidden="1" customWidth="1"/>
    <col min="7746" max="7746" width="10.2890625" style="241" customWidth="1"/>
    <col min="7747" max="7749" width="9" style="241" hidden="1" customWidth="1"/>
    <col min="7750" max="7750" width="10.2890625" style="241" customWidth="1"/>
    <col min="7751" max="7753" width="9" style="241" hidden="1" customWidth="1"/>
    <col min="7754" max="7754" width="10.2890625" style="241" customWidth="1"/>
    <col min="7755" max="7758" width="10" style="241" customWidth="1"/>
    <col min="7759" max="7936" width="9.140625" style="241"/>
    <col min="7937" max="7937" width="41.140625" style="241" customWidth="1"/>
    <col min="7938" max="7938" width="10.2890625" style="241" customWidth="1"/>
    <col min="7939" max="7941" width="9" style="241" hidden="1" customWidth="1"/>
    <col min="7942" max="7942" width="10.2890625" style="241" customWidth="1"/>
    <col min="7943" max="7945" width="9" style="241" hidden="1" customWidth="1"/>
    <col min="7946" max="7946" width="10.2890625" style="241" customWidth="1"/>
    <col min="7947" max="7949" width="9" style="241" hidden="1" customWidth="1"/>
    <col min="7950" max="7950" width="10.2890625" style="241" customWidth="1"/>
    <col min="7951" max="7953" width="9" style="241" hidden="1" customWidth="1"/>
    <col min="7954" max="7954" width="10.2890625" style="241" customWidth="1"/>
    <col min="7955" max="7957" width="9" style="241" hidden="1" customWidth="1"/>
    <col min="7958" max="7958" width="10.2890625" style="241" customWidth="1"/>
    <col min="7959" max="7961" width="9" style="241" hidden="1" customWidth="1"/>
    <col min="7962" max="7962" width="10.5703125" style="241" customWidth="1"/>
    <col min="7963" max="7965" width="9" style="241" hidden="1" customWidth="1"/>
    <col min="7966" max="7966" width="10.5703125" style="241" customWidth="1"/>
    <col min="7967" max="7969" width="9" style="241" hidden="1" customWidth="1"/>
    <col min="7970" max="7970" width="10.5703125" style="241" customWidth="1"/>
    <col min="7971" max="7973" width="9" style="241" hidden="1" customWidth="1"/>
    <col min="7974" max="7974" width="10.2890625" style="241" customWidth="1"/>
    <col min="7975" max="7977" width="9" style="241" hidden="1" customWidth="1"/>
    <col min="7978" max="7978" width="10.5703125" style="241" customWidth="1"/>
    <col min="7979" max="7981" width="9" style="241" hidden="1" customWidth="1"/>
    <col min="7982" max="7982" width="10.2890625" style="241" customWidth="1"/>
    <col min="7983" max="7985" width="9" style="241" hidden="1" customWidth="1"/>
    <col min="7986" max="7986" width="10.2890625" style="241" customWidth="1"/>
    <col min="7987" max="7989" width="9" style="241" hidden="1" customWidth="1"/>
    <col min="7990" max="7990" width="10.2890625" style="241" customWidth="1"/>
    <col min="7991" max="7993" width="9" style="241" hidden="1" customWidth="1"/>
    <col min="7994" max="7994" width="10.2890625" style="241" customWidth="1"/>
    <col min="7995" max="7997" width="9" style="241" hidden="1" customWidth="1"/>
    <col min="7998" max="7998" width="10.2890625" style="241" customWidth="1"/>
    <col min="7999" max="8001" width="9" style="241" hidden="1" customWidth="1"/>
    <col min="8002" max="8002" width="10.2890625" style="241" customWidth="1"/>
    <col min="8003" max="8005" width="9" style="241" hidden="1" customWidth="1"/>
    <col min="8006" max="8006" width="10.2890625" style="241" customWidth="1"/>
    <col min="8007" max="8009" width="9" style="241" hidden="1" customWidth="1"/>
    <col min="8010" max="8010" width="10.2890625" style="241" customWidth="1"/>
    <col min="8011" max="8014" width="10" style="241" customWidth="1"/>
    <col min="8015" max="8192" width="9.140625" style="241"/>
    <col min="8193" max="8193" width="41.140625" style="241" customWidth="1"/>
    <col min="8194" max="8194" width="10.2890625" style="241" customWidth="1"/>
    <col min="8195" max="8197" width="9" style="241" hidden="1" customWidth="1"/>
    <col min="8198" max="8198" width="10.2890625" style="241" customWidth="1"/>
    <col min="8199" max="8201" width="9" style="241" hidden="1" customWidth="1"/>
    <col min="8202" max="8202" width="10.2890625" style="241" customWidth="1"/>
    <col min="8203" max="8205" width="9" style="241" hidden="1" customWidth="1"/>
    <col min="8206" max="8206" width="10.2890625" style="241" customWidth="1"/>
    <col min="8207" max="8209" width="9" style="241" hidden="1" customWidth="1"/>
    <col min="8210" max="8210" width="10.2890625" style="241" customWidth="1"/>
    <col min="8211" max="8213" width="9" style="241" hidden="1" customWidth="1"/>
    <col min="8214" max="8214" width="10.2890625" style="241" customWidth="1"/>
    <col min="8215" max="8217" width="9" style="241" hidden="1" customWidth="1"/>
    <col min="8218" max="8218" width="10.5703125" style="241" customWidth="1"/>
    <col min="8219" max="8221" width="9" style="241" hidden="1" customWidth="1"/>
    <col min="8222" max="8222" width="10.5703125" style="241" customWidth="1"/>
    <col min="8223" max="8225" width="9" style="241" hidden="1" customWidth="1"/>
    <col min="8226" max="8226" width="10.5703125" style="241" customWidth="1"/>
    <col min="8227" max="8229" width="9" style="241" hidden="1" customWidth="1"/>
    <col min="8230" max="8230" width="10.2890625" style="241" customWidth="1"/>
    <col min="8231" max="8233" width="9" style="241" hidden="1" customWidth="1"/>
    <col min="8234" max="8234" width="10.5703125" style="241" customWidth="1"/>
    <col min="8235" max="8237" width="9" style="241" hidden="1" customWidth="1"/>
    <col min="8238" max="8238" width="10.2890625" style="241" customWidth="1"/>
    <col min="8239" max="8241" width="9" style="241" hidden="1" customWidth="1"/>
    <col min="8242" max="8242" width="10.2890625" style="241" customWidth="1"/>
    <col min="8243" max="8245" width="9" style="241" hidden="1" customWidth="1"/>
    <col min="8246" max="8246" width="10.2890625" style="241" customWidth="1"/>
    <col min="8247" max="8249" width="9" style="241" hidden="1" customWidth="1"/>
    <col min="8250" max="8250" width="10.2890625" style="241" customWidth="1"/>
    <col min="8251" max="8253" width="9" style="241" hidden="1" customWidth="1"/>
    <col min="8254" max="8254" width="10.2890625" style="241" customWidth="1"/>
    <col min="8255" max="8257" width="9" style="241" hidden="1" customWidth="1"/>
    <col min="8258" max="8258" width="10.2890625" style="241" customWidth="1"/>
    <col min="8259" max="8261" width="9" style="241" hidden="1" customWidth="1"/>
    <col min="8262" max="8262" width="10.2890625" style="241" customWidth="1"/>
    <col min="8263" max="8265" width="9" style="241" hidden="1" customWidth="1"/>
    <col min="8266" max="8266" width="10.2890625" style="241" customWidth="1"/>
    <col min="8267" max="8270" width="10" style="241" customWidth="1"/>
    <col min="8271" max="8448" width="9.140625" style="241"/>
    <col min="8449" max="8449" width="41.140625" style="241" customWidth="1"/>
    <col min="8450" max="8450" width="10.2890625" style="241" customWidth="1"/>
    <col min="8451" max="8453" width="9" style="241" hidden="1" customWidth="1"/>
    <col min="8454" max="8454" width="10.2890625" style="241" customWidth="1"/>
    <col min="8455" max="8457" width="9" style="241" hidden="1" customWidth="1"/>
    <col min="8458" max="8458" width="10.2890625" style="241" customWidth="1"/>
    <col min="8459" max="8461" width="9" style="241" hidden="1" customWidth="1"/>
    <col min="8462" max="8462" width="10.2890625" style="241" customWidth="1"/>
    <col min="8463" max="8465" width="9" style="241" hidden="1" customWidth="1"/>
    <col min="8466" max="8466" width="10.2890625" style="241" customWidth="1"/>
    <col min="8467" max="8469" width="9" style="241" hidden="1" customWidth="1"/>
    <col min="8470" max="8470" width="10.2890625" style="241" customWidth="1"/>
    <col min="8471" max="8473" width="9" style="241" hidden="1" customWidth="1"/>
    <col min="8474" max="8474" width="10.5703125" style="241" customWidth="1"/>
    <col min="8475" max="8477" width="9" style="241" hidden="1" customWidth="1"/>
    <col min="8478" max="8478" width="10.5703125" style="241" customWidth="1"/>
    <col min="8479" max="8481" width="9" style="241" hidden="1" customWidth="1"/>
    <col min="8482" max="8482" width="10.5703125" style="241" customWidth="1"/>
    <col min="8483" max="8485" width="9" style="241" hidden="1" customWidth="1"/>
    <col min="8486" max="8486" width="10.2890625" style="241" customWidth="1"/>
    <col min="8487" max="8489" width="9" style="241" hidden="1" customWidth="1"/>
    <col min="8490" max="8490" width="10.5703125" style="241" customWidth="1"/>
    <col min="8491" max="8493" width="9" style="241" hidden="1" customWidth="1"/>
    <col min="8494" max="8494" width="10.2890625" style="241" customWidth="1"/>
    <col min="8495" max="8497" width="9" style="241" hidden="1" customWidth="1"/>
    <col min="8498" max="8498" width="10.2890625" style="241" customWidth="1"/>
    <col min="8499" max="8501" width="9" style="241" hidden="1" customWidth="1"/>
    <col min="8502" max="8502" width="10.2890625" style="241" customWidth="1"/>
    <col min="8503" max="8505" width="9" style="241" hidden="1" customWidth="1"/>
    <col min="8506" max="8506" width="10.2890625" style="241" customWidth="1"/>
    <col min="8507" max="8509" width="9" style="241" hidden="1" customWidth="1"/>
    <col min="8510" max="8510" width="10.2890625" style="241" customWidth="1"/>
    <col min="8511" max="8513" width="9" style="241" hidden="1" customWidth="1"/>
    <col min="8514" max="8514" width="10.2890625" style="241" customWidth="1"/>
    <col min="8515" max="8517" width="9" style="241" hidden="1" customWidth="1"/>
    <col min="8518" max="8518" width="10.2890625" style="241" customWidth="1"/>
    <col min="8519" max="8521" width="9" style="241" hidden="1" customWidth="1"/>
    <col min="8522" max="8522" width="10.2890625" style="241" customWidth="1"/>
    <col min="8523" max="8526" width="10" style="241" customWidth="1"/>
    <col min="8527" max="8704" width="9.140625" style="241"/>
    <col min="8705" max="8705" width="41.140625" style="241" customWidth="1"/>
    <col min="8706" max="8706" width="10.2890625" style="241" customWidth="1"/>
    <col min="8707" max="8709" width="9" style="241" hidden="1" customWidth="1"/>
    <col min="8710" max="8710" width="10.2890625" style="241" customWidth="1"/>
    <col min="8711" max="8713" width="9" style="241" hidden="1" customWidth="1"/>
    <col min="8714" max="8714" width="10.2890625" style="241" customWidth="1"/>
    <col min="8715" max="8717" width="9" style="241" hidden="1" customWidth="1"/>
    <col min="8718" max="8718" width="10.2890625" style="241" customWidth="1"/>
    <col min="8719" max="8721" width="9" style="241" hidden="1" customWidth="1"/>
    <col min="8722" max="8722" width="10.2890625" style="241" customWidth="1"/>
    <col min="8723" max="8725" width="9" style="241" hidden="1" customWidth="1"/>
    <col min="8726" max="8726" width="10.2890625" style="241" customWidth="1"/>
    <col min="8727" max="8729" width="9" style="241" hidden="1" customWidth="1"/>
    <col min="8730" max="8730" width="10.5703125" style="241" customWidth="1"/>
    <col min="8731" max="8733" width="9" style="241" hidden="1" customWidth="1"/>
    <col min="8734" max="8734" width="10.5703125" style="241" customWidth="1"/>
    <col min="8735" max="8737" width="9" style="241" hidden="1" customWidth="1"/>
    <col min="8738" max="8738" width="10.5703125" style="241" customWidth="1"/>
    <col min="8739" max="8741" width="9" style="241" hidden="1" customWidth="1"/>
    <col min="8742" max="8742" width="10.2890625" style="241" customWidth="1"/>
    <col min="8743" max="8745" width="9" style="241" hidden="1" customWidth="1"/>
    <col min="8746" max="8746" width="10.5703125" style="241" customWidth="1"/>
    <col min="8747" max="8749" width="9" style="241" hidden="1" customWidth="1"/>
    <col min="8750" max="8750" width="10.2890625" style="241" customWidth="1"/>
    <col min="8751" max="8753" width="9" style="241" hidden="1" customWidth="1"/>
    <col min="8754" max="8754" width="10.2890625" style="241" customWidth="1"/>
    <col min="8755" max="8757" width="9" style="241" hidden="1" customWidth="1"/>
    <col min="8758" max="8758" width="10.2890625" style="241" customWidth="1"/>
    <col min="8759" max="8761" width="9" style="241" hidden="1" customWidth="1"/>
    <col min="8762" max="8762" width="10.2890625" style="241" customWidth="1"/>
    <col min="8763" max="8765" width="9" style="241" hidden="1" customWidth="1"/>
    <col min="8766" max="8766" width="10.2890625" style="241" customWidth="1"/>
    <col min="8767" max="8769" width="9" style="241" hidden="1" customWidth="1"/>
    <col min="8770" max="8770" width="10.2890625" style="241" customWidth="1"/>
    <col min="8771" max="8773" width="9" style="241" hidden="1" customWidth="1"/>
    <col min="8774" max="8774" width="10.2890625" style="241" customWidth="1"/>
    <col min="8775" max="8777" width="9" style="241" hidden="1" customWidth="1"/>
    <col min="8778" max="8778" width="10.2890625" style="241" customWidth="1"/>
    <col min="8779" max="8782" width="10" style="241" customWidth="1"/>
    <col min="8783" max="8960" width="9.140625" style="241"/>
    <col min="8961" max="8961" width="41.140625" style="241" customWidth="1"/>
    <col min="8962" max="8962" width="10.2890625" style="241" customWidth="1"/>
    <col min="8963" max="8965" width="9" style="241" hidden="1" customWidth="1"/>
    <col min="8966" max="8966" width="10.2890625" style="241" customWidth="1"/>
    <col min="8967" max="8969" width="9" style="241" hidden="1" customWidth="1"/>
    <col min="8970" max="8970" width="10.2890625" style="241" customWidth="1"/>
    <col min="8971" max="8973" width="9" style="241" hidden="1" customWidth="1"/>
    <col min="8974" max="8974" width="10.2890625" style="241" customWidth="1"/>
    <col min="8975" max="8977" width="9" style="241" hidden="1" customWidth="1"/>
    <col min="8978" max="8978" width="10.2890625" style="241" customWidth="1"/>
    <col min="8979" max="8981" width="9" style="241" hidden="1" customWidth="1"/>
    <col min="8982" max="8982" width="10.2890625" style="241" customWidth="1"/>
    <col min="8983" max="8985" width="9" style="241" hidden="1" customWidth="1"/>
    <col min="8986" max="8986" width="10.5703125" style="241" customWidth="1"/>
    <col min="8987" max="8989" width="9" style="241" hidden="1" customWidth="1"/>
    <col min="8990" max="8990" width="10.5703125" style="241" customWidth="1"/>
    <col min="8991" max="8993" width="9" style="241" hidden="1" customWidth="1"/>
    <col min="8994" max="8994" width="10.5703125" style="241" customWidth="1"/>
    <col min="8995" max="8997" width="9" style="241" hidden="1" customWidth="1"/>
    <col min="8998" max="8998" width="10.2890625" style="241" customWidth="1"/>
    <col min="8999" max="9001" width="9" style="241" hidden="1" customWidth="1"/>
    <col min="9002" max="9002" width="10.5703125" style="241" customWidth="1"/>
    <col min="9003" max="9005" width="9" style="241" hidden="1" customWidth="1"/>
    <col min="9006" max="9006" width="10.2890625" style="241" customWidth="1"/>
    <col min="9007" max="9009" width="9" style="241" hidden="1" customWidth="1"/>
    <col min="9010" max="9010" width="10.2890625" style="241" customWidth="1"/>
    <col min="9011" max="9013" width="9" style="241" hidden="1" customWidth="1"/>
    <col min="9014" max="9014" width="10.2890625" style="241" customWidth="1"/>
    <col min="9015" max="9017" width="9" style="241" hidden="1" customWidth="1"/>
    <col min="9018" max="9018" width="10.2890625" style="241" customWidth="1"/>
    <col min="9019" max="9021" width="9" style="241" hidden="1" customWidth="1"/>
    <col min="9022" max="9022" width="10.2890625" style="241" customWidth="1"/>
    <col min="9023" max="9025" width="9" style="241" hidden="1" customWidth="1"/>
    <col min="9026" max="9026" width="10.2890625" style="241" customWidth="1"/>
    <col min="9027" max="9029" width="9" style="241" hidden="1" customWidth="1"/>
    <col min="9030" max="9030" width="10.2890625" style="241" customWidth="1"/>
    <col min="9031" max="9033" width="9" style="241" hidden="1" customWidth="1"/>
    <col min="9034" max="9034" width="10.2890625" style="241" customWidth="1"/>
    <col min="9035" max="9038" width="10" style="241" customWidth="1"/>
    <col min="9039" max="9216" width="9.140625" style="241"/>
    <col min="9217" max="9217" width="41.140625" style="241" customWidth="1"/>
    <col min="9218" max="9218" width="10.2890625" style="241" customWidth="1"/>
    <col min="9219" max="9221" width="9" style="241" hidden="1" customWidth="1"/>
    <col min="9222" max="9222" width="10.2890625" style="241" customWidth="1"/>
    <col min="9223" max="9225" width="9" style="241" hidden="1" customWidth="1"/>
    <col min="9226" max="9226" width="10.2890625" style="241" customWidth="1"/>
    <col min="9227" max="9229" width="9" style="241" hidden="1" customWidth="1"/>
    <col min="9230" max="9230" width="10.2890625" style="241" customWidth="1"/>
    <col min="9231" max="9233" width="9" style="241" hidden="1" customWidth="1"/>
    <col min="9234" max="9234" width="10.2890625" style="241" customWidth="1"/>
    <col min="9235" max="9237" width="9" style="241" hidden="1" customWidth="1"/>
    <col min="9238" max="9238" width="10.2890625" style="241" customWidth="1"/>
    <col min="9239" max="9241" width="9" style="241" hidden="1" customWidth="1"/>
    <col min="9242" max="9242" width="10.5703125" style="241" customWidth="1"/>
    <col min="9243" max="9245" width="9" style="241" hidden="1" customWidth="1"/>
    <col min="9246" max="9246" width="10.5703125" style="241" customWidth="1"/>
    <col min="9247" max="9249" width="9" style="241" hidden="1" customWidth="1"/>
    <col min="9250" max="9250" width="10.5703125" style="241" customWidth="1"/>
    <col min="9251" max="9253" width="9" style="241" hidden="1" customWidth="1"/>
    <col min="9254" max="9254" width="10.2890625" style="241" customWidth="1"/>
    <col min="9255" max="9257" width="9" style="241" hidden="1" customWidth="1"/>
    <col min="9258" max="9258" width="10.5703125" style="241" customWidth="1"/>
    <col min="9259" max="9261" width="9" style="241" hidden="1" customWidth="1"/>
    <col min="9262" max="9262" width="10.2890625" style="241" customWidth="1"/>
    <col min="9263" max="9265" width="9" style="241" hidden="1" customWidth="1"/>
    <col min="9266" max="9266" width="10.2890625" style="241" customWidth="1"/>
    <col min="9267" max="9269" width="9" style="241" hidden="1" customWidth="1"/>
    <col min="9270" max="9270" width="10.2890625" style="241" customWidth="1"/>
    <col min="9271" max="9273" width="9" style="241" hidden="1" customWidth="1"/>
    <col min="9274" max="9274" width="10.2890625" style="241" customWidth="1"/>
    <col min="9275" max="9277" width="9" style="241" hidden="1" customWidth="1"/>
    <col min="9278" max="9278" width="10.2890625" style="241" customWidth="1"/>
    <col min="9279" max="9281" width="9" style="241" hidden="1" customWidth="1"/>
    <col min="9282" max="9282" width="10.2890625" style="241" customWidth="1"/>
    <col min="9283" max="9285" width="9" style="241" hidden="1" customWidth="1"/>
    <col min="9286" max="9286" width="10.2890625" style="241" customWidth="1"/>
    <col min="9287" max="9289" width="9" style="241" hidden="1" customWidth="1"/>
    <col min="9290" max="9290" width="10.2890625" style="241" customWidth="1"/>
    <col min="9291" max="9294" width="10" style="241" customWidth="1"/>
    <col min="9295" max="9472" width="9.140625" style="241"/>
    <col min="9473" max="9473" width="41.140625" style="241" customWidth="1"/>
    <col min="9474" max="9474" width="10.2890625" style="241" customWidth="1"/>
    <col min="9475" max="9477" width="9" style="241" hidden="1" customWidth="1"/>
    <col min="9478" max="9478" width="10.2890625" style="241" customWidth="1"/>
    <col min="9479" max="9481" width="9" style="241" hidden="1" customWidth="1"/>
    <col min="9482" max="9482" width="10.2890625" style="241" customWidth="1"/>
    <col min="9483" max="9485" width="9" style="241" hidden="1" customWidth="1"/>
    <col min="9486" max="9486" width="10.2890625" style="241" customWidth="1"/>
    <col min="9487" max="9489" width="9" style="241" hidden="1" customWidth="1"/>
    <col min="9490" max="9490" width="10.2890625" style="241" customWidth="1"/>
    <col min="9491" max="9493" width="9" style="241" hidden="1" customWidth="1"/>
    <col min="9494" max="9494" width="10.2890625" style="241" customWidth="1"/>
    <col min="9495" max="9497" width="9" style="241" hidden="1" customWidth="1"/>
    <col min="9498" max="9498" width="10.5703125" style="241" customWidth="1"/>
    <col min="9499" max="9501" width="9" style="241" hidden="1" customWidth="1"/>
    <col min="9502" max="9502" width="10.5703125" style="241" customWidth="1"/>
    <col min="9503" max="9505" width="9" style="241" hidden="1" customWidth="1"/>
    <col min="9506" max="9506" width="10.5703125" style="241" customWidth="1"/>
    <col min="9507" max="9509" width="9" style="241" hidden="1" customWidth="1"/>
    <col min="9510" max="9510" width="10.2890625" style="241" customWidth="1"/>
    <col min="9511" max="9513" width="9" style="241" hidden="1" customWidth="1"/>
    <col min="9514" max="9514" width="10.5703125" style="241" customWidth="1"/>
    <col min="9515" max="9517" width="9" style="241" hidden="1" customWidth="1"/>
    <col min="9518" max="9518" width="10.2890625" style="241" customWidth="1"/>
    <col min="9519" max="9521" width="9" style="241" hidden="1" customWidth="1"/>
    <col min="9522" max="9522" width="10.2890625" style="241" customWidth="1"/>
    <col min="9523" max="9525" width="9" style="241" hidden="1" customWidth="1"/>
    <col min="9526" max="9526" width="10.2890625" style="241" customWidth="1"/>
    <col min="9527" max="9529" width="9" style="241" hidden="1" customWidth="1"/>
    <col min="9530" max="9530" width="10.2890625" style="241" customWidth="1"/>
    <col min="9531" max="9533" width="9" style="241" hidden="1" customWidth="1"/>
    <col min="9534" max="9534" width="10.2890625" style="241" customWidth="1"/>
    <col min="9535" max="9537" width="9" style="241" hidden="1" customWidth="1"/>
    <col min="9538" max="9538" width="10.2890625" style="241" customWidth="1"/>
    <col min="9539" max="9541" width="9" style="241" hidden="1" customWidth="1"/>
    <col min="9542" max="9542" width="10.2890625" style="241" customWidth="1"/>
    <col min="9543" max="9545" width="9" style="241" hidden="1" customWidth="1"/>
    <col min="9546" max="9546" width="10.2890625" style="241" customWidth="1"/>
    <col min="9547" max="9550" width="10" style="241" customWidth="1"/>
    <col min="9551" max="9728" width="9.140625" style="241"/>
    <col min="9729" max="9729" width="41.140625" style="241" customWidth="1"/>
    <col min="9730" max="9730" width="10.2890625" style="241" customWidth="1"/>
    <col min="9731" max="9733" width="9" style="241" hidden="1" customWidth="1"/>
    <col min="9734" max="9734" width="10.2890625" style="241" customWidth="1"/>
    <col min="9735" max="9737" width="9" style="241" hidden="1" customWidth="1"/>
    <col min="9738" max="9738" width="10.2890625" style="241" customWidth="1"/>
    <col min="9739" max="9741" width="9" style="241" hidden="1" customWidth="1"/>
    <col min="9742" max="9742" width="10.2890625" style="241" customWidth="1"/>
    <col min="9743" max="9745" width="9" style="241" hidden="1" customWidth="1"/>
    <col min="9746" max="9746" width="10.2890625" style="241" customWidth="1"/>
    <col min="9747" max="9749" width="9" style="241" hidden="1" customWidth="1"/>
    <col min="9750" max="9750" width="10.2890625" style="241" customWidth="1"/>
    <col min="9751" max="9753" width="9" style="241" hidden="1" customWidth="1"/>
    <col min="9754" max="9754" width="10.5703125" style="241" customWidth="1"/>
    <col min="9755" max="9757" width="9" style="241" hidden="1" customWidth="1"/>
    <col min="9758" max="9758" width="10.5703125" style="241" customWidth="1"/>
    <col min="9759" max="9761" width="9" style="241" hidden="1" customWidth="1"/>
    <col min="9762" max="9762" width="10.5703125" style="241" customWidth="1"/>
    <col min="9763" max="9765" width="9" style="241" hidden="1" customWidth="1"/>
    <col min="9766" max="9766" width="10.2890625" style="241" customWidth="1"/>
    <col min="9767" max="9769" width="9" style="241" hidden="1" customWidth="1"/>
    <col min="9770" max="9770" width="10.5703125" style="241" customWidth="1"/>
    <col min="9771" max="9773" width="9" style="241" hidden="1" customWidth="1"/>
    <col min="9774" max="9774" width="10.2890625" style="241" customWidth="1"/>
    <col min="9775" max="9777" width="9" style="241" hidden="1" customWidth="1"/>
    <col min="9778" max="9778" width="10.2890625" style="241" customWidth="1"/>
    <col min="9779" max="9781" width="9" style="241" hidden="1" customWidth="1"/>
    <col min="9782" max="9782" width="10.2890625" style="241" customWidth="1"/>
    <col min="9783" max="9785" width="9" style="241" hidden="1" customWidth="1"/>
    <col min="9786" max="9786" width="10.2890625" style="241" customWidth="1"/>
    <col min="9787" max="9789" width="9" style="241" hidden="1" customWidth="1"/>
    <col min="9790" max="9790" width="10.2890625" style="241" customWidth="1"/>
    <col min="9791" max="9793" width="9" style="241" hidden="1" customWidth="1"/>
    <col min="9794" max="9794" width="10.2890625" style="241" customWidth="1"/>
    <col min="9795" max="9797" width="9" style="241" hidden="1" customWidth="1"/>
    <col min="9798" max="9798" width="10.2890625" style="241" customWidth="1"/>
    <col min="9799" max="9801" width="9" style="241" hidden="1" customWidth="1"/>
    <col min="9802" max="9802" width="10.2890625" style="241" customWidth="1"/>
    <col min="9803" max="9806" width="10" style="241" customWidth="1"/>
    <col min="9807" max="9984" width="9.140625" style="241"/>
    <col min="9985" max="9985" width="41.140625" style="241" customWidth="1"/>
    <col min="9986" max="9986" width="10.2890625" style="241" customWidth="1"/>
    <col min="9987" max="9989" width="9" style="241" hidden="1" customWidth="1"/>
    <col min="9990" max="9990" width="10.2890625" style="241" customWidth="1"/>
    <col min="9991" max="9993" width="9" style="241" hidden="1" customWidth="1"/>
    <col min="9994" max="9994" width="10.2890625" style="241" customWidth="1"/>
    <col min="9995" max="9997" width="9" style="241" hidden="1" customWidth="1"/>
    <col min="9998" max="9998" width="10.2890625" style="241" customWidth="1"/>
    <col min="9999" max="10001" width="9" style="241" hidden="1" customWidth="1"/>
    <col min="10002" max="10002" width="10.2890625" style="241" customWidth="1"/>
    <col min="10003" max="10005" width="9" style="241" hidden="1" customWidth="1"/>
    <col min="10006" max="10006" width="10.2890625" style="241" customWidth="1"/>
    <col min="10007" max="10009" width="9" style="241" hidden="1" customWidth="1"/>
    <col min="10010" max="10010" width="10.5703125" style="241" customWidth="1"/>
    <col min="10011" max="10013" width="9" style="241" hidden="1" customWidth="1"/>
    <col min="10014" max="10014" width="10.5703125" style="241" customWidth="1"/>
    <col min="10015" max="10017" width="9" style="241" hidden="1" customWidth="1"/>
    <col min="10018" max="10018" width="10.5703125" style="241" customWidth="1"/>
    <col min="10019" max="10021" width="9" style="241" hidden="1" customWidth="1"/>
    <col min="10022" max="10022" width="10.2890625" style="241" customWidth="1"/>
    <col min="10023" max="10025" width="9" style="241" hidden="1" customWidth="1"/>
    <col min="10026" max="10026" width="10.5703125" style="241" customWidth="1"/>
    <col min="10027" max="10029" width="9" style="241" hidden="1" customWidth="1"/>
    <col min="10030" max="10030" width="10.2890625" style="241" customWidth="1"/>
    <col min="10031" max="10033" width="9" style="241" hidden="1" customWidth="1"/>
    <col min="10034" max="10034" width="10.2890625" style="241" customWidth="1"/>
    <col min="10035" max="10037" width="9" style="241" hidden="1" customWidth="1"/>
    <col min="10038" max="10038" width="10.2890625" style="241" customWidth="1"/>
    <col min="10039" max="10041" width="9" style="241" hidden="1" customWidth="1"/>
    <col min="10042" max="10042" width="10.2890625" style="241" customWidth="1"/>
    <col min="10043" max="10045" width="9" style="241" hidden="1" customWidth="1"/>
    <col min="10046" max="10046" width="10.2890625" style="241" customWidth="1"/>
    <col min="10047" max="10049" width="9" style="241" hidden="1" customWidth="1"/>
    <col min="10050" max="10050" width="10.2890625" style="241" customWidth="1"/>
    <col min="10051" max="10053" width="9" style="241" hidden="1" customWidth="1"/>
    <col min="10054" max="10054" width="10.2890625" style="241" customWidth="1"/>
    <col min="10055" max="10057" width="9" style="241" hidden="1" customWidth="1"/>
    <col min="10058" max="10058" width="10.2890625" style="241" customWidth="1"/>
    <col min="10059" max="10062" width="10" style="241" customWidth="1"/>
    <col min="10063" max="10240" width="9.140625" style="241"/>
    <col min="10241" max="10241" width="41.140625" style="241" customWidth="1"/>
    <col min="10242" max="10242" width="10.2890625" style="241" customWidth="1"/>
    <col min="10243" max="10245" width="9" style="241" hidden="1" customWidth="1"/>
    <col min="10246" max="10246" width="10.2890625" style="241" customWidth="1"/>
    <col min="10247" max="10249" width="9" style="241" hidden="1" customWidth="1"/>
    <col min="10250" max="10250" width="10.2890625" style="241" customWidth="1"/>
    <col min="10251" max="10253" width="9" style="241" hidden="1" customWidth="1"/>
    <col min="10254" max="10254" width="10.2890625" style="241" customWidth="1"/>
    <col min="10255" max="10257" width="9" style="241" hidden="1" customWidth="1"/>
    <col min="10258" max="10258" width="10.2890625" style="241" customWidth="1"/>
    <col min="10259" max="10261" width="9" style="241" hidden="1" customWidth="1"/>
    <col min="10262" max="10262" width="10.2890625" style="241" customWidth="1"/>
    <col min="10263" max="10265" width="9" style="241" hidden="1" customWidth="1"/>
    <col min="10266" max="10266" width="10.5703125" style="241" customWidth="1"/>
    <col min="10267" max="10269" width="9" style="241" hidden="1" customWidth="1"/>
    <col min="10270" max="10270" width="10.5703125" style="241" customWidth="1"/>
    <col min="10271" max="10273" width="9" style="241" hidden="1" customWidth="1"/>
    <col min="10274" max="10274" width="10.5703125" style="241" customWidth="1"/>
    <col min="10275" max="10277" width="9" style="241" hidden="1" customWidth="1"/>
    <col min="10278" max="10278" width="10.2890625" style="241" customWidth="1"/>
    <col min="10279" max="10281" width="9" style="241" hidden="1" customWidth="1"/>
    <col min="10282" max="10282" width="10.5703125" style="241" customWidth="1"/>
    <col min="10283" max="10285" width="9" style="241" hidden="1" customWidth="1"/>
    <col min="10286" max="10286" width="10.2890625" style="241" customWidth="1"/>
    <col min="10287" max="10289" width="9" style="241" hidden="1" customWidth="1"/>
    <col min="10290" max="10290" width="10.2890625" style="241" customWidth="1"/>
    <col min="10291" max="10293" width="9" style="241" hidden="1" customWidth="1"/>
    <col min="10294" max="10294" width="10.2890625" style="241" customWidth="1"/>
    <col min="10295" max="10297" width="9" style="241" hidden="1" customWidth="1"/>
    <col min="10298" max="10298" width="10.2890625" style="241" customWidth="1"/>
    <col min="10299" max="10301" width="9" style="241" hidden="1" customWidth="1"/>
    <col min="10302" max="10302" width="10.2890625" style="241" customWidth="1"/>
    <col min="10303" max="10305" width="9" style="241" hidden="1" customWidth="1"/>
    <col min="10306" max="10306" width="10.2890625" style="241" customWidth="1"/>
    <col min="10307" max="10309" width="9" style="241" hidden="1" customWidth="1"/>
    <col min="10310" max="10310" width="10.2890625" style="241" customWidth="1"/>
    <col min="10311" max="10313" width="9" style="241" hidden="1" customWidth="1"/>
    <col min="10314" max="10314" width="10.2890625" style="241" customWidth="1"/>
    <col min="10315" max="10318" width="10" style="241" customWidth="1"/>
    <col min="10319" max="10496" width="9.140625" style="241"/>
    <col min="10497" max="10497" width="41.140625" style="241" customWidth="1"/>
    <col min="10498" max="10498" width="10.2890625" style="241" customWidth="1"/>
    <col min="10499" max="10501" width="9" style="241" hidden="1" customWidth="1"/>
    <col min="10502" max="10502" width="10.2890625" style="241" customWidth="1"/>
    <col min="10503" max="10505" width="9" style="241" hidden="1" customWidth="1"/>
    <col min="10506" max="10506" width="10.2890625" style="241" customWidth="1"/>
    <col min="10507" max="10509" width="9" style="241" hidden="1" customWidth="1"/>
    <col min="10510" max="10510" width="10.2890625" style="241" customWidth="1"/>
    <col min="10511" max="10513" width="9" style="241" hidden="1" customWidth="1"/>
    <col min="10514" max="10514" width="10.2890625" style="241" customWidth="1"/>
    <col min="10515" max="10517" width="9" style="241" hidden="1" customWidth="1"/>
    <col min="10518" max="10518" width="10.2890625" style="241" customWidth="1"/>
    <col min="10519" max="10521" width="9" style="241" hidden="1" customWidth="1"/>
    <col min="10522" max="10522" width="10.5703125" style="241" customWidth="1"/>
    <col min="10523" max="10525" width="9" style="241" hidden="1" customWidth="1"/>
    <col min="10526" max="10526" width="10.5703125" style="241" customWidth="1"/>
    <col min="10527" max="10529" width="9" style="241" hidden="1" customWidth="1"/>
    <col min="10530" max="10530" width="10.5703125" style="241" customWidth="1"/>
    <col min="10531" max="10533" width="9" style="241" hidden="1" customWidth="1"/>
    <col min="10534" max="10534" width="10.2890625" style="241" customWidth="1"/>
    <col min="10535" max="10537" width="9" style="241" hidden="1" customWidth="1"/>
    <col min="10538" max="10538" width="10.5703125" style="241" customWidth="1"/>
    <col min="10539" max="10541" width="9" style="241" hidden="1" customWidth="1"/>
    <col min="10542" max="10542" width="10.2890625" style="241" customWidth="1"/>
    <col min="10543" max="10545" width="9" style="241" hidden="1" customWidth="1"/>
    <col min="10546" max="10546" width="10.2890625" style="241" customWidth="1"/>
    <col min="10547" max="10549" width="9" style="241" hidden="1" customWidth="1"/>
    <col min="10550" max="10550" width="10.2890625" style="241" customWidth="1"/>
    <col min="10551" max="10553" width="9" style="241" hidden="1" customWidth="1"/>
    <col min="10554" max="10554" width="10.2890625" style="241" customWidth="1"/>
    <col min="10555" max="10557" width="9" style="241" hidden="1" customWidth="1"/>
    <col min="10558" max="10558" width="10.2890625" style="241" customWidth="1"/>
    <col min="10559" max="10561" width="9" style="241" hidden="1" customWidth="1"/>
    <col min="10562" max="10562" width="10.2890625" style="241" customWidth="1"/>
    <col min="10563" max="10565" width="9" style="241" hidden="1" customWidth="1"/>
    <col min="10566" max="10566" width="10.2890625" style="241" customWidth="1"/>
    <col min="10567" max="10569" width="9" style="241" hidden="1" customWidth="1"/>
    <col min="10570" max="10570" width="10.2890625" style="241" customWidth="1"/>
    <col min="10571" max="10574" width="10" style="241" customWidth="1"/>
    <col min="10575" max="10752" width="9.140625" style="241"/>
    <col min="10753" max="10753" width="41.140625" style="241" customWidth="1"/>
    <col min="10754" max="10754" width="10.2890625" style="241" customWidth="1"/>
    <col min="10755" max="10757" width="9" style="241" hidden="1" customWidth="1"/>
    <col min="10758" max="10758" width="10.2890625" style="241" customWidth="1"/>
    <col min="10759" max="10761" width="9" style="241" hidden="1" customWidth="1"/>
    <col min="10762" max="10762" width="10.2890625" style="241" customWidth="1"/>
    <col min="10763" max="10765" width="9" style="241" hidden="1" customWidth="1"/>
    <col min="10766" max="10766" width="10.2890625" style="241" customWidth="1"/>
    <col min="10767" max="10769" width="9" style="241" hidden="1" customWidth="1"/>
    <col min="10770" max="10770" width="10.2890625" style="241" customWidth="1"/>
    <col min="10771" max="10773" width="9" style="241" hidden="1" customWidth="1"/>
    <col min="10774" max="10774" width="10.2890625" style="241" customWidth="1"/>
    <col min="10775" max="10777" width="9" style="241" hidden="1" customWidth="1"/>
    <col min="10778" max="10778" width="10.5703125" style="241" customWidth="1"/>
    <col min="10779" max="10781" width="9" style="241" hidden="1" customWidth="1"/>
    <col min="10782" max="10782" width="10.5703125" style="241" customWidth="1"/>
    <col min="10783" max="10785" width="9" style="241" hidden="1" customWidth="1"/>
    <col min="10786" max="10786" width="10.5703125" style="241" customWidth="1"/>
    <col min="10787" max="10789" width="9" style="241" hidden="1" customWidth="1"/>
    <col min="10790" max="10790" width="10.2890625" style="241" customWidth="1"/>
    <col min="10791" max="10793" width="9" style="241" hidden="1" customWidth="1"/>
    <col min="10794" max="10794" width="10.5703125" style="241" customWidth="1"/>
    <col min="10795" max="10797" width="9" style="241" hidden="1" customWidth="1"/>
    <col min="10798" max="10798" width="10.2890625" style="241" customWidth="1"/>
    <col min="10799" max="10801" width="9" style="241" hidden="1" customWidth="1"/>
    <col min="10802" max="10802" width="10.2890625" style="241" customWidth="1"/>
    <col min="10803" max="10805" width="9" style="241" hidden="1" customWidth="1"/>
    <col min="10806" max="10806" width="10.2890625" style="241" customWidth="1"/>
    <col min="10807" max="10809" width="9" style="241" hidden="1" customWidth="1"/>
    <col min="10810" max="10810" width="10.2890625" style="241" customWidth="1"/>
    <col min="10811" max="10813" width="9" style="241" hidden="1" customWidth="1"/>
    <col min="10814" max="10814" width="10.2890625" style="241" customWidth="1"/>
    <col min="10815" max="10817" width="9" style="241" hidden="1" customWidth="1"/>
    <col min="10818" max="10818" width="10.2890625" style="241" customWidth="1"/>
    <col min="10819" max="10821" width="9" style="241" hidden="1" customWidth="1"/>
    <col min="10822" max="10822" width="10.2890625" style="241" customWidth="1"/>
    <col min="10823" max="10825" width="9" style="241" hidden="1" customWidth="1"/>
    <col min="10826" max="10826" width="10.2890625" style="241" customWidth="1"/>
    <col min="10827" max="10830" width="10" style="241" customWidth="1"/>
    <col min="10831" max="11008" width="9.140625" style="241"/>
    <col min="11009" max="11009" width="41.140625" style="241" customWidth="1"/>
    <col min="11010" max="11010" width="10.2890625" style="241" customWidth="1"/>
    <col min="11011" max="11013" width="9" style="241" hidden="1" customWidth="1"/>
    <col min="11014" max="11014" width="10.2890625" style="241" customWidth="1"/>
    <col min="11015" max="11017" width="9" style="241" hidden="1" customWidth="1"/>
    <col min="11018" max="11018" width="10.2890625" style="241" customWidth="1"/>
    <col min="11019" max="11021" width="9" style="241" hidden="1" customWidth="1"/>
    <col min="11022" max="11022" width="10.2890625" style="241" customWidth="1"/>
    <col min="11023" max="11025" width="9" style="241" hidden="1" customWidth="1"/>
    <col min="11026" max="11026" width="10.2890625" style="241" customWidth="1"/>
    <col min="11027" max="11029" width="9" style="241" hidden="1" customWidth="1"/>
    <col min="11030" max="11030" width="10.2890625" style="241" customWidth="1"/>
    <col min="11031" max="11033" width="9" style="241" hidden="1" customWidth="1"/>
    <col min="11034" max="11034" width="10.5703125" style="241" customWidth="1"/>
    <col min="11035" max="11037" width="9" style="241" hidden="1" customWidth="1"/>
    <col min="11038" max="11038" width="10.5703125" style="241" customWidth="1"/>
    <col min="11039" max="11041" width="9" style="241" hidden="1" customWidth="1"/>
    <col min="11042" max="11042" width="10.5703125" style="241" customWidth="1"/>
    <col min="11043" max="11045" width="9" style="241" hidden="1" customWidth="1"/>
    <col min="11046" max="11046" width="10.2890625" style="241" customWidth="1"/>
    <col min="11047" max="11049" width="9" style="241" hidden="1" customWidth="1"/>
    <col min="11050" max="11050" width="10.5703125" style="241" customWidth="1"/>
    <col min="11051" max="11053" width="9" style="241" hidden="1" customWidth="1"/>
    <col min="11054" max="11054" width="10.2890625" style="241" customWidth="1"/>
    <col min="11055" max="11057" width="9" style="241" hidden="1" customWidth="1"/>
    <col min="11058" max="11058" width="10.2890625" style="241" customWidth="1"/>
    <col min="11059" max="11061" width="9" style="241" hidden="1" customWidth="1"/>
    <col min="11062" max="11062" width="10.2890625" style="241" customWidth="1"/>
    <col min="11063" max="11065" width="9" style="241" hidden="1" customWidth="1"/>
    <col min="11066" max="11066" width="10.2890625" style="241" customWidth="1"/>
    <col min="11067" max="11069" width="9" style="241" hidden="1" customWidth="1"/>
    <col min="11070" max="11070" width="10.2890625" style="241" customWidth="1"/>
    <col min="11071" max="11073" width="9" style="241" hidden="1" customWidth="1"/>
    <col min="11074" max="11074" width="10.2890625" style="241" customWidth="1"/>
    <col min="11075" max="11077" width="9" style="241" hidden="1" customWidth="1"/>
    <col min="11078" max="11078" width="10.2890625" style="241" customWidth="1"/>
    <col min="11079" max="11081" width="9" style="241" hidden="1" customWidth="1"/>
    <col min="11082" max="11082" width="10.2890625" style="241" customWidth="1"/>
    <col min="11083" max="11086" width="10" style="241" customWidth="1"/>
    <col min="11087" max="11264" width="9.140625" style="241"/>
    <col min="11265" max="11265" width="41.140625" style="241" customWidth="1"/>
    <col min="11266" max="11266" width="10.2890625" style="241" customWidth="1"/>
    <col min="11267" max="11269" width="9" style="241" hidden="1" customWidth="1"/>
    <col min="11270" max="11270" width="10.2890625" style="241" customWidth="1"/>
    <col min="11271" max="11273" width="9" style="241" hidden="1" customWidth="1"/>
    <col min="11274" max="11274" width="10.2890625" style="241" customWidth="1"/>
    <col min="11275" max="11277" width="9" style="241" hidden="1" customWidth="1"/>
    <col min="11278" max="11278" width="10.2890625" style="241" customWidth="1"/>
    <col min="11279" max="11281" width="9" style="241" hidden="1" customWidth="1"/>
    <col min="11282" max="11282" width="10.2890625" style="241" customWidth="1"/>
    <col min="11283" max="11285" width="9" style="241" hidden="1" customWidth="1"/>
    <col min="11286" max="11286" width="10.2890625" style="241" customWidth="1"/>
    <col min="11287" max="11289" width="9" style="241" hidden="1" customWidth="1"/>
    <col min="11290" max="11290" width="10.5703125" style="241" customWidth="1"/>
    <col min="11291" max="11293" width="9" style="241" hidden="1" customWidth="1"/>
    <col min="11294" max="11294" width="10.5703125" style="241" customWidth="1"/>
    <col min="11295" max="11297" width="9" style="241" hidden="1" customWidth="1"/>
    <col min="11298" max="11298" width="10.5703125" style="241" customWidth="1"/>
    <col min="11299" max="11301" width="9" style="241" hidden="1" customWidth="1"/>
    <col min="11302" max="11302" width="10.2890625" style="241" customWidth="1"/>
    <col min="11303" max="11305" width="9" style="241" hidden="1" customWidth="1"/>
    <col min="11306" max="11306" width="10.5703125" style="241" customWidth="1"/>
    <col min="11307" max="11309" width="9" style="241" hidden="1" customWidth="1"/>
    <col min="11310" max="11310" width="10.2890625" style="241" customWidth="1"/>
    <col min="11311" max="11313" width="9" style="241" hidden="1" customWidth="1"/>
    <col min="11314" max="11314" width="10.2890625" style="241" customWidth="1"/>
    <col min="11315" max="11317" width="9" style="241" hidden="1" customWidth="1"/>
    <col min="11318" max="11318" width="10.2890625" style="241" customWidth="1"/>
    <col min="11319" max="11321" width="9" style="241" hidden="1" customWidth="1"/>
    <col min="11322" max="11322" width="10.2890625" style="241" customWidth="1"/>
    <col min="11323" max="11325" width="9" style="241" hidden="1" customWidth="1"/>
    <col min="11326" max="11326" width="10.2890625" style="241" customWidth="1"/>
    <col min="11327" max="11329" width="9" style="241" hidden="1" customWidth="1"/>
    <col min="11330" max="11330" width="10.2890625" style="241" customWidth="1"/>
    <col min="11331" max="11333" width="9" style="241" hidden="1" customWidth="1"/>
    <col min="11334" max="11334" width="10.2890625" style="241" customWidth="1"/>
    <col min="11335" max="11337" width="9" style="241" hidden="1" customWidth="1"/>
    <col min="11338" max="11338" width="10.2890625" style="241" customWidth="1"/>
    <col min="11339" max="11342" width="10" style="241" customWidth="1"/>
    <col min="11343" max="11520" width="9.140625" style="241"/>
    <col min="11521" max="11521" width="41.140625" style="241" customWidth="1"/>
    <col min="11522" max="11522" width="10.2890625" style="241" customWidth="1"/>
    <col min="11523" max="11525" width="9" style="241" hidden="1" customWidth="1"/>
    <col min="11526" max="11526" width="10.2890625" style="241" customWidth="1"/>
    <col min="11527" max="11529" width="9" style="241" hidden="1" customWidth="1"/>
    <col min="11530" max="11530" width="10.2890625" style="241" customWidth="1"/>
    <col min="11531" max="11533" width="9" style="241" hidden="1" customWidth="1"/>
    <col min="11534" max="11534" width="10.2890625" style="241" customWidth="1"/>
    <col min="11535" max="11537" width="9" style="241" hidden="1" customWidth="1"/>
    <col min="11538" max="11538" width="10.2890625" style="241" customWidth="1"/>
    <col min="11539" max="11541" width="9" style="241" hidden="1" customWidth="1"/>
    <col min="11542" max="11542" width="10.2890625" style="241" customWidth="1"/>
    <col min="11543" max="11545" width="9" style="241" hidden="1" customWidth="1"/>
    <col min="11546" max="11546" width="10.5703125" style="241" customWidth="1"/>
    <col min="11547" max="11549" width="9" style="241" hidden="1" customWidth="1"/>
    <col min="11550" max="11550" width="10.5703125" style="241" customWidth="1"/>
    <col min="11551" max="11553" width="9" style="241" hidden="1" customWidth="1"/>
    <col min="11554" max="11554" width="10.5703125" style="241" customWidth="1"/>
    <col min="11555" max="11557" width="9" style="241" hidden="1" customWidth="1"/>
    <col min="11558" max="11558" width="10.2890625" style="241" customWidth="1"/>
    <col min="11559" max="11561" width="9" style="241" hidden="1" customWidth="1"/>
    <col min="11562" max="11562" width="10.5703125" style="241" customWidth="1"/>
    <col min="11563" max="11565" width="9" style="241" hidden="1" customWidth="1"/>
    <col min="11566" max="11566" width="10.2890625" style="241" customWidth="1"/>
    <col min="11567" max="11569" width="9" style="241" hidden="1" customWidth="1"/>
    <col min="11570" max="11570" width="10.2890625" style="241" customWidth="1"/>
    <col min="11571" max="11573" width="9" style="241" hidden="1" customWidth="1"/>
    <col min="11574" max="11574" width="10.2890625" style="241" customWidth="1"/>
    <col min="11575" max="11577" width="9" style="241" hidden="1" customWidth="1"/>
    <col min="11578" max="11578" width="10.2890625" style="241" customWidth="1"/>
    <col min="11579" max="11581" width="9" style="241" hidden="1" customWidth="1"/>
    <col min="11582" max="11582" width="10.2890625" style="241" customWidth="1"/>
    <col min="11583" max="11585" width="9" style="241" hidden="1" customWidth="1"/>
    <col min="11586" max="11586" width="10.2890625" style="241" customWidth="1"/>
    <col min="11587" max="11589" width="9" style="241" hidden="1" customWidth="1"/>
    <col min="11590" max="11590" width="10.2890625" style="241" customWidth="1"/>
    <col min="11591" max="11593" width="9" style="241" hidden="1" customWidth="1"/>
    <col min="11594" max="11594" width="10.2890625" style="241" customWidth="1"/>
    <col min="11595" max="11598" width="10" style="241" customWidth="1"/>
    <col min="11599" max="11776" width="9.140625" style="241"/>
    <col min="11777" max="11777" width="41.140625" style="241" customWidth="1"/>
    <col min="11778" max="11778" width="10.2890625" style="241" customWidth="1"/>
    <col min="11779" max="11781" width="9" style="241" hidden="1" customWidth="1"/>
    <col min="11782" max="11782" width="10.2890625" style="241" customWidth="1"/>
    <col min="11783" max="11785" width="9" style="241" hidden="1" customWidth="1"/>
    <col min="11786" max="11786" width="10.2890625" style="241" customWidth="1"/>
    <col min="11787" max="11789" width="9" style="241" hidden="1" customWidth="1"/>
    <col min="11790" max="11790" width="10.2890625" style="241" customWidth="1"/>
    <col min="11791" max="11793" width="9" style="241" hidden="1" customWidth="1"/>
    <col min="11794" max="11794" width="10.2890625" style="241" customWidth="1"/>
    <col min="11795" max="11797" width="9" style="241" hidden="1" customWidth="1"/>
    <col min="11798" max="11798" width="10.2890625" style="241" customWidth="1"/>
    <col min="11799" max="11801" width="9" style="241" hidden="1" customWidth="1"/>
    <col min="11802" max="11802" width="10.5703125" style="241" customWidth="1"/>
    <col min="11803" max="11805" width="9" style="241" hidden="1" customWidth="1"/>
    <col min="11806" max="11806" width="10.5703125" style="241" customWidth="1"/>
    <col min="11807" max="11809" width="9" style="241" hidden="1" customWidth="1"/>
    <col min="11810" max="11810" width="10.5703125" style="241" customWidth="1"/>
    <col min="11811" max="11813" width="9" style="241" hidden="1" customWidth="1"/>
    <col min="11814" max="11814" width="10.2890625" style="241" customWidth="1"/>
    <col min="11815" max="11817" width="9" style="241" hidden="1" customWidth="1"/>
    <col min="11818" max="11818" width="10.5703125" style="241" customWidth="1"/>
    <col min="11819" max="11821" width="9" style="241" hidden="1" customWidth="1"/>
    <col min="11822" max="11822" width="10.2890625" style="241" customWidth="1"/>
    <col min="11823" max="11825" width="9" style="241" hidden="1" customWidth="1"/>
    <col min="11826" max="11826" width="10.2890625" style="241" customWidth="1"/>
    <col min="11827" max="11829" width="9" style="241" hidden="1" customWidth="1"/>
    <col min="11830" max="11830" width="10.2890625" style="241" customWidth="1"/>
    <col min="11831" max="11833" width="9" style="241" hidden="1" customWidth="1"/>
    <col min="11834" max="11834" width="10.2890625" style="241" customWidth="1"/>
    <col min="11835" max="11837" width="9" style="241" hidden="1" customWidth="1"/>
    <col min="11838" max="11838" width="10.2890625" style="241" customWidth="1"/>
    <col min="11839" max="11841" width="9" style="241" hidden="1" customWidth="1"/>
    <col min="11842" max="11842" width="10.2890625" style="241" customWidth="1"/>
    <col min="11843" max="11845" width="9" style="241" hidden="1" customWidth="1"/>
    <col min="11846" max="11846" width="10.2890625" style="241" customWidth="1"/>
    <col min="11847" max="11849" width="9" style="241" hidden="1" customWidth="1"/>
    <col min="11850" max="11850" width="10.2890625" style="241" customWidth="1"/>
    <col min="11851" max="11854" width="10" style="241" customWidth="1"/>
    <col min="11855" max="12032" width="9.140625" style="241"/>
    <col min="12033" max="12033" width="41.140625" style="241" customWidth="1"/>
    <col min="12034" max="12034" width="10.2890625" style="241" customWidth="1"/>
    <col min="12035" max="12037" width="9" style="241" hidden="1" customWidth="1"/>
    <col min="12038" max="12038" width="10.2890625" style="241" customWidth="1"/>
    <col min="12039" max="12041" width="9" style="241" hidden="1" customWidth="1"/>
    <col min="12042" max="12042" width="10.2890625" style="241" customWidth="1"/>
    <col min="12043" max="12045" width="9" style="241" hidden="1" customWidth="1"/>
    <col min="12046" max="12046" width="10.2890625" style="241" customWidth="1"/>
    <col min="12047" max="12049" width="9" style="241" hidden="1" customWidth="1"/>
    <col min="12050" max="12050" width="10.2890625" style="241" customWidth="1"/>
    <col min="12051" max="12053" width="9" style="241" hidden="1" customWidth="1"/>
    <col min="12054" max="12054" width="10.2890625" style="241" customWidth="1"/>
    <col min="12055" max="12057" width="9" style="241" hidden="1" customWidth="1"/>
    <col min="12058" max="12058" width="10.5703125" style="241" customWidth="1"/>
    <col min="12059" max="12061" width="9" style="241" hidden="1" customWidth="1"/>
    <col min="12062" max="12062" width="10.5703125" style="241" customWidth="1"/>
    <col min="12063" max="12065" width="9" style="241" hidden="1" customWidth="1"/>
    <col min="12066" max="12066" width="10.5703125" style="241" customWidth="1"/>
    <col min="12067" max="12069" width="9" style="241" hidden="1" customWidth="1"/>
    <col min="12070" max="12070" width="10.2890625" style="241" customWidth="1"/>
    <col min="12071" max="12073" width="9" style="241" hidden="1" customWidth="1"/>
    <col min="12074" max="12074" width="10.5703125" style="241" customWidth="1"/>
    <col min="12075" max="12077" width="9" style="241" hidden="1" customWidth="1"/>
    <col min="12078" max="12078" width="10.2890625" style="241" customWidth="1"/>
    <col min="12079" max="12081" width="9" style="241" hidden="1" customWidth="1"/>
    <col min="12082" max="12082" width="10.2890625" style="241" customWidth="1"/>
    <col min="12083" max="12085" width="9" style="241" hidden="1" customWidth="1"/>
    <col min="12086" max="12086" width="10.2890625" style="241" customWidth="1"/>
    <col min="12087" max="12089" width="9" style="241" hidden="1" customWidth="1"/>
    <col min="12090" max="12090" width="10.2890625" style="241" customWidth="1"/>
    <col min="12091" max="12093" width="9" style="241" hidden="1" customWidth="1"/>
    <col min="12094" max="12094" width="10.2890625" style="241" customWidth="1"/>
    <col min="12095" max="12097" width="9" style="241" hidden="1" customWidth="1"/>
    <col min="12098" max="12098" width="10.2890625" style="241" customWidth="1"/>
    <col min="12099" max="12101" width="9" style="241" hidden="1" customWidth="1"/>
    <col min="12102" max="12102" width="10.2890625" style="241" customWidth="1"/>
    <col min="12103" max="12105" width="9" style="241" hidden="1" customWidth="1"/>
    <col min="12106" max="12106" width="10.2890625" style="241" customWidth="1"/>
    <col min="12107" max="12110" width="10" style="241" customWidth="1"/>
    <col min="12111" max="12288" width="9.140625" style="241"/>
    <col min="12289" max="12289" width="41.140625" style="241" customWidth="1"/>
    <col min="12290" max="12290" width="10.2890625" style="241" customWidth="1"/>
    <col min="12291" max="12293" width="9" style="241" hidden="1" customWidth="1"/>
    <col min="12294" max="12294" width="10.2890625" style="241" customWidth="1"/>
    <col min="12295" max="12297" width="9" style="241" hidden="1" customWidth="1"/>
    <col min="12298" max="12298" width="10.2890625" style="241" customWidth="1"/>
    <col min="12299" max="12301" width="9" style="241" hidden="1" customWidth="1"/>
    <col min="12302" max="12302" width="10.2890625" style="241" customWidth="1"/>
    <col min="12303" max="12305" width="9" style="241" hidden="1" customWidth="1"/>
    <col min="12306" max="12306" width="10.2890625" style="241" customWidth="1"/>
    <col min="12307" max="12309" width="9" style="241" hidden="1" customWidth="1"/>
    <col min="12310" max="12310" width="10.2890625" style="241" customWidth="1"/>
    <col min="12311" max="12313" width="9" style="241" hidden="1" customWidth="1"/>
    <col min="12314" max="12314" width="10.5703125" style="241" customWidth="1"/>
    <col min="12315" max="12317" width="9" style="241" hidden="1" customWidth="1"/>
    <col min="12318" max="12318" width="10.5703125" style="241" customWidth="1"/>
    <col min="12319" max="12321" width="9" style="241" hidden="1" customWidth="1"/>
    <col min="12322" max="12322" width="10.5703125" style="241" customWidth="1"/>
    <col min="12323" max="12325" width="9" style="241" hidden="1" customWidth="1"/>
    <col min="12326" max="12326" width="10.2890625" style="241" customWidth="1"/>
    <col min="12327" max="12329" width="9" style="241" hidden="1" customWidth="1"/>
    <col min="12330" max="12330" width="10.5703125" style="241" customWidth="1"/>
    <col min="12331" max="12333" width="9" style="241" hidden="1" customWidth="1"/>
    <col min="12334" max="12334" width="10.2890625" style="241" customWidth="1"/>
    <col min="12335" max="12337" width="9" style="241" hidden="1" customWidth="1"/>
    <col min="12338" max="12338" width="10.2890625" style="241" customWidth="1"/>
    <col min="12339" max="12341" width="9" style="241" hidden="1" customWidth="1"/>
    <col min="12342" max="12342" width="10.2890625" style="241" customWidth="1"/>
    <col min="12343" max="12345" width="9" style="241" hidden="1" customWidth="1"/>
    <col min="12346" max="12346" width="10.2890625" style="241" customWidth="1"/>
    <col min="12347" max="12349" width="9" style="241" hidden="1" customWidth="1"/>
    <col min="12350" max="12350" width="10.2890625" style="241" customWidth="1"/>
    <col min="12351" max="12353" width="9" style="241" hidden="1" customWidth="1"/>
    <col min="12354" max="12354" width="10.2890625" style="241" customWidth="1"/>
    <col min="12355" max="12357" width="9" style="241" hidden="1" customWidth="1"/>
    <col min="12358" max="12358" width="10.2890625" style="241" customWidth="1"/>
    <col min="12359" max="12361" width="9" style="241" hidden="1" customWidth="1"/>
    <col min="12362" max="12362" width="10.2890625" style="241" customWidth="1"/>
    <col min="12363" max="12366" width="10" style="241" customWidth="1"/>
    <col min="12367" max="12544" width="9.140625" style="241"/>
    <col min="12545" max="12545" width="41.140625" style="241" customWidth="1"/>
    <col min="12546" max="12546" width="10.2890625" style="241" customWidth="1"/>
    <col min="12547" max="12549" width="9" style="241" hidden="1" customWidth="1"/>
    <col min="12550" max="12550" width="10.2890625" style="241" customWidth="1"/>
    <col min="12551" max="12553" width="9" style="241" hidden="1" customWidth="1"/>
    <col min="12554" max="12554" width="10.2890625" style="241" customWidth="1"/>
    <col min="12555" max="12557" width="9" style="241" hidden="1" customWidth="1"/>
    <col min="12558" max="12558" width="10.2890625" style="241" customWidth="1"/>
    <col min="12559" max="12561" width="9" style="241" hidden="1" customWidth="1"/>
    <col min="12562" max="12562" width="10.2890625" style="241" customWidth="1"/>
    <col min="12563" max="12565" width="9" style="241" hidden="1" customWidth="1"/>
    <col min="12566" max="12566" width="10.2890625" style="241" customWidth="1"/>
    <col min="12567" max="12569" width="9" style="241" hidden="1" customWidth="1"/>
    <col min="12570" max="12570" width="10.5703125" style="241" customWidth="1"/>
    <col min="12571" max="12573" width="9" style="241" hidden="1" customWidth="1"/>
    <col min="12574" max="12574" width="10.5703125" style="241" customWidth="1"/>
    <col min="12575" max="12577" width="9" style="241" hidden="1" customWidth="1"/>
    <col min="12578" max="12578" width="10.5703125" style="241" customWidth="1"/>
    <col min="12579" max="12581" width="9" style="241" hidden="1" customWidth="1"/>
    <col min="12582" max="12582" width="10.2890625" style="241" customWidth="1"/>
    <col min="12583" max="12585" width="9" style="241" hidden="1" customWidth="1"/>
    <col min="12586" max="12586" width="10.5703125" style="241" customWidth="1"/>
    <col min="12587" max="12589" width="9" style="241" hidden="1" customWidth="1"/>
    <col min="12590" max="12590" width="10.2890625" style="241" customWidth="1"/>
    <col min="12591" max="12593" width="9" style="241" hidden="1" customWidth="1"/>
    <col min="12594" max="12594" width="10.2890625" style="241" customWidth="1"/>
    <col min="12595" max="12597" width="9" style="241" hidden="1" customWidth="1"/>
    <col min="12598" max="12598" width="10.2890625" style="241" customWidth="1"/>
    <col min="12599" max="12601" width="9" style="241" hidden="1" customWidth="1"/>
    <col min="12602" max="12602" width="10.2890625" style="241" customWidth="1"/>
    <col min="12603" max="12605" width="9" style="241" hidden="1" customWidth="1"/>
    <col min="12606" max="12606" width="10.2890625" style="241" customWidth="1"/>
    <col min="12607" max="12609" width="9" style="241" hidden="1" customWidth="1"/>
    <col min="12610" max="12610" width="10.2890625" style="241" customWidth="1"/>
    <col min="12611" max="12613" width="9" style="241" hidden="1" customWidth="1"/>
    <col min="12614" max="12614" width="10.2890625" style="241" customWidth="1"/>
    <col min="12615" max="12617" width="9" style="241" hidden="1" customWidth="1"/>
    <col min="12618" max="12618" width="10.2890625" style="241" customWidth="1"/>
    <col min="12619" max="12622" width="10" style="241" customWidth="1"/>
    <col min="12623" max="12800" width="9.140625" style="241"/>
    <col min="12801" max="12801" width="41.140625" style="241" customWidth="1"/>
    <col min="12802" max="12802" width="10.2890625" style="241" customWidth="1"/>
    <col min="12803" max="12805" width="9" style="241" hidden="1" customWidth="1"/>
    <col min="12806" max="12806" width="10.2890625" style="241" customWidth="1"/>
    <col min="12807" max="12809" width="9" style="241" hidden="1" customWidth="1"/>
    <col min="12810" max="12810" width="10.2890625" style="241" customWidth="1"/>
    <col min="12811" max="12813" width="9" style="241" hidden="1" customWidth="1"/>
    <col min="12814" max="12814" width="10.2890625" style="241" customWidth="1"/>
    <col min="12815" max="12817" width="9" style="241" hidden="1" customWidth="1"/>
    <col min="12818" max="12818" width="10.2890625" style="241" customWidth="1"/>
    <col min="12819" max="12821" width="9" style="241" hidden="1" customWidth="1"/>
    <col min="12822" max="12822" width="10.2890625" style="241" customWidth="1"/>
    <col min="12823" max="12825" width="9" style="241" hidden="1" customWidth="1"/>
    <col min="12826" max="12826" width="10.5703125" style="241" customWidth="1"/>
    <col min="12827" max="12829" width="9" style="241" hidden="1" customWidth="1"/>
    <col min="12830" max="12830" width="10.5703125" style="241" customWidth="1"/>
    <col min="12831" max="12833" width="9" style="241" hidden="1" customWidth="1"/>
    <col min="12834" max="12834" width="10.5703125" style="241" customWidth="1"/>
    <col min="12835" max="12837" width="9" style="241" hidden="1" customWidth="1"/>
    <col min="12838" max="12838" width="10.2890625" style="241" customWidth="1"/>
    <col min="12839" max="12841" width="9" style="241" hidden="1" customWidth="1"/>
    <col min="12842" max="12842" width="10.5703125" style="241" customWidth="1"/>
    <col min="12843" max="12845" width="9" style="241" hidden="1" customWidth="1"/>
    <col min="12846" max="12846" width="10.2890625" style="241" customWidth="1"/>
    <col min="12847" max="12849" width="9" style="241" hidden="1" customWidth="1"/>
    <col min="12850" max="12850" width="10.2890625" style="241" customWidth="1"/>
    <col min="12851" max="12853" width="9" style="241" hidden="1" customWidth="1"/>
    <col min="12854" max="12854" width="10.2890625" style="241" customWidth="1"/>
    <col min="12855" max="12857" width="9" style="241" hidden="1" customWidth="1"/>
    <col min="12858" max="12858" width="10.2890625" style="241" customWidth="1"/>
    <col min="12859" max="12861" width="9" style="241" hidden="1" customWidth="1"/>
    <col min="12862" max="12862" width="10.2890625" style="241" customWidth="1"/>
    <col min="12863" max="12865" width="9" style="241" hidden="1" customWidth="1"/>
    <col min="12866" max="12866" width="10.2890625" style="241" customWidth="1"/>
    <col min="12867" max="12869" width="9" style="241" hidden="1" customWidth="1"/>
    <col min="12870" max="12870" width="10.2890625" style="241" customWidth="1"/>
    <col min="12871" max="12873" width="9" style="241" hidden="1" customWidth="1"/>
    <col min="12874" max="12874" width="10.2890625" style="241" customWidth="1"/>
    <col min="12875" max="12878" width="10" style="241" customWidth="1"/>
    <col min="12879" max="13056" width="9.140625" style="241"/>
    <col min="13057" max="13057" width="41.140625" style="241" customWidth="1"/>
    <col min="13058" max="13058" width="10.2890625" style="241" customWidth="1"/>
    <col min="13059" max="13061" width="9" style="241" hidden="1" customWidth="1"/>
    <col min="13062" max="13062" width="10.2890625" style="241" customWidth="1"/>
    <col min="13063" max="13065" width="9" style="241" hidden="1" customWidth="1"/>
    <col min="13066" max="13066" width="10.2890625" style="241" customWidth="1"/>
    <col min="13067" max="13069" width="9" style="241" hidden="1" customWidth="1"/>
    <col min="13070" max="13070" width="10.2890625" style="241" customWidth="1"/>
    <col min="13071" max="13073" width="9" style="241" hidden="1" customWidth="1"/>
    <col min="13074" max="13074" width="10.2890625" style="241" customWidth="1"/>
    <col min="13075" max="13077" width="9" style="241" hidden="1" customWidth="1"/>
    <col min="13078" max="13078" width="10.2890625" style="241" customWidth="1"/>
    <col min="13079" max="13081" width="9" style="241" hidden="1" customWidth="1"/>
    <col min="13082" max="13082" width="10.5703125" style="241" customWidth="1"/>
    <col min="13083" max="13085" width="9" style="241" hidden="1" customWidth="1"/>
    <col min="13086" max="13086" width="10.5703125" style="241" customWidth="1"/>
    <col min="13087" max="13089" width="9" style="241" hidden="1" customWidth="1"/>
    <col min="13090" max="13090" width="10.5703125" style="241" customWidth="1"/>
    <col min="13091" max="13093" width="9" style="241" hidden="1" customWidth="1"/>
    <col min="13094" max="13094" width="10.2890625" style="241" customWidth="1"/>
    <col min="13095" max="13097" width="9" style="241" hidden="1" customWidth="1"/>
    <col min="13098" max="13098" width="10.5703125" style="241" customWidth="1"/>
    <col min="13099" max="13101" width="9" style="241" hidden="1" customWidth="1"/>
    <col min="13102" max="13102" width="10.2890625" style="241" customWidth="1"/>
    <col min="13103" max="13105" width="9" style="241" hidden="1" customWidth="1"/>
    <col min="13106" max="13106" width="10.2890625" style="241" customWidth="1"/>
    <col min="13107" max="13109" width="9" style="241" hidden="1" customWidth="1"/>
    <col min="13110" max="13110" width="10.2890625" style="241" customWidth="1"/>
    <col min="13111" max="13113" width="9" style="241" hidden="1" customWidth="1"/>
    <col min="13114" max="13114" width="10.2890625" style="241" customWidth="1"/>
    <col min="13115" max="13117" width="9" style="241" hidden="1" customWidth="1"/>
    <col min="13118" max="13118" width="10.2890625" style="241" customWidth="1"/>
    <col min="13119" max="13121" width="9" style="241" hidden="1" customWidth="1"/>
    <col min="13122" max="13122" width="10.2890625" style="241" customWidth="1"/>
    <col min="13123" max="13125" width="9" style="241" hidden="1" customWidth="1"/>
    <col min="13126" max="13126" width="10.2890625" style="241" customWidth="1"/>
    <col min="13127" max="13129" width="9" style="241" hidden="1" customWidth="1"/>
    <col min="13130" max="13130" width="10.2890625" style="241" customWidth="1"/>
    <col min="13131" max="13134" width="10" style="241" customWidth="1"/>
    <col min="13135" max="13312" width="9.140625" style="241"/>
    <col min="13313" max="13313" width="41.140625" style="241" customWidth="1"/>
    <col min="13314" max="13314" width="10.2890625" style="241" customWidth="1"/>
    <col min="13315" max="13317" width="9" style="241" hidden="1" customWidth="1"/>
    <col min="13318" max="13318" width="10.2890625" style="241" customWidth="1"/>
    <col min="13319" max="13321" width="9" style="241" hidden="1" customWidth="1"/>
    <col min="13322" max="13322" width="10.2890625" style="241" customWidth="1"/>
    <col min="13323" max="13325" width="9" style="241" hidden="1" customWidth="1"/>
    <col min="13326" max="13326" width="10.2890625" style="241" customWidth="1"/>
    <col min="13327" max="13329" width="9" style="241" hidden="1" customWidth="1"/>
    <col min="13330" max="13330" width="10.2890625" style="241" customWidth="1"/>
    <col min="13331" max="13333" width="9" style="241" hidden="1" customWidth="1"/>
    <col min="13334" max="13334" width="10.2890625" style="241" customWidth="1"/>
    <col min="13335" max="13337" width="9" style="241" hidden="1" customWidth="1"/>
    <col min="13338" max="13338" width="10.5703125" style="241" customWidth="1"/>
    <col min="13339" max="13341" width="9" style="241" hidden="1" customWidth="1"/>
    <col min="13342" max="13342" width="10.5703125" style="241" customWidth="1"/>
    <col min="13343" max="13345" width="9" style="241" hidden="1" customWidth="1"/>
    <col min="13346" max="13346" width="10.5703125" style="241" customWidth="1"/>
    <col min="13347" max="13349" width="9" style="241" hidden="1" customWidth="1"/>
    <col min="13350" max="13350" width="10.2890625" style="241" customWidth="1"/>
    <col min="13351" max="13353" width="9" style="241" hidden="1" customWidth="1"/>
    <col min="13354" max="13354" width="10.5703125" style="241" customWidth="1"/>
    <col min="13355" max="13357" width="9" style="241" hidden="1" customWidth="1"/>
    <col min="13358" max="13358" width="10.2890625" style="241" customWidth="1"/>
    <col min="13359" max="13361" width="9" style="241" hidden="1" customWidth="1"/>
    <col min="13362" max="13362" width="10.2890625" style="241" customWidth="1"/>
    <col min="13363" max="13365" width="9" style="241" hidden="1" customWidth="1"/>
    <col min="13366" max="13366" width="10.2890625" style="241" customWidth="1"/>
    <col min="13367" max="13369" width="9" style="241" hidden="1" customWidth="1"/>
    <col min="13370" max="13370" width="10.2890625" style="241" customWidth="1"/>
    <col min="13371" max="13373" width="9" style="241" hidden="1" customWidth="1"/>
    <col min="13374" max="13374" width="10.2890625" style="241" customWidth="1"/>
    <col min="13375" max="13377" width="9" style="241" hidden="1" customWidth="1"/>
    <col min="13378" max="13378" width="10.2890625" style="241" customWidth="1"/>
    <col min="13379" max="13381" width="9" style="241" hidden="1" customWidth="1"/>
    <col min="13382" max="13382" width="10.2890625" style="241" customWidth="1"/>
    <col min="13383" max="13385" width="9" style="241" hidden="1" customWidth="1"/>
    <col min="13386" max="13386" width="10.2890625" style="241" customWidth="1"/>
    <col min="13387" max="13390" width="10" style="241" customWidth="1"/>
    <col min="13391" max="13568" width="9.140625" style="241"/>
    <col min="13569" max="13569" width="41.140625" style="241" customWidth="1"/>
    <col min="13570" max="13570" width="10.2890625" style="241" customWidth="1"/>
    <col min="13571" max="13573" width="9" style="241" hidden="1" customWidth="1"/>
    <col min="13574" max="13574" width="10.2890625" style="241" customWidth="1"/>
    <col min="13575" max="13577" width="9" style="241" hidden="1" customWidth="1"/>
    <col min="13578" max="13578" width="10.2890625" style="241" customWidth="1"/>
    <col min="13579" max="13581" width="9" style="241" hidden="1" customWidth="1"/>
    <col min="13582" max="13582" width="10.2890625" style="241" customWidth="1"/>
    <col min="13583" max="13585" width="9" style="241" hidden="1" customWidth="1"/>
    <col min="13586" max="13586" width="10.2890625" style="241" customWidth="1"/>
    <col min="13587" max="13589" width="9" style="241" hidden="1" customWidth="1"/>
    <col min="13590" max="13590" width="10.2890625" style="241" customWidth="1"/>
    <col min="13591" max="13593" width="9" style="241" hidden="1" customWidth="1"/>
    <col min="13594" max="13594" width="10.5703125" style="241" customWidth="1"/>
    <col min="13595" max="13597" width="9" style="241" hidden="1" customWidth="1"/>
    <col min="13598" max="13598" width="10.5703125" style="241" customWidth="1"/>
    <col min="13599" max="13601" width="9" style="241" hidden="1" customWidth="1"/>
    <col min="13602" max="13602" width="10.5703125" style="241" customWidth="1"/>
    <col min="13603" max="13605" width="9" style="241" hidden="1" customWidth="1"/>
    <col min="13606" max="13606" width="10.2890625" style="241" customWidth="1"/>
    <col min="13607" max="13609" width="9" style="241" hidden="1" customWidth="1"/>
    <col min="13610" max="13610" width="10.5703125" style="241" customWidth="1"/>
    <col min="13611" max="13613" width="9" style="241" hidden="1" customWidth="1"/>
    <col min="13614" max="13614" width="10.2890625" style="241" customWidth="1"/>
    <col min="13615" max="13617" width="9" style="241" hidden="1" customWidth="1"/>
    <col min="13618" max="13618" width="10.2890625" style="241" customWidth="1"/>
    <col min="13619" max="13621" width="9" style="241" hidden="1" customWidth="1"/>
    <col min="13622" max="13622" width="10.2890625" style="241" customWidth="1"/>
    <col min="13623" max="13625" width="9" style="241" hidden="1" customWidth="1"/>
    <col min="13626" max="13626" width="10.2890625" style="241" customWidth="1"/>
    <col min="13627" max="13629" width="9" style="241" hidden="1" customWidth="1"/>
    <col min="13630" max="13630" width="10.2890625" style="241" customWidth="1"/>
    <col min="13631" max="13633" width="9" style="241" hidden="1" customWidth="1"/>
    <col min="13634" max="13634" width="10.2890625" style="241" customWidth="1"/>
    <col min="13635" max="13637" width="9" style="241" hidden="1" customWidth="1"/>
    <col min="13638" max="13638" width="10.2890625" style="241" customWidth="1"/>
    <col min="13639" max="13641" width="9" style="241" hidden="1" customWidth="1"/>
    <col min="13642" max="13642" width="10.2890625" style="241" customWidth="1"/>
    <col min="13643" max="13646" width="10" style="241" customWidth="1"/>
    <col min="13647" max="13824" width="9.140625" style="241"/>
    <col min="13825" max="13825" width="41.140625" style="241" customWidth="1"/>
    <col min="13826" max="13826" width="10.2890625" style="241" customWidth="1"/>
    <col min="13827" max="13829" width="9" style="241" hidden="1" customWidth="1"/>
    <col min="13830" max="13830" width="10.2890625" style="241" customWidth="1"/>
    <col min="13831" max="13833" width="9" style="241" hidden="1" customWidth="1"/>
    <col min="13834" max="13834" width="10.2890625" style="241" customWidth="1"/>
    <col min="13835" max="13837" width="9" style="241" hidden="1" customWidth="1"/>
    <col min="13838" max="13838" width="10.2890625" style="241" customWidth="1"/>
    <col min="13839" max="13841" width="9" style="241" hidden="1" customWidth="1"/>
    <col min="13842" max="13842" width="10.2890625" style="241" customWidth="1"/>
    <col min="13843" max="13845" width="9" style="241" hidden="1" customWidth="1"/>
    <col min="13846" max="13846" width="10.2890625" style="241" customWidth="1"/>
    <col min="13847" max="13849" width="9" style="241" hidden="1" customWidth="1"/>
    <col min="13850" max="13850" width="10.5703125" style="241" customWidth="1"/>
    <col min="13851" max="13853" width="9" style="241" hidden="1" customWidth="1"/>
    <col min="13854" max="13854" width="10.5703125" style="241" customWidth="1"/>
    <col min="13855" max="13857" width="9" style="241" hidden="1" customWidth="1"/>
    <col min="13858" max="13858" width="10.5703125" style="241" customWidth="1"/>
    <col min="13859" max="13861" width="9" style="241" hidden="1" customWidth="1"/>
    <col min="13862" max="13862" width="10.2890625" style="241" customWidth="1"/>
    <col min="13863" max="13865" width="9" style="241" hidden="1" customWidth="1"/>
    <col min="13866" max="13866" width="10.5703125" style="241" customWidth="1"/>
    <col min="13867" max="13869" width="9" style="241" hidden="1" customWidth="1"/>
    <col min="13870" max="13870" width="10.2890625" style="241" customWidth="1"/>
    <col min="13871" max="13873" width="9" style="241" hidden="1" customWidth="1"/>
    <col min="13874" max="13874" width="10.2890625" style="241" customWidth="1"/>
    <col min="13875" max="13877" width="9" style="241" hidden="1" customWidth="1"/>
    <col min="13878" max="13878" width="10.2890625" style="241" customWidth="1"/>
    <col min="13879" max="13881" width="9" style="241" hidden="1" customWidth="1"/>
    <col min="13882" max="13882" width="10.2890625" style="241" customWidth="1"/>
    <col min="13883" max="13885" width="9" style="241" hidden="1" customWidth="1"/>
    <col min="13886" max="13886" width="10.2890625" style="241" customWidth="1"/>
    <col min="13887" max="13889" width="9" style="241" hidden="1" customWidth="1"/>
    <col min="13890" max="13890" width="10.2890625" style="241" customWidth="1"/>
    <col min="13891" max="13893" width="9" style="241" hidden="1" customWidth="1"/>
    <col min="13894" max="13894" width="10.2890625" style="241" customWidth="1"/>
    <col min="13895" max="13897" width="9" style="241" hidden="1" customWidth="1"/>
    <col min="13898" max="13898" width="10.2890625" style="241" customWidth="1"/>
    <col min="13899" max="13902" width="10" style="241" customWidth="1"/>
    <col min="13903" max="14080" width="9.140625" style="241"/>
    <col min="14081" max="14081" width="41.140625" style="241" customWidth="1"/>
    <col min="14082" max="14082" width="10.2890625" style="241" customWidth="1"/>
    <col min="14083" max="14085" width="9" style="241" hidden="1" customWidth="1"/>
    <col min="14086" max="14086" width="10.2890625" style="241" customWidth="1"/>
    <col min="14087" max="14089" width="9" style="241" hidden="1" customWidth="1"/>
    <col min="14090" max="14090" width="10.2890625" style="241" customWidth="1"/>
    <col min="14091" max="14093" width="9" style="241" hidden="1" customWidth="1"/>
    <col min="14094" max="14094" width="10.2890625" style="241" customWidth="1"/>
    <col min="14095" max="14097" width="9" style="241" hidden="1" customWidth="1"/>
    <col min="14098" max="14098" width="10.2890625" style="241" customWidth="1"/>
    <col min="14099" max="14101" width="9" style="241" hidden="1" customWidth="1"/>
    <col min="14102" max="14102" width="10.2890625" style="241" customWidth="1"/>
    <col min="14103" max="14105" width="9" style="241" hidden="1" customWidth="1"/>
    <col min="14106" max="14106" width="10.5703125" style="241" customWidth="1"/>
    <col min="14107" max="14109" width="9" style="241" hidden="1" customWidth="1"/>
    <col min="14110" max="14110" width="10.5703125" style="241" customWidth="1"/>
    <col min="14111" max="14113" width="9" style="241" hidden="1" customWidth="1"/>
    <col min="14114" max="14114" width="10.5703125" style="241" customWidth="1"/>
    <col min="14115" max="14117" width="9" style="241" hidden="1" customWidth="1"/>
    <col min="14118" max="14118" width="10.2890625" style="241" customWidth="1"/>
    <col min="14119" max="14121" width="9" style="241" hidden="1" customWidth="1"/>
    <col min="14122" max="14122" width="10.5703125" style="241" customWidth="1"/>
    <col min="14123" max="14125" width="9" style="241" hidden="1" customWidth="1"/>
    <col min="14126" max="14126" width="10.2890625" style="241" customWidth="1"/>
    <col min="14127" max="14129" width="9" style="241" hidden="1" customWidth="1"/>
    <col min="14130" max="14130" width="10.2890625" style="241" customWidth="1"/>
    <col min="14131" max="14133" width="9" style="241" hidden="1" customWidth="1"/>
    <col min="14134" max="14134" width="10.2890625" style="241" customWidth="1"/>
    <col min="14135" max="14137" width="9" style="241" hidden="1" customWidth="1"/>
    <col min="14138" max="14138" width="10.2890625" style="241" customWidth="1"/>
    <col min="14139" max="14141" width="9" style="241" hidden="1" customWidth="1"/>
    <col min="14142" max="14142" width="10.2890625" style="241" customWidth="1"/>
    <col min="14143" max="14145" width="9" style="241" hidden="1" customWidth="1"/>
    <col min="14146" max="14146" width="10.2890625" style="241" customWidth="1"/>
    <col min="14147" max="14149" width="9" style="241" hidden="1" customWidth="1"/>
    <col min="14150" max="14150" width="10.2890625" style="241" customWidth="1"/>
    <col min="14151" max="14153" width="9" style="241" hidden="1" customWidth="1"/>
    <col min="14154" max="14154" width="10.2890625" style="241" customWidth="1"/>
    <col min="14155" max="14158" width="10" style="241" customWidth="1"/>
    <col min="14159" max="14336" width="9.140625" style="241"/>
    <col min="14337" max="14337" width="41.140625" style="241" customWidth="1"/>
    <col min="14338" max="14338" width="10.2890625" style="241" customWidth="1"/>
    <col min="14339" max="14341" width="9" style="241" hidden="1" customWidth="1"/>
    <col min="14342" max="14342" width="10.2890625" style="241" customWidth="1"/>
    <col min="14343" max="14345" width="9" style="241" hidden="1" customWidth="1"/>
    <col min="14346" max="14346" width="10.2890625" style="241" customWidth="1"/>
    <col min="14347" max="14349" width="9" style="241" hidden="1" customWidth="1"/>
    <col min="14350" max="14350" width="10.2890625" style="241" customWidth="1"/>
    <col min="14351" max="14353" width="9" style="241" hidden="1" customWidth="1"/>
    <col min="14354" max="14354" width="10.2890625" style="241" customWidth="1"/>
    <col min="14355" max="14357" width="9" style="241" hidden="1" customWidth="1"/>
    <col min="14358" max="14358" width="10.2890625" style="241" customWidth="1"/>
    <col min="14359" max="14361" width="9" style="241" hidden="1" customWidth="1"/>
    <col min="14362" max="14362" width="10.5703125" style="241" customWidth="1"/>
    <col min="14363" max="14365" width="9" style="241" hidden="1" customWidth="1"/>
    <col min="14366" max="14366" width="10.5703125" style="241" customWidth="1"/>
    <col min="14367" max="14369" width="9" style="241" hidden="1" customWidth="1"/>
    <col min="14370" max="14370" width="10.5703125" style="241" customWidth="1"/>
    <col min="14371" max="14373" width="9" style="241" hidden="1" customWidth="1"/>
    <col min="14374" max="14374" width="10.2890625" style="241" customWidth="1"/>
    <col min="14375" max="14377" width="9" style="241" hidden="1" customWidth="1"/>
    <col min="14378" max="14378" width="10.5703125" style="241" customWidth="1"/>
    <col min="14379" max="14381" width="9" style="241" hidden="1" customWidth="1"/>
    <col min="14382" max="14382" width="10.2890625" style="241" customWidth="1"/>
    <col min="14383" max="14385" width="9" style="241" hidden="1" customWidth="1"/>
    <col min="14386" max="14386" width="10.2890625" style="241" customWidth="1"/>
    <col min="14387" max="14389" width="9" style="241" hidden="1" customWidth="1"/>
    <col min="14390" max="14390" width="10.2890625" style="241" customWidth="1"/>
    <col min="14391" max="14393" width="9" style="241" hidden="1" customWidth="1"/>
    <col min="14394" max="14394" width="10.2890625" style="241" customWidth="1"/>
    <col min="14395" max="14397" width="9" style="241" hidden="1" customWidth="1"/>
    <col min="14398" max="14398" width="10.2890625" style="241" customWidth="1"/>
    <col min="14399" max="14401" width="9" style="241" hidden="1" customWidth="1"/>
    <col min="14402" max="14402" width="10.2890625" style="241" customWidth="1"/>
    <col min="14403" max="14405" width="9" style="241" hidden="1" customWidth="1"/>
    <col min="14406" max="14406" width="10.2890625" style="241" customWidth="1"/>
    <col min="14407" max="14409" width="9" style="241" hidden="1" customWidth="1"/>
    <col min="14410" max="14410" width="10.2890625" style="241" customWidth="1"/>
    <col min="14411" max="14414" width="10" style="241" customWidth="1"/>
    <col min="14415" max="14592" width="9.140625" style="241"/>
    <col min="14593" max="14593" width="41.140625" style="241" customWidth="1"/>
    <col min="14594" max="14594" width="10.2890625" style="241" customWidth="1"/>
    <col min="14595" max="14597" width="9" style="241" hidden="1" customWidth="1"/>
    <col min="14598" max="14598" width="10.2890625" style="241" customWidth="1"/>
    <col min="14599" max="14601" width="9" style="241" hidden="1" customWidth="1"/>
    <col min="14602" max="14602" width="10.2890625" style="241" customWidth="1"/>
    <col min="14603" max="14605" width="9" style="241" hidden="1" customWidth="1"/>
    <col min="14606" max="14606" width="10.2890625" style="241" customWidth="1"/>
    <col min="14607" max="14609" width="9" style="241" hidden="1" customWidth="1"/>
    <col min="14610" max="14610" width="10.2890625" style="241" customWidth="1"/>
    <col min="14611" max="14613" width="9" style="241" hidden="1" customWidth="1"/>
    <col min="14614" max="14614" width="10.2890625" style="241" customWidth="1"/>
    <col min="14615" max="14617" width="9" style="241" hidden="1" customWidth="1"/>
    <col min="14618" max="14618" width="10.5703125" style="241" customWidth="1"/>
    <col min="14619" max="14621" width="9" style="241" hidden="1" customWidth="1"/>
    <col min="14622" max="14622" width="10.5703125" style="241" customWidth="1"/>
    <col min="14623" max="14625" width="9" style="241" hidden="1" customWidth="1"/>
    <col min="14626" max="14626" width="10.5703125" style="241" customWidth="1"/>
    <col min="14627" max="14629" width="9" style="241" hidden="1" customWidth="1"/>
    <col min="14630" max="14630" width="10.2890625" style="241" customWidth="1"/>
    <col min="14631" max="14633" width="9" style="241" hidden="1" customWidth="1"/>
    <col min="14634" max="14634" width="10.5703125" style="241" customWidth="1"/>
    <col min="14635" max="14637" width="9" style="241" hidden="1" customWidth="1"/>
    <col min="14638" max="14638" width="10.2890625" style="241" customWidth="1"/>
    <col min="14639" max="14641" width="9" style="241" hidden="1" customWidth="1"/>
    <col min="14642" max="14642" width="10.2890625" style="241" customWidth="1"/>
    <col min="14643" max="14645" width="9" style="241" hidden="1" customWidth="1"/>
    <col min="14646" max="14646" width="10.2890625" style="241" customWidth="1"/>
    <col min="14647" max="14649" width="9" style="241" hidden="1" customWidth="1"/>
    <col min="14650" max="14650" width="10.2890625" style="241" customWidth="1"/>
    <col min="14651" max="14653" width="9" style="241" hidden="1" customWidth="1"/>
    <col min="14654" max="14654" width="10.2890625" style="241" customWidth="1"/>
    <col min="14655" max="14657" width="9" style="241" hidden="1" customWidth="1"/>
    <col min="14658" max="14658" width="10.2890625" style="241" customWidth="1"/>
    <col min="14659" max="14661" width="9" style="241" hidden="1" customWidth="1"/>
    <col min="14662" max="14662" width="10.2890625" style="241" customWidth="1"/>
    <col min="14663" max="14665" width="9" style="241" hidden="1" customWidth="1"/>
    <col min="14666" max="14666" width="10.2890625" style="241" customWidth="1"/>
    <col min="14667" max="14670" width="10" style="241" customWidth="1"/>
    <col min="14671" max="14848" width="9.140625" style="241"/>
    <col min="14849" max="14849" width="41.140625" style="241" customWidth="1"/>
    <col min="14850" max="14850" width="10.2890625" style="241" customWidth="1"/>
    <col min="14851" max="14853" width="9" style="241" hidden="1" customWidth="1"/>
    <col min="14854" max="14854" width="10.2890625" style="241" customWidth="1"/>
    <col min="14855" max="14857" width="9" style="241" hidden="1" customWidth="1"/>
    <col min="14858" max="14858" width="10.2890625" style="241" customWidth="1"/>
    <col min="14859" max="14861" width="9" style="241" hidden="1" customWidth="1"/>
    <col min="14862" max="14862" width="10.2890625" style="241" customWidth="1"/>
    <col min="14863" max="14865" width="9" style="241" hidden="1" customWidth="1"/>
    <col min="14866" max="14866" width="10.2890625" style="241" customWidth="1"/>
    <col min="14867" max="14869" width="9" style="241" hidden="1" customWidth="1"/>
    <col min="14870" max="14870" width="10.2890625" style="241" customWidth="1"/>
    <col min="14871" max="14873" width="9" style="241" hidden="1" customWidth="1"/>
    <col min="14874" max="14874" width="10.5703125" style="241" customWidth="1"/>
    <col min="14875" max="14877" width="9" style="241" hidden="1" customWidth="1"/>
    <col min="14878" max="14878" width="10.5703125" style="241" customWidth="1"/>
    <col min="14879" max="14881" width="9" style="241" hidden="1" customWidth="1"/>
    <col min="14882" max="14882" width="10.5703125" style="241" customWidth="1"/>
    <col min="14883" max="14885" width="9" style="241" hidden="1" customWidth="1"/>
    <col min="14886" max="14886" width="10.2890625" style="241" customWidth="1"/>
    <col min="14887" max="14889" width="9" style="241" hidden="1" customWidth="1"/>
    <col min="14890" max="14890" width="10.5703125" style="241" customWidth="1"/>
    <col min="14891" max="14893" width="9" style="241" hidden="1" customWidth="1"/>
    <col min="14894" max="14894" width="10.2890625" style="241" customWidth="1"/>
    <col min="14895" max="14897" width="9" style="241" hidden="1" customWidth="1"/>
    <col min="14898" max="14898" width="10.2890625" style="241" customWidth="1"/>
    <col min="14899" max="14901" width="9" style="241" hidden="1" customWidth="1"/>
    <col min="14902" max="14902" width="10.2890625" style="241" customWidth="1"/>
    <col min="14903" max="14905" width="9" style="241" hidden="1" customWidth="1"/>
    <col min="14906" max="14906" width="10.2890625" style="241" customWidth="1"/>
    <col min="14907" max="14909" width="9" style="241" hidden="1" customWidth="1"/>
    <col min="14910" max="14910" width="10.2890625" style="241" customWidth="1"/>
    <col min="14911" max="14913" width="9" style="241" hidden="1" customWidth="1"/>
    <col min="14914" max="14914" width="10.2890625" style="241" customWidth="1"/>
    <col min="14915" max="14917" width="9" style="241" hidden="1" customWidth="1"/>
    <col min="14918" max="14918" width="10.2890625" style="241" customWidth="1"/>
    <col min="14919" max="14921" width="9" style="241" hidden="1" customWidth="1"/>
    <col min="14922" max="14922" width="10.2890625" style="241" customWidth="1"/>
    <col min="14923" max="14926" width="10" style="241" customWidth="1"/>
    <col min="14927" max="15104" width="9.140625" style="241"/>
    <col min="15105" max="15105" width="41.140625" style="241" customWidth="1"/>
    <col min="15106" max="15106" width="10.2890625" style="241" customWidth="1"/>
    <col min="15107" max="15109" width="9" style="241" hidden="1" customWidth="1"/>
    <col min="15110" max="15110" width="10.2890625" style="241" customWidth="1"/>
    <col min="15111" max="15113" width="9" style="241" hidden="1" customWidth="1"/>
    <col min="15114" max="15114" width="10.2890625" style="241" customWidth="1"/>
    <col min="15115" max="15117" width="9" style="241" hidden="1" customWidth="1"/>
    <col min="15118" max="15118" width="10.2890625" style="241" customWidth="1"/>
    <col min="15119" max="15121" width="9" style="241" hidden="1" customWidth="1"/>
    <col min="15122" max="15122" width="10.2890625" style="241" customWidth="1"/>
    <col min="15123" max="15125" width="9" style="241" hidden="1" customWidth="1"/>
    <col min="15126" max="15126" width="10.2890625" style="241" customWidth="1"/>
    <col min="15127" max="15129" width="9" style="241" hidden="1" customWidth="1"/>
    <col min="15130" max="15130" width="10.5703125" style="241" customWidth="1"/>
    <col min="15131" max="15133" width="9" style="241" hidden="1" customWidth="1"/>
    <col min="15134" max="15134" width="10.5703125" style="241" customWidth="1"/>
    <col min="15135" max="15137" width="9" style="241" hidden="1" customWidth="1"/>
    <col min="15138" max="15138" width="10.5703125" style="241" customWidth="1"/>
    <col min="15139" max="15141" width="9" style="241" hidden="1" customWidth="1"/>
    <col min="15142" max="15142" width="10.2890625" style="241" customWidth="1"/>
    <col min="15143" max="15145" width="9" style="241" hidden="1" customWidth="1"/>
    <col min="15146" max="15146" width="10.5703125" style="241" customWidth="1"/>
    <col min="15147" max="15149" width="9" style="241" hidden="1" customWidth="1"/>
    <col min="15150" max="15150" width="10.2890625" style="241" customWidth="1"/>
    <col min="15151" max="15153" width="9" style="241" hidden="1" customWidth="1"/>
    <col min="15154" max="15154" width="10.2890625" style="241" customWidth="1"/>
    <col min="15155" max="15157" width="9" style="241" hidden="1" customWidth="1"/>
    <col min="15158" max="15158" width="10.2890625" style="241" customWidth="1"/>
    <col min="15159" max="15161" width="9" style="241" hidden="1" customWidth="1"/>
    <col min="15162" max="15162" width="10.2890625" style="241" customWidth="1"/>
    <col min="15163" max="15165" width="9" style="241" hidden="1" customWidth="1"/>
    <col min="15166" max="15166" width="10.2890625" style="241" customWidth="1"/>
    <col min="15167" max="15169" width="9" style="241" hidden="1" customWidth="1"/>
    <col min="15170" max="15170" width="10.2890625" style="241" customWidth="1"/>
    <col min="15171" max="15173" width="9" style="241" hidden="1" customWidth="1"/>
    <col min="15174" max="15174" width="10.2890625" style="241" customWidth="1"/>
    <col min="15175" max="15177" width="9" style="241" hidden="1" customWidth="1"/>
    <col min="15178" max="15178" width="10.2890625" style="241" customWidth="1"/>
    <col min="15179" max="15182" width="10" style="241" customWidth="1"/>
    <col min="15183" max="15360" width="9.140625" style="241"/>
    <col min="15361" max="15361" width="41.140625" style="241" customWidth="1"/>
    <col min="15362" max="15362" width="10.2890625" style="241" customWidth="1"/>
    <col min="15363" max="15365" width="9" style="241" hidden="1" customWidth="1"/>
    <col min="15366" max="15366" width="10.2890625" style="241" customWidth="1"/>
    <col min="15367" max="15369" width="9" style="241" hidden="1" customWidth="1"/>
    <col min="15370" max="15370" width="10.2890625" style="241" customWidth="1"/>
    <col min="15371" max="15373" width="9" style="241" hidden="1" customWidth="1"/>
    <col min="15374" max="15374" width="10.2890625" style="241" customWidth="1"/>
    <col min="15375" max="15377" width="9" style="241" hidden="1" customWidth="1"/>
    <col min="15378" max="15378" width="10.2890625" style="241" customWidth="1"/>
    <col min="15379" max="15381" width="9" style="241" hidden="1" customWidth="1"/>
    <col min="15382" max="15382" width="10.2890625" style="241" customWidth="1"/>
    <col min="15383" max="15385" width="9" style="241" hidden="1" customWidth="1"/>
    <col min="15386" max="15386" width="10.5703125" style="241" customWidth="1"/>
    <col min="15387" max="15389" width="9" style="241" hidden="1" customWidth="1"/>
    <col min="15390" max="15390" width="10.5703125" style="241" customWidth="1"/>
    <col min="15391" max="15393" width="9" style="241" hidden="1" customWidth="1"/>
    <col min="15394" max="15394" width="10.5703125" style="241" customWidth="1"/>
    <col min="15395" max="15397" width="9" style="241" hidden="1" customWidth="1"/>
    <col min="15398" max="15398" width="10.2890625" style="241" customWidth="1"/>
    <col min="15399" max="15401" width="9" style="241" hidden="1" customWidth="1"/>
    <col min="15402" max="15402" width="10.5703125" style="241" customWidth="1"/>
    <col min="15403" max="15405" width="9" style="241" hidden="1" customWidth="1"/>
    <col min="15406" max="15406" width="10.2890625" style="241" customWidth="1"/>
    <col min="15407" max="15409" width="9" style="241" hidden="1" customWidth="1"/>
    <col min="15410" max="15410" width="10.2890625" style="241" customWidth="1"/>
    <col min="15411" max="15413" width="9" style="241" hidden="1" customWidth="1"/>
    <col min="15414" max="15414" width="10.2890625" style="241" customWidth="1"/>
    <col min="15415" max="15417" width="9" style="241" hidden="1" customWidth="1"/>
    <col min="15418" max="15418" width="10.2890625" style="241" customWidth="1"/>
    <col min="15419" max="15421" width="9" style="241" hidden="1" customWidth="1"/>
    <col min="15422" max="15422" width="10.2890625" style="241" customWidth="1"/>
    <col min="15423" max="15425" width="9" style="241" hidden="1" customWidth="1"/>
    <col min="15426" max="15426" width="10.2890625" style="241" customWidth="1"/>
    <col min="15427" max="15429" width="9" style="241" hidden="1" customWidth="1"/>
    <col min="15430" max="15430" width="10.2890625" style="241" customWidth="1"/>
    <col min="15431" max="15433" width="9" style="241" hidden="1" customWidth="1"/>
    <col min="15434" max="15434" width="10.2890625" style="241" customWidth="1"/>
    <col min="15435" max="15438" width="10" style="241" customWidth="1"/>
    <col min="15439" max="15616" width="9.140625" style="241"/>
    <col min="15617" max="15617" width="41.140625" style="241" customWidth="1"/>
    <col min="15618" max="15618" width="10.2890625" style="241" customWidth="1"/>
    <col min="15619" max="15621" width="9" style="241" hidden="1" customWidth="1"/>
    <col min="15622" max="15622" width="10.2890625" style="241" customWidth="1"/>
    <col min="15623" max="15625" width="9" style="241" hidden="1" customWidth="1"/>
    <col min="15626" max="15626" width="10.2890625" style="241" customWidth="1"/>
    <col min="15627" max="15629" width="9" style="241" hidden="1" customWidth="1"/>
    <col min="15630" max="15630" width="10.2890625" style="241" customWidth="1"/>
    <col min="15631" max="15633" width="9" style="241" hidden="1" customWidth="1"/>
    <col min="15634" max="15634" width="10.2890625" style="241" customWidth="1"/>
    <col min="15635" max="15637" width="9" style="241" hidden="1" customWidth="1"/>
    <col min="15638" max="15638" width="10.2890625" style="241" customWidth="1"/>
    <col min="15639" max="15641" width="9" style="241" hidden="1" customWidth="1"/>
    <col min="15642" max="15642" width="10.5703125" style="241" customWidth="1"/>
    <col min="15643" max="15645" width="9" style="241" hidden="1" customWidth="1"/>
    <col min="15646" max="15646" width="10.5703125" style="241" customWidth="1"/>
    <col min="15647" max="15649" width="9" style="241" hidden="1" customWidth="1"/>
    <col min="15650" max="15650" width="10.5703125" style="241" customWidth="1"/>
    <col min="15651" max="15653" width="9" style="241" hidden="1" customWidth="1"/>
    <col min="15654" max="15654" width="10.2890625" style="241" customWidth="1"/>
    <col min="15655" max="15657" width="9" style="241" hidden="1" customWidth="1"/>
    <col min="15658" max="15658" width="10.5703125" style="241" customWidth="1"/>
    <col min="15659" max="15661" width="9" style="241" hidden="1" customWidth="1"/>
    <col min="15662" max="15662" width="10.2890625" style="241" customWidth="1"/>
    <col min="15663" max="15665" width="9" style="241" hidden="1" customWidth="1"/>
    <col min="15666" max="15666" width="10.2890625" style="241" customWidth="1"/>
    <col min="15667" max="15669" width="9" style="241" hidden="1" customWidth="1"/>
    <col min="15670" max="15670" width="10.2890625" style="241" customWidth="1"/>
    <col min="15671" max="15673" width="9" style="241" hidden="1" customWidth="1"/>
    <col min="15674" max="15674" width="10.2890625" style="241" customWidth="1"/>
    <col min="15675" max="15677" width="9" style="241" hidden="1" customWidth="1"/>
    <col min="15678" max="15678" width="10.2890625" style="241" customWidth="1"/>
    <col min="15679" max="15681" width="9" style="241" hidden="1" customWidth="1"/>
    <col min="15682" max="15682" width="10.2890625" style="241" customWidth="1"/>
    <col min="15683" max="15685" width="9" style="241" hidden="1" customWidth="1"/>
    <col min="15686" max="15686" width="10.2890625" style="241" customWidth="1"/>
    <col min="15687" max="15689" width="9" style="241" hidden="1" customWidth="1"/>
    <col min="15690" max="15690" width="10.2890625" style="241" customWidth="1"/>
    <col min="15691" max="15694" width="10" style="241" customWidth="1"/>
    <col min="15695" max="15872" width="9.140625" style="241"/>
    <col min="15873" max="15873" width="41.140625" style="241" customWidth="1"/>
    <col min="15874" max="15874" width="10.2890625" style="241" customWidth="1"/>
    <col min="15875" max="15877" width="9" style="241" hidden="1" customWidth="1"/>
    <col min="15878" max="15878" width="10.2890625" style="241" customWidth="1"/>
    <col min="15879" max="15881" width="9" style="241" hidden="1" customWidth="1"/>
    <col min="15882" max="15882" width="10.2890625" style="241" customWidth="1"/>
    <col min="15883" max="15885" width="9" style="241" hidden="1" customWidth="1"/>
    <col min="15886" max="15886" width="10.2890625" style="241" customWidth="1"/>
    <col min="15887" max="15889" width="9" style="241" hidden="1" customWidth="1"/>
    <col min="15890" max="15890" width="10.2890625" style="241" customWidth="1"/>
    <col min="15891" max="15893" width="9" style="241" hidden="1" customWidth="1"/>
    <col min="15894" max="15894" width="10.2890625" style="241" customWidth="1"/>
    <col min="15895" max="15897" width="9" style="241" hidden="1" customWidth="1"/>
    <col min="15898" max="15898" width="10.5703125" style="241" customWidth="1"/>
    <col min="15899" max="15901" width="9" style="241" hidden="1" customWidth="1"/>
    <col min="15902" max="15902" width="10.5703125" style="241" customWidth="1"/>
    <col min="15903" max="15905" width="9" style="241" hidden="1" customWidth="1"/>
    <col min="15906" max="15906" width="10.5703125" style="241" customWidth="1"/>
    <col min="15907" max="15909" width="9" style="241" hidden="1" customWidth="1"/>
    <col min="15910" max="15910" width="10.2890625" style="241" customWidth="1"/>
    <col min="15911" max="15913" width="9" style="241" hidden="1" customWidth="1"/>
    <col min="15914" max="15914" width="10.5703125" style="241" customWidth="1"/>
    <col min="15915" max="15917" width="9" style="241" hidden="1" customWidth="1"/>
    <col min="15918" max="15918" width="10.2890625" style="241" customWidth="1"/>
    <col min="15919" max="15921" width="9" style="241" hidden="1" customWidth="1"/>
    <col min="15922" max="15922" width="10.2890625" style="241" customWidth="1"/>
    <col min="15923" max="15925" width="9" style="241" hidden="1" customWidth="1"/>
    <col min="15926" max="15926" width="10.2890625" style="241" customWidth="1"/>
    <col min="15927" max="15929" width="9" style="241" hidden="1" customWidth="1"/>
    <col min="15930" max="15930" width="10.2890625" style="241" customWidth="1"/>
    <col min="15931" max="15933" width="9" style="241" hidden="1" customWidth="1"/>
    <col min="15934" max="15934" width="10.2890625" style="241" customWidth="1"/>
    <col min="15935" max="15937" width="9" style="241" hidden="1" customWidth="1"/>
    <col min="15938" max="15938" width="10.2890625" style="241" customWidth="1"/>
    <col min="15939" max="15941" width="9" style="241" hidden="1" customWidth="1"/>
    <col min="15942" max="15942" width="10.2890625" style="241" customWidth="1"/>
    <col min="15943" max="15945" width="9" style="241" hidden="1" customWidth="1"/>
    <col min="15946" max="15946" width="10.2890625" style="241" customWidth="1"/>
    <col min="15947" max="15950" width="10" style="241" customWidth="1"/>
    <col min="15951" max="16128" width="9.140625" style="241"/>
    <col min="16129" max="16129" width="41.140625" style="241" customWidth="1"/>
    <col min="16130" max="16130" width="10.2890625" style="241" customWidth="1"/>
    <col min="16131" max="16133" width="9" style="241" hidden="1" customWidth="1"/>
    <col min="16134" max="16134" width="10.2890625" style="241" customWidth="1"/>
    <col min="16135" max="16137" width="9" style="241" hidden="1" customWidth="1"/>
    <col min="16138" max="16138" width="10.2890625" style="241" customWidth="1"/>
    <col min="16139" max="16141" width="9" style="241" hidden="1" customWidth="1"/>
    <col min="16142" max="16142" width="10.2890625" style="241" customWidth="1"/>
    <col min="16143" max="16145" width="9" style="241" hidden="1" customWidth="1"/>
    <col min="16146" max="16146" width="10.2890625" style="241" customWidth="1"/>
    <col min="16147" max="16149" width="9" style="241" hidden="1" customWidth="1"/>
    <col min="16150" max="16150" width="10.2890625" style="241" customWidth="1"/>
    <col min="16151" max="16153" width="9" style="241" hidden="1" customWidth="1"/>
    <col min="16154" max="16154" width="10.5703125" style="241" customWidth="1"/>
    <col min="16155" max="16157" width="9" style="241" hidden="1" customWidth="1"/>
    <col min="16158" max="16158" width="10.5703125" style="241" customWidth="1"/>
    <col min="16159" max="16161" width="9" style="241" hidden="1" customWidth="1"/>
    <col min="16162" max="16162" width="10.5703125" style="241" customWidth="1"/>
    <col min="16163" max="16165" width="9" style="241" hidden="1" customWidth="1"/>
    <col min="16166" max="16166" width="10.2890625" style="241" customWidth="1"/>
    <col min="16167" max="16169" width="9" style="241" hidden="1" customWidth="1"/>
    <col min="16170" max="16170" width="10.5703125" style="241" customWidth="1"/>
    <col min="16171" max="16173" width="9" style="241" hidden="1" customWidth="1"/>
    <col min="16174" max="16174" width="10.2890625" style="241" customWidth="1"/>
    <col min="16175" max="16177" width="9" style="241" hidden="1" customWidth="1"/>
    <col min="16178" max="16178" width="10.2890625" style="241" customWidth="1"/>
    <col min="16179" max="16181" width="9" style="241" hidden="1" customWidth="1"/>
    <col min="16182" max="16182" width="10.2890625" style="241" customWidth="1"/>
    <col min="16183" max="16185" width="9" style="241" hidden="1" customWidth="1"/>
    <col min="16186" max="16186" width="10.2890625" style="241" customWidth="1"/>
    <col min="16187" max="16189" width="9" style="241" hidden="1" customWidth="1"/>
    <col min="16190" max="16190" width="10.2890625" style="241" customWidth="1"/>
    <col min="16191" max="16193" width="9" style="241" hidden="1" customWidth="1"/>
    <col min="16194" max="16194" width="10.2890625" style="241" customWidth="1"/>
    <col min="16195" max="16197" width="9" style="241" hidden="1" customWidth="1"/>
    <col min="16198" max="16198" width="10.2890625" style="241" customWidth="1"/>
    <col min="16199" max="16201" width="9" style="241" hidden="1" customWidth="1"/>
    <col min="16202" max="16202" width="10.2890625" style="241" customWidth="1"/>
    <col min="16203" max="16206" width="10" style="241" customWidth="1"/>
    <col min="16207" max="16384" width="9.140625" style="241"/>
  </cols>
  <sheetData>
    <row r="1" ht="16.5" customHeight="1" spans="1:51">
      <c r="A1" s="242" t="s">
        <v>207</v>
      </c>
      <c r="B1" s="242"/>
      <c r="C1" s="242"/>
      <c r="D1" s="242"/>
      <c r="E1" s="242"/>
      <c r="F1" s="242"/>
      <c r="G1" s="242"/>
      <c r="H1" s="242"/>
      <c r="I1" s="242"/>
      <c r="J1" s="242"/>
      <c r="K1" s="242"/>
      <c r="L1" s="242"/>
      <c r="M1" s="242"/>
      <c r="N1" s="242"/>
      <c r="O1" s="242"/>
      <c r="P1" s="242"/>
      <c r="Q1" s="242"/>
      <c r="R1" s="242"/>
    </row>
    <row r="2" ht="16.8" spans="1:51">
      <c r="A2" s="18" t="s">
        <v>58</v>
      </c>
      <c r="B2" s="243"/>
      <c r="C2" s="243"/>
      <c r="D2" s="243"/>
      <c r="E2" s="243"/>
      <c r="F2" s="243"/>
      <c r="G2" s="243"/>
      <c r="H2" s="243"/>
      <c r="I2" s="243"/>
      <c r="J2" s="243"/>
      <c r="K2" s="243"/>
      <c r="L2" s="243"/>
      <c r="M2" s="243"/>
      <c r="N2" s="243"/>
      <c r="O2" s="243"/>
      <c r="P2" s="243"/>
      <c r="Q2" s="243"/>
      <c r="R2" s="243"/>
    </row>
    <row r="3" s="238" customFormat="1" ht="24" customHeight="1" spans="1:51">
      <c r="A3" s="362" t="s">
        <v>208</v>
      </c>
      <c r="B3" s="244" t="s">
        <v>59</v>
      </c>
      <c r="C3" s="245">
        <v>41730</v>
      </c>
      <c r="D3" s="245">
        <v>41821</v>
      </c>
      <c r="E3" s="245">
        <v>41913</v>
      </c>
      <c r="F3" s="245">
        <v>42005</v>
      </c>
      <c r="G3" s="245">
        <v>42095</v>
      </c>
      <c r="H3" s="245">
        <v>42186</v>
      </c>
      <c r="I3" s="245">
        <v>42278</v>
      </c>
      <c r="J3" s="245">
        <v>42370</v>
      </c>
      <c r="K3" s="245">
        <v>42461</v>
      </c>
      <c r="L3" s="245">
        <v>42552</v>
      </c>
      <c r="M3" s="245">
        <v>42644</v>
      </c>
      <c r="N3" s="245">
        <v>42736</v>
      </c>
      <c r="O3" s="245">
        <v>42826</v>
      </c>
      <c r="P3" s="245">
        <v>42917</v>
      </c>
      <c r="Q3" s="245">
        <v>43009</v>
      </c>
      <c r="R3" s="245">
        <v>43101</v>
      </c>
      <c r="S3" s="245">
        <v>43191</v>
      </c>
      <c r="T3" s="245">
        <v>43282</v>
      </c>
      <c r="U3" s="245">
        <v>43374</v>
      </c>
      <c r="V3" s="245">
        <v>43466</v>
      </c>
      <c r="W3" s="245">
        <v>43556</v>
      </c>
      <c r="X3" s="245">
        <v>43647</v>
      </c>
      <c r="Y3" s="245">
        <v>43739</v>
      </c>
      <c r="Z3" s="245">
        <v>43831</v>
      </c>
      <c r="AA3" s="245">
        <v>43922</v>
      </c>
      <c r="AB3" s="245">
        <v>44013</v>
      </c>
      <c r="AC3" s="245">
        <v>44105</v>
      </c>
      <c r="AD3" s="245">
        <v>44197</v>
      </c>
      <c r="AE3" s="245">
        <v>44287</v>
      </c>
      <c r="AF3" s="245">
        <v>44378</v>
      </c>
      <c r="AG3" s="245">
        <v>44470</v>
      </c>
      <c r="AH3" s="245">
        <v>44562</v>
      </c>
      <c r="AI3" s="245">
        <v>44652</v>
      </c>
      <c r="AJ3" s="245">
        <v>44743</v>
      </c>
      <c r="AK3" s="245">
        <v>44835</v>
      </c>
      <c r="AL3" s="245">
        <v>44927</v>
      </c>
      <c r="AM3" s="245">
        <v>45017</v>
      </c>
      <c r="AN3" s="245">
        <v>45108</v>
      </c>
      <c r="AO3" s="245">
        <v>45200</v>
      </c>
      <c r="AP3" s="245">
        <v>45292</v>
      </c>
      <c r="AQ3" s="245">
        <v>45383</v>
      </c>
      <c r="AR3" s="245">
        <v>45474</v>
      </c>
      <c r="AS3" s="245">
        <v>45566</v>
      </c>
      <c r="AT3" s="245">
        <v>45658</v>
      </c>
      <c r="AU3" s="245">
        <v>45748</v>
      </c>
      <c r="AV3" s="245">
        <v>45839</v>
      </c>
      <c r="AW3" s="245">
        <v>45931</v>
      </c>
      <c r="AX3" s="245">
        <v>46023</v>
      </c>
      <c r="AY3" s="246">
        <v>46113</v>
      </c>
    </row>
    <row r="4" s="238" customFormat="1" ht="16.8" spans="1:51">
      <c r="A4" s="247" t="s">
        <v>209</v>
      </c>
      <c r="B4" s="248" t="s">
        <v>210</v>
      </c>
      <c r="C4" s="66">
        <v>151504.678852765</v>
      </c>
      <c r="D4" s="66">
        <v>155583.922158574</v>
      </c>
      <c r="E4" s="66">
        <v>155674.878898309</v>
      </c>
      <c r="F4" s="66">
        <v>157114.532270664</v>
      </c>
      <c r="G4" s="66">
        <v>154065.705095175</v>
      </c>
      <c r="H4" s="66">
        <v>155281.005244664</v>
      </c>
      <c r="I4" s="66">
        <v>155284.275234299</v>
      </c>
      <c r="J4" s="66">
        <v>153006.612609611</v>
      </c>
      <c r="K4" s="66">
        <v>153335.143372994</v>
      </c>
      <c r="L4" s="66">
        <v>159864.393962029</v>
      </c>
      <c r="M4" s="66">
        <v>164849.213055287</v>
      </c>
      <c r="N4" s="66">
        <v>163528.492399638</v>
      </c>
      <c r="O4" s="66">
        <v>165292.701039195</v>
      </c>
      <c r="P4" s="66">
        <v>167774.327133275</v>
      </c>
      <c r="Q4" s="66">
        <v>168847.749779521</v>
      </c>
      <c r="R4" s="66">
        <v>167482.716087954</v>
      </c>
      <c r="S4" s="66">
        <v>167755.597133481</v>
      </c>
      <c r="T4" s="66">
        <v>165679.600387896</v>
      </c>
      <c r="U4" s="66">
        <v>162643.826450331</v>
      </c>
      <c r="V4" s="66">
        <v>160331.29182238</v>
      </c>
      <c r="W4" s="66">
        <v>160238.815531205</v>
      </c>
      <c r="X4" s="66">
        <v>160393.969127219</v>
      </c>
      <c r="Y4" s="66">
        <v>160328.624129354</v>
      </c>
      <c r="Z4" s="66">
        <v>159544.217230192</v>
      </c>
      <c r="AA4" s="66">
        <v>155466.741676505</v>
      </c>
      <c r="AB4" s="66">
        <v>160585.792336852</v>
      </c>
      <c r="AC4" s="66">
        <v>161706.536328173</v>
      </c>
      <c r="AD4" s="66">
        <v>163980.074825441</v>
      </c>
      <c r="AE4" s="66">
        <v>163955.094815505</v>
      </c>
      <c r="AF4" s="66">
        <v>166483.080061958</v>
      </c>
      <c r="AG4" s="66">
        <v>165761.723503482</v>
      </c>
      <c r="AH4" s="66">
        <v>164131.074503214</v>
      </c>
      <c r="AI4" s="66">
        <v>159896.77288415</v>
      </c>
      <c r="AJ4" s="66">
        <v>164152.245453574</v>
      </c>
      <c r="AK4" s="66">
        <v>161096.19650189</v>
      </c>
      <c r="AL4" s="66">
        <v>161144.273332499</v>
      </c>
      <c r="AM4" s="66">
        <v>162813.96888748</v>
      </c>
      <c r="AN4" s="66">
        <v>162802.617326411</v>
      </c>
      <c r="AO4" s="66">
        <v>163809.495202615</v>
      </c>
      <c r="AP4" s="66">
        <v>163711.964049239</v>
      </c>
      <c r="AQ4" s="66">
        <v>163952.92616366</v>
      </c>
      <c r="AR4" s="66">
        <v>166853.095507313</v>
      </c>
      <c r="AS4" s="66">
        <v>166367.064362084</v>
      </c>
      <c r="AT4" s="66">
        <v>164677.496974072</v>
      </c>
      <c r="AU4" s="66">
        <v>170037.800782238</v>
      </c>
      <c r="AV4" s="66">
        <v>172547.082968168</v>
      </c>
      <c r="AW4" s="66">
        <v>171558.262372511</v>
      </c>
      <c r="AX4" s="66">
        <v>181841.590363621</v>
      </c>
      <c r="AY4" s="67">
        <v>182778.238991064</v>
      </c>
    </row>
    <row r="5" s="238" customFormat="1" ht="16.8" spans="1:51">
      <c r="A5" s="249" t="s">
        <v>211</v>
      </c>
      <c r="B5" s="250" t="s">
        <v>212</v>
      </c>
      <c r="C5" s="251"/>
      <c r="D5" s="251"/>
      <c r="E5" s="251"/>
      <c r="F5" s="251"/>
      <c r="G5" s="251"/>
      <c r="H5" s="251"/>
      <c r="I5" s="251"/>
      <c r="J5" s="251"/>
      <c r="K5" s="251"/>
      <c r="L5" s="251"/>
      <c r="M5" s="251"/>
      <c r="N5" s="251"/>
      <c r="O5" s="251"/>
      <c r="P5" s="251"/>
      <c r="Q5" s="251"/>
      <c r="R5" s="251"/>
      <c r="S5" s="251"/>
      <c r="T5" s="251"/>
      <c r="U5" s="251"/>
      <c r="V5" s="251"/>
      <c r="W5" s="251"/>
      <c r="X5" s="251"/>
      <c r="Y5" s="251"/>
      <c r="Z5" s="251"/>
      <c r="AA5" s="251"/>
      <c r="AB5" s="251"/>
      <c r="AC5" s="251"/>
      <c r="AD5" s="251"/>
      <c r="AE5" s="251"/>
      <c r="AF5" s="251"/>
      <c r="AG5" s="251"/>
      <c r="AH5" s="251"/>
      <c r="AI5" s="251"/>
      <c r="AJ5" s="251"/>
      <c r="AK5" s="251"/>
      <c r="AL5" s="251"/>
      <c r="AM5" s="251"/>
      <c r="AN5" s="251"/>
      <c r="AO5" s="251"/>
      <c r="AP5" s="251"/>
      <c r="AQ5" s="251"/>
      <c r="AR5" s="251"/>
      <c r="AS5" s="251"/>
      <c r="AT5" s="251"/>
      <c r="AU5" s="251"/>
      <c r="AV5" s="251"/>
      <c r="AW5" s="251"/>
      <c r="AX5" s="251"/>
      <c r="AY5" s="252"/>
    </row>
    <row r="6" s="238" customFormat="1" ht="16.8" spans="1:51">
      <c r="A6" s="253" t="s">
        <v>213</v>
      </c>
      <c r="B6" s="254">
        <v>3</v>
      </c>
      <c r="C6" s="82">
        <v>9277.96310874956</v>
      </c>
      <c r="D6" s="82">
        <v>9867.17253191026</v>
      </c>
      <c r="E6" s="82">
        <v>9291.22381949776</v>
      </c>
      <c r="F6" s="82">
        <v>9713.77106777395</v>
      </c>
      <c r="G6" s="82">
        <v>8085.04130724569</v>
      </c>
      <c r="H6" s="82">
        <v>7796.81159717805</v>
      </c>
      <c r="I6" s="82">
        <v>6429.27479565026</v>
      </c>
      <c r="J6" s="82">
        <v>6260.33162447941</v>
      </c>
      <c r="K6" s="82">
        <v>6238.12790448141</v>
      </c>
      <c r="L6" s="82">
        <v>6326.14599744965</v>
      </c>
      <c r="M6" s="82">
        <v>6733.0899080185</v>
      </c>
      <c r="N6" s="82">
        <v>6560.28630325918</v>
      </c>
      <c r="O6" s="82">
        <v>7052.31743736049</v>
      </c>
      <c r="P6" s="82">
        <v>7193.66026326943</v>
      </c>
      <c r="Q6" s="82">
        <v>7407.53210467502</v>
      </c>
      <c r="R6" s="82">
        <v>7489.18189883237</v>
      </c>
      <c r="S6" s="82">
        <v>8306.19701601408</v>
      </c>
      <c r="T6" s="82">
        <v>8085.95978698249</v>
      </c>
      <c r="U6" s="82">
        <v>8157.06212583412</v>
      </c>
      <c r="V6" s="82">
        <v>8150.45614393518</v>
      </c>
      <c r="W6" s="82">
        <v>8197.30644608414</v>
      </c>
      <c r="X6" s="82">
        <v>8290.64158921021</v>
      </c>
      <c r="Y6" s="82">
        <v>8225.30254147415</v>
      </c>
      <c r="Z6" s="82">
        <v>8801.18626551141</v>
      </c>
      <c r="AA6" s="82">
        <v>8347.72526042673</v>
      </c>
      <c r="AB6" s="82">
        <v>8894.16427048047</v>
      </c>
      <c r="AC6" s="82">
        <v>9151.28295574494</v>
      </c>
      <c r="AD6" s="82">
        <v>9481.01462858172</v>
      </c>
      <c r="AE6" s="82">
        <v>10955.2115281965</v>
      </c>
      <c r="AF6" s="82">
        <v>12243.7711575455</v>
      </c>
      <c r="AG6" s="82">
        <v>11585.0025369502</v>
      </c>
      <c r="AH6" s="82">
        <v>12009.6203005308</v>
      </c>
      <c r="AI6" s="82">
        <v>11720.0568387047</v>
      </c>
      <c r="AJ6" s="82">
        <v>14150.4051857195</v>
      </c>
      <c r="AK6" s="82">
        <v>15527.7599709323</v>
      </c>
      <c r="AL6" s="82">
        <v>16335.6893989344</v>
      </c>
      <c r="AM6" s="82">
        <v>17256.952992826</v>
      </c>
      <c r="AN6" s="82">
        <v>17200.649349562</v>
      </c>
      <c r="AO6" s="82">
        <v>18225.458534215</v>
      </c>
      <c r="AP6" s="82">
        <v>19389.5541498898</v>
      </c>
      <c r="AQ6" s="82">
        <v>19132.2997837552</v>
      </c>
      <c r="AR6" s="82">
        <v>20633.7183844039</v>
      </c>
      <c r="AS6" s="82">
        <v>21269.0289676695</v>
      </c>
      <c r="AT6" s="82">
        <v>19468.7367090683</v>
      </c>
      <c r="AU6" s="82">
        <v>21617.7067600226</v>
      </c>
      <c r="AV6" s="82">
        <v>22418.9675685976</v>
      </c>
      <c r="AW6" s="82">
        <v>20927.8879005766</v>
      </c>
      <c r="AX6" s="82">
        <v>21688.3220196985</v>
      </c>
      <c r="AY6" s="83">
        <v>23576.2133932767</v>
      </c>
    </row>
    <row r="7" s="238" customFormat="1" ht="16.8" spans="1:51">
      <c r="A7" s="253" t="s">
        <v>166</v>
      </c>
      <c r="B7" s="254">
        <v>4</v>
      </c>
      <c r="C7" s="82">
        <v>142226.715744015</v>
      </c>
      <c r="D7" s="82">
        <v>145716.749626664</v>
      </c>
      <c r="E7" s="82">
        <v>146383.655078811</v>
      </c>
      <c r="F7" s="82">
        <v>147400.76120289</v>
      </c>
      <c r="G7" s="82">
        <v>145980.66378793</v>
      </c>
      <c r="H7" s="82">
        <v>147484.193647486</v>
      </c>
      <c r="I7" s="82">
        <v>148855.000438648</v>
      </c>
      <c r="J7" s="82">
        <v>146746.280985132</v>
      </c>
      <c r="K7" s="82">
        <v>147097.015468513</v>
      </c>
      <c r="L7" s="82">
        <v>153538.24796458</v>
      </c>
      <c r="M7" s="82">
        <v>158116.123147268</v>
      </c>
      <c r="N7" s="82">
        <v>156968.206096379</v>
      </c>
      <c r="O7" s="82">
        <v>158240.383601835</v>
      </c>
      <c r="P7" s="82">
        <v>160580.666870005</v>
      </c>
      <c r="Q7" s="82">
        <v>161440.217674846</v>
      </c>
      <c r="R7" s="82">
        <v>159993.534189121</v>
      </c>
      <c r="S7" s="82">
        <v>159449.400117467</v>
      </c>
      <c r="T7" s="82">
        <v>157593.640600914</v>
      </c>
      <c r="U7" s="82">
        <v>154486.764324497</v>
      </c>
      <c r="V7" s="82">
        <v>152180.835678445</v>
      </c>
      <c r="W7" s="82">
        <v>152041.509085121</v>
      </c>
      <c r="X7" s="82">
        <v>152103.327538009</v>
      </c>
      <c r="Y7" s="82">
        <v>152103.32158788</v>
      </c>
      <c r="Z7" s="82">
        <v>150743.030964681</v>
      </c>
      <c r="AA7" s="82">
        <v>147119.016416078</v>
      </c>
      <c r="AB7" s="82">
        <v>151691.628066372</v>
      </c>
      <c r="AC7" s="82">
        <v>152555.253372428</v>
      </c>
      <c r="AD7" s="82">
        <v>154499.060196859</v>
      </c>
      <c r="AE7" s="82">
        <v>152999.883287308</v>
      </c>
      <c r="AF7" s="82">
        <v>154239.308904413</v>
      </c>
      <c r="AG7" s="82">
        <v>154176.720966532</v>
      </c>
      <c r="AH7" s="82">
        <v>152121.454202683</v>
      </c>
      <c r="AI7" s="82">
        <v>148176.716045446</v>
      </c>
      <c r="AJ7" s="82">
        <v>150001.840267854</v>
      </c>
      <c r="AK7" s="82">
        <v>145568.436530958</v>
      </c>
      <c r="AL7" s="82">
        <v>144808.583933564</v>
      </c>
      <c r="AM7" s="82">
        <v>145557.015894654</v>
      </c>
      <c r="AN7" s="82">
        <v>145601.967976849</v>
      </c>
      <c r="AO7" s="82">
        <v>145584.0366684</v>
      </c>
      <c r="AP7" s="82">
        <v>144322.409899349</v>
      </c>
      <c r="AQ7" s="82">
        <v>144820.626379905</v>
      </c>
      <c r="AR7" s="82">
        <v>146219.377122909</v>
      </c>
      <c r="AS7" s="82">
        <v>145098.035394415</v>
      </c>
      <c r="AT7" s="82">
        <v>145208.760265003</v>
      </c>
      <c r="AU7" s="82">
        <v>148420.094022216</v>
      </c>
      <c r="AV7" s="82">
        <v>150128.11539957</v>
      </c>
      <c r="AW7" s="82">
        <v>150630.374471934</v>
      </c>
      <c r="AX7" s="82">
        <v>160153.268343923</v>
      </c>
      <c r="AY7" s="83">
        <v>159202.025597788</v>
      </c>
    </row>
    <row r="8" s="238" customFormat="1" ht="16.8" spans="1:51">
      <c r="A8" s="255" t="s">
        <v>214</v>
      </c>
      <c r="B8" s="254">
        <v>5</v>
      </c>
      <c r="C8" s="82">
        <v>12776.5006135631</v>
      </c>
      <c r="D8" s="82">
        <v>12518.2679707736</v>
      </c>
      <c r="E8" s="82">
        <v>12705.5008794748</v>
      </c>
      <c r="F8" s="82">
        <v>12939.0688304823</v>
      </c>
      <c r="G8" s="82">
        <v>11249.4873143571</v>
      </c>
      <c r="H8" s="82">
        <v>11046.5712974191</v>
      </c>
      <c r="I8" s="82">
        <v>11745.1461038371</v>
      </c>
      <c r="J8" s="82">
        <v>11432.1456805952</v>
      </c>
      <c r="K8" s="82">
        <v>12087.8068640235</v>
      </c>
      <c r="L8" s="82">
        <v>12493.5423458338</v>
      </c>
      <c r="M8" s="82">
        <v>12519.1798345235</v>
      </c>
      <c r="N8" s="82">
        <v>12316.2776978136</v>
      </c>
      <c r="O8" s="82">
        <v>12269.3418404663</v>
      </c>
      <c r="P8" s="82">
        <v>13699.5210932674</v>
      </c>
      <c r="Q8" s="82">
        <v>12947.2366516316</v>
      </c>
      <c r="R8" s="82">
        <v>13754.7514209329</v>
      </c>
      <c r="S8" s="82">
        <v>13999.8772183582</v>
      </c>
      <c r="T8" s="82">
        <v>14513.7982013307</v>
      </c>
      <c r="U8" s="82">
        <v>12742.2851199512</v>
      </c>
      <c r="V8" s="82">
        <v>11875.0119401718</v>
      </c>
      <c r="W8" s="82">
        <v>11819.341384547</v>
      </c>
      <c r="X8" s="82">
        <v>11515.1455659419</v>
      </c>
      <c r="Y8" s="82">
        <v>10932.3729898374</v>
      </c>
      <c r="Z8" s="82">
        <v>9832.8465539454</v>
      </c>
      <c r="AA8" s="82">
        <v>9713.10043521608</v>
      </c>
      <c r="AB8" s="82">
        <v>15109.8872608275</v>
      </c>
      <c r="AC8" s="82">
        <v>10154.8465963986</v>
      </c>
      <c r="AD8" s="82">
        <v>9868.06703140614</v>
      </c>
      <c r="AE8" s="82">
        <v>9735.58846049129</v>
      </c>
      <c r="AF8" s="82">
        <v>9526.67497613371</v>
      </c>
      <c r="AG8" s="82">
        <v>13067.7916268624</v>
      </c>
      <c r="AH8" s="82">
        <v>18108.9740625996</v>
      </c>
      <c r="AI8" s="82">
        <v>19965.687916504</v>
      </c>
      <c r="AJ8" s="82">
        <v>21102.072510818</v>
      </c>
      <c r="AK8" s="82">
        <v>17577.2405576581</v>
      </c>
      <c r="AL8" s="82">
        <v>20619.6087534546</v>
      </c>
      <c r="AM8" s="82">
        <v>20466.8531835729</v>
      </c>
      <c r="AN8" s="82">
        <v>19969.5019554729</v>
      </c>
      <c r="AO8" s="82">
        <v>17220.3202100517</v>
      </c>
      <c r="AP8" s="82">
        <v>15160.9619875919</v>
      </c>
      <c r="AQ8" s="82">
        <v>14974.0955630981</v>
      </c>
      <c r="AR8" s="82">
        <v>16120.8653541572</v>
      </c>
      <c r="AS8" s="82">
        <v>16484.7567090275</v>
      </c>
      <c r="AT8" s="82">
        <v>17805.1681009426</v>
      </c>
      <c r="AU8" s="82">
        <v>21454.8549353089</v>
      </c>
      <c r="AV8" s="82">
        <v>20863.6027580677</v>
      </c>
      <c r="AW8" s="82">
        <v>19817.0410994242</v>
      </c>
      <c r="AX8" s="82">
        <v>21573.263458054</v>
      </c>
      <c r="AY8" s="83">
        <v>19450.5656424497</v>
      </c>
    </row>
    <row r="9" s="238" customFormat="1" ht="16.8" spans="1:51">
      <c r="A9" s="256" t="s">
        <v>215</v>
      </c>
      <c r="B9" s="257" t="s">
        <v>216</v>
      </c>
      <c r="C9" s="258">
        <v>22054.4637223126</v>
      </c>
      <c r="D9" s="258">
        <v>22385.4405026839</v>
      </c>
      <c r="E9" s="258">
        <v>21996.7246989725</v>
      </c>
      <c r="F9" s="258">
        <v>22652.8398982563</v>
      </c>
      <c r="G9" s="258">
        <v>19334.5286216028</v>
      </c>
      <c r="H9" s="258">
        <v>18843.3828945972</v>
      </c>
      <c r="I9" s="258">
        <v>18174.4208994874</v>
      </c>
      <c r="J9" s="258">
        <v>17692.4773050746</v>
      </c>
      <c r="K9" s="258">
        <v>18325.9347685049</v>
      </c>
      <c r="L9" s="258">
        <v>18819.6883432835</v>
      </c>
      <c r="M9" s="258">
        <v>19252.269742542</v>
      </c>
      <c r="N9" s="258">
        <v>18876.5640010728</v>
      </c>
      <c r="O9" s="258">
        <v>19321.6592778268</v>
      </c>
      <c r="P9" s="258">
        <v>20893.1813565368</v>
      </c>
      <c r="Q9" s="258">
        <v>20354.7687563066</v>
      </c>
      <c r="R9" s="258">
        <v>21243.9333197653</v>
      </c>
      <c r="S9" s="258">
        <v>22306.0742343722</v>
      </c>
      <c r="T9" s="258">
        <v>22599.7579883131</v>
      </c>
      <c r="U9" s="258">
        <v>20899.3472457853</v>
      </c>
      <c r="V9" s="258">
        <v>20025.4680841069</v>
      </c>
      <c r="W9" s="258">
        <v>20016.6478306312</v>
      </c>
      <c r="X9" s="258">
        <v>19805.7871551521</v>
      </c>
      <c r="Y9" s="258">
        <v>19157.6755313116</v>
      </c>
      <c r="Z9" s="258">
        <v>18634.0328194568</v>
      </c>
      <c r="AA9" s="258">
        <v>18060.8256956428</v>
      </c>
      <c r="AB9" s="258">
        <v>24004.051531308</v>
      </c>
      <c r="AC9" s="258">
        <v>19306.1295521435</v>
      </c>
      <c r="AD9" s="258">
        <v>19349.0816599879</v>
      </c>
      <c r="AE9" s="258">
        <v>20690.7999886878</v>
      </c>
      <c r="AF9" s="258">
        <v>21770.4461336792</v>
      </c>
      <c r="AG9" s="258">
        <v>24652.7941638126</v>
      </c>
      <c r="AH9" s="258">
        <v>30118.5943631304</v>
      </c>
      <c r="AI9" s="258">
        <v>31685.7447552087</v>
      </c>
      <c r="AJ9" s="258">
        <v>35252.4776965376</v>
      </c>
      <c r="AK9" s="258">
        <v>33105.0005285904</v>
      </c>
      <c r="AL9" s="258">
        <v>36955.298152389</v>
      </c>
      <c r="AM9" s="258">
        <v>37723.8061763989</v>
      </c>
      <c r="AN9" s="258">
        <v>37170.151305035</v>
      </c>
      <c r="AO9" s="258">
        <v>35445.7787442666</v>
      </c>
      <c r="AP9" s="258">
        <v>34550.5161374816</v>
      </c>
      <c r="AQ9" s="258">
        <v>34106.3953468533</v>
      </c>
      <c r="AR9" s="258">
        <v>36754.5837385611</v>
      </c>
      <c r="AS9" s="258">
        <v>37753.785676697</v>
      </c>
      <c r="AT9" s="258">
        <v>37273.9048100109</v>
      </c>
      <c r="AU9" s="258">
        <v>43072.5616953315</v>
      </c>
      <c r="AV9" s="258">
        <v>43282.5703266654</v>
      </c>
      <c r="AW9" s="258">
        <v>40744.9290000009</v>
      </c>
      <c r="AX9" s="258">
        <v>43261.5854777525</v>
      </c>
      <c r="AY9" s="259">
        <v>43026.7790357264</v>
      </c>
    </row>
    <row r="10" s="238" customFormat="1" ht="16.8" spans="1:51">
      <c r="A10" s="249" t="s">
        <v>217</v>
      </c>
      <c r="B10" s="250" t="s">
        <v>218</v>
      </c>
      <c r="C10" s="251"/>
      <c r="D10" s="251"/>
      <c r="E10" s="251"/>
      <c r="F10" s="251"/>
      <c r="G10" s="251"/>
      <c r="H10" s="251"/>
      <c r="I10" s="251"/>
      <c r="J10" s="251"/>
      <c r="K10" s="251"/>
      <c r="L10" s="251"/>
      <c r="M10" s="251"/>
      <c r="N10" s="251"/>
      <c r="O10" s="251"/>
      <c r="P10" s="251"/>
      <c r="Q10" s="251"/>
      <c r="R10" s="251"/>
      <c r="S10" s="251"/>
      <c r="T10" s="251"/>
      <c r="U10" s="251"/>
      <c r="V10" s="251"/>
      <c r="W10" s="251"/>
      <c r="X10" s="251"/>
      <c r="Y10" s="251"/>
      <c r="Z10" s="251"/>
      <c r="AA10" s="251"/>
      <c r="AB10" s="251"/>
      <c r="AC10" s="251"/>
      <c r="AD10" s="251"/>
      <c r="AE10" s="251"/>
      <c r="AF10" s="251"/>
      <c r="AG10" s="251"/>
      <c r="AH10" s="251"/>
      <c r="AI10" s="251"/>
      <c r="AJ10" s="251"/>
      <c r="AK10" s="251"/>
      <c r="AL10" s="251"/>
      <c r="AM10" s="251"/>
      <c r="AN10" s="251"/>
      <c r="AO10" s="251"/>
      <c r="AP10" s="251"/>
      <c r="AQ10" s="251"/>
      <c r="AR10" s="251"/>
      <c r="AS10" s="251"/>
      <c r="AT10" s="251"/>
      <c r="AU10" s="251"/>
      <c r="AV10" s="251"/>
      <c r="AW10" s="251"/>
      <c r="AX10" s="251"/>
      <c r="AY10" s="252"/>
    </row>
    <row r="11" s="238" customFormat="1" ht="16.8" spans="1:51">
      <c r="A11" s="253" t="s">
        <v>168</v>
      </c>
      <c r="B11" s="254">
        <v>8</v>
      </c>
      <c r="C11" s="82">
        <v>5066.24624741815</v>
      </c>
      <c r="D11" s="82">
        <v>5045.17680993897</v>
      </c>
      <c r="E11" s="82">
        <v>5116.63679150467</v>
      </c>
      <c r="F11" s="82">
        <v>7333.74967981397</v>
      </c>
      <c r="G11" s="82">
        <v>7105.98846941649</v>
      </c>
      <c r="H11" s="82">
        <v>7005.69565132796</v>
      </c>
      <c r="I11" s="82">
        <v>10319.7294920222</v>
      </c>
      <c r="J11" s="82">
        <v>11313.1932274146</v>
      </c>
      <c r="K11" s="82">
        <v>11337.0674174784</v>
      </c>
      <c r="L11" s="82">
        <v>12696.8183238309</v>
      </c>
      <c r="M11" s="82">
        <v>12698.9643039249</v>
      </c>
      <c r="N11" s="82">
        <v>12092.074558815</v>
      </c>
      <c r="O11" s="82">
        <v>12170.192362692</v>
      </c>
      <c r="P11" s="82">
        <v>12145.1843177229</v>
      </c>
      <c r="Q11" s="82">
        <v>12313.3006657318</v>
      </c>
      <c r="R11" s="82">
        <v>12067.4755305913</v>
      </c>
      <c r="S11" s="82">
        <v>11137.8899806308</v>
      </c>
      <c r="T11" s="82">
        <v>10690.3995377038</v>
      </c>
      <c r="U11" s="82">
        <v>10651.4719545011</v>
      </c>
      <c r="V11" s="82">
        <v>11554.7883757119</v>
      </c>
      <c r="W11" s="82">
        <v>11488.7836306026</v>
      </c>
      <c r="X11" s="82">
        <v>11888.7189522916</v>
      </c>
      <c r="Y11" s="82">
        <v>12793.6127849887</v>
      </c>
      <c r="Z11" s="82">
        <v>12417.6004208112</v>
      </c>
      <c r="AA11" s="82">
        <v>11428.3621170358</v>
      </c>
      <c r="AB11" s="82">
        <v>11834.5200314614</v>
      </c>
      <c r="AC11" s="82">
        <v>12295.0627084248</v>
      </c>
      <c r="AD11" s="82">
        <v>13885.0411239955</v>
      </c>
      <c r="AE11" s="82">
        <v>14471.5814384709</v>
      </c>
      <c r="AF11" s="82">
        <v>15682.0864717818</v>
      </c>
      <c r="AG11" s="82">
        <v>15936.661556976</v>
      </c>
      <c r="AH11" s="82">
        <v>15859.3242384243</v>
      </c>
      <c r="AI11" s="82">
        <v>14153.2440769724</v>
      </c>
      <c r="AJ11" s="82">
        <v>14283.3134880646</v>
      </c>
      <c r="AK11" s="82">
        <v>12939.0952184738</v>
      </c>
      <c r="AL11" s="82">
        <v>13389.9916694499</v>
      </c>
      <c r="AM11" s="82">
        <v>12857.1489491679</v>
      </c>
      <c r="AN11" s="82">
        <v>12686.1814895929</v>
      </c>
      <c r="AO11" s="82">
        <v>12610.2910872024</v>
      </c>
      <c r="AP11" s="82">
        <v>11809.4132146755</v>
      </c>
      <c r="AQ11" s="82">
        <v>11227.0582993311</v>
      </c>
      <c r="AR11" s="82">
        <v>10883.2709686834</v>
      </c>
      <c r="AS11" s="82">
        <v>11660.3781465017</v>
      </c>
      <c r="AT11" s="82">
        <v>12773.4974302044</v>
      </c>
      <c r="AU11" s="82">
        <v>12526.6650757526</v>
      </c>
      <c r="AV11" s="82">
        <v>12475.6358704591</v>
      </c>
      <c r="AW11" s="82">
        <v>14035.643509905</v>
      </c>
      <c r="AX11" s="82">
        <v>15999.5247587659</v>
      </c>
      <c r="AY11" s="83">
        <v>16541.4885421242</v>
      </c>
    </row>
    <row r="12" s="238" customFormat="1" ht="16.8" spans="1:51">
      <c r="A12" s="253" t="s">
        <v>178</v>
      </c>
      <c r="B12" s="254">
        <v>9</v>
      </c>
      <c r="C12" s="82">
        <v>870.420720619837</v>
      </c>
      <c r="D12" s="82">
        <v>805.718784224843</v>
      </c>
      <c r="E12" s="82">
        <v>857.488802416965</v>
      </c>
      <c r="F12" s="82">
        <v>953.65207568363</v>
      </c>
      <c r="G12" s="82">
        <v>760.265129540431</v>
      </c>
      <c r="H12" s="82">
        <v>779.21428383957</v>
      </c>
      <c r="I12" s="82">
        <v>875.294888978943</v>
      </c>
      <c r="J12" s="82">
        <v>898.823690062818</v>
      </c>
      <c r="K12" s="82">
        <v>892.036907334685</v>
      </c>
      <c r="L12" s="82">
        <v>893.993565294045</v>
      </c>
      <c r="M12" s="82">
        <v>739.385769292514</v>
      </c>
      <c r="N12" s="82">
        <v>756.299818826917</v>
      </c>
      <c r="O12" s="82">
        <v>1120.38220279148</v>
      </c>
      <c r="P12" s="82">
        <v>1097.84990109483</v>
      </c>
      <c r="Q12" s="82">
        <v>869.738079352559</v>
      </c>
      <c r="R12" s="82">
        <v>926.315338222423</v>
      </c>
      <c r="S12" s="82">
        <v>1899.18094653111</v>
      </c>
      <c r="T12" s="82">
        <v>1188.56974245464</v>
      </c>
      <c r="U12" s="82">
        <v>774.577928855583</v>
      </c>
      <c r="V12" s="82">
        <v>770.396372451399</v>
      </c>
      <c r="W12" s="82">
        <v>938.789306559557</v>
      </c>
      <c r="X12" s="82">
        <v>759.411608895253</v>
      </c>
      <c r="Y12" s="82">
        <v>634.037836002358</v>
      </c>
      <c r="Z12" s="82">
        <v>891.101160160978</v>
      </c>
      <c r="AA12" s="82">
        <v>949.885200695225</v>
      </c>
      <c r="AB12" s="82">
        <v>825.909203652641</v>
      </c>
      <c r="AC12" s="82">
        <v>805.595509154658</v>
      </c>
      <c r="AD12" s="82">
        <v>1329.36925308143</v>
      </c>
      <c r="AE12" s="82">
        <v>1835.99147315803</v>
      </c>
      <c r="AF12" s="82">
        <v>1714.69068105253</v>
      </c>
      <c r="AG12" s="82">
        <v>3051.34204159082</v>
      </c>
      <c r="AH12" s="82">
        <v>2535.76657868516</v>
      </c>
      <c r="AI12" s="82">
        <v>2519.33428124251</v>
      </c>
      <c r="AJ12" s="82">
        <v>2214.31428565088</v>
      </c>
      <c r="AK12" s="82">
        <v>2043.62769559036</v>
      </c>
      <c r="AL12" s="82">
        <v>2171.80232789685</v>
      </c>
      <c r="AM12" s="82">
        <v>2217.89527204847</v>
      </c>
      <c r="AN12" s="82">
        <v>2065.09306953545</v>
      </c>
      <c r="AO12" s="82">
        <v>2097.62940993047</v>
      </c>
      <c r="AP12" s="82">
        <v>2233.06972452529</v>
      </c>
      <c r="AQ12" s="82">
        <v>2094.17583354873</v>
      </c>
      <c r="AR12" s="82">
        <v>2035.99040246028</v>
      </c>
      <c r="AS12" s="82">
        <v>2204.01228452277</v>
      </c>
      <c r="AT12" s="82">
        <v>2469.96515625997</v>
      </c>
      <c r="AU12" s="82">
        <v>2212.74130394809</v>
      </c>
      <c r="AV12" s="82">
        <v>2205.85341922465</v>
      </c>
      <c r="AW12" s="82">
        <v>2165.84445454182</v>
      </c>
      <c r="AX12" s="82">
        <v>2594.43236279385</v>
      </c>
      <c r="AY12" s="83">
        <v>2381.79133809018</v>
      </c>
    </row>
    <row r="13" s="238" customFormat="1" ht="16.8" spans="1:51">
      <c r="A13" s="253" t="s">
        <v>182</v>
      </c>
      <c r="B13" s="254">
        <v>10</v>
      </c>
      <c r="C13" s="82">
        <v>10571.264504452</v>
      </c>
      <c r="D13" s="82">
        <v>10679.9373480463</v>
      </c>
      <c r="E13" s="82">
        <v>10556.522670224</v>
      </c>
      <c r="F13" s="82">
        <v>10119.4812149366</v>
      </c>
      <c r="G13" s="82">
        <v>9292.80327769664</v>
      </c>
      <c r="H13" s="82">
        <v>9666.47400346551</v>
      </c>
      <c r="I13" s="82">
        <v>8575.4406085487</v>
      </c>
      <c r="J13" s="82">
        <v>7972.77923699448</v>
      </c>
      <c r="K13" s="82">
        <v>7697.6335256911</v>
      </c>
      <c r="L13" s="82">
        <v>7667.09868413821</v>
      </c>
      <c r="M13" s="82">
        <v>7562.13800447343</v>
      </c>
      <c r="N13" s="82">
        <v>7153.26126450875</v>
      </c>
      <c r="O13" s="82">
        <v>6662.27549040359</v>
      </c>
      <c r="P13" s="82">
        <v>6168.08242168406</v>
      </c>
      <c r="Q13" s="82">
        <v>6289.00292562684</v>
      </c>
      <c r="R13" s="82">
        <v>6501.87398213602</v>
      </c>
      <c r="S13" s="82">
        <v>5933.79933408682</v>
      </c>
      <c r="T13" s="82">
        <v>6067.26266989887</v>
      </c>
      <c r="U13" s="82">
        <v>5750.12490752756</v>
      </c>
      <c r="V13" s="82">
        <v>5752.02697492118</v>
      </c>
      <c r="W13" s="82">
        <v>5248.53594641779</v>
      </c>
      <c r="X13" s="82">
        <v>5112.68183375921</v>
      </c>
      <c r="Y13" s="82">
        <v>4590.20346640778</v>
      </c>
      <c r="Z13" s="82">
        <v>4818.12599383348</v>
      </c>
      <c r="AA13" s="82">
        <v>4649.21024416951</v>
      </c>
      <c r="AB13" s="82">
        <v>5068.05278722113</v>
      </c>
      <c r="AC13" s="82">
        <v>5053.47191754121</v>
      </c>
      <c r="AD13" s="82">
        <v>4837.42886895857</v>
      </c>
      <c r="AE13" s="82">
        <v>4978.75743669419</v>
      </c>
      <c r="AF13" s="82">
        <v>5975.13640903738</v>
      </c>
      <c r="AG13" s="82">
        <v>5735.06814950779</v>
      </c>
      <c r="AH13" s="82">
        <v>5493.81955353032</v>
      </c>
      <c r="AI13" s="82">
        <v>8225.29131210403</v>
      </c>
      <c r="AJ13" s="82">
        <v>9675.59964362868</v>
      </c>
      <c r="AK13" s="82">
        <v>8006.33299641418</v>
      </c>
      <c r="AL13" s="82">
        <v>9675.42016646691</v>
      </c>
      <c r="AM13" s="82">
        <v>10616.6821713619</v>
      </c>
      <c r="AN13" s="82">
        <v>10162.5856812176</v>
      </c>
      <c r="AO13" s="82">
        <v>10631.1194690944</v>
      </c>
      <c r="AP13" s="82">
        <v>11202.2521644257</v>
      </c>
      <c r="AQ13" s="82">
        <v>12530.8126041134</v>
      </c>
      <c r="AR13" s="82">
        <v>14323.0719688706</v>
      </c>
      <c r="AS13" s="82">
        <v>14724.9303933164</v>
      </c>
      <c r="AT13" s="82">
        <v>13120.3933492856</v>
      </c>
      <c r="AU13" s="82">
        <v>14570.021783384</v>
      </c>
      <c r="AV13" s="82">
        <v>15634.1572787829</v>
      </c>
      <c r="AW13" s="82">
        <v>15977.3317632022</v>
      </c>
      <c r="AX13" s="82">
        <v>18287.4101673654</v>
      </c>
      <c r="AY13" s="83">
        <v>19152.1401450582</v>
      </c>
    </row>
    <row r="14" s="238" customFormat="1" ht="16.8" spans="1:51">
      <c r="A14" s="253" t="s">
        <v>186</v>
      </c>
      <c r="B14" s="254">
        <v>11</v>
      </c>
      <c r="C14" s="82">
        <v>59077.4744988192</v>
      </c>
      <c r="D14" s="82">
        <v>63052.0797149083</v>
      </c>
      <c r="E14" s="82">
        <v>58350.071504163</v>
      </c>
      <c r="F14" s="82">
        <v>59572.81981023</v>
      </c>
      <c r="G14" s="82">
        <v>41918.5586085217</v>
      </c>
      <c r="H14" s="82">
        <v>41133.1243360314</v>
      </c>
      <c r="I14" s="82">
        <v>39180.1609547488</v>
      </c>
      <c r="J14" s="82">
        <v>36558.3062851393</v>
      </c>
      <c r="K14" s="82">
        <v>36473.8193024898</v>
      </c>
      <c r="L14" s="82">
        <v>39102.7806687661</v>
      </c>
      <c r="M14" s="82">
        <v>39528.624137636</v>
      </c>
      <c r="N14" s="82">
        <v>38838.8141974876</v>
      </c>
      <c r="O14" s="82">
        <v>40080.9477433082</v>
      </c>
      <c r="P14" s="82">
        <v>42163.0730327729</v>
      </c>
      <c r="Q14" s="82">
        <v>43310.0016170631</v>
      </c>
      <c r="R14" s="82">
        <v>43614.362957004</v>
      </c>
      <c r="S14" s="82">
        <v>43202.9963522323</v>
      </c>
      <c r="T14" s="82">
        <v>42884.0448278391</v>
      </c>
      <c r="U14" s="82">
        <v>41306.0051094467</v>
      </c>
      <c r="V14" s="82">
        <v>39661.6788757121</v>
      </c>
      <c r="W14" s="82">
        <v>39020.3350376249</v>
      </c>
      <c r="X14" s="82">
        <v>39661.8458322732</v>
      </c>
      <c r="Y14" s="82">
        <v>41013.0293719552</v>
      </c>
      <c r="Z14" s="82">
        <v>41040.5467653864</v>
      </c>
      <c r="AA14" s="82">
        <v>37404.8104746043</v>
      </c>
      <c r="AB14" s="82">
        <v>39737.737914517</v>
      </c>
      <c r="AC14" s="82">
        <v>40701.0200719619</v>
      </c>
      <c r="AD14" s="82">
        <v>41388.0271394055</v>
      </c>
      <c r="AE14" s="82">
        <v>41412.2559971814</v>
      </c>
      <c r="AF14" s="82">
        <v>42662.1342700866</v>
      </c>
      <c r="AG14" s="82">
        <v>42908.3831254075</v>
      </c>
      <c r="AH14" s="82">
        <v>44013.3962125738</v>
      </c>
      <c r="AI14" s="82">
        <v>40543.9654318312</v>
      </c>
      <c r="AJ14" s="82">
        <v>43591.5111012298</v>
      </c>
      <c r="AK14" s="82">
        <v>43752.1732954117</v>
      </c>
      <c r="AL14" s="82">
        <v>42227.3018366849</v>
      </c>
      <c r="AM14" s="82">
        <v>43265.5040329016</v>
      </c>
      <c r="AN14" s="82">
        <v>43768.6142150655</v>
      </c>
      <c r="AO14" s="82">
        <v>45004.5498968346</v>
      </c>
      <c r="AP14" s="82">
        <v>45463.4627579125</v>
      </c>
      <c r="AQ14" s="82">
        <v>45172.1558711218</v>
      </c>
      <c r="AR14" s="82">
        <v>45898.5634586388</v>
      </c>
      <c r="AS14" s="82">
        <v>45701.4763107736</v>
      </c>
      <c r="AT14" s="82">
        <v>45172.7172853918</v>
      </c>
      <c r="AU14" s="82">
        <v>48210.2824102237</v>
      </c>
      <c r="AV14" s="82">
        <v>50150.6595507711</v>
      </c>
      <c r="AW14" s="82">
        <v>50671.6487759319</v>
      </c>
      <c r="AX14" s="82">
        <v>55062.84713995</v>
      </c>
      <c r="AY14" s="83">
        <v>57324.4424257917</v>
      </c>
    </row>
    <row r="15" s="238" customFormat="1" ht="16.8" spans="1:51">
      <c r="A15" s="260" t="s">
        <v>195</v>
      </c>
      <c r="B15" s="261">
        <v>12</v>
      </c>
      <c r="C15" s="82">
        <v>75919.2728814556</v>
      </c>
      <c r="D15" s="82">
        <v>76001.0095014555</v>
      </c>
      <c r="E15" s="82">
        <v>80794.15913</v>
      </c>
      <c r="F15" s="82">
        <v>79134.82949</v>
      </c>
      <c r="G15" s="82">
        <v>94988.08961</v>
      </c>
      <c r="H15" s="82">
        <v>96696.49697</v>
      </c>
      <c r="I15" s="82">
        <v>96333.64929</v>
      </c>
      <c r="J15" s="82">
        <v>96263.51017</v>
      </c>
      <c r="K15" s="82">
        <v>96934.58622</v>
      </c>
      <c r="L15" s="82">
        <v>99503.70272</v>
      </c>
      <c r="M15" s="82">
        <v>104320.10083996</v>
      </c>
      <c r="N15" s="82">
        <v>104688.04256</v>
      </c>
      <c r="O15" s="82">
        <v>105258.90324</v>
      </c>
      <c r="P15" s="82">
        <v>106200.13746</v>
      </c>
      <c r="Q15" s="82">
        <v>106065.706491746</v>
      </c>
      <c r="R15" s="82">
        <v>104372.68828</v>
      </c>
      <c r="S15" s="82">
        <v>105581.73052</v>
      </c>
      <c r="T15" s="82">
        <v>104849.32361</v>
      </c>
      <c r="U15" s="82">
        <v>104161.64655</v>
      </c>
      <c r="V15" s="82">
        <v>102592.401223583</v>
      </c>
      <c r="W15" s="82">
        <v>103542.37161</v>
      </c>
      <c r="X15" s="82">
        <v>102971.3109</v>
      </c>
      <c r="Y15" s="82">
        <v>101297.74067</v>
      </c>
      <c r="Z15" s="82">
        <v>100376.84289</v>
      </c>
      <c r="AA15" s="82">
        <v>101034.47364</v>
      </c>
      <c r="AB15" s="82">
        <v>103119.5724</v>
      </c>
      <c r="AC15" s="82">
        <v>102851.38612109</v>
      </c>
      <c r="AD15" s="82">
        <v>102540.20844</v>
      </c>
      <c r="AE15" s="82">
        <v>101256.50847</v>
      </c>
      <c r="AF15" s="82">
        <v>100449.03223</v>
      </c>
      <c r="AG15" s="82">
        <v>98130.26863</v>
      </c>
      <c r="AH15" s="82">
        <v>96228.76792</v>
      </c>
      <c r="AI15" s="82">
        <v>94454.937782</v>
      </c>
      <c r="AJ15" s="82">
        <v>94387.506935</v>
      </c>
      <c r="AK15" s="82">
        <v>94354.967296</v>
      </c>
      <c r="AL15" s="82">
        <v>93679.757332</v>
      </c>
      <c r="AM15" s="82">
        <v>93856.738462</v>
      </c>
      <c r="AN15" s="82">
        <v>94120.142871</v>
      </c>
      <c r="AO15" s="82">
        <v>93465.9053395533</v>
      </c>
      <c r="AP15" s="82">
        <v>93003.7661877</v>
      </c>
      <c r="AQ15" s="82">
        <v>92928.7235555446</v>
      </c>
      <c r="AR15" s="82">
        <v>93712.19870866</v>
      </c>
      <c r="AS15" s="82">
        <v>92076.26722697</v>
      </c>
      <c r="AT15" s="82">
        <v>91140.92375293</v>
      </c>
      <c r="AU15" s="82">
        <v>92518.09020893</v>
      </c>
      <c r="AV15" s="82">
        <v>92080.77684893</v>
      </c>
      <c r="AW15" s="82">
        <v>88707.79386893</v>
      </c>
      <c r="AX15" s="82">
        <v>89897.3759347462</v>
      </c>
      <c r="AY15" s="83">
        <v>87378.37654</v>
      </c>
    </row>
    <row r="16" s="238" customFormat="1" ht="15.75" customHeight="1" spans="1:51">
      <c r="A16" s="262" t="s">
        <v>219</v>
      </c>
      <c r="B16" s="263" t="s">
        <v>220</v>
      </c>
      <c r="C16" s="73">
        <v>75585.4059713092</v>
      </c>
      <c r="D16" s="73">
        <v>79582.9126571184</v>
      </c>
      <c r="E16" s="73">
        <v>74880.7197683087</v>
      </c>
      <c r="F16" s="73">
        <v>77979.7027806642</v>
      </c>
      <c r="G16" s="73">
        <v>59077.6154851753</v>
      </c>
      <c r="H16" s="73">
        <v>58584.5082746644</v>
      </c>
      <c r="I16" s="73">
        <v>58950.6259442987</v>
      </c>
      <c r="J16" s="73">
        <v>56743.1024396112</v>
      </c>
      <c r="K16" s="73">
        <v>56400.557152994</v>
      </c>
      <c r="L16" s="73">
        <v>60360.6912420292</v>
      </c>
      <c r="M16" s="73">
        <v>60529.1122153269</v>
      </c>
      <c r="N16" s="73">
        <v>58840.4498396383</v>
      </c>
      <c r="O16" s="73">
        <v>60033.7977991953</v>
      </c>
      <c r="P16" s="73">
        <v>61574.1896732747</v>
      </c>
      <c r="Q16" s="73">
        <v>62782.0432877743</v>
      </c>
      <c r="R16" s="73">
        <v>63110.0278079538</v>
      </c>
      <c r="S16" s="73">
        <v>62173.8666134811</v>
      </c>
      <c r="T16" s="73">
        <v>60830.2767778964</v>
      </c>
      <c r="U16" s="73">
        <v>58482.179900331</v>
      </c>
      <c r="V16" s="73">
        <v>57738.8905987966</v>
      </c>
      <c r="W16" s="73">
        <v>56696.4439212049</v>
      </c>
      <c r="X16" s="73">
        <v>57422.6582272192</v>
      </c>
      <c r="Y16" s="73">
        <v>59030.883459354</v>
      </c>
      <c r="Z16" s="73">
        <v>59167.3743401921</v>
      </c>
      <c r="AA16" s="73">
        <v>54432.2680365047</v>
      </c>
      <c r="AB16" s="73">
        <v>57466.2199368522</v>
      </c>
      <c r="AC16" s="73">
        <v>58855.1502070825</v>
      </c>
      <c r="AD16" s="73">
        <v>61439.866385441</v>
      </c>
      <c r="AE16" s="73">
        <v>62698.5863455045</v>
      </c>
      <c r="AF16" s="73">
        <v>66034.0478319584</v>
      </c>
      <c r="AG16" s="73">
        <v>67631.4548734821</v>
      </c>
      <c r="AH16" s="73">
        <v>67902.3065832136</v>
      </c>
      <c r="AI16" s="73">
        <v>65441.8351021502</v>
      </c>
      <c r="AJ16" s="73">
        <v>69764.7385185739</v>
      </c>
      <c r="AK16" s="73">
        <v>66741.22920589</v>
      </c>
      <c r="AL16" s="73">
        <v>67464.5160004986</v>
      </c>
      <c r="AM16" s="73">
        <v>68957.23042548</v>
      </c>
      <c r="AN16" s="73">
        <v>68682.4744554114</v>
      </c>
      <c r="AO16" s="73">
        <v>70343.5898630618</v>
      </c>
      <c r="AP16" s="73">
        <v>70708.1978615391</v>
      </c>
      <c r="AQ16" s="73">
        <v>71024.202608115</v>
      </c>
      <c r="AR16" s="73">
        <v>73140.8967986531</v>
      </c>
      <c r="AS16" s="73">
        <v>74290.7971351145</v>
      </c>
      <c r="AT16" s="73">
        <v>73536.5732211417</v>
      </c>
      <c r="AU16" s="73">
        <v>77519.7105733084</v>
      </c>
      <c r="AV16" s="73">
        <v>80466.3061192377</v>
      </c>
      <c r="AW16" s="73">
        <v>82850.4685035809</v>
      </c>
      <c r="AX16" s="73">
        <v>91944.2144288751</v>
      </c>
      <c r="AY16" s="74">
        <v>95399.8624510642</v>
      </c>
    </row>
    <row r="17" s="238" customFormat="1" ht="16.8" spans="1:51">
      <c r="A17" s="249" t="s">
        <v>221</v>
      </c>
      <c r="B17" s="250" t="s">
        <v>222</v>
      </c>
      <c r="C17" s="251"/>
      <c r="D17" s="251"/>
      <c r="E17" s="251"/>
      <c r="F17" s="251"/>
      <c r="G17" s="251"/>
      <c r="H17" s="251"/>
      <c r="I17" s="251"/>
      <c r="J17" s="251"/>
      <c r="K17" s="251"/>
      <c r="L17" s="251"/>
      <c r="M17" s="251"/>
      <c r="N17" s="251"/>
      <c r="O17" s="251"/>
      <c r="P17" s="251"/>
      <c r="Q17" s="251"/>
      <c r="R17" s="251"/>
      <c r="S17" s="251"/>
      <c r="T17" s="251"/>
      <c r="U17" s="251"/>
      <c r="V17" s="251"/>
      <c r="W17" s="251"/>
      <c r="X17" s="251"/>
      <c r="Y17" s="251"/>
      <c r="Z17" s="251"/>
      <c r="AA17" s="251"/>
      <c r="AB17" s="251"/>
      <c r="AC17" s="251"/>
      <c r="AD17" s="251"/>
      <c r="AE17" s="251"/>
      <c r="AF17" s="251"/>
      <c r="AG17" s="251"/>
      <c r="AH17" s="251"/>
      <c r="AI17" s="251"/>
      <c r="AJ17" s="251"/>
      <c r="AK17" s="251"/>
      <c r="AL17" s="251"/>
      <c r="AM17" s="251"/>
      <c r="AN17" s="251"/>
      <c r="AO17" s="251"/>
      <c r="AP17" s="251"/>
      <c r="AQ17" s="251"/>
      <c r="AR17" s="251"/>
      <c r="AS17" s="251"/>
      <c r="AT17" s="251"/>
      <c r="AU17" s="251"/>
      <c r="AV17" s="251"/>
      <c r="AW17" s="251"/>
      <c r="AX17" s="251"/>
      <c r="AY17" s="252"/>
    </row>
    <row r="18" s="238" customFormat="1" ht="16.8" spans="1:51">
      <c r="A18" s="260" t="s">
        <v>223</v>
      </c>
      <c r="B18" s="261">
        <v>15</v>
      </c>
      <c r="C18" s="82">
        <v>5936.66696803799</v>
      </c>
      <c r="D18" s="82">
        <v>5850.89559416381</v>
      </c>
      <c r="E18" s="82">
        <v>5974.12559392164</v>
      </c>
      <c r="F18" s="82">
        <v>8287.4017554976</v>
      </c>
      <c r="G18" s="82">
        <v>7866.25359895692</v>
      </c>
      <c r="H18" s="82">
        <v>7784.90993516753</v>
      </c>
      <c r="I18" s="82">
        <v>11195.0243810012</v>
      </c>
      <c r="J18" s="82">
        <v>12212.0169174774</v>
      </c>
      <c r="K18" s="82">
        <v>12229.1043248131</v>
      </c>
      <c r="L18" s="82">
        <v>13590.8118891249</v>
      </c>
      <c r="M18" s="82">
        <v>13438.3500732175</v>
      </c>
      <c r="N18" s="82">
        <v>12848.3743776419</v>
      </c>
      <c r="O18" s="82">
        <v>13290.5745654835</v>
      </c>
      <c r="P18" s="82">
        <v>13243.0342188177</v>
      </c>
      <c r="Q18" s="82">
        <v>13183.0387450844</v>
      </c>
      <c r="R18" s="82">
        <v>12993.7908688138</v>
      </c>
      <c r="S18" s="82">
        <v>13037.0709271619</v>
      </c>
      <c r="T18" s="82">
        <v>11878.9692801584</v>
      </c>
      <c r="U18" s="82">
        <v>11426.0498833567</v>
      </c>
      <c r="V18" s="82">
        <v>12325.1847481633</v>
      </c>
      <c r="W18" s="82">
        <v>12427.5729371622</v>
      </c>
      <c r="X18" s="82">
        <v>12648.1305611869</v>
      </c>
      <c r="Y18" s="82">
        <v>13427.6506209911</v>
      </c>
      <c r="Z18" s="82">
        <v>13308.7015809722</v>
      </c>
      <c r="AA18" s="82">
        <v>12378.247317731</v>
      </c>
      <c r="AB18" s="82">
        <v>12660.429235114</v>
      </c>
      <c r="AC18" s="82">
        <v>13100.6582175794</v>
      </c>
      <c r="AD18" s="82">
        <v>15214.410377077</v>
      </c>
      <c r="AE18" s="82">
        <v>16307.572911629</v>
      </c>
      <c r="AF18" s="82">
        <v>17396.7771528344</v>
      </c>
      <c r="AG18" s="82">
        <v>18988.0035985668</v>
      </c>
      <c r="AH18" s="82">
        <v>18395.0908171094</v>
      </c>
      <c r="AI18" s="82">
        <v>16672.5783582149</v>
      </c>
      <c r="AJ18" s="82">
        <v>16497.6277737154</v>
      </c>
      <c r="AK18" s="82">
        <v>14982.7229140642</v>
      </c>
      <c r="AL18" s="82">
        <v>15561.7939973467</v>
      </c>
      <c r="AM18" s="82">
        <v>15075.0442212164</v>
      </c>
      <c r="AN18" s="82">
        <v>14751.2745591283</v>
      </c>
      <c r="AO18" s="82">
        <v>14707.9204971328</v>
      </c>
      <c r="AP18" s="82">
        <v>14042.4829392008</v>
      </c>
      <c r="AQ18" s="82">
        <v>13321.2341328798</v>
      </c>
      <c r="AR18" s="82">
        <v>12919.2613711437</v>
      </c>
      <c r="AS18" s="82">
        <v>13864.3904310244</v>
      </c>
      <c r="AT18" s="82">
        <v>15243.4625864644</v>
      </c>
      <c r="AU18" s="82">
        <v>14739.4063797007</v>
      </c>
      <c r="AV18" s="82">
        <v>14681.4892896837</v>
      </c>
      <c r="AW18" s="82">
        <v>16201.4879644468</v>
      </c>
      <c r="AX18" s="82">
        <v>18593.9571215597</v>
      </c>
      <c r="AY18" s="83">
        <v>18923.2798802144</v>
      </c>
    </row>
    <row r="19" s="238" customFormat="1" ht="16.8" spans="1:51">
      <c r="A19" s="260" t="s">
        <v>224</v>
      </c>
      <c r="B19" s="261">
        <v>16</v>
      </c>
      <c r="C19" s="82">
        <v>27122.437964443</v>
      </c>
      <c r="D19" s="82">
        <v>28824.6895416695</v>
      </c>
      <c r="E19" s="82">
        <v>28605.5797082835</v>
      </c>
      <c r="F19" s="82">
        <v>27955.5891567847</v>
      </c>
      <c r="G19" s="82">
        <v>23356.1250387276</v>
      </c>
      <c r="H19" s="82">
        <v>23820.8851907868</v>
      </c>
      <c r="I19" s="82">
        <v>22759.7489140037</v>
      </c>
      <c r="J19" s="82">
        <v>20256.1447246817</v>
      </c>
      <c r="K19" s="82">
        <v>20051.6960899565</v>
      </c>
      <c r="L19" s="82">
        <v>22830.4721809934</v>
      </c>
      <c r="M19" s="82">
        <v>23141.433792297</v>
      </c>
      <c r="N19" s="82">
        <v>17092.590883893</v>
      </c>
      <c r="O19" s="82">
        <v>22864.450217519</v>
      </c>
      <c r="P19" s="82">
        <v>25117.0678264935</v>
      </c>
      <c r="Q19" s="82">
        <v>26324.9040527188</v>
      </c>
      <c r="R19" s="82">
        <v>27326.6955548081</v>
      </c>
      <c r="S19" s="82">
        <v>27073.4574994651</v>
      </c>
      <c r="T19" s="82">
        <v>26409.2912416651</v>
      </c>
      <c r="U19" s="82">
        <v>23984.815383726</v>
      </c>
      <c r="V19" s="82">
        <v>22690.5907952949</v>
      </c>
      <c r="W19" s="82">
        <v>21801.886343951</v>
      </c>
      <c r="X19" s="82">
        <v>20946.5304585442</v>
      </c>
      <c r="Y19" s="82">
        <v>20856.7578577806</v>
      </c>
      <c r="Z19" s="82">
        <v>19054.5833467295</v>
      </c>
      <c r="AA19" s="82">
        <v>17016.4759407488</v>
      </c>
      <c r="AB19" s="82">
        <v>19055.9620263569</v>
      </c>
      <c r="AC19" s="82">
        <v>19842.2267173918</v>
      </c>
      <c r="AD19" s="82">
        <v>19922.1942389485</v>
      </c>
      <c r="AE19" s="82">
        <v>19844.6899137664</v>
      </c>
      <c r="AF19" s="82">
        <v>20596.7953739467</v>
      </c>
      <c r="AG19" s="82">
        <v>20812.4121922785</v>
      </c>
      <c r="AH19" s="82">
        <v>21591.1205906275</v>
      </c>
      <c r="AI19" s="82">
        <v>18039.9145278172</v>
      </c>
      <c r="AJ19" s="82">
        <v>18302.1481828208</v>
      </c>
      <c r="AK19" s="82">
        <v>18272.1628507317</v>
      </c>
      <c r="AL19" s="82">
        <v>15874.4674989284</v>
      </c>
      <c r="AM19" s="82">
        <v>15764.4671498947</v>
      </c>
      <c r="AN19" s="82">
        <v>15389.8668618341</v>
      </c>
      <c r="AO19" s="82">
        <v>15626.2159842035</v>
      </c>
      <c r="AP19" s="82">
        <v>15693.3674269388</v>
      </c>
      <c r="AQ19" s="82">
        <v>15516.1725193824</v>
      </c>
      <c r="AR19" s="82">
        <v>16788.5130955714</v>
      </c>
      <c r="AS19" s="82">
        <v>16690.2310064481</v>
      </c>
      <c r="AT19" s="82">
        <v>16933.5406036411</v>
      </c>
      <c r="AU19" s="82">
        <v>17402.4479965926</v>
      </c>
      <c r="AV19" s="82">
        <v>18900.410572986</v>
      </c>
      <c r="AW19" s="82">
        <v>20825.3543840084</v>
      </c>
      <c r="AX19" s="82">
        <v>25220.827528948</v>
      </c>
      <c r="AY19" s="83">
        <v>25748.2323918051</v>
      </c>
    </row>
    <row r="20" s="238" customFormat="1" ht="16.8" spans="1:51">
      <c r="A20" s="264" t="s">
        <v>225</v>
      </c>
      <c r="B20" s="261">
        <v>17</v>
      </c>
      <c r="C20" s="82">
        <v>443.00593</v>
      </c>
      <c r="D20" s="82">
        <v>432.241568</v>
      </c>
      <c r="E20" s="82">
        <v>428.178</v>
      </c>
      <c r="F20" s="82">
        <v>416.327</v>
      </c>
      <c r="G20" s="82">
        <v>529.974</v>
      </c>
      <c r="H20" s="82">
        <v>518.607</v>
      </c>
      <c r="I20" s="82">
        <v>475.718</v>
      </c>
      <c r="J20" s="82">
        <v>665.695</v>
      </c>
      <c r="K20" s="82">
        <v>663.301</v>
      </c>
      <c r="L20" s="82">
        <v>651.808</v>
      </c>
      <c r="M20" s="82">
        <v>581.369</v>
      </c>
      <c r="N20" s="82">
        <v>828.339</v>
      </c>
      <c r="O20" s="82">
        <v>823.512</v>
      </c>
      <c r="P20" s="82">
        <v>716.032</v>
      </c>
      <c r="Q20" s="82">
        <v>942.301</v>
      </c>
      <c r="R20" s="82">
        <v>1314.137</v>
      </c>
      <c r="S20" s="82">
        <v>1319.72</v>
      </c>
      <c r="T20" s="82">
        <v>1506.993</v>
      </c>
      <c r="U20" s="82">
        <v>1548.293</v>
      </c>
      <c r="V20" s="82">
        <v>1590.173</v>
      </c>
      <c r="W20" s="82">
        <v>1591.288</v>
      </c>
      <c r="X20" s="82">
        <v>1745.954</v>
      </c>
      <c r="Y20" s="82">
        <v>1417.947</v>
      </c>
      <c r="Z20" s="82">
        <v>1564.101</v>
      </c>
      <c r="AA20" s="82">
        <v>1537.684</v>
      </c>
      <c r="AB20" s="82">
        <v>1598.84</v>
      </c>
      <c r="AC20" s="82">
        <v>1656.123</v>
      </c>
      <c r="AD20" s="82">
        <v>1636.032</v>
      </c>
      <c r="AE20" s="82">
        <v>1679.382</v>
      </c>
      <c r="AF20" s="82">
        <v>1737.289</v>
      </c>
      <c r="AG20" s="82">
        <v>1897.687</v>
      </c>
      <c r="AH20" s="82">
        <v>2260.34064</v>
      </c>
      <c r="AI20" s="82">
        <v>2254.786</v>
      </c>
      <c r="AJ20" s="82">
        <v>2512.16</v>
      </c>
      <c r="AK20" s="82">
        <v>2403.851</v>
      </c>
      <c r="AL20" s="82">
        <v>2365.699</v>
      </c>
      <c r="AM20" s="82">
        <v>2414.534</v>
      </c>
      <c r="AN20" s="82">
        <v>2488.337</v>
      </c>
      <c r="AO20" s="82">
        <v>2444.3745007482</v>
      </c>
      <c r="AP20" s="82">
        <v>2772.82959</v>
      </c>
      <c r="AQ20" s="82">
        <v>2786.00463</v>
      </c>
      <c r="AR20" s="82">
        <v>2916.52206</v>
      </c>
      <c r="AS20" s="82">
        <v>2917.3364</v>
      </c>
      <c r="AT20" s="82">
        <v>2973.9116</v>
      </c>
      <c r="AU20" s="82">
        <v>3115.21111</v>
      </c>
      <c r="AV20" s="82">
        <v>3194.28263</v>
      </c>
      <c r="AW20" s="82">
        <v>3185.64963</v>
      </c>
      <c r="AX20" s="82">
        <v>3283.51048</v>
      </c>
      <c r="AY20" s="83">
        <v>3260.25522</v>
      </c>
    </row>
    <row r="21" s="238" customFormat="1" ht="16.8" spans="1:51">
      <c r="A21" s="260" t="s">
        <v>226</v>
      </c>
      <c r="B21" s="261">
        <v>18</v>
      </c>
      <c r="C21" s="82">
        <v>118445.573920284</v>
      </c>
      <c r="D21" s="82">
        <v>120908.337022741</v>
      </c>
      <c r="E21" s="82">
        <v>121095.173596104</v>
      </c>
      <c r="F21" s="82">
        <v>120871.541358382</v>
      </c>
      <c r="G21" s="82">
        <v>122843.326457491</v>
      </c>
      <c r="H21" s="82">
        <v>123675.21011871</v>
      </c>
      <c r="I21" s="82">
        <v>121329.501939294</v>
      </c>
      <c r="J21" s="82">
        <v>120538.450967452</v>
      </c>
      <c r="K21" s="82">
        <v>121054.342958224</v>
      </c>
      <c r="L21" s="82">
        <v>123443.109891911</v>
      </c>
      <c r="M21" s="82">
        <v>128269.429189772</v>
      </c>
      <c r="N21" s="82">
        <v>133587.527138103</v>
      </c>
      <c r="O21" s="82">
        <v>129137.676256193</v>
      </c>
      <c r="P21" s="82">
        <v>129414.225087964</v>
      </c>
      <c r="Q21" s="82">
        <v>129339.806981718</v>
      </c>
      <c r="R21" s="82">
        <v>127162.229664332</v>
      </c>
      <c r="S21" s="82">
        <v>127645.068706854</v>
      </c>
      <c r="T21" s="82">
        <v>127391.339866073</v>
      </c>
      <c r="U21" s="82">
        <v>127232.961183248</v>
      </c>
      <c r="V21" s="82">
        <v>125315.516278922</v>
      </c>
      <c r="W21" s="82">
        <v>126009.356250092</v>
      </c>
      <c r="X21" s="82">
        <v>126799.308107488</v>
      </c>
      <c r="Y21" s="82">
        <v>126044.215650582</v>
      </c>
      <c r="Z21" s="82">
        <v>127180.93230249</v>
      </c>
      <c r="AA21" s="82">
        <v>126072.018418025</v>
      </c>
      <c r="AB21" s="82">
        <v>128869.401075381</v>
      </c>
      <c r="AC21" s="82">
        <v>128763.651393201</v>
      </c>
      <c r="AD21" s="82">
        <v>128843.470209416</v>
      </c>
      <c r="AE21" s="82">
        <v>127802.831990109</v>
      </c>
      <c r="AF21" s="82">
        <v>128489.507535177</v>
      </c>
      <c r="AG21" s="82">
        <v>125961.307712637</v>
      </c>
      <c r="AH21" s="82">
        <v>124144.863095477</v>
      </c>
      <c r="AI21" s="82">
        <v>125184.279998118</v>
      </c>
      <c r="AJ21" s="82">
        <v>129352.469497038</v>
      </c>
      <c r="AK21" s="82">
        <v>127841.310737094</v>
      </c>
      <c r="AL21" s="82">
        <v>129708.011836223</v>
      </c>
      <c r="AM21" s="82">
        <v>131974.457516369</v>
      </c>
      <c r="AN21" s="82">
        <v>132661.475905449</v>
      </c>
      <c r="AO21" s="82">
        <v>133475.358721279</v>
      </c>
      <c r="AP21" s="82">
        <v>133976.113683099</v>
      </c>
      <c r="AQ21" s="82">
        <v>135115.519511397</v>
      </c>
      <c r="AR21" s="82">
        <v>137145.321040598</v>
      </c>
      <c r="AS21" s="82">
        <v>135812.442924612</v>
      </c>
      <c r="AT21" s="82">
        <v>132500.493783966</v>
      </c>
      <c r="AU21" s="82">
        <v>137895.946405945</v>
      </c>
      <c r="AV21" s="82">
        <v>138965.183105498</v>
      </c>
      <c r="AW21" s="82">
        <v>134531.420024056</v>
      </c>
      <c r="AX21" s="82">
        <v>138026.805713113</v>
      </c>
      <c r="AY21" s="83">
        <v>138106.726719045</v>
      </c>
    </row>
    <row r="22" s="238" customFormat="1" ht="16.8" spans="1:51">
      <c r="A22" s="265" t="s">
        <v>227</v>
      </c>
      <c r="B22" s="261" t="s">
        <v>228</v>
      </c>
      <c r="C22" s="82"/>
      <c r="D22" s="82"/>
      <c r="E22" s="82"/>
      <c r="F22" s="82"/>
      <c r="G22" s="82"/>
      <c r="H22" s="82"/>
      <c r="I22" s="82"/>
      <c r="J22" s="82"/>
      <c r="K22" s="82"/>
      <c r="L22" s="82"/>
      <c r="M22" s="82"/>
      <c r="N22" s="82"/>
      <c r="O22" s="82"/>
      <c r="P22" s="82"/>
      <c r="Q22" s="82"/>
      <c r="R22" s="82"/>
      <c r="S22" s="82"/>
      <c r="T22" s="82"/>
      <c r="U22" s="82"/>
      <c r="V22" s="82"/>
      <c r="W22" s="82"/>
      <c r="X22" s="82"/>
      <c r="Y22" s="82"/>
      <c r="Z22" s="82"/>
      <c r="AA22" s="82"/>
      <c r="AB22" s="82"/>
      <c r="AC22" s="82"/>
      <c r="AD22" s="82"/>
      <c r="AE22" s="82"/>
      <c r="AF22" s="82"/>
      <c r="AG22" s="82"/>
      <c r="AH22" s="82"/>
      <c r="AI22" s="82"/>
      <c r="AJ22" s="82"/>
      <c r="AK22" s="82"/>
      <c r="AL22" s="82">
        <v>16962.28448</v>
      </c>
      <c r="AM22" s="82">
        <v>16678.65201</v>
      </c>
      <c r="AN22" s="82">
        <v>16678.65201</v>
      </c>
      <c r="AO22" s="82">
        <v>17096.79465</v>
      </c>
      <c r="AP22" s="82">
        <v>16831.12098</v>
      </c>
      <c r="AQ22" s="82">
        <v>16788.18663</v>
      </c>
      <c r="AR22" s="82">
        <v>16756.61394</v>
      </c>
      <c r="AS22" s="82">
        <v>17028.5293</v>
      </c>
      <c r="AT22" s="82">
        <v>15974.17427</v>
      </c>
      <c r="AU22" s="82">
        <v>15282.0692</v>
      </c>
      <c r="AV22" s="82">
        <v>16445.25999</v>
      </c>
      <c r="AW22" s="82">
        <v>16914.44674</v>
      </c>
      <c r="AX22" s="82">
        <v>13966.55402</v>
      </c>
      <c r="AY22" s="83">
        <v>11946.97363</v>
      </c>
    </row>
    <row r="23" s="238" customFormat="1" ht="16.8" spans="1:51">
      <c r="A23" s="262" t="s">
        <v>229</v>
      </c>
      <c r="B23" s="263" t="s">
        <v>230</v>
      </c>
      <c r="C23" s="73">
        <v>6379.67289803799</v>
      </c>
      <c r="D23" s="73">
        <v>6283.13716216381</v>
      </c>
      <c r="E23" s="73">
        <v>6402.30359392164</v>
      </c>
      <c r="F23" s="73">
        <v>8703.7287554976</v>
      </c>
      <c r="G23" s="73">
        <v>8396.22759895692</v>
      </c>
      <c r="H23" s="73">
        <v>8303.51693516753</v>
      </c>
      <c r="I23" s="73">
        <v>11670.7423810012</v>
      </c>
      <c r="J23" s="73">
        <v>12877.7119174774</v>
      </c>
      <c r="K23" s="73">
        <v>12892.4053248131</v>
      </c>
      <c r="L23" s="73">
        <v>14242.6198891249</v>
      </c>
      <c r="M23" s="73">
        <v>14019.7190732175</v>
      </c>
      <c r="N23" s="73">
        <v>13676.7133776419</v>
      </c>
      <c r="O23" s="73">
        <v>14114.0865654835</v>
      </c>
      <c r="P23" s="73">
        <v>13959.0662188177</v>
      </c>
      <c r="Q23" s="73">
        <v>14125.3397450844</v>
      </c>
      <c r="R23" s="73">
        <v>14307.9278688138</v>
      </c>
      <c r="S23" s="73">
        <v>14356.7909271619</v>
      </c>
      <c r="T23" s="73">
        <v>13385.9622801584</v>
      </c>
      <c r="U23" s="73">
        <v>12974.3428833567</v>
      </c>
      <c r="V23" s="73">
        <v>13915.3577481633</v>
      </c>
      <c r="W23" s="73">
        <v>14018.8609371622</v>
      </c>
      <c r="X23" s="73">
        <v>14394.0845611869</v>
      </c>
      <c r="Y23" s="73">
        <v>14845.5976209911</v>
      </c>
      <c r="Z23" s="73">
        <v>14872.8025809722</v>
      </c>
      <c r="AA23" s="73">
        <v>13915.931317731</v>
      </c>
      <c r="AB23" s="73">
        <v>14259.269235114</v>
      </c>
      <c r="AC23" s="73">
        <v>14756.7812175794</v>
      </c>
      <c r="AD23" s="73">
        <v>16850.442377077</v>
      </c>
      <c r="AE23" s="73">
        <v>17986.954911629</v>
      </c>
      <c r="AF23" s="73">
        <v>19134.0661528344</v>
      </c>
      <c r="AG23" s="73">
        <v>20885.6905985668</v>
      </c>
      <c r="AH23" s="73">
        <v>20655.4314571094</v>
      </c>
      <c r="AI23" s="73">
        <v>18927.3643582149</v>
      </c>
      <c r="AJ23" s="73">
        <v>19009.7877737154</v>
      </c>
      <c r="AK23" s="73">
        <v>17386.5739140642</v>
      </c>
      <c r="AL23" s="73">
        <v>17927.4929973467</v>
      </c>
      <c r="AM23" s="73">
        <v>17489.5782212164</v>
      </c>
      <c r="AN23" s="73">
        <v>17239.6115591283</v>
      </c>
      <c r="AO23" s="73">
        <v>17152.294997881</v>
      </c>
      <c r="AP23" s="73">
        <v>16815.3125292008</v>
      </c>
      <c r="AQ23" s="73">
        <v>16107.2387628798</v>
      </c>
      <c r="AR23" s="73">
        <v>15835.7834311437</v>
      </c>
      <c r="AS23" s="73">
        <v>16781.7268310244</v>
      </c>
      <c r="AT23" s="73">
        <v>18217.3741864644</v>
      </c>
      <c r="AU23" s="73">
        <v>17854.6174897007</v>
      </c>
      <c r="AV23" s="73">
        <v>17875.7719196837</v>
      </c>
      <c r="AW23" s="73">
        <v>19387.1375944468</v>
      </c>
      <c r="AX23" s="73">
        <v>21877.4676015597</v>
      </c>
      <c r="AY23" s="74">
        <v>22183.5351002144</v>
      </c>
    </row>
    <row r="24" s="238" customFormat="1" ht="16.8" spans="1:51">
      <c r="A24" s="262" t="s">
        <v>231</v>
      </c>
      <c r="B24" s="263" t="s">
        <v>232</v>
      </c>
      <c r="C24" s="73">
        <v>33059.104932481</v>
      </c>
      <c r="D24" s="73">
        <v>34675.5851358333</v>
      </c>
      <c r="E24" s="73">
        <v>34579.7053022052</v>
      </c>
      <c r="F24" s="73">
        <v>36242.9909122823</v>
      </c>
      <c r="G24" s="73">
        <v>31222.3786376845</v>
      </c>
      <c r="H24" s="73">
        <v>31605.7951259543</v>
      </c>
      <c r="I24" s="73">
        <v>33954.7732950049</v>
      </c>
      <c r="J24" s="73">
        <v>32468.1616421591</v>
      </c>
      <c r="K24" s="73">
        <v>32280.8004147696</v>
      </c>
      <c r="L24" s="73">
        <v>36421.2840701183</v>
      </c>
      <c r="M24" s="73">
        <v>36579.7838655144</v>
      </c>
      <c r="N24" s="73">
        <v>29940.9652615349</v>
      </c>
      <c r="O24" s="73">
        <v>36155.0247830025</v>
      </c>
      <c r="P24" s="73">
        <v>38360.1020453112</v>
      </c>
      <c r="Q24" s="73">
        <v>39507.9427978031</v>
      </c>
      <c r="R24" s="73">
        <v>40320.4864236219</v>
      </c>
      <c r="S24" s="73">
        <v>40110.5284266271</v>
      </c>
      <c r="T24" s="73">
        <v>38288.2605218235</v>
      </c>
      <c r="U24" s="73">
        <v>35410.8652670827</v>
      </c>
      <c r="V24" s="73">
        <v>35015.7755434582</v>
      </c>
      <c r="W24" s="73">
        <v>34229.4592811131</v>
      </c>
      <c r="X24" s="73">
        <v>33594.661019731</v>
      </c>
      <c r="Y24" s="73">
        <v>34284.4084787717</v>
      </c>
      <c r="Z24" s="73">
        <v>32363.2849277017</v>
      </c>
      <c r="AA24" s="73">
        <v>29394.7232584798</v>
      </c>
      <c r="AB24" s="73">
        <v>31716.3912614709</v>
      </c>
      <c r="AC24" s="73">
        <v>32942.8849349712</v>
      </c>
      <c r="AD24" s="73">
        <v>35136.6046160254</v>
      </c>
      <c r="AE24" s="73">
        <v>36152.2628253953</v>
      </c>
      <c r="AF24" s="73">
        <v>37993.5725267811</v>
      </c>
      <c r="AG24" s="73">
        <v>39800.4157908453</v>
      </c>
      <c r="AH24" s="73">
        <v>39986.211407737</v>
      </c>
      <c r="AI24" s="73">
        <v>34712.4928860321</v>
      </c>
      <c r="AJ24" s="73">
        <v>34799.7759565363</v>
      </c>
      <c r="AK24" s="73">
        <v>33254.8857647958</v>
      </c>
      <c r="AL24" s="73">
        <v>31436.2614962751</v>
      </c>
      <c r="AM24" s="73">
        <v>30839.5113711111</v>
      </c>
      <c r="AN24" s="73">
        <v>30141.1414209625</v>
      </c>
      <c r="AO24" s="73">
        <v>30334.1364813364</v>
      </c>
      <c r="AP24" s="73">
        <v>29735.8503661396</v>
      </c>
      <c r="AQ24" s="73">
        <v>28837.4066522622</v>
      </c>
      <c r="AR24" s="73">
        <v>29707.7744667151</v>
      </c>
      <c r="AS24" s="73">
        <v>30554.6214374725</v>
      </c>
      <c r="AT24" s="73">
        <v>32177.0031901055</v>
      </c>
      <c r="AU24" s="73">
        <v>32141.8543762933</v>
      </c>
      <c r="AV24" s="73">
        <v>33581.8998626697</v>
      </c>
      <c r="AW24" s="73">
        <v>37026.8423484552</v>
      </c>
      <c r="AX24" s="73">
        <v>43814.7846505078</v>
      </c>
      <c r="AY24" s="74">
        <v>44671.5122720195</v>
      </c>
    </row>
    <row r="25" s="238" customFormat="1" ht="16.8" spans="1:51">
      <c r="A25" s="249" t="s">
        <v>233</v>
      </c>
      <c r="B25" s="250" t="s">
        <v>234</v>
      </c>
      <c r="C25" s="251"/>
      <c r="D25" s="251"/>
      <c r="E25" s="251"/>
      <c r="F25" s="251"/>
      <c r="G25" s="251"/>
      <c r="H25" s="251"/>
      <c r="I25" s="251"/>
      <c r="J25" s="251"/>
      <c r="K25" s="251"/>
      <c r="L25" s="251"/>
      <c r="M25" s="251"/>
      <c r="N25" s="251"/>
      <c r="O25" s="251"/>
      <c r="P25" s="251"/>
      <c r="Q25" s="251"/>
      <c r="R25" s="251"/>
      <c r="S25" s="251"/>
      <c r="T25" s="251"/>
      <c r="U25" s="251"/>
      <c r="V25" s="251"/>
      <c r="W25" s="251"/>
      <c r="X25" s="251"/>
      <c r="Y25" s="251"/>
      <c r="Z25" s="251"/>
      <c r="AA25" s="251"/>
      <c r="AB25" s="251"/>
      <c r="AC25" s="251"/>
      <c r="AD25" s="251"/>
      <c r="AE25" s="251"/>
      <c r="AF25" s="251"/>
      <c r="AG25" s="251"/>
      <c r="AH25" s="251"/>
      <c r="AI25" s="251"/>
      <c r="AJ25" s="251"/>
      <c r="AK25" s="251"/>
      <c r="AL25" s="251"/>
      <c r="AM25" s="251"/>
      <c r="AN25" s="251"/>
      <c r="AO25" s="251"/>
      <c r="AP25" s="251"/>
      <c r="AQ25" s="251"/>
      <c r="AR25" s="251"/>
      <c r="AS25" s="251"/>
      <c r="AT25" s="251"/>
      <c r="AU25" s="251"/>
      <c r="AV25" s="251"/>
      <c r="AW25" s="251"/>
      <c r="AX25" s="251"/>
      <c r="AY25" s="252"/>
    </row>
    <row r="26" s="238" customFormat="1" ht="16.8" spans="1:51">
      <c r="A26" s="260" t="s">
        <v>235</v>
      </c>
      <c r="B26" s="261">
        <v>22</v>
      </c>
      <c r="C26" s="82">
        <v>536.33317108239</v>
      </c>
      <c r="D26" s="82">
        <v>536.439345647722</v>
      </c>
      <c r="E26" s="82">
        <v>516.712468149203</v>
      </c>
      <c r="F26" s="82">
        <v>503.205843139676</v>
      </c>
      <c r="G26" s="82">
        <v>480.656446034743</v>
      </c>
      <c r="H26" s="82">
        <v>487.502273291514</v>
      </c>
      <c r="I26" s="82">
        <v>488.055158658681</v>
      </c>
      <c r="J26" s="82">
        <v>481.831760103409</v>
      </c>
      <c r="K26" s="82">
        <v>488.679880173273</v>
      </c>
      <c r="L26" s="82">
        <v>484.962995194413</v>
      </c>
      <c r="M26" s="82">
        <v>485.788321224498</v>
      </c>
      <c r="N26" s="82">
        <v>465.570534007741</v>
      </c>
      <c r="O26" s="82">
        <v>472.449806710993</v>
      </c>
      <c r="P26" s="82">
        <v>483.118508854842</v>
      </c>
      <c r="Q26" s="82">
        <v>490.449664673232</v>
      </c>
      <c r="R26" s="82">
        <v>493.573009327897</v>
      </c>
      <c r="S26" s="82">
        <v>505.04203788706</v>
      </c>
      <c r="T26" s="82">
        <v>488.081765972147</v>
      </c>
      <c r="U26" s="82">
        <v>487.111925841463</v>
      </c>
      <c r="V26" s="82">
        <v>483.181702879073</v>
      </c>
      <c r="W26" s="82">
        <v>482.245304285417</v>
      </c>
      <c r="X26" s="82">
        <v>482.948148723044</v>
      </c>
      <c r="Y26" s="82">
        <v>473.966804726204</v>
      </c>
      <c r="Z26" s="82">
        <v>480.420430056353</v>
      </c>
      <c r="AA26" s="82">
        <v>476.155934582974</v>
      </c>
      <c r="AB26" s="82">
        <v>479.354121546877</v>
      </c>
      <c r="AC26" s="82">
        <v>488.910642684429</v>
      </c>
      <c r="AD26" s="82">
        <v>500.369893339716</v>
      </c>
      <c r="AE26" s="82">
        <v>492.248684288686</v>
      </c>
      <c r="AF26" s="82">
        <v>495.690732684124</v>
      </c>
      <c r="AG26" s="82">
        <v>2060.49030959662</v>
      </c>
      <c r="AH26" s="82">
        <v>2040.15914840778</v>
      </c>
      <c r="AI26" s="82">
        <v>2016.40266467131</v>
      </c>
      <c r="AJ26" s="82">
        <v>1942.93659159867</v>
      </c>
      <c r="AK26" s="82">
        <v>1859.82370770875</v>
      </c>
      <c r="AL26" s="82">
        <v>1939.94307162244</v>
      </c>
      <c r="AM26" s="82">
        <v>1961.62663656248</v>
      </c>
      <c r="AN26" s="82">
        <v>1944.37128981344</v>
      </c>
      <c r="AO26" s="82">
        <v>1911.49265514566</v>
      </c>
      <c r="AP26" s="82">
        <v>1955.74126439995</v>
      </c>
      <c r="AQ26" s="82">
        <v>1929.14472763365</v>
      </c>
      <c r="AR26" s="82">
        <v>1916.86341136648</v>
      </c>
      <c r="AS26" s="82">
        <v>1975.16330316449</v>
      </c>
      <c r="AT26" s="82">
        <v>1901.01327457356</v>
      </c>
      <c r="AU26" s="82">
        <v>1932.3849464795</v>
      </c>
      <c r="AV26" s="82">
        <v>2001.9541482825</v>
      </c>
      <c r="AW26" s="82">
        <v>1996.36652191221</v>
      </c>
      <c r="AX26" s="82">
        <v>1998.08538555908</v>
      </c>
      <c r="AY26" s="83">
        <v>1979.24036623022</v>
      </c>
    </row>
    <row r="27" s="238" customFormat="1" ht="16.8" spans="1:51">
      <c r="A27" s="260" t="s">
        <v>236</v>
      </c>
      <c r="B27" s="261">
        <v>23</v>
      </c>
      <c r="C27" s="82">
        <v>1884.11447496338</v>
      </c>
      <c r="D27" s="82">
        <v>2054.50650557389</v>
      </c>
      <c r="E27" s="82">
        <v>1994.40747188123</v>
      </c>
      <c r="F27" s="82">
        <v>2247.07307539396</v>
      </c>
      <c r="G27" s="82">
        <v>1758.24088766569</v>
      </c>
      <c r="H27" s="82">
        <v>1719.53471281806</v>
      </c>
      <c r="I27" s="82">
        <v>1116.31957853026</v>
      </c>
      <c r="J27" s="82">
        <v>1135.49297422899</v>
      </c>
      <c r="K27" s="82">
        <v>1113.73047043141</v>
      </c>
      <c r="L27" s="82">
        <v>1073.38872539429</v>
      </c>
      <c r="M27" s="82">
        <v>858.158736678678</v>
      </c>
      <c r="N27" s="82">
        <v>696.621560955203</v>
      </c>
      <c r="O27" s="82">
        <v>714.681045614135</v>
      </c>
      <c r="P27" s="82">
        <v>706.407813455958</v>
      </c>
      <c r="Q27" s="82">
        <v>777.837368573595</v>
      </c>
      <c r="R27" s="82">
        <v>719.425613865385</v>
      </c>
      <c r="S27" s="82">
        <v>752.001311397749</v>
      </c>
      <c r="T27" s="82">
        <v>760.766345064979</v>
      </c>
      <c r="U27" s="82">
        <v>786.339065667193</v>
      </c>
      <c r="V27" s="82">
        <v>1017.2315681171</v>
      </c>
      <c r="W27" s="82">
        <v>940.086318931774</v>
      </c>
      <c r="X27" s="82">
        <v>1151.91014892383</v>
      </c>
      <c r="Y27" s="82">
        <v>916.191437001352</v>
      </c>
      <c r="Z27" s="82">
        <v>1104.87822062968</v>
      </c>
      <c r="AA27" s="82">
        <v>965.563936505019</v>
      </c>
      <c r="AB27" s="82">
        <v>1176.95312224366</v>
      </c>
      <c r="AC27" s="82">
        <v>1343.26424410619</v>
      </c>
      <c r="AD27" s="82">
        <v>1396.02686561752</v>
      </c>
      <c r="AE27" s="82">
        <v>1638.88647951411</v>
      </c>
      <c r="AF27" s="82">
        <v>2155.58127879233</v>
      </c>
      <c r="AG27" s="82">
        <v>1769.04137590039</v>
      </c>
      <c r="AH27" s="82">
        <v>1846.34051824396</v>
      </c>
      <c r="AI27" s="82">
        <v>2018.00351248467</v>
      </c>
      <c r="AJ27" s="82">
        <v>2461.51475709166</v>
      </c>
      <c r="AK27" s="82">
        <v>4108.94413781088</v>
      </c>
      <c r="AL27" s="82">
        <v>5931.94602104924</v>
      </c>
      <c r="AM27" s="82">
        <v>6586.02937776942</v>
      </c>
      <c r="AN27" s="82">
        <v>6857.82100067489</v>
      </c>
      <c r="AO27" s="82">
        <v>7209.63059898095</v>
      </c>
      <c r="AP27" s="82">
        <v>7761.44357139778</v>
      </c>
      <c r="AQ27" s="82">
        <v>8457.15260769345</v>
      </c>
      <c r="AR27" s="82">
        <v>9143.0869911438</v>
      </c>
      <c r="AS27" s="82">
        <v>8896.84651000936</v>
      </c>
      <c r="AT27" s="82">
        <v>8582.04626753859</v>
      </c>
      <c r="AU27" s="82">
        <v>9477.48593415964</v>
      </c>
      <c r="AV27" s="82">
        <v>9236.29989547168</v>
      </c>
      <c r="AW27" s="82">
        <v>8827.27211649961</v>
      </c>
      <c r="AX27" s="82">
        <v>9438.66376025682</v>
      </c>
      <c r="AY27" s="83">
        <v>8971.36915249684</v>
      </c>
    </row>
    <row r="28" s="238" customFormat="1" ht="16.8" spans="1:51">
      <c r="A28" s="260" t="s">
        <v>237</v>
      </c>
      <c r="B28" s="261">
        <v>24</v>
      </c>
      <c r="C28" s="82">
        <v>18190.907550299</v>
      </c>
      <c r="D28" s="82">
        <v>21151.1674167822</v>
      </c>
      <c r="E28" s="82">
        <v>20938.5763558917</v>
      </c>
      <c r="F28" s="82">
        <v>22504.5940149806</v>
      </c>
      <c r="G28" s="82">
        <v>20717.1413050749</v>
      </c>
      <c r="H28" s="82">
        <v>20154.1094543648</v>
      </c>
      <c r="I28" s="82">
        <v>22571.4858368297</v>
      </c>
      <c r="J28" s="82">
        <v>18655.6710460084</v>
      </c>
      <c r="K28" s="82">
        <v>18356.5196724593</v>
      </c>
      <c r="L28" s="82">
        <v>19136.4243347505</v>
      </c>
      <c r="M28" s="82">
        <v>19484.955328869</v>
      </c>
      <c r="N28" s="82">
        <v>18142.2841269354</v>
      </c>
      <c r="O28" s="82">
        <v>18624.4185768001</v>
      </c>
      <c r="P28" s="82">
        <v>20748.0868044444</v>
      </c>
      <c r="Q28" s="82">
        <v>21694.4410466295</v>
      </c>
      <c r="R28" s="82">
        <v>21536.4119262905</v>
      </c>
      <c r="S28" s="82">
        <v>21094.1343830169</v>
      </c>
      <c r="T28" s="82">
        <v>19620.6008683176</v>
      </c>
      <c r="U28" s="82">
        <v>17685.6231858822</v>
      </c>
      <c r="V28" s="82">
        <v>18329.336243681</v>
      </c>
      <c r="W28" s="82">
        <v>18253.3652099848</v>
      </c>
      <c r="X28" s="82">
        <v>18703.4915393503</v>
      </c>
      <c r="Y28" s="82">
        <v>20239.9504164467</v>
      </c>
      <c r="Z28" s="82">
        <v>18861.9907502493</v>
      </c>
      <c r="AA28" s="82">
        <v>16856.3860224996</v>
      </c>
      <c r="AB28" s="82">
        <v>18356.9988239984</v>
      </c>
      <c r="AC28" s="82">
        <v>20009.1680626612</v>
      </c>
      <c r="AD28" s="82">
        <v>21092.3014859218</v>
      </c>
      <c r="AE28" s="82">
        <v>21227.8113479063</v>
      </c>
      <c r="AF28" s="82">
        <v>22947.7640319006</v>
      </c>
      <c r="AG28" s="82">
        <v>23032.2269649943</v>
      </c>
      <c r="AH28" s="82">
        <v>22804.8854380314</v>
      </c>
      <c r="AI28" s="82">
        <v>18695.5764780428</v>
      </c>
      <c r="AJ28" s="82">
        <v>17853.9381193713</v>
      </c>
      <c r="AK28" s="82">
        <v>16306.7109010657</v>
      </c>
      <c r="AL28" s="82">
        <v>15199.9782657589</v>
      </c>
      <c r="AM28" s="82">
        <v>14873.8540837693</v>
      </c>
      <c r="AN28" s="82">
        <v>14148.4447108749</v>
      </c>
      <c r="AO28" s="82">
        <v>14595.4529265551</v>
      </c>
      <c r="AP28" s="82">
        <v>13784.4570395277</v>
      </c>
      <c r="AQ28" s="82">
        <v>13575.1954614663</v>
      </c>
      <c r="AR28" s="82">
        <v>13681.8762285421</v>
      </c>
      <c r="AS28" s="82">
        <v>14016.8753535519</v>
      </c>
      <c r="AT28" s="82">
        <v>14675.0649239337</v>
      </c>
      <c r="AU28" s="82">
        <v>15403.7669263221</v>
      </c>
      <c r="AV28" s="82">
        <v>15809.9728320461</v>
      </c>
      <c r="AW28" s="82">
        <v>18198.6535173613</v>
      </c>
      <c r="AX28" s="82">
        <v>22654.1364928853</v>
      </c>
      <c r="AY28" s="83">
        <v>23755.4422824741</v>
      </c>
    </row>
    <row r="29" s="238" customFormat="1" ht="16.8" spans="1:51">
      <c r="A29" s="260" t="s">
        <v>238</v>
      </c>
      <c r="B29" s="261">
        <v>25</v>
      </c>
      <c r="C29" s="82">
        <v>118321.634984296</v>
      </c>
      <c r="D29" s="82">
        <v>118491.632963</v>
      </c>
      <c r="E29" s="82">
        <v>118853.41622</v>
      </c>
      <c r="F29" s="82">
        <v>118942.02982</v>
      </c>
      <c r="G29" s="82">
        <v>118527.19934</v>
      </c>
      <c r="H29" s="82">
        <v>120724.19181</v>
      </c>
      <c r="I29" s="82">
        <v>119979.67244</v>
      </c>
      <c r="J29" s="82">
        <v>121697.04735</v>
      </c>
      <c r="K29" s="82">
        <v>122167.27376</v>
      </c>
      <c r="L29" s="82">
        <v>128081.74052</v>
      </c>
      <c r="M29" s="82">
        <v>132561.81321</v>
      </c>
      <c r="N29" s="82">
        <v>133570.6127</v>
      </c>
      <c r="O29" s="82">
        <v>134716.19885443</v>
      </c>
      <c r="P29" s="82">
        <v>134652.78608</v>
      </c>
      <c r="Q29" s="82">
        <v>133487.41144</v>
      </c>
      <c r="R29" s="82">
        <v>133659.4228</v>
      </c>
      <c r="S29" s="82">
        <v>134173.14812</v>
      </c>
      <c r="T29" s="82">
        <v>132970.53472</v>
      </c>
      <c r="U29" s="82">
        <v>131438.03553</v>
      </c>
      <c r="V29" s="82">
        <v>128701.177786232</v>
      </c>
      <c r="W29" s="82">
        <v>128917.41411815</v>
      </c>
      <c r="X29" s="82">
        <v>128258.24905815</v>
      </c>
      <c r="Y29" s="82">
        <v>126676.95332415</v>
      </c>
      <c r="Z29" s="82">
        <v>127703.425855919</v>
      </c>
      <c r="AA29" s="82">
        <v>126059.229417919</v>
      </c>
      <c r="AB29" s="82">
        <v>128772.36934853</v>
      </c>
      <c r="AC29" s="82">
        <v>128287.49374024</v>
      </c>
      <c r="AD29" s="82">
        <v>129637.51022415</v>
      </c>
      <c r="AE29" s="82">
        <v>128489.77274415</v>
      </c>
      <c r="AF29" s="82">
        <v>127950.28028415</v>
      </c>
      <c r="AG29" s="82">
        <v>125830.18879415</v>
      </c>
      <c r="AH29" s="82">
        <v>123464.38333415</v>
      </c>
      <c r="AI29" s="82">
        <v>123614.44920615</v>
      </c>
      <c r="AJ29" s="82">
        <v>126332.60949915</v>
      </c>
      <c r="AK29" s="82">
        <v>122919.136789737</v>
      </c>
      <c r="AL29" s="82">
        <v>122989.238648987</v>
      </c>
      <c r="AM29" s="82">
        <v>122896.323788359</v>
      </c>
      <c r="AN29" s="82">
        <v>122528.109812647</v>
      </c>
      <c r="AO29" s="82">
        <v>122883.853934434</v>
      </c>
      <c r="AP29" s="82">
        <v>123244.038823699</v>
      </c>
      <c r="AQ29" s="82">
        <v>122056.957932706</v>
      </c>
      <c r="AR29" s="82">
        <v>123196.167980291</v>
      </c>
      <c r="AS29" s="82">
        <v>123212.898036541</v>
      </c>
      <c r="AT29" s="82">
        <v>122349.669346945</v>
      </c>
      <c r="AU29" s="82">
        <v>122590.780628078</v>
      </c>
      <c r="AV29" s="82">
        <v>124314.848383582</v>
      </c>
      <c r="AW29" s="82">
        <v>122555.120090053</v>
      </c>
      <c r="AX29" s="82">
        <v>128167.47031343</v>
      </c>
      <c r="AY29" s="83">
        <v>126549.052532808</v>
      </c>
    </row>
    <row r="30" s="238" customFormat="1" ht="16.8" spans="1:51">
      <c r="A30" s="260" t="s">
        <v>239</v>
      </c>
      <c r="B30" s="261">
        <v>26</v>
      </c>
      <c r="C30" s="82">
        <v>11491.2754035499</v>
      </c>
      <c r="D30" s="82">
        <v>12156.1687405668</v>
      </c>
      <c r="E30" s="82">
        <v>12205.61944</v>
      </c>
      <c r="F30" s="82">
        <v>11931.82402</v>
      </c>
      <c r="G30" s="82">
        <v>11549.65686056</v>
      </c>
      <c r="H30" s="82">
        <v>10998.81320646</v>
      </c>
      <c r="I30" s="82">
        <v>10147.05852849</v>
      </c>
      <c r="J30" s="82">
        <v>9865.31178354</v>
      </c>
      <c r="K30" s="82">
        <v>9870.2859532</v>
      </c>
      <c r="L30" s="82">
        <v>10007.53321092</v>
      </c>
      <c r="M30" s="82">
        <v>10152.56447747</v>
      </c>
      <c r="N30" s="82">
        <v>9877.24839955</v>
      </c>
      <c r="O30" s="82">
        <v>9732.45838658</v>
      </c>
      <c r="P30" s="82">
        <v>9738.12505745945</v>
      </c>
      <c r="Q30" s="82">
        <v>10225.0357705835</v>
      </c>
      <c r="R30" s="82">
        <v>10150.36991095</v>
      </c>
      <c r="S30" s="82">
        <v>10146.20121529</v>
      </c>
      <c r="T30" s="82">
        <v>10569.36036622</v>
      </c>
      <c r="U30" s="82">
        <v>11111.3094968</v>
      </c>
      <c r="V30" s="82">
        <v>10689.8871291429</v>
      </c>
      <c r="W30" s="82">
        <v>10572.13918375</v>
      </c>
      <c r="X30" s="82">
        <v>10647.370747018</v>
      </c>
      <c r="Y30" s="82">
        <v>10940.649744758</v>
      </c>
      <c r="Z30" s="82">
        <v>10751.4433891468</v>
      </c>
      <c r="AA30" s="82">
        <v>10178.7885852045</v>
      </c>
      <c r="AB30" s="82">
        <v>10573.0719636047</v>
      </c>
      <c r="AC30" s="82">
        <v>10741.9258480047</v>
      </c>
      <c r="AD30" s="82">
        <v>10553.92806211</v>
      </c>
      <c r="AE30" s="82">
        <v>10760.2666424671</v>
      </c>
      <c r="AF30" s="82">
        <v>11387.4974843471</v>
      </c>
      <c r="AG30" s="82">
        <v>11777.725636646</v>
      </c>
      <c r="AH30" s="82">
        <v>11982.1766962035</v>
      </c>
      <c r="AI30" s="82">
        <v>11952.8877998435</v>
      </c>
      <c r="AJ30" s="82">
        <v>13300.9600364173</v>
      </c>
      <c r="AK30" s="82">
        <v>13887.4677592346</v>
      </c>
      <c r="AL30" s="82">
        <v>13303.02492717</v>
      </c>
      <c r="AM30" s="82">
        <v>14023.60801831</v>
      </c>
      <c r="AN30" s="82">
        <v>14744.77579772</v>
      </c>
      <c r="AO30" s="82">
        <v>14972.0175198633</v>
      </c>
      <c r="AP30" s="82">
        <v>14512.2435975044</v>
      </c>
      <c r="AQ30" s="82">
        <v>14869.8468814501</v>
      </c>
      <c r="AR30" s="82">
        <v>15700.0514812601</v>
      </c>
      <c r="AS30" s="82">
        <v>15322.7126187612</v>
      </c>
      <c r="AT30" s="82">
        <v>14714.6266510156</v>
      </c>
      <c r="AU30" s="82">
        <v>16102.417648994</v>
      </c>
      <c r="AV30" s="82">
        <v>17264.6281360755</v>
      </c>
      <c r="AW30" s="82">
        <v>17166.4760642555</v>
      </c>
      <c r="AX30" s="82">
        <v>16489.1756523961</v>
      </c>
      <c r="AY30" s="83">
        <v>17105.06889472</v>
      </c>
    </row>
    <row r="31" s="238" customFormat="1" ht="16.8" spans="1:51">
      <c r="A31" s="260" t="s">
        <v>240</v>
      </c>
      <c r="B31" s="261">
        <v>27</v>
      </c>
      <c r="C31" s="82">
        <v>1080.41326457407</v>
      </c>
      <c r="D31" s="82">
        <v>1194.00718300323</v>
      </c>
      <c r="E31" s="82">
        <v>1166.14694238653</v>
      </c>
      <c r="F31" s="82">
        <v>985.805497149992</v>
      </c>
      <c r="G31" s="82">
        <v>1032.81025584</v>
      </c>
      <c r="H31" s="82">
        <v>1196.85378773</v>
      </c>
      <c r="I31" s="82">
        <v>981.68369179</v>
      </c>
      <c r="J31" s="82">
        <v>1171.25769573042</v>
      </c>
      <c r="K31" s="82">
        <v>1338.65363673</v>
      </c>
      <c r="L31" s="82">
        <v>1080.34417577</v>
      </c>
      <c r="M31" s="82">
        <v>1305.93298104466</v>
      </c>
      <c r="N31" s="82">
        <v>776.15507819</v>
      </c>
      <c r="O31" s="82">
        <v>1032.49436906</v>
      </c>
      <c r="P31" s="82">
        <v>1445.80286906</v>
      </c>
      <c r="Q31" s="82">
        <v>2172.574489061</v>
      </c>
      <c r="R31" s="82">
        <v>923.51282752</v>
      </c>
      <c r="S31" s="82">
        <v>1085.07006588936</v>
      </c>
      <c r="T31" s="82">
        <v>1270.25632232164</v>
      </c>
      <c r="U31" s="82">
        <v>1135.40724614014</v>
      </c>
      <c r="V31" s="82">
        <v>1110.47739232752</v>
      </c>
      <c r="W31" s="82">
        <v>1073.56539610293</v>
      </c>
      <c r="X31" s="82">
        <v>1149.99948505405</v>
      </c>
      <c r="Y31" s="82">
        <v>1080.91240227174</v>
      </c>
      <c r="Z31" s="82">
        <v>642.058584190996</v>
      </c>
      <c r="AA31" s="82">
        <v>930.617779793706</v>
      </c>
      <c r="AB31" s="82">
        <v>1227.04495692855</v>
      </c>
      <c r="AC31" s="82">
        <v>835.773790475968</v>
      </c>
      <c r="AD31" s="82">
        <v>799.938294302</v>
      </c>
      <c r="AE31" s="82">
        <v>1346.10891717832</v>
      </c>
      <c r="AF31" s="82">
        <v>1546.26625008416</v>
      </c>
      <c r="AG31" s="82">
        <v>1292.05042219479</v>
      </c>
      <c r="AH31" s="82">
        <v>1993.12936817696</v>
      </c>
      <c r="AI31" s="82">
        <v>1599.45322295793</v>
      </c>
      <c r="AJ31" s="82">
        <v>2260.28644994495</v>
      </c>
      <c r="AK31" s="82">
        <v>2014.11320633303</v>
      </c>
      <c r="AL31" s="82">
        <v>1780.14239791099</v>
      </c>
      <c r="AM31" s="82">
        <v>2472.52698271</v>
      </c>
      <c r="AN31" s="82">
        <v>2579.09471468075</v>
      </c>
      <c r="AO31" s="82">
        <v>2237.04756763574</v>
      </c>
      <c r="AP31" s="82">
        <v>2454.03975271</v>
      </c>
      <c r="AQ31" s="82">
        <v>3064.62855271</v>
      </c>
      <c r="AR31" s="82">
        <v>3215.04941471</v>
      </c>
      <c r="AS31" s="82">
        <v>2942.56854005627</v>
      </c>
      <c r="AT31" s="82">
        <v>2455.07651006492</v>
      </c>
      <c r="AU31" s="82">
        <v>4530.96469820499</v>
      </c>
      <c r="AV31" s="82">
        <v>3919.37957271</v>
      </c>
      <c r="AW31" s="82">
        <v>2814.37406242962</v>
      </c>
      <c r="AX31" s="82">
        <v>3094.05875909401</v>
      </c>
      <c r="AY31" s="83">
        <v>4418.06576233492</v>
      </c>
    </row>
    <row r="32" s="238" customFormat="1" ht="16.8" spans="1:51">
      <c r="A32" s="266" t="s">
        <v>241</v>
      </c>
      <c r="B32" s="267">
        <v>28</v>
      </c>
      <c r="C32" s="268">
        <v>18268.1379289274</v>
      </c>
      <c r="D32" s="268">
        <v>20398.1973841691</v>
      </c>
      <c r="E32" s="268">
        <v>20250.1909148681</v>
      </c>
      <c r="F32" s="268">
        <v>23524.0585943612</v>
      </c>
      <c r="G32" s="268">
        <v>21956.5068862343</v>
      </c>
      <c r="H32" s="268">
        <v>20749.5252931542</v>
      </c>
      <c r="I32" s="268">
        <v>24034.2917983383</v>
      </c>
      <c r="J32" s="268">
        <v>19839.8131463742</v>
      </c>
      <c r="K32" s="268">
        <v>18900.3265069407</v>
      </c>
      <c r="L32" s="268">
        <v>18756.3894626854</v>
      </c>
      <c r="M32" s="268">
        <v>18383.1987937589</v>
      </c>
      <c r="N32" s="268">
        <v>17723.9855210205</v>
      </c>
      <c r="O32" s="268">
        <v>17606.5528445391</v>
      </c>
      <c r="P32" s="268">
        <v>19691.2547500929</v>
      </c>
      <c r="Q32" s="268">
        <v>20206.8197245563</v>
      </c>
      <c r="R32" s="268">
        <v>19962.0589632687</v>
      </c>
      <c r="S32" s="268">
        <v>20315.9408497724</v>
      </c>
      <c r="T32" s="268">
        <v>19414.181008791</v>
      </c>
      <c r="U32" s="268">
        <v>16994.3360271586</v>
      </c>
      <c r="V32" s="268">
        <v>18109.8619825437</v>
      </c>
      <c r="W32" s="268">
        <v>17295.1723307439</v>
      </c>
      <c r="X32" s="268">
        <v>16996.1250469788</v>
      </c>
      <c r="Y32" s="268">
        <v>18150.5817393623</v>
      </c>
      <c r="Z32" s="268">
        <v>17217.2715425714</v>
      </c>
      <c r="AA32" s="268">
        <v>17528.0550501069</v>
      </c>
      <c r="AB32" s="268">
        <v>17187.0259923938</v>
      </c>
      <c r="AC32" s="268">
        <v>17517.9697190439</v>
      </c>
      <c r="AD32" s="268">
        <v>18351.171885134</v>
      </c>
      <c r="AE32" s="268">
        <v>18663.5779788541</v>
      </c>
      <c r="AF32" s="268">
        <v>19992.3812774632</v>
      </c>
      <c r="AG32" s="268">
        <v>20083.3579123326</v>
      </c>
      <c r="AH32" s="268">
        <v>20053.9262708738</v>
      </c>
      <c r="AI32" s="268">
        <v>19035.5418808713</v>
      </c>
      <c r="AJ32" s="268">
        <v>18838.874459734</v>
      </c>
      <c r="AK32" s="268">
        <v>17982.5238551034</v>
      </c>
      <c r="AL32" s="268">
        <v>16885.9425829389</v>
      </c>
      <c r="AM32" s="268">
        <v>16073.877380723</v>
      </c>
      <c r="AN32" s="268">
        <v>15456.9859361282</v>
      </c>
      <c r="AO32" s="268">
        <v>15722.4115680794</v>
      </c>
      <c r="AP32" s="268">
        <v>14123.0674952676</v>
      </c>
      <c r="AQ32" s="268">
        <v>13893.0829483984</v>
      </c>
      <c r="AR32" s="268">
        <v>14026.0843714071</v>
      </c>
      <c r="AS32" s="268">
        <v>13772.648372563</v>
      </c>
      <c r="AT32" s="268">
        <v>14467.1373223152</v>
      </c>
      <c r="AU32" s="268">
        <v>16000.5024795974</v>
      </c>
      <c r="AV32" s="268">
        <v>16831.0217817881</v>
      </c>
      <c r="AW32" s="268">
        <v>18370.9951957389</v>
      </c>
      <c r="AX32" s="268">
        <v>22732.639594881</v>
      </c>
      <c r="AY32" s="269">
        <v>24076.2857402476</v>
      </c>
    </row>
    <row r="33" s="238" customFormat="1" ht="9" customHeight="1" spans="1:51">
      <c r="A33" s="270"/>
      <c r="B33" s="271"/>
      <c r="C33" s="272"/>
      <c r="D33" s="272"/>
      <c r="E33" s="272"/>
      <c r="F33" s="272"/>
      <c r="G33" s="272"/>
      <c r="H33" s="272"/>
      <c r="I33" s="272"/>
      <c r="J33" s="272"/>
      <c r="K33" s="272"/>
      <c r="L33" s="272"/>
      <c r="M33" s="272"/>
      <c r="N33" s="272"/>
      <c r="O33" s="272"/>
      <c r="P33" s="272"/>
      <c r="Q33" s="272"/>
      <c r="R33" s="272"/>
      <c r="S33" s="272"/>
      <c r="T33" s="272"/>
      <c r="U33" s="272"/>
      <c r="V33" s="272"/>
      <c r="W33" s="272"/>
      <c r="X33" s="272"/>
      <c r="Y33" s="272"/>
      <c r="Z33" s="273"/>
    </row>
    <row r="34" s="238" customFormat="1" ht="19.5" customHeight="1" spans="1:51">
      <c r="A34" s="274" t="s">
        <v>242</v>
      </c>
      <c r="B34" s="274"/>
      <c r="C34" s="274"/>
      <c r="D34" s="274"/>
      <c r="E34" s="274"/>
      <c r="F34" s="274"/>
      <c r="G34" s="274"/>
      <c r="H34" s="274"/>
      <c r="I34" s="274"/>
      <c r="J34" s="274"/>
      <c r="K34" s="274"/>
      <c r="L34" s="274"/>
      <c r="M34" s="274"/>
      <c r="N34" s="274"/>
      <c r="O34" s="274"/>
      <c r="P34" s="274"/>
      <c r="Q34" s="274"/>
      <c r="R34" s="274"/>
      <c r="S34" s="274"/>
      <c r="T34" s="274"/>
      <c r="U34" s="274"/>
      <c r="V34" s="274"/>
      <c r="W34" s="274"/>
      <c r="X34" s="274"/>
      <c r="Y34" s="274"/>
      <c r="Z34" s="274"/>
      <c r="AA34" s="274"/>
      <c r="AB34" s="274"/>
      <c r="AC34" s="274"/>
      <c r="AD34" s="274"/>
    </row>
    <row r="37" spans="1:51">
      <c r="C37" s="275"/>
      <c r="D37" s="275"/>
      <c r="E37" s="275"/>
      <c r="F37" s="275"/>
      <c r="G37" s="275"/>
      <c r="H37" s="275"/>
      <c r="I37" s="275"/>
      <c r="J37" s="275"/>
      <c r="K37" s="275"/>
      <c r="L37" s="275"/>
      <c r="M37" s="275"/>
      <c r="N37" s="275"/>
      <c r="O37" s="275"/>
      <c r="P37" s="275"/>
      <c r="Q37" s="275"/>
      <c r="R37" s="275"/>
      <c r="S37" s="275"/>
      <c r="T37" s="275"/>
      <c r="U37" s="275"/>
      <c r="V37" s="275"/>
      <c r="W37" s="275"/>
      <c r="X37" s="275"/>
      <c r="Y37" s="275"/>
      <c r="Z37" s="275"/>
      <c r="AA37" s="275"/>
      <c r="AB37" s="275"/>
      <c r="AC37" s="275"/>
      <c r="AD37" s="275"/>
      <c r="AE37" s="275"/>
      <c r="AF37" s="275"/>
      <c r="AG37" s="275"/>
      <c r="AH37" s="275"/>
      <c r="AI37" s="275"/>
      <c r="AJ37" s="275"/>
      <c r="AK37" s="275"/>
      <c r="AL37" s="275"/>
      <c r="AM37" s="275"/>
      <c r="AN37" s="275"/>
      <c r="AO37" s="275"/>
      <c r="AP37" s="275"/>
      <c r="AQ37" s="275"/>
      <c r="AR37" s="275"/>
      <c r="AS37" s="275"/>
      <c r="AT37" s="275"/>
      <c r="AU37" s="275"/>
      <c r="AV37" s="275"/>
      <c r="AW37" s="275"/>
      <c r="AX37" s="275"/>
      <c r="AY37" s="275"/>
    </row>
    <row r="41" spans="1:51">
      <c r="C41" s="275"/>
      <c r="D41" s="275"/>
      <c r="E41" s="275"/>
      <c r="F41" s="275"/>
      <c r="G41" s="275"/>
      <c r="H41" s="275"/>
      <c r="I41" s="275"/>
      <c r="J41" s="275"/>
      <c r="K41" s="275"/>
      <c r="L41" s="275"/>
      <c r="M41" s="275"/>
      <c r="N41" s="275"/>
      <c r="O41" s="275"/>
      <c r="P41" s="275"/>
      <c r="Q41" s="275"/>
      <c r="R41" s="275"/>
      <c r="S41" s="275"/>
      <c r="T41" s="275"/>
      <c r="U41" s="275"/>
      <c r="V41" s="275"/>
      <c r="W41" s="275"/>
      <c r="X41" s="275"/>
      <c r="Y41" s="275"/>
      <c r="Z41" s="275"/>
      <c r="AA41" s="275"/>
      <c r="AB41" s="275"/>
      <c r="AC41" s="275"/>
      <c r="AD41" s="275"/>
      <c r="AE41" s="275"/>
      <c r="AF41" s="275"/>
      <c r="AG41" s="275"/>
      <c r="AH41" s="275"/>
      <c r="AI41" s="275"/>
      <c r="AJ41" s="275"/>
      <c r="AK41" s="275"/>
      <c r="AL41" s="275"/>
      <c r="AM41" s="275"/>
      <c r="AN41" s="275"/>
      <c r="AO41" s="275"/>
      <c r="AP41" s="275"/>
      <c r="AQ41" s="275"/>
      <c r="AR41" s="275"/>
      <c r="AS41" s="275"/>
      <c r="AT41" s="275"/>
      <c r="AU41" s="275"/>
      <c r="AV41" s="275"/>
      <c r="AW41" s="275"/>
      <c r="AX41" s="275"/>
      <c r="AY41" s="275"/>
    </row>
  </sheetData>
  <pageMargins left="0.31496062992126" right="0.31496062992126" top="0.984251968503937" bottom="0.984251968503937" header="0.31496062992126" footer="0.31496062992126"/>
  <pageSetup paperSize="9" scale="70" orientation="landscape"/>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C51"/>
  <sheetViews>
    <sheetView showGridLines="0" zoomScale="85" zoomScaleNormal="85" zoomScaleSheetLayoutView="85" workbookViewId="0">
      <pane xSplit="1" ySplit="3" topLeftCell="B4" activePane="bottomRight" state="frozen"/>
      <selection/>
      <selection pane="topRight"/>
      <selection pane="bottomLeft"/>
      <selection pane="bottomRight" activeCell="A1" sqref="A1"/>
    </sheetView>
  </sheetViews>
  <sheetFormatPr defaultColWidth="9" defaultRowHeight="17.6"/>
  <cols>
    <col min="1" max="1" width="56.4296875" style="165" customWidth="1"/>
    <col min="2" max="5" width="8.859375" style="165" hidden="1" customWidth="1" outlineLevel="1"/>
    <col min="6" max="6" width="8.859375" style="165" customWidth="1" collapsed="1"/>
    <col min="7" max="10" width="8.859375" style="165" hidden="1" customWidth="1" outlineLevel="1"/>
    <col min="11" max="11" width="8.859375" style="165" customWidth="1" collapsed="1"/>
    <col min="12" max="15" width="8.859375" style="165" hidden="1" customWidth="1" outlineLevel="1"/>
    <col min="16" max="16" width="8.859375" style="165" customWidth="1" collapsed="1"/>
    <col min="17" max="17" width="8.859375" style="165" hidden="1" customWidth="1" outlineLevel="1"/>
    <col min="18" max="20" width="9.2890625" style="165" hidden="1" customWidth="1" outlineLevel="1"/>
    <col min="21" max="21" width="9.2890625" style="165" customWidth="1" collapsed="1"/>
    <col min="22" max="25" width="9.2890625" style="165" hidden="1" customWidth="1" outlineLevel="1"/>
    <col min="26" max="26" width="9.2890625" style="165" customWidth="1" collapsed="1"/>
    <col min="27" max="30" width="9.2890625" style="165" hidden="1" customWidth="1" outlineLevel="1"/>
    <col min="31" max="31" width="9.2890625" style="165" customWidth="1" collapsed="1"/>
    <col min="32" max="35" width="9.2890625" style="165" hidden="1" customWidth="1" outlineLevel="1"/>
    <col min="36" max="36" width="9.2890625" style="165" customWidth="1" collapsed="1"/>
    <col min="37" max="40" width="9.2890625" style="165" hidden="1" customWidth="1" outlineLevel="1"/>
    <col min="41" max="41" width="9.2890625" style="165" customWidth="1" collapsed="1"/>
    <col min="42" max="42" width="11.2890625" style="165" hidden="1" customWidth="1" outlineLevel="1"/>
    <col min="43" max="45" width="9.2890625" style="165" hidden="1" customWidth="1" outlineLevel="1"/>
    <col min="46" max="46" width="9.2890625" style="165" customWidth="1" collapsed="1"/>
    <col min="47" max="47" width="9.2890625" style="165" hidden="1" customWidth="1" outlineLevel="1"/>
    <col min="48" max="48" width="9.4296875" style="165" hidden="1" customWidth="1" outlineLevel="1"/>
    <col min="49" max="50" width="9.2890625" style="165" hidden="1" customWidth="1" outlineLevel="1"/>
    <col min="51" max="51" width="9.2890625" style="165" customWidth="1" collapsed="1"/>
    <col min="52" max="54" width="9.2890625" style="165" hidden="1" customWidth="1" outlineLevel="1"/>
    <col min="55" max="55" width="11.4296875" style="165" hidden="1" customWidth="1" outlineLevel="1"/>
    <col min="56" max="56" width="9.2890625" style="165" customWidth="1" collapsed="1"/>
    <col min="57" max="58" width="9.2890625" style="165" hidden="1" customWidth="1" outlineLevel="1"/>
    <col min="59" max="60" width="9.859375" style="165" hidden="1" customWidth="1" outlineLevel="1"/>
    <col min="61" max="61" width="9.859375" style="165" customWidth="1" collapsed="1"/>
    <col min="62" max="62" width="11.140625" style="165" hidden="1" customWidth="1" outlineLevel="1"/>
    <col min="63" max="65" width="9.859375" style="165" hidden="1" customWidth="1" outlineLevel="1"/>
    <col min="66" max="66" width="9.859375" style="165" customWidth="1" collapsed="1"/>
    <col min="67" max="70" width="9.859375" style="165" hidden="1" customWidth="1" outlineLevel="1"/>
    <col min="71" max="71" width="9.859375" style="165" customWidth="1" collapsed="1"/>
    <col min="72" max="73" width="9.859375" style="165" hidden="1" customWidth="1" outlineLevel="1"/>
    <col min="74" max="75" width="9.2890625" style="165" hidden="1" customWidth="1" outlineLevel="1"/>
    <col min="76" max="76" width="9.2890625" style="166" customWidth="1" collapsed="1"/>
    <col min="77" max="77" width="9.7109375" style="166" hidden="1" customWidth="1" outlineLevel="1"/>
    <col min="78" max="78" width="9.859375" style="165" hidden="1" customWidth="1" outlineLevel="1"/>
    <col min="79" max="79" width="10" style="165" hidden="1" customWidth="1" outlineLevel="1"/>
    <col min="80" max="80" width="9.859375" style="165" hidden="1" customWidth="1" outlineLevel="1"/>
    <col min="81" max="81" width="9.859375" style="165" customWidth="1" collapsed="1"/>
    <col min="82" max="85" width="9.859375" style="165" hidden="1" customWidth="1" outlineLevel="1"/>
    <col min="86" max="86" width="9.859375" style="165" customWidth="1" collapsed="1"/>
    <col min="87" max="90" width="9.859375" style="165" hidden="1" customWidth="1" outlineLevel="1"/>
    <col min="91" max="91" width="9.859375" style="165" customWidth="1" collapsed="1"/>
    <col min="92" max="95" width="9.859375" style="165" hidden="1" customWidth="1" outlineLevel="1"/>
    <col min="96" max="96" width="9.859375" style="165" customWidth="1" collapsed="1"/>
    <col min="97" max="99" width="9.859375" style="165" hidden="1" customWidth="1" outlineLevel="1"/>
    <col min="100" max="100" width="10.2890625" style="165" hidden="1" customWidth="1" outlineLevel="1"/>
    <col min="101" max="101" width="10.2890625" style="165" customWidth="1" collapsed="1"/>
    <col min="102" max="104" width="9.859375" style="165" customWidth="1"/>
    <col min="105" max="106" width="10.2890625" style="165" customWidth="1"/>
    <col min="107" max="107" width="9.859375" style="165" customWidth="1"/>
    <col min="108" max="256" width="9.140625" style="165"/>
    <col min="257" max="257" width="56.4296875" style="165" customWidth="1"/>
    <col min="258" max="261" width="9" style="165" hidden="1" customWidth="1"/>
    <col min="262" max="262" width="10.7109375" style="165" customWidth="1"/>
    <col min="263" max="266" width="9" style="165" hidden="1" customWidth="1"/>
    <col min="267" max="267" width="10.7109375" style="165" customWidth="1"/>
    <col min="268" max="271" width="9" style="165" hidden="1" customWidth="1"/>
    <col min="272" max="272" width="10.7109375" style="165" customWidth="1"/>
    <col min="273" max="276" width="9" style="165" hidden="1" customWidth="1"/>
    <col min="277" max="277" width="11.140625" style="165" customWidth="1"/>
    <col min="278" max="281" width="9" style="165" hidden="1" customWidth="1"/>
    <col min="282" max="282" width="11.140625" style="165" customWidth="1"/>
    <col min="283" max="286" width="9" style="165" hidden="1" customWidth="1"/>
    <col min="287" max="287" width="11.140625" style="165" customWidth="1"/>
    <col min="288" max="291" width="9" style="165" hidden="1" customWidth="1"/>
    <col min="292" max="292" width="11.140625" style="165" customWidth="1"/>
    <col min="293" max="296" width="9" style="165" hidden="1" customWidth="1"/>
    <col min="297" max="297" width="11.140625" style="165" customWidth="1"/>
    <col min="298" max="301" width="9" style="165" hidden="1" customWidth="1"/>
    <col min="302" max="302" width="11.140625" style="165" customWidth="1"/>
    <col min="303" max="306" width="9" style="165" hidden="1" customWidth="1"/>
    <col min="307" max="307" width="11.2890625" style="165" customWidth="1"/>
    <col min="308" max="311" width="9" style="165" hidden="1" customWidth="1"/>
    <col min="312" max="312" width="12.140625" style="165" customWidth="1"/>
    <col min="313" max="316" width="9" style="165" hidden="1" customWidth="1"/>
    <col min="317" max="317" width="11.7109375" style="165" customWidth="1"/>
    <col min="318" max="321" width="9" style="165" hidden="1" customWidth="1"/>
    <col min="322" max="322" width="12" style="165" customWidth="1"/>
    <col min="323" max="326" width="9" style="165" hidden="1" customWidth="1"/>
    <col min="327" max="328" width="12" style="165" customWidth="1"/>
    <col min="329" max="329" width="11.2890625" style="165" customWidth="1"/>
    <col min="330" max="332" width="10.5703125" style="165" customWidth="1"/>
    <col min="333" max="512" width="9.140625" style="165"/>
    <col min="513" max="513" width="56.4296875" style="165" customWidth="1"/>
    <col min="514" max="517" width="9" style="165" hidden="1" customWidth="1"/>
    <col min="518" max="518" width="10.7109375" style="165" customWidth="1"/>
    <col min="519" max="522" width="9" style="165" hidden="1" customWidth="1"/>
    <col min="523" max="523" width="10.7109375" style="165" customWidth="1"/>
    <col min="524" max="527" width="9" style="165" hidden="1" customWidth="1"/>
    <col min="528" max="528" width="10.7109375" style="165" customWidth="1"/>
    <col min="529" max="532" width="9" style="165" hidden="1" customWidth="1"/>
    <col min="533" max="533" width="11.140625" style="165" customWidth="1"/>
    <col min="534" max="537" width="9" style="165" hidden="1" customWidth="1"/>
    <col min="538" max="538" width="11.140625" style="165" customWidth="1"/>
    <col min="539" max="542" width="9" style="165" hidden="1" customWidth="1"/>
    <col min="543" max="543" width="11.140625" style="165" customWidth="1"/>
    <col min="544" max="547" width="9" style="165" hidden="1" customWidth="1"/>
    <col min="548" max="548" width="11.140625" style="165" customWidth="1"/>
    <col min="549" max="552" width="9" style="165" hidden="1" customWidth="1"/>
    <col min="553" max="553" width="11.140625" style="165" customWidth="1"/>
    <col min="554" max="557" width="9" style="165" hidden="1" customWidth="1"/>
    <col min="558" max="558" width="11.140625" style="165" customWidth="1"/>
    <col min="559" max="562" width="9" style="165" hidden="1" customWidth="1"/>
    <col min="563" max="563" width="11.2890625" style="165" customWidth="1"/>
    <col min="564" max="567" width="9" style="165" hidden="1" customWidth="1"/>
    <col min="568" max="568" width="12.140625" style="165" customWidth="1"/>
    <col min="569" max="572" width="9" style="165" hidden="1" customWidth="1"/>
    <col min="573" max="573" width="11.7109375" style="165" customWidth="1"/>
    <col min="574" max="577" width="9" style="165" hidden="1" customWidth="1"/>
    <col min="578" max="578" width="12" style="165" customWidth="1"/>
    <col min="579" max="582" width="9" style="165" hidden="1" customWidth="1"/>
    <col min="583" max="584" width="12" style="165" customWidth="1"/>
    <col min="585" max="585" width="11.2890625" style="165" customWidth="1"/>
    <col min="586" max="588" width="10.5703125" style="165" customWidth="1"/>
    <col min="589" max="768" width="9.140625" style="165"/>
    <col min="769" max="769" width="56.4296875" style="165" customWidth="1"/>
    <col min="770" max="773" width="9" style="165" hidden="1" customWidth="1"/>
    <col min="774" max="774" width="10.7109375" style="165" customWidth="1"/>
    <col min="775" max="778" width="9" style="165" hidden="1" customWidth="1"/>
    <col min="779" max="779" width="10.7109375" style="165" customWidth="1"/>
    <col min="780" max="783" width="9" style="165" hidden="1" customWidth="1"/>
    <col min="784" max="784" width="10.7109375" style="165" customWidth="1"/>
    <col min="785" max="788" width="9" style="165" hidden="1" customWidth="1"/>
    <col min="789" max="789" width="11.140625" style="165" customWidth="1"/>
    <col min="790" max="793" width="9" style="165" hidden="1" customWidth="1"/>
    <col min="794" max="794" width="11.140625" style="165" customWidth="1"/>
    <col min="795" max="798" width="9" style="165" hidden="1" customWidth="1"/>
    <col min="799" max="799" width="11.140625" style="165" customWidth="1"/>
    <col min="800" max="803" width="9" style="165" hidden="1" customWidth="1"/>
    <col min="804" max="804" width="11.140625" style="165" customWidth="1"/>
    <col min="805" max="808" width="9" style="165" hidden="1" customWidth="1"/>
    <col min="809" max="809" width="11.140625" style="165" customWidth="1"/>
    <col min="810" max="813" width="9" style="165" hidden="1" customWidth="1"/>
    <col min="814" max="814" width="11.140625" style="165" customWidth="1"/>
    <col min="815" max="818" width="9" style="165" hidden="1" customWidth="1"/>
    <col min="819" max="819" width="11.2890625" style="165" customWidth="1"/>
    <col min="820" max="823" width="9" style="165" hidden="1" customWidth="1"/>
    <col min="824" max="824" width="12.140625" style="165" customWidth="1"/>
    <col min="825" max="828" width="9" style="165" hidden="1" customWidth="1"/>
    <col min="829" max="829" width="11.7109375" style="165" customWidth="1"/>
    <col min="830" max="833" width="9" style="165" hidden="1" customWidth="1"/>
    <col min="834" max="834" width="12" style="165" customWidth="1"/>
    <col min="835" max="838" width="9" style="165" hidden="1" customWidth="1"/>
    <col min="839" max="840" width="12" style="165" customWidth="1"/>
    <col min="841" max="841" width="11.2890625" style="165" customWidth="1"/>
    <col min="842" max="844" width="10.5703125" style="165" customWidth="1"/>
    <col min="845" max="1024" width="9.140625" style="165"/>
    <col min="1025" max="1025" width="56.4296875" style="165" customWidth="1"/>
    <col min="1026" max="1029" width="9" style="165" hidden="1" customWidth="1"/>
    <col min="1030" max="1030" width="10.7109375" style="165" customWidth="1"/>
    <col min="1031" max="1034" width="9" style="165" hidden="1" customWidth="1"/>
    <col min="1035" max="1035" width="10.7109375" style="165" customWidth="1"/>
    <col min="1036" max="1039" width="9" style="165" hidden="1" customWidth="1"/>
    <col min="1040" max="1040" width="10.7109375" style="165" customWidth="1"/>
    <col min="1041" max="1044" width="9" style="165" hidden="1" customWidth="1"/>
    <col min="1045" max="1045" width="11.140625" style="165" customWidth="1"/>
    <col min="1046" max="1049" width="9" style="165" hidden="1" customWidth="1"/>
    <col min="1050" max="1050" width="11.140625" style="165" customWidth="1"/>
    <col min="1051" max="1054" width="9" style="165" hidden="1" customWidth="1"/>
    <col min="1055" max="1055" width="11.140625" style="165" customWidth="1"/>
    <col min="1056" max="1059" width="9" style="165" hidden="1" customWidth="1"/>
    <col min="1060" max="1060" width="11.140625" style="165" customWidth="1"/>
    <col min="1061" max="1064" width="9" style="165" hidden="1" customWidth="1"/>
    <col min="1065" max="1065" width="11.140625" style="165" customWidth="1"/>
    <col min="1066" max="1069" width="9" style="165" hidden="1" customWidth="1"/>
    <col min="1070" max="1070" width="11.140625" style="165" customWidth="1"/>
    <col min="1071" max="1074" width="9" style="165" hidden="1" customWidth="1"/>
    <col min="1075" max="1075" width="11.2890625" style="165" customWidth="1"/>
    <col min="1076" max="1079" width="9" style="165" hidden="1" customWidth="1"/>
    <col min="1080" max="1080" width="12.140625" style="165" customWidth="1"/>
    <col min="1081" max="1084" width="9" style="165" hidden="1" customWidth="1"/>
    <col min="1085" max="1085" width="11.7109375" style="165" customWidth="1"/>
    <col min="1086" max="1089" width="9" style="165" hidden="1" customWidth="1"/>
    <col min="1090" max="1090" width="12" style="165" customWidth="1"/>
    <col min="1091" max="1094" width="9" style="165" hidden="1" customWidth="1"/>
    <col min="1095" max="1096" width="12" style="165" customWidth="1"/>
    <col min="1097" max="1097" width="11.2890625" style="165" customWidth="1"/>
    <col min="1098" max="1100" width="10.5703125" style="165" customWidth="1"/>
    <col min="1101" max="1280" width="9.140625" style="165"/>
    <col min="1281" max="1281" width="56.4296875" style="165" customWidth="1"/>
    <col min="1282" max="1285" width="9" style="165" hidden="1" customWidth="1"/>
    <col min="1286" max="1286" width="10.7109375" style="165" customWidth="1"/>
    <col min="1287" max="1290" width="9" style="165" hidden="1" customWidth="1"/>
    <col min="1291" max="1291" width="10.7109375" style="165" customWidth="1"/>
    <col min="1292" max="1295" width="9" style="165" hidden="1" customWidth="1"/>
    <col min="1296" max="1296" width="10.7109375" style="165" customWidth="1"/>
    <col min="1297" max="1300" width="9" style="165" hidden="1" customWidth="1"/>
    <col min="1301" max="1301" width="11.140625" style="165" customWidth="1"/>
    <col min="1302" max="1305" width="9" style="165" hidden="1" customWidth="1"/>
    <col min="1306" max="1306" width="11.140625" style="165" customWidth="1"/>
    <col min="1307" max="1310" width="9" style="165" hidden="1" customWidth="1"/>
    <col min="1311" max="1311" width="11.140625" style="165" customWidth="1"/>
    <col min="1312" max="1315" width="9" style="165" hidden="1" customWidth="1"/>
    <col min="1316" max="1316" width="11.140625" style="165" customWidth="1"/>
    <col min="1317" max="1320" width="9" style="165" hidden="1" customWidth="1"/>
    <col min="1321" max="1321" width="11.140625" style="165" customWidth="1"/>
    <col min="1322" max="1325" width="9" style="165" hidden="1" customWidth="1"/>
    <col min="1326" max="1326" width="11.140625" style="165" customWidth="1"/>
    <col min="1327" max="1330" width="9" style="165" hidden="1" customWidth="1"/>
    <col min="1331" max="1331" width="11.2890625" style="165" customWidth="1"/>
    <col min="1332" max="1335" width="9" style="165" hidden="1" customWidth="1"/>
    <col min="1336" max="1336" width="12.140625" style="165" customWidth="1"/>
    <col min="1337" max="1340" width="9" style="165" hidden="1" customWidth="1"/>
    <col min="1341" max="1341" width="11.7109375" style="165" customWidth="1"/>
    <col min="1342" max="1345" width="9" style="165" hidden="1" customWidth="1"/>
    <col min="1346" max="1346" width="12" style="165" customWidth="1"/>
    <col min="1347" max="1350" width="9" style="165" hidden="1" customWidth="1"/>
    <col min="1351" max="1352" width="12" style="165" customWidth="1"/>
    <col min="1353" max="1353" width="11.2890625" style="165" customWidth="1"/>
    <col min="1354" max="1356" width="10.5703125" style="165" customWidth="1"/>
    <col min="1357" max="1536" width="9.140625" style="165"/>
    <col min="1537" max="1537" width="56.4296875" style="165" customWidth="1"/>
    <col min="1538" max="1541" width="9" style="165" hidden="1" customWidth="1"/>
    <col min="1542" max="1542" width="10.7109375" style="165" customWidth="1"/>
    <col min="1543" max="1546" width="9" style="165" hidden="1" customWidth="1"/>
    <col min="1547" max="1547" width="10.7109375" style="165" customWidth="1"/>
    <col min="1548" max="1551" width="9" style="165" hidden="1" customWidth="1"/>
    <col min="1552" max="1552" width="10.7109375" style="165" customWidth="1"/>
    <col min="1553" max="1556" width="9" style="165" hidden="1" customWidth="1"/>
    <col min="1557" max="1557" width="11.140625" style="165" customWidth="1"/>
    <col min="1558" max="1561" width="9" style="165" hidden="1" customWidth="1"/>
    <col min="1562" max="1562" width="11.140625" style="165" customWidth="1"/>
    <col min="1563" max="1566" width="9" style="165" hidden="1" customWidth="1"/>
    <col min="1567" max="1567" width="11.140625" style="165" customWidth="1"/>
    <col min="1568" max="1571" width="9" style="165" hidden="1" customWidth="1"/>
    <col min="1572" max="1572" width="11.140625" style="165" customWidth="1"/>
    <col min="1573" max="1576" width="9" style="165" hidden="1" customWidth="1"/>
    <col min="1577" max="1577" width="11.140625" style="165" customWidth="1"/>
    <col min="1578" max="1581" width="9" style="165" hidden="1" customWidth="1"/>
    <col min="1582" max="1582" width="11.140625" style="165" customWidth="1"/>
    <col min="1583" max="1586" width="9" style="165" hidden="1" customWidth="1"/>
    <col min="1587" max="1587" width="11.2890625" style="165" customWidth="1"/>
    <col min="1588" max="1591" width="9" style="165" hidden="1" customWidth="1"/>
    <col min="1592" max="1592" width="12.140625" style="165" customWidth="1"/>
    <col min="1593" max="1596" width="9" style="165" hidden="1" customWidth="1"/>
    <col min="1597" max="1597" width="11.7109375" style="165" customWidth="1"/>
    <col min="1598" max="1601" width="9" style="165" hidden="1" customWidth="1"/>
    <col min="1602" max="1602" width="12" style="165" customWidth="1"/>
    <col min="1603" max="1606" width="9" style="165" hidden="1" customWidth="1"/>
    <col min="1607" max="1608" width="12" style="165" customWidth="1"/>
    <col min="1609" max="1609" width="11.2890625" style="165" customWidth="1"/>
    <col min="1610" max="1612" width="10.5703125" style="165" customWidth="1"/>
    <col min="1613" max="1792" width="9.140625" style="165"/>
    <col min="1793" max="1793" width="56.4296875" style="165" customWidth="1"/>
    <col min="1794" max="1797" width="9" style="165" hidden="1" customWidth="1"/>
    <col min="1798" max="1798" width="10.7109375" style="165" customWidth="1"/>
    <col min="1799" max="1802" width="9" style="165" hidden="1" customWidth="1"/>
    <col min="1803" max="1803" width="10.7109375" style="165" customWidth="1"/>
    <col min="1804" max="1807" width="9" style="165" hidden="1" customWidth="1"/>
    <col min="1808" max="1808" width="10.7109375" style="165" customWidth="1"/>
    <col min="1809" max="1812" width="9" style="165" hidden="1" customWidth="1"/>
    <col min="1813" max="1813" width="11.140625" style="165" customWidth="1"/>
    <col min="1814" max="1817" width="9" style="165" hidden="1" customWidth="1"/>
    <col min="1818" max="1818" width="11.140625" style="165" customWidth="1"/>
    <col min="1819" max="1822" width="9" style="165" hidden="1" customWidth="1"/>
    <col min="1823" max="1823" width="11.140625" style="165" customWidth="1"/>
    <col min="1824" max="1827" width="9" style="165" hidden="1" customWidth="1"/>
    <col min="1828" max="1828" width="11.140625" style="165" customWidth="1"/>
    <col min="1829" max="1832" width="9" style="165" hidden="1" customWidth="1"/>
    <col min="1833" max="1833" width="11.140625" style="165" customWidth="1"/>
    <col min="1834" max="1837" width="9" style="165" hidden="1" customWidth="1"/>
    <col min="1838" max="1838" width="11.140625" style="165" customWidth="1"/>
    <col min="1839" max="1842" width="9" style="165" hidden="1" customWidth="1"/>
    <col min="1843" max="1843" width="11.2890625" style="165" customWidth="1"/>
    <col min="1844" max="1847" width="9" style="165" hidden="1" customWidth="1"/>
    <col min="1848" max="1848" width="12.140625" style="165" customWidth="1"/>
    <col min="1849" max="1852" width="9" style="165" hidden="1" customWidth="1"/>
    <col min="1853" max="1853" width="11.7109375" style="165" customWidth="1"/>
    <col min="1854" max="1857" width="9" style="165" hidden="1" customWidth="1"/>
    <col min="1858" max="1858" width="12" style="165" customWidth="1"/>
    <col min="1859" max="1862" width="9" style="165" hidden="1" customWidth="1"/>
    <col min="1863" max="1864" width="12" style="165" customWidth="1"/>
    <col min="1865" max="1865" width="11.2890625" style="165" customWidth="1"/>
    <col min="1866" max="1868" width="10.5703125" style="165" customWidth="1"/>
    <col min="1869" max="2048" width="9.140625" style="165"/>
    <col min="2049" max="2049" width="56.4296875" style="165" customWidth="1"/>
    <col min="2050" max="2053" width="9" style="165" hidden="1" customWidth="1"/>
    <col min="2054" max="2054" width="10.7109375" style="165" customWidth="1"/>
    <col min="2055" max="2058" width="9" style="165" hidden="1" customWidth="1"/>
    <col min="2059" max="2059" width="10.7109375" style="165" customWidth="1"/>
    <col min="2060" max="2063" width="9" style="165" hidden="1" customWidth="1"/>
    <col min="2064" max="2064" width="10.7109375" style="165" customWidth="1"/>
    <col min="2065" max="2068" width="9" style="165" hidden="1" customWidth="1"/>
    <col min="2069" max="2069" width="11.140625" style="165" customWidth="1"/>
    <col min="2070" max="2073" width="9" style="165" hidden="1" customWidth="1"/>
    <col min="2074" max="2074" width="11.140625" style="165" customWidth="1"/>
    <col min="2075" max="2078" width="9" style="165" hidden="1" customWidth="1"/>
    <col min="2079" max="2079" width="11.140625" style="165" customWidth="1"/>
    <col min="2080" max="2083" width="9" style="165" hidden="1" customWidth="1"/>
    <col min="2084" max="2084" width="11.140625" style="165" customWidth="1"/>
    <col min="2085" max="2088" width="9" style="165" hidden="1" customWidth="1"/>
    <col min="2089" max="2089" width="11.140625" style="165" customWidth="1"/>
    <col min="2090" max="2093" width="9" style="165" hidden="1" customWidth="1"/>
    <col min="2094" max="2094" width="11.140625" style="165" customWidth="1"/>
    <col min="2095" max="2098" width="9" style="165" hidden="1" customWidth="1"/>
    <col min="2099" max="2099" width="11.2890625" style="165" customWidth="1"/>
    <col min="2100" max="2103" width="9" style="165" hidden="1" customWidth="1"/>
    <col min="2104" max="2104" width="12.140625" style="165" customWidth="1"/>
    <col min="2105" max="2108" width="9" style="165" hidden="1" customWidth="1"/>
    <col min="2109" max="2109" width="11.7109375" style="165" customWidth="1"/>
    <col min="2110" max="2113" width="9" style="165" hidden="1" customWidth="1"/>
    <col min="2114" max="2114" width="12" style="165" customWidth="1"/>
    <col min="2115" max="2118" width="9" style="165" hidden="1" customWidth="1"/>
    <col min="2119" max="2120" width="12" style="165" customWidth="1"/>
    <col min="2121" max="2121" width="11.2890625" style="165" customWidth="1"/>
    <col min="2122" max="2124" width="10.5703125" style="165" customWidth="1"/>
    <col min="2125" max="2304" width="9.140625" style="165"/>
    <col min="2305" max="2305" width="56.4296875" style="165" customWidth="1"/>
    <col min="2306" max="2309" width="9" style="165" hidden="1" customWidth="1"/>
    <col min="2310" max="2310" width="10.7109375" style="165" customWidth="1"/>
    <col min="2311" max="2314" width="9" style="165" hidden="1" customWidth="1"/>
    <col min="2315" max="2315" width="10.7109375" style="165" customWidth="1"/>
    <col min="2316" max="2319" width="9" style="165" hidden="1" customWidth="1"/>
    <col min="2320" max="2320" width="10.7109375" style="165" customWidth="1"/>
    <col min="2321" max="2324" width="9" style="165" hidden="1" customWidth="1"/>
    <col min="2325" max="2325" width="11.140625" style="165" customWidth="1"/>
    <col min="2326" max="2329" width="9" style="165" hidden="1" customWidth="1"/>
    <col min="2330" max="2330" width="11.140625" style="165" customWidth="1"/>
    <col min="2331" max="2334" width="9" style="165" hidden="1" customWidth="1"/>
    <col min="2335" max="2335" width="11.140625" style="165" customWidth="1"/>
    <col min="2336" max="2339" width="9" style="165" hidden="1" customWidth="1"/>
    <col min="2340" max="2340" width="11.140625" style="165" customWidth="1"/>
    <col min="2341" max="2344" width="9" style="165" hidden="1" customWidth="1"/>
    <col min="2345" max="2345" width="11.140625" style="165" customWidth="1"/>
    <col min="2346" max="2349" width="9" style="165" hidden="1" customWidth="1"/>
    <col min="2350" max="2350" width="11.140625" style="165" customWidth="1"/>
    <col min="2351" max="2354" width="9" style="165" hidden="1" customWidth="1"/>
    <col min="2355" max="2355" width="11.2890625" style="165" customWidth="1"/>
    <col min="2356" max="2359" width="9" style="165" hidden="1" customWidth="1"/>
    <col min="2360" max="2360" width="12.140625" style="165" customWidth="1"/>
    <col min="2361" max="2364" width="9" style="165" hidden="1" customWidth="1"/>
    <col min="2365" max="2365" width="11.7109375" style="165" customWidth="1"/>
    <col min="2366" max="2369" width="9" style="165" hidden="1" customWidth="1"/>
    <col min="2370" max="2370" width="12" style="165" customWidth="1"/>
    <col min="2371" max="2374" width="9" style="165" hidden="1" customWidth="1"/>
    <col min="2375" max="2376" width="12" style="165" customWidth="1"/>
    <col min="2377" max="2377" width="11.2890625" style="165" customWidth="1"/>
    <col min="2378" max="2380" width="10.5703125" style="165" customWidth="1"/>
    <col min="2381" max="2560" width="9.140625" style="165"/>
    <col min="2561" max="2561" width="56.4296875" style="165" customWidth="1"/>
    <col min="2562" max="2565" width="9" style="165" hidden="1" customWidth="1"/>
    <col min="2566" max="2566" width="10.7109375" style="165" customWidth="1"/>
    <col min="2567" max="2570" width="9" style="165" hidden="1" customWidth="1"/>
    <col min="2571" max="2571" width="10.7109375" style="165" customWidth="1"/>
    <col min="2572" max="2575" width="9" style="165" hidden="1" customWidth="1"/>
    <col min="2576" max="2576" width="10.7109375" style="165" customWidth="1"/>
    <col min="2577" max="2580" width="9" style="165" hidden="1" customWidth="1"/>
    <col min="2581" max="2581" width="11.140625" style="165" customWidth="1"/>
    <col min="2582" max="2585" width="9" style="165" hidden="1" customWidth="1"/>
    <col min="2586" max="2586" width="11.140625" style="165" customWidth="1"/>
    <col min="2587" max="2590" width="9" style="165" hidden="1" customWidth="1"/>
    <col min="2591" max="2591" width="11.140625" style="165" customWidth="1"/>
    <col min="2592" max="2595" width="9" style="165" hidden="1" customWidth="1"/>
    <col min="2596" max="2596" width="11.140625" style="165" customWidth="1"/>
    <col min="2597" max="2600" width="9" style="165" hidden="1" customWidth="1"/>
    <col min="2601" max="2601" width="11.140625" style="165" customWidth="1"/>
    <col min="2602" max="2605" width="9" style="165" hidden="1" customWidth="1"/>
    <col min="2606" max="2606" width="11.140625" style="165" customWidth="1"/>
    <col min="2607" max="2610" width="9" style="165" hidden="1" customWidth="1"/>
    <col min="2611" max="2611" width="11.2890625" style="165" customWidth="1"/>
    <col min="2612" max="2615" width="9" style="165" hidden="1" customWidth="1"/>
    <col min="2616" max="2616" width="12.140625" style="165" customWidth="1"/>
    <col min="2617" max="2620" width="9" style="165" hidden="1" customWidth="1"/>
    <col min="2621" max="2621" width="11.7109375" style="165" customWidth="1"/>
    <col min="2622" max="2625" width="9" style="165" hidden="1" customWidth="1"/>
    <col min="2626" max="2626" width="12" style="165" customWidth="1"/>
    <col min="2627" max="2630" width="9" style="165" hidden="1" customWidth="1"/>
    <col min="2631" max="2632" width="12" style="165" customWidth="1"/>
    <col min="2633" max="2633" width="11.2890625" style="165" customWidth="1"/>
    <col min="2634" max="2636" width="10.5703125" style="165" customWidth="1"/>
    <col min="2637" max="2816" width="9.140625" style="165"/>
    <col min="2817" max="2817" width="56.4296875" style="165" customWidth="1"/>
    <col min="2818" max="2821" width="9" style="165" hidden="1" customWidth="1"/>
    <col min="2822" max="2822" width="10.7109375" style="165" customWidth="1"/>
    <col min="2823" max="2826" width="9" style="165" hidden="1" customWidth="1"/>
    <col min="2827" max="2827" width="10.7109375" style="165" customWidth="1"/>
    <col min="2828" max="2831" width="9" style="165" hidden="1" customWidth="1"/>
    <col min="2832" max="2832" width="10.7109375" style="165" customWidth="1"/>
    <col min="2833" max="2836" width="9" style="165" hidden="1" customWidth="1"/>
    <col min="2837" max="2837" width="11.140625" style="165" customWidth="1"/>
    <col min="2838" max="2841" width="9" style="165" hidden="1" customWidth="1"/>
    <col min="2842" max="2842" width="11.140625" style="165" customWidth="1"/>
    <col min="2843" max="2846" width="9" style="165" hidden="1" customWidth="1"/>
    <col min="2847" max="2847" width="11.140625" style="165" customWidth="1"/>
    <col min="2848" max="2851" width="9" style="165" hidden="1" customWidth="1"/>
    <col min="2852" max="2852" width="11.140625" style="165" customWidth="1"/>
    <col min="2853" max="2856" width="9" style="165" hidden="1" customWidth="1"/>
    <col min="2857" max="2857" width="11.140625" style="165" customWidth="1"/>
    <col min="2858" max="2861" width="9" style="165" hidden="1" customWidth="1"/>
    <col min="2862" max="2862" width="11.140625" style="165" customWidth="1"/>
    <col min="2863" max="2866" width="9" style="165" hidden="1" customWidth="1"/>
    <col min="2867" max="2867" width="11.2890625" style="165" customWidth="1"/>
    <col min="2868" max="2871" width="9" style="165" hidden="1" customWidth="1"/>
    <col min="2872" max="2872" width="12.140625" style="165" customWidth="1"/>
    <col min="2873" max="2876" width="9" style="165" hidden="1" customWidth="1"/>
    <col min="2877" max="2877" width="11.7109375" style="165" customWidth="1"/>
    <col min="2878" max="2881" width="9" style="165" hidden="1" customWidth="1"/>
    <col min="2882" max="2882" width="12" style="165" customWidth="1"/>
    <col min="2883" max="2886" width="9" style="165" hidden="1" customWidth="1"/>
    <col min="2887" max="2888" width="12" style="165" customWidth="1"/>
    <col min="2889" max="2889" width="11.2890625" style="165" customWidth="1"/>
    <col min="2890" max="2892" width="10.5703125" style="165" customWidth="1"/>
    <col min="2893" max="3072" width="9.140625" style="165"/>
    <col min="3073" max="3073" width="56.4296875" style="165" customWidth="1"/>
    <col min="3074" max="3077" width="9" style="165" hidden="1" customWidth="1"/>
    <col min="3078" max="3078" width="10.7109375" style="165" customWidth="1"/>
    <col min="3079" max="3082" width="9" style="165" hidden="1" customWidth="1"/>
    <col min="3083" max="3083" width="10.7109375" style="165" customWidth="1"/>
    <col min="3084" max="3087" width="9" style="165" hidden="1" customWidth="1"/>
    <col min="3088" max="3088" width="10.7109375" style="165" customWidth="1"/>
    <col min="3089" max="3092" width="9" style="165" hidden="1" customWidth="1"/>
    <col min="3093" max="3093" width="11.140625" style="165" customWidth="1"/>
    <col min="3094" max="3097" width="9" style="165" hidden="1" customWidth="1"/>
    <col min="3098" max="3098" width="11.140625" style="165" customWidth="1"/>
    <col min="3099" max="3102" width="9" style="165" hidden="1" customWidth="1"/>
    <col min="3103" max="3103" width="11.140625" style="165" customWidth="1"/>
    <col min="3104" max="3107" width="9" style="165" hidden="1" customWidth="1"/>
    <col min="3108" max="3108" width="11.140625" style="165" customWidth="1"/>
    <col min="3109" max="3112" width="9" style="165" hidden="1" customWidth="1"/>
    <col min="3113" max="3113" width="11.140625" style="165" customWidth="1"/>
    <col min="3114" max="3117" width="9" style="165" hidden="1" customWidth="1"/>
    <col min="3118" max="3118" width="11.140625" style="165" customWidth="1"/>
    <col min="3119" max="3122" width="9" style="165" hidden="1" customWidth="1"/>
    <col min="3123" max="3123" width="11.2890625" style="165" customWidth="1"/>
    <col min="3124" max="3127" width="9" style="165" hidden="1" customWidth="1"/>
    <col min="3128" max="3128" width="12.140625" style="165" customWidth="1"/>
    <col min="3129" max="3132" width="9" style="165" hidden="1" customWidth="1"/>
    <col min="3133" max="3133" width="11.7109375" style="165" customWidth="1"/>
    <col min="3134" max="3137" width="9" style="165" hidden="1" customWidth="1"/>
    <col min="3138" max="3138" width="12" style="165" customWidth="1"/>
    <col min="3139" max="3142" width="9" style="165" hidden="1" customWidth="1"/>
    <col min="3143" max="3144" width="12" style="165" customWidth="1"/>
    <col min="3145" max="3145" width="11.2890625" style="165" customWidth="1"/>
    <col min="3146" max="3148" width="10.5703125" style="165" customWidth="1"/>
    <col min="3149" max="3328" width="9.140625" style="165"/>
    <col min="3329" max="3329" width="56.4296875" style="165" customWidth="1"/>
    <col min="3330" max="3333" width="9" style="165" hidden="1" customWidth="1"/>
    <col min="3334" max="3334" width="10.7109375" style="165" customWidth="1"/>
    <col min="3335" max="3338" width="9" style="165" hidden="1" customWidth="1"/>
    <col min="3339" max="3339" width="10.7109375" style="165" customWidth="1"/>
    <col min="3340" max="3343" width="9" style="165" hidden="1" customWidth="1"/>
    <col min="3344" max="3344" width="10.7109375" style="165" customWidth="1"/>
    <col min="3345" max="3348" width="9" style="165" hidden="1" customWidth="1"/>
    <col min="3349" max="3349" width="11.140625" style="165" customWidth="1"/>
    <col min="3350" max="3353" width="9" style="165" hidden="1" customWidth="1"/>
    <col min="3354" max="3354" width="11.140625" style="165" customWidth="1"/>
    <col min="3355" max="3358" width="9" style="165" hidden="1" customWidth="1"/>
    <col min="3359" max="3359" width="11.140625" style="165" customWidth="1"/>
    <col min="3360" max="3363" width="9" style="165" hidden="1" customWidth="1"/>
    <col min="3364" max="3364" width="11.140625" style="165" customWidth="1"/>
    <col min="3365" max="3368" width="9" style="165" hidden="1" customWidth="1"/>
    <col min="3369" max="3369" width="11.140625" style="165" customWidth="1"/>
    <col min="3370" max="3373" width="9" style="165" hidden="1" customWidth="1"/>
    <col min="3374" max="3374" width="11.140625" style="165" customWidth="1"/>
    <col min="3375" max="3378" width="9" style="165" hidden="1" customWidth="1"/>
    <col min="3379" max="3379" width="11.2890625" style="165" customWidth="1"/>
    <col min="3380" max="3383" width="9" style="165" hidden="1" customWidth="1"/>
    <col min="3384" max="3384" width="12.140625" style="165" customWidth="1"/>
    <col min="3385" max="3388" width="9" style="165" hidden="1" customWidth="1"/>
    <col min="3389" max="3389" width="11.7109375" style="165" customWidth="1"/>
    <col min="3390" max="3393" width="9" style="165" hidden="1" customWidth="1"/>
    <col min="3394" max="3394" width="12" style="165" customWidth="1"/>
    <col min="3395" max="3398" width="9" style="165" hidden="1" customWidth="1"/>
    <col min="3399" max="3400" width="12" style="165" customWidth="1"/>
    <col min="3401" max="3401" width="11.2890625" style="165" customWidth="1"/>
    <col min="3402" max="3404" width="10.5703125" style="165" customWidth="1"/>
    <col min="3405" max="3584" width="9.140625" style="165"/>
    <col min="3585" max="3585" width="56.4296875" style="165" customWidth="1"/>
    <col min="3586" max="3589" width="9" style="165" hidden="1" customWidth="1"/>
    <col min="3590" max="3590" width="10.7109375" style="165" customWidth="1"/>
    <col min="3591" max="3594" width="9" style="165" hidden="1" customWidth="1"/>
    <col min="3595" max="3595" width="10.7109375" style="165" customWidth="1"/>
    <col min="3596" max="3599" width="9" style="165" hidden="1" customWidth="1"/>
    <col min="3600" max="3600" width="10.7109375" style="165" customWidth="1"/>
    <col min="3601" max="3604" width="9" style="165" hidden="1" customWidth="1"/>
    <col min="3605" max="3605" width="11.140625" style="165" customWidth="1"/>
    <col min="3606" max="3609" width="9" style="165" hidden="1" customWidth="1"/>
    <col min="3610" max="3610" width="11.140625" style="165" customWidth="1"/>
    <col min="3611" max="3614" width="9" style="165" hidden="1" customWidth="1"/>
    <col min="3615" max="3615" width="11.140625" style="165" customWidth="1"/>
    <col min="3616" max="3619" width="9" style="165" hidden="1" customWidth="1"/>
    <col min="3620" max="3620" width="11.140625" style="165" customWidth="1"/>
    <col min="3621" max="3624" width="9" style="165" hidden="1" customWidth="1"/>
    <col min="3625" max="3625" width="11.140625" style="165" customWidth="1"/>
    <col min="3626" max="3629" width="9" style="165" hidden="1" customWidth="1"/>
    <col min="3630" max="3630" width="11.140625" style="165" customWidth="1"/>
    <col min="3631" max="3634" width="9" style="165" hidden="1" customWidth="1"/>
    <col min="3635" max="3635" width="11.2890625" style="165" customWidth="1"/>
    <col min="3636" max="3639" width="9" style="165" hidden="1" customWidth="1"/>
    <col min="3640" max="3640" width="12.140625" style="165" customWidth="1"/>
    <col min="3641" max="3644" width="9" style="165" hidden="1" customWidth="1"/>
    <col min="3645" max="3645" width="11.7109375" style="165" customWidth="1"/>
    <col min="3646" max="3649" width="9" style="165" hidden="1" customWidth="1"/>
    <col min="3650" max="3650" width="12" style="165" customWidth="1"/>
    <col min="3651" max="3654" width="9" style="165" hidden="1" customWidth="1"/>
    <col min="3655" max="3656" width="12" style="165" customWidth="1"/>
    <col min="3657" max="3657" width="11.2890625" style="165" customWidth="1"/>
    <col min="3658" max="3660" width="10.5703125" style="165" customWidth="1"/>
    <col min="3661" max="3840" width="9.140625" style="165"/>
    <col min="3841" max="3841" width="56.4296875" style="165" customWidth="1"/>
    <col min="3842" max="3845" width="9" style="165" hidden="1" customWidth="1"/>
    <col min="3846" max="3846" width="10.7109375" style="165" customWidth="1"/>
    <col min="3847" max="3850" width="9" style="165" hidden="1" customWidth="1"/>
    <col min="3851" max="3851" width="10.7109375" style="165" customWidth="1"/>
    <col min="3852" max="3855" width="9" style="165" hidden="1" customWidth="1"/>
    <col min="3856" max="3856" width="10.7109375" style="165" customWidth="1"/>
    <col min="3857" max="3860" width="9" style="165" hidden="1" customWidth="1"/>
    <col min="3861" max="3861" width="11.140625" style="165" customWidth="1"/>
    <col min="3862" max="3865" width="9" style="165" hidden="1" customWidth="1"/>
    <col min="3866" max="3866" width="11.140625" style="165" customWidth="1"/>
    <col min="3867" max="3870" width="9" style="165" hidden="1" customWidth="1"/>
    <col min="3871" max="3871" width="11.140625" style="165" customWidth="1"/>
    <col min="3872" max="3875" width="9" style="165" hidden="1" customWidth="1"/>
    <col min="3876" max="3876" width="11.140625" style="165" customWidth="1"/>
    <col min="3877" max="3880" width="9" style="165" hidden="1" customWidth="1"/>
    <col min="3881" max="3881" width="11.140625" style="165" customWidth="1"/>
    <col min="3882" max="3885" width="9" style="165" hidden="1" customWidth="1"/>
    <col min="3886" max="3886" width="11.140625" style="165" customWidth="1"/>
    <col min="3887" max="3890" width="9" style="165" hidden="1" customWidth="1"/>
    <col min="3891" max="3891" width="11.2890625" style="165" customWidth="1"/>
    <col min="3892" max="3895" width="9" style="165" hidden="1" customWidth="1"/>
    <col min="3896" max="3896" width="12.140625" style="165" customWidth="1"/>
    <col min="3897" max="3900" width="9" style="165" hidden="1" customWidth="1"/>
    <col min="3901" max="3901" width="11.7109375" style="165" customWidth="1"/>
    <col min="3902" max="3905" width="9" style="165" hidden="1" customWidth="1"/>
    <col min="3906" max="3906" width="12" style="165" customWidth="1"/>
    <col min="3907" max="3910" width="9" style="165" hidden="1" customWidth="1"/>
    <col min="3911" max="3912" width="12" style="165" customWidth="1"/>
    <col min="3913" max="3913" width="11.2890625" style="165" customWidth="1"/>
    <col min="3914" max="3916" width="10.5703125" style="165" customWidth="1"/>
    <col min="3917" max="4096" width="9.140625" style="165"/>
    <col min="4097" max="4097" width="56.4296875" style="165" customWidth="1"/>
    <col min="4098" max="4101" width="9" style="165" hidden="1" customWidth="1"/>
    <col min="4102" max="4102" width="10.7109375" style="165" customWidth="1"/>
    <col min="4103" max="4106" width="9" style="165" hidden="1" customWidth="1"/>
    <col min="4107" max="4107" width="10.7109375" style="165" customWidth="1"/>
    <col min="4108" max="4111" width="9" style="165" hidden="1" customWidth="1"/>
    <col min="4112" max="4112" width="10.7109375" style="165" customWidth="1"/>
    <col min="4113" max="4116" width="9" style="165" hidden="1" customWidth="1"/>
    <col min="4117" max="4117" width="11.140625" style="165" customWidth="1"/>
    <col min="4118" max="4121" width="9" style="165" hidden="1" customWidth="1"/>
    <col min="4122" max="4122" width="11.140625" style="165" customWidth="1"/>
    <col min="4123" max="4126" width="9" style="165" hidden="1" customWidth="1"/>
    <col min="4127" max="4127" width="11.140625" style="165" customWidth="1"/>
    <col min="4128" max="4131" width="9" style="165" hidden="1" customWidth="1"/>
    <col min="4132" max="4132" width="11.140625" style="165" customWidth="1"/>
    <col min="4133" max="4136" width="9" style="165" hidden="1" customWidth="1"/>
    <col min="4137" max="4137" width="11.140625" style="165" customWidth="1"/>
    <col min="4138" max="4141" width="9" style="165" hidden="1" customWidth="1"/>
    <col min="4142" max="4142" width="11.140625" style="165" customWidth="1"/>
    <col min="4143" max="4146" width="9" style="165" hidden="1" customWidth="1"/>
    <col min="4147" max="4147" width="11.2890625" style="165" customWidth="1"/>
    <col min="4148" max="4151" width="9" style="165" hidden="1" customWidth="1"/>
    <col min="4152" max="4152" width="12.140625" style="165" customWidth="1"/>
    <col min="4153" max="4156" width="9" style="165" hidden="1" customWidth="1"/>
    <col min="4157" max="4157" width="11.7109375" style="165" customWidth="1"/>
    <col min="4158" max="4161" width="9" style="165" hidden="1" customWidth="1"/>
    <col min="4162" max="4162" width="12" style="165" customWidth="1"/>
    <col min="4163" max="4166" width="9" style="165" hidden="1" customWidth="1"/>
    <col min="4167" max="4168" width="12" style="165" customWidth="1"/>
    <col min="4169" max="4169" width="11.2890625" style="165" customWidth="1"/>
    <col min="4170" max="4172" width="10.5703125" style="165" customWidth="1"/>
    <col min="4173" max="4352" width="9.140625" style="165"/>
    <col min="4353" max="4353" width="56.4296875" style="165" customWidth="1"/>
    <col min="4354" max="4357" width="9" style="165" hidden="1" customWidth="1"/>
    <col min="4358" max="4358" width="10.7109375" style="165" customWidth="1"/>
    <col min="4359" max="4362" width="9" style="165" hidden="1" customWidth="1"/>
    <col min="4363" max="4363" width="10.7109375" style="165" customWidth="1"/>
    <col min="4364" max="4367" width="9" style="165" hidden="1" customWidth="1"/>
    <col min="4368" max="4368" width="10.7109375" style="165" customWidth="1"/>
    <col min="4369" max="4372" width="9" style="165" hidden="1" customWidth="1"/>
    <col min="4373" max="4373" width="11.140625" style="165" customWidth="1"/>
    <col min="4374" max="4377" width="9" style="165" hidden="1" customWidth="1"/>
    <col min="4378" max="4378" width="11.140625" style="165" customWidth="1"/>
    <col min="4379" max="4382" width="9" style="165" hidden="1" customWidth="1"/>
    <col min="4383" max="4383" width="11.140625" style="165" customWidth="1"/>
    <col min="4384" max="4387" width="9" style="165" hidden="1" customWidth="1"/>
    <col min="4388" max="4388" width="11.140625" style="165" customWidth="1"/>
    <col min="4389" max="4392" width="9" style="165" hidden="1" customWidth="1"/>
    <col min="4393" max="4393" width="11.140625" style="165" customWidth="1"/>
    <col min="4394" max="4397" width="9" style="165" hidden="1" customWidth="1"/>
    <col min="4398" max="4398" width="11.140625" style="165" customWidth="1"/>
    <col min="4399" max="4402" width="9" style="165" hidden="1" customWidth="1"/>
    <col min="4403" max="4403" width="11.2890625" style="165" customWidth="1"/>
    <col min="4404" max="4407" width="9" style="165" hidden="1" customWidth="1"/>
    <col min="4408" max="4408" width="12.140625" style="165" customWidth="1"/>
    <col min="4409" max="4412" width="9" style="165" hidden="1" customWidth="1"/>
    <col min="4413" max="4413" width="11.7109375" style="165" customWidth="1"/>
    <col min="4414" max="4417" width="9" style="165" hidden="1" customWidth="1"/>
    <col min="4418" max="4418" width="12" style="165" customWidth="1"/>
    <col min="4419" max="4422" width="9" style="165" hidden="1" customWidth="1"/>
    <col min="4423" max="4424" width="12" style="165" customWidth="1"/>
    <col min="4425" max="4425" width="11.2890625" style="165" customWidth="1"/>
    <col min="4426" max="4428" width="10.5703125" style="165" customWidth="1"/>
    <col min="4429" max="4608" width="9.140625" style="165"/>
    <col min="4609" max="4609" width="56.4296875" style="165" customWidth="1"/>
    <col min="4610" max="4613" width="9" style="165" hidden="1" customWidth="1"/>
    <col min="4614" max="4614" width="10.7109375" style="165" customWidth="1"/>
    <col min="4615" max="4618" width="9" style="165" hidden="1" customWidth="1"/>
    <col min="4619" max="4619" width="10.7109375" style="165" customWidth="1"/>
    <col min="4620" max="4623" width="9" style="165" hidden="1" customWidth="1"/>
    <col min="4624" max="4624" width="10.7109375" style="165" customWidth="1"/>
    <col min="4625" max="4628" width="9" style="165" hidden="1" customWidth="1"/>
    <col min="4629" max="4629" width="11.140625" style="165" customWidth="1"/>
    <col min="4630" max="4633" width="9" style="165" hidden="1" customWidth="1"/>
    <col min="4634" max="4634" width="11.140625" style="165" customWidth="1"/>
    <col min="4635" max="4638" width="9" style="165" hidden="1" customWidth="1"/>
    <col min="4639" max="4639" width="11.140625" style="165" customWidth="1"/>
    <col min="4640" max="4643" width="9" style="165" hidden="1" customWidth="1"/>
    <col min="4644" max="4644" width="11.140625" style="165" customWidth="1"/>
    <col min="4645" max="4648" width="9" style="165" hidden="1" customWidth="1"/>
    <col min="4649" max="4649" width="11.140625" style="165" customWidth="1"/>
    <col min="4650" max="4653" width="9" style="165" hidden="1" customWidth="1"/>
    <col min="4654" max="4654" width="11.140625" style="165" customWidth="1"/>
    <col min="4655" max="4658" width="9" style="165" hidden="1" customWidth="1"/>
    <col min="4659" max="4659" width="11.2890625" style="165" customWidth="1"/>
    <col min="4660" max="4663" width="9" style="165" hidden="1" customWidth="1"/>
    <col min="4664" max="4664" width="12.140625" style="165" customWidth="1"/>
    <col min="4665" max="4668" width="9" style="165" hidden="1" customWidth="1"/>
    <col min="4669" max="4669" width="11.7109375" style="165" customWidth="1"/>
    <col min="4670" max="4673" width="9" style="165" hidden="1" customWidth="1"/>
    <col min="4674" max="4674" width="12" style="165" customWidth="1"/>
    <col min="4675" max="4678" width="9" style="165" hidden="1" customWidth="1"/>
    <col min="4679" max="4680" width="12" style="165" customWidth="1"/>
    <col min="4681" max="4681" width="11.2890625" style="165" customWidth="1"/>
    <col min="4682" max="4684" width="10.5703125" style="165" customWidth="1"/>
    <col min="4685" max="4864" width="9.140625" style="165"/>
    <col min="4865" max="4865" width="56.4296875" style="165" customWidth="1"/>
    <col min="4866" max="4869" width="9" style="165" hidden="1" customWidth="1"/>
    <col min="4870" max="4870" width="10.7109375" style="165" customWidth="1"/>
    <col min="4871" max="4874" width="9" style="165" hidden="1" customWidth="1"/>
    <col min="4875" max="4875" width="10.7109375" style="165" customWidth="1"/>
    <col min="4876" max="4879" width="9" style="165" hidden="1" customWidth="1"/>
    <col min="4880" max="4880" width="10.7109375" style="165" customWidth="1"/>
    <col min="4881" max="4884" width="9" style="165" hidden="1" customWidth="1"/>
    <col min="4885" max="4885" width="11.140625" style="165" customWidth="1"/>
    <col min="4886" max="4889" width="9" style="165" hidden="1" customWidth="1"/>
    <col min="4890" max="4890" width="11.140625" style="165" customWidth="1"/>
    <col min="4891" max="4894" width="9" style="165" hidden="1" customWidth="1"/>
    <col min="4895" max="4895" width="11.140625" style="165" customWidth="1"/>
    <col min="4896" max="4899" width="9" style="165" hidden="1" customWidth="1"/>
    <col min="4900" max="4900" width="11.140625" style="165" customWidth="1"/>
    <col min="4901" max="4904" width="9" style="165" hidden="1" customWidth="1"/>
    <col min="4905" max="4905" width="11.140625" style="165" customWidth="1"/>
    <col min="4906" max="4909" width="9" style="165" hidden="1" customWidth="1"/>
    <col min="4910" max="4910" width="11.140625" style="165" customWidth="1"/>
    <col min="4911" max="4914" width="9" style="165" hidden="1" customWidth="1"/>
    <col min="4915" max="4915" width="11.2890625" style="165" customWidth="1"/>
    <col min="4916" max="4919" width="9" style="165" hidden="1" customWidth="1"/>
    <col min="4920" max="4920" width="12.140625" style="165" customWidth="1"/>
    <col min="4921" max="4924" width="9" style="165" hidden="1" customWidth="1"/>
    <col min="4925" max="4925" width="11.7109375" style="165" customWidth="1"/>
    <col min="4926" max="4929" width="9" style="165" hidden="1" customWidth="1"/>
    <col min="4930" max="4930" width="12" style="165" customWidth="1"/>
    <col min="4931" max="4934" width="9" style="165" hidden="1" customWidth="1"/>
    <col min="4935" max="4936" width="12" style="165" customWidth="1"/>
    <col min="4937" max="4937" width="11.2890625" style="165" customWidth="1"/>
    <col min="4938" max="4940" width="10.5703125" style="165" customWidth="1"/>
    <col min="4941" max="5120" width="9.140625" style="165"/>
    <col min="5121" max="5121" width="56.4296875" style="165" customWidth="1"/>
    <col min="5122" max="5125" width="9" style="165" hidden="1" customWidth="1"/>
    <col min="5126" max="5126" width="10.7109375" style="165" customWidth="1"/>
    <col min="5127" max="5130" width="9" style="165" hidden="1" customWidth="1"/>
    <col min="5131" max="5131" width="10.7109375" style="165" customWidth="1"/>
    <col min="5132" max="5135" width="9" style="165" hidden="1" customWidth="1"/>
    <col min="5136" max="5136" width="10.7109375" style="165" customWidth="1"/>
    <col min="5137" max="5140" width="9" style="165" hidden="1" customWidth="1"/>
    <col min="5141" max="5141" width="11.140625" style="165" customWidth="1"/>
    <col min="5142" max="5145" width="9" style="165" hidden="1" customWidth="1"/>
    <col min="5146" max="5146" width="11.140625" style="165" customWidth="1"/>
    <col min="5147" max="5150" width="9" style="165" hidden="1" customWidth="1"/>
    <col min="5151" max="5151" width="11.140625" style="165" customWidth="1"/>
    <col min="5152" max="5155" width="9" style="165" hidden="1" customWidth="1"/>
    <col min="5156" max="5156" width="11.140625" style="165" customWidth="1"/>
    <col min="5157" max="5160" width="9" style="165" hidden="1" customWidth="1"/>
    <col min="5161" max="5161" width="11.140625" style="165" customWidth="1"/>
    <col min="5162" max="5165" width="9" style="165" hidden="1" customWidth="1"/>
    <col min="5166" max="5166" width="11.140625" style="165" customWidth="1"/>
    <col min="5167" max="5170" width="9" style="165" hidden="1" customWidth="1"/>
    <col min="5171" max="5171" width="11.2890625" style="165" customWidth="1"/>
    <col min="5172" max="5175" width="9" style="165" hidden="1" customWidth="1"/>
    <col min="5176" max="5176" width="12.140625" style="165" customWidth="1"/>
    <col min="5177" max="5180" width="9" style="165" hidden="1" customWidth="1"/>
    <col min="5181" max="5181" width="11.7109375" style="165" customWidth="1"/>
    <col min="5182" max="5185" width="9" style="165" hidden="1" customWidth="1"/>
    <col min="5186" max="5186" width="12" style="165" customWidth="1"/>
    <col min="5187" max="5190" width="9" style="165" hidden="1" customWidth="1"/>
    <col min="5191" max="5192" width="12" style="165" customWidth="1"/>
    <col min="5193" max="5193" width="11.2890625" style="165" customWidth="1"/>
    <col min="5194" max="5196" width="10.5703125" style="165" customWidth="1"/>
    <col min="5197" max="5376" width="9.140625" style="165"/>
    <col min="5377" max="5377" width="56.4296875" style="165" customWidth="1"/>
    <col min="5378" max="5381" width="9" style="165" hidden="1" customWidth="1"/>
    <col min="5382" max="5382" width="10.7109375" style="165" customWidth="1"/>
    <col min="5383" max="5386" width="9" style="165" hidden="1" customWidth="1"/>
    <col min="5387" max="5387" width="10.7109375" style="165" customWidth="1"/>
    <col min="5388" max="5391" width="9" style="165" hidden="1" customWidth="1"/>
    <col min="5392" max="5392" width="10.7109375" style="165" customWidth="1"/>
    <col min="5393" max="5396" width="9" style="165" hidden="1" customWidth="1"/>
    <col min="5397" max="5397" width="11.140625" style="165" customWidth="1"/>
    <col min="5398" max="5401" width="9" style="165" hidden="1" customWidth="1"/>
    <col min="5402" max="5402" width="11.140625" style="165" customWidth="1"/>
    <col min="5403" max="5406" width="9" style="165" hidden="1" customWidth="1"/>
    <col min="5407" max="5407" width="11.140625" style="165" customWidth="1"/>
    <col min="5408" max="5411" width="9" style="165" hidden="1" customWidth="1"/>
    <col min="5412" max="5412" width="11.140625" style="165" customWidth="1"/>
    <col min="5413" max="5416" width="9" style="165" hidden="1" customWidth="1"/>
    <col min="5417" max="5417" width="11.140625" style="165" customWidth="1"/>
    <col min="5418" max="5421" width="9" style="165" hidden="1" customWidth="1"/>
    <col min="5422" max="5422" width="11.140625" style="165" customWidth="1"/>
    <col min="5423" max="5426" width="9" style="165" hidden="1" customWidth="1"/>
    <col min="5427" max="5427" width="11.2890625" style="165" customWidth="1"/>
    <col min="5428" max="5431" width="9" style="165" hidden="1" customWidth="1"/>
    <col min="5432" max="5432" width="12.140625" style="165" customWidth="1"/>
    <col min="5433" max="5436" width="9" style="165" hidden="1" customWidth="1"/>
    <col min="5437" max="5437" width="11.7109375" style="165" customWidth="1"/>
    <col min="5438" max="5441" width="9" style="165" hidden="1" customWidth="1"/>
    <col min="5442" max="5442" width="12" style="165" customWidth="1"/>
    <col min="5443" max="5446" width="9" style="165" hidden="1" customWidth="1"/>
    <col min="5447" max="5448" width="12" style="165" customWidth="1"/>
    <col min="5449" max="5449" width="11.2890625" style="165" customWidth="1"/>
    <col min="5450" max="5452" width="10.5703125" style="165" customWidth="1"/>
    <col min="5453" max="5632" width="9.140625" style="165"/>
    <col min="5633" max="5633" width="56.4296875" style="165" customWidth="1"/>
    <col min="5634" max="5637" width="9" style="165" hidden="1" customWidth="1"/>
    <col min="5638" max="5638" width="10.7109375" style="165" customWidth="1"/>
    <col min="5639" max="5642" width="9" style="165" hidden="1" customWidth="1"/>
    <col min="5643" max="5643" width="10.7109375" style="165" customWidth="1"/>
    <col min="5644" max="5647" width="9" style="165" hidden="1" customWidth="1"/>
    <col min="5648" max="5648" width="10.7109375" style="165" customWidth="1"/>
    <col min="5649" max="5652" width="9" style="165" hidden="1" customWidth="1"/>
    <col min="5653" max="5653" width="11.140625" style="165" customWidth="1"/>
    <col min="5654" max="5657" width="9" style="165" hidden="1" customWidth="1"/>
    <col min="5658" max="5658" width="11.140625" style="165" customWidth="1"/>
    <col min="5659" max="5662" width="9" style="165" hidden="1" customWidth="1"/>
    <col min="5663" max="5663" width="11.140625" style="165" customWidth="1"/>
    <col min="5664" max="5667" width="9" style="165" hidden="1" customWidth="1"/>
    <col min="5668" max="5668" width="11.140625" style="165" customWidth="1"/>
    <col min="5669" max="5672" width="9" style="165" hidden="1" customWidth="1"/>
    <col min="5673" max="5673" width="11.140625" style="165" customWidth="1"/>
    <col min="5674" max="5677" width="9" style="165" hidden="1" customWidth="1"/>
    <col min="5678" max="5678" width="11.140625" style="165" customWidth="1"/>
    <col min="5679" max="5682" width="9" style="165" hidden="1" customWidth="1"/>
    <col min="5683" max="5683" width="11.2890625" style="165" customWidth="1"/>
    <col min="5684" max="5687" width="9" style="165" hidden="1" customWidth="1"/>
    <col min="5688" max="5688" width="12.140625" style="165" customWidth="1"/>
    <col min="5689" max="5692" width="9" style="165" hidden="1" customWidth="1"/>
    <col min="5693" max="5693" width="11.7109375" style="165" customWidth="1"/>
    <col min="5694" max="5697" width="9" style="165" hidden="1" customWidth="1"/>
    <col min="5698" max="5698" width="12" style="165" customWidth="1"/>
    <col min="5699" max="5702" width="9" style="165" hidden="1" customWidth="1"/>
    <col min="5703" max="5704" width="12" style="165" customWidth="1"/>
    <col min="5705" max="5705" width="11.2890625" style="165" customWidth="1"/>
    <col min="5706" max="5708" width="10.5703125" style="165" customWidth="1"/>
    <col min="5709" max="5888" width="9.140625" style="165"/>
    <col min="5889" max="5889" width="56.4296875" style="165" customWidth="1"/>
    <col min="5890" max="5893" width="9" style="165" hidden="1" customWidth="1"/>
    <col min="5894" max="5894" width="10.7109375" style="165" customWidth="1"/>
    <col min="5895" max="5898" width="9" style="165" hidden="1" customWidth="1"/>
    <col min="5899" max="5899" width="10.7109375" style="165" customWidth="1"/>
    <col min="5900" max="5903" width="9" style="165" hidden="1" customWidth="1"/>
    <col min="5904" max="5904" width="10.7109375" style="165" customWidth="1"/>
    <col min="5905" max="5908" width="9" style="165" hidden="1" customWidth="1"/>
    <col min="5909" max="5909" width="11.140625" style="165" customWidth="1"/>
    <col min="5910" max="5913" width="9" style="165" hidden="1" customWidth="1"/>
    <col min="5914" max="5914" width="11.140625" style="165" customWidth="1"/>
    <col min="5915" max="5918" width="9" style="165" hidden="1" customWidth="1"/>
    <col min="5919" max="5919" width="11.140625" style="165" customWidth="1"/>
    <col min="5920" max="5923" width="9" style="165" hidden="1" customWidth="1"/>
    <col min="5924" max="5924" width="11.140625" style="165" customWidth="1"/>
    <col min="5925" max="5928" width="9" style="165" hidden="1" customWidth="1"/>
    <col min="5929" max="5929" width="11.140625" style="165" customWidth="1"/>
    <col min="5930" max="5933" width="9" style="165" hidden="1" customWidth="1"/>
    <col min="5934" max="5934" width="11.140625" style="165" customWidth="1"/>
    <col min="5935" max="5938" width="9" style="165" hidden="1" customWidth="1"/>
    <col min="5939" max="5939" width="11.2890625" style="165" customWidth="1"/>
    <col min="5940" max="5943" width="9" style="165" hidden="1" customWidth="1"/>
    <col min="5944" max="5944" width="12.140625" style="165" customWidth="1"/>
    <col min="5945" max="5948" width="9" style="165" hidden="1" customWidth="1"/>
    <col min="5949" max="5949" width="11.7109375" style="165" customWidth="1"/>
    <col min="5950" max="5953" width="9" style="165" hidden="1" customWidth="1"/>
    <col min="5954" max="5954" width="12" style="165" customWidth="1"/>
    <col min="5955" max="5958" width="9" style="165" hidden="1" customWidth="1"/>
    <col min="5959" max="5960" width="12" style="165" customWidth="1"/>
    <col min="5961" max="5961" width="11.2890625" style="165" customWidth="1"/>
    <col min="5962" max="5964" width="10.5703125" style="165" customWidth="1"/>
    <col min="5965" max="6144" width="9.140625" style="165"/>
    <col min="6145" max="6145" width="56.4296875" style="165" customWidth="1"/>
    <col min="6146" max="6149" width="9" style="165" hidden="1" customWidth="1"/>
    <col min="6150" max="6150" width="10.7109375" style="165" customWidth="1"/>
    <col min="6151" max="6154" width="9" style="165" hidden="1" customWidth="1"/>
    <col min="6155" max="6155" width="10.7109375" style="165" customWidth="1"/>
    <col min="6156" max="6159" width="9" style="165" hidden="1" customWidth="1"/>
    <col min="6160" max="6160" width="10.7109375" style="165" customWidth="1"/>
    <col min="6161" max="6164" width="9" style="165" hidden="1" customWidth="1"/>
    <col min="6165" max="6165" width="11.140625" style="165" customWidth="1"/>
    <col min="6166" max="6169" width="9" style="165" hidden="1" customWidth="1"/>
    <col min="6170" max="6170" width="11.140625" style="165" customWidth="1"/>
    <col min="6171" max="6174" width="9" style="165" hidden="1" customWidth="1"/>
    <col min="6175" max="6175" width="11.140625" style="165" customWidth="1"/>
    <col min="6176" max="6179" width="9" style="165" hidden="1" customWidth="1"/>
    <col min="6180" max="6180" width="11.140625" style="165" customWidth="1"/>
    <col min="6181" max="6184" width="9" style="165" hidden="1" customWidth="1"/>
    <col min="6185" max="6185" width="11.140625" style="165" customWidth="1"/>
    <col min="6186" max="6189" width="9" style="165" hidden="1" customWidth="1"/>
    <col min="6190" max="6190" width="11.140625" style="165" customWidth="1"/>
    <col min="6191" max="6194" width="9" style="165" hidden="1" customWidth="1"/>
    <col min="6195" max="6195" width="11.2890625" style="165" customWidth="1"/>
    <col min="6196" max="6199" width="9" style="165" hidden="1" customWidth="1"/>
    <col min="6200" max="6200" width="12.140625" style="165" customWidth="1"/>
    <col min="6201" max="6204" width="9" style="165" hidden="1" customWidth="1"/>
    <col min="6205" max="6205" width="11.7109375" style="165" customWidth="1"/>
    <col min="6206" max="6209" width="9" style="165" hidden="1" customWidth="1"/>
    <col min="6210" max="6210" width="12" style="165" customWidth="1"/>
    <col min="6211" max="6214" width="9" style="165" hidden="1" customWidth="1"/>
    <col min="6215" max="6216" width="12" style="165" customWidth="1"/>
    <col min="6217" max="6217" width="11.2890625" style="165" customWidth="1"/>
    <col min="6218" max="6220" width="10.5703125" style="165" customWidth="1"/>
    <col min="6221" max="6400" width="9.140625" style="165"/>
    <col min="6401" max="6401" width="56.4296875" style="165" customWidth="1"/>
    <col min="6402" max="6405" width="9" style="165" hidden="1" customWidth="1"/>
    <col min="6406" max="6406" width="10.7109375" style="165" customWidth="1"/>
    <col min="6407" max="6410" width="9" style="165" hidden="1" customWidth="1"/>
    <col min="6411" max="6411" width="10.7109375" style="165" customWidth="1"/>
    <col min="6412" max="6415" width="9" style="165" hidden="1" customWidth="1"/>
    <col min="6416" max="6416" width="10.7109375" style="165" customWidth="1"/>
    <col min="6417" max="6420" width="9" style="165" hidden="1" customWidth="1"/>
    <col min="6421" max="6421" width="11.140625" style="165" customWidth="1"/>
    <col min="6422" max="6425" width="9" style="165" hidden="1" customWidth="1"/>
    <col min="6426" max="6426" width="11.140625" style="165" customWidth="1"/>
    <col min="6427" max="6430" width="9" style="165" hidden="1" customWidth="1"/>
    <col min="6431" max="6431" width="11.140625" style="165" customWidth="1"/>
    <col min="6432" max="6435" width="9" style="165" hidden="1" customWidth="1"/>
    <col min="6436" max="6436" width="11.140625" style="165" customWidth="1"/>
    <col min="6437" max="6440" width="9" style="165" hidden="1" customWidth="1"/>
    <col min="6441" max="6441" width="11.140625" style="165" customWidth="1"/>
    <col min="6442" max="6445" width="9" style="165" hidden="1" customWidth="1"/>
    <col min="6446" max="6446" width="11.140625" style="165" customWidth="1"/>
    <col min="6447" max="6450" width="9" style="165" hidden="1" customWidth="1"/>
    <col min="6451" max="6451" width="11.2890625" style="165" customWidth="1"/>
    <col min="6452" max="6455" width="9" style="165" hidden="1" customWidth="1"/>
    <col min="6456" max="6456" width="12.140625" style="165" customWidth="1"/>
    <col min="6457" max="6460" width="9" style="165" hidden="1" customWidth="1"/>
    <col min="6461" max="6461" width="11.7109375" style="165" customWidth="1"/>
    <col min="6462" max="6465" width="9" style="165" hidden="1" customWidth="1"/>
    <col min="6466" max="6466" width="12" style="165" customWidth="1"/>
    <col min="6467" max="6470" width="9" style="165" hidden="1" customWidth="1"/>
    <col min="6471" max="6472" width="12" style="165" customWidth="1"/>
    <col min="6473" max="6473" width="11.2890625" style="165" customWidth="1"/>
    <col min="6474" max="6476" width="10.5703125" style="165" customWidth="1"/>
    <col min="6477" max="6656" width="9.140625" style="165"/>
    <col min="6657" max="6657" width="56.4296875" style="165" customWidth="1"/>
    <col min="6658" max="6661" width="9" style="165" hidden="1" customWidth="1"/>
    <col min="6662" max="6662" width="10.7109375" style="165" customWidth="1"/>
    <col min="6663" max="6666" width="9" style="165" hidden="1" customWidth="1"/>
    <col min="6667" max="6667" width="10.7109375" style="165" customWidth="1"/>
    <col min="6668" max="6671" width="9" style="165" hidden="1" customWidth="1"/>
    <col min="6672" max="6672" width="10.7109375" style="165" customWidth="1"/>
    <col min="6673" max="6676" width="9" style="165" hidden="1" customWidth="1"/>
    <col min="6677" max="6677" width="11.140625" style="165" customWidth="1"/>
    <col min="6678" max="6681" width="9" style="165" hidden="1" customWidth="1"/>
    <col min="6682" max="6682" width="11.140625" style="165" customWidth="1"/>
    <col min="6683" max="6686" width="9" style="165" hidden="1" customWidth="1"/>
    <col min="6687" max="6687" width="11.140625" style="165" customWidth="1"/>
    <col min="6688" max="6691" width="9" style="165" hidden="1" customWidth="1"/>
    <col min="6692" max="6692" width="11.140625" style="165" customWidth="1"/>
    <col min="6693" max="6696" width="9" style="165" hidden="1" customWidth="1"/>
    <col min="6697" max="6697" width="11.140625" style="165" customWidth="1"/>
    <col min="6698" max="6701" width="9" style="165" hidden="1" customWidth="1"/>
    <col min="6702" max="6702" width="11.140625" style="165" customWidth="1"/>
    <col min="6703" max="6706" width="9" style="165" hidden="1" customWidth="1"/>
    <col min="6707" max="6707" width="11.2890625" style="165" customWidth="1"/>
    <col min="6708" max="6711" width="9" style="165" hidden="1" customWidth="1"/>
    <col min="6712" max="6712" width="12.140625" style="165" customWidth="1"/>
    <col min="6713" max="6716" width="9" style="165" hidden="1" customWidth="1"/>
    <col min="6717" max="6717" width="11.7109375" style="165" customWidth="1"/>
    <col min="6718" max="6721" width="9" style="165" hidden="1" customWidth="1"/>
    <col min="6722" max="6722" width="12" style="165" customWidth="1"/>
    <col min="6723" max="6726" width="9" style="165" hidden="1" customWidth="1"/>
    <col min="6727" max="6728" width="12" style="165" customWidth="1"/>
    <col min="6729" max="6729" width="11.2890625" style="165" customWidth="1"/>
    <col min="6730" max="6732" width="10.5703125" style="165" customWidth="1"/>
    <col min="6733" max="6912" width="9.140625" style="165"/>
    <col min="6913" max="6913" width="56.4296875" style="165" customWidth="1"/>
    <col min="6914" max="6917" width="9" style="165" hidden="1" customWidth="1"/>
    <col min="6918" max="6918" width="10.7109375" style="165" customWidth="1"/>
    <col min="6919" max="6922" width="9" style="165" hidden="1" customWidth="1"/>
    <col min="6923" max="6923" width="10.7109375" style="165" customWidth="1"/>
    <col min="6924" max="6927" width="9" style="165" hidden="1" customWidth="1"/>
    <col min="6928" max="6928" width="10.7109375" style="165" customWidth="1"/>
    <col min="6929" max="6932" width="9" style="165" hidden="1" customWidth="1"/>
    <col min="6933" max="6933" width="11.140625" style="165" customWidth="1"/>
    <col min="6934" max="6937" width="9" style="165" hidden="1" customWidth="1"/>
    <col min="6938" max="6938" width="11.140625" style="165" customWidth="1"/>
    <col min="6939" max="6942" width="9" style="165" hidden="1" customWidth="1"/>
    <col min="6943" max="6943" width="11.140625" style="165" customWidth="1"/>
    <col min="6944" max="6947" width="9" style="165" hidden="1" customWidth="1"/>
    <col min="6948" max="6948" width="11.140625" style="165" customWidth="1"/>
    <col min="6949" max="6952" width="9" style="165" hidden="1" customWidth="1"/>
    <col min="6953" max="6953" width="11.140625" style="165" customWidth="1"/>
    <col min="6954" max="6957" width="9" style="165" hidden="1" customWidth="1"/>
    <col min="6958" max="6958" width="11.140625" style="165" customWidth="1"/>
    <col min="6959" max="6962" width="9" style="165" hidden="1" customWidth="1"/>
    <col min="6963" max="6963" width="11.2890625" style="165" customWidth="1"/>
    <col min="6964" max="6967" width="9" style="165" hidden="1" customWidth="1"/>
    <col min="6968" max="6968" width="12.140625" style="165" customWidth="1"/>
    <col min="6969" max="6972" width="9" style="165" hidden="1" customWidth="1"/>
    <col min="6973" max="6973" width="11.7109375" style="165" customWidth="1"/>
    <col min="6974" max="6977" width="9" style="165" hidden="1" customWidth="1"/>
    <col min="6978" max="6978" width="12" style="165" customWidth="1"/>
    <col min="6979" max="6982" width="9" style="165" hidden="1" customWidth="1"/>
    <col min="6983" max="6984" width="12" style="165" customWidth="1"/>
    <col min="6985" max="6985" width="11.2890625" style="165" customWidth="1"/>
    <col min="6986" max="6988" width="10.5703125" style="165" customWidth="1"/>
    <col min="6989" max="7168" width="9.140625" style="165"/>
    <col min="7169" max="7169" width="56.4296875" style="165" customWidth="1"/>
    <col min="7170" max="7173" width="9" style="165" hidden="1" customWidth="1"/>
    <col min="7174" max="7174" width="10.7109375" style="165" customWidth="1"/>
    <col min="7175" max="7178" width="9" style="165" hidden="1" customWidth="1"/>
    <col min="7179" max="7179" width="10.7109375" style="165" customWidth="1"/>
    <col min="7180" max="7183" width="9" style="165" hidden="1" customWidth="1"/>
    <col min="7184" max="7184" width="10.7109375" style="165" customWidth="1"/>
    <col min="7185" max="7188" width="9" style="165" hidden="1" customWidth="1"/>
    <col min="7189" max="7189" width="11.140625" style="165" customWidth="1"/>
    <col min="7190" max="7193" width="9" style="165" hidden="1" customWidth="1"/>
    <col min="7194" max="7194" width="11.140625" style="165" customWidth="1"/>
    <col min="7195" max="7198" width="9" style="165" hidden="1" customWidth="1"/>
    <col min="7199" max="7199" width="11.140625" style="165" customWidth="1"/>
    <col min="7200" max="7203" width="9" style="165" hidden="1" customWidth="1"/>
    <col min="7204" max="7204" width="11.140625" style="165" customWidth="1"/>
    <col min="7205" max="7208" width="9" style="165" hidden="1" customWidth="1"/>
    <col min="7209" max="7209" width="11.140625" style="165" customWidth="1"/>
    <col min="7210" max="7213" width="9" style="165" hidden="1" customWidth="1"/>
    <col min="7214" max="7214" width="11.140625" style="165" customWidth="1"/>
    <col min="7215" max="7218" width="9" style="165" hidden="1" customWidth="1"/>
    <col min="7219" max="7219" width="11.2890625" style="165" customWidth="1"/>
    <col min="7220" max="7223" width="9" style="165" hidden="1" customWidth="1"/>
    <col min="7224" max="7224" width="12.140625" style="165" customWidth="1"/>
    <col min="7225" max="7228" width="9" style="165" hidden="1" customWidth="1"/>
    <col min="7229" max="7229" width="11.7109375" style="165" customWidth="1"/>
    <col min="7230" max="7233" width="9" style="165" hidden="1" customWidth="1"/>
    <col min="7234" max="7234" width="12" style="165" customWidth="1"/>
    <col min="7235" max="7238" width="9" style="165" hidden="1" customWidth="1"/>
    <col min="7239" max="7240" width="12" style="165" customWidth="1"/>
    <col min="7241" max="7241" width="11.2890625" style="165" customWidth="1"/>
    <col min="7242" max="7244" width="10.5703125" style="165" customWidth="1"/>
    <col min="7245" max="7424" width="9.140625" style="165"/>
    <col min="7425" max="7425" width="56.4296875" style="165" customWidth="1"/>
    <col min="7426" max="7429" width="9" style="165" hidden="1" customWidth="1"/>
    <col min="7430" max="7430" width="10.7109375" style="165" customWidth="1"/>
    <col min="7431" max="7434" width="9" style="165" hidden="1" customWidth="1"/>
    <col min="7435" max="7435" width="10.7109375" style="165" customWidth="1"/>
    <col min="7436" max="7439" width="9" style="165" hidden="1" customWidth="1"/>
    <col min="7440" max="7440" width="10.7109375" style="165" customWidth="1"/>
    <col min="7441" max="7444" width="9" style="165" hidden="1" customWidth="1"/>
    <col min="7445" max="7445" width="11.140625" style="165" customWidth="1"/>
    <col min="7446" max="7449" width="9" style="165" hidden="1" customWidth="1"/>
    <col min="7450" max="7450" width="11.140625" style="165" customWidth="1"/>
    <col min="7451" max="7454" width="9" style="165" hidden="1" customWidth="1"/>
    <col min="7455" max="7455" width="11.140625" style="165" customWidth="1"/>
    <col min="7456" max="7459" width="9" style="165" hidden="1" customWidth="1"/>
    <col min="7460" max="7460" width="11.140625" style="165" customWidth="1"/>
    <col min="7461" max="7464" width="9" style="165" hidden="1" customWidth="1"/>
    <col min="7465" max="7465" width="11.140625" style="165" customWidth="1"/>
    <col min="7466" max="7469" width="9" style="165" hidden="1" customWidth="1"/>
    <col min="7470" max="7470" width="11.140625" style="165" customWidth="1"/>
    <col min="7471" max="7474" width="9" style="165" hidden="1" customWidth="1"/>
    <col min="7475" max="7475" width="11.2890625" style="165" customWidth="1"/>
    <col min="7476" max="7479" width="9" style="165" hidden="1" customWidth="1"/>
    <col min="7480" max="7480" width="12.140625" style="165" customWidth="1"/>
    <col min="7481" max="7484" width="9" style="165" hidden="1" customWidth="1"/>
    <col min="7485" max="7485" width="11.7109375" style="165" customWidth="1"/>
    <col min="7486" max="7489" width="9" style="165" hidden="1" customWidth="1"/>
    <col min="7490" max="7490" width="12" style="165" customWidth="1"/>
    <col min="7491" max="7494" width="9" style="165" hidden="1" customWidth="1"/>
    <col min="7495" max="7496" width="12" style="165" customWidth="1"/>
    <col min="7497" max="7497" width="11.2890625" style="165" customWidth="1"/>
    <col min="7498" max="7500" width="10.5703125" style="165" customWidth="1"/>
    <col min="7501" max="7680" width="9.140625" style="165"/>
    <col min="7681" max="7681" width="56.4296875" style="165" customWidth="1"/>
    <col min="7682" max="7685" width="9" style="165" hidden="1" customWidth="1"/>
    <col min="7686" max="7686" width="10.7109375" style="165" customWidth="1"/>
    <col min="7687" max="7690" width="9" style="165" hidden="1" customWidth="1"/>
    <col min="7691" max="7691" width="10.7109375" style="165" customWidth="1"/>
    <col min="7692" max="7695" width="9" style="165" hidden="1" customWidth="1"/>
    <col min="7696" max="7696" width="10.7109375" style="165" customWidth="1"/>
    <col min="7697" max="7700" width="9" style="165" hidden="1" customWidth="1"/>
    <col min="7701" max="7701" width="11.140625" style="165" customWidth="1"/>
    <col min="7702" max="7705" width="9" style="165" hidden="1" customWidth="1"/>
    <col min="7706" max="7706" width="11.140625" style="165" customWidth="1"/>
    <col min="7707" max="7710" width="9" style="165" hidden="1" customWidth="1"/>
    <col min="7711" max="7711" width="11.140625" style="165" customWidth="1"/>
    <col min="7712" max="7715" width="9" style="165" hidden="1" customWidth="1"/>
    <col min="7716" max="7716" width="11.140625" style="165" customWidth="1"/>
    <col min="7717" max="7720" width="9" style="165" hidden="1" customWidth="1"/>
    <col min="7721" max="7721" width="11.140625" style="165" customWidth="1"/>
    <col min="7722" max="7725" width="9" style="165" hidden="1" customWidth="1"/>
    <col min="7726" max="7726" width="11.140625" style="165" customWidth="1"/>
    <col min="7727" max="7730" width="9" style="165" hidden="1" customWidth="1"/>
    <col min="7731" max="7731" width="11.2890625" style="165" customWidth="1"/>
    <col min="7732" max="7735" width="9" style="165" hidden="1" customWidth="1"/>
    <col min="7736" max="7736" width="12.140625" style="165" customWidth="1"/>
    <col min="7737" max="7740" width="9" style="165" hidden="1" customWidth="1"/>
    <col min="7741" max="7741" width="11.7109375" style="165" customWidth="1"/>
    <col min="7742" max="7745" width="9" style="165" hidden="1" customWidth="1"/>
    <col min="7746" max="7746" width="12" style="165" customWidth="1"/>
    <col min="7747" max="7750" width="9" style="165" hidden="1" customWidth="1"/>
    <col min="7751" max="7752" width="12" style="165" customWidth="1"/>
    <col min="7753" max="7753" width="11.2890625" style="165" customWidth="1"/>
    <col min="7754" max="7756" width="10.5703125" style="165" customWidth="1"/>
    <col min="7757" max="7936" width="9.140625" style="165"/>
    <col min="7937" max="7937" width="56.4296875" style="165" customWidth="1"/>
    <col min="7938" max="7941" width="9" style="165" hidden="1" customWidth="1"/>
    <col min="7942" max="7942" width="10.7109375" style="165" customWidth="1"/>
    <col min="7943" max="7946" width="9" style="165" hidden="1" customWidth="1"/>
    <col min="7947" max="7947" width="10.7109375" style="165" customWidth="1"/>
    <col min="7948" max="7951" width="9" style="165" hidden="1" customWidth="1"/>
    <col min="7952" max="7952" width="10.7109375" style="165" customWidth="1"/>
    <col min="7953" max="7956" width="9" style="165" hidden="1" customWidth="1"/>
    <col min="7957" max="7957" width="11.140625" style="165" customWidth="1"/>
    <col min="7958" max="7961" width="9" style="165" hidden="1" customWidth="1"/>
    <col min="7962" max="7962" width="11.140625" style="165" customWidth="1"/>
    <col min="7963" max="7966" width="9" style="165" hidden="1" customWidth="1"/>
    <col min="7967" max="7967" width="11.140625" style="165" customWidth="1"/>
    <col min="7968" max="7971" width="9" style="165" hidden="1" customWidth="1"/>
    <col min="7972" max="7972" width="11.140625" style="165" customWidth="1"/>
    <col min="7973" max="7976" width="9" style="165" hidden="1" customWidth="1"/>
    <col min="7977" max="7977" width="11.140625" style="165" customWidth="1"/>
    <col min="7978" max="7981" width="9" style="165" hidden="1" customWidth="1"/>
    <col min="7982" max="7982" width="11.140625" style="165" customWidth="1"/>
    <col min="7983" max="7986" width="9" style="165" hidden="1" customWidth="1"/>
    <col min="7987" max="7987" width="11.2890625" style="165" customWidth="1"/>
    <col min="7988" max="7991" width="9" style="165" hidden="1" customWidth="1"/>
    <col min="7992" max="7992" width="12.140625" style="165" customWidth="1"/>
    <col min="7993" max="7996" width="9" style="165" hidden="1" customWidth="1"/>
    <col min="7997" max="7997" width="11.7109375" style="165" customWidth="1"/>
    <col min="7998" max="8001" width="9" style="165" hidden="1" customWidth="1"/>
    <col min="8002" max="8002" width="12" style="165" customWidth="1"/>
    <col min="8003" max="8006" width="9" style="165" hidden="1" customWidth="1"/>
    <col min="8007" max="8008" width="12" style="165" customWidth="1"/>
    <col min="8009" max="8009" width="11.2890625" style="165" customWidth="1"/>
    <col min="8010" max="8012" width="10.5703125" style="165" customWidth="1"/>
    <col min="8013" max="8192" width="9.140625" style="165"/>
    <col min="8193" max="8193" width="56.4296875" style="165" customWidth="1"/>
    <col min="8194" max="8197" width="9" style="165" hidden="1" customWidth="1"/>
    <col min="8198" max="8198" width="10.7109375" style="165" customWidth="1"/>
    <col min="8199" max="8202" width="9" style="165" hidden="1" customWidth="1"/>
    <col min="8203" max="8203" width="10.7109375" style="165" customWidth="1"/>
    <col min="8204" max="8207" width="9" style="165" hidden="1" customWidth="1"/>
    <col min="8208" max="8208" width="10.7109375" style="165" customWidth="1"/>
    <col min="8209" max="8212" width="9" style="165" hidden="1" customWidth="1"/>
    <col min="8213" max="8213" width="11.140625" style="165" customWidth="1"/>
    <col min="8214" max="8217" width="9" style="165" hidden="1" customWidth="1"/>
    <col min="8218" max="8218" width="11.140625" style="165" customWidth="1"/>
    <col min="8219" max="8222" width="9" style="165" hidden="1" customWidth="1"/>
    <col min="8223" max="8223" width="11.140625" style="165" customWidth="1"/>
    <col min="8224" max="8227" width="9" style="165" hidden="1" customWidth="1"/>
    <col min="8228" max="8228" width="11.140625" style="165" customWidth="1"/>
    <col min="8229" max="8232" width="9" style="165" hidden="1" customWidth="1"/>
    <col min="8233" max="8233" width="11.140625" style="165" customWidth="1"/>
    <col min="8234" max="8237" width="9" style="165" hidden="1" customWidth="1"/>
    <col min="8238" max="8238" width="11.140625" style="165" customWidth="1"/>
    <col min="8239" max="8242" width="9" style="165" hidden="1" customWidth="1"/>
    <col min="8243" max="8243" width="11.2890625" style="165" customWidth="1"/>
    <col min="8244" max="8247" width="9" style="165" hidden="1" customWidth="1"/>
    <col min="8248" max="8248" width="12.140625" style="165" customWidth="1"/>
    <col min="8249" max="8252" width="9" style="165" hidden="1" customWidth="1"/>
    <col min="8253" max="8253" width="11.7109375" style="165" customWidth="1"/>
    <col min="8254" max="8257" width="9" style="165" hidden="1" customWidth="1"/>
    <col min="8258" max="8258" width="12" style="165" customWidth="1"/>
    <col min="8259" max="8262" width="9" style="165" hidden="1" customWidth="1"/>
    <col min="8263" max="8264" width="12" style="165" customWidth="1"/>
    <col min="8265" max="8265" width="11.2890625" style="165" customWidth="1"/>
    <col min="8266" max="8268" width="10.5703125" style="165" customWidth="1"/>
    <col min="8269" max="8448" width="9.140625" style="165"/>
    <col min="8449" max="8449" width="56.4296875" style="165" customWidth="1"/>
    <col min="8450" max="8453" width="9" style="165" hidden="1" customWidth="1"/>
    <col min="8454" max="8454" width="10.7109375" style="165" customWidth="1"/>
    <col min="8455" max="8458" width="9" style="165" hidden="1" customWidth="1"/>
    <col min="8459" max="8459" width="10.7109375" style="165" customWidth="1"/>
    <col min="8460" max="8463" width="9" style="165" hidden="1" customWidth="1"/>
    <col min="8464" max="8464" width="10.7109375" style="165" customWidth="1"/>
    <col min="8465" max="8468" width="9" style="165" hidden="1" customWidth="1"/>
    <col min="8469" max="8469" width="11.140625" style="165" customWidth="1"/>
    <col min="8470" max="8473" width="9" style="165" hidden="1" customWidth="1"/>
    <col min="8474" max="8474" width="11.140625" style="165" customWidth="1"/>
    <col min="8475" max="8478" width="9" style="165" hidden="1" customWidth="1"/>
    <col min="8479" max="8479" width="11.140625" style="165" customWidth="1"/>
    <col min="8480" max="8483" width="9" style="165" hidden="1" customWidth="1"/>
    <col min="8484" max="8484" width="11.140625" style="165" customWidth="1"/>
    <col min="8485" max="8488" width="9" style="165" hidden="1" customWidth="1"/>
    <col min="8489" max="8489" width="11.140625" style="165" customWidth="1"/>
    <col min="8490" max="8493" width="9" style="165" hidden="1" customWidth="1"/>
    <col min="8494" max="8494" width="11.140625" style="165" customWidth="1"/>
    <col min="8495" max="8498" width="9" style="165" hidden="1" customWidth="1"/>
    <col min="8499" max="8499" width="11.2890625" style="165" customWidth="1"/>
    <col min="8500" max="8503" width="9" style="165" hidden="1" customWidth="1"/>
    <col min="8504" max="8504" width="12.140625" style="165" customWidth="1"/>
    <col min="8505" max="8508" width="9" style="165" hidden="1" customWidth="1"/>
    <col min="8509" max="8509" width="11.7109375" style="165" customWidth="1"/>
    <col min="8510" max="8513" width="9" style="165" hidden="1" customWidth="1"/>
    <col min="8514" max="8514" width="12" style="165" customWidth="1"/>
    <col min="8515" max="8518" width="9" style="165" hidden="1" customWidth="1"/>
    <col min="8519" max="8520" width="12" style="165" customWidth="1"/>
    <col min="8521" max="8521" width="11.2890625" style="165" customWidth="1"/>
    <col min="8522" max="8524" width="10.5703125" style="165" customWidth="1"/>
    <col min="8525" max="8704" width="9.140625" style="165"/>
    <col min="8705" max="8705" width="56.4296875" style="165" customWidth="1"/>
    <col min="8706" max="8709" width="9" style="165" hidden="1" customWidth="1"/>
    <col min="8710" max="8710" width="10.7109375" style="165" customWidth="1"/>
    <col min="8711" max="8714" width="9" style="165" hidden="1" customWidth="1"/>
    <col min="8715" max="8715" width="10.7109375" style="165" customWidth="1"/>
    <col min="8716" max="8719" width="9" style="165" hidden="1" customWidth="1"/>
    <col min="8720" max="8720" width="10.7109375" style="165" customWidth="1"/>
    <col min="8721" max="8724" width="9" style="165" hidden="1" customWidth="1"/>
    <col min="8725" max="8725" width="11.140625" style="165" customWidth="1"/>
    <col min="8726" max="8729" width="9" style="165" hidden="1" customWidth="1"/>
    <col min="8730" max="8730" width="11.140625" style="165" customWidth="1"/>
    <col min="8731" max="8734" width="9" style="165" hidden="1" customWidth="1"/>
    <col min="8735" max="8735" width="11.140625" style="165" customWidth="1"/>
    <col min="8736" max="8739" width="9" style="165" hidden="1" customWidth="1"/>
    <col min="8740" max="8740" width="11.140625" style="165" customWidth="1"/>
    <col min="8741" max="8744" width="9" style="165" hidden="1" customWidth="1"/>
    <col min="8745" max="8745" width="11.140625" style="165" customWidth="1"/>
    <col min="8746" max="8749" width="9" style="165" hidden="1" customWidth="1"/>
    <col min="8750" max="8750" width="11.140625" style="165" customWidth="1"/>
    <col min="8751" max="8754" width="9" style="165" hidden="1" customWidth="1"/>
    <col min="8755" max="8755" width="11.2890625" style="165" customWidth="1"/>
    <col min="8756" max="8759" width="9" style="165" hidden="1" customWidth="1"/>
    <col min="8760" max="8760" width="12.140625" style="165" customWidth="1"/>
    <col min="8761" max="8764" width="9" style="165" hidden="1" customWidth="1"/>
    <col min="8765" max="8765" width="11.7109375" style="165" customWidth="1"/>
    <col min="8766" max="8769" width="9" style="165" hidden="1" customWidth="1"/>
    <col min="8770" max="8770" width="12" style="165" customWidth="1"/>
    <col min="8771" max="8774" width="9" style="165" hidden="1" customWidth="1"/>
    <col min="8775" max="8776" width="12" style="165" customWidth="1"/>
    <col min="8777" max="8777" width="11.2890625" style="165" customWidth="1"/>
    <col min="8778" max="8780" width="10.5703125" style="165" customWidth="1"/>
    <col min="8781" max="8960" width="9.140625" style="165"/>
    <col min="8961" max="8961" width="56.4296875" style="165" customWidth="1"/>
    <col min="8962" max="8965" width="9" style="165" hidden="1" customWidth="1"/>
    <col min="8966" max="8966" width="10.7109375" style="165" customWidth="1"/>
    <col min="8967" max="8970" width="9" style="165" hidden="1" customWidth="1"/>
    <col min="8971" max="8971" width="10.7109375" style="165" customWidth="1"/>
    <col min="8972" max="8975" width="9" style="165" hidden="1" customWidth="1"/>
    <col min="8976" max="8976" width="10.7109375" style="165" customWidth="1"/>
    <col min="8977" max="8980" width="9" style="165" hidden="1" customWidth="1"/>
    <col min="8981" max="8981" width="11.140625" style="165" customWidth="1"/>
    <col min="8982" max="8985" width="9" style="165" hidden="1" customWidth="1"/>
    <col min="8986" max="8986" width="11.140625" style="165" customWidth="1"/>
    <col min="8987" max="8990" width="9" style="165" hidden="1" customWidth="1"/>
    <col min="8991" max="8991" width="11.140625" style="165" customWidth="1"/>
    <col min="8992" max="8995" width="9" style="165" hidden="1" customWidth="1"/>
    <col min="8996" max="8996" width="11.140625" style="165" customWidth="1"/>
    <col min="8997" max="9000" width="9" style="165" hidden="1" customWidth="1"/>
    <col min="9001" max="9001" width="11.140625" style="165" customWidth="1"/>
    <col min="9002" max="9005" width="9" style="165" hidden="1" customWidth="1"/>
    <col min="9006" max="9006" width="11.140625" style="165" customWidth="1"/>
    <col min="9007" max="9010" width="9" style="165" hidden="1" customWidth="1"/>
    <col min="9011" max="9011" width="11.2890625" style="165" customWidth="1"/>
    <col min="9012" max="9015" width="9" style="165" hidden="1" customWidth="1"/>
    <col min="9016" max="9016" width="12.140625" style="165" customWidth="1"/>
    <col min="9017" max="9020" width="9" style="165" hidden="1" customWidth="1"/>
    <col min="9021" max="9021" width="11.7109375" style="165" customWidth="1"/>
    <col min="9022" max="9025" width="9" style="165" hidden="1" customWidth="1"/>
    <col min="9026" max="9026" width="12" style="165" customWidth="1"/>
    <col min="9027" max="9030" width="9" style="165" hidden="1" customWidth="1"/>
    <col min="9031" max="9032" width="12" style="165" customWidth="1"/>
    <col min="9033" max="9033" width="11.2890625" style="165" customWidth="1"/>
    <col min="9034" max="9036" width="10.5703125" style="165" customWidth="1"/>
    <col min="9037" max="9216" width="9.140625" style="165"/>
    <col min="9217" max="9217" width="56.4296875" style="165" customWidth="1"/>
    <col min="9218" max="9221" width="9" style="165" hidden="1" customWidth="1"/>
    <col min="9222" max="9222" width="10.7109375" style="165" customWidth="1"/>
    <col min="9223" max="9226" width="9" style="165" hidden="1" customWidth="1"/>
    <col min="9227" max="9227" width="10.7109375" style="165" customWidth="1"/>
    <col min="9228" max="9231" width="9" style="165" hidden="1" customWidth="1"/>
    <col min="9232" max="9232" width="10.7109375" style="165" customWidth="1"/>
    <col min="9233" max="9236" width="9" style="165" hidden="1" customWidth="1"/>
    <col min="9237" max="9237" width="11.140625" style="165" customWidth="1"/>
    <col min="9238" max="9241" width="9" style="165" hidden="1" customWidth="1"/>
    <col min="9242" max="9242" width="11.140625" style="165" customWidth="1"/>
    <col min="9243" max="9246" width="9" style="165" hidden="1" customWidth="1"/>
    <col min="9247" max="9247" width="11.140625" style="165" customWidth="1"/>
    <col min="9248" max="9251" width="9" style="165" hidden="1" customWidth="1"/>
    <col min="9252" max="9252" width="11.140625" style="165" customWidth="1"/>
    <col min="9253" max="9256" width="9" style="165" hidden="1" customWidth="1"/>
    <col min="9257" max="9257" width="11.140625" style="165" customWidth="1"/>
    <col min="9258" max="9261" width="9" style="165" hidden="1" customWidth="1"/>
    <col min="9262" max="9262" width="11.140625" style="165" customWidth="1"/>
    <col min="9263" max="9266" width="9" style="165" hidden="1" customWidth="1"/>
    <col min="9267" max="9267" width="11.2890625" style="165" customWidth="1"/>
    <col min="9268" max="9271" width="9" style="165" hidden="1" customWidth="1"/>
    <col min="9272" max="9272" width="12.140625" style="165" customWidth="1"/>
    <col min="9273" max="9276" width="9" style="165" hidden="1" customWidth="1"/>
    <col min="9277" max="9277" width="11.7109375" style="165" customWidth="1"/>
    <col min="9278" max="9281" width="9" style="165" hidden="1" customWidth="1"/>
    <col min="9282" max="9282" width="12" style="165" customWidth="1"/>
    <col min="9283" max="9286" width="9" style="165" hidden="1" customWidth="1"/>
    <col min="9287" max="9288" width="12" style="165" customWidth="1"/>
    <col min="9289" max="9289" width="11.2890625" style="165" customWidth="1"/>
    <col min="9290" max="9292" width="10.5703125" style="165" customWidth="1"/>
    <col min="9293" max="9472" width="9.140625" style="165"/>
    <col min="9473" max="9473" width="56.4296875" style="165" customWidth="1"/>
    <col min="9474" max="9477" width="9" style="165" hidden="1" customWidth="1"/>
    <col min="9478" max="9478" width="10.7109375" style="165" customWidth="1"/>
    <col min="9479" max="9482" width="9" style="165" hidden="1" customWidth="1"/>
    <col min="9483" max="9483" width="10.7109375" style="165" customWidth="1"/>
    <col min="9484" max="9487" width="9" style="165" hidden="1" customWidth="1"/>
    <col min="9488" max="9488" width="10.7109375" style="165" customWidth="1"/>
    <col min="9489" max="9492" width="9" style="165" hidden="1" customWidth="1"/>
    <col min="9493" max="9493" width="11.140625" style="165" customWidth="1"/>
    <col min="9494" max="9497" width="9" style="165" hidden="1" customWidth="1"/>
    <col min="9498" max="9498" width="11.140625" style="165" customWidth="1"/>
    <col min="9499" max="9502" width="9" style="165" hidden="1" customWidth="1"/>
    <col min="9503" max="9503" width="11.140625" style="165" customWidth="1"/>
    <col min="9504" max="9507" width="9" style="165" hidden="1" customWidth="1"/>
    <col min="9508" max="9508" width="11.140625" style="165" customWidth="1"/>
    <col min="9509" max="9512" width="9" style="165" hidden="1" customWidth="1"/>
    <col min="9513" max="9513" width="11.140625" style="165" customWidth="1"/>
    <col min="9514" max="9517" width="9" style="165" hidden="1" customWidth="1"/>
    <col min="9518" max="9518" width="11.140625" style="165" customWidth="1"/>
    <col min="9519" max="9522" width="9" style="165" hidden="1" customWidth="1"/>
    <col min="9523" max="9523" width="11.2890625" style="165" customWidth="1"/>
    <col min="9524" max="9527" width="9" style="165" hidden="1" customWidth="1"/>
    <col min="9528" max="9528" width="12.140625" style="165" customWidth="1"/>
    <col min="9529" max="9532" width="9" style="165" hidden="1" customWidth="1"/>
    <col min="9533" max="9533" width="11.7109375" style="165" customWidth="1"/>
    <col min="9534" max="9537" width="9" style="165" hidden="1" customWidth="1"/>
    <col min="9538" max="9538" width="12" style="165" customWidth="1"/>
    <col min="9539" max="9542" width="9" style="165" hidden="1" customWidth="1"/>
    <col min="9543" max="9544" width="12" style="165" customWidth="1"/>
    <col min="9545" max="9545" width="11.2890625" style="165" customWidth="1"/>
    <col min="9546" max="9548" width="10.5703125" style="165" customWidth="1"/>
    <col min="9549" max="9728" width="9.140625" style="165"/>
    <col min="9729" max="9729" width="56.4296875" style="165" customWidth="1"/>
    <col min="9730" max="9733" width="9" style="165" hidden="1" customWidth="1"/>
    <col min="9734" max="9734" width="10.7109375" style="165" customWidth="1"/>
    <col min="9735" max="9738" width="9" style="165" hidden="1" customWidth="1"/>
    <col min="9739" max="9739" width="10.7109375" style="165" customWidth="1"/>
    <col min="9740" max="9743" width="9" style="165" hidden="1" customWidth="1"/>
    <col min="9744" max="9744" width="10.7109375" style="165" customWidth="1"/>
    <col min="9745" max="9748" width="9" style="165" hidden="1" customWidth="1"/>
    <col min="9749" max="9749" width="11.140625" style="165" customWidth="1"/>
    <col min="9750" max="9753" width="9" style="165" hidden="1" customWidth="1"/>
    <col min="9754" max="9754" width="11.140625" style="165" customWidth="1"/>
    <col min="9755" max="9758" width="9" style="165" hidden="1" customWidth="1"/>
    <col min="9759" max="9759" width="11.140625" style="165" customWidth="1"/>
    <col min="9760" max="9763" width="9" style="165" hidden="1" customWidth="1"/>
    <col min="9764" max="9764" width="11.140625" style="165" customWidth="1"/>
    <col min="9765" max="9768" width="9" style="165" hidden="1" customWidth="1"/>
    <col min="9769" max="9769" width="11.140625" style="165" customWidth="1"/>
    <col min="9770" max="9773" width="9" style="165" hidden="1" customWidth="1"/>
    <col min="9774" max="9774" width="11.140625" style="165" customWidth="1"/>
    <col min="9775" max="9778" width="9" style="165" hidden="1" customWidth="1"/>
    <col min="9779" max="9779" width="11.2890625" style="165" customWidth="1"/>
    <col min="9780" max="9783" width="9" style="165" hidden="1" customWidth="1"/>
    <col min="9784" max="9784" width="12.140625" style="165" customWidth="1"/>
    <col min="9785" max="9788" width="9" style="165" hidden="1" customWidth="1"/>
    <col min="9789" max="9789" width="11.7109375" style="165" customWidth="1"/>
    <col min="9790" max="9793" width="9" style="165" hidden="1" customWidth="1"/>
    <col min="9794" max="9794" width="12" style="165" customWidth="1"/>
    <col min="9795" max="9798" width="9" style="165" hidden="1" customWidth="1"/>
    <col min="9799" max="9800" width="12" style="165" customWidth="1"/>
    <col min="9801" max="9801" width="11.2890625" style="165" customWidth="1"/>
    <col min="9802" max="9804" width="10.5703125" style="165" customWidth="1"/>
    <col min="9805" max="9984" width="9.140625" style="165"/>
    <col min="9985" max="9985" width="56.4296875" style="165" customWidth="1"/>
    <col min="9986" max="9989" width="9" style="165" hidden="1" customWidth="1"/>
    <col min="9990" max="9990" width="10.7109375" style="165" customWidth="1"/>
    <col min="9991" max="9994" width="9" style="165" hidden="1" customWidth="1"/>
    <col min="9995" max="9995" width="10.7109375" style="165" customWidth="1"/>
    <col min="9996" max="9999" width="9" style="165" hidden="1" customWidth="1"/>
    <col min="10000" max="10000" width="10.7109375" style="165" customWidth="1"/>
    <col min="10001" max="10004" width="9" style="165" hidden="1" customWidth="1"/>
    <col min="10005" max="10005" width="11.140625" style="165" customWidth="1"/>
    <col min="10006" max="10009" width="9" style="165" hidden="1" customWidth="1"/>
    <col min="10010" max="10010" width="11.140625" style="165" customWidth="1"/>
    <col min="10011" max="10014" width="9" style="165" hidden="1" customWidth="1"/>
    <col min="10015" max="10015" width="11.140625" style="165" customWidth="1"/>
    <col min="10016" max="10019" width="9" style="165" hidden="1" customWidth="1"/>
    <col min="10020" max="10020" width="11.140625" style="165" customWidth="1"/>
    <col min="10021" max="10024" width="9" style="165" hidden="1" customWidth="1"/>
    <col min="10025" max="10025" width="11.140625" style="165" customWidth="1"/>
    <col min="10026" max="10029" width="9" style="165" hidden="1" customWidth="1"/>
    <col min="10030" max="10030" width="11.140625" style="165" customWidth="1"/>
    <col min="10031" max="10034" width="9" style="165" hidden="1" customWidth="1"/>
    <col min="10035" max="10035" width="11.2890625" style="165" customWidth="1"/>
    <col min="10036" max="10039" width="9" style="165" hidden="1" customWidth="1"/>
    <col min="10040" max="10040" width="12.140625" style="165" customWidth="1"/>
    <col min="10041" max="10044" width="9" style="165" hidden="1" customWidth="1"/>
    <col min="10045" max="10045" width="11.7109375" style="165" customWidth="1"/>
    <col min="10046" max="10049" width="9" style="165" hidden="1" customWidth="1"/>
    <col min="10050" max="10050" width="12" style="165" customWidth="1"/>
    <col min="10051" max="10054" width="9" style="165" hidden="1" customWidth="1"/>
    <col min="10055" max="10056" width="12" style="165" customWidth="1"/>
    <col min="10057" max="10057" width="11.2890625" style="165" customWidth="1"/>
    <col min="10058" max="10060" width="10.5703125" style="165" customWidth="1"/>
    <col min="10061" max="10240" width="9.140625" style="165"/>
    <col min="10241" max="10241" width="56.4296875" style="165" customWidth="1"/>
    <col min="10242" max="10245" width="9" style="165" hidden="1" customWidth="1"/>
    <col min="10246" max="10246" width="10.7109375" style="165" customWidth="1"/>
    <col min="10247" max="10250" width="9" style="165" hidden="1" customWidth="1"/>
    <col min="10251" max="10251" width="10.7109375" style="165" customWidth="1"/>
    <col min="10252" max="10255" width="9" style="165" hidden="1" customWidth="1"/>
    <col min="10256" max="10256" width="10.7109375" style="165" customWidth="1"/>
    <col min="10257" max="10260" width="9" style="165" hidden="1" customWidth="1"/>
    <col min="10261" max="10261" width="11.140625" style="165" customWidth="1"/>
    <col min="10262" max="10265" width="9" style="165" hidden="1" customWidth="1"/>
    <col min="10266" max="10266" width="11.140625" style="165" customWidth="1"/>
    <col min="10267" max="10270" width="9" style="165" hidden="1" customWidth="1"/>
    <col min="10271" max="10271" width="11.140625" style="165" customWidth="1"/>
    <col min="10272" max="10275" width="9" style="165" hidden="1" customWidth="1"/>
    <col min="10276" max="10276" width="11.140625" style="165" customWidth="1"/>
    <col min="10277" max="10280" width="9" style="165" hidden="1" customWidth="1"/>
    <col min="10281" max="10281" width="11.140625" style="165" customWidth="1"/>
    <col min="10282" max="10285" width="9" style="165" hidden="1" customWidth="1"/>
    <col min="10286" max="10286" width="11.140625" style="165" customWidth="1"/>
    <col min="10287" max="10290" width="9" style="165" hidden="1" customWidth="1"/>
    <col min="10291" max="10291" width="11.2890625" style="165" customWidth="1"/>
    <col min="10292" max="10295" width="9" style="165" hidden="1" customWidth="1"/>
    <col min="10296" max="10296" width="12.140625" style="165" customWidth="1"/>
    <col min="10297" max="10300" width="9" style="165" hidden="1" customWidth="1"/>
    <col min="10301" max="10301" width="11.7109375" style="165" customWidth="1"/>
    <col min="10302" max="10305" width="9" style="165" hidden="1" customWidth="1"/>
    <col min="10306" max="10306" width="12" style="165" customWidth="1"/>
    <col min="10307" max="10310" width="9" style="165" hidden="1" customWidth="1"/>
    <col min="10311" max="10312" width="12" style="165" customWidth="1"/>
    <col min="10313" max="10313" width="11.2890625" style="165" customWidth="1"/>
    <col min="10314" max="10316" width="10.5703125" style="165" customWidth="1"/>
    <col min="10317" max="10496" width="9.140625" style="165"/>
    <col min="10497" max="10497" width="56.4296875" style="165" customWidth="1"/>
    <col min="10498" max="10501" width="9" style="165" hidden="1" customWidth="1"/>
    <col min="10502" max="10502" width="10.7109375" style="165" customWidth="1"/>
    <col min="10503" max="10506" width="9" style="165" hidden="1" customWidth="1"/>
    <col min="10507" max="10507" width="10.7109375" style="165" customWidth="1"/>
    <col min="10508" max="10511" width="9" style="165" hidden="1" customWidth="1"/>
    <col min="10512" max="10512" width="10.7109375" style="165" customWidth="1"/>
    <col min="10513" max="10516" width="9" style="165" hidden="1" customWidth="1"/>
    <col min="10517" max="10517" width="11.140625" style="165" customWidth="1"/>
    <col min="10518" max="10521" width="9" style="165" hidden="1" customWidth="1"/>
    <col min="10522" max="10522" width="11.140625" style="165" customWidth="1"/>
    <col min="10523" max="10526" width="9" style="165" hidden="1" customWidth="1"/>
    <col min="10527" max="10527" width="11.140625" style="165" customWidth="1"/>
    <col min="10528" max="10531" width="9" style="165" hidden="1" customWidth="1"/>
    <col min="10532" max="10532" width="11.140625" style="165" customWidth="1"/>
    <col min="10533" max="10536" width="9" style="165" hidden="1" customWidth="1"/>
    <col min="10537" max="10537" width="11.140625" style="165" customWidth="1"/>
    <col min="10538" max="10541" width="9" style="165" hidden="1" customWidth="1"/>
    <col min="10542" max="10542" width="11.140625" style="165" customWidth="1"/>
    <col min="10543" max="10546" width="9" style="165" hidden="1" customWidth="1"/>
    <col min="10547" max="10547" width="11.2890625" style="165" customWidth="1"/>
    <col min="10548" max="10551" width="9" style="165" hidden="1" customWidth="1"/>
    <col min="10552" max="10552" width="12.140625" style="165" customWidth="1"/>
    <col min="10553" max="10556" width="9" style="165" hidden="1" customWidth="1"/>
    <col min="10557" max="10557" width="11.7109375" style="165" customWidth="1"/>
    <col min="10558" max="10561" width="9" style="165" hidden="1" customWidth="1"/>
    <col min="10562" max="10562" width="12" style="165" customWidth="1"/>
    <col min="10563" max="10566" width="9" style="165" hidden="1" customWidth="1"/>
    <col min="10567" max="10568" width="12" style="165" customWidth="1"/>
    <col min="10569" max="10569" width="11.2890625" style="165" customWidth="1"/>
    <col min="10570" max="10572" width="10.5703125" style="165" customWidth="1"/>
    <col min="10573" max="10752" width="9.140625" style="165"/>
    <col min="10753" max="10753" width="56.4296875" style="165" customWidth="1"/>
    <col min="10754" max="10757" width="9" style="165" hidden="1" customWidth="1"/>
    <col min="10758" max="10758" width="10.7109375" style="165" customWidth="1"/>
    <col min="10759" max="10762" width="9" style="165" hidden="1" customWidth="1"/>
    <col min="10763" max="10763" width="10.7109375" style="165" customWidth="1"/>
    <col min="10764" max="10767" width="9" style="165" hidden="1" customWidth="1"/>
    <col min="10768" max="10768" width="10.7109375" style="165" customWidth="1"/>
    <col min="10769" max="10772" width="9" style="165" hidden="1" customWidth="1"/>
    <col min="10773" max="10773" width="11.140625" style="165" customWidth="1"/>
    <col min="10774" max="10777" width="9" style="165" hidden="1" customWidth="1"/>
    <col min="10778" max="10778" width="11.140625" style="165" customWidth="1"/>
    <col min="10779" max="10782" width="9" style="165" hidden="1" customWidth="1"/>
    <col min="10783" max="10783" width="11.140625" style="165" customWidth="1"/>
    <col min="10784" max="10787" width="9" style="165" hidden="1" customWidth="1"/>
    <col min="10788" max="10788" width="11.140625" style="165" customWidth="1"/>
    <col min="10789" max="10792" width="9" style="165" hidden="1" customWidth="1"/>
    <col min="10793" max="10793" width="11.140625" style="165" customWidth="1"/>
    <col min="10794" max="10797" width="9" style="165" hidden="1" customWidth="1"/>
    <col min="10798" max="10798" width="11.140625" style="165" customWidth="1"/>
    <col min="10799" max="10802" width="9" style="165" hidden="1" customWidth="1"/>
    <col min="10803" max="10803" width="11.2890625" style="165" customWidth="1"/>
    <col min="10804" max="10807" width="9" style="165" hidden="1" customWidth="1"/>
    <col min="10808" max="10808" width="12.140625" style="165" customWidth="1"/>
    <col min="10809" max="10812" width="9" style="165" hidden="1" customWidth="1"/>
    <col min="10813" max="10813" width="11.7109375" style="165" customWidth="1"/>
    <col min="10814" max="10817" width="9" style="165" hidden="1" customWidth="1"/>
    <col min="10818" max="10818" width="12" style="165" customWidth="1"/>
    <col min="10819" max="10822" width="9" style="165" hidden="1" customWidth="1"/>
    <col min="10823" max="10824" width="12" style="165" customWidth="1"/>
    <col min="10825" max="10825" width="11.2890625" style="165" customWidth="1"/>
    <col min="10826" max="10828" width="10.5703125" style="165" customWidth="1"/>
    <col min="10829" max="11008" width="9.140625" style="165"/>
    <col min="11009" max="11009" width="56.4296875" style="165" customWidth="1"/>
    <col min="11010" max="11013" width="9" style="165" hidden="1" customWidth="1"/>
    <col min="11014" max="11014" width="10.7109375" style="165" customWidth="1"/>
    <col min="11015" max="11018" width="9" style="165" hidden="1" customWidth="1"/>
    <col min="11019" max="11019" width="10.7109375" style="165" customWidth="1"/>
    <col min="11020" max="11023" width="9" style="165" hidden="1" customWidth="1"/>
    <col min="11024" max="11024" width="10.7109375" style="165" customWidth="1"/>
    <col min="11025" max="11028" width="9" style="165" hidden="1" customWidth="1"/>
    <col min="11029" max="11029" width="11.140625" style="165" customWidth="1"/>
    <col min="11030" max="11033" width="9" style="165" hidden="1" customWidth="1"/>
    <col min="11034" max="11034" width="11.140625" style="165" customWidth="1"/>
    <col min="11035" max="11038" width="9" style="165" hidden="1" customWidth="1"/>
    <col min="11039" max="11039" width="11.140625" style="165" customWidth="1"/>
    <col min="11040" max="11043" width="9" style="165" hidden="1" customWidth="1"/>
    <col min="11044" max="11044" width="11.140625" style="165" customWidth="1"/>
    <col min="11045" max="11048" width="9" style="165" hidden="1" customWidth="1"/>
    <col min="11049" max="11049" width="11.140625" style="165" customWidth="1"/>
    <col min="11050" max="11053" width="9" style="165" hidden="1" customWidth="1"/>
    <col min="11054" max="11054" width="11.140625" style="165" customWidth="1"/>
    <col min="11055" max="11058" width="9" style="165" hidden="1" customWidth="1"/>
    <col min="11059" max="11059" width="11.2890625" style="165" customWidth="1"/>
    <col min="11060" max="11063" width="9" style="165" hidden="1" customWidth="1"/>
    <col min="11064" max="11064" width="12.140625" style="165" customWidth="1"/>
    <col min="11065" max="11068" width="9" style="165" hidden="1" customWidth="1"/>
    <col min="11069" max="11069" width="11.7109375" style="165" customWidth="1"/>
    <col min="11070" max="11073" width="9" style="165" hidden="1" customWidth="1"/>
    <col min="11074" max="11074" width="12" style="165" customWidth="1"/>
    <col min="11075" max="11078" width="9" style="165" hidden="1" customWidth="1"/>
    <col min="11079" max="11080" width="12" style="165" customWidth="1"/>
    <col min="11081" max="11081" width="11.2890625" style="165" customWidth="1"/>
    <col min="11082" max="11084" width="10.5703125" style="165" customWidth="1"/>
    <col min="11085" max="11264" width="9.140625" style="165"/>
    <col min="11265" max="11265" width="56.4296875" style="165" customWidth="1"/>
    <col min="11266" max="11269" width="9" style="165" hidden="1" customWidth="1"/>
    <col min="11270" max="11270" width="10.7109375" style="165" customWidth="1"/>
    <col min="11271" max="11274" width="9" style="165" hidden="1" customWidth="1"/>
    <col min="11275" max="11275" width="10.7109375" style="165" customWidth="1"/>
    <col min="11276" max="11279" width="9" style="165" hidden="1" customWidth="1"/>
    <col min="11280" max="11280" width="10.7109375" style="165" customWidth="1"/>
    <col min="11281" max="11284" width="9" style="165" hidden="1" customWidth="1"/>
    <col min="11285" max="11285" width="11.140625" style="165" customWidth="1"/>
    <col min="11286" max="11289" width="9" style="165" hidden="1" customWidth="1"/>
    <col min="11290" max="11290" width="11.140625" style="165" customWidth="1"/>
    <col min="11291" max="11294" width="9" style="165" hidden="1" customWidth="1"/>
    <col min="11295" max="11295" width="11.140625" style="165" customWidth="1"/>
    <col min="11296" max="11299" width="9" style="165" hidden="1" customWidth="1"/>
    <col min="11300" max="11300" width="11.140625" style="165" customWidth="1"/>
    <col min="11301" max="11304" width="9" style="165" hidden="1" customWidth="1"/>
    <col min="11305" max="11305" width="11.140625" style="165" customWidth="1"/>
    <col min="11306" max="11309" width="9" style="165" hidden="1" customWidth="1"/>
    <col min="11310" max="11310" width="11.140625" style="165" customWidth="1"/>
    <col min="11311" max="11314" width="9" style="165" hidden="1" customWidth="1"/>
    <col min="11315" max="11315" width="11.2890625" style="165" customWidth="1"/>
    <col min="11316" max="11319" width="9" style="165" hidden="1" customWidth="1"/>
    <col min="11320" max="11320" width="12.140625" style="165" customWidth="1"/>
    <col min="11321" max="11324" width="9" style="165" hidden="1" customWidth="1"/>
    <col min="11325" max="11325" width="11.7109375" style="165" customWidth="1"/>
    <col min="11326" max="11329" width="9" style="165" hidden="1" customWidth="1"/>
    <col min="11330" max="11330" width="12" style="165" customWidth="1"/>
    <col min="11331" max="11334" width="9" style="165" hidden="1" customWidth="1"/>
    <col min="11335" max="11336" width="12" style="165" customWidth="1"/>
    <col min="11337" max="11337" width="11.2890625" style="165" customWidth="1"/>
    <col min="11338" max="11340" width="10.5703125" style="165" customWidth="1"/>
    <col min="11341" max="11520" width="9.140625" style="165"/>
    <col min="11521" max="11521" width="56.4296875" style="165" customWidth="1"/>
    <col min="11522" max="11525" width="9" style="165" hidden="1" customWidth="1"/>
    <col min="11526" max="11526" width="10.7109375" style="165" customWidth="1"/>
    <col min="11527" max="11530" width="9" style="165" hidden="1" customWidth="1"/>
    <col min="11531" max="11531" width="10.7109375" style="165" customWidth="1"/>
    <col min="11532" max="11535" width="9" style="165" hidden="1" customWidth="1"/>
    <col min="11536" max="11536" width="10.7109375" style="165" customWidth="1"/>
    <col min="11537" max="11540" width="9" style="165" hidden="1" customWidth="1"/>
    <col min="11541" max="11541" width="11.140625" style="165" customWidth="1"/>
    <col min="11542" max="11545" width="9" style="165" hidden="1" customWidth="1"/>
    <col min="11546" max="11546" width="11.140625" style="165" customWidth="1"/>
    <col min="11547" max="11550" width="9" style="165" hidden="1" customWidth="1"/>
    <col min="11551" max="11551" width="11.140625" style="165" customWidth="1"/>
    <col min="11552" max="11555" width="9" style="165" hidden="1" customWidth="1"/>
    <col min="11556" max="11556" width="11.140625" style="165" customWidth="1"/>
    <col min="11557" max="11560" width="9" style="165" hidden="1" customWidth="1"/>
    <col min="11561" max="11561" width="11.140625" style="165" customWidth="1"/>
    <col min="11562" max="11565" width="9" style="165" hidden="1" customWidth="1"/>
    <col min="11566" max="11566" width="11.140625" style="165" customWidth="1"/>
    <col min="11567" max="11570" width="9" style="165" hidden="1" customWidth="1"/>
    <col min="11571" max="11571" width="11.2890625" style="165" customWidth="1"/>
    <col min="11572" max="11575" width="9" style="165" hidden="1" customWidth="1"/>
    <col min="11576" max="11576" width="12.140625" style="165" customWidth="1"/>
    <col min="11577" max="11580" width="9" style="165" hidden="1" customWidth="1"/>
    <col min="11581" max="11581" width="11.7109375" style="165" customWidth="1"/>
    <col min="11582" max="11585" width="9" style="165" hidden="1" customWidth="1"/>
    <col min="11586" max="11586" width="12" style="165" customWidth="1"/>
    <col min="11587" max="11590" width="9" style="165" hidden="1" customWidth="1"/>
    <col min="11591" max="11592" width="12" style="165" customWidth="1"/>
    <col min="11593" max="11593" width="11.2890625" style="165" customWidth="1"/>
    <col min="11594" max="11596" width="10.5703125" style="165" customWidth="1"/>
    <col min="11597" max="11776" width="9.140625" style="165"/>
    <col min="11777" max="11777" width="56.4296875" style="165" customWidth="1"/>
    <col min="11778" max="11781" width="9" style="165" hidden="1" customWidth="1"/>
    <col min="11782" max="11782" width="10.7109375" style="165" customWidth="1"/>
    <col min="11783" max="11786" width="9" style="165" hidden="1" customWidth="1"/>
    <col min="11787" max="11787" width="10.7109375" style="165" customWidth="1"/>
    <col min="11788" max="11791" width="9" style="165" hidden="1" customWidth="1"/>
    <col min="11792" max="11792" width="10.7109375" style="165" customWidth="1"/>
    <col min="11793" max="11796" width="9" style="165" hidden="1" customWidth="1"/>
    <col min="11797" max="11797" width="11.140625" style="165" customWidth="1"/>
    <col min="11798" max="11801" width="9" style="165" hidden="1" customWidth="1"/>
    <col min="11802" max="11802" width="11.140625" style="165" customWidth="1"/>
    <col min="11803" max="11806" width="9" style="165" hidden="1" customWidth="1"/>
    <col min="11807" max="11807" width="11.140625" style="165" customWidth="1"/>
    <col min="11808" max="11811" width="9" style="165" hidden="1" customWidth="1"/>
    <col min="11812" max="11812" width="11.140625" style="165" customWidth="1"/>
    <col min="11813" max="11816" width="9" style="165" hidden="1" customWidth="1"/>
    <col min="11817" max="11817" width="11.140625" style="165" customWidth="1"/>
    <col min="11818" max="11821" width="9" style="165" hidden="1" customWidth="1"/>
    <col min="11822" max="11822" width="11.140625" style="165" customWidth="1"/>
    <col min="11823" max="11826" width="9" style="165" hidden="1" customWidth="1"/>
    <col min="11827" max="11827" width="11.2890625" style="165" customWidth="1"/>
    <col min="11828" max="11831" width="9" style="165" hidden="1" customWidth="1"/>
    <col min="11832" max="11832" width="12.140625" style="165" customWidth="1"/>
    <col min="11833" max="11836" width="9" style="165" hidden="1" customWidth="1"/>
    <col min="11837" max="11837" width="11.7109375" style="165" customWidth="1"/>
    <col min="11838" max="11841" width="9" style="165" hidden="1" customWidth="1"/>
    <col min="11842" max="11842" width="12" style="165" customWidth="1"/>
    <col min="11843" max="11846" width="9" style="165" hidden="1" customWidth="1"/>
    <col min="11847" max="11848" width="12" style="165" customWidth="1"/>
    <col min="11849" max="11849" width="11.2890625" style="165" customWidth="1"/>
    <col min="11850" max="11852" width="10.5703125" style="165" customWidth="1"/>
    <col min="11853" max="12032" width="9.140625" style="165"/>
    <col min="12033" max="12033" width="56.4296875" style="165" customWidth="1"/>
    <col min="12034" max="12037" width="9" style="165" hidden="1" customWidth="1"/>
    <col min="12038" max="12038" width="10.7109375" style="165" customWidth="1"/>
    <col min="12039" max="12042" width="9" style="165" hidden="1" customWidth="1"/>
    <col min="12043" max="12043" width="10.7109375" style="165" customWidth="1"/>
    <col min="12044" max="12047" width="9" style="165" hidden="1" customWidth="1"/>
    <col min="12048" max="12048" width="10.7109375" style="165" customWidth="1"/>
    <col min="12049" max="12052" width="9" style="165" hidden="1" customWidth="1"/>
    <col min="12053" max="12053" width="11.140625" style="165" customWidth="1"/>
    <col min="12054" max="12057" width="9" style="165" hidden="1" customWidth="1"/>
    <col min="12058" max="12058" width="11.140625" style="165" customWidth="1"/>
    <col min="12059" max="12062" width="9" style="165" hidden="1" customWidth="1"/>
    <col min="12063" max="12063" width="11.140625" style="165" customWidth="1"/>
    <col min="12064" max="12067" width="9" style="165" hidden="1" customWidth="1"/>
    <col min="12068" max="12068" width="11.140625" style="165" customWidth="1"/>
    <col min="12069" max="12072" width="9" style="165" hidden="1" customWidth="1"/>
    <col min="12073" max="12073" width="11.140625" style="165" customWidth="1"/>
    <col min="12074" max="12077" width="9" style="165" hidden="1" customWidth="1"/>
    <col min="12078" max="12078" width="11.140625" style="165" customWidth="1"/>
    <col min="12079" max="12082" width="9" style="165" hidden="1" customWidth="1"/>
    <col min="12083" max="12083" width="11.2890625" style="165" customWidth="1"/>
    <col min="12084" max="12087" width="9" style="165" hidden="1" customWidth="1"/>
    <col min="12088" max="12088" width="12.140625" style="165" customWidth="1"/>
    <col min="12089" max="12092" width="9" style="165" hidden="1" customWidth="1"/>
    <col min="12093" max="12093" width="11.7109375" style="165" customWidth="1"/>
    <col min="12094" max="12097" width="9" style="165" hidden="1" customWidth="1"/>
    <col min="12098" max="12098" width="12" style="165" customWidth="1"/>
    <col min="12099" max="12102" width="9" style="165" hidden="1" customWidth="1"/>
    <col min="12103" max="12104" width="12" style="165" customWidth="1"/>
    <col min="12105" max="12105" width="11.2890625" style="165" customWidth="1"/>
    <col min="12106" max="12108" width="10.5703125" style="165" customWidth="1"/>
    <col min="12109" max="12288" width="9.140625" style="165"/>
    <col min="12289" max="12289" width="56.4296875" style="165" customWidth="1"/>
    <col min="12290" max="12293" width="9" style="165" hidden="1" customWidth="1"/>
    <col min="12294" max="12294" width="10.7109375" style="165" customWidth="1"/>
    <col min="12295" max="12298" width="9" style="165" hidden="1" customWidth="1"/>
    <col min="12299" max="12299" width="10.7109375" style="165" customWidth="1"/>
    <col min="12300" max="12303" width="9" style="165" hidden="1" customWidth="1"/>
    <col min="12304" max="12304" width="10.7109375" style="165" customWidth="1"/>
    <col min="12305" max="12308" width="9" style="165" hidden="1" customWidth="1"/>
    <col min="12309" max="12309" width="11.140625" style="165" customWidth="1"/>
    <col min="12310" max="12313" width="9" style="165" hidden="1" customWidth="1"/>
    <col min="12314" max="12314" width="11.140625" style="165" customWidth="1"/>
    <col min="12315" max="12318" width="9" style="165" hidden="1" customWidth="1"/>
    <col min="12319" max="12319" width="11.140625" style="165" customWidth="1"/>
    <col min="12320" max="12323" width="9" style="165" hidden="1" customWidth="1"/>
    <col min="12324" max="12324" width="11.140625" style="165" customWidth="1"/>
    <col min="12325" max="12328" width="9" style="165" hidden="1" customWidth="1"/>
    <col min="12329" max="12329" width="11.140625" style="165" customWidth="1"/>
    <col min="12330" max="12333" width="9" style="165" hidden="1" customWidth="1"/>
    <col min="12334" max="12334" width="11.140625" style="165" customWidth="1"/>
    <col min="12335" max="12338" width="9" style="165" hidden="1" customWidth="1"/>
    <col min="12339" max="12339" width="11.2890625" style="165" customWidth="1"/>
    <col min="12340" max="12343" width="9" style="165" hidden="1" customWidth="1"/>
    <col min="12344" max="12344" width="12.140625" style="165" customWidth="1"/>
    <col min="12345" max="12348" width="9" style="165" hidden="1" customWidth="1"/>
    <col min="12349" max="12349" width="11.7109375" style="165" customWidth="1"/>
    <col min="12350" max="12353" width="9" style="165" hidden="1" customWidth="1"/>
    <col min="12354" max="12354" width="12" style="165" customWidth="1"/>
    <col min="12355" max="12358" width="9" style="165" hidden="1" customWidth="1"/>
    <col min="12359" max="12360" width="12" style="165" customWidth="1"/>
    <col min="12361" max="12361" width="11.2890625" style="165" customWidth="1"/>
    <col min="12362" max="12364" width="10.5703125" style="165" customWidth="1"/>
    <col min="12365" max="12544" width="9.140625" style="165"/>
    <col min="12545" max="12545" width="56.4296875" style="165" customWidth="1"/>
    <col min="12546" max="12549" width="9" style="165" hidden="1" customWidth="1"/>
    <col min="12550" max="12550" width="10.7109375" style="165" customWidth="1"/>
    <col min="12551" max="12554" width="9" style="165" hidden="1" customWidth="1"/>
    <col min="12555" max="12555" width="10.7109375" style="165" customWidth="1"/>
    <col min="12556" max="12559" width="9" style="165" hidden="1" customWidth="1"/>
    <col min="12560" max="12560" width="10.7109375" style="165" customWidth="1"/>
    <col min="12561" max="12564" width="9" style="165" hidden="1" customWidth="1"/>
    <col min="12565" max="12565" width="11.140625" style="165" customWidth="1"/>
    <col min="12566" max="12569" width="9" style="165" hidden="1" customWidth="1"/>
    <col min="12570" max="12570" width="11.140625" style="165" customWidth="1"/>
    <col min="12571" max="12574" width="9" style="165" hidden="1" customWidth="1"/>
    <col min="12575" max="12575" width="11.140625" style="165" customWidth="1"/>
    <col min="12576" max="12579" width="9" style="165" hidden="1" customWidth="1"/>
    <col min="12580" max="12580" width="11.140625" style="165" customWidth="1"/>
    <col min="12581" max="12584" width="9" style="165" hidden="1" customWidth="1"/>
    <col min="12585" max="12585" width="11.140625" style="165" customWidth="1"/>
    <col min="12586" max="12589" width="9" style="165" hidden="1" customWidth="1"/>
    <col min="12590" max="12590" width="11.140625" style="165" customWidth="1"/>
    <col min="12591" max="12594" width="9" style="165" hidden="1" customWidth="1"/>
    <col min="12595" max="12595" width="11.2890625" style="165" customWidth="1"/>
    <col min="12596" max="12599" width="9" style="165" hidden="1" customWidth="1"/>
    <col min="12600" max="12600" width="12.140625" style="165" customWidth="1"/>
    <col min="12601" max="12604" width="9" style="165" hidden="1" customWidth="1"/>
    <col min="12605" max="12605" width="11.7109375" style="165" customWidth="1"/>
    <col min="12606" max="12609" width="9" style="165" hidden="1" customWidth="1"/>
    <col min="12610" max="12610" width="12" style="165" customWidth="1"/>
    <col min="12611" max="12614" width="9" style="165" hidden="1" customWidth="1"/>
    <col min="12615" max="12616" width="12" style="165" customWidth="1"/>
    <col min="12617" max="12617" width="11.2890625" style="165" customWidth="1"/>
    <col min="12618" max="12620" width="10.5703125" style="165" customWidth="1"/>
    <col min="12621" max="12800" width="9.140625" style="165"/>
    <col min="12801" max="12801" width="56.4296875" style="165" customWidth="1"/>
    <col min="12802" max="12805" width="9" style="165" hidden="1" customWidth="1"/>
    <col min="12806" max="12806" width="10.7109375" style="165" customWidth="1"/>
    <col min="12807" max="12810" width="9" style="165" hidden="1" customWidth="1"/>
    <col min="12811" max="12811" width="10.7109375" style="165" customWidth="1"/>
    <col min="12812" max="12815" width="9" style="165" hidden="1" customWidth="1"/>
    <col min="12816" max="12816" width="10.7109375" style="165" customWidth="1"/>
    <col min="12817" max="12820" width="9" style="165" hidden="1" customWidth="1"/>
    <col min="12821" max="12821" width="11.140625" style="165" customWidth="1"/>
    <col min="12822" max="12825" width="9" style="165" hidden="1" customWidth="1"/>
    <col min="12826" max="12826" width="11.140625" style="165" customWidth="1"/>
    <col min="12827" max="12830" width="9" style="165" hidden="1" customWidth="1"/>
    <col min="12831" max="12831" width="11.140625" style="165" customWidth="1"/>
    <col min="12832" max="12835" width="9" style="165" hidden="1" customWidth="1"/>
    <col min="12836" max="12836" width="11.140625" style="165" customWidth="1"/>
    <col min="12837" max="12840" width="9" style="165" hidden="1" customWidth="1"/>
    <col min="12841" max="12841" width="11.140625" style="165" customWidth="1"/>
    <col min="12842" max="12845" width="9" style="165" hidden="1" customWidth="1"/>
    <col min="12846" max="12846" width="11.140625" style="165" customWidth="1"/>
    <col min="12847" max="12850" width="9" style="165" hidden="1" customWidth="1"/>
    <col min="12851" max="12851" width="11.2890625" style="165" customWidth="1"/>
    <col min="12852" max="12855" width="9" style="165" hidden="1" customWidth="1"/>
    <col min="12856" max="12856" width="12.140625" style="165" customWidth="1"/>
    <col min="12857" max="12860" width="9" style="165" hidden="1" customWidth="1"/>
    <col min="12861" max="12861" width="11.7109375" style="165" customWidth="1"/>
    <col min="12862" max="12865" width="9" style="165" hidden="1" customWidth="1"/>
    <col min="12866" max="12866" width="12" style="165" customWidth="1"/>
    <col min="12867" max="12870" width="9" style="165" hidden="1" customWidth="1"/>
    <col min="12871" max="12872" width="12" style="165" customWidth="1"/>
    <col min="12873" max="12873" width="11.2890625" style="165" customWidth="1"/>
    <col min="12874" max="12876" width="10.5703125" style="165" customWidth="1"/>
    <col min="12877" max="13056" width="9.140625" style="165"/>
    <col min="13057" max="13057" width="56.4296875" style="165" customWidth="1"/>
    <col min="13058" max="13061" width="9" style="165" hidden="1" customWidth="1"/>
    <col min="13062" max="13062" width="10.7109375" style="165" customWidth="1"/>
    <col min="13063" max="13066" width="9" style="165" hidden="1" customWidth="1"/>
    <col min="13067" max="13067" width="10.7109375" style="165" customWidth="1"/>
    <col min="13068" max="13071" width="9" style="165" hidden="1" customWidth="1"/>
    <col min="13072" max="13072" width="10.7109375" style="165" customWidth="1"/>
    <col min="13073" max="13076" width="9" style="165" hidden="1" customWidth="1"/>
    <col min="13077" max="13077" width="11.140625" style="165" customWidth="1"/>
    <col min="13078" max="13081" width="9" style="165" hidden="1" customWidth="1"/>
    <col min="13082" max="13082" width="11.140625" style="165" customWidth="1"/>
    <col min="13083" max="13086" width="9" style="165" hidden="1" customWidth="1"/>
    <col min="13087" max="13087" width="11.140625" style="165" customWidth="1"/>
    <col min="13088" max="13091" width="9" style="165" hidden="1" customWidth="1"/>
    <col min="13092" max="13092" width="11.140625" style="165" customWidth="1"/>
    <col min="13093" max="13096" width="9" style="165" hidden="1" customWidth="1"/>
    <col min="13097" max="13097" width="11.140625" style="165" customWidth="1"/>
    <col min="13098" max="13101" width="9" style="165" hidden="1" customWidth="1"/>
    <col min="13102" max="13102" width="11.140625" style="165" customWidth="1"/>
    <col min="13103" max="13106" width="9" style="165" hidden="1" customWidth="1"/>
    <col min="13107" max="13107" width="11.2890625" style="165" customWidth="1"/>
    <col min="13108" max="13111" width="9" style="165" hidden="1" customWidth="1"/>
    <col min="13112" max="13112" width="12.140625" style="165" customWidth="1"/>
    <col min="13113" max="13116" width="9" style="165" hidden="1" customWidth="1"/>
    <col min="13117" max="13117" width="11.7109375" style="165" customWidth="1"/>
    <col min="13118" max="13121" width="9" style="165" hidden="1" customWidth="1"/>
    <col min="13122" max="13122" width="12" style="165" customWidth="1"/>
    <col min="13123" max="13126" width="9" style="165" hidden="1" customWidth="1"/>
    <col min="13127" max="13128" width="12" style="165" customWidth="1"/>
    <col min="13129" max="13129" width="11.2890625" style="165" customWidth="1"/>
    <col min="13130" max="13132" width="10.5703125" style="165" customWidth="1"/>
    <col min="13133" max="13312" width="9.140625" style="165"/>
    <col min="13313" max="13313" width="56.4296875" style="165" customWidth="1"/>
    <col min="13314" max="13317" width="9" style="165" hidden="1" customWidth="1"/>
    <col min="13318" max="13318" width="10.7109375" style="165" customWidth="1"/>
    <col min="13319" max="13322" width="9" style="165" hidden="1" customWidth="1"/>
    <col min="13323" max="13323" width="10.7109375" style="165" customWidth="1"/>
    <col min="13324" max="13327" width="9" style="165" hidden="1" customWidth="1"/>
    <col min="13328" max="13328" width="10.7109375" style="165" customWidth="1"/>
    <col min="13329" max="13332" width="9" style="165" hidden="1" customWidth="1"/>
    <col min="13333" max="13333" width="11.140625" style="165" customWidth="1"/>
    <col min="13334" max="13337" width="9" style="165" hidden="1" customWidth="1"/>
    <col min="13338" max="13338" width="11.140625" style="165" customWidth="1"/>
    <col min="13339" max="13342" width="9" style="165" hidden="1" customWidth="1"/>
    <col min="13343" max="13343" width="11.140625" style="165" customWidth="1"/>
    <col min="13344" max="13347" width="9" style="165" hidden="1" customWidth="1"/>
    <col min="13348" max="13348" width="11.140625" style="165" customWidth="1"/>
    <col min="13349" max="13352" width="9" style="165" hidden="1" customWidth="1"/>
    <col min="13353" max="13353" width="11.140625" style="165" customWidth="1"/>
    <col min="13354" max="13357" width="9" style="165" hidden="1" customWidth="1"/>
    <col min="13358" max="13358" width="11.140625" style="165" customWidth="1"/>
    <col min="13359" max="13362" width="9" style="165" hidden="1" customWidth="1"/>
    <col min="13363" max="13363" width="11.2890625" style="165" customWidth="1"/>
    <col min="13364" max="13367" width="9" style="165" hidden="1" customWidth="1"/>
    <col min="13368" max="13368" width="12.140625" style="165" customWidth="1"/>
    <col min="13369" max="13372" width="9" style="165" hidden="1" customWidth="1"/>
    <col min="13373" max="13373" width="11.7109375" style="165" customWidth="1"/>
    <col min="13374" max="13377" width="9" style="165" hidden="1" customWidth="1"/>
    <col min="13378" max="13378" width="12" style="165" customWidth="1"/>
    <col min="13379" max="13382" width="9" style="165" hidden="1" customWidth="1"/>
    <col min="13383" max="13384" width="12" style="165" customWidth="1"/>
    <col min="13385" max="13385" width="11.2890625" style="165" customWidth="1"/>
    <col min="13386" max="13388" width="10.5703125" style="165" customWidth="1"/>
    <col min="13389" max="13568" width="9.140625" style="165"/>
    <col min="13569" max="13569" width="56.4296875" style="165" customWidth="1"/>
    <col min="13570" max="13573" width="9" style="165" hidden="1" customWidth="1"/>
    <col min="13574" max="13574" width="10.7109375" style="165" customWidth="1"/>
    <col min="13575" max="13578" width="9" style="165" hidden="1" customWidth="1"/>
    <col min="13579" max="13579" width="10.7109375" style="165" customWidth="1"/>
    <col min="13580" max="13583" width="9" style="165" hidden="1" customWidth="1"/>
    <col min="13584" max="13584" width="10.7109375" style="165" customWidth="1"/>
    <col min="13585" max="13588" width="9" style="165" hidden="1" customWidth="1"/>
    <col min="13589" max="13589" width="11.140625" style="165" customWidth="1"/>
    <col min="13590" max="13593" width="9" style="165" hidden="1" customWidth="1"/>
    <col min="13594" max="13594" width="11.140625" style="165" customWidth="1"/>
    <col min="13595" max="13598" width="9" style="165" hidden="1" customWidth="1"/>
    <col min="13599" max="13599" width="11.140625" style="165" customWidth="1"/>
    <col min="13600" max="13603" width="9" style="165" hidden="1" customWidth="1"/>
    <col min="13604" max="13604" width="11.140625" style="165" customWidth="1"/>
    <col min="13605" max="13608" width="9" style="165" hidden="1" customWidth="1"/>
    <col min="13609" max="13609" width="11.140625" style="165" customWidth="1"/>
    <col min="13610" max="13613" width="9" style="165" hidden="1" customWidth="1"/>
    <col min="13614" max="13614" width="11.140625" style="165" customWidth="1"/>
    <col min="13615" max="13618" width="9" style="165" hidden="1" customWidth="1"/>
    <col min="13619" max="13619" width="11.2890625" style="165" customWidth="1"/>
    <col min="13620" max="13623" width="9" style="165" hidden="1" customWidth="1"/>
    <col min="13624" max="13624" width="12.140625" style="165" customWidth="1"/>
    <col min="13625" max="13628" width="9" style="165" hidden="1" customWidth="1"/>
    <col min="13629" max="13629" width="11.7109375" style="165" customWidth="1"/>
    <col min="13630" max="13633" width="9" style="165" hidden="1" customWidth="1"/>
    <col min="13634" max="13634" width="12" style="165" customWidth="1"/>
    <col min="13635" max="13638" width="9" style="165" hidden="1" customWidth="1"/>
    <col min="13639" max="13640" width="12" style="165" customWidth="1"/>
    <col min="13641" max="13641" width="11.2890625" style="165" customWidth="1"/>
    <col min="13642" max="13644" width="10.5703125" style="165" customWidth="1"/>
    <col min="13645" max="13824" width="9.140625" style="165"/>
    <col min="13825" max="13825" width="56.4296875" style="165" customWidth="1"/>
    <col min="13826" max="13829" width="9" style="165" hidden="1" customWidth="1"/>
    <col min="13830" max="13830" width="10.7109375" style="165" customWidth="1"/>
    <col min="13831" max="13834" width="9" style="165" hidden="1" customWidth="1"/>
    <col min="13835" max="13835" width="10.7109375" style="165" customWidth="1"/>
    <col min="13836" max="13839" width="9" style="165" hidden="1" customWidth="1"/>
    <col min="13840" max="13840" width="10.7109375" style="165" customWidth="1"/>
    <col min="13841" max="13844" width="9" style="165" hidden="1" customWidth="1"/>
    <col min="13845" max="13845" width="11.140625" style="165" customWidth="1"/>
    <col min="13846" max="13849" width="9" style="165" hidden="1" customWidth="1"/>
    <col min="13850" max="13850" width="11.140625" style="165" customWidth="1"/>
    <col min="13851" max="13854" width="9" style="165" hidden="1" customWidth="1"/>
    <col min="13855" max="13855" width="11.140625" style="165" customWidth="1"/>
    <col min="13856" max="13859" width="9" style="165" hidden="1" customWidth="1"/>
    <col min="13860" max="13860" width="11.140625" style="165" customWidth="1"/>
    <col min="13861" max="13864" width="9" style="165" hidden="1" customWidth="1"/>
    <col min="13865" max="13865" width="11.140625" style="165" customWidth="1"/>
    <col min="13866" max="13869" width="9" style="165" hidden="1" customWidth="1"/>
    <col min="13870" max="13870" width="11.140625" style="165" customWidth="1"/>
    <col min="13871" max="13874" width="9" style="165" hidden="1" customWidth="1"/>
    <col min="13875" max="13875" width="11.2890625" style="165" customWidth="1"/>
    <col min="13876" max="13879" width="9" style="165" hidden="1" customWidth="1"/>
    <col min="13880" max="13880" width="12.140625" style="165" customWidth="1"/>
    <col min="13881" max="13884" width="9" style="165" hidden="1" customWidth="1"/>
    <col min="13885" max="13885" width="11.7109375" style="165" customWidth="1"/>
    <col min="13886" max="13889" width="9" style="165" hidden="1" customWidth="1"/>
    <col min="13890" max="13890" width="12" style="165" customWidth="1"/>
    <col min="13891" max="13894" width="9" style="165" hidden="1" customWidth="1"/>
    <col min="13895" max="13896" width="12" style="165" customWidth="1"/>
    <col min="13897" max="13897" width="11.2890625" style="165" customWidth="1"/>
    <col min="13898" max="13900" width="10.5703125" style="165" customWidth="1"/>
    <col min="13901" max="14080" width="9.140625" style="165"/>
    <col min="14081" max="14081" width="56.4296875" style="165" customWidth="1"/>
    <col min="14082" max="14085" width="9" style="165" hidden="1" customWidth="1"/>
    <col min="14086" max="14086" width="10.7109375" style="165" customWidth="1"/>
    <col min="14087" max="14090" width="9" style="165" hidden="1" customWidth="1"/>
    <col min="14091" max="14091" width="10.7109375" style="165" customWidth="1"/>
    <col min="14092" max="14095" width="9" style="165" hidden="1" customWidth="1"/>
    <col min="14096" max="14096" width="10.7109375" style="165" customWidth="1"/>
    <col min="14097" max="14100" width="9" style="165" hidden="1" customWidth="1"/>
    <col min="14101" max="14101" width="11.140625" style="165" customWidth="1"/>
    <col min="14102" max="14105" width="9" style="165" hidden="1" customWidth="1"/>
    <col min="14106" max="14106" width="11.140625" style="165" customWidth="1"/>
    <col min="14107" max="14110" width="9" style="165" hidden="1" customWidth="1"/>
    <col min="14111" max="14111" width="11.140625" style="165" customWidth="1"/>
    <col min="14112" max="14115" width="9" style="165" hidden="1" customWidth="1"/>
    <col min="14116" max="14116" width="11.140625" style="165" customWidth="1"/>
    <col min="14117" max="14120" width="9" style="165" hidden="1" customWidth="1"/>
    <col min="14121" max="14121" width="11.140625" style="165" customWidth="1"/>
    <col min="14122" max="14125" width="9" style="165" hidden="1" customWidth="1"/>
    <col min="14126" max="14126" width="11.140625" style="165" customWidth="1"/>
    <col min="14127" max="14130" width="9" style="165" hidden="1" customWidth="1"/>
    <col min="14131" max="14131" width="11.2890625" style="165" customWidth="1"/>
    <col min="14132" max="14135" width="9" style="165" hidden="1" customWidth="1"/>
    <col min="14136" max="14136" width="12.140625" style="165" customWidth="1"/>
    <col min="14137" max="14140" width="9" style="165" hidden="1" customWidth="1"/>
    <col min="14141" max="14141" width="11.7109375" style="165" customWidth="1"/>
    <col min="14142" max="14145" width="9" style="165" hidden="1" customWidth="1"/>
    <col min="14146" max="14146" width="12" style="165" customWidth="1"/>
    <col min="14147" max="14150" width="9" style="165" hidden="1" customWidth="1"/>
    <col min="14151" max="14152" width="12" style="165" customWidth="1"/>
    <col min="14153" max="14153" width="11.2890625" style="165" customWidth="1"/>
    <col min="14154" max="14156" width="10.5703125" style="165" customWidth="1"/>
    <col min="14157" max="14336" width="9.140625" style="165"/>
    <col min="14337" max="14337" width="56.4296875" style="165" customWidth="1"/>
    <col min="14338" max="14341" width="9" style="165" hidden="1" customWidth="1"/>
    <col min="14342" max="14342" width="10.7109375" style="165" customWidth="1"/>
    <col min="14343" max="14346" width="9" style="165" hidden="1" customWidth="1"/>
    <col min="14347" max="14347" width="10.7109375" style="165" customWidth="1"/>
    <col min="14348" max="14351" width="9" style="165" hidden="1" customWidth="1"/>
    <col min="14352" max="14352" width="10.7109375" style="165" customWidth="1"/>
    <col min="14353" max="14356" width="9" style="165" hidden="1" customWidth="1"/>
    <col min="14357" max="14357" width="11.140625" style="165" customWidth="1"/>
    <col min="14358" max="14361" width="9" style="165" hidden="1" customWidth="1"/>
    <col min="14362" max="14362" width="11.140625" style="165" customWidth="1"/>
    <col min="14363" max="14366" width="9" style="165" hidden="1" customWidth="1"/>
    <col min="14367" max="14367" width="11.140625" style="165" customWidth="1"/>
    <col min="14368" max="14371" width="9" style="165" hidden="1" customWidth="1"/>
    <col min="14372" max="14372" width="11.140625" style="165" customWidth="1"/>
    <col min="14373" max="14376" width="9" style="165" hidden="1" customWidth="1"/>
    <col min="14377" max="14377" width="11.140625" style="165" customWidth="1"/>
    <col min="14378" max="14381" width="9" style="165" hidden="1" customWidth="1"/>
    <col min="14382" max="14382" width="11.140625" style="165" customWidth="1"/>
    <col min="14383" max="14386" width="9" style="165" hidden="1" customWidth="1"/>
    <col min="14387" max="14387" width="11.2890625" style="165" customWidth="1"/>
    <col min="14388" max="14391" width="9" style="165" hidden="1" customWidth="1"/>
    <col min="14392" max="14392" width="12.140625" style="165" customWidth="1"/>
    <col min="14393" max="14396" width="9" style="165" hidden="1" customWidth="1"/>
    <col min="14397" max="14397" width="11.7109375" style="165" customWidth="1"/>
    <col min="14398" max="14401" width="9" style="165" hidden="1" customWidth="1"/>
    <col min="14402" max="14402" width="12" style="165" customWidth="1"/>
    <col min="14403" max="14406" width="9" style="165" hidden="1" customWidth="1"/>
    <col min="14407" max="14408" width="12" style="165" customWidth="1"/>
    <col min="14409" max="14409" width="11.2890625" style="165" customWidth="1"/>
    <col min="14410" max="14412" width="10.5703125" style="165" customWidth="1"/>
    <col min="14413" max="14592" width="9.140625" style="165"/>
    <col min="14593" max="14593" width="56.4296875" style="165" customWidth="1"/>
    <col min="14594" max="14597" width="9" style="165" hidden="1" customWidth="1"/>
    <col min="14598" max="14598" width="10.7109375" style="165" customWidth="1"/>
    <col min="14599" max="14602" width="9" style="165" hidden="1" customWidth="1"/>
    <col min="14603" max="14603" width="10.7109375" style="165" customWidth="1"/>
    <col min="14604" max="14607" width="9" style="165" hidden="1" customWidth="1"/>
    <col min="14608" max="14608" width="10.7109375" style="165" customWidth="1"/>
    <col min="14609" max="14612" width="9" style="165" hidden="1" customWidth="1"/>
    <col min="14613" max="14613" width="11.140625" style="165" customWidth="1"/>
    <col min="14614" max="14617" width="9" style="165" hidden="1" customWidth="1"/>
    <col min="14618" max="14618" width="11.140625" style="165" customWidth="1"/>
    <col min="14619" max="14622" width="9" style="165" hidden="1" customWidth="1"/>
    <col min="14623" max="14623" width="11.140625" style="165" customWidth="1"/>
    <col min="14624" max="14627" width="9" style="165" hidden="1" customWidth="1"/>
    <col min="14628" max="14628" width="11.140625" style="165" customWidth="1"/>
    <col min="14629" max="14632" width="9" style="165" hidden="1" customWidth="1"/>
    <col min="14633" max="14633" width="11.140625" style="165" customWidth="1"/>
    <col min="14634" max="14637" width="9" style="165" hidden="1" customWidth="1"/>
    <col min="14638" max="14638" width="11.140625" style="165" customWidth="1"/>
    <col min="14639" max="14642" width="9" style="165" hidden="1" customWidth="1"/>
    <col min="14643" max="14643" width="11.2890625" style="165" customWidth="1"/>
    <col min="14644" max="14647" width="9" style="165" hidden="1" customWidth="1"/>
    <col min="14648" max="14648" width="12.140625" style="165" customWidth="1"/>
    <col min="14649" max="14652" width="9" style="165" hidden="1" customWidth="1"/>
    <col min="14653" max="14653" width="11.7109375" style="165" customWidth="1"/>
    <col min="14654" max="14657" width="9" style="165" hidden="1" customWidth="1"/>
    <col min="14658" max="14658" width="12" style="165" customWidth="1"/>
    <col min="14659" max="14662" width="9" style="165" hidden="1" customWidth="1"/>
    <col min="14663" max="14664" width="12" style="165" customWidth="1"/>
    <col min="14665" max="14665" width="11.2890625" style="165" customWidth="1"/>
    <col min="14666" max="14668" width="10.5703125" style="165" customWidth="1"/>
    <col min="14669" max="14848" width="9.140625" style="165"/>
    <col min="14849" max="14849" width="56.4296875" style="165" customWidth="1"/>
    <col min="14850" max="14853" width="9" style="165" hidden="1" customWidth="1"/>
    <col min="14854" max="14854" width="10.7109375" style="165" customWidth="1"/>
    <col min="14855" max="14858" width="9" style="165" hidden="1" customWidth="1"/>
    <col min="14859" max="14859" width="10.7109375" style="165" customWidth="1"/>
    <col min="14860" max="14863" width="9" style="165" hidden="1" customWidth="1"/>
    <col min="14864" max="14864" width="10.7109375" style="165" customWidth="1"/>
    <col min="14865" max="14868" width="9" style="165" hidden="1" customWidth="1"/>
    <col min="14869" max="14869" width="11.140625" style="165" customWidth="1"/>
    <col min="14870" max="14873" width="9" style="165" hidden="1" customWidth="1"/>
    <col min="14874" max="14874" width="11.140625" style="165" customWidth="1"/>
    <col min="14875" max="14878" width="9" style="165" hidden="1" customWidth="1"/>
    <col min="14879" max="14879" width="11.140625" style="165" customWidth="1"/>
    <col min="14880" max="14883" width="9" style="165" hidden="1" customWidth="1"/>
    <col min="14884" max="14884" width="11.140625" style="165" customWidth="1"/>
    <col min="14885" max="14888" width="9" style="165" hidden="1" customWidth="1"/>
    <col min="14889" max="14889" width="11.140625" style="165" customWidth="1"/>
    <col min="14890" max="14893" width="9" style="165" hidden="1" customWidth="1"/>
    <col min="14894" max="14894" width="11.140625" style="165" customWidth="1"/>
    <col min="14895" max="14898" width="9" style="165" hidden="1" customWidth="1"/>
    <col min="14899" max="14899" width="11.2890625" style="165" customWidth="1"/>
    <col min="14900" max="14903" width="9" style="165" hidden="1" customWidth="1"/>
    <col min="14904" max="14904" width="12.140625" style="165" customWidth="1"/>
    <col min="14905" max="14908" width="9" style="165" hidden="1" customWidth="1"/>
    <col min="14909" max="14909" width="11.7109375" style="165" customWidth="1"/>
    <col min="14910" max="14913" width="9" style="165" hidden="1" customWidth="1"/>
    <col min="14914" max="14914" width="12" style="165" customWidth="1"/>
    <col min="14915" max="14918" width="9" style="165" hidden="1" customWidth="1"/>
    <col min="14919" max="14920" width="12" style="165" customWidth="1"/>
    <col min="14921" max="14921" width="11.2890625" style="165" customWidth="1"/>
    <col min="14922" max="14924" width="10.5703125" style="165" customWidth="1"/>
    <col min="14925" max="15104" width="9.140625" style="165"/>
    <col min="15105" max="15105" width="56.4296875" style="165" customWidth="1"/>
    <col min="15106" max="15109" width="9" style="165" hidden="1" customWidth="1"/>
    <col min="15110" max="15110" width="10.7109375" style="165" customWidth="1"/>
    <col min="15111" max="15114" width="9" style="165" hidden="1" customWidth="1"/>
    <col min="15115" max="15115" width="10.7109375" style="165" customWidth="1"/>
    <col min="15116" max="15119" width="9" style="165" hidden="1" customWidth="1"/>
    <col min="15120" max="15120" width="10.7109375" style="165" customWidth="1"/>
    <col min="15121" max="15124" width="9" style="165" hidden="1" customWidth="1"/>
    <col min="15125" max="15125" width="11.140625" style="165" customWidth="1"/>
    <col min="15126" max="15129" width="9" style="165" hidden="1" customWidth="1"/>
    <col min="15130" max="15130" width="11.140625" style="165" customWidth="1"/>
    <col min="15131" max="15134" width="9" style="165" hidden="1" customWidth="1"/>
    <col min="15135" max="15135" width="11.140625" style="165" customWidth="1"/>
    <col min="15136" max="15139" width="9" style="165" hidden="1" customWidth="1"/>
    <col min="15140" max="15140" width="11.140625" style="165" customWidth="1"/>
    <col min="15141" max="15144" width="9" style="165" hidden="1" customWidth="1"/>
    <col min="15145" max="15145" width="11.140625" style="165" customWidth="1"/>
    <col min="15146" max="15149" width="9" style="165" hidden="1" customWidth="1"/>
    <col min="15150" max="15150" width="11.140625" style="165" customWidth="1"/>
    <col min="15151" max="15154" width="9" style="165" hidden="1" customWidth="1"/>
    <col min="15155" max="15155" width="11.2890625" style="165" customWidth="1"/>
    <col min="15156" max="15159" width="9" style="165" hidden="1" customWidth="1"/>
    <col min="15160" max="15160" width="12.140625" style="165" customWidth="1"/>
    <col min="15161" max="15164" width="9" style="165" hidden="1" customWidth="1"/>
    <col min="15165" max="15165" width="11.7109375" style="165" customWidth="1"/>
    <col min="15166" max="15169" width="9" style="165" hidden="1" customWidth="1"/>
    <col min="15170" max="15170" width="12" style="165" customWidth="1"/>
    <col min="15171" max="15174" width="9" style="165" hidden="1" customWidth="1"/>
    <col min="15175" max="15176" width="12" style="165" customWidth="1"/>
    <col min="15177" max="15177" width="11.2890625" style="165" customWidth="1"/>
    <col min="15178" max="15180" width="10.5703125" style="165" customWidth="1"/>
    <col min="15181" max="15360" width="9.140625" style="165"/>
    <col min="15361" max="15361" width="56.4296875" style="165" customWidth="1"/>
    <col min="15362" max="15365" width="9" style="165" hidden="1" customWidth="1"/>
    <col min="15366" max="15366" width="10.7109375" style="165" customWidth="1"/>
    <col min="15367" max="15370" width="9" style="165" hidden="1" customWidth="1"/>
    <col min="15371" max="15371" width="10.7109375" style="165" customWidth="1"/>
    <col min="15372" max="15375" width="9" style="165" hidden="1" customWidth="1"/>
    <col min="15376" max="15376" width="10.7109375" style="165" customWidth="1"/>
    <col min="15377" max="15380" width="9" style="165" hidden="1" customWidth="1"/>
    <col min="15381" max="15381" width="11.140625" style="165" customWidth="1"/>
    <col min="15382" max="15385" width="9" style="165" hidden="1" customWidth="1"/>
    <col min="15386" max="15386" width="11.140625" style="165" customWidth="1"/>
    <col min="15387" max="15390" width="9" style="165" hidden="1" customWidth="1"/>
    <col min="15391" max="15391" width="11.140625" style="165" customWidth="1"/>
    <col min="15392" max="15395" width="9" style="165" hidden="1" customWidth="1"/>
    <col min="15396" max="15396" width="11.140625" style="165" customWidth="1"/>
    <col min="15397" max="15400" width="9" style="165" hidden="1" customWidth="1"/>
    <col min="15401" max="15401" width="11.140625" style="165" customWidth="1"/>
    <col min="15402" max="15405" width="9" style="165" hidden="1" customWidth="1"/>
    <col min="15406" max="15406" width="11.140625" style="165" customWidth="1"/>
    <col min="15407" max="15410" width="9" style="165" hidden="1" customWidth="1"/>
    <col min="15411" max="15411" width="11.2890625" style="165" customWidth="1"/>
    <col min="15412" max="15415" width="9" style="165" hidden="1" customWidth="1"/>
    <col min="15416" max="15416" width="12.140625" style="165" customWidth="1"/>
    <col min="15417" max="15420" width="9" style="165" hidden="1" customWidth="1"/>
    <col min="15421" max="15421" width="11.7109375" style="165" customWidth="1"/>
    <col min="15422" max="15425" width="9" style="165" hidden="1" customWidth="1"/>
    <col min="15426" max="15426" width="12" style="165" customWidth="1"/>
    <col min="15427" max="15430" width="9" style="165" hidden="1" customWidth="1"/>
    <col min="15431" max="15432" width="12" style="165" customWidth="1"/>
    <col min="15433" max="15433" width="11.2890625" style="165" customWidth="1"/>
    <col min="15434" max="15436" width="10.5703125" style="165" customWidth="1"/>
    <col min="15437" max="15616" width="9.140625" style="165"/>
    <col min="15617" max="15617" width="56.4296875" style="165" customWidth="1"/>
    <col min="15618" max="15621" width="9" style="165" hidden="1" customWidth="1"/>
    <col min="15622" max="15622" width="10.7109375" style="165" customWidth="1"/>
    <col min="15623" max="15626" width="9" style="165" hidden="1" customWidth="1"/>
    <col min="15627" max="15627" width="10.7109375" style="165" customWidth="1"/>
    <col min="15628" max="15631" width="9" style="165" hidden="1" customWidth="1"/>
    <col min="15632" max="15632" width="10.7109375" style="165" customWidth="1"/>
    <col min="15633" max="15636" width="9" style="165" hidden="1" customWidth="1"/>
    <col min="15637" max="15637" width="11.140625" style="165" customWidth="1"/>
    <col min="15638" max="15641" width="9" style="165" hidden="1" customWidth="1"/>
    <col min="15642" max="15642" width="11.140625" style="165" customWidth="1"/>
    <col min="15643" max="15646" width="9" style="165" hidden="1" customWidth="1"/>
    <col min="15647" max="15647" width="11.140625" style="165" customWidth="1"/>
    <col min="15648" max="15651" width="9" style="165" hidden="1" customWidth="1"/>
    <col min="15652" max="15652" width="11.140625" style="165" customWidth="1"/>
    <col min="15653" max="15656" width="9" style="165" hidden="1" customWidth="1"/>
    <col min="15657" max="15657" width="11.140625" style="165" customWidth="1"/>
    <col min="15658" max="15661" width="9" style="165" hidden="1" customWidth="1"/>
    <col min="15662" max="15662" width="11.140625" style="165" customWidth="1"/>
    <col min="15663" max="15666" width="9" style="165" hidden="1" customWidth="1"/>
    <col min="15667" max="15667" width="11.2890625" style="165" customWidth="1"/>
    <col min="15668" max="15671" width="9" style="165" hidden="1" customWidth="1"/>
    <col min="15672" max="15672" width="12.140625" style="165" customWidth="1"/>
    <col min="15673" max="15676" width="9" style="165" hidden="1" customWidth="1"/>
    <col min="15677" max="15677" width="11.7109375" style="165" customWidth="1"/>
    <col min="15678" max="15681" width="9" style="165" hidden="1" customWidth="1"/>
    <col min="15682" max="15682" width="12" style="165" customWidth="1"/>
    <col min="15683" max="15686" width="9" style="165" hidden="1" customWidth="1"/>
    <col min="15687" max="15688" width="12" style="165" customWidth="1"/>
    <col min="15689" max="15689" width="11.2890625" style="165" customWidth="1"/>
    <col min="15690" max="15692" width="10.5703125" style="165" customWidth="1"/>
    <col min="15693" max="15872" width="9.140625" style="165"/>
    <col min="15873" max="15873" width="56.4296875" style="165" customWidth="1"/>
    <col min="15874" max="15877" width="9" style="165" hidden="1" customWidth="1"/>
    <col min="15878" max="15878" width="10.7109375" style="165" customWidth="1"/>
    <col min="15879" max="15882" width="9" style="165" hidden="1" customWidth="1"/>
    <col min="15883" max="15883" width="10.7109375" style="165" customWidth="1"/>
    <col min="15884" max="15887" width="9" style="165" hidden="1" customWidth="1"/>
    <col min="15888" max="15888" width="10.7109375" style="165" customWidth="1"/>
    <col min="15889" max="15892" width="9" style="165" hidden="1" customWidth="1"/>
    <col min="15893" max="15893" width="11.140625" style="165" customWidth="1"/>
    <col min="15894" max="15897" width="9" style="165" hidden="1" customWidth="1"/>
    <col min="15898" max="15898" width="11.140625" style="165" customWidth="1"/>
    <col min="15899" max="15902" width="9" style="165" hidden="1" customWidth="1"/>
    <col min="15903" max="15903" width="11.140625" style="165" customWidth="1"/>
    <col min="15904" max="15907" width="9" style="165" hidden="1" customWidth="1"/>
    <col min="15908" max="15908" width="11.140625" style="165" customWidth="1"/>
    <col min="15909" max="15912" width="9" style="165" hidden="1" customWidth="1"/>
    <col min="15913" max="15913" width="11.140625" style="165" customWidth="1"/>
    <col min="15914" max="15917" width="9" style="165" hidden="1" customWidth="1"/>
    <col min="15918" max="15918" width="11.140625" style="165" customWidth="1"/>
    <col min="15919" max="15922" width="9" style="165" hidden="1" customWidth="1"/>
    <col min="15923" max="15923" width="11.2890625" style="165" customWidth="1"/>
    <col min="15924" max="15927" width="9" style="165" hidden="1" customWidth="1"/>
    <col min="15928" max="15928" width="12.140625" style="165" customWidth="1"/>
    <col min="15929" max="15932" width="9" style="165" hidden="1" customWidth="1"/>
    <col min="15933" max="15933" width="11.7109375" style="165" customWidth="1"/>
    <col min="15934" max="15937" width="9" style="165" hidden="1" customWidth="1"/>
    <col min="15938" max="15938" width="12" style="165" customWidth="1"/>
    <col min="15939" max="15942" width="9" style="165" hidden="1" customWidth="1"/>
    <col min="15943" max="15944" width="12" style="165" customWidth="1"/>
    <col min="15945" max="15945" width="11.2890625" style="165" customWidth="1"/>
    <col min="15946" max="15948" width="10.5703125" style="165" customWidth="1"/>
    <col min="15949" max="16128" width="9.140625" style="165"/>
    <col min="16129" max="16129" width="56.4296875" style="165" customWidth="1"/>
    <col min="16130" max="16133" width="9" style="165" hidden="1" customWidth="1"/>
    <col min="16134" max="16134" width="10.7109375" style="165" customWidth="1"/>
    <col min="16135" max="16138" width="9" style="165" hidden="1" customWidth="1"/>
    <col min="16139" max="16139" width="10.7109375" style="165" customWidth="1"/>
    <col min="16140" max="16143" width="9" style="165" hidden="1" customWidth="1"/>
    <col min="16144" max="16144" width="10.7109375" style="165" customWidth="1"/>
    <col min="16145" max="16148" width="9" style="165" hidden="1" customWidth="1"/>
    <col min="16149" max="16149" width="11.140625" style="165" customWidth="1"/>
    <col min="16150" max="16153" width="9" style="165" hidden="1" customWidth="1"/>
    <col min="16154" max="16154" width="11.140625" style="165" customWidth="1"/>
    <col min="16155" max="16158" width="9" style="165" hidden="1" customWidth="1"/>
    <col min="16159" max="16159" width="11.140625" style="165" customWidth="1"/>
    <col min="16160" max="16163" width="9" style="165" hidden="1" customWidth="1"/>
    <col min="16164" max="16164" width="11.140625" style="165" customWidth="1"/>
    <col min="16165" max="16168" width="9" style="165" hidden="1" customWidth="1"/>
    <col min="16169" max="16169" width="11.140625" style="165" customWidth="1"/>
    <col min="16170" max="16173" width="9" style="165" hidden="1" customWidth="1"/>
    <col min="16174" max="16174" width="11.140625" style="165" customWidth="1"/>
    <col min="16175" max="16178" width="9" style="165" hidden="1" customWidth="1"/>
    <col min="16179" max="16179" width="11.2890625" style="165" customWidth="1"/>
    <col min="16180" max="16183" width="9" style="165" hidden="1" customWidth="1"/>
    <col min="16184" max="16184" width="12.140625" style="165" customWidth="1"/>
    <col min="16185" max="16188" width="9" style="165" hidden="1" customWidth="1"/>
    <col min="16189" max="16189" width="11.7109375" style="165" customWidth="1"/>
    <col min="16190" max="16193" width="9" style="165" hidden="1" customWidth="1"/>
    <col min="16194" max="16194" width="12" style="165" customWidth="1"/>
    <col min="16195" max="16198" width="9" style="165" hidden="1" customWidth="1"/>
    <col min="16199" max="16200" width="12" style="165" customWidth="1"/>
    <col min="16201" max="16201" width="11.2890625" style="165" customWidth="1"/>
    <col min="16202" max="16204" width="10.5703125" style="165" customWidth="1"/>
    <col min="16205" max="16384" width="9.140625" style="165"/>
  </cols>
  <sheetData>
    <row r="1" spans="1:107">
      <c r="A1" s="167" t="s">
        <v>243</v>
      </c>
    </row>
    <row r="2" ht="20.4" spans="1:107">
      <c r="A2" s="168"/>
    </row>
    <row r="3" s="161" customFormat="1" ht="24" customHeight="1" spans="1:107">
      <c r="A3" s="363" t="s">
        <v>208</v>
      </c>
      <c r="B3" s="170" t="s">
        <v>244</v>
      </c>
      <c r="C3" s="171" t="s">
        <v>245</v>
      </c>
      <c r="D3" s="171" t="s">
        <v>246</v>
      </c>
      <c r="E3" s="171" t="s">
        <v>247</v>
      </c>
      <c r="F3" s="171">
        <v>2005</v>
      </c>
      <c r="G3" s="171" t="s">
        <v>248</v>
      </c>
      <c r="H3" s="171" t="s">
        <v>249</v>
      </c>
      <c r="I3" s="171" t="s">
        <v>250</v>
      </c>
      <c r="J3" s="171" t="s">
        <v>251</v>
      </c>
      <c r="K3" s="171">
        <v>2006</v>
      </c>
      <c r="L3" s="171" t="s">
        <v>252</v>
      </c>
      <c r="M3" s="171" t="s">
        <v>253</v>
      </c>
      <c r="N3" s="171" t="s">
        <v>254</v>
      </c>
      <c r="O3" s="171" t="s">
        <v>255</v>
      </c>
      <c r="P3" s="172">
        <v>2007</v>
      </c>
      <c r="Q3" s="171" t="s">
        <v>256</v>
      </c>
      <c r="R3" s="171" t="s">
        <v>257</v>
      </c>
      <c r="S3" s="171" t="s">
        <v>258</v>
      </c>
      <c r="T3" s="171" t="s">
        <v>259</v>
      </c>
      <c r="U3" s="171">
        <v>2008</v>
      </c>
      <c r="V3" s="171" t="s">
        <v>260</v>
      </c>
      <c r="W3" s="171" t="s">
        <v>261</v>
      </c>
      <c r="X3" s="171" t="s">
        <v>262</v>
      </c>
      <c r="Y3" s="171" t="s">
        <v>263</v>
      </c>
      <c r="Z3" s="171">
        <v>2009</v>
      </c>
      <c r="AA3" s="171" t="s">
        <v>264</v>
      </c>
      <c r="AB3" s="171" t="s">
        <v>265</v>
      </c>
      <c r="AC3" s="171" t="s">
        <v>266</v>
      </c>
      <c r="AD3" s="171" t="s">
        <v>267</v>
      </c>
      <c r="AE3" s="171">
        <v>2010</v>
      </c>
      <c r="AF3" s="172" t="s">
        <v>268</v>
      </c>
      <c r="AG3" s="172" t="s">
        <v>269</v>
      </c>
      <c r="AH3" s="172" t="s">
        <v>270</v>
      </c>
      <c r="AI3" s="172" t="s">
        <v>271</v>
      </c>
      <c r="AJ3" s="172">
        <v>2011</v>
      </c>
      <c r="AK3" s="172" t="s">
        <v>272</v>
      </c>
      <c r="AL3" s="172" t="s">
        <v>273</v>
      </c>
      <c r="AM3" s="172" t="s">
        <v>274</v>
      </c>
      <c r="AN3" s="172" t="s">
        <v>275</v>
      </c>
      <c r="AO3" s="172">
        <v>2012</v>
      </c>
      <c r="AP3" s="172" t="s">
        <v>276</v>
      </c>
      <c r="AQ3" s="172" t="s">
        <v>277</v>
      </c>
      <c r="AR3" s="172" t="s">
        <v>278</v>
      </c>
      <c r="AS3" s="172" t="s">
        <v>279</v>
      </c>
      <c r="AT3" s="172">
        <v>2013</v>
      </c>
      <c r="AU3" s="172" t="s">
        <v>280</v>
      </c>
      <c r="AV3" s="172" t="s">
        <v>281</v>
      </c>
      <c r="AW3" s="172" t="s">
        <v>282</v>
      </c>
      <c r="AX3" s="172" t="s">
        <v>283</v>
      </c>
      <c r="AY3" s="172">
        <v>2014</v>
      </c>
      <c r="AZ3" s="172" t="s">
        <v>284</v>
      </c>
      <c r="BA3" s="172" t="s">
        <v>285</v>
      </c>
      <c r="BB3" s="172" t="s">
        <v>286</v>
      </c>
      <c r="BC3" s="172" t="s">
        <v>287</v>
      </c>
      <c r="BD3" s="172">
        <v>2015</v>
      </c>
      <c r="BE3" s="172" t="s">
        <v>288</v>
      </c>
      <c r="BF3" s="172" t="s">
        <v>289</v>
      </c>
      <c r="BG3" s="172" t="s">
        <v>290</v>
      </c>
      <c r="BH3" s="172" t="s">
        <v>291</v>
      </c>
      <c r="BI3" s="172">
        <v>2016</v>
      </c>
      <c r="BJ3" s="173" t="s">
        <v>292</v>
      </c>
      <c r="BK3" s="173" t="s">
        <v>293</v>
      </c>
      <c r="BL3" s="173" t="s">
        <v>294</v>
      </c>
      <c r="BM3" s="173" t="s">
        <v>295</v>
      </c>
      <c r="BN3" s="173">
        <v>2017</v>
      </c>
      <c r="BO3" s="173" t="s">
        <v>296</v>
      </c>
      <c r="BP3" s="173" t="s">
        <v>297</v>
      </c>
      <c r="BQ3" s="173" t="s">
        <v>298</v>
      </c>
      <c r="BR3" s="173" t="s">
        <v>299</v>
      </c>
      <c r="BS3" s="173">
        <v>2018</v>
      </c>
      <c r="BT3" s="173" t="s">
        <v>300</v>
      </c>
      <c r="BU3" s="173" t="s">
        <v>301</v>
      </c>
      <c r="BV3" s="173" t="s">
        <v>302</v>
      </c>
      <c r="BW3" s="173" t="s">
        <v>303</v>
      </c>
      <c r="BX3" s="173">
        <v>2019</v>
      </c>
      <c r="BY3" s="173" t="s">
        <v>304</v>
      </c>
      <c r="BZ3" s="173" t="s">
        <v>305</v>
      </c>
      <c r="CA3" s="173" t="s">
        <v>306</v>
      </c>
      <c r="CB3" s="173" t="s">
        <v>307</v>
      </c>
      <c r="CC3" s="173">
        <v>2020</v>
      </c>
      <c r="CD3" s="173" t="s">
        <v>308</v>
      </c>
      <c r="CE3" s="173" t="s">
        <v>309</v>
      </c>
      <c r="CF3" s="173" t="s">
        <v>310</v>
      </c>
      <c r="CG3" s="173" t="s">
        <v>311</v>
      </c>
      <c r="CH3" s="173">
        <v>2021</v>
      </c>
      <c r="CI3" s="173" t="s">
        <v>312</v>
      </c>
      <c r="CJ3" s="173" t="s">
        <v>313</v>
      </c>
      <c r="CK3" s="173" t="s">
        <v>314</v>
      </c>
      <c r="CL3" s="173" t="s">
        <v>315</v>
      </c>
      <c r="CM3" s="173">
        <v>2022</v>
      </c>
      <c r="CN3" s="173" t="s">
        <v>316</v>
      </c>
      <c r="CO3" s="173" t="s">
        <v>317</v>
      </c>
      <c r="CP3" s="173" t="s">
        <v>318</v>
      </c>
      <c r="CQ3" s="173" t="s">
        <v>319</v>
      </c>
      <c r="CR3" s="173">
        <v>2023</v>
      </c>
      <c r="CS3" s="173" t="s">
        <v>320</v>
      </c>
      <c r="CT3" s="173" t="s">
        <v>321</v>
      </c>
      <c r="CU3" s="173" t="s">
        <v>322</v>
      </c>
      <c r="CV3" s="173" t="s">
        <v>323</v>
      </c>
      <c r="CW3" s="173">
        <v>2024</v>
      </c>
      <c r="CX3" s="173" t="s">
        <v>324</v>
      </c>
      <c r="CY3" s="173" t="s">
        <v>325</v>
      </c>
      <c r="CZ3" s="173" t="s">
        <v>326</v>
      </c>
      <c r="DA3" s="173" t="s">
        <v>327</v>
      </c>
      <c r="DB3" s="173">
        <v>2025</v>
      </c>
      <c r="DC3" s="174" t="s">
        <v>328</v>
      </c>
    </row>
    <row r="4" ht="22.5" customHeight="1" spans="1:107">
      <c r="A4" s="175" t="s">
        <v>329</v>
      </c>
      <c r="B4" s="176"/>
      <c r="C4" s="177"/>
      <c r="D4" s="177"/>
      <c r="E4" s="177"/>
      <c r="F4" s="177"/>
      <c r="G4" s="177"/>
      <c r="H4" s="177"/>
      <c r="I4" s="177"/>
      <c r="J4" s="177"/>
      <c r="K4" s="177"/>
      <c r="L4" s="177"/>
      <c r="M4" s="177"/>
      <c r="N4" s="177"/>
      <c r="O4" s="177"/>
      <c r="P4" s="177"/>
      <c r="Q4" s="177"/>
      <c r="R4" s="177"/>
      <c r="S4" s="177"/>
      <c r="T4" s="177"/>
      <c r="U4" s="177"/>
      <c r="V4" s="177"/>
      <c r="W4" s="177"/>
      <c r="X4" s="177"/>
      <c r="Y4" s="177"/>
      <c r="Z4" s="177"/>
      <c r="AA4" s="177"/>
      <c r="AB4" s="177"/>
      <c r="AC4" s="177"/>
      <c r="AD4" s="177"/>
      <c r="AE4" s="177"/>
      <c r="AF4" s="177"/>
      <c r="AG4" s="177"/>
      <c r="AH4" s="177"/>
      <c r="AI4" s="177"/>
      <c r="AJ4" s="177"/>
      <c r="AK4" s="177"/>
      <c r="AL4" s="177"/>
      <c r="AM4" s="177"/>
      <c r="AN4" s="177"/>
      <c r="AO4" s="177"/>
      <c r="AP4" s="177"/>
      <c r="AQ4" s="177"/>
      <c r="AR4" s="177"/>
      <c r="AS4" s="177"/>
      <c r="AT4" s="177"/>
      <c r="AU4" s="177"/>
      <c r="AV4" s="177"/>
      <c r="AW4" s="177"/>
      <c r="AX4" s="177"/>
      <c r="AY4" s="177"/>
      <c r="AZ4" s="177"/>
      <c r="BA4" s="177"/>
      <c r="BB4" s="177"/>
      <c r="BC4" s="177"/>
      <c r="BD4" s="177"/>
      <c r="BE4" s="177"/>
      <c r="BF4" s="177"/>
      <c r="BG4" s="177"/>
      <c r="BH4" s="177"/>
      <c r="BI4" s="177"/>
      <c r="BJ4" s="177"/>
      <c r="BK4" s="177"/>
      <c r="BL4" s="177"/>
      <c r="BM4" s="177"/>
      <c r="BN4" s="177"/>
      <c r="BO4" s="177"/>
      <c r="BP4" s="177"/>
      <c r="BQ4" s="177"/>
      <c r="BR4" s="177"/>
      <c r="BS4" s="177"/>
      <c r="BT4" s="177"/>
      <c r="BU4" s="177"/>
      <c r="BV4" s="177"/>
      <c r="BW4" s="177"/>
      <c r="BX4" s="178"/>
      <c r="BY4" s="178"/>
      <c r="BZ4" s="178"/>
      <c r="CA4" s="178"/>
      <c r="CB4" s="178"/>
      <c r="CC4" s="178"/>
      <c r="CD4" s="178"/>
      <c r="CE4" s="178"/>
      <c r="CF4" s="178"/>
      <c r="CG4" s="178"/>
      <c r="CH4" s="178"/>
      <c r="CI4" s="178"/>
      <c r="CJ4" s="178"/>
      <c r="CK4" s="178"/>
      <c r="CL4" s="178"/>
      <c r="CM4" s="178"/>
      <c r="CN4" s="178"/>
      <c r="CO4" s="178"/>
      <c r="CP4" s="178"/>
      <c r="CQ4" s="178"/>
      <c r="CR4" s="178"/>
      <c r="CS4" s="178"/>
      <c r="CT4" s="178"/>
      <c r="CU4" s="178"/>
      <c r="CV4" s="178"/>
      <c r="CW4" s="178"/>
      <c r="CX4" s="178"/>
      <c r="CY4" s="178"/>
      <c r="CZ4" s="178"/>
      <c r="DA4" s="178"/>
      <c r="DB4" s="178"/>
      <c r="DC4" s="179"/>
    </row>
    <row r="5" spans="1:107">
      <c r="A5" s="180" t="s">
        <v>330</v>
      </c>
      <c r="B5" s="181">
        <v>34256.1035053606</v>
      </c>
      <c r="C5" s="182">
        <v>35724.6922458321</v>
      </c>
      <c r="D5" s="182">
        <v>38277.6112560426</v>
      </c>
      <c r="E5" s="182">
        <v>43428.5277531855</v>
      </c>
      <c r="F5" s="182">
        <v>43428.5277531855</v>
      </c>
      <c r="G5" s="182">
        <v>48369.4733409359</v>
      </c>
      <c r="H5" s="182">
        <v>53969.6449467839</v>
      </c>
      <c r="I5" s="182">
        <v>60146.5989786275</v>
      </c>
      <c r="J5" s="182">
        <v>74014.0899471573</v>
      </c>
      <c r="K5" s="182">
        <v>74014.0899471573</v>
      </c>
      <c r="L5" s="182">
        <v>81905.9128971838</v>
      </c>
      <c r="M5" s="182">
        <v>92367.9086233256</v>
      </c>
      <c r="N5" s="182">
        <v>94248.3430965613</v>
      </c>
      <c r="O5" s="182">
        <v>96893.0041769437</v>
      </c>
      <c r="P5" s="182">
        <v>96893.0041769437</v>
      </c>
      <c r="Q5" s="182">
        <v>98877.3278747482</v>
      </c>
      <c r="R5" s="182">
        <v>101204.662718111</v>
      </c>
      <c r="S5" s="182">
        <v>105995.32997562</v>
      </c>
      <c r="T5" s="182">
        <v>107933.377620652</v>
      </c>
      <c r="U5" s="182">
        <v>107933.377620652</v>
      </c>
      <c r="V5" s="182">
        <v>104803.672570564</v>
      </c>
      <c r="W5" s="182">
        <v>106675.740477653</v>
      </c>
      <c r="X5" s="182">
        <v>111527.936479366</v>
      </c>
      <c r="Y5" s="182">
        <v>112866.889315032</v>
      </c>
      <c r="Z5" s="182">
        <v>112866.889315032</v>
      </c>
      <c r="AA5" s="182">
        <v>110861.490025558</v>
      </c>
      <c r="AB5" s="182">
        <v>113619.656892894</v>
      </c>
      <c r="AC5" s="182">
        <v>111518.693129942</v>
      </c>
      <c r="AD5" s="182">
        <v>118222.763568799</v>
      </c>
      <c r="AE5" s="182">
        <v>118222.763568799</v>
      </c>
      <c r="AF5" s="182">
        <v>123359.159136885</v>
      </c>
      <c r="AG5" s="182">
        <v>124897.278808213</v>
      </c>
      <c r="AH5" s="182">
        <v>123708.361985878</v>
      </c>
      <c r="AI5" s="182">
        <v>125320.777886505</v>
      </c>
      <c r="AJ5" s="182">
        <v>125320.777886505</v>
      </c>
      <c r="AK5" s="182">
        <v>129154.054921039</v>
      </c>
      <c r="AL5" s="182">
        <v>132535.864969187</v>
      </c>
      <c r="AM5" s="182">
        <v>134414.115527453</v>
      </c>
      <c r="AN5" s="182">
        <v>136918.219278678</v>
      </c>
      <c r="AO5" s="182">
        <v>136918.219278678</v>
      </c>
      <c r="AP5" s="182">
        <v>139691.461465112</v>
      </c>
      <c r="AQ5" s="182">
        <v>145554.801486473</v>
      </c>
      <c r="AR5" s="182">
        <v>148162.713181078</v>
      </c>
      <c r="AS5" s="182">
        <v>150032.867457001</v>
      </c>
      <c r="AT5" s="182">
        <v>150032.867457001</v>
      </c>
      <c r="AU5" s="182">
        <v>151504.678852765</v>
      </c>
      <c r="AV5" s="182">
        <v>155583.922158574</v>
      </c>
      <c r="AW5" s="182">
        <v>155674.878898309</v>
      </c>
      <c r="AX5" s="182">
        <v>157114.532270664</v>
      </c>
      <c r="AY5" s="182">
        <v>157114.532270664</v>
      </c>
      <c r="AZ5" s="182">
        <v>154065.705095175</v>
      </c>
      <c r="BA5" s="182">
        <v>155281.005244664</v>
      </c>
      <c r="BB5" s="182">
        <v>155284.275234299</v>
      </c>
      <c r="BC5" s="182">
        <v>153006.612609611</v>
      </c>
      <c r="BD5" s="182">
        <v>153006.612609611</v>
      </c>
      <c r="BE5" s="182">
        <v>153335.143372994</v>
      </c>
      <c r="BF5" s="182">
        <v>159864.393962029</v>
      </c>
      <c r="BG5" s="182">
        <v>164849.213055287</v>
      </c>
      <c r="BH5" s="182">
        <v>163528.492399638</v>
      </c>
      <c r="BI5" s="182">
        <v>163528.492399638</v>
      </c>
      <c r="BJ5" s="182">
        <v>165292.701039195</v>
      </c>
      <c r="BK5" s="182">
        <v>167774.327133275</v>
      </c>
      <c r="BL5" s="182">
        <v>168847.749779521</v>
      </c>
      <c r="BM5" s="182">
        <v>167482.716087954</v>
      </c>
      <c r="BN5" s="182">
        <v>167482.716087954</v>
      </c>
      <c r="BO5" s="182">
        <v>167755.597133481</v>
      </c>
      <c r="BP5" s="182">
        <v>165679.600387896</v>
      </c>
      <c r="BQ5" s="182">
        <v>162643.826450331</v>
      </c>
      <c r="BR5" s="182">
        <v>160331.29182238</v>
      </c>
      <c r="BS5" s="182">
        <v>160331.29182238</v>
      </c>
      <c r="BT5" s="182">
        <v>160238.815531205</v>
      </c>
      <c r="BU5" s="182">
        <v>160393.969127219</v>
      </c>
      <c r="BV5" s="182">
        <v>160328.624129354</v>
      </c>
      <c r="BW5" s="182">
        <v>159544.217230192</v>
      </c>
      <c r="BX5" s="182">
        <v>159544.217230192</v>
      </c>
      <c r="BY5" s="182">
        <v>155466.741676505</v>
      </c>
      <c r="BZ5" s="182">
        <v>160585.792336852</v>
      </c>
      <c r="CA5" s="182">
        <v>161706.536328173</v>
      </c>
      <c r="CB5" s="182">
        <v>163980.074825441</v>
      </c>
      <c r="CC5" s="182">
        <v>163980.074825441</v>
      </c>
      <c r="CD5" s="182">
        <v>163955.094815505</v>
      </c>
      <c r="CE5" s="182">
        <v>166483.080061958</v>
      </c>
      <c r="CF5" s="182">
        <v>165761.723503482</v>
      </c>
      <c r="CG5" s="182">
        <v>164131.074503214</v>
      </c>
      <c r="CH5" s="182">
        <v>164131.074503214</v>
      </c>
      <c r="CI5" s="182">
        <v>159896.77288415</v>
      </c>
      <c r="CJ5" s="182">
        <v>164152.245453574</v>
      </c>
      <c r="CK5" s="182">
        <v>161096.19650189</v>
      </c>
      <c r="CL5" s="182">
        <v>161144.273332499</v>
      </c>
      <c r="CM5" s="182">
        <v>161144.273332499</v>
      </c>
      <c r="CN5" s="182">
        <v>162813.96888748</v>
      </c>
      <c r="CO5" s="182">
        <v>162802.617326411</v>
      </c>
      <c r="CP5" s="182">
        <v>163809.495202615</v>
      </c>
      <c r="CQ5" s="182">
        <v>163711.964049239</v>
      </c>
      <c r="CR5" s="182">
        <v>163711.964049239</v>
      </c>
      <c r="CS5" s="182">
        <v>163952.92616366</v>
      </c>
      <c r="CT5" s="182">
        <v>166853.095507313</v>
      </c>
      <c r="CU5" s="182">
        <v>166367.064362084</v>
      </c>
      <c r="CV5" s="182">
        <v>164677.496974072</v>
      </c>
      <c r="CW5" s="182">
        <v>164677.496974072</v>
      </c>
      <c r="CX5" s="182">
        <v>170037.800782238</v>
      </c>
      <c r="CY5" s="182">
        <v>172547.082968168</v>
      </c>
      <c r="CZ5" s="182">
        <v>171558.262372511</v>
      </c>
      <c r="DA5" s="182">
        <v>181841.590363621</v>
      </c>
      <c r="DB5" s="182">
        <v>181841.590363621</v>
      </c>
      <c r="DC5" s="183">
        <v>182778.238991064</v>
      </c>
    </row>
    <row r="6" s="162" customFormat="1" spans="1:107">
      <c r="A6" s="184" t="s">
        <v>331</v>
      </c>
      <c r="B6" s="185">
        <v>17190.76641</v>
      </c>
      <c r="C6" s="186">
        <v>17141.24042</v>
      </c>
      <c r="D6" s="186">
        <v>18181.58776</v>
      </c>
      <c r="E6" s="186">
        <v>19221.95691</v>
      </c>
      <c r="F6" s="186">
        <v>19221.95691</v>
      </c>
      <c r="G6" s="186">
        <v>21081.35558</v>
      </c>
      <c r="H6" s="186">
        <v>22327.75518</v>
      </c>
      <c r="I6" s="186">
        <v>24169.67707</v>
      </c>
      <c r="J6" s="186">
        <v>25513.03159</v>
      </c>
      <c r="K6" s="186">
        <v>25513.03159</v>
      </c>
      <c r="L6" s="186">
        <v>26511.54727</v>
      </c>
      <c r="M6" s="186">
        <v>26746.35837</v>
      </c>
      <c r="N6" s="186">
        <v>28639.17628</v>
      </c>
      <c r="O6" s="186">
        <v>30080.62168</v>
      </c>
      <c r="P6" s="186">
        <v>30080.62168</v>
      </c>
      <c r="Q6" s="186">
        <v>31178.9947</v>
      </c>
      <c r="R6" s="186">
        <v>32845.96259</v>
      </c>
      <c r="S6" s="186">
        <v>38215.51664</v>
      </c>
      <c r="T6" s="186">
        <v>40198.75779</v>
      </c>
      <c r="U6" s="186">
        <v>40198.75779</v>
      </c>
      <c r="V6" s="186">
        <v>41517.28584</v>
      </c>
      <c r="W6" s="186">
        <v>43118.88154</v>
      </c>
      <c r="X6" s="186">
        <v>47309.64987</v>
      </c>
      <c r="Y6" s="186">
        <v>49632.02242</v>
      </c>
      <c r="Z6" s="186">
        <v>49632.02242</v>
      </c>
      <c r="AA6" s="186">
        <v>51168.98058</v>
      </c>
      <c r="AB6" s="186">
        <v>54549.9487</v>
      </c>
      <c r="AC6" s="186">
        <v>56519.01868</v>
      </c>
      <c r="AD6" s="186">
        <v>52274.74246</v>
      </c>
      <c r="AE6" s="186">
        <v>52274.74246</v>
      </c>
      <c r="AF6" s="186">
        <v>56585.92285</v>
      </c>
      <c r="AG6" s="186">
        <v>59296.10535</v>
      </c>
      <c r="AH6" s="186">
        <v>62146.41937</v>
      </c>
      <c r="AI6" s="186">
        <v>62576.19731</v>
      </c>
      <c r="AJ6" s="186">
        <v>62576.19731</v>
      </c>
      <c r="AK6" s="186">
        <v>65277.90813</v>
      </c>
      <c r="AL6" s="186">
        <v>66536.08621</v>
      </c>
      <c r="AM6" s="186">
        <v>67614.35015</v>
      </c>
      <c r="AN6" s="186">
        <v>67608.2641413955</v>
      </c>
      <c r="AO6" s="186">
        <v>67608.2641413955</v>
      </c>
      <c r="AP6" s="186">
        <v>70545.5757351137</v>
      </c>
      <c r="AQ6" s="186">
        <v>72373.9553387455</v>
      </c>
      <c r="AR6" s="186">
        <v>73557.0345387455</v>
      </c>
      <c r="AS6" s="186">
        <v>74179.4917233655</v>
      </c>
      <c r="AT6" s="186">
        <v>74179.4917233655</v>
      </c>
      <c r="AU6" s="186">
        <v>75919.2728814556</v>
      </c>
      <c r="AV6" s="186">
        <v>76001.0095014555</v>
      </c>
      <c r="AW6" s="186">
        <v>80794.15913</v>
      </c>
      <c r="AX6" s="186">
        <v>79134.82949</v>
      </c>
      <c r="AY6" s="186">
        <v>79134.82949</v>
      </c>
      <c r="AZ6" s="186">
        <v>94988.08961</v>
      </c>
      <c r="BA6" s="186">
        <v>96696.49697</v>
      </c>
      <c r="BB6" s="186">
        <v>96333.64929</v>
      </c>
      <c r="BC6" s="186">
        <v>96263.51017</v>
      </c>
      <c r="BD6" s="186">
        <v>96263.51017</v>
      </c>
      <c r="BE6" s="186">
        <v>96934.58622</v>
      </c>
      <c r="BF6" s="186">
        <v>99503.70272</v>
      </c>
      <c r="BG6" s="186">
        <v>104320.10083996</v>
      </c>
      <c r="BH6" s="186">
        <v>104688.04256</v>
      </c>
      <c r="BI6" s="186">
        <v>104688.04256</v>
      </c>
      <c r="BJ6" s="186">
        <v>105258.90324</v>
      </c>
      <c r="BK6" s="186">
        <v>106200.13746</v>
      </c>
      <c r="BL6" s="186">
        <v>106065.706491746</v>
      </c>
      <c r="BM6" s="186">
        <v>104372.68828</v>
      </c>
      <c r="BN6" s="186">
        <v>104372.68828</v>
      </c>
      <c r="BO6" s="186">
        <v>105581.73052</v>
      </c>
      <c r="BP6" s="186">
        <v>104849.32361</v>
      </c>
      <c r="BQ6" s="186">
        <v>104161.64655</v>
      </c>
      <c r="BR6" s="186">
        <v>102592.401223583</v>
      </c>
      <c r="BS6" s="186">
        <v>102592.401223583</v>
      </c>
      <c r="BT6" s="186">
        <v>103542.37161</v>
      </c>
      <c r="BU6" s="186">
        <v>102971.3109</v>
      </c>
      <c r="BV6" s="186">
        <v>101297.74067</v>
      </c>
      <c r="BW6" s="186">
        <v>100376.84289</v>
      </c>
      <c r="BX6" s="186">
        <v>100376.84289</v>
      </c>
      <c r="BY6" s="186">
        <v>101034.47364</v>
      </c>
      <c r="BZ6" s="186">
        <v>103119.5724</v>
      </c>
      <c r="CA6" s="186">
        <v>102851.38612109</v>
      </c>
      <c r="CB6" s="186">
        <v>102540.20844</v>
      </c>
      <c r="CC6" s="186">
        <v>102540.20844</v>
      </c>
      <c r="CD6" s="186">
        <v>101256.50847</v>
      </c>
      <c r="CE6" s="186">
        <v>100449.03223</v>
      </c>
      <c r="CF6" s="186">
        <v>98130.26863</v>
      </c>
      <c r="CG6" s="186">
        <v>96228.76792</v>
      </c>
      <c r="CH6" s="186">
        <v>96228.76792</v>
      </c>
      <c r="CI6" s="186">
        <v>94454.937782</v>
      </c>
      <c r="CJ6" s="186">
        <v>94387.506935</v>
      </c>
      <c r="CK6" s="186">
        <v>94354.967296</v>
      </c>
      <c r="CL6" s="186">
        <v>93679.757332</v>
      </c>
      <c r="CM6" s="186">
        <v>93679.757332</v>
      </c>
      <c r="CN6" s="186">
        <v>93856.738462</v>
      </c>
      <c r="CO6" s="186">
        <v>94120.142871</v>
      </c>
      <c r="CP6" s="186">
        <v>93465.9053395533</v>
      </c>
      <c r="CQ6" s="186">
        <v>93003.7661877</v>
      </c>
      <c r="CR6" s="186">
        <v>93003.7661877</v>
      </c>
      <c r="CS6" s="186">
        <v>92928.7235555446</v>
      </c>
      <c r="CT6" s="186">
        <v>93712.19870866</v>
      </c>
      <c r="CU6" s="186">
        <v>92076.26722697</v>
      </c>
      <c r="CV6" s="186">
        <v>91140.92375293</v>
      </c>
      <c r="CW6" s="186">
        <v>91140.92375293</v>
      </c>
      <c r="CX6" s="186">
        <v>92518.09020893</v>
      </c>
      <c r="CY6" s="186">
        <v>92080.77684893</v>
      </c>
      <c r="CZ6" s="186">
        <v>88707.79386893</v>
      </c>
      <c r="DA6" s="186">
        <v>89897.3759347462</v>
      </c>
      <c r="DB6" s="186">
        <v>89897.3759347462</v>
      </c>
      <c r="DC6" s="187">
        <v>87378.37654</v>
      </c>
    </row>
    <row r="7" s="162" customFormat="1" spans="1:107">
      <c r="A7" s="188" t="s">
        <v>332</v>
      </c>
      <c r="B7" s="189">
        <v>17065.3370953606</v>
      </c>
      <c r="C7" s="190">
        <v>18583.4518258321</v>
      </c>
      <c r="D7" s="190">
        <v>20096.0234960426</v>
      </c>
      <c r="E7" s="190">
        <v>24206.5708431855</v>
      </c>
      <c r="F7" s="190">
        <v>24206.5708431855</v>
      </c>
      <c r="G7" s="190">
        <v>27288.1177609359</v>
      </c>
      <c r="H7" s="190">
        <v>31641.8897667839</v>
      </c>
      <c r="I7" s="190">
        <v>35976.9219086275</v>
      </c>
      <c r="J7" s="190">
        <v>48501.0583571573</v>
      </c>
      <c r="K7" s="190">
        <v>48501.0583571573</v>
      </c>
      <c r="L7" s="190">
        <v>55394.3656271838</v>
      </c>
      <c r="M7" s="190">
        <v>65621.5502533256</v>
      </c>
      <c r="N7" s="190">
        <v>65609.1668165613</v>
      </c>
      <c r="O7" s="190">
        <v>66812.3824969436</v>
      </c>
      <c r="P7" s="190">
        <v>66812.3824969436</v>
      </c>
      <c r="Q7" s="190">
        <v>67698.3331747482</v>
      </c>
      <c r="R7" s="190">
        <v>68358.7001281108</v>
      </c>
      <c r="S7" s="190">
        <v>67779.8133356196</v>
      </c>
      <c r="T7" s="190">
        <v>67734.6198306519</v>
      </c>
      <c r="U7" s="190">
        <v>67734.6198306519</v>
      </c>
      <c r="V7" s="190">
        <v>63286.3867305639</v>
      </c>
      <c r="W7" s="190">
        <v>63556.858937653</v>
      </c>
      <c r="X7" s="190">
        <v>64218.2866093664</v>
      </c>
      <c r="Y7" s="190">
        <v>63234.8668950321</v>
      </c>
      <c r="Z7" s="190">
        <v>63234.8668950321</v>
      </c>
      <c r="AA7" s="190">
        <v>59692.5094455575</v>
      </c>
      <c r="AB7" s="190">
        <v>59069.7081928944</v>
      </c>
      <c r="AC7" s="190">
        <v>54999.6744499419</v>
      </c>
      <c r="AD7" s="190">
        <v>65948.0211087993</v>
      </c>
      <c r="AE7" s="190">
        <v>65948.0211087993</v>
      </c>
      <c r="AF7" s="190">
        <v>66773.2362868852</v>
      </c>
      <c r="AG7" s="190">
        <v>65601.1734582132</v>
      </c>
      <c r="AH7" s="190">
        <v>61561.9426158779</v>
      </c>
      <c r="AI7" s="190">
        <v>62744.5805765047</v>
      </c>
      <c r="AJ7" s="190">
        <v>62744.5805765047</v>
      </c>
      <c r="AK7" s="190">
        <v>63876.146791039</v>
      </c>
      <c r="AL7" s="190">
        <v>65999.7787591874</v>
      </c>
      <c r="AM7" s="190">
        <v>66799.7653774533</v>
      </c>
      <c r="AN7" s="190">
        <v>69309.9551372823</v>
      </c>
      <c r="AO7" s="190">
        <v>69309.9551372823</v>
      </c>
      <c r="AP7" s="190">
        <v>69145.8857299982</v>
      </c>
      <c r="AQ7" s="190">
        <v>73180.8461477271</v>
      </c>
      <c r="AR7" s="190">
        <v>74605.6786423325</v>
      </c>
      <c r="AS7" s="190">
        <v>75853.3757336358</v>
      </c>
      <c r="AT7" s="190">
        <v>75853.3757336358</v>
      </c>
      <c r="AU7" s="190">
        <v>75585.4059713092</v>
      </c>
      <c r="AV7" s="190">
        <v>79582.9126571184</v>
      </c>
      <c r="AW7" s="190">
        <v>74880.7197683087</v>
      </c>
      <c r="AX7" s="190">
        <v>77979.7027806642</v>
      </c>
      <c r="AY7" s="190">
        <v>77979.7027806642</v>
      </c>
      <c r="AZ7" s="190">
        <v>59077.6154851753</v>
      </c>
      <c r="BA7" s="190">
        <v>58584.5082746644</v>
      </c>
      <c r="BB7" s="190">
        <v>58950.6259442987</v>
      </c>
      <c r="BC7" s="190">
        <v>56743.1024396112</v>
      </c>
      <c r="BD7" s="190">
        <v>56743.1024396112</v>
      </c>
      <c r="BE7" s="190">
        <v>56400.557152994</v>
      </c>
      <c r="BF7" s="190">
        <v>60360.6912420292</v>
      </c>
      <c r="BG7" s="190">
        <v>60529.1122153269</v>
      </c>
      <c r="BH7" s="190">
        <v>58840.4498396383</v>
      </c>
      <c r="BI7" s="190">
        <v>58840.4498396383</v>
      </c>
      <c r="BJ7" s="190">
        <v>60033.7977991953</v>
      </c>
      <c r="BK7" s="190">
        <v>61574.1896732747</v>
      </c>
      <c r="BL7" s="190">
        <v>62782.0432877743</v>
      </c>
      <c r="BM7" s="190">
        <v>63110.0278079538</v>
      </c>
      <c r="BN7" s="190">
        <v>63110.0278079538</v>
      </c>
      <c r="BO7" s="190">
        <v>62173.8666134811</v>
      </c>
      <c r="BP7" s="190">
        <v>60830.2767778964</v>
      </c>
      <c r="BQ7" s="190">
        <v>58482.179900331</v>
      </c>
      <c r="BR7" s="190">
        <v>57738.8905987966</v>
      </c>
      <c r="BS7" s="190">
        <v>57738.8905987966</v>
      </c>
      <c r="BT7" s="190">
        <v>56696.4439212049</v>
      </c>
      <c r="BU7" s="190">
        <v>57422.6582272192</v>
      </c>
      <c r="BV7" s="190">
        <v>59030.883459354</v>
      </c>
      <c r="BW7" s="190">
        <v>59167.3743401921</v>
      </c>
      <c r="BX7" s="190">
        <v>59167.3743401921</v>
      </c>
      <c r="BY7" s="190">
        <v>54432.2680365047</v>
      </c>
      <c r="BZ7" s="190">
        <v>57466.2199368522</v>
      </c>
      <c r="CA7" s="190">
        <v>58855.1502070825</v>
      </c>
      <c r="CB7" s="190">
        <v>61439.866385441</v>
      </c>
      <c r="CC7" s="190">
        <v>61439.866385441</v>
      </c>
      <c r="CD7" s="190">
        <v>62698.5863455045</v>
      </c>
      <c r="CE7" s="190">
        <v>66034.0478319584</v>
      </c>
      <c r="CF7" s="190">
        <v>67631.4548734821</v>
      </c>
      <c r="CG7" s="190">
        <v>67902.3065832136</v>
      </c>
      <c r="CH7" s="190">
        <v>67902.3065832136</v>
      </c>
      <c r="CI7" s="190">
        <v>65441.8351021502</v>
      </c>
      <c r="CJ7" s="190">
        <v>69764.7385185739</v>
      </c>
      <c r="CK7" s="190">
        <v>66741.22920589</v>
      </c>
      <c r="CL7" s="190">
        <v>67464.5160004986</v>
      </c>
      <c r="CM7" s="190">
        <v>67464.5160004986</v>
      </c>
      <c r="CN7" s="190">
        <v>68957.23042548</v>
      </c>
      <c r="CO7" s="190">
        <v>68682.4744554114</v>
      </c>
      <c r="CP7" s="190">
        <v>70343.5898630618</v>
      </c>
      <c r="CQ7" s="190">
        <v>70708.1978615391</v>
      </c>
      <c r="CR7" s="190">
        <v>70708.1978615391</v>
      </c>
      <c r="CS7" s="190">
        <v>71024.202608115</v>
      </c>
      <c r="CT7" s="190">
        <v>73140.8967986531</v>
      </c>
      <c r="CU7" s="190">
        <v>74290.7971351145</v>
      </c>
      <c r="CV7" s="190">
        <v>73536.5732211417</v>
      </c>
      <c r="CW7" s="190">
        <v>73536.5732211417</v>
      </c>
      <c r="CX7" s="190">
        <v>77519.7105733084</v>
      </c>
      <c r="CY7" s="190">
        <v>80466.3061192377</v>
      </c>
      <c r="CZ7" s="190">
        <v>82850.4685035809</v>
      </c>
      <c r="DA7" s="190">
        <v>91944.2144288751</v>
      </c>
      <c r="DB7" s="190">
        <v>91944.2144288751</v>
      </c>
      <c r="DC7" s="191">
        <v>95399.8624510642</v>
      </c>
    </row>
    <row r="8" ht="21" customHeight="1" spans="1:107">
      <c r="A8" s="192" t="s">
        <v>333</v>
      </c>
      <c r="B8" s="193">
        <v>2000.59639984733</v>
      </c>
      <c r="C8" s="194">
        <v>3546.99192433743</v>
      </c>
      <c r="D8" s="194">
        <v>2759.66263250909</v>
      </c>
      <c r="E8" s="194">
        <v>5403.72174206039</v>
      </c>
      <c r="F8" s="194">
        <v>13710.9726987543</v>
      </c>
      <c r="G8" s="194">
        <v>2488.00284898155</v>
      </c>
      <c r="H8" s="194">
        <v>3510.04551336916</v>
      </c>
      <c r="I8" s="194">
        <v>4455.26692993756</v>
      </c>
      <c r="J8" s="194">
        <v>5837.73911291623</v>
      </c>
      <c r="K8" s="194">
        <v>16291.0544052045</v>
      </c>
      <c r="L8" s="194">
        <v>4582.23540093514</v>
      </c>
      <c r="M8" s="194">
        <v>7094.16653623607</v>
      </c>
      <c r="N8" s="194">
        <v>7422.10287150106</v>
      </c>
      <c r="O8" s="194">
        <v>9410.25926276662</v>
      </c>
      <c r="P8" s="194">
        <v>28508.7640714389</v>
      </c>
      <c r="Q8" s="194">
        <v>8811.90529725364</v>
      </c>
      <c r="R8" s="194">
        <v>7777.61207395306</v>
      </c>
      <c r="S8" s="194">
        <v>8021.84599989226</v>
      </c>
      <c r="T8" s="194">
        <v>9065.67270584096</v>
      </c>
      <c r="U8" s="194">
        <v>33677.0360769399</v>
      </c>
      <c r="V8" s="194">
        <v>14614.0424627072</v>
      </c>
      <c r="W8" s="194">
        <v>8288.82073530851</v>
      </c>
      <c r="X8" s="194">
        <v>6670.23640657181</v>
      </c>
      <c r="Y8" s="194">
        <v>9187.29036669866</v>
      </c>
      <c r="Z8" s="194">
        <v>38760.3899712862</v>
      </c>
      <c r="AA8" s="194">
        <v>6380.3218094207</v>
      </c>
      <c r="AB8" s="194">
        <v>5704.6043838934</v>
      </c>
      <c r="AC8" s="194">
        <v>6027.52110798588</v>
      </c>
      <c r="AD8" s="194">
        <v>7173.6468571156</v>
      </c>
      <c r="AE8" s="194">
        <v>25286.0941584156</v>
      </c>
      <c r="AF8" s="194">
        <v>6227.28420443366</v>
      </c>
      <c r="AG8" s="194">
        <v>7025.90146262359</v>
      </c>
      <c r="AH8" s="194">
        <v>7532.08280482816</v>
      </c>
      <c r="AI8" s="194">
        <v>8737.94407407297</v>
      </c>
      <c r="AJ8" s="194">
        <v>29523.2125459584</v>
      </c>
      <c r="AK8" s="194">
        <v>5448.75507167132</v>
      </c>
      <c r="AL8" s="194">
        <v>7809.83977891</v>
      </c>
      <c r="AM8" s="194">
        <v>6508.3942944518</v>
      </c>
      <c r="AN8" s="194">
        <v>12093.1015757142</v>
      </c>
      <c r="AO8" s="194">
        <v>31860.0907207473</v>
      </c>
      <c r="AP8" s="194">
        <v>7357.53267946122</v>
      </c>
      <c r="AQ8" s="194">
        <v>7623.41337615688</v>
      </c>
      <c r="AR8" s="194">
        <v>8397.74499614353</v>
      </c>
      <c r="AS8" s="194">
        <v>8408.0192722788</v>
      </c>
      <c r="AT8" s="194">
        <v>31786.7103240404</v>
      </c>
      <c r="AU8" s="194">
        <v>6572.27940420815</v>
      </c>
      <c r="AV8" s="194">
        <v>6844.01789495507</v>
      </c>
      <c r="AW8" s="194">
        <v>7423.88276090822</v>
      </c>
      <c r="AX8" s="194">
        <v>10850.5309534316</v>
      </c>
      <c r="AY8" s="194">
        <v>31690.711013503</v>
      </c>
      <c r="AZ8" s="194">
        <v>10260.7552152503</v>
      </c>
      <c r="BA8" s="194">
        <v>8415.89153116858</v>
      </c>
      <c r="BB8" s="194">
        <v>7600.34832270932</v>
      </c>
      <c r="BC8" s="194">
        <v>11925.0441587672</v>
      </c>
      <c r="BD8" s="194">
        <v>38202.0392278954</v>
      </c>
      <c r="BE8" s="194">
        <v>6529.97815548625</v>
      </c>
      <c r="BF8" s="194">
        <v>8392.87088203278</v>
      </c>
      <c r="BG8" s="194">
        <v>7608.49740889052</v>
      </c>
      <c r="BH8" s="194">
        <v>8841.71056660169</v>
      </c>
      <c r="BI8" s="194">
        <v>31373.0570130112</v>
      </c>
      <c r="BJ8" s="194">
        <v>7215.13475297984</v>
      </c>
      <c r="BK8" s="194">
        <v>8198.10708407228</v>
      </c>
      <c r="BL8" s="194">
        <v>9159.33529478236</v>
      </c>
      <c r="BM8" s="194">
        <v>12527.9519307116</v>
      </c>
      <c r="BN8" s="194">
        <v>37100.5290625461</v>
      </c>
      <c r="BO8" s="194">
        <v>10018.0376644826</v>
      </c>
      <c r="BP8" s="194">
        <v>14322.3741745553</v>
      </c>
      <c r="BQ8" s="194">
        <v>11672.6669434788</v>
      </c>
      <c r="BR8" s="194">
        <v>14474.5038623493</v>
      </c>
      <c r="BS8" s="194">
        <v>50487.582644866</v>
      </c>
      <c r="BT8" s="194">
        <v>9024.97177223635</v>
      </c>
      <c r="BU8" s="194">
        <v>8775.35735365005</v>
      </c>
      <c r="BV8" s="194">
        <v>9704.86966731168</v>
      </c>
      <c r="BW8" s="194">
        <v>9505.98248188436</v>
      </c>
      <c r="BX8" s="194">
        <v>37011.1812750824</v>
      </c>
      <c r="BY8" s="194">
        <v>6599.30623094694</v>
      </c>
      <c r="BZ8" s="194">
        <v>7694.91090266723</v>
      </c>
      <c r="CA8" s="194">
        <v>12566.6674966418</v>
      </c>
      <c r="CB8" s="194">
        <v>7224.03935987427</v>
      </c>
      <c r="CC8" s="194">
        <v>34084.9239901303</v>
      </c>
      <c r="CD8" s="194">
        <v>6801.62437049276</v>
      </c>
      <c r="CE8" s="194">
        <v>8538.42313298548</v>
      </c>
      <c r="CF8" s="194">
        <v>7759.55346049174</v>
      </c>
      <c r="CG8" s="194">
        <v>8875.0398256561</v>
      </c>
      <c r="CH8" s="194">
        <v>31974.6407896261</v>
      </c>
      <c r="CI8" s="194">
        <v>8131.87723058897</v>
      </c>
      <c r="CJ8" s="194">
        <v>10538.3387957022</v>
      </c>
      <c r="CK8" s="194">
        <v>10947.4197348451</v>
      </c>
      <c r="CL8" s="194">
        <v>12702.4906015667</v>
      </c>
      <c r="CM8" s="194">
        <v>42320.1263627029</v>
      </c>
      <c r="CN8" s="194">
        <v>11059.0814977013</v>
      </c>
      <c r="CO8" s="194">
        <v>12965.7222956764</v>
      </c>
      <c r="CP8" s="194">
        <v>11475.0815967665</v>
      </c>
      <c r="CQ8" s="194">
        <v>13310.8405327149</v>
      </c>
      <c r="CR8" s="194">
        <v>48810.7259228592</v>
      </c>
      <c r="CS8" s="194">
        <v>12508.2432700488</v>
      </c>
      <c r="CT8" s="194">
        <v>12161.4977685531</v>
      </c>
      <c r="CU8" s="194">
        <v>12522.5562443398</v>
      </c>
      <c r="CV8" s="194">
        <v>13627.2793554235</v>
      </c>
      <c r="CW8" s="194">
        <v>50819.5766383652</v>
      </c>
      <c r="CX8" s="194">
        <v>12215.8682706935</v>
      </c>
      <c r="CY8" s="194">
        <v>14678.3949564464</v>
      </c>
      <c r="CZ8" s="194">
        <v>16233.9998863428</v>
      </c>
      <c r="DA8" s="194">
        <v>16421.6275050279</v>
      </c>
      <c r="DB8" s="194">
        <v>59549.8906185106</v>
      </c>
      <c r="DC8" s="195">
        <v>15514.3980343034</v>
      </c>
    </row>
    <row r="9" s="162" customFormat="1" ht="21" customHeight="1" spans="1:107">
      <c r="A9" s="196" t="s">
        <v>334</v>
      </c>
      <c r="B9" s="181">
        <v>1127.25620984733</v>
      </c>
      <c r="C9" s="182">
        <v>1458.40688433743</v>
      </c>
      <c r="D9" s="182">
        <v>1580.39472250909</v>
      </c>
      <c r="E9" s="182">
        <v>4076.26279206039</v>
      </c>
      <c r="F9" s="182">
        <v>8242.32060875425</v>
      </c>
      <c r="G9" s="182">
        <v>1449.15158898156</v>
      </c>
      <c r="H9" s="182">
        <v>1907.27119336916</v>
      </c>
      <c r="I9" s="182">
        <v>2900.97565993756</v>
      </c>
      <c r="J9" s="182">
        <v>3989.17420291623</v>
      </c>
      <c r="K9" s="182">
        <v>10246.5726452045</v>
      </c>
      <c r="L9" s="182">
        <v>3002.62163093514</v>
      </c>
      <c r="M9" s="182">
        <v>4530.73623623607</v>
      </c>
      <c r="N9" s="182">
        <v>5907.86221150106</v>
      </c>
      <c r="O9" s="182">
        <v>6868.81280276662</v>
      </c>
      <c r="P9" s="182">
        <v>20310.0328814389</v>
      </c>
      <c r="Q9" s="182">
        <v>6487.34483725364</v>
      </c>
      <c r="R9" s="182">
        <v>5069.07644395306</v>
      </c>
      <c r="S9" s="182">
        <v>6448.66868989226</v>
      </c>
      <c r="T9" s="182">
        <v>6886.30700584096</v>
      </c>
      <c r="U9" s="182">
        <v>24891.3969769399</v>
      </c>
      <c r="V9" s="182">
        <v>12991.9194527072</v>
      </c>
      <c r="W9" s="182">
        <v>6085.23582530851</v>
      </c>
      <c r="X9" s="182">
        <v>4983.30883657181</v>
      </c>
      <c r="Y9" s="182">
        <v>6759.88630669866</v>
      </c>
      <c r="Z9" s="182">
        <v>30820.3504212862</v>
      </c>
      <c r="AA9" s="182">
        <v>3934.9925994207</v>
      </c>
      <c r="AB9" s="182">
        <v>3672.9709238934</v>
      </c>
      <c r="AC9" s="182">
        <v>3760.91514798588</v>
      </c>
      <c r="AD9" s="182">
        <v>4157.1190771156</v>
      </c>
      <c r="AE9" s="182">
        <v>15525.9977484156</v>
      </c>
      <c r="AF9" s="182">
        <v>4164.08825443366</v>
      </c>
      <c r="AG9" s="182">
        <v>4023.63789262359</v>
      </c>
      <c r="AH9" s="182">
        <v>3976.36131482816</v>
      </c>
      <c r="AI9" s="182">
        <v>4611.53535407297</v>
      </c>
      <c r="AJ9" s="182">
        <v>16775.6228159584</v>
      </c>
      <c r="AK9" s="182">
        <v>3147.76613167132</v>
      </c>
      <c r="AL9" s="182">
        <v>4380.04751891</v>
      </c>
      <c r="AM9" s="182">
        <v>4043.1353944518</v>
      </c>
      <c r="AN9" s="182">
        <v>7240.00626855418</v>
      </c>
      <c r="AO9" s="182">
        <v>18810.9553135873</v>
      </c>
      <c r="AP9" s="182">
        <v>4696.68888946121</v>
      </c>
      <c r="AQ9" s="182">
        <v>4688.00254764688</v>
      </c>
      <c r="AR9" s="182">
        <v>5257.45331614353</v>
      </c>
      <c r="AS9" s="182">
        <v>4592.5860198588</v>
      </c>
      <c r="AT9" s="182">
        <v>19234.7307731104</v>
      </c>
      <c r="AU9" s="182">
        <v>4175.86606911814</v>
      </c>
      <c r="AV9" s="182">
        <v>3991.65723495507</v>
      </c>
      <c r="AW9" s="182">
        <v>4096.53601090822</v>
      </c>
      <c r="AX9" s="182">
        <v>5543.54847343159</v>
      </c>
      <c r="AY9" s="182">
        <v>17807.607788413</v>
      </c>
      <c r="AZ9" s="182">
        <v>6912.1016952503</v>
      </c>
      <c r="BA9" s="182">
        <v>5086.92654116858</v>
      </c>
      <c r="BB9" s="182">
        <v>4001.52771270932</v>
      </c>
      <c r="BC9" s="182">
        <v>8609.83711876718</v>
      </c>
      <c r="BD9" s="182">
        <v>24610.3930678954</v>
      </c>
      <c r="BE9" s="182">
        <v>3090.68201548625</v>
      </c>
      <c r="BF9" s="182">
        <v>3362.43126203278</v>
      </c>
      <c r="BG9" s="182">
        <v>3830.59250889052</v>
      </c>
      <c r="BH9" s="182">
        <v>4025.69789660169</v>
      </c>
      <c r="BI9" s="182">
        <v>14309.4036830112</v>
      </c>
      <c r="BJ9" s="182">
        <v>2698.79247297984</v>
      </c>
      <c r="BK9" s="182">
        <v>3651.99479407228</v>
      </c>
      <c r="BL9" s="182">
        <v>2514.64992974036</v>
      </c>
      <c r="BM9" s="182">
        <v>5243.40402071161</v>
      </c>
      <c r="BN9" s="182">
        <v>14108.8412175041</v>
      </c>
      <c r="BO9" s="182">
        <v>3881.95122448262</v>
      </c>
      <c r="BP9" s="182">
        <v>7775.33177455527</v>
      </c>
      <c r="BQ9" s="182">
        <v>5429.62064347878</v>
      </c>
      <c r="BR9" s="182">
        <v>7079.4189453792</v>
      </c>
      <c r="BS9" s="182">
        <v>24166.3225878959</v>
      </c>
      <c r="BT9" s="182">
        <v>5336.22073</v>
      </c>
      <c r="BU9" s="182">
        <v>5534.89245</v>
      </c>
      <c r="BV9" s="182">
        <v>6074.01203</v>
      </c>
      <c r="BW9" s="182">
        <v>5183.63544</v>
      </c>
      <c r="BX9" s="182">
        <v>22128.76065</v>
      </c>
      <c r="BY9" s="182">
        <v>2974.07906094694</v>
      </c>
      <c r="BZ9" s="182">
        <v>4134.90634266723</v>
      </c>
      <c r="CA9" s="182">
        <v>3771.24095664184</v>
      </c>
      <c r="CB9" s="182">
        <v>3728.43507987427</v>
      </c>
      <c r="CC9" s="182">
        <v>14608.6614401303</v>
      </c>
      <c r="CD9" s="182">
        <v>2594.70050049276</v>
      </c>
      <c r="CE9" s="182">
        <v>3314.00224298548</v>
      </c>
      <c r="CF9" s="182">
        <v>1924.43489049174</v>
      </c>
      <c r="CG9" s="182">
        <v>3887.1698056561</v>
      </c>
      <c r="CH9" s="182">
        <v>11720.3074396261</v>
      </c>
      <c r="CI9" s="182">
        <v>2789.94636058897</v>
      </c>
      <c r="CJ9" s="182">
        <v>4320.34915670217</v>
      </c>
      <c r="CK9" s="182">
        <v>6276.49186584508</v>
      </c>
      <c r="CL9" s="182">
        <v>7522.35316156671</v>
      </c>
      <c r="CM9" s="182">
        <v>20909.1405447029</v>
      </c>
      <c r="CN9" s="182">
        <v>6046.74604770135</v>
      </c>
      <c r="CO9" s="182">
        <v>8548.64477767638</v>
      </c>
      <c r="CP9" s="182">
        <v>7234.13984105317</v>
      </c>
      <c r="CQ9" s="182">
        <v>8686.92315271493</v>
      </c>
      <c r="CR9" s="182">
        <v>30516.4538191458</v>
      </c>
      <c r="CS9" s="182">
        <v>8586.24024004876</v>
      </c>
      <c r="CT9" s="182">
        <v>7831.15457855314</v>
      </c>
      <c r="CU9" s="182">
        <v>7334.56308433977</v>
      </c>
      <c r="CV9" s="182">
        <v>8792.6651714235</v>
      </c>
      <c r="CW9" s="182">
        <v>32544.6230743652</v>
      </c>
      <c r="CX9" s="182">
        <v>8160.88067069345</v>
      </c>
      <c r="CY9" s="182">
        <v>8908.28066644643</v>
      </c>
      <c r="CZ9" s="182">
        <v>8364.47481634282</v>
      </c>
      <c r="DA9" s="182">
        <v>10786.2381771087</v>
      </c>
      <c r="DB9" s="182">
        <v>36219.8743305914</v>
      </c>
      <c r="DC9" s="183">
        <v>7952.25196430336</v>
      </c>
    </row>
    <row r="10" ht="22.5" customHeight="1" spans="1:107">
      <c r="A10" s="175" t="s">
        <v>335</v>
      </c>
      <c r="B10" s="197"/>
      <c r="C10" s="178"/>
      <c r="D10" s="178"/>
      <c r="E10" s="178"/>
      <c r="F10" s="178"/>
      <c r="G10" s="178"/>
      <c r="H10" s="178"/>
      <c r="I10" s="178"/>
      <c r="J10" s="178"/>
      <c r="K10" s="178"/>
      <c r="L10" s="178"/>
      <c r="M10" s="178"/>
      <c r="N10" s="178"/>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98"/>
      <c r="BF10" s="198"/>
      <c r="BG10" s="198"/>
      <c r="BH10" s="198"/>
      <c r="BI10" s="198"/>
      <c r="BJ10" s="198"/>
      <c r="BK10" s="198"/>
      <c r="BL10" s="198"/>
      <c r="BM10" s="198"/>
      <c r="BN10" s="198"/>
      <c r="BO10" s="198"/>
      <c r="BP10" s="198"/>
      <c r="BQ10" s="198"/>
      <c r="BR10" s="198"/>
      <c r="BS10" s="198"/>
      <c r="BT10" s="198"/>
      <c r="BU10" s="198"/>
      <c r="BV10" s="198"/>
      <c r="BW10" s="198"/>
      <c r="BX10" s="198"/>
      <c r="BY10" s="198"/>
      <c r="BZ10" s="198"/>
      <c r="CA10" s="198"/>
      <c r="CB10" s="198"/>
      <c r="CC10" s="198"/>
      <c r="CD10" s="198"/>
      <c r="CE10" s="198"/>
      <c r="CF10" s="198"/>
      <c r="CG10" s="198"/>
      <c r="CH10" s="198"/>
      <c r="CI10" s="198"/>
      <c r="CJ10" s="198"/>
      <c r="CK10" s="198"/>
      <c r="CL10" s="198"/>
      <c r="CM10" s="198"/>
      <c r="CN10" s="198"/>
      <c r="CO10" s="198"/>
      <c r="CP10" s="198"/>
      <c r="CQ10" s="198"/>
      <c r="CR10" s="198"/>
      <c r="CS10" s="198"/>
      <c r="CT10" s="198"/>
      <c r="CU10" s="198"/>
      <c r="CV10" s="198"/>
      <c r="CW10" s="198"/>
      <c r="CX10" s="198"/>
      <c r="CY10" s="198"/>
      <c r="CZ10" s="198"/>
      <c r="DA10" s="198"/>
      <c r="DB10" s="198"/>
      <c r="DC10" s="199"/>
    </row>
    <row r="11" ht="27.75" customHeight="1" spans="1:107">
      <c r="A11" s="188" t="s">
        <v>336</v>
      </c>
      <c r="B11" s="200">
        <v>76.0464988350756</v>
      </c>
      <c r="C11" s="201">
        <v>74.5071841313618</v>
      </c>
      <c r="D11" s="201">
        <v>74.3940706583858</v>
      </c>
      <c r="E11" s="201">
        <v>76.1896104692477</v>
      </c>
      <c r="F11" s="201">
        <v>76.0254110871416</v>
      </c>
      <c r="G11" s="201">
        <v>78.4222292056058</v>
      </c>
      <c r="H11" s="201">
        <v>79.4662586296187</v>
      </c>
      <c r="I11" s="201">
        <v>81.3219928385557</v>
      </c>
      <c r="J11" s="201">
        <v>91.2103289279173</v>
      </c>
      <c r="K11" s="201">
        <v>91.3714715378438</v>
      </c>
      <c r="L11" s="201">
        <v>95.3576764059478</v>
      </c>
      <c r="M11" s="201">
        <v>100.533030148222</v>
      </c>
      <c r="N11" s="201">
        <v>96.3529307748459</v>
      </c>
      <c r="O11" s="201">
        <v>92.2535358033732</v>
      </c>
      <c r="P11" s="201">
        <v>92.407982734905</v>
      </c>
      <c r="Q11" s="201">
        <v>88.8059640843953</v>
      </c>
      <c r="R11" s="201">
        <v>86.3633036718199</v>
      </c>
      <c r="S11" s="201">
        <v>82.5247104857561</v>
      </c>
      <c r="T11" s="201">
        <v>80.8659802096784</v>
      </c>
      <c r="U11" s="201">
        <v>80.8849006492411</v>
      </c>
      <c r="V11" s="201">
        <v>81.3497931638779</v>
      </c>
      <c r="W11" s="201">
        <v>87.3753202649254</v>
      </c>
      <c r="X11" s="201">
        <v>98.5761081868627</v>
      </c>
      <c r="Y11" s="201">
        <v>98.2935350215203</v>
      </c>
      <c r="Z11" s="201">
        <v>97.884577932158</v>
      </c>
      <c r="AA11" s="201">
        <v>92.3348830905828</v>
      </c>
      <c r="AB11" s="201">
        <v>88.9527878591998</v>
      </c>
      <c r="AC11" s="201">
        <v>82.8538374950586</v>
      </c>
      <c r="AD11" s="201">
        <v>79.8584690485589</v>
      </c>
      <c r="AE11" s="201">
        <v>79.8519737395674</v>
      </c>
      <c r="AF11" s="201">
        <v>78.7703583621332</v>
      </c>
      <c r="AG11" s="201">
        <v>75.3020655496746</v>
      </c>
      <c r="AH11" s="201">
        <v>68.828660413053</v>
      </c>
      <c r="AI11" s="201">
        <v>65.1298296696972</v>
      </c>
      <c r="AJ11" s="201">
        <v>65.0585782548839</v>
      </c>
      <c r="AK11" s="201">
        <v>65.2986358922879</v>
      </c>
      <c r="AL11" s="201">
        <v>65.566109465283</v>
      </c>
      <c r="AM11" s="201">
        <v>65.591811469485</v>
      </c>
      <c r="AN11" s="201">
        <v>65.9062580725614</v>
      </c>
      <c r="AO11" s="201">
        <v>65.8254023775134</v>
      </c>
      <c r="AP11" s="201">
        <v>65.6359272059902</v>
      </c>
      <c r="AQ11" s="201">
        <v>67.0415483181331</v>
      </c>
      <c r="AR11" s="201">
        <v>66.0636593848403</v>
      </c>
      <c r="AS11" s="201">
        <v>63.5154114588243</v>
      </c>
      <c r="AT11" s="201">
        <v>63.4031082932965</v>
      </c>
      <c r="AU11" s="201">
        <v>64.0383942005602</v>
      </c>
      <c r="AV11" s="201">
        <v>66.6190377169939</v>
      </c>
      <c r="AW11" s="201">
        <v>67.4554456970922</v>
      </c>
      <c r="AX11" s="201">
        <v>71.1179972509371</v>
      </c>
      <c r="AY11" s="201">
        <v>70.958433887925</v>
      </c>
      <c r="AZ11" s="201">
        <v>70.322233458034</v>
      </c>
      <c r="BA11" s="201">
        <v>71.1600488313461</v>
      </c>
      <c r="BB11" s="201">
        <v>74.1054297474709</v>
      </c>
      <c r="BC11" s="201">
        <v>82.8504746555418</v>
      </c>
      <c r="BD11" s="201">
        <v>82.9812365349028</v>
      </c>
      <c r="BE11" s="201">
        <v>92.3676380514512</v>
      </c>
      <c r="BF11" s="201">
        <v>106.566539235188</v>
      </c>
      <c r="BG11" s="201">
        <v>121.239500572767</v>
      </c>
      <c r="BH11" s="201">
        <v>118.669041152595</v>
      </c>
      <c r="BI11" s="201">
        <v>119.121880442603</v>
      </c>
      <c r="BJ11" s="201">
        <v>114.748513696475</v>
      </c>
      <c r="BK11" s="201">
        <v>112.280474373519</v>
      </c>
      <c r="BL11" s="201">
        <v>108.799572878851</v>
      </c>
      <c r="BM11" s="201">
        <v>100.837687088152</v>
      </c>
      <c r="BN11" s="201">
        <v>100.405509916564</v>
      </c>
      <c r="BO11" s="201">
        <v>98.5597954750523</v>
      </c>
      <c r="BP11" s="201">
        <v>94.9301666361908</v>
      </c>
      <c r="BQ11" s="201">
        <v>92.6709421285466</v>
      </c>
      <c r="BR11" s="201">
        <v>90.2711334221215</v>
      </c>
      <c r="BS11" s="201">
        <v>89.4018393346968</v>
      </c>
      <c r="BT11" s="201">
        <v>91.0236368135303</v>
      </c>
      <c r="BU11" s="201">
        <v>91.5990717654758</v>
      </c>
      <c r="BV11" s="201">
        <v>91.2464931012358</v>
      </c>
      <c r="BW11" s="201">
        <v>88.0008136775444</v>
      </c>
      <c r="BX11" s="201">
        <v>87.8228755260024</v>
      </c>
      <c r="BY11" s="201">
        <v>83.9687913613419</v>
      </c>
      <c r="BZ11" s="201">
        <v>90.0792136569014</v>
      </c>
      <c r="CA11" s="201">
        <v>91.1378805678752</v>
      </c>
      <c r="CB11" s="202">
        <v>96.1725032670075</v>
      </c>
      <c r="CC11" s="202">
        <v>95.8478655917782</v>
      </c>
      <c r="CD11" s="182">
        <v>96.5930700206791</v>
      </c>
      <c r="CE11" s="182">
        <v>94.5777328835634</v>
      </c>
      <c r="CF11" s="182">
        <v>90.5020751318819</v>
      </c>
      <c r="CG11" s="182">
        <v>83.1267026884615</v>
      </c>
      <c r="CH11" s="182">
        <v>83.0811092232204</v>
      </c>
      <c r="CI11" s="182">
        <v>78.8651409389386</v>
      </c>
      <c r="CJ11" s="182">
        <v>77.9466092875461</v>
      </c>
      <c r="CK11" s="182">
        <v>74.8028725388034</v>
      </c>
      <c r="CL11" s="182">
        <v>71.3329480324185</v>
      </c>
      <c r="CM11" s="182">
        <v>71.3329480324185</v>
      </c>
      <c r="CN11" s="182">
        <v>69.4403915735829</v>
      </c>
      <c r="CO11" s="182">
        <v>67.4904786215803</v>
      </c>
      <c r="CP11" s="182">
        <v>65.5574483408328</v>
      </c>
      <c r="CQ11" s="182">
        <v>62.7426557780671</v>
      </c>
      <c r="CR11" s="182">
        <v>62.7426557780671</v>
      </c>
      <c r="CS11" s="182">
        <v>61.4348531083302</v>
      </c>
      <c r="CT11" s="182">
        <v>61.131998927266</v>
      </c>
      <c r="CU11" s="182">
        <v>59.6203695706931</v>
      </c>
      <c r="CV11" s="182">
        <v>57.1098510463854</v>
      </c>
      <c r="CW11" s="182">
        <v>56.5544864525454</v>
      </c>
      <c r="CX11" s="182">
        <v>58.5756602549815</v>
      </c>
      <c r="CY11" s="182">
        <v>59.1617561655226</v>
      </c>
      <c r="CZ11" s="182">
        <v>58.2334117336014</v>
      </c>
      <c r="DA11" s="182">
        <v>59.5318327740095</v>
      </c>
      <c r="DB11" s="182">
        <v>59.4421788531072</v>
      </c>
      <c r="DC11" s="183">
        <v>58.1635968874905</v>
      </c>
    </row>
    <row r="12" s="162" customFormat="1" ht="27" customHeight="1" spans="1:107">
      <c r="A12" s="192" t="s">
        <v>337</v>
      </c>
      <c r="B12" s="193">
        <v>37.8840266330767</v>
      </c>
      <c r="C12" s="194">
        <v>38.7575253960404</v>
      </c>
      <c r="D12" s="194">
        <v>39.0574265963675</v>
      </c>
      <c r="E12" s="194">
        <v>42.4672283117696</v>
      </c>
      <c r="F12" s="194">
        <v>42.3757054308203</v>
      </c>
      <c r="G12" s="194">
        <v>44.242677826028</v>
      </c>
      <c r="H12" s="194">
        <v>46.5903119840141</v>
      </c>
      <c r="I12" s="194">
        <v>48.6430660334811</v>
      </c>
      <c r="J12" s="194">
        <v>59.7696666846383</v>
      </c>
      <c r="K12" s="194">
        <v>59.8752626209451</v>
      </c>
      <c r="L12" s="194">
        <v>64.4920226799813</v>
      </c>
      <c r="M12" s="194">
        <v>71.4223520735285</v>
      </c>
      <c r="N12" s="194">
        <v>67.0742349496232</v>
      </c>
      <c r="O12" s="194">
        <v>63.6132461073711</v>
      </c>
      <c r="P12" s="194">
        <v>63.7197446884879</v>
      </c>
      <c r="Q12" s="194">
        <v>60.8027732313495</v>
      </c>
      <c r="R12" s="194">
        <v>58.3341025918802</v>
      </c>
      <c r="S12" s="194">
        <v>52.7712822214638</v>
      </c>
      <c r="T12" s="194">
        <v>50.7482166080897</v>
      </c>
      <c r="U12" s="194">
        <v>50.7600903102666</v>
      </c>
      <c r="V12" s="194">
        <v>49.1236074494833</v>
      </c>
      <c r="W12" s="194">
        <v>52.0577675846876</v>
      </c>
      <c r="X12" s="194">
        <v>56.7605657220335</v>
      </c>
      <c r="Y12" s="194">
        <v>55.0699912210674</v>
      </c>
      <c r="Z12" s="194">
        <v>54.8408686921438</v>
      </c>
      <c r="AA12" s="194">
        <v>49.7170016366226</v>
      </c>
      <c r="AB12" s="194">
        <v>46.2456529572215</v>
      </c>
      <c r="AC12" s="194">
        <v>40.8625133711606</v>
      </c>
      <c r="AD12" s="194">
        <v>44.5473261117427</v>
      </c>
      <c r="AE12" s="194">
        <v>44.5437028435873</v>
      </c>
      <c r="AF12" s="194">
        <v>42.6377075534446</v>
      </c>
      <c r="AG12" s="194">
        <v>39.5517333205589</v>
      </c>
      <c r="AH12" s="194">
        <v>34.2517350861037</v>
      </c>
      <c r="AI12" s="194">
        <v>32.6086696441134</v>
      </c>
      <c r="AJ12" s="194">
        <v>32.5729960693611</v>
      </c>
      <c r="AK12" s="194">
        <v>32.2949616569176</v>
      </c>
      <c r="AL12" s="194">
        <v>32.6503978362037</v>
      </c>
      <c r="AM12" s="194">
        <v>32.5971539495705</v>
      </c>
      <c r="AN12" s="194">
        <v>33.3626877002975</v>
      </c>
      <c r="AO12" s="194">
        <v>33.321757394412</v>
      </c>
      <c r="AP12" s="194">
        <v>32.4891319395449</v>
      </c>
      <c r="AQ12" s="194">
        <v>33.7065983593174</v>
      </c>
      <c r="AR12" s="194">
        <v>33.2656174835178</v>
      </c>
      <c r="AS12" s="194">
        <v>32.1120195322765</v>
      </c>
      <c r="AT12" s="194">
        <v>32.0552414785391</v>
      </c>
      <c r="AU12" s="194">
        <v>31.9486372305639</v>
      </c>
      <c r="AV12" s="194">
        <v>34.0763813276874</v>
      </c>
      <c r="AW12" s="194">
        <v>32.4465473288716</v>
      </c>
      <c r="AX12" s="194">
        <v>35.2975641898636</v>
      </c>
      <c r="AY12" s="194">
        <v>35.2183690737751</v>
      </c>
      <c r="AZ12" s="194">
        <v>26.9655720312707</v>
      </c>
      <c r="BA12" s="194">
        <v>26.8473047493281</v>
      </c>
      <c r="BB12" s="194">
        <v>28.1326712759113</v>
      </c>
      <c r="BC12" s="194">
        <v>30.7254234988175</v>
      </c>
      <c r="BD12" s="194">
        <v>30.7739170546791</v>
      </c>
      <c r="BE12" s="194">
        <v>33.9751614301191</v>
      </c>
      <c r="BF12" s="194">
        <v>40.2367895194635</v>
      </c>
      <c r="BG12" s="194">
        <v>44.5165566707197</v>
      </c>
      <c r="BH12" s="194">
        <v>42.6992242207735</v>
      </c>
      <c r="BI12" s="194">
        <v>42.8621638231522</v>
      </c>
      <c r="BJ12" s="194">
        <v>41.6763052796799</v>
      </c>
      <c r="BK12" s="194">
        <v>41.2076111036247</v>
      </c>
      <c r="BL12" s="194">
        <v>40.4545485687002</v>
      </c>
      <c r="BM12" s="194">
        <v>37.9971700057754</v>
      </c>
      <c r="BN12" s="194">
        <v>37.8343190922368</v>
      </c>
      <c r="BO12" s="194">
        <v>36.5284001370281</v>
      </c>
      <c r="BP12" s="194">
        <v>34.8541902414751</v>
      </c>
      <c r="BQ12" s="194">
        <v>33.3218839434393</v>
      </c>
      <c r="BR12" s="194">
        <v>32.5086577775687</v>
      </c>
      <c r="BS12" s="194">
        <v>32.1956054991176</v>
      </c>
      <c r="BT12" s="194">
        <v>32.2064070618236</v>
      </c>
      <c r="BU12" s="194">
        <v>32.7933913010625</v>
      </c>
      <c r="BV12" s="194">
        <v>33.5957545296968</v>
      </c>
      <c r="BW12" s="194">
        <v>32.6353231442314</v>
      </c>
      <c r="BX12" s="194">
        <v>32.5693343330763</v>
      </c>
      <c r="BY12" s="194">
        <v>29.3992895766249</v>
      </c>
      <c r="BZ12" s="194">
        <v>32.2351798899351</v>
      </c>
      <c r="CA12" s="194">
        <v>33.1707905702198</v>
      </c>
      <c r="CB12" s="194">
        <v>36.0338032347427</v>
      </c>
      <c r="CC12" s="194">
        <v>35.912168362878</v>
      </c>
      <c r="CD12" s="203">
        <v>36.9384613993478</v>
      </c>
      <c r="CE12" s="203">
        <v>37.5134249963848</v>
      </c>
      <c r="CF12" s="203">
        <v>36.9252133778024</v>
      </c>
      <c r="CG12" s="203">
        <v>34.3901657153475</v>
      </c>
      <c r="CH12" s="203">
        <v>34.3713033429152</v>
      </c>
      <c r="CI12" s="203">
        <v>32.2775716829082</v>
      </c>
      <c r="CJ12" s="203">
        <v>33.1273251872334</v>
      </c>
      <c r="CK12" s="203">
        <v>30.9904005791514</v>
      </c>
      <c r="CL12" s="203">
        <v>29.8641876274811</v>
      </c>
      <c r="CM12" s="203">
        <v>29.864187627481</v>
      </c>
      <c r="CN12" s="203">
        <v>29.4103578169289</v>
      </c>
      <c r="CO12" s="203">
        <v>28.4725955272353</v>
      </c>
      <c r="CP12" s="203">
        <v>28.1518861458697</v>
      </c>
      <c r="CQ12" s="203">
        <v>27.0989365064344</v>
      </c>
      <c r="CR12" s="203">
        <v>27.0989365064344</v>
      </c>
      <c r="CS12" s="203">
        <v>26.6135015486718</v>
      </c>
      <c r="CT12" s="203">
        <v>26.7975203638854</v>
      </c>
      <c r="CU12" s="203">
        <v>26.6233271463937</v>
      </c>
      <c r="CV12" s="203">
        <v>25.5023474384132</v>
      </c>
      <c r="CW12" s="203">
        <v>25.2543499289188</v>
      </c>
      <c r="CX12" s="203">
        <v>26.704463411767</v>
      </c>
      <c r="CY12" s="203">
        <v>27.5897331920985</v>
      </c>
      <c r="CZ12" s="203">
        <v>28.1226061512259</v>
      </c>
      <c r="DA12" s="203">
        <v>30.1009663794301</v>
      </c>
      <c r="DB12" s="203">
        <v>30.0556348394268</v>
      </c>
      <c r="DC12" s="204">
        <v>30.3580949972771</v>
      </c>
    </row>
    <row r="13" ht="27" customHeight="1" spans="1:107">
      <c r="A13" s="188" t="s">
        <v>338</v>
      </c>
      <c r="B13" s="200">
        <v>133.921055625054</v>
      </c>
      <c r="C13" s="201">
        <v>125.471600171696</v>
      </c>
      <c r="D13" s="201">
        <v>126.604566931738</v>
      </c>
      <c r="E13" s="201">
        <v>136.649475108533</v>
      </c>
      <c r="F13" s="201">
        <v>136.649475108533</v>
      </c>
      <c r="G13" s="201">
        <v>143.121267173934</v>
      </c>
      <c r="H13" s="201">
        <v>144.707948318552</v>
      </c>
      <c r="I13" s="201">
        <v>151.750888929831</v>
      </c>
      <c r="J13" s="201">
        <v>173.678900085647</v>
      </c>
      <c r="K13" s="201">
        <v>173.678900085647</v>
      </c>
      <c r="L13" s="201">
        <v>182.983793923585</v>
      </c>
      <c r="M13" s="201">
        <v>199.200182765578</v>
      </c>
      <c r="N13" s="201">
        <v>187.728003049684</v>
      </c>
      <c r="O13" s="201">
        <v>174.964888717914</v>
      </c>
      <c r="P13" s="201">
        <v>174.964888717914</v>
      </c>
      <c r="Q13" s="201">
        <v>157.823098273232</v>
      </c>
      <c r="R13" s="201">
        <v>141.062135138729</v>
      </c>
      <c r="S13" s="201">
        <v>139.995363535712</v>
      </c>
      <c r="T13" s="201">
        <v>151.392008295523</v>
      </c>
      <c r="U13" s="201">
        <v>151.392008295523</v>
      </c>
      <c r="V13" s="201">
        <v>168.397953836118</v>
      </c>
      <c r="W13" s="201">
        <v>202.720302611534</v>
      </c>
      <c r="X13" s="201">
        <v>227.761794110567</v>
      </c>
      <c r="Y13" s="201">
        <v>216.995159429919</v>
      </c>
      <c r="Z13" s="201">
        <v>216.995159429919</v>
      </c>
      <c r="AA13" s="201">
        <v>190.799705982028</v>
      </c>
      <c r="AB13" s="201">
        <v>183.322261980946</v>
      </c>
      <c r="AC13" s="201">
        <v>174.637837284189</v>
      </c>
      <c r="AD13" s="201">
        <v>176.972086773969</v>
      </c>
      <c r="AE13" s="201">
        <v>176.972086773969</v>
      </c>
      <c r="AF13" s="201">
        <v>161.514829188302</v>
      </c>
      <c r="AG13" s="201">
        <v>150.435493712896</v>
      </c>
      <c r="AH13" s="201">
        <v>139.608837797207</v>
      </c>
      <c r="AI13" s="201">
        <v>134.175660387667</v>
      </c>
      <c r="AJ13" s="201">
        <v>134.175660387667</v>
      </c>
      <c r="AK13" s="201">
        <v>140.451096154555</v>
      </c>
      <c r="AL13" s="201">
        <v>145.307873378361</v>
      </c>
      <c r="AM13" s="201">
        <v>146.531703839022</v>
      </c>
      <c r="AN13" s="201">
        <v>148.328868858278</v>
      </c>
      <c r="AO13" s="201">
        <v>148.328868858278</v>
      </c>
      <c r="AP13" s="201">
        <v>153.536070256807</v>
      </c>
      <c r="AQ13" s="201">
        <v>160.229206275679</v>
      </c>
      <c r="AR13" s="201">
        <v>161.912169056419</v>
      </c>
      <c r="AS13" s="201">
        <v>160.172110927667</v>
      </c>
      <c r="AT13" s="201">
        <v>160.172110927667</v>
      </c>
      <c r="AU13" s="201">
        <v>164.766536477659</v>
      </c>
      <c r="AV13" s="201">
        <v>171.451902524722</v>
      </c>
      <c r="AW13" s="201">
        <v>179.065581963603</v>
      </c>
      <c r="AX13" s="201">
        <v>203.756909559421</v>
      </c>
      <c r="AY13" s="201">
        <v>203.756909559421</v>
      </c>
      <c r="AZ13" s="201">
        <v>223.147389446159</v>
      </c>
      <c r="BA13" s="201">
        <v>255.371062222555</v>
      </c>
      <c r="BB13" s="201">
        <v>295.344224042553</v>
      </c>
      <c r="BC13" s="201">
        <v>319.931361261222</v>
      </c>
      <c r="BD13" s="201">
        <v>319.931361261222</v>
      </c>
      <c r="BE13" s="201">
        <v>348.197038578355</v>
      </c>
      <c r="BF13" s="201">
        <v>381.494967975056</v>
      </c>
      <c r="BG13" s="201">
        <v>395.549089809652</v>
      </c>
      <c r="BH13" s="201">
        <v>379.362865201452</v>
      </c>
      <c r="BI13" s="201">
        <v>379.362865201452</v>
      </c>
      <c r="BJ13" s="201">
        <v>355.365078133125</v>
      </c>
      <c r="BK13" s="201">
        <v>342.019045107227</v>
      </c>
      <c r="BL13" s="201">
        <v>322.703560376357</v>
      </c>
      <c r="BM13" s="201">
        <v>299.213336016546</v>
      </c>
      <c r="BN13" s="201">
        <v>299.213336016546</v>
      </c>
      <c r="BO13" s="201">
        <v>280.616901150281</v>
      </c>
      <c r="BP13" s="201">
        <v>258.877330438296</v>
      </c>
      <c r="BQ13" s="201">
        <v>243.249920027362</v>
      </c>
      <c r="BR13" s="201">
        <v>241.662122083023</v>
      </c>
      <c r="BS13" s="201">
        <v>241.662122083023</v>
      </c>
      <c r="BT13" s="201">
        <v>240.94242009684</v>
      </c>
      <c r="BU13" s="201">
        <v>244.304037709509</v>
      </c>
      <c r="BV13" s="201">
        <v>244.151532945112</v>
      </c>
      <c r="BW13" s="201">
        <v>237.079033348715</v>
      </c>
      <c r="BX13" s="201">
        <v>237.079033348715</v>
      </c>
      <c r="BY13" s="201">
        <v>241.883962547867</v>
      </c>
      <c r="BZ13" s="201">
        <v>277.133579965719</v>
      </c>
      <c r="CA13" s="201">
        <v>305.362070196182</v>
      </c>
      <c r="CB13" s="202">
        <v>332.796677085131</v>
      </c>
      <c r="CC13" s="202">
        <v>332.796677085131</v>
      </c>
      <c r="CD13" s="182">
        <v>323.410969871291</v>
      </c>
      <c r="CE13" s="182">
        <v>284.830769235417</v>
      </c>
      <c r="CF13" s="182">
        <v>258.214179096315</v>
      </c>
      <c r="CG13" s="182">
        <v>228.831738192613</v>
      </c>
      <c r="CH13" s="182">
        <v>228.831738192613</v>
      </c>
      <c r="CI13" s="182">
        <v>199.37328182023</v>
      </c>
      <c r="CJ13" s="182">
        <v>192.641478629654</v>
      </c>
      <c r="CK13" s="182">
        <v>176.734602077449</v>
      </c>
      <c r="CL13" s="182">
        <v>171.755855870438</v>
      </c>
      <c r="CM13" s="182">
        <v>171.755855870438</v>
      </c>
      <c r="CN13" s="182">
        <v>177.346600982368</v>
      </c>
      <c r="CO13" s="182">
        <v>178.270639749109</v>
      </c>
      <c r="CP13" s="182">
        <v>180.297688471535</v>
      </c>
      <c r="CQ13" s="182">
        <v>180.415856455594</v>
      </c>
      <c r="CR13" s="182">
        <v>180.415856455594</v>
      </c>
      <c r="CS13" s="182">
        <v>180.506330921764</v>
      </c>
      <c r="CT13" s="182">
        <v>181.574976145907</v>
      </c>
      <c r="CU13" s="182">
        <v>181.833402574699</v>
      </c>
      <c r="CV13" s="182">
        <v>182.680312694695</v>
      </c>
      <c r="CW13" s="182">
        <v>182.680312694695</v>
      </c>
      <c r="CX13" s="182">
        <v>189.490034368319</v>
      </c>
      <c r="CY13" s="182">
        <v>194.278142086653</v>
      </c>
      <c r="CZ13" s="182">
        <v>191.414368208508</v>
      </c>
      <c r="DA13" s="182">
        <v>201.722857398364</v>
      </c>
      <c r="DB13" s="182">
        <v>201.722857398364</v>
      </c>
      <c r="DC13" s="183">
        <v>200.001560468902</v>
      </c>
    </row>
    <row r="14" s="162" customFormat="1" ht="27" customHeight="1" spans="1:107">
      <c r="A14" s="192" t="s">
        <v>339</v>
      </c>
      <c r="B14" s="193">
        <v>66.7153506834321</v>
      </c>
      <c r="C14" s="194">
        <v>65.2684541340677</v>
      </c>
      <c r="D14" s="194">
        <v>66.4683157668272</v>
      </c>
      <c r="E14" s="194">
        <v>76.1668739658388</v>
      </c>
      <c r="F14" s="194">
        <v>76.1668739658388</v>
      </c>
      <c r="G14" s="194">
        <v>80.743281309027</v>
      </c>
      <c r="H14" s="194">
        <v>84.8408944247821</v>
      </c>
      <c r="I14" s="194">
        <v>90.7703839170245</v>
      </c>
      <c r="J14" s="194">
        <v>113.810903768119</v>
      </c>
      <c r="K14" s="194">
        <v>113.810903768119</v>
      </c>
      <c r="L14" s="194">
        <v>123.755060238158</v>
      </c>
      <c r="M14" s="194">
        <v>141.519116310511</v>
      </c>
      <c r="N14" s="194">
        <v>130.683229684024</v>
      </c>
      <c r="O14" s="194">
        <v>120.646698570815</v>
      </c>
      <c r="P14" s="194">
        <v>120.646698570815</v>
      </c>
      <c r="Q14" s="194">
        <v>108.056729679291</v>
      </c>
      <c r="R14" s="194">
        <v>95.2804340866975</v>
      </c>
      <c r="S14" s="194">
        <v>89.521487507849</v>
      </c>
      <c r="T14" s="194">
        <v>95.0074977115703</v>
      </c>
      <c r="U14" s="194">
        <v>95.0074977115703</v>
      </c>
      <c r="V14" s="194">
        <v>101.688211583737</v>
      </c>
      <c r="W14" s="194">
        <v>120.779716355273</v>
      </c>
      <c r="X14" s="194">
        <v>131.146263748563</v>
      </c>
      <c r="Y14" s="194">
        <v>121.573830081535</v>
      </c>
      <c r="Z14" s="194">
        <v>121.573830081535</v>
      </c>
      <c r="AA14" s="194">
        <v>102.734621814267</v>
      </c>
      <c r="AB14" s="194">
        <v>95.307386209446</v>
      </c>
      <c r="AC14" s="194">
        <v>86.1292750810888</v>
      </c>
      <c r="AD14" s="194">
        <v>98.7200650866708</v>
      </c>
      <c r="AE14" s="194">
        <v>98.7200650866708</v>
      </c>
      <c r="AF14" s="194">
        <v>87.4265675016398</v>
      </c>
      <c r="AG14" s="194">
        <v>79.0148913691357</v>
      </c>
      <c r="AH14" s="194">
        <v>69.4746185558756</v>
      </c>
      <c r="AI14" s="194">
        <v>67.1779706173232</v>
      </c>
      <c r="AJ14" s="194">
        <v>67.1779706173232</v>
      </c>
      <c r="AK14" s="194">
        <v>69.4633617226776</v>
      </c>
      <c r="AL14" s="194">
        <v>72.3599419460495</v>
      </c>
      <c r="AM14" s="194">
        <v>72.8218416525303</v>
      </c>
      <c r="AN14" s="194">
        <v>75.0861886773901</v>
      </c>
      <c r="AO14" s="194">
        <v>75.0861886773901</v>
      </c>
      <c r="AP14" s="194">
        <v>75.9988295495183</v>
      </c>
      <c r="AQ14" s="194">
        <v>80.5587227153247</v>
      </c>
      <c r="AR14" s="194">
        <v>81.5290635110273</v>
      </c>
      <c r="AS14" s="194">
        <v>80.9795581340062</v>
      </c>
      <c r="AT14" s="194">
        <v>80.9795581340062</v>
      </c>
      <c r="AU14" s="194">
        <v>82.2017223788408</v>
      </c>
      <c r="AV14" s="194">
        <v>87.6995617170187</v>
      </c>
      <c r="AW14" s="194">
        <v>86.1318136751179</v>
      </c>
      <c r="AX14" s="194">
        <v>101.129430978277</v>
      </c>
      <c r="AY14" s="194">
        <v>101.129430978277</v>
      </c>
      <c r="AZ14" s="194">
        <v>85.5674899360433</v>
      </c>
      <c r="BA14" s="194">
        <v>96.3465433799489</v>
      </c>
      <c r="BB14" s="194">
        <v>112.121635304488</v>
      </c>
      <c r="BC14" s="194">
        <v>118.647800222913</v>
      </c>
      <c r="BD14" s="194">
        <v>118.647800222913</v>
      </c>
      <c r="BE14" s="194">
        <v>128.075707517815</v>
      </c>
      <c r="BF14" s="194">
        <v>144.042706456571</v>
      </c>
      <c r="BG14" s="194">
        <v>145.23718251375</v>
      </c>
      <c r="BH14" s="194">
        <v>136.501482483898</v>
      </c>
      <c r="BI14" s="194">
        <v>136.501482483898</v>
      </c>
      <c r="BJ14" s="194">
        <v>129.067497302742</v>
      </c>
      <c r="BK14" s="194">
        <v>125.523051799073</v>
      </c>
      <c r="BL14" s="194">
        <v>119.989688480436</v>
      </c>
      <c r="BM14" s="194">
        <v>112.74812349352</v>
      </c>
      <c r="BN14" s="194">
        <v>112.74812349352</v>
      </c>
      <c r="BO14" s="194">
        <v>104.00271633097</v>
      </c>
      <c r="BP14" s="194">
        <v>95.0483923501477</v>
      </c>
      <c r="BQ14" s="194">
        <v>87.4658810866435</v>
      </c>
      <c r="BR14" s="194">
        <v>87.0279448897762</v>
      </c>
      <c r="BS14" s="194">
        <v>87.0279448897762</v>
      </c>
      <c r="BT14" s="194">
        <v>85.2513691141185</v>
      </c>
      <c r="BU14" s="194">
        <v>87.463308859174</v>
      </c>
      <c r="BV14" s="194">
        <v>89.8933722282647</v>
      </c>
      <c r="BW14" s="194">
        <v>87.9213559593671</v>
      </c>
      <c r="BX14" s="194">
        <v>87.9213559593671</v>
      </c>
      <c r="BY14" s="194">
        <v>84.6888057288405</v>
      </c>
      <c r="BZ14" s="194">
        <v>99.1732769533589</v>
      </c>
      <c r="CA14" s="194">
        <v>111.140408526646</v>
      </c>
      <c r="CB14" s="194">
        <v>124.691877323482</v>
      </c>
      <c r="CC14" s="194">
        <v>124.691877323482</v>
      </c>
      <c r="CD14" s="203">
        <v>123.676611833114</v>
      </c>
      <c r="CE14" s="203">
        <v>112.975616697536</v>
      </c>
      <c r="CF14" s="203">
        <v>105.352431382501</v>
      </c>
      <c r="CG14" s="203">
        <v>94.6694761473718</v>
      </c>
      <c r="CH14" s="203">
        <v>94.6694761473718</v>
      </c>
      <c r="CI14" s="203">
        <v>81.5986038824387</v>
      </c>
      <c r="CJ14" s="203">
        <v>81.8726685540852</v>
      </c>
      <c r="CK14" s="203">
        <v>73.220130841043</v>
      </c>
      <c r="CL14" s="203">
        <v>71.9071515662331</v>
      </c>
      <c r="CM14" s="203">
        <v>71.9071515662331</v>
      </c>
      <c r="CN14" s="203">
        <v>75.1122923461713</v>
      </c>
      <c r="CO14" s="203">
        <v>75.2080578420264</v>
      </c>
      <c r="CP14" s="203">
        <v>77.4240017980183</v>
      </c>
      <c r="CQ14" s="203">
        <v>77.9227110841106</v>
      </c>
      <c r="CR14" s="203">
        <v>77.9227110841106</v>
      </c>
      <c r="CS14" s="203">
        <v>78.1951168510248</v>
      </c>
      <c r="CT14" s="203">
        <v>79.594307502216</v>
      </c>
      <c r="CU14" s="203">
        <v>81.1972518410512</v>
      </c>
      <c r="CV14" s="203">
        <v>81.5757127560036</v>
      </c>
      <c r="CW14" s="203">
        <v>81.5757127560036</v>
      </c>
      <c r="CX14" s="203">
        <v>86.3879240567827</v>
      </c>
      <c r="CY14" s="203">
        <v>90.6004563189598</v>
      </c>
      <c r="CZ14" s="203">
        <v>92.4395588127202</v>
      </c>
      <c r="DA14" s="203">
        <v>101.996741332675</v>
      </c>
      <c r="DB14" s="203">
        <v>101.996741332675</v>
      </c>
      <c r="DC14" s="204">
        <v>104.389458307804</v>
      </c>
    </row>
    <row r="15" ht="27" customHeight="1" spans="1:107">
      <c r="A15" s="188" t="s">
        <v>340</v>
      </c>
      <c r="B15" s="200">
        <v>26.6312832055634</v>
      </c>
      <c r="C15" s="201">
        <v>44.1745759510719</v>
      </c>
      <c r="D15" s="201">
        <v>34.3793570547241</v>
      </c>
      <c r="E15" s="201">
        <v>65.8012603054129</v>
      </c>
      <c r="F15" s="201">
        <v>43.1420846951175</v>
      </c>
      <c r="G15" s="201">
        <v>26.1142352283255</v>
      </c>
      <c r="H15" s="201">
        <v>30.4456126598757</v>
      </c>
      <c r="I15" s="201">
        <v>42.9770581190914</v>
      </c>
      <c r="J15" s="201">
        <v>52.1572557672673</v>
      </c>
      <c r="K15" s="201">
        <v>38.2280240471973</v>
      </c>
      <c r="L15" s="201">
        <v>39.2543241765646</v>
      </c>
      <c r="M15" s="201">
        <v>54.0014188131618</v>
      </c>
      <c r="N15" s="201">
        <v>52.2611146493936</v>
      </c>
      <c r="O15" s="201">
        <v>57.4974924061206</v>
      </c>
      <c r="P15" s="201">
        <v>51.4798026505147</v>
      </c>
      <c r="Q15" s="201">
        <v>46.5121342183137</v>
      </c>
      <c r="R15" s="201">
        <v>34.985422908996</v>
      </c>
      <c r="S15" s="201">
        <v>44.147203619076</v>
      </c>
      <c r="T15" s="201">
        <v>75.8830699100551</v>
      </c>
      <c r="U15" s="201">
        <v>47.2368625676473</v>
      </c>
      <c r="V15" s="201">
        <v>147.80869332667</v>
      </c>
      <c r="W15" s="201">
        <v>65.6934613108553</v>
      </c>
      <c r="X15" s="201">
        <v>45.9526091590623</v>
      </c>
      <c r="Y15" s="201">
        <v>61.2750369745733</v>
      </c>
      <c r="Z15" s="201">
        <v>74.5197909894454</v>
      </c>
      <c r="AA15" s="201">
        <v>39.9339735185234</v>
      </c>
      <c r="AB15" s="201">
        <v>34.5902850216801</v>
      </c>
      <c r="AC15" s="201">
        <v>36.765536404579</v>
      </c>
      <c r="AD15" s="201">
        <v>39.9880741060374</v>
      </c>
      <c r="AE15" s="201">
        <v>37.8517022821388</v>
      </c>
      <c r="AF15" s="201">
        <v>24.3724668369818</v>
      </c>
      <c r="AG15" s="201">
        <v>30.3634093195936</v>
      </c>
      <c r="AH15" s="201">
        <v>34.2657534315531</v>
      </c>
      <c r="AI15" s="201">
        <v>38.4435242038116</v>
      </c>
      <c r="AJ15" s="201">
        <v>31.6092559184952</v>
      </c>
      <c r="AK15" s="201">
        <v>22.6027901351071</v>
      </c>
      <c r="AL15" s="201">
        <v>34.8760230912178</v>
      </c>
      <c r="AM15" s="201">
        <v>28.9244106674267</v>
      </c>
      <c r="AN15" s="201">
        <v>51.8881440106443</v>
      </c>
      <c r="AO15" s="201">
        <v>34.5152839645974</v>
      </c>
      <c r="AP15" s="201">
        <v>32.295101999425</v>
      </c>
      <c r="AQ15" s="201">
        <v>34.2595512846546</v>
      </c>
      <c r="AR15" s="201">
        <v>36.2474071172926</v>
      </c>
      <c r="AS15" s="201">
        <v>33.0143100800579</v>
      </c>
      <c r="AT15" s="201">
        <v>33.934860929769</v>
      </c>
      <c r="AU15" s="201">
        <v>31.2021695746828</v>
      </c>
      <c r="AV15" s="201">
        <v>32.5197123437227</v>
      </c>
      <c r="AW15" s="201">
        <v>38.3459739525702</v>
      </c>
      <c r="AX15" s="201">
        <v>69.3800772219464</v>
      </c>
      <c r="AY15" s="201">
        <v>41.0986892461872</v>
      </c>
      <c r="AZ15" s="201">
        <v>78.9480227072797</v>
      </c>
      <c r="BA15" s="201">
        <v>65.699598810733</v>
      </c>
      <c r="BB15" s="201">
        <v>68.2770895329986</v>
      </c>
      <c r="BC15" s="201">
        <v>109.537748731858</v>
      </c>
      <c r="BD15" s="201">
        <v>79.8790993714702</v>
      </c>
      <c r="BE15" s="201">
        <v>70.9093245175819</v>
      </c>
      <c r="BF15" s="201">
        <v>78.6034487525165</v>
      </c>
      <c r="BG15" s="201">
        <v>69.7838525669024</v>
      </c>
      <c r="BH15" s="201">
        <v>71.786111155467</v>
      </c>
      <c r="BI15" s="201">
        <v>72.7810342034974</v>
      </c>
      <c r="BJ15" s="201">
        <v>57.1889237131656</v>
      </c>
      <c r="BK15" s="201">
        <v>62.0219060200433</v>
      </c>
      <c r="BL15" s="201">
        <v>64.6310556223138</v>
      </c>
      <c r="BM15" s="201">
        <v>78.455502974779</v>
      </c>
      <c r="BN15" s="201">
        <v>66.2813054867915</v>
      </c>
      <c r="BO15" s="201">
        <v>61.0001620582379</v>
      </c>
      <c r="BP15" s="201">
        <v>82.1408965264898</v>
      </c>
      <c r="BQ15" s="201">
        <v>68.5204494245855</v>
      </c>
      <c r="BR15" s="201">
        <v>93.6824258259634</v>
      </c>
      <c r="BS15" s="201">
        <v>76.098285132742</v>
      </c>
      <c r="BT15" s="201">
        <v>54.4238121308041</v>
      </c>
      <c r="BU15" s="201">
        <v>52.9122049397873</v>
      </c>
      <c r="BV15" s="201">
        <v>56.9215616701078</v>
      </c>
      <c r="BW15" s="201">
        <v>55.6597715451859</v>
      </c>
      <c r="BX15" s="201">
        <v>54.997763203981</v>
      </c>
      <c r="BY15" s="201">
        <v>48.6665774998601</v>
      </c>
      <c r="BZ15" s="201">
        <v>75.0229415839371</v>
      </c>
      <c r="CA15" s="201">
        <v>104.20161698421</v>
      </c>
      <c r="CB15" s="202">
        <v>53.9251899015516</v>
      </c>
      <c r="CC15" s="202">
        <v>69.1751693288942</v>
      </c>
      <c r="CD15" s="182">
        <v>45.397184147014</v>
      </c>
      <c r="CE15" s="182">
        <v>47.4067711159338</v>
      </c>
      <c r="CF15" s="182">
        <v>43.5793609255684</v>
      </c>
      <c r="CG15" s="182">
        <v>42.4102646050381</v>
      </c>
      <c r="CH15" s="182">
        <v>44.579082005774</v>
      </c>
      <c r="CI15" s="182">
        <v>34.6678755014719</v>
      </c>
      <c r="CJ15" s="182">
        <v>45.7739940092729</v>
      </c>
      <c r="CK15" s="182">
        <v>46.1025960491853</v>
      </c>
      <c r="CL15" s="182">
        <v>53.8312700299782</v>
      </c>
      <c r="CM15" s="182">
        <v>45.1069676486307</v>
      </c>
      <c r="CN15" s="182">
        <v>51.5807320876159</v>
      </c>
      <c r="CO15" s="182">
        <v>57.5223565212304</v>
      </c>
      <c r="CP15" s="182">
        <v>49.2968777775115</v>
      </c>
      <c r="CQ15" s="182">
        <v>56.6821664973825</v>
      </c>
      <c r="CR15" s="182">
        <v>53.7909918357785</v>
      </c>
      <c r="CS15" s="182">
        <v>58.1012769474064</v>
      </c>
      <c r="CT15" s="182">
        <v>51.5252675855155</v>
      </c>
      <c r="CU15" s="182">
        <v>54.732391011934</v>
      </c>
      <c r="CV15" s="182">
        <v>61.5664850933232</v>
      </c>
      <c r="CW15" s="182">
        <v>56.3752566191256</v>
      </c>
      <c r="CX15" s="182">
        <v>57.846875479583</v>
      </c>
      <c r="CY15" s="182">
        <v>64.7109684550628</v>
      </c>
      <c r="CZ15" s="182">
        <v>68.5216406385218</v>
      </c>
      <c r="DA15" s="182">
        <v>72.4956549663192</v>
      </c>
      <c r="DB15" s="182">
        <v>66.0606524024837</v>
      </c>
      <c r="DC15" s="183">
        <v>69.3792269327893</v>
      </c>
    </row>
    <row r="16" s="162" customFormat="1" ht="27.75" customHeight="1" spans="1:107">
      <c r="A16" s="192" t="s">
        <v>341</v>
      </c>
      <c r="B16" s="193">
        <v>15.0056649966806</v>
      </c>
      <c r="C16" s="194">
        <v>18.1631385280823</v>
      </c>
      <c r="D16" s="194">
        <v>19.6882596490217</v>
      </c>
      <c r="E16" s="194">
        <v>49.6367581191114</v>
      </c>
      <c r="F16" s="194">
        <v>25.9347678388636</v>
      </c>
      <c r="G16" s="194">
        <v>15.2103867130445</v>
      </c>
      <c r="H16" s="194">
        <v>16.5433866226193</v>
      </c>
      <c r="I16" s="194">
        <v>27.9838226305676</v>
      </c>
      <c r="J16" s="194">
        <v>35.6412602853964</v>
      </c>
      <c r="K16" s="194">
        <v>24.0442524921587</v>
      </c>
      <c r="L16" s="194">
        <v>25.7223543897896</v>
      </c>
      <c r="M16" s="194">
        <v>34.4883622022728</v>
      </c>
      <c r="N16" s="194">
        <v>41.5989201057294</v>
      </c>
      <c r="O16" s="194">
        <v>41.9690362335485</v>
      </c>
      <c r="P16" s="194">
        <v>36.6749144909237</v>
      </c>
      <c r="Q16" s="194">
        <v>34.242339608991</v>
      </c>
      <c r="R16" s="194">
        <v>22.8018293357219</v>
      </c>
      <c r="S16" s="194">
        <v>35.4894234729085</v>
      </c>
      <c r="T16" s="194">
        <v>57.6409642066223</v>
      </c>
      <c r="U16" s="194">
        <v>34.9137464303628</v>
      </c>
      <c r="V16" s="194">
        <v>131.402289476739</v>
      </c>
      <c r="W16" s="194">
        <v>48.2288394239782</v>
      </c>
      <c r="X16" s="194">
        <v>34.33102356916</v>
      </c>
      <c r="Y16" s="194">
        <v>45.0853588875644</v>
      </c>
      <c r="Z16" s="194">
        <v>59.2544624374815</v>
      </c>
      <c r="AA16" s="194">
        <v>24.6288345564061</v>
      </c>
      <c r="AB16" s="194">
        <v>22.2713272619801</v>
      </c>
      <c r="AC16" s="194">
        <v>22.9401208740042</v>
      </c>
      <c r="AD16" s="194">
        <v>23.173037233974</v>
      </c>
      <c r="AE16" s="194">
        <v>23.2414480751505</v>
      </c>
      <c r="AF16" s="194">
        <v>16.2974901346549</v>
      </c>
      <c r="AG16" s="194">
        <v>17.3887101801078</v>
      </c>
      <c r="AH16" s="194">
        <v>18.0896864651207</v>
      </c>
      <c r="AI16" s="194">
        <v>20.2889454885697</v>
      </c>
      <c r="AJ16" s="194">
        <v>17.9609503524157</v>
      </c>
      <c r="AK16" s="194">
        <v>13.0577161815315</v>
      </c>
      <c r="AL16" s="194">
        <v>19.55976597915</v>
      </c>
      <c r="AM16" s="194">
        <v>17.9683810233845</v>
      </c>
      <c r="AN16" s="194">
        <v>31.0648583863003</v>
      </c>
      <c r="AO16" s="194">
        <v>20.3786445551775</v>
      </c>
      <c r="AP16" s="194">
        <v>20.6156130530192</v>
      </c>
      <c r="AQ16" s="194">
        <v>21.0678413695921</v>
      </c>
      <c r="AR16" s="194">
        <v>22.6928837250868</v>
      </c>
      <c r="AS16" s="194">
        <v>18.0329104892577</v>
      </c>
      <c r="AT16" s="194">
        <v>20.5346167361456</v>
      </c>
      <c r="AU16" s="194">
        <v>19.825097686255</v>
      </c>
      <c r="AV16" s="194">
        <v>18.9665700832202</v>
      </c>
      <c r="AW16" s="194">
        <v>21.1595021404722</v>
      </c>
      <c r="AX16" s="194">
        <v>35.4463595211117</v>
      </c>
      <c r="AY16" s="194">
        <v>23.094128068068</v>
      </c>
      <c r="AZ16" s="194">
        <v>53.1829041960374</v>
      </c>
      <c r="BA16" s="194">
        <v>39.7116611706186</v>
      </c>
      <c r="BB16" s="194">
        <v>35.9473874497421</v>
      </c>
      <c r="BC16" s="194">
        <v>79.0858434049809</v>
      </c>
      <c r="BD16" s="194">
        <v>51.4594527719838</v>
      </c>
      <c r="BE16" s="194">
        <v>33.5618540825653</v>
      </c>
      <c r="BF16" s="194">
        <v>31.4908565976936</v>
      </c>
      <c r="BG16" s="194">
        <v>35.133547206304</v>
      </c>
      <c r="BH16" s="194">
        <v>32.6847609981031</v>
      </c>
      <c r="BI16" s="194">
        <v>33.1957831987165</v>
      </c>
      <c r="BJ16" s="194">
        <v>21.3912895793342</v>
      </c>
      <c r="BK16" s="194">
        <v>27.6287776654811</v>
      </c>
      <c r="BL16" s="194">
        <v>17.7441347269249</v>
      </c>
      <c r="BM16" s="194">
        <v>32.8364845283646</v>
      </c>
      <c r="BN16" s="194">
        <v>25.2059051024715</v>
      </c>
      <c r="BO16" s="194">
        <v>23.6373291582992</v>
      </c>
      <c r="BP16" s="194">
        <v>44.5926572626151</v>
      </c>
      <c r="BQ16" s="194">
        <v>31.8727544011716</v>
      </c>
      <c r="BR16" s="194">
        <v>45.8196803530205</v>
      </c>
      <c r="BS16" s="194">
        <v>36.4251091172124</v>
      </c>
      <c r="BT16" s="194">
        <v>32.1793221992602</v>
      </c>
      <c r="BU16" s="194">
        <v>33.373383194733</v>
      </c>
      <c r="BV16" s="194">
        <v>35.6256459079677</v>
      </c>
      <c r="BW16" s="194">
        <v>30.3514092219047</v>
      </c>
      <c r="BX16" s="194">
        <v>32.8828288181559</v>
      </c>
      <c r="BY16" s="194">
        <v>21.9323431956448</v>
      </c>
      <c r="BZ16" s="194">
        <v>40.314025844464</v>
      </c>
      <c r="CA16" s="194">
        <v>31.2707729256121</v>
      </c>
      <c r="CB16" s="194">
        <v>27.8315994282354</v>
      </c>
      <c r="CC16" s="194">
        <v>29.6481995700539</v>
      </c>
      <c r="CD16" s="203">
        <v>17.3182301772254</v>
      </c>
      <c r="CE16" s="203">
        <v>18.399901640383</v>
      </c>
      <c r="CF16" s="203">
        <v>10.8080501149329</v>
      </c>
      <c r="CG16" s="203">
        <v>18.5752293241571</v>
      </c>
      <c r="CH16" s="203">
        <v>16.3404664941064</v>
      </c>
      <c r="CI16" s="203">
        <v>11.894118706177</v>
      </c>
      <c r="CJ16" s="203">
        <v>18.7657315114508</v>
      </c>
      <c r="CK16" s="203">
        <v>26.4320338587208</v>
      </c>
      <c r="CL16" s="203">
        <v>31.8786163282981</v>
      </c>
      <c r="CM16" s="203">
        <v>22.2860375705728</v>
      </c>
      <c r="CN16" s="203">
        <v>28.20266655537</v>
      </c>
      <c r="CO16" s="203">
        <v>37.9260161108674</v>
      </c>
      <c r="CP16" s="203">
        <v>31.0778188863001</v>
      </c>
      <c r="CQ16" s="203">
        <v>36.9919257376697</v>
      </c>
      <c r="CR16" s="203">
        <v>33.6301148406775</v>
      </c>
      <c r="CS16" s="203">
        <v>39.8834201856783</v>
      </c>
      <c r="CT16" s="203">
        <v>33.1786711507566</v>
      </c>
      <c r="CU16" s="203">
        <v>32.057206755628</v>
      </c>
      <c r="CV16" s="203">
        <v>39.7242527351274</v>
      </c>
      <c r="CW16" s="203">
        <v>36.1024549741128</v>
      </c>
      <c r="CX16" s="203">
        <v>38.6449360373253</v>
      </c>
      <c r="CY16" s="203">
        <v>39.2729226121614</v>
      </c>
      <c r="CZ16" s="203">
        <v>35.3053801594258</v>
      </c>
      <c r="DA16" s="203">
        <v>47.6174119180817</v>
      </c>
      <c r="DB16" s="203">
        <v>40.1798979538526</v>
      </c>
      <c r="DC16" s="204">
        <v>35.5618756485576</v>
      </c>
    </row>
    <row r="17" ht="27" customHeight="1" spans="1:107">
      <c r="A17" s="188" t="s">
        <v>342</v>
      </c>
      <c r="B17" s="200">
        <v>5.508480083302</v>
      </c>
      <c r="C17" s="201">
        <v>5.83354979852673</v>
      </c>
      <c r="D17" s="201">
        <v>6.11662322703006</v>
      </c>
      <c r="E17" s="201">
        <v>7.40533724918876</v>
      </c>
      <c r="F17" s="201">
        <v>6.23435811811748</v>
      </c>
      <c r="G17" s="201">
        <v>7.03853933378954</v>
      </c>
      <c r="H17" s="201">
        <v>6.81267313703035</v>
      </c>
      <c r="I17" s="201">
        <v>8.77342671000132</v>
      </c>
      <c r="J17" s="201">
        <v>9.89904212854501</v>
      </c>
      <c r="K17" s="201">
        <v>8.15074820086447</v>
      </c>
      <c r="L17" s="201">
        <v>10.7557729462963</v>
      </c>
      <c r="M17" s="201">
        <v>10.2886133296971</v>
      </c>
      <c r="N17" s="201">
        <v>10.3556379153206</v>
      </c>
      <c r="O17" s="201">
        <v>9.5001777205612</v>
      </c>
      <c r="P17" s="201">
        <v>10.1712626295008</v>
      </c>
      <c r="Q17" s="201">
        <v>8.1904706421126</v>
      </c>
      <c r="R17" s="201">
        <v>6.75556777739864</v>
      </c>
      <c r="S17" s="201">
        <v>8.23053818880005</v>
      </c>
      <c r="T17" s="201">
        <v>13.6110324525454</v>
      </c>
      <c r="U17" s="201">
        <v>8.6615850093212</v>
      </c>
      <c r="V17" s="201">
        <v>14.4882769889625</v>
      </c>
      <c r="W17" s="201">
        <v>10.2049794766148</v>
      </c>
      <c r="X17" s="201">
        <v>8.8315822644096</v>
      </c>
      <c r="Y17" s="201">
        <v>8.46411720708243</v>
      </c>
      <c r="Z17" s="201">
        <v>10.1340818158407</v>
      </c>
      <c r="AA17" s="201">
        <v>7.2724267248949</v>
      </c>
      <c r="AB17" s="201">
        <v>7.13726782898621</v>
      </c>
      <c r="AC17" s="201">
        <v>7.13972499089391</v>
      </c>
      <c r="AD17" s="201">
        <v>6.69585569720573</v>
      </c>
      <c r="AE17" s="201">
        <v>7.05165862898863</v>
      </c>
      <c r="AF17" s="201">
        <v>4.6344882233937</v>
      </c>
      <c r="AG17" s="201">
        <v>4.99687889969343</v>
      </c>
      <c r="AH17" s="201">
        <v>5.36518292911284</v>
      </c>
      <c r="AI17" s="201">
        <v>5.28847305312643</v>
      </c>
      <c r="AJ17" s="201">
        <v>5.05538285506459</v>
      </c>
      <c r="AK17" s="201">
        <v>5.13871677764301</v>
      </c>
      <c r="AL17" s="201">
        <v>5.44209561340023</v>
      </c>
      <c r="AM17" s="201">
        <v>5.91437396346304</v>
      </c>
      <c r="AN17" s="201">
        <v>5.60053635620334</v>
      </c>
      <c r="AO17" s="201">
        <v>5.51799581270841</v>
      </c>
      <c r="AP17" s="201">
        <v>5.30642285311459</v>
      </c>
      <c r="AQ17" s="201">
        <v>5.65325329300629</v>
      </c>
      <c r="AR17" s="201">
        <v>5.34230130150483</v>
      </c>
      <c r="AS17" s="201">
        <v>4.94575406002058</v>
      </c>
      <c r="AT17" s="201">
        <v>5.29962699709612</v>
      </c>
      <c r="AU17" s="201">
        <v>5.96608784628709</v>
      </c>
      <c r="AV17" s="201">
        <v>6.05135147161205</v>
      </c>
      <c r="AW17" s="201">
        <v>6.4584331756527</v>
      </c>
      <c r="AX17" s="201">
        <v>8.23558754216852</v>
      </c>
      <c r="AY17" s="201">
        <v>6.57327747150473</v>
      </c>
      <c r="AZ17" s="201">
        <v>10.0037024643315</v>
      </c>
      <c r="BA17" s="201">
        <v>10.0668648239343</v>
      </c>
      <c r="BB17" s="201">
        <v>12.5546547690161</v>
      </c>
      <c r="BC17" s="201">
        <v>11.7788346360117</v>
      </c>
      <c r="BD17" s="201">
        <v>11.018461146721</v>
      </c>
      <c r="BE17" s="201">
        <v>14.2456200468346</v>
      </c>
      <c r="BF17" s="201">
        <v>12.7387177605704</v>
      </c>
      <c r="BG17" s="201">
        <v>13.5823914747391</v>
      </c>
      <c r="BH17" s="201">
        <v>12.0722859113901</v>
      </c>
      <c r="BI17" s="201">
        <v>13.0836155291969</v>
      </c>
      <c r="BJ17" s="201">
        <v>12.2499841688368</v>
      </c>
      <c r="BK17" s="201">
        <v>12.3501471795502</v>
      </c>
      <c r="BL17" s="201">
        <v>11.5979183204888</v>
      </c>
      <c r="BM17" s="201">
        <v>10.4164142644439</v>
      </c>
      <c r="BN17" s="201">
        <v>11.5854691906574</v>
      </c>
      <c r="BO17" s="201">
        <v>11.1962625640194</v>
      </c>
      <c r="BP17" s="201">
        <v>10.8501899714403</v>
      </c>
      <c r="BQ17" s="201">
        <v>11.3472208345011</v>
      </c>
      <c r="BR17" s="201">
        <v>12.0626905632665</v>
      </c>
      <c r="BS17" s="201">
        <v>11.3458470336665</v>
      </c>
      <c r="BT17" s="201">
        <v>11.8598905575954</v>
      </c>
      <c r="BU17" s="201">
        <v>11.4213082043026</v>
      </c>
      <c r="BV17" s="201">
        <v>10.674812422673</v>
      </c>
      <c r="BW17" s="201">
        <v>10.2128963926056</v>
      </c>
      <c r="BX17" s="201">
        <v>11.0335774443808</v>
      </c>
      <c r="BY17" s="201">
        <v>12.6236983477011</v>
      </c>
      <c r="BZ17" s="201">
        <v>15.2986821733256</v>
      </c>
      <c r="CA17" s="201">
        <v>11.9948314038823</v>
      </c>
      <c r="CB17" s="202">
        <v>9.85991527423125</v>
      </c>
      <c r="CC17" s="202">
        <v>12.2751883946824</v>
      </c>
      <c r="CD17" s="182">
        <v>9.07060789437909</v>
      </c>
      <c r="CE17" s="182">
        <v>8.07528884814969</v>
      </c>
      <c r="CF17" s="182">
        <v>7.58830651263701</v>
      </c>
      <c r="CG17" s="182">
        <v>6.54270423816993</v>
      </c>
      <c r="CH17" s="182">
        <v>7.71515994936777</v>
      </c>
      <c r="CI17" s="182">
        <v>5.32006234822294</v>
      </c>
      <c r="CJ17" s="182">
        <v>6.29553803067411</v>
      </c>
      <c r="CK17" s="182">
        <v>6.94389456200059</v>
      </c>
      <c r="CL17" s="182">
        <v>8.41410573180633</v>
      </c>
      <c r="CM17" s="182">
        <v>6.74858900093496</v>
      </c>
      <c r="CN17" s="182">
        <v>10.0480390572896</v>
      </c>
      <c r="CO17" s="182">
        <v>10.0129635768807</v>
      </c>
      <c r="CP17" s="182">
        <v>9.79606753459529</v>
      </c>
      <c r="CQ17" s="182">
        <v>10.3055474230402</v>
      </c>
      <c r="CR17" s="182">
        <v>10.0413306007915</v>
      </c>
      <c r="CS17" s="182">
        <v>11.2692123808322</v>
      </c>
      <c r="CT17" s="182">
        <v>9.91963856220026</v>
      </c>
      <c r="CU17" s="182">
        <v>10.5029898582666</v>
      </c>
      <c r="CV17" s="182">
        <v>10.4838141150381</v>
      </c>
      <c r="CW17" s="182">
        <v>10.5285290384023</v>
      </c>
      <c r="CX17" s="182">
        <v>10.6358124934395</v>
      </c>
      <c r="CY17" s="182">
        <v>10.0224730840413</v>
      </c>
      <c r="CZ17" s="182">
        <v>9.77991069149772</v>
      </c>
      <c r="DA17" s="182">
        <v>10.5048919674386</v>
      </c>
      <c r="DB17" s="182">
        <v>10.2236307505653</v>
      </c>
      <c r="DC17" s="183">
        <v>10.4127814373182</v>
      </c>
    </row>
    <row r="18" s="163" customFormat="1" ht="27" customHeight="1" spans="1:107">
      <c r="A18" s="205" t="s">
        <v>343</v>
      </c>
      <c r="B18" s="206"/>
      <c r="C18" s="207"/>
      <c r="D18" s="207"/>
      <c r="E18" s="207"/>
      <c r="F18" s="207"/>
      <c r="G18" s="207"/>
      <c r="H18" s="207"/>
      <c r="I18" s="207"/>
      <c r="J18" s="207"/>
      <c r="K18" s="207"/>
      <c r="L18" s="207"/>
      <c r="M18" s="207"/>
      <c r="N18" s="207"/>
      <c r="O18" s="207"/>
      <c r="P18" s="207"/>
      <c r="Q18" s="207"/>
      <c r="R18" s="207"/>
      <c r="S18" s="207"/>
      <c r="T18" s="207"/>
      <c r="U18" s="207"/>
      <c r="V18" s="207"/>
      <c r="W18" s="207"/>
      <c r="X18" s="207"/>
      <c r="Y18" s="207"/>
      <c r="Z18" s="207"/>
      <c r="AA18" s="207">
        <v>0.202213439223624</v>
      </c>
      <c r="AB18" s="207">
        <v>1.24031598084733</v>
      </c>
      <c r="AC18" s="207">
        <v>0.222397930895889</v>
      </c>
      <c r="AD18" s="207">
        <v>0.298999985599539</v>
      </c>
      <c r="AE18" s="207">
        <v>0.489438681222706</v>
      </c>
      <c r="AF18" s="207">
        <v>0.1572377015455</v>
      </c>
      <c r="AG18" s="207">
        <v>0.252548997953851</v>
      </c>
      <c r="AH18" s="207">
        <v>0.198770239720297</v>
      </c>
      <c r="AI18" s="207">
        <v>0.236703620466571</v>
      </c>
      <c r="AJ18" s="207">
        <v>0.20996320771722</v>
      </c>
      <c r="AK18" s="207">
        <v>0.1842237165548</v>
      </c>
      <c r="AL18" s="207">
        <v>0.241033542254206</v>
      </c>
      <c r="AM18" s="207">
        <v>0.766399334786452</v>
      </c>
      <c r="AN18" s="207">
        <v>0.257075945804271</v>
      </c>
      <c r="AO18" s="207">
        <v>0.358314287297414</v>
      </c>
      <c r="AP18" s="207">
        <v>0.741149994275994</v>
      </c>
      <c r="AQ18" s="207">
        <v>0.25112405663718</v>
      </c>
      <c r="AR18" s="207">
        <v>0.874075069497045</v>
      </c>
      <c r="AS18" s="207">
        <v>0.214390177682646</v>
      </c>
      <c r="AT18" s="207">
        <v>0.514397545990033</v>
      </c>
      <c r="AU18" s="207">
        <v>1.12233602366212</v>
      </c>
      <c r="AV18" s="207">
        <v>0.467379396409475</v>
      </c>
      <c r="AW18" s="207">
        <v>0.446347352006547</v>
      </c>
      <c r="AX18" s="207">
        <v>0.619726966768898</v>
      </c>
      <c r="AY18" s="207">
        <v>0.671910081292623</v>
      </c>
      <c r="AZ18" s="207">
        <v>0.662691400887242</v>
      </c>
      <c r="BA18" s="207">
        <v>0.819550301317486</v>
      </c>
      <c r="BB18" s="207">
        <v>0.795559586734744</v>
      </c>
      <c r="BC18" s="207">
        <v>1.58224372779035</v>
      </c>
      <c r="BD18" s="207">
        <v>0.944955594491178</v>
      </c>
      <c r="BE18" s="207">
        <v>2.21526874299316</v>
      </c>
      <c r="BF18" s="207">
        <v>1.63301501992653</v>
      </c>
      <c r="BG18" s="207">
        <v>2.73389937631343</v>
      </c>
      <c r="BH18" s="207">
        <v>1.49050424504392</v>
      </c>
      <c r="BI18" s="207">
        <v>1.99513418447565</v>
      </c>
      <c r="BJ18" s="207">
        <v>1.95502783670239</v>
      </c>
      <c r="BK18" s="207">
        <v>2.1564046575449</v>
      </c>
      <c r="BL18" s="207">
        <v>1.99778402453331</v>
      </c>
      <c r="BM18" s="207">
        <v>1.53024495575351</v>
      </c>
      <c r="BN18" s="207">
        <v>1.89222613207647</v>
      </c>
      <c r="BO18" s="207">
        <v>1.66268704725821</v>
      </c>
      <c r="BP18" s="207">
        <v>1.18874185884439</v>
      </c>
      <c r="BQ18" s="207">
        <v>1.90004985822829</v>
      </c>
      <c r="BR18" s="207">
        <v>2.19625395698512</v>
      </c>
      <c r="BS18" s="207">
        <v>1.72333355264671</v>
      </c>
      <c r="BT18" s="207">
        <v>3.43171884440578</v>
      </c>
      <c r="BU18" s="207">
        <v>1.71509184955511</v>
      </c>
      <c r="BV18" s="207">
        <v>5.76127384979861</v>
      </c>
      <c r="BW18" s="207">
        <v>1.36140609845909</v>
      </c>
      <c r="BX18" s="207">
        <v>3.07344560344325</v>
      </c>
      <c r="BY18" s="207">
        <v>4.26836375377785</v>
      </c>
      <c r="BZ18" s="207">
        <v>1.89227688130457</v>
      </c>
      <c r="CA18" s="207">
        <v>4.79020694973013</v>
      </c>
      <c r="CB18" s="208">
        <v>2.34162016215984</v>
      </c>
      <c r="CC18" s="208">
        <v>3.37763976738498</v>
      </c>
      <c r="CD18" s="194">
        <v>1.93375327392951</v>
      </c>
      <c r="CE18" s="194">
        <v>0.934080550147194</v>
      </c>
      <c r="CF18" s="194">
        <v>1.74200968686982</v>
      </c>
      <c r="CG18" s="194">
        <v>1.02848345327599</v>
      </c>
      <c r="CH18" s="194">
        <v>1.37100578186303</v>
      </c>
      <c r="CI18" s="194">
        <v>1.24324940690548</v>
      </c>
      <c r="CJ18" s="194">
        <v>0.893223366465496</v>
      </c>
      <c r="CK18" s="194">
        <v>1.73626346301325</v>
      </c>
      <c r="CL18" s="194">
        <v>1.02972030023316</v>
      </c>
      <c r="CM18" s="194">
        <v>1.22843294666035</v>
      </c>
      <c r="CN18" s="194">
        <v>1.85576612748078</v>
      </c>
      <c r="CO18" s="194">
        <v>1.23405374637571</v>
      </c>
      <c r="CP18" s="194">
        <v>3.46236908094755</v>
      </c>
      <c r="CQ18" s="194">
        <v>3.94567240794345</v>
      </c>
      <c r="CR18" s="194">
        <v>2.65432064082104</v>
      </c>
      <c r="CS18" s="194">
        <v>2.70566835252917</v>
      </c>
      <c r="CT18" s="194">
        <v>1.45599619575207</v>
      </c>
      <c r="CU18" s="194">
        <v>2.71786405955463</v>
      </c>
      <c r="CV18" s="194">
        <v>1.71729518984409</v>
      </c>
      <c r="CW18" s="194">
        <v>2.13887321268167</v>
      </c>
      <c r="CX18" s="194">
        <v>2.90230000578904</v>
      </c>
      <c r="CY18" s="194">
        <v>1.49398197689263</v>
      </c>
      <c r="CZ18" s="194">
        <v>2.13290951599769</v>
      </c>
      <c r="DA18" s="194">
        <v>2.08795925428876</v>
      </c>
      <c r="DB18" s="194">
        <v>2.14108162544931</v>
      </c>
      <c r="DC18" s="195">
        <v>2.12383944544653</v>
      </c>
    </row>
    <row r="19" s="162" customFormat="1" ht="31.5" customHeight="1" spans="1:107">
      <c r="A19" s="196" t="s">
        <v>344</v>
      </c>
      <c r="B19" s="181">
        <v>220.726952327926</v>
      </c>
      <c r="C19" s="182">
        <v>172.96676048772</v>
      </c>
      <c r="D19" s="182">
        <v>148.200955408031</v>
      </c>
      <c r="E19" s="182">
        <v>87.2541259842792</v>
      </c>
      <c r="F19" s="182">
        <v>87.2541259842792</v>
      </c>
      <c r="G19" s="182">
        <v>130.369531618548</v>
      </c>
      <c r="H19" s="182">
        <v>140.324386746331</v>
      </c>
      <c r="I19" s="182">
        <v>158.484432287204</v>
      </c>
      <c r="J19" s="182">
        <v>153.689912267183</v>
      </c>
      <c r="K19" s="182">
        <v>153.689912267183</v>
      </c>
      <c r="L19" s="182">
        <v>190.789116996487</v>
      </c>
      <c r="M19" s="182">
        <v>150.291668035305</v>
      </c>
      <c r="N19" s="182">
        <v>173.303533702023</v>
      </c>
      <c r="O19" s="182">
        <v>152.903407828725</v>
      </c>
      <c r="P19" s="182">
        <v>152.903407828725</v>
      </c>
      <c r="Q19" s="182">
        <v>167.754532567902</v>
      </c>
      <c r="R19" s="182">
        <v>203.288108439727</v>
      </c>
      <c r="S19" s="182">
        <v>212.728931211899</v>
      </c>
      <c r="T19" s="182">
        <v>209.223617003138</v>
      </c>
      <c r="U19" s="182">
        <v>209.223617003138</v>
      </c>
      <c r="V19" s="182">
        <v>246.632159716502</v>
      </c>
      <c r="W19" s="182">
        <v>227.005147831871</v>
      </c>
      <c r="X19" s="182">
        <v>266.893326153471</v>
      </c>
      <c r="Y19" s="182">
        <v>330.338698764353</v>
      </c>
      <c r="Z19" s="182">
        <v>330.338698764353</v>
      </c>
      <c r="AA19" s="182">
        <v>358.775861202546</v>
      </c>
      <c r="AB19" s="182">
        <v>382.626904209372</v>
      </c>
      <c r="AC19" s="182">
        <v>392.672765367971</v>
      </c>
      <c r="AD19" s="182">
        <v>318.637506479306</v>
      </c>
      <c r="AE19" s="182">
        <v>318.637506479306</v>
      </c>
      <c r="AF19" s="182">
        <v>319.709754396168</v>
      </c>
      <c r="AG19" s="182">
        <v>359.831404114714</v>
      </c>
      <c r="AH19" s="182">
        <v>422.154106656839</v>
      </c>
      <c r="AI19" s="182">
        <v>372.425988744379</v>
      </c>
      <c r="AJ19" s="182">
        <v>372.425988744379</v>
      </c>
      <c r="AK19" s="182">
        <v>428.614949424601</v>
      </c>
      <c r="AL19" s="182">
        <v>400.203929831684</v>
      </c>
      <c r="AM19" s="182">
        <v>379.857399686844</v>
      </c>
      <c r="AN19" s="182">
        <v>311.113441674644</v>
      </c>
      <c r="AO19" s="182">
        <v>311.113441674644</v>
      </c>
      <c r="AP19" s="182">
        <v>337.75648724681</v>
      </c>
      <c r="AQ19" s="182">
        <v>312.223574398785</v>
      </c>
      <c r="AR19" s="182">
        <v>264.03500986855</v>
      </c>
      <c r="AS19" s="182">
        <v>261.03704147705</v>
      </c>
      <c r="AT19" s="182">
        <v>261.03704147705</v>
      </c>
      <c r="AU19" s="182">
        <v>285.784759087503</v>
      </c>
      <c r="AV19" s="182">
        <v>268.568377178229</v>
      </c>
      <c r="AW19" s="182">
        <v>300.156573379717</v>
      </c>
      <c r="AX19" s="182">
        <v>300.692169095082</v>
      </c>
      <c r="AY19" s="182">
        <v>300.692169095082</v>
      </c>
      <c r="AZ19" s="182">
        <v>359.932763215974</v>
      </c>
      <c r="BA19" s="182">
        <v>369.91509259128</v>
      </c>
      <c r="BB19" s="182">
        <v>435.706085804179</v>
      </c>
      <c r="BC19" s="182">
        <v>445.204364205015</v>
      </c>
      <c r="BD19" s="182">
        <v>445.204364205015</v>
      </c>
      <c r="BE19" s="182">
        <v>455.169835250086</v>
      </c>
      <c r="BF19" s="182">
        <v>480.136989626099</v>
      </c>
      <c r="BG19" s="182">
        <v>463.843245840641</v>
      </c>
      <c r="BH19" s="182">
        <v>452.88037857663</v>
      </c>
      <c r="BI19" s="182">
        <v>452.88037857663</v>
      </c>
      <c r="BJ19" s="182">
        <v>421.734269225318</v>
      </c>
      <c r="BK19" s="182">
        <v>417.183085323529</v>
      </c>
      <c r="BL19" s="182">
        <v>434.808271590556</v>
      </c>
      <c r="BM19" s="182">
        <v>413.885651402706</v>
      </c>
      <c r="BN19" s="182">
        <v>413.885651402706</v>
      </c>
      <c r="BO19" s="182">
        <v>368.985571371163</v>
      </c>
      <c r="BP19" s="182">
        <v>372.201675052623</v>
      </c>
      <c r="BQ19" s="182">
        <v>367.498648274117</v>
      </c>
      <c r="BR19" s="182">
        <v>379.451486004252</v>
      </c>
      <c r="BS19" s="182">
        <v>379.451486004252</v>
      </c>
      <c r="BT19" s="182">
        <v>329.890520326721</v>
      </c>
      <c r="BU19" s="182">
        <v>340.411383986448</v>
      </c>
      <c r="BV19" s="182">
        <v>350.092941503231</v>
      </c>
      <c r="BW19" s="182">
        <v>329.018259574963</v>
      </c>
      <c r="BX19" s="182">
        <v>329.018259574963</v>
      </c>
      <c r="BY19" s="182">
        <v>356.772767587515</v>
      </c>
      <c r="BZ19" s="182">
        <v>369.807185557513</v>
      </c>
      <c r="CA19" s="182">
        <v>369.170524312801</v>
      </c>
      <c r="CB19" s="182">
        <v>375.888935668515</v>
      </c>
      <c r="CC19" s="182">
        <v>375.888935668515</v>
      </c>
      <c r="CD19" s="182">
        <v>305.847271916407</v>
      </c>
      <c r="CE19" s="182">
        <v>286.26318741388</v>
      </c>
      <c r="CF19" s="182">
        <v>306.605687968937</v>
      </c>
      <c r="CG19" s="182">
        <v>286.253629740566</v>
      </c>
      <c r="CH19" s="182">
        <v>286.253629740566</v>
      </c>
      <c r="CI19" s="182">
        <v>282.635996073017</v>
      </c>
      <c r="CJ19" s="182">
        <v>225.863902370353</v>
      </c>
      <c r="CK19" s="182">
        <v>210.195619486129</v>
      </c>
      <c r="CL19" s="182">
        <v>214.720223949679</v>
      </c>
      <c r="CM19" s="182">
        <v>214.720223949679</v>
      </c>
      <c r="CN19" s="182">
        <v>209.856281070232</v>
      </c>
      <c r="CO19" s="182">
        <v>200.322549094004</v>
      </c>
      <c r="CP19" s="182">
        <v>174.937557665861</v>
      </c>
      <c r="CQ19" s="182">
        <v>185.378440500211</v>
      </c>
      <c r="CR19" s="182">
        <v>185.378440500211</v>
      </c>
      <c r="CS19" s="182">
        <v>197.817551268446</v>
      </c>
      <c r="CT19" s="182">
        <v>193.530829495917</v>
      </c>
      <c r="CU19" s="182">
        <v>209.651696848711</v>
      </c>
      <c r="CV19" s="182">
        <v>235.369587434788</v>
      </c>
      <c r="CW19" s="182">
        <v>235.369587434788</v>
      </c>
      <c r="CX19" s="182">
        <v>231.627277375291</v>
      </c>
      <c r="CY19" s="182">
        <v>231.132179781578</v>
      </c>
      <c r="CZ19" s="182">
        <v>274.352003213654</v>
      </c>
      <c r="DA19" s="182">
        <v>301.611325616543</v>
      </c>
      <c r="DB19" s="182">
        <v>301.611325616543</v>
      </c>
      <c r="DC19" s="183">
        <v>283.277976461504</v>
      </c>
    </row>
    <row r="20" s="164" customFormat="1" ht="31.5" customHeight="1" spans="1:107">
      <c r="A20" s="209" t="s">
        <v>345</v>
      </c>
      <c r="B20" s="193"/>
      <c r="C20" s="194"/>
      <c r="D20" s="194"/>
      <c r="E20" s="194"/>
      <c r="F20" s="194"/>
      <c r="G20" s="194"/>
      <c r="H20" s="194"/>
      <c r="I20" s="194"/>
      <c r="J20" s="194">
        <v>77.1262084125078</v>
      </c>
      <c r="K20" s="194">
        <v>77.1262084125078</v>
      </c>
      <c r="L20" s="194">
        <v>83.0990272625824</v>
      </c>
      <c r="M20" s="194">
        <v>72.0054295658617</v>
      </c>
      <c r="N20" s="194">
        <v>59.9389120802834</v>
      </c>
      <c r="O20" s="194">
        <v>59.6782223121462</v>
      </c>
      <c r="P20" s="194">
        <v>59.6782223121462</v>
      </c>
      <c r="Q20" s="194">
        <v>62.687093931943</v>
      </c>
      <c r="R20" s="194">
        <v>72.2248476666217</v>
      </c>
      <c r="S20" s="194">
        <v>72.8014433833319</v>
      </c>
      <c r="T20" s="194">
        <v>65.7904656170614</v>
      </c>
      <c r="U20" s="194">
        <v>65.7904656170614</v>
      </c>
      <c r="V20" s="194">
        <v>71.4532949892176</v>
      </c>
      <c r="W20" s="194">
        <v>65.0560855545282</v>
      </c>
      <c r="X20" s="194">
        <v>74.0277961086922</v>
      </c>
      <c r="Y20" s="194">
        <v>109.352219245348</v>
      </c>
      <c r="Z20" s="194">
        <v>109.352219245348</v>
      </c>
      <c r="AA20" s="194">
        <v>131.758416583061</v>
      </c>
      <c r="AB20" s="194">
        <v>116.544006688956</v>
      </c>
      <c r="AC20" s="194">
        <v>147.330792479647</v>
      </c>
      <c r="AD20" s="194">
        <v>116.500773239735</v>
      </c>
      <c r="AE20" s="194">
        <v>116.500773239735</v>
      </c>
      <c r="AF20" s="194">
        <v>127.02862974194</v>
      </c>
      <c r="AG20" s="194">
        <v>129.29254397933</v>
      </c>
      <c r="AH20" s="194">
        <v>139.150856244563</v>
      </c>
      <c r="AI20" s="194">
        <v>131.821543728586</v>
      </c>
      <c r="AJ20" s="194">
        <v>131.821543728586</v>
      </c>
      <c r="AK20" s="194">
        <v>138.171919647604</v>
      </c>
      <c r="AL20" s="194">
        <v>141.976144464062</v>
      </c>
      <c r="AM20" s="194">
        <v>116.522306986067</v>
      </c>
      <c r="AN20" s="194">
        <v>104.74026583464</v>
      </c>
      <c r="AO20" s="194">
        <v>104.74026583464</v>
      </c>
      <c r="AP20" s="194">
        <v>103.596785739824</v>
      </c>
      <c r="AQ20" s="194">
        <v>96.7436778331923</v>
      </c>
      <c r="AR20" s="194">
        <v>93.2872605215668</v>
      </c>
      <c r="AS20" s="194">
        <v>105.023138933796</v>
      </c>
      <c r="AT20" s="194">
        <v>105.023138933796</v>
      </c>
      <c r="AU20" s="194">
        <v>98.7343533286264</v>
      </c>
      <c r="AV20" s="194">
        <v>97.4843531761956</v>
      </c>
      <c r="AW20" s="194">
        <v>104.176735653532</v>
      </c>
      <c r="AX20" s="194">
        <v>107.122643575712</v>
      </c>
      <c r="AY20" s="194">
        <v>107.122643575712</v>
      </c>
      <c r="AZ20" s="194">
        <v>119.600493786058</v>
      </c>
      <c r="BA20" s="194">
        <v>121.922276241212</v>
      </c>
      <c r="BB20" s="194">
        <v>120.330753475209</v>
      </c>
      <c r="BC20" s="194">
        <v>125.995903829252</v>
      </c>
      <c r="BD20" s="194">
        <v>125.995903829252</v>
      </c>
      <c r="BE20" s="194">
        <v>120.491424600623</v>
      </c>
      <c r="BF20" s="194">
        <v>129.366290072782</v>
      </c>
      <c r="BG20" s="194">
        <v>128.821286115445</v>
      </c>
      <c r="BH20" s="194">
        <v>122.786416775527</v>
      </c>
      <c r="BI20" s="194">
        <v>122.786416775527</v>
      </c>
      <c r="BJ20" s="194">
        <v>119.285616049315</v>
      </c>
      <c r="BK20" s="194">
        <v>114.150816428455</v>
      </c>
      <c r="BL20" s="194">
        <v>124.11523834266</v>
      </c>
      <c r="BM20" s="194">
        <v>115.158591078603</v>
      </c>
      <c r="BN20" s="194">
        <v>115.158591078603</v>
      </c>
      <c r="BO20" s="194">
        <v>108.432940006628</v>
      </c>
      <c r="BP20" s="194">
        <v>105.156217624013</v>
      </c>
      <c r="BQ20" s="194">
        <v>110.533845229636</v>
      </c>
      <c r="BR20" s="194">
        <v>121.834953095569</v>
      </c>
      <c r="BS20" s="194">
        <v>121.834953095569</v>
      </c>
      <c r="BT20" s="194">
        <v>105.22374585054</v>
      </c>
      <c r="BU20" s="194">
        <v>110.206748542756</v>
      </c>
      <c r="BV20" s="194">
        <v>117.717527831512</v>
      </c>
      <c r="BW20" s="194">
        <v>119.095737479402</v>
      </c>
      <c r="BX20" s="194">
        <v>119.095737479402</v>
      </c>
      <c r="BY20" s="194">
        <v>124.151250937928</v>
      </c>
      <c r="BZ20" s="194">
        <v>110.848058635351</v>
      </c>
      <c r="CA20" s="194">
        <v>138.673390455918</v>
      </c>
      <c r="CB20" s="194">
        <v>146.538152019836</v>
      </c>
      <c r="CC20" s="194">
        <v>146.538152019836</v>
      </c>
      <c r="CD20" s="194">
        <v>131.146636282723</v>
      </c>
      <c r="CE20" s="194">
        <v>132.201678545407</v>
      </c>
      <c r="CF20" s="194">
        <v>121.555288537064</v>
      </c>
      <c r="CG20" s="194">
        <v>95.7033601244974</v>
      </c>
      <c r="CH20" s="194">
        <v>95.7033601244974</v>
      </c>
      <c r="CI20" s="194">
        <v>88.526223700322</v>
      </c>
      <c r="CJ20" s="194">
        <v>77.2473624048406</v>
      </c>
      <c r="CK20" s="194">
        <v>82.4068071298486</v>
      </c>
      <c r="CL20" s="194">
        <v>80.4951570811894</v>
      </c>
      <c r="CM20" s="194">
        <v>80.4951570811894</v>
      </c>
      <c r="CN20" s="194">
        <v>80.1833767754773</v>
      </c>
      <c r="CO20" s="194">
        <v>76.4214630293655</v>
      </c>
      <c r="CP20" s="194">
        <v>73.2643556855297</v>
      </c>
      <c r="CQ20" s="194">
        <v>87.380111925599</v>
      </c>
      <c r="CR20" s="194">
        <v>87.380111925599</v>
      </c>
      <c r="CS20" s="194">
        <v>82.6555390032029</v>
      </c>
      <c r="CT20" s="194">
        <v>82.122577280886</v>
      </c>
      <c r="CU20" s="194">
        <v>89.8342839856517</v>
      </c>
      <c r="CV20" s="194">
        <v>93.4623606263981</v>
      </c>
      <c r="CW20" s="194">
        <v>93.4623606263981</v>
      </c>
      <c r="CX20" s="194">
        <v>91.6150341458102</v>
      </c>
      <c r="CY20" s="194">
        <v>94.0821978990899</v>
      </c>
      <c r="CZ20" s="194">
        <v>109.969953383262</v>
      </c>
      <c r="DA20" s="194">
        <v>117.494483284139</v>
      </c>
      <c r="DB20" s="194">
        <v>117.494483284139</v>
      </c>
      <c r="DC20" s="195">
        <v>121.401385939886</v>
      </c>
    </row>
    <row r="21" s="162" customFormat="1" ht="44" spans="1:107">
      <c r="A21" s="196" t="s">
        <v>346</v>
      </c>
      <c r="B21" s="181"/>
      <c r="C21" s="182"/>
      <c r="D21" s="182"/>
      <c r="E21" s="182"/>
      <c r="F21" s="182"/>
      <c r="G21" s="182"/>
      <c r="H21" s="182"/>
      <c r="I21" s="182"/>
      <c r="J21" s="182"/>
      <c r="K21" s="182"/>
      <c r="L21" s="182"/>
      <c r="M21" s="182"/>
      <c r="N21" s="182"/>
      <c r="O21" s="182"/>
      <c r="P21" s="182"/>
      <c r="Q21" s="182"/>
      <c r="R21" s="182"/>
      <c r="S21" s="182"/>
      <c r="T21" s="182"/>
      <c r="U21" s="182"/>
      <c r="V21" s="182"/>
      <c r="W21" s="182"/>
      <c r="X21" s="182"/>
      <c r="Y21" s="182"/>
      <c r="Z21" s="182"/>
      <c r="AA21" s="182"/>
      <c r="AB21" s="182"/>
      <c r="AC21" s="182"/>
      <c r="AD21" s="182"/>
      <c r="AE21" s="182"/>
      <c r="AF21" s="182"/>
      <c r="AG21" s="182"/>
      <c r="AH21" s="182"/>
      <c r="AI21" s="182"/>
      <c r="AJ21" s="182"/>
      <c r="AK21" s="182"/>
      <c r="AL21" s="182"/>
      <c r="AM21" s="182"/>
      <c r="AN21" s="182"/>
      <c r="AO21" s="182"/>
      <c r="AP21" s="182"/>
      <c r="AQ21" s="182"/>
      <c r="AR21" s="182"/>
      <c r="AS21" s="182"/>
      <c r="AT21" s="182"/>
      <c r="AU21" s="182"/>
      <c r="AV21" s="182"/>
      <c r="AW21" s="182"/>
      <c r="AX21" s="182"/>
      <c r="AY21" s="182"/>
      <c r="AZ21" s="182"/>
      <c r="BA21" s="182"/>
      <c r="BB21" s="182"/>
      <c r="BC21" s="182"/>
      <c r="BD21" s="182"/>
      <c r="BE21" s="182"/>
      <c r="BF21" s="182"/>
      <c r="BG21" s="182"/>
      <c r="BH21" s="182"/>
      <c r="BI21" s="182"/>
      <c r="BJ21" s="182"/>
      <c r="BK21" s="182"/>
      <c r="BL21" s="182"/>
      <c r="BM21" s="182"/>
      <c r="BN21" s="182"/>
      <c r="BO21" s="182"/>
      <c r="BP21" s="182"/>
      <c r="BQ21" s="182"/>
      <c r="BR21" s="182"/>
      <c r="BS21" s="182"/>
      <c r="BT21" s="182"/>
      <c r="BU21" s="182"/>
      <c r="BV21" s="182"/>
      <c r="BW21" s="182"/>
      <c r="BX21" s="182"/>
      <c r="BY21" s="182"/>
      <c r="BZ21" s="182"/>
      <c r="CA21" s="182"/>
      <c r="CB21" s="182"/>
      <c r="CC21" s="182"/>
      <c r="CD21" s="182"/>
      <c r="CE21" s="182"/>
      <c r="CF21" s="182"/>
      <c r="CG21" s="182">
        <v>117.42356884661</v>
      </c>
      <c r="CH21" s="182">
        <v>117.42356884661</v>
      </c>
      <c r="CI21" s="182">
        <v>109.322710955602</v>
      </c>
      <c r="CJ21" s="182">
        <v>93.2804626194872</v>
      </c>
      <c r="CK21" s="182">
        <v>102.957139078004</v>
      </c>
      <c r="CL21" s="182">
        <v>103.68570501779</v>
      </c>
      <c r="CM21" s="182">
        <v>103.68570501779</v>
      </c>
      <c r="CN21" s="182">
        <v>101.835586061736</v>
      </c>
      <c r="CO21" s="182">
        <v>97.1911374259422</v>
      </c>
      <c r="CP21" s="182">
        <v>93.8192124446698</v>
      </c>
      <c r="CQ21" s="182">
        <v>110.339958302056</v>
      </c>
      <c r="CR21" s="182">
        <v>110.339958302056</v>
      </c>
      <c r="CS21" s="182">
        <v>100.664221166142</v>
      </c>
      <c r="CT21" s="182">
        <v>106.461822533487</v>
      </c>
      <c r="CU21" s="182">
        <v>111.990884942601</v>
      </c>
      <c r="CV21" s="182">
        <v>121.603149795131</v>
      </c>
      <c r="CW21" s="182">
        <v>121.603149795131</v>
      </c>
      <c r="CX21" s="182">
        <v>115.292631116091</v>
      </c>
      <c r="CY21" s="182">
        <v>114.357124040224</v>
      </c>
      <c r="CZ21" s="182">
        <v>135.864246147911</v>
      </c>
      <c r="DA21" s="182">
        <v>149.540864734004</v>
      </c>
      <c r="DB21" s="182">
        <v>149.540864734004</v>
      </c>
      <c r="DC21" s="183">
        <v>151.982627343805</v>
      </c>
    </row>
    <row r="22" s="164" customFormat="1" ht="29" spans="1:107">
      <c r="A22" s="209" t="s">
        <v>347</v>
      </c>
      <c r="B22" s="193"/>
      <c r="C22" s="194"/>
      <c r="D22" s="194"/>
      <c r="E22" s="194"/>
      <c r="F22" s="194"/>
      <c r="G22" s="194"/>
      <c r="H22" s="194"/>
      <c r="I22" s="194"/>
      <c r="J22" s="194"/>
      <c r="K22" s="194"/>
      <c r="L22" s="194"/>
      <c r="M22" s="194"/>
      <c r="N22" s="194"/>
      <c r="O22" s="194"/>
      <c r="P22" s="194"/>
      <c r="Q22" s="194"/>
      <c r="R22" s="194"/>
      <c r="S22" s="194"/>
      <c r="T22" s="194"/>
      <c r="U22" s="194"/>
      <c r="V22" s="194"/>
      <c r="W22" s="194"/>
      <c r="X22" s="194"/>
      <c r="Y22" s="194"/>
      <c r="Z22" s="194"/>
      <c r="AA22" s="194"/>
      <c r="AB22" s="194"/>
      <c r="AC22" s="194"/>
      <c r="AD22" s="194"/>
      <c r="AE22" s="194"/>
      <c r="AF22" s="194"/>
      <c r="AG22" s="194"/>
      <c r="AH22" s="194"/>
      <c r="AI22" s="194"/>
      <c r="AJ22" s="194"/>
      <c r="AK22" s="194"/>
      <c r="AL22" s="194"/>
      <c r="AM22" s="194"/>
      <c r="AN22" s="194"/>
      <c r="AO22" s="194"/>
      <c r="AP22" s="194">
        <v>324.697058609708</v>
      </c>
      <c r="AQ22" s="194">
        <v>331.324367449799</v>
      </c>
      <c r="AR22" s="194">
        <v>352.665551792221</v>
      </c>
      <c r="AS22" s="194">
        <v>405.832395631533</v>
      </c>
      <c r="AT22" s="194">
        <v>405.832395631533</v>
      </c>
      <c r="AU22" s="194">
        <v>369.873283797482</v>
      </c>
      <c r="AV22" s="194">
        <v>380.559530815628</v>
      </c>
      <c r="AW22" s="194">
        <v>386.629119077953</v>
      </c>
      <c r="AX22" s="194">
        <v>375.534371744273</v>
      </c>
      <c r="AY22" s="194">
        <v>375.534371744273</v>
      </c>
      <c r="AZ22" s="194">
        <v>407.611329698418</v>
      </c>
      <c r="BA22" s="194">
        <v>410.573061322732</v>
      </c>
      <c r="BB22" s="194">
        <v>410.432118047238</v>
      </c>
      <c r="BC22" s="194">
        <v>412.568835959803</v>
      </c>
      <c r="BD22" s="194">
        <v>412.568835959803</v>
      </c>
      <c r="BE22" s="194">
        <v>397.346516991086</v>
      </c>
      <c r="BF22" s="194">
        <v>409.247007338129</v>
      </c>
      <c r="BG22" s="194">
        <v>395.024602883559</v>
      </c>
      <c r="BH22" s="194">
        <v>375.789529185098</v>
      </c>
      <c r="BI22" s="194">
        <v>375.789529185098</v>
      </c>
      <c r="BJ22" s="194">
        <v>371.016370994201</v>
      </c>
      <c r="BK22" s="194">
        <v>350.672814085267</v>
      </c>
      <c r="BL22" s="194">
        <v>344.009971664844</v>
      </c>
      <c r="BM22" s="194">
        <v>331.878923360505</v>
      </c>
      <c r="BN22" s="194">
        <v>331.878923360505</v>
      </c>
      <c r="BO22" s="194">
        <v>314.949541117746</v>
      </c>
      <c r="BP22" s="194">
        <v>307.919228778916</v>
      </c>
      <c r="BQ22" s="194">
        <v>318.666692699876</v>
      </c>
      <c r="BR22" s="194">
        <v>350.274034218347</v>
      </c>
      <c r="BS22" s="194">
        <v>350.274034218347</v>
      </c>
      <c r="BT22" s="194">
        <v>340.757029687057</v>
      </c>
      <c r="BU22" s="194">
        <v>344.26339416094</v>
      </c>
      <c r="BV22" s="194">
        <v>357.84411701416</v>
      </c>
      <c r="BW22" s="194">
        <v>368.877968392988</v>
      </c>
      <c r="BX22" s="194">
        <v>368.877968392988</v>
      </c>
      <c r="BY22" s="194">
        <v>357.140384644877</v>
      </c>
      <c r="BZ22" s="194">
        <v>297.853004059635</v>
      </c>
      <c r="CA22" s="194">
        <v>364.191558047435</v>
      </c>
      <c r="CB22" s="194">
        <v>378.208583636583</v>
      </c>
      <c r="CC22" s="194">
        <v>378.208583636583</v>
      </c>
      <c r="CD22" s="194">
        <v>346.326962204204</v>
      </c>
      <c r="CE22" s="194">
        <v>340.075976193265</v>
      </c>
      <c r="CF22" s="194">
        <v>302.451876637206</v>
      </c>
      <c r="CG22" s="194">
        <v>243.285066310217</v>
      </c>
      <c r="CH22" s="194">
        <v>243.285066310217</v>
      </c>
      <c r="CI22" s="194">
        <v>223.601349727909</v>
      </c>
      <c r="CJ22" s="194">
        <v>197.034921814552</v>
      </c>
      <c r="CK22" s="194">
        <v>207.260827664844</v>
      </c>
      <c r="CL22" s="194">
        <v>203.130256360779</v>
      </c>
      <c r="CM22" s="194">
        <v>203.130256360779</v>
      </c>
      <c r="CN22" s="194">
        <v>203.989707236062</v>
      </c>
      <c r="CO22" s="194">
        <v>203.667844595479</v>
      </c>
      <c r="CP22" s="194">
        <v>200.758130255144</v>
      </c>
      <c r="CQ22" s="194">
        <v>226.934079693187</v>
      </c>
      <c r="CR22" s="194">
        <v>226.934079693187</v>
      </c>
      <c r="CS22" s="194">
        <v>209.294179531048</v>
      </c>
      <c r="CT22" s="194">
        <v>203.873446850196</v>
      </c>
      <c r="CU22" s="194">
        <v>210.535090121082</v>
      </c>
      <c r="CV22" s="194">
        <v>208.067183627047</v>
      </c>
      <c r="CW22" s="194">
        <v>208.067183627047</v>
      </c>
      <c r="CX22" s="194">
        <v>196.566406728514</v>
      </c>
      <c r="CY22" s="194">
        <v>202.486744148972</v>
      </c>
      <c r="CZ22" s="194">
        <v>228.437800289875</v>
      </c>
      <c r="DA22" s="194">
        <v>230.102962527573</v>
      </c>
      <c r="DB22" s="194">
        <v>230.102962527573</v>
      </c>
      <c r="DC22" s="195">
        <v>233.838813463107</v>
      </c>
    </row>
    <row r="23" spans="1:107">
      <c r="A23" s="210"/>
      <c r="B23" s="197"/>
      <c r="C23" s="178"/>
      <c r="D23" s="178"/>
      <c r="E23" s="178"/>
      <c r="F23" s="178"/>
      <c r="G23" s="178"/>
      <c r="H23" s="178"/>
      <c r="I23" s="178"/>
      <c r="J23" s="178"/>
      <c r="K23" s="178"/>
      <c r="L23" s="178"/>
      <c r="M23" s="178"/>
      <c r="N23" s="178"/>
      <c r="O23" s="178"/>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98"/>
      <c r="BF23" s="198"/>
      <c r="BG23" s="198"/>
      <c r="BH23" s="198"/>
      <c r="BI23" s="198"/>
      <c r="BJ23" s="198"/>
      <c r="BK23" s="198"/>
      <c r="BL23" s="198"/>
      <c r="BM23" s="198"/>
      <c r="BN23" s="198"/>
      <c r="BO23" s="198"/>
      <c r="BP23" s="198"/>
      <c r="BQ23" s="198"/>
      <c r="BR23" s="198"/>
      <c r="BS23" s="198"/>
      <c r="BT23" s="198"/>
      <c r="BU23" s="198"/>
      <c r="BV23" s="198"/>
      <c r="BW23" s="198"/>
      <c r="BX23" s="198"/>
      <c r="BY23" s="198"/>
      <c r="BZ23" s="198"/>
      <c r="CA23" s="198"/>
      <c r="CB23" s="198"/>
      <c r="CC23" s="198"/>
      <c r="CD23" s="198"/>
      <c r="CE23" s="198"/>
      <c r="CF23" s="198"/>
      <c r="CG23" s="198"/>
      <c r="CH23" s="198"/>
      <c r="CI23" s="198"/>
      <c r="CJ23" s="198"/>
      <c r="CK23" s="198"/>
      <c r="CL23" s="198"/>
      <c r="CM23" s="198"/>
      <c r="CN23" s="198"/>
      <c r="CO23" s="198"/>
      <c r="CP23" s="198"/>
      <c r="CQ23" s="198"/>
      <c r="CR23" s="198"/>
      <c r="CS23" s="198"/>
      <c r="CT23" s="198"/>
      <c r="CU23" s="198"/>
      <c r="CV23" s="198"/>
      <c r="CW23" s="198"/>
      <c r="CX23" s="198"/>
      <c r="CY23" s="198"/>
      <c r="CZ23" s="198"/>
      <c r="DA23" s="198"/>
      <c r="DB23" s="198"/>
      <c r="DC23" s="199"/>
    </row>
    <row r="24" spans="1:107">
      <c r="A24" s="211" t="s">
        <v>348</v>
      </c>
      <c r="B24" s="212"/>
      <c r="C24" s="213"/>
      <c r="D24" s="213"/>
      <c r="E24" s="213"/>
      <c r="F24" s="213"/>
      <c r="G24" s="213"/>
      <c r="H24" s="213"/>
      <c r="I24" s="213"/>
      <c r="J24" s="213"/>
      <c r="K24" s="213"/>
      <c r="L24" s="213"/>
      <c r="M24" s="213"/>
      <c r="N24" s="213"/>
      <c r="O24" s="213"/>
      <c r="P24" s="213"/>
      <c r="Q24" s="213"/>
      <c r="R24" s="213"/>
      <c r="S24" s="213"/>
      <c r="T24" s="213"/>
      <c r="U24" s="213"/>
      <c r="V24" s="213"/>
      <c r="W24" s="213"/>
      <c r="X24" s="213"/>
      <c r="Y24" s="213"/>
      <c r="Z24" s="213"/>
      <c r="AA24" s="213"/>
      <c r="AB24" s="213"/>
      <c r="AC24" s="213"/>
      <c r="AD24" s="213"/>
      <c r="AE24" s="213"/>
      <c r="AF24" s="213"/>
      <c r="AG24" s="213"/>
      <c r="AH24" s="213"/>
      <c r="AI24" s="213"/>
      <c r="AJ24" s="213"/>
      <c r="AK24" s="213"/>
      <c r="AL24" s="213"/>
      <c r="AM24" s="213"/>
      <c r="AN24" s="213"/>
      <c r="AO24" s="213"/>
      <c r="AP24" s="213"/>
      <c r="AQ24" s="213"/>
      <c r="AR24" s="213"/>
      <c r="AS24" s="213"/>
      <c r="AT24" s="213"/>
      <c r="AU24" s="213"/>
      <c r="AV24" s="213"/>
      <c r="AW24" s="213"/>
      <c r="AX24" s="213"/>
      <c r="AY24" s="213"/>
      <c r="AZ24" s="213"/>
      <c r="BA24" s="213"/>
      <c r="BB24" s="213"/>
      <c r="BC24" s="213"/>
      <c r="BD24" s="213"/>
      <c r="BE24" s="214"/>
      <c r="BF24" s="214"/>
      <c r="BG24" s="214"/>
      <c r="BH24" s="214"/>
      <c r="BI24" s="214"/>
      <c r="BJ24" s="214"/>
      <c r="BK24" s="214"/>
      <c r="BL24" s="214"/>
      <c r="BM24" s="214"/>
      <c r="BN24" s="214"/>
      <c r="BO24" s="214"/>
      <c r="BP24" s="214"/>
      <c r="BQ24" s="214"/>
      <c r="BR24" s="214"/>
      <c r="BS24" s="214"/>
      <c r="BT24" s="214"/>
      <c r="BU24" s="214"/>
      <c r="BV24" s="214"/>
      <c r="BW24" s="214"/>
      <c r="BX24" s="214"/>
      <c r="BY24" s="214"/>
      <c r="BZ24" s="214"/>
      <c r="CA24" s="214"/>
      <c r="CB24" s="214"/>
      <c r="CC24" s="214"/>
      <c r="CD24" s="214"/>
      <c r="CE24" s="214"/>
      <c r="CF24" s="214"/>
      <c r="CG24" s="214"/>
      <c r="CH24" s="214"/>
      <c r="CI24" s="214"/>
      <c r="CJ24" s="214"/>
      <c r="CK24" s="214"/>
      <c r="CL24" s="214"/>
      <c r="CM24" s="214"/>
      <c r="CN24" s="214"/>
      <c r="CO24" s="214"/>
      <c r="CP24" s="214"/>
      <c r="CQ24" s="214"/>
      <c r="CR24" s="214"/>
      <c r="CS24" s="214"/>
      <c r="CT24" s="214"/>
      <c r="CU24" s="214"/>
      <c r="CV24" s="214"/>
      <c r="CW24" s="214"/>
      <c r="CX24" s="214"/>
      <c r="CY24" s="214"/>
      <c r="CZ24" s="214"/>
      <c r="DA24" s="214"/>
      <c r="DB24" s="214"/>
      <c r="DC24" s="215"/>
    </row>
    <row r="25" spans="1:107">
      <c r="A25" s="210" t="s">
        <v>349</v>
      </c>
      <c r="B25" s="193">
        <v>1418.4</v>
      </c>
      <c r="C25" s="194">
        <v>1713.6</v>
      </c>
      <c r="D25" s="194">
        <v>2113</v>
      </c>
      <c r="E25" s="194">
        <v>2345.6</v>
      </c>
      <c r="F25" s="194">
        <v>7590.6</v>
      </c>
      <c r="G25" s="194">
        <v>2040.9</v>
      </c>
      <c r="H25" s="194">
        <v>2363.9</v>
      </c>
      <c r="I25" s="194">
        <v>2651.8</v>
      </c>
      <c r="J25" s="194">
        <v>3157.13</v>
      </c>
      <c r="K25" s="194">
        <v>10213.73</v>
      </c>
      <c r="L25" s="194">
        <v>2536.2349</v>
      </c>
      <c r="M25" s="194">
        <v>3059.1926</v>
      </c>
      <c r="N25" s="194">
        <v>3400.4545</v>
      </c>
      <c r="O25" s="194">
        <v>3853.912</v>
      </c>
      <c r="P25" s="194">
        <v>12849.794</v>
      </c>
      <c r="Q25" s="194">
        <v>3207.2</v>
      </c>
      <c r="R25" s="194">
        <v>3742</v>
      </c>
      <c r="S25" s="194">
        <v>4664.7243</v>
      </c>
      <c r="T25" s="194">
        <v>4438.9957</v>
      </c>
      <c r="U25" s="194">
        <v>16052.92</v>
      </c>
      <c r="V25" s="194">
        <v>3055.2638</v>
      </c>
      <c r="W25" s="194">
        <v>3654.5171</v>
      </c>
      <c r="X25" s="194">
        <v>4511.1186</v>
      </c>
      <c r="Y25" s="194">
        <v>5786.7475</v>
      </c>
      <c r="Z25" s="194">
        <v>17007.647</v>
      </c>
      <c r="AA25" s="194">
        <v>4020.8784</v>
      </c>
      <c r="AB25" s="194">
        <v>4691.2657</v>
      </c>
      <c r="AC25" s="194">
        <v>5423.084</v>
      </c>
      <c r="AD25" s="194">
        <v>7680.2889</v>
      </c>
      <c r="AE25" s="194">
        <v>21815.517</v>
      </c>
      <c r="AF25" s="194">
        <v>5240.2235</v>
      </c>
      <c r="AG25" s="194">
        <v>5999.8074</v>
      </c>
      <c r="AH25" s="194">
        <v>7424.9086</v>
      </c>
      <c r="AI25" s="194">
        <v>9578.1132</v>
      </c>
      <c r="AJ25" s="194">
        <v>28243.0527</v>
      </c>
      <c r="AK25" s="194">
        <v>6097.7299</v>
      </c>
      <c r="AL25" s="194">
        <v>6751.2717</v>
      </c>
      <c r="AM25" s="194">
        <v>7999.731</v>
      </c>
      <c r="AN25" s="194">
        <v>10166.454</v>
      </c>
      <c r="AO25" s="194">
        <v>31015.1866</v>
      </c>
      <c r="AP25" s="194">
        <v>6966.935</v>
      </c>
      <c r="AQ25" s="194">
        <v>7533.0572</v>
      </c>
      <c r="AR25" s="194">
        <v>9268.0012</v>
      </c>
      <c r="AS25" s="194">
        <v>12231.0317</v>
      </c>
      <c r="AT25" s="194">
        <v>35999.0251</v>
      </c>
      <c r="AU25" s="194">
        <v>7933.8275</v>
      </c>
      <c r="AV25" s="194">
        <v>8549.1247</v>
      </c>
      <c r="AW25" s="194">
        <v>10558.0351</v>
      </c>
      <c r="AX25" s="194">
        <v>12634.8456</v>
      </c>
      <c r="AY25" s="194">
        <v>39675.8329</v>
      </c>
      <c r="AZ25" s="216">
        <v>8267.5177</v>
      </c>
      <c r="BA25" s="216">
        <v>8536.9004</v>
      </c>
      <c r="BB25" s="216">
        <v>10632.1186</v>
      </c>
      <c r="BC25" s="216">
        <v>13447.5969</v>
      </c>
      <c r="BD25" s="216">
        <v>40884.1336</v>
      </c>
      <c r="BE25" s="216">
        <v>9309.09</v>
      </c>
      <c r="BF25" s="216">
        <v>10047.9669</v>
      </c>
      <c r="BG25" s="216">
        <v>11998.0692</v>
      </c>
      <c r="BH25" s="216">
        <v>15616.0239</v>
      </c>
      <c r="BI25" s="216">
        <v>46971.15</v>
      </c>
      <c r="BJ25" s="216">
        <v>10431.358</v>
      </c>
      <c r="BK25" s="216">
        <v>11114.9117</v>
      </c>
      <c r="BL25" s="216">
        <v>13595.7955</v>
      </c>
      <c r="BM25" s="216">
        <v>19236.7926</v>
      </c>
      <c r="BN25" s="216">
        <v>54378.8578</v>
      </c>
      <c r="BO25" s="216">
        <v>11786.1667</v>
      </c>
      <c r="BP25" s="216">
        <v>13070.9525</v>
      </c>
      <c r="BQ25" s="216">
        <v>14909.9865</v>
      </c>
      <c r="BR25" s="216">
        <v>22052.4307</v>
      </c>
      <c r="BS25" s="216">
        <v>61819.5364</v>
      </c>
      <c r="BT25" s="216">
        <v>13180.8572</v>
      </c>
      <c r="BU25" s="216">
        <v>14727.7609</v>
      </c>
      <c r="BV25" s="216">
        <v>16389.294</v>
      </c>
      <c r="BW25" s="216">
        <v>25234.7144</v>
      </c>
      <c r="BX25" s="216">
        <v>69532.6265</v>
      </c>
      <c r="BY25" s="216">
        <v>15093.3424</v>
      </c>
      <c r="BZ25" s="216">
        <v>13306.2503</v>
      </c>
      <c r="CA25" s="216">
        <v>17403.6625</v>
      </c>
      <c r="CB25" s="216">
        <v>24845.778</v>
      </c>
      <c r="CC25" s="216">
        <v>70649.0332</v>
      </c>
      <c r="CD25" s="216">
        <v>15938.6715</v>
      </c>
      <c r="CE25" s="216">
        <v>16326.765</v>
      </c>
      <c r="CF25" s="216">
        <v>20763.9292</v>
      </c>
      <c r="CG25" s="216">
        <v>30922.2222</v>
      </c>
      <c r="CH25" s="216">
        <v>83951.5879</v>
      </c>
      <c r="CI25" s="216">
        <v>19695.5928</v>
      </c>
      <c r="CJ25" s="216">
        <v>20338.7398</v>
      </c>
      <c r="CK25" s="216">
        <v>25453.4653</v>
      </c>
      <c r="CL25" s="216">
        <v>38277.7203</v>
      </c>
      <c r="CM25" s="216">
        <v>103765.5182</v>
      </c>
      <c r="CN25" s="216">
        <v>23582.637</v>
      </c>
      <c r="CO25" s="216">
        <v>23662.0345</v>
      </c>
      <c r="CP25" s="216">
        <v>28302.1488</v>
      </c>
      <c r="CQ25" s="216">
        <v>43895.4694</v>
      </c>
      <c r="CR25" s="216">
        <v>119442.2897</v>
      </c>
      <c r="CS25" s="216">
        <v>26023.9038</v>
      </c>
      <c r="CT25" s="216">
        <v>26318.8366</v>
      </c>
      <c r="CU25" s="216">
        <v>32619.8857</v>
      </c>
      <c r="CV25" s="216">
        <v>51730.6922</v>
      </c>
      <c r="CW25" s="216">
        <v>136693.3183</v>
      </c>
      <c r="CX25" s="216">
        <v>30467.3337</v>
      </c>
      <c r="CY25" s="216">
        <v>30904.4882</v>
      </c>
      <c r="CZ25" s="216">
        <v>38190.3175</v>
      </c>
      <c r="DA25" s="216">
        <v>59999.2072</v>
      </c>
      <c r="DB25" s="216">
        <v>159561.3466</v>
      </c>
      <c r="DC25" s="217">
        <v>34102.3581</v>
      </c>
    </row>
    <row r="26" ht="16.5" customHeight="1" spans="1:107">
      <c r="A26" s="210" t="s">
        <v>350</v>
      </c>
      <c r="B26" s="193">
        <v>45.0462598937696</v>
      </c>
      <c r="C26" s="194">
        <v>47.9479833553323</v>
      </c>
      <c r="D26" s="194">
        <v>51.4525027563172</v>
      </c>
      <c r="E26" s="194">
        <v>57.000590350458</v>
      </c>
      <c r="F26" s="194">
        <v>57.1237</v>
      </c>
      <c r="G26" s="194">
        <v>61.6782688160035</v>
      </c>
      <c r="H26" s="194">
        <v>67.9151703848662</v>
      </c>
      <c r="I26" s="194">
        <v>73.9610490092555</v>
      </c>
      <c r="J26" s="194">
        <v>81.1466100573434</v>
      </c>
      <c r="K26" s="194">
        <v>81.0035</v>
      </c>
      <c r="L26" s="194">
        <v>85.8933606440886</v>
      </c>
      <c r="M26" s="194">
        <v>91.8781702761189</v>
      </c>
      <c r="N26" s="194">
        <v>97.8157512580468</v>
      </c>
      <c r="O26" s="194">
        <v>105.029041253724</v>
      </c>
      <c r="P26" s="194">
        <v>104.8535</v>
      </c>
      <c r="Q26" s="194">
        <v>111.340864202298</v>
      </c>
      <c r="R26" s="194">
        <v>117.184797726923</v>
      </c>
      <c r="S26" s="194">
        <v>128.440717152124</v>
      </c>
      <c r="T26" s="194">
        <v>133.471921493798</v>
      </c>
      <c r="U26" s="194">
        <v>133.4407</v>
      </c>
      <c r="V26" s="194">
        <v>128.830902322565</v>
      </c>
      <c r="W26" s="194">
        <v>122.089098104829</v>
      </c>
      <c r="X26" s="194">
        <v>113.138912187477</v>
      </c>
      <c r="Y26" s="194">
        <v>114.826360950719</v>
      </c>
      <c r="Z26" s="194">
        <v>115.3061</v>
      </c>
      <c r="AA26" s="194">
        <v>120.064580486661</v>
      </c>
      <c r="AB26" s="194">
        <v>127.730293369488</v>
      </c>
      <c r="AC26" s="194">
        <v>134.596895571183</v>
      </c>
      <c r="AD26" s="194">
        <v>148.040358120205</v>
      </c>
      <c r="AE26" s="194">
        <v>148.0524</v>
      </c>
      <c r="AF26" s="194">
        <v>156.606065659575</v>
      </c>
      <c r="AG26" s="194">
        <v>165.861690375309</v>
      </c>
      <c r="AH26" s="194">
        <v>179.73379293376</v>
      </c>
      <c r="AI26" s="194">
        <v>192.416867235893</v>
      </c>
      <c r="AJ26" s="194">
        <v>192.6276</v>
      </c>
      <c r="AK26" s="194">
        <v>197.78982080741</v>
      </c>
      <c r="AL26" s="194">
        <v>202.140810321168</v>
      </c>
      <c r="AM26" s="194">
        <v>204.925146167043</v>
      </c>
      <c r="AN26" s="194">
        <v>207.746917034698</v>
      </c>
      <c r="AO26" s="194">
        <v>208.0021</v>
      </c>
      <c r="AP26" s="194">
        <v>212.827741469558</v>
      </c>
      <c r="AQ26" s="194">
        <v>217.111336384669</v>
      </c>
      <c r="AR26" s="194">
        <v>224.272640299845</v>
      </c>
      <c r="AS26" s="194">
        <v>236.214902826009</v>
      </c>
      <c r="AT26" s="194">
        <v>236.6333</v>
      </c>
      <c r="AU26" s="194">
        <v>236.584131666811</v>
      </c>
      <c r="AV26" s="194">
        <v>233.542734164841</v>
      </c>
      <c r="AW26" s="194">
        <v>230.781780906711</v>
      </c>
      <c r="AX26" s="194">
        <v>220.920917832221</v>
      </c>
      <c r="AY26" s="194">
        <v>221.4177</v>
      </c>
      <c r="AZ26" s="216">
        <v>219.085341177505</v>
      </c>
      <c r="BA26" s="216">
        <v>218.21374183243</v>
      </c>
      <c r="BB26" s="216">
        <v>209.545070804475</v>
      </c>
      <c r="BC26" s="216">
        <v>184.678015721394</v>
      </c>
      <c r="BD26" s="216">
        <v>184.387</v>
      </c>
      <c r="BE26" s="216">
        <v>166.005266138322</v>
      </c>
      <c r="BF26" s="216">
        <v>150.013686387258</v>
      </c>
      <c r="BG26" s="216">
        <v>135.969887929673</v>
      </c>
      <c r="BH26" s="216">
        <v>137.802151944044</v>
      </c>
      <c r="BI26" s="216">
        <v>137.2783</v>
      </c>
      <c r="BJ26" s="216">
        <v>144.047792615786</v>
      </c>
      <c r="BK26" s="216">
        <v>149.42431270387</v>
      </c>
      <c r="BL26" s="216">
        <v>155.191555731137</v>
      </c>
      <c r="BM26" s="216">
        <v>166.09138995973</v>
      </c>
      <c r="BN26" s="216">
        <v>166.8063</v>
      </c>
      <c r="BO26" s="216">
        <v>170.206924968654</v>
      </c>
      <c r="BP26" s="216">
        <v>174.527872707571</v>
      </c>
      <c r="BQ26" s="216">
        <v>175.506823082389</v>
      </c>
      <c r="BR26" s="216">
        <v>177.610810615002</v>
      </c>
      <c r="BS26" s="216">
        <v>179.3378</v>
      </c>
      <c r="BT26" s="216">
        <v>176.040884698408</v>
      </c>
      <c r="BU26" s="216">
        <v>175.104360814792</v>
      </c>
      <c r="BV26" s="216">
        <v>175.709354606618</v>
      </c>
      <c r="BW26" s="216">
        <v>181.29857050504</v>
      </c>
      <c r="BX26" s="216">
        <v>181.6659</v>
      </c>
      <c r="BY26" s="216">
        <v>185.148242764966</v>
      </c>
      <c r="BZ26" s="216">
        <v>178.271751958782</v>
      </c>
      <c r="CA26" s="216">
        <v>177.430652677666</v>
      </c>
      <c r="CB26" s="216">
        <v>170.506193823589</v>
      </c>
      <c r="CC26" s="216">
        <v>171.0837</v>
      </c>
      <c r="CD26" s="216">
        <v>169.737947846988</v>
      </c>
      <c r="CE26" s="216">
        <v>176.027776291613</v>
      </c>
      <c r="CF26" s="216">
        <v>183.157925674003</v>
      </c>
      <c r="CG26" s="216">
        <v>197.446872298468</v>
      </c>
      <c r="CH26" s="216">
        <v>197.55522770192</v>
      </c>
      <c r="CI26" s="216">
        <v>202.747083160544</v>
      </c>
      <c r="CJ26" s="216">
        <v>210.595748749011</v>
      </c>
      <c r="CK26" s="216">
        <v>215.360976168826</v>
      </c>
      <c r="CL26" s="216">
        <v>225.904407118102</v>
      </c>
      <c r="CM26" s="216">
        <v>225.904407118102</v>
      </c>
      <c r="CN26" s="216">
        <v>234.465798936276</v>
      </c>
      <c r="CO26" s="216">
        <v>241.22308902156</v>
      </c>
      <c r="CP26" s="216">
        <v>249.871676443187</v>
      </c>
      <c r="CQ26" s="216">
        <v>260.926098870153</v>
      </c>
      <c r="CR26" s="216">
        <v>260.926098870153</v>
      </c>
      <c r="CS26" s="216">
        <v>266.872821970545</v>
      </c>
      <c r="CT26" s="216">
        <v>272.939047365084</v>
      </c>
      <c r="CU26" s="216">
        <v>279.044000498554</v>
      </c>
      <c r="CV26" s="216">
        <v>288.352173848814</v>
      </c>
      <c r="CW26" s="216">
        <v>291.183789834697</v>
      </c>
      <c r="CX26" s="216">
        <v>290.28746759671</v>
      </c>
      <c r="CY26" s="216">
        <v>291.653078190269</v>
      </c>
      <c r="CZ26" s="216">
        <v>294.604518720856</v>
      </c>
      <c r="DA26" s="216">
        <v>305.452699657199</v>
      </c>
      <c r="DB26" s="216">
        <v>305.9134</v>
      </c>
      <c r="DC26" s="217">
        <v>314.248514143002</v>
      </c>
    </row>
    <row r="27" spans="1:107">
      <c r="A27" s="218" t="s">
        <v>351</v>
      </c>
      <c r="B27" s="219">
        <v>7512.20429149054</v>
      </c>
      <c r="C27" s="220">
        <v>8029.48720609362</v>
      </c>
      <c r="D27" s="220">
        <v>8027.09203699283</v>
      </c>
      <c r="E27" s="220">
        <v>8212.18578030165</v>
      </c>
      <c r="F27" s="220">
        <v>31780.9693148786</v>
      </c>
      <c r="G27" s="220">
        <v>9527.38162625906</v>
      </c>
      <c r="H27" s="220">
        <v>11528.9041891906</v>
      </c>
      <c r="I27" s="220">
        <v>10366.6168065571</v>
      </c>
      <c r="J27" s="220">
        <v>11192.5733573197</v>
      </c>
      <c r="K27" s="220">
        <v>42615.4759793265</v>
      </c>
      <c r="L27" s="220">
        <v>11673.1990603746</v>
      </c>
      <c r="M27" s="220">
        <v>13137.000271754</v>
      </c>
      <c r="N27" s="220">
        <v>14201.9605232189</v>
      </c>
      <c r="O27" s="220">
        <v>16366.3820263662</v>
      </c>
      <c r="P27" s="220">
        <v>55378.5418817137</v>
      </c>
      <c r="Q27" s="220">
        <v>18945.3901553802</v>
      </c>
      <c r="R27" s="220">
        <v>22231.0077376631</v>
      </c>
      <c r="S27" s="220">
        <v>18170.6775113294</v>
      </c>
      <c r="T27" s="220">
        <v>11946.8976631897</v>
      </c>
      <c r="U27" s="220">
        <v>71293.9730675624</v>
      </c>
      <c r="V27" s="220">
        <v>9887.13324892795</v>
      </c>
      <c r="W27" s="220">
        <v>12617.4212317518</v>
      </c>
      <c r="X27" s="220">
        <v>14515.4682805566</v>
      </c>
      <c r="Y27" s="220">
        <v>14993.5288827504</v>
      </c>
      <c r="Z27" s="220">
        <v>52013.5516439867</v>
      </c>
      <c r="AA27" s="220">
        <v>15977.1774438153</v>
      </c>
      <c r="AB27" s="220">
        <v>16491.9265057167</v>
      </c>
      <c r="AC27" s="220">
        <v>16394.4870589055</v>
      </c>
      <c r="AD27" s="220">
        <v>17939.4657469451</v>
      </c>
      <c r="AE27" s="220">
        <v>66803.0567553825</v>
      </c>
      <c r="AF27" s="220">
        <v>25550.4879587511</v>
      </c>
      <c r="AG27" s="220">
        <v>23139.3694583887</v>
      </c>
      <c r="AH27" s="220">
        <v>21981.3722172306</v>
      </c>
      <c r="AI27" s="220">
        <v>22729.3003309166</v>
      </c>
      <c r="AJ27" s="220">
        <v>93400.529965287</v>
      </c>
      <c r="AK27" s="220">
        <v>24106.5595844657</v>
      </c>
      <c r="AL27" s="220">
        <v>22393.1488933915</v>
      </c>
      <c r="AM27" s="220">
        <v>22501.3894640255</v>
      </c>
      <c r="AN27" s="220">
        <v>23306.0977729969</v>
      </c>
      <c r="AO27" s="220">
        <v>92307.1957148796</v>
      </c>
      <c r="AP27" s="220">
        <v>22782.1936577014</v>
      </c>
      <c r="AQ27" s="220">
        <v>22251.9358552473</v>
      </c>
      <c r="AR27" s="220">
        <v>23167.8502381408</v>
      </c>
      <c r="AS27" s="220">
        <v>25467.8024526026</v>
      </c>
      <c r="AT27" s="220">
        <v>93669.782203692</v>
      </c>
      <c r="AU27" s="220">
        <v>21063.5333817968</v>
      </c>
      <c r="AV27" s="220">
        <v>21045.7516432374</v>
      </c>
      <c r="AW27" s="220">
        <v>19360.2665304336</v>
      </c>
      <c r="AX27" s="220">
        <v>15639.2604158119</v>
      </c>
      <c r="AY27" s="220">
        <v>77108.8119712796</v>
      </c>
      <c r="AZ27" s="221">
        <v>12996.8488929668</v>
      </c>
      <c r="BA27" s="216">
        <v>12809.6543715785</v>
      </c>
      <c r="BB27" s="216">
        <v>11131.6231765211</v>
      </c>
      <c r="BC27" s="216">
        <v>10886.6982358374</v>
      </c>
      <c r="BD27" s="216">
        <v>47824.8246769038</v>
      </c>
      <c r="BE27" s="216">
        <v>9208.91321404021</v>
      </c>
      <c r="BF27" s="216">
        <v>10677.4842773856</v>
      </c>
      <c r="BG27" s="216">
        <v>10902.9483598605</v>
      </c>
      <c r="BH27" s="216">
        <v>12316.7426460158</v>
      </c>
      <c r="BI27" s="216">
        <v>43106.088497302</v>
      </c>
      <c r="BJ27" s="216">
        <v>12616.314986391</v>
      </c>
      <c r="BK27" s="216">
        <v>13218.0831098982</v>
      </c>
      <c r="BL27" s="216">
        <v>14171.7247329318</v>
      </c>
      <c r="BM27" s="216">
        <v>15968.225880521</v>
      </c>
      <c r="BN27" s="216">
        <v>55974.3487097421</v>
      </c>
      <c r="BO27" s="216">
        <v>16422.9689339485</v>
      </c>
      <c r="BP27" s="216">
        <v>17436.3499550269</v>
      </c>
      <c r="BQ27" s="216">
        <v>17035.3041194306</v>
      </c>
      <c r="BR27" s="216">
        <v>15450.6074482305</v>
      </c>
      <c r="BS27" s="216">
        <v>66345.2304566364</v>
      </c>
      <c r="BT27" s="216">
        <v>16582.7629834996</v>
      </c>
      <c r="BU27" s="216">
        <v>16584.7508408243</v>
      </c>
      <c r="BV27" s="216">
        <v>17049.5492087108</v>
      </c>
      <c r="BW27" s="216">
        <v>17078.7306846331</v>
      </c>
      <c r="BX27" s="216">
        <v>67295.7937176678</v>
      </c>
      <c r="BY27" s="216">
        <v>13560.2431277727</v>
      </c>
      <c r="BZ27" s="216">
        <v>10256.7437909083</v>
      </c>
      <c r="CA27" s="216">
        <v>12059.9544041108</v>
      </c>
      <c r="CB27" s="216">
        <v>13396.4096798969</v>
      </c>
      <c r="CC27" s="216">
        <v>49273.3510026887</v>
      </c>
      <c r="CD27" s="216">
        <v>14982.4807381586</v>
      </c>
      <c r="CE27" s="216">
        <v>18010.9780354049</v>
      </c>
      <c r="CF27" s="216">
        <v>17805.5696451004</v>
      </c>
      <c r="CG27" s="216">
        <v>20926.6315791904</v>
      </c>
      <c r="CH27" s="216">
        <v>71725.6599978542</v>
      </c>
      <c r="CI27" s="216">
        <v>23456.5202307932</v>
      </c>
      <c r="CJ27" s="216">
        <v>23022.5459320139</v>
      </c>
      <c r="CK27" s="216">
        <v>23745.7771860952</v>
      </c>
      <c r="CL27" s="216">
        <v>23596.8621852927</v>
      </c>
      <c r="CM27" s="216">
        <v>93821.7055341951</v>
      </c>
      <c r="CN27" s="216">
        <v>21440.3345011005</v>
      </c>
      <c r="CO27" s="216">
        <v>22540.3183732415</v>
      </c>
      <c r="CP27" s="216">
        <v>23277.5017690902</v>
      </c>
      <c r="CQ27" s="216">
        <v>23483.2952853515</v>
      </c>
      <c r="CR27" s="216">
        <v>90741.4499287838</v>
      </c>
      <c r="CS27" s="216">
        <v>21528.3448612864</v>
      </c>
      <c r="CT27" s="216">
        <v>23602.9783802072</v>
      </c>
      <c r="CU27" s="216">
        <v>22879.6075099466</v>
      </c>
      <c r="CV27" s="216">
        <v>22134.2493968384</v>
      </c>
      <c r="CW27" s="216">
        <v>90145.1801482786</v>
      </c>
      <c r="CX27" s="216">
        <v>21117.5939398923</v>
      </c>
      <c r="CY27" s="216">
        <v>22683.0092438495</v>
      </c>
      <c r="CZ27" s="216">
        <v>23691.7851573103</v>
      </c>
      <c r="DA27" s="216">
        <v>22651.8782576104</v>
      </c>
      <c r="DB27" s="216">
        <v>90144.2665986625</v>
      </c>
      <c r="DC27" s="217">
        <v>22361.7337929303</v>
      </c>
    </row>
    <row r="28" spans="1:107">
      <c r="A28" s="222" t="s">
        <v>352</v>
      </c>
      <c r="B28" s="223">
        <v>25579.3260779465</v>
      </c>
      <c r="C28" s="224">
        <v>28472.3333383382</v>
      </c>
      <c r="D28" s="224">
        <v>30233.9893289007</v>
      </c>
      <c r="E28" s="224">
        <v>31780.9693148786</v>
      </c>
      <c r="F28" s="224">
        <v>31780.9693148786</v>
      </c>
      <c r="G28" s="224">
        <v>33796.1466496472</v>
      </c>
      <c r="H28" s="224">
        <v>37295.5636327442</v>
      </c>
      <c r="I28" s="224">
        <v>39635.0884023085</v>
      </c>
      <c r="J28" s="224">
        <v>42615.4759793265</v>
      </c>
      <c r="K28" s="224">
        <v>42615.4759793265</v>
      </c>
      <c r="L28" s="224">
        <v>44761.293413442</v>
      </c>
      <c r="M28" s="224">
        <v>46369.3894960054</v>
      </c>
      <c r="N28" s="224">
        <v>50204.7332126671</v>
      </c>
      <c r="O28" s="224">
        <v>55378.5418817137</v>
      </c>
      <c r="P28" s="224">
        <v>55378.5418817137</v>
      </c>
      <c r="Q28" s="224">
        <v>62650.7329767194</v>
      </c>
      <c r="R28" s="224">
        <v>71744.7404426285</v>
      </c>
      <c r="S28" s="224">
        <v>75713.457430739</v>
      </c>
      <c r="T28" s="224">
        <v>71293.9730675624</v>
      </c>
      <c r="U28" s="224">
        <v>71293.9730675624</v>
      </c>
      <c r="V28" s="224">
        <v>62235.7161611101</v>
      </c>
      <c r="W28" s="224">
        <v>52622.1296551988</v>
      </c>
      <c r="X28" s="224">
        <v>48966.920424426</v>
      </c>
      <c r="Y28" s="224">
        <v>52013.5516439867</v>
      </c>
      <c r="Z28" s="224">
        <v>52013.5516439867</v>
      </c>
      <c r="AA28" s="224">
        <v>58103.5958388741</v>
      </c>
      <c r="AB28" s="224">
        <v>61978.101112839</v>
      </c>
      <c r="AC28" s="224">
        <v>63857.1198911879</v>
      </c>
      <c r="AD28" s="224">
        <v>66803.0567553825</v>
      </c>
      <c r="AE28" s="224">
        <v>66803.0567553825</v>
      </c>
      <c r="AF28" s="224">
        <v>76376.3672703184</v>
      </c>
      <c r="AG28" s="224">
        <v>83023.8102229904</v>
      </c>
      <c r="AH28" s="224">
        <v>88610.6953813155</v>
      </c>
      <c r="AI28" s="224">
        <v>93400.529965287</v>
      </c>
      <c r="AJ28" s="224">
        <v>93400.529965287</v>
      </c>
      <c r="AK28" s="224">
        <v>91956.6015910016</v>
      </c>
      <c r="AL28" s="224">
        <v>91210.3810260044</v>
      </c>
      <c r="AM28" s="224">
        <v>91730.3982727993</v>
      </c>
      <c r="AN28" s="224">
        <v>92307.1957148796</v>
      </c>
      <c r="AO28" s="224">
        <v>92307.1957148796</v>
      </c>
      <c r="AP28" s="224">
        <v>90982.8297881153</v>
      </c>
      <c r="AQ28" s="224">
        <v>90841.6167499711</v>
      </c>
      <c r="AR28" s="224">
        <v>91508.0775240864</v>
      </c>
      <c r="AS28" s="224">
        <v>93669.782203692</v>
      </c>
      <c r="AT28" s="224">
        <v>93669.782203692</v>
      </c>
      <c r="AU28" s="224">
        <v>91951.1219277873</v>
      </c>
      <c r="AV28" s="224">
        <v>90744.9377157774</v>
      </c>
      <c r="AW28" s="224">
        <v>86937.3540080702</v>
      </c>
      <c r="AX28" s="224">
        <v>77108.8119712796</v>
      </c>
      <c r="AY28" s="224">
        <v>77108.8119712796</v>
      </c>
      <c r="AZ28" s="225">
        <v>69042.1274824497</v>
      </c>
      <c r="BA28" s="225">
        <v>60806.0302107908</v>
      </c>
      <c r="BB28" s="225">
        <v>52577.3868568783</v>
      </c>
      <c r="BC28" s="225">
        <v>47824.8246769038</v>
      </c>
      <c r="BD28" s="225">
        <v>47824.8246769038</v>
      </c>
      <c r="BE28" s="225">
        <v>44036.8889979772</v>
      </c>
      <c r="BF28" s="225">
        <v>41904.7189037843</v>
      </c>
      <c r="BG28" s="225">
        <v>41676.0440871236</v>
      </c>
      <c r="BH28" s="225">
        <v>43106.088497302</v>
      </c>
      <c r="BI28" s="225">
        <v>43106.088497302</v>
      </c>
      <c r="BJ28" s="225">
        <v>46513.4902696528</v>
      </c>
      <c r="BK28" s="225">
        <v>49054.0891021654</v>
      </c>
      <c r="BL28" s="225">
        <v>52322.8654752368</v>
      </c>
      <c r="BM28" s="225">
        <v>55974.3487097421</v>
      </c>
      <c r="BN28" s="225">
        <v>55974.3487097421</v>
      </c>
      <c r="BO28" s="225">
        <v>59781.0026572995</v>
      </c>
      <c r="BP28" s="225">
        <v>63999.2695024282</v>
      </c>
      <c r="BQ28" s="225">
        <v>66862.848888927</v>
      </c>
      <c r="BR28" s="225">
        <v>66345.2304566364</v>
      </c>
      <c r="BS28" s="225">
        <v>66345.2304566364</v>
      </c>
      <c r="BT28" s="225">
        <v>66505.0245061876</v>
      </c>
      <c r="BU28" s="225">
        <v>65653.425391985</v>
      </c>
      <c r="BV28" s="225">
        <v>65667.6704812652</v>
      </c>
      <c r="BW28" s="225">
        <v>67295.7937176678</v>
      </c>
      <c r="BX28" s="225">
        <v>67295.7937176678</v>
      </c>
      <c r="BY28" s="225">
        <v>64273.2738619408</v>
      </c>
      <c r="BZ28" s="225">
        <v>57945.2668120249</v>
      </c>
      <c r="CA28" s="225">
        <v>52955.6720074249</v>
      </c>
      <c r="CB28" s="225">
        <v>49273.3510026887</v>
      </c>
      <c r="CC28" s="225">
        <v>49273.3510026887</v>
      </c>
      <c r="CD28" s="225">
        <v>50695.5886130746</v>
      </c>
      <c r="CE28" s="225">
        <v>58449.8228575712</v>
      </c>
      <c r="CF28" s="225">
        <v>64195.4380985608</v>
      </c>
      <c r="CG28" s="225">
        <v>71725.6599978542</v>
      </c>
      <c r="CH28" s="225">
        <v>71725.6599978542</v>
      </c>
      <c r="CI28" s="225">
        <v>80199.6994904888</v>
      </c>
      <c r="CJ28" s="225">
        <v>85211.2673870979</v>
      </c>
      <c r="CK28" s="225">
        <v>91151.4749280928</v>
      </c>
      <c r="CL28" s="225">
        <v>93821.7055341951</v>
      </c>
      <c r="CM28" s="225">
        <v>93821.7055341951</v>
      </c>
      <c r="CN28" s="225">
        <v>91805.5198045024</v>
      </c>
      <c r="CO28" s="225">
        <v>91323.2922457299</v>
      </c>
      <c r="CP28" s="225">
        <v>90855.0168287249</v>
      </c>
      <c r="CQ28" s="225">
        <v>90741.4499287838</v>
      </c>
      <c r="CR28" s="225">
        <v>90741.4499287838</v>
      </c>
      <c r="CS28" s="225">
        <v>90829.4602889697</v>
      </c>
      <c r="CT28" s="225">
        <v>91892.1202959354</v>
      </c>
      <c r="CU28" s="225">
        <v>91494.2260367917</v>
      </c>
      <c r="CV28" s="225">
        <v>90145.1801482786</v>
      </c>
      <c r="CW28" s="225">
        <v>90145.1801482786</v>
      </c>
      <c r="CX28" s="225">
        <v>89734.4292268844</v>
      </c>
      <c r="CY28" s="225">
        <v>88814.4600905268</v>
      </c>
      <c r="CZ28" s="225">
        <v>89626.6377378905</v>
      </c>
      <c r="DA28" s="225">
        <v>90144.2665986625</v>
      </c>
      <c r="DB28" s="225">
        <v>90144.2665986625</v>
      </c>
      <c r="DC28" s="226">
        <v>91388.4064517005</v>
      </c>
    </row>
    <row r="29" ht="9" customHeight="1" spans="1:107">
      <c r="A29" s="227"/>
      <c r="B29" s="194"/>
      <c r="C29" s="194"/>
      <c r="D29" s="194"/>
      <c r="E29" s="194"/>
      <c r="F29" s="194"/>
      <c r="G29" s="194"/>
      <c r="H29" s="194"/>
      <c r="I29" s="194"/>
      <c r="J29" s="194"/>
      <c r="K29" s="194"/>
      <c r="L29" s="194"/>
      <c r="M29" s="194"/>
      <c r="N29" s="194"/>
      <c r="O29" s="194"/>
      <c r="P29" s="194"/>
      <c r="Q29" s="194"/>
      <c r="R29" s="194"/>
      <c r="S29" s="194"/>
      <c r="T29" s="194"/>
      <c r="U29" s="194"/>
      <c r="V29" s="194"/>
      <c r="W29" s="194"/>
      <c r="X29" s="194"/>
      <c r="Y29" s="194"/>
      <c r="Z29" s="194"/>
      <c r="AA29" s="194"/>
      <c r="AB29" s="194"/>
      <c r="AC29" s="194"/>
      <c r="AD29" s="194"/>
      <c r="AE29" s="194"/>
      <c r="AF29" s="194"/>
      <c r="AG29" s="194"/>
      <c r="AH29" s="194"/>
      <c r="AI29" s="194"/>
      <c r="AJ29" s="194"/>
      <c r="AK29" s="194"/>
      <c r="AL29" s="194"/>
      <c r="AM29" s="194"/>
      <c r="AN29" s="194"/>
      <c r="AO29" s="194"/>
      <c r="AP29" s="194"/>
      <c r="AQ29" s="194"/>
      <c r="AR29" s="194"/>
      <c r="AS29" s="194"/>
      <c r="AT29" s="194"/>
      <c r="AU29" s="194"/>
      <c r="AV29" s="194"/>
      <c r="AW29" s="194"/>
      <c r="AX29" s="194"/>
      <c r="AY29" s="194"/>
      <c r="AZ29" s="216"/>
      <c r="BA29" s="216"/>
      <c r="BB29" s="216"/>
      <c r="BC29" s="216"/>
      <c r="BD29" s="216"/>
      <c r="BE29" s="216"/>
      <c r="BF29" s="216"/>
      <c r="BG29" s="216"/>
      <c r="BH29" s="216"/>
      <c r="BI29" s="216"/>
      <c r="BJ29" s="216"/>
      <c r="BK29" s="216"/>
      <c r="BL29" s="216"/>
      <c r="BM29" s="216"/>
      <c r="BN29" s="216"/>
      <c r="BO29" s="216"/>
      <c r="BP29" s="216"/>
      <c r="BQ29" s="216"/>
      <c r="BR29" s="216"/>
      <c r="BS29" s="216"/>
      <c r="BT29" s="216"/>
      <c r="BU29" s="216"/>
      <c r="BV29" s="216"/>
      <c r="BW29" s="216"/>
      <c r="BX29" s="216"/>
    </row>
    <row r="30" spans="1:107">
      <c r="A30" s="228" t="s">
        <v>353</v>
      </c>
      <c r="B30" s="228"/>
      <c r="C30" s="228"/>
      <c r="D30" s="228"/>
      <c r="E30" s="228"/>
      <c r="F30" s="228"/>
      <c r="G30" s="228"/>
      <c r="H30" s="228"/>
      <c r="I30" s="228"/>
      <c r="J30" s="228"/>
      <c r="K30" s="228"/>
      <c r="L30" s="228"/>
      <c r="M30" s="228"/>
      <c r="N30" s="228"/>
      <c r="O30" s="228"/>
      <c r="P30" s="228"/>
      <c r="Q30" s="228"/>
      <c r="R30" s="228"/>
      <c r="S30" s="228"/>
      <c r="T30" s="228"/>
      <c r="U30" s="228"/>
      <c r="V30" s="228"/>
      <c r="W30" s="228"/>
      <c r="X30" s="228"/>
      <c r="Y30" s="228"/>
      <c r="Z30" s="228"/>
      <c r="AA30" s="228"/>
      <c r="AB30" s="228"/>
      <c r="AC30" s="228"/>
      <c r="AD30" s="228"/>
      <c r="AE30" s="228"/>
      <c r="AF30" s="228"/>
      <c r="AG30" s="228"/>
      <c r="AH30" s="228"/>
      <c r="AI30" s="228"/>
      <c r="AJ30" s="228"/>
      <c r="AK30" s="228"/>
      <c r="AL30" s="228"/>
      <c r="AM30" s="228"/>
      <c r="AN30" s="228"/>
      <c r="AO30" s="228"/>
      <c r="AP30" s="228"/>
      <c r="AQ30" s="228"/>
      <c r="AR30" s="228"/>
      <c r="AS30" s="228"/>
      <c r="AT30" s="228"/>
      <c r="AU30" s="228"/>
      <c r="AV30" s="228"/>
      <c r="AW30" s="228"/>
      <c r="AX30" s="228"/>
      <c r="AY30" s="228"/>
      <c r="AZ30" s="228"/>
      <c r="BA30" s="228"/>
      <c r="BB30" s="228"/>
      <c r="BC30" s="228"/>
      <c r="BD30" s="228"/>
      <c r="BE30" s="228"/>
      <c r="BF30" s="228"/>
      <c r="BG30" s="228"/>
      <c r="BH30" s="228"/>
      <c r="BI30" s="228"/>
      <c r="BJ30" s="228"/>
      <c r="BK30" s="228"/>
      <c r="BL30" s="228"/>
      <c r="BM30" s="228"/>
      <c r="BN30" s="228"/>
      <c r="BO30" s="228"/>
      <c r="BP30" s="228"/>
      <c r="BQ30" s="228"/>
      <c r="BR30" s="228"/>
      <c r="BS30" s="228"/>
      <c r="BT30" s="228"/>
      <c r="BU30" s="228"/>
      <c r="BV30" s="229"/>
      <c r="BW30" s="229"/>
      <c r="BX30" s="230"/>
    </row>
    <row r="31" spans="1:107">
      <c r="A31" s="231" t="s">
        <v>354</v>
      </c>
      <c r="B31" s="228"/>
      <c r="C31" s="228"/>
      <c r="D31" s="228"/>
      <c r="E31" s="228"/>
      <c r="F31" s="228"/>
      <c r="G31" s="228"/>
      <c r="H31" s="228"/>
      <c r="I31" s="228"/>
      <c r="J31" s="228"/>
      <c r="K31" s="228"/>
      <c r="L31" s="228"/>
      <c r="M31" s="228"/>
      <c r="N31" s="228"/>
      <c r="O31" s="228"/>
      <c r="P31" s="228"/>
      <c r="Q31" s="228"/>
      <c r="R31" s="228"/>
      <c r="S31" s="228"/>
      <c r="T31" s="228"/>
      <c r="U31" s="228"/>
      <c r="V31" s="228"/>
      <c r="W31" s="228"/>
      <c r="X31" s="228"/>
      <c r="Y31" s="228"/>
      <c r="Z31" s="228"/>
      <c r="AA31" s="228"/>
      <c r="AB31" s="228"/>
      <c r="AC31" s="228"/>
      <c r="AD31" s="228"/>
      <c r="AE31" s="228"/>
      <c r="AF31" s="228"/>
      <c r="AG31" s="228"/>
      <c r="AH31" s="228"/>
      <c r="AI31" s="228"/>
      <c r="AJ31" s="228"/>
      <c r="AK31" s="228"/>
      <c r="AL31" s="228"/>
      <c r="AM31" s="228"/>
      <c r="AN31" s="228"/>
      <c r="AO31" s="228"/>
      <c r="AP31" s="228"/>
      <c r="AQ31" s="228"/>
      <c r="AR31" s="228"/>
      <c r="AS31" s="228"/>
      <c r="AT31" s="228"/>
      <c r="AU31" s="228"/>
      <c r="AV31" s="228"/>
      <c r="AW31" s="228"/>
      <c r="AX31" s="228"/>
      <c r="AY31" s="228"/>
      <c r="AZ31" s="228"/>
      <c r="BA31" s="228"/>
      <c r="BB31" s="228"/>
      <c r="BC31" s="228"/>
      <c r="BD31" s="228"/>
      <c r="BE31" s="228"/>
      <c r="BF31" s="228"/>
      <c r="BG31" s="228"/>
      <c r="BH31" s="228"/>
      <c r="BI31" s="228"/>
      <c r="BJ31" s="228"/>
      <c r="BK31" s="228"/>
      <c r="BL31" s="228"/>
      <c r="BM31" s="228"/>
      <c r="BN31" s="228"/>
      <c r="BO31" s="228"/>
      <c r="BP31" s="228"/>
      <c r="BQ31" s="228"/>
      <c r="BR31" s="228"/>
      <c r="BS31" s="228"/>
      <c r="BT31" s="228"/>
      <c r="BU31" s="228"/>
      <c r="BV31" s="177"/>
      <c r="BW31" s="177"/>
      <c r="BX31" s="230"/>
    </row>
    <row r="32" ht="20.25" customHeight="1" spans="1:107">
      <c r="A32" s="232" t="s">
        <v>355</v>
      </c>
      <c r="B32" s="232"/>
      <c r="C32" s="232"/>
      <c r="D32" s="232"/>
      <c r="E32" s="232"/>
      <c r="F32" s="232"/>
      <c r="G32" s="232"/>
      <c r="H32" s="232"/>
      <c r="I32" s="232"/>
      <c r="J32" s="232"/>
      <c r="K32" s="232"/>
      <c r="L32" s="232"/>
      <c r="M32" s="232"/>
      <c r="N32" s="232"/>
      <c r="O32" s="232"/>
      <c r="P32" s="232"/>
      <c r="Q32" s="232"/>
      <c r="R32" s="232"/>
      <c r="S32" s="232"/>
      <c r="T32" s="232"/>
      <c r="U32" s="232"/>
      <c r="V32" s="232"/>
      <c r="W32" s="232"/>
      <c r="X32" s="232"/>
      <c r="Y32" s="232"/>
      <c r="Z32" s="232"/>
      <c r="AA32" s="232"/>
      <c r="AB32" s="232"/>
      <c r="AC32" s="232"/>
      <c r="AD32" s="232"/>
      <c r="AE32" s="232"/>
      <c r="AF32" s="232"/>
      <c r="AG32" s="232"/>
      <c r="AH32" s="232"/>
      <c r="AI32" s="232"/>
      <c r="AJ32" s="232"/>
      <c r="AK32" s="232"/>
      <c r="AL32" s="232"/>
      <c r="AM32" s="232"/>
      <c r="AN32" s="232"/>
      <c r="AO32" s="232"/>
      <c r="AP32" s="232"/>
      <c r="AQ32" s="232"/>
      <c r="AR32" s="232"/>
      <c r="AS32" s="232"/>
      <c r="AT32" s="232"/>
      <c r="AU32" s="232"/>
      <c r="AV32" s="232"/>
      <c r="AW32" s="232"/>
      <c r="AX32" s="232"/>
      <c r="AY32" s="232"/>
      <c r="AZ32" s="232"/>
      <c r="BA32" s="232"/>
      <c r="BB32" s="232"/>
      <c r="BC32" s="232"/>
      <c r="BD32" s="232"/>
      <c r="BE32" s="232"/>
      <c r="BF32" s="232"/>
      <c r="BG32" s="232"/>
      <c r="BH32" s="232"/>
      <c r="BI32" s="232"/>
      <c r="BJ32" s="232"/>
      <c r="BK32" s="232"/>
      <c r="BL32" s="232"/>
      <c r="BM32" s="232"/>
      <c r="BN32" s="232"/>
      <c r="BO32" s="232"/>
      <c r="BP32" s="232"/>
      <c r="BQ32" s="232"/>
      <c r="BR32" s="232"/>
      <c r="BS32" s="232"/>
      <c r="BT32" s="232"/>
      <c r="BU32" s="232"/>
      <c r="BV32" s="232"/>
      <c r="BW32" s="232"/>
      <c r="BX32" s="232"/>
      <c r="BY32" s="232"/>
      <c r="BZ32" s="232"/>
      <c r="CA32" s="232"/>
      <c r="CB32" s="232"/>
      <c r="CC32" s="232"/>
      <c r="CD32" s="232"/>
      <c r="CE32" s="232"/>
    </row>
    <row r="33" spans="1:107">
      <c r="A33" s="233"/>
      <c r="B33" s="233"/>
      <c r="C33" s="233"/>
      <c r="D33" s="233"/>
      <c r="E33" s="233"/>
      <c r="F33" s="233"/>
      <c r="G33" s="233"/>
      <c r="H33" s="233"/>
      <c r="I33" s="233"/>
      <c r="J33" s="233"/>
      <c r="K33" s="233"/>
      <c r="L33" s="233"/>
      <c r="M33" s="233"/>
      <c r="N33" s="233"/>
      <c r="O33" s="233"/>
      <c r="P33" s="233"/>
      <c r="Q33" s="233"/>
      <c r="R33" s="233"/>
      <c r="S33" s="233"/>
      <c r="T33" s="233"/>
      <c r="U33" s="233"/>
      <c r="V33" s="233"/>
      <c r="W33" s="233"/>
      <c r="X33" s="233"/>
      <c r="Y33" s="233"/>
      <c r="Z33" s="233"/>
      <c r="AA33" s="233"/>
      <c r="AB33" s="233"/>
      <c r="AC33" s="233"/>
      <c r="AD33" s="233"/>
      <c r="AE33" s="233"/>
      <c r="AF33" s="233"/>
      <c r="AG33" s="233"/>
      <c r="AH33" s="233"/>
      <c r="AI33" s="233"/>
      <c r="AJ33" s="233"/>
      <c r="AK33" s="233"/>
      <c r="AL33" s="233"/>
      <c r="AM33" s="233"/>
      <c r="AN33" s="233"/>
      <c r="AO33" s="233"/>
      <c r="AP33" s="233"/>
      <c r="AQ33" s="233"/>
      <c r="AR33" s="233"/>
      <c r="AS33" s="233"/>
      <c r="AT33" s="233"/>
      <c r="AU33" s="233"/>
      <c r="AV33" s="233"/>
      <c r="AW33" s="233"/>
      <c r="AX33" s="233"/>
      <c r="AY33" s="233"/>
      <c r="AZ33" s="233"/>
      <c r="BA33" s="233"/>
      <c r="BB33" s="233"/>
      <c r="BC33" s="233"/>
      <c r="BD33" s="233"/>
      <c r="BE33" s="233"/>
      <c r="BF33" s="233"/>
      <c r="BG33" s="233"/>
      <c r="BH33" s="233"/>
      <c r="BI33" s="233"/>
      <c r="BJ33" s="234"/>
      <c r="BK33" s="234"/>
      <c r="BL33" s="234"/>
      <c r="BM33" s="234"/>
      <c r="BN33" s="234"/>
      <c r="BO33" s="234"/>
      <c r="BP33" s="234"/>
      <c r="BQ33" s="234"/>
      <c r="BR33" s="234"/>
      <c r="BS33" s="234"/>
      <c r="BT33" s="234"/>
      <c r="BU33" s="228"/>
      <c r="BV33" s="228"/>
      <c r="BW33" s="228"/>
      <c r="BZ33" s="228"/>
      <c r="CA33" s="228"/>
      <c r="CB33" s="228"/>
      <c r="CC33" s="228"/>
    </row>
    <row r="34" spans="1:107">
      <c r="J34" s="235"/>
      <c r="K34" s="235"/>
      <c r="L34" s="235"/>
      <c r="M34" s="235"/>
      <c r="N34" s="235"/>
      <c r="O34" s="235"/>
      <c r="P34" s="235"/>
      <c r="Q34" s="235"/>
      <c r="R34" s="235"/>
      <c r="S34" s="235"/>
      <c r="T34" s="235"/>
      <c r="U34" s="235"/>
      <c r="V34" s="235"/>
      <c r="W34" s="235"/>
      <c r="X34" s="235"/>
      <c r="Y34" s="235"/>
      <c r="Z34" s="235"/>
      <c r="AA34" s="235"/>
      <c r="AB34" s="235"/>
      <c r="AC34" s="235"/>
      <c r="AD34" s="235"/>
      <c r="AE34" s="235"/>
      <c r="AF34" s="235"/>
      <c r="AG34" s="235"/>
      <c r="AH34" s="235"/>
      <c r="AI34" s="235"/>
      <c r="AJ34" s="235"/>
      <c r="AK34" s="235"/>
      <c r="AL34" s="235"/>
      <c r="AM34" s="235"/>
      <c r="AN34" s="235"/>
      <c r="AO34" s="235"/>
      <c r="AP34" s="235"/>
      <c r="AQ34" s="235"/>
      <c r="AR34" s="235"/>
      <c r="AS34" s="235"/>
      <c r="AT34" s="235"/>
      <c r="AU34" s="235"/>
      <c r="AV34" s="235"/>
      <c r="AW34" s="235"/>
      <c r="AX34" s="235"/>
      <c r="AY34" s="235"/>
      <c r="AZ34" s="235"/>
      <c r="BA34" s="235"/>
      <c r="BB34" s="235"/>
      <c r="BC34" s="235"/>
      <c r="BD34" s="235"/>
      <c r="BE34" s="235"/>
      <c r="BF34" s="235"/>
      <c r="BG34" s="235"/>
      <c r="BH34" s="235"/>
      <c r="BI34" s="235"/>
      <c r="BJ34" s="236"/>
      <c r="BK34" s="236"/>
      <c r="BL34" s="236"/>
      <c r="BM34" s="236"/>
      <c r="BN34" s="236"/>
      <c r="BO34" s="236"/>
      <c r="BP34" s="236"/>
      <c r="BQ34" s="236"/>
      <c r="BR34" s="236"/>
      <c r="BS34" s="236"/>
      <c r="BT34" s="236"/>
      <c r="BU34" s="236"/>
      <c r="BV34" s="236"/>
      <c r="BW34" s="236"/>
      <c r="BX34" s="236"/>
      <c r="BY34" s="236"/>
      <c r="BZ34" s="236"/>
      <c r="CA34" s="236"/>
      <c r="CB34" s="236"/>
      <c r="CC34" s="236"/>
      <c r="CD34" s="235"/>
      <c r="CE34" s="235"/>
      <c r="CF34" s="235"/>
      <c r="CG34" s="235"/>
      <c r="CH34" s="235"/>
      <c r="CI34" s="235"/>
      <c r="CJ34" s="235"/>
      <c r="CK34" s="235"/>
      <c r="CL34" s="235"/>
      <c r="CM34" s="235"/>
      <c r="CN34" s="235"/>
      <c r="CO34" s="235"/>
      <c r="CP34" s="235"/>
      <c r="CQ34" s="235"/>
      <c r="CR34" s="235"/>
      <c r="CS34" s="235"/>
      <c r="CT34" s="235"/>
      <c r="CU34" s="235"/>
      <c r="CX34" s="235"/>
      <c r="CY34" s="235"/>
      <c r="CZ34" s="235"/>
      <c r="DC34" s="235"/>
    </row>
    <row r="35" spans="1:107">
      <c r="J35" s="235"/>
      <c r="K35" s="235"/>
      <c r="L35" s="235"/>
      <c r="M35" s="235"/>
      <c r="N35" s="235"/>
      <c r="O35" s="235"/>
      <c r="P35" s="235"/>
      <c r="Q35" s="235"/>
      <c r="R35" s="235"/>
      <c r="S35" s="235"/>
      <c r="T35" s="235"/>
      <c r="U35" s="235"/>
      <c r="V35" s="235"/>
      <c r="W35" s="235"/>
      <c r="X35" s="235"/>
      <c r="Y35" s="235"/>
      <c r="Z35" s="235"/>
      <c r="AA35" s="235"/>
      <c r="AB35" s="235"/>
      <c r="AC35" s="235"/>
      <c r="AD35" s="235"/>
      <c r="AE35" s="235"/>
      <c r="AF35" s="235"/>
      <c r="AG35" s="235"/>
      <c r="AH35" s="235"/>
      <c r="AI35" s="235"/>
      <c r="AJ35" s="235"/>
      <c r="AK35" s="235"/>
      <c r="AL35" s="235"/>
      <c r="AM35" s="235"/>
      <c r="AN35" s="235"/>
      <c r="AO35" s="235"/>
      <c r="AP35" s="235"/>
      <c r="AQ35" s="235"/>
      <c r="AR35" s="235"/>
      <c r="AS35" s="235"/>
      <c r="AT35" s="235"/>
      <c r="AU35" s="235"/>
      <c r="AV35" s="235"/>
      <c r="AW35" s="235"/>
      <c r="AX35" s="235"/>
      <c r="AY35" s="235"/>
      <c r="AZ35" s="235"/>
      <c r="BA35" s="235"/>
      <c r="BB35" s="235"/>
      <c r="BC35" s="235"/>
      <c r="BD35" s="235"/>
      <c r="BE35" s="235"/>
      <c r="BF35" s="235"/>
      <c r="BG35" s="235"/>
      <c r="BH35" s="235"/>
      <c r="BI35" s="235"/>
      <c r="BJ35" s="236"/>
      <c r="BK35" s="236"/>
      <c r="BL35" s="236"/>
      <c r="BM35" s="236"/>
      <c r="BN35" s="236"/>
      <c r="BO35" s="236"/>
      <c r="BP35" s="236"/>
      <c r="BQ35" s="236"/>
      <c r="BR35" s="236"/>
      <c r="BS35" s="236"/>
      <c r="BT35" s="236"/>
      <c r="BU35" s="236"/>
      <c r="BV35" s="236"/>
      <c r="BW35" s="236"/>
      <c r="BX35" s="236"/>
      <c r="BY35" s="236"/>
      <c r="BZ35" s="236"/>
      <c r="CA35" s="236"/>
      <c r="CB35" s="236"/>
      <c r="CC35" s="236"/>
      <c r="CD35" s="235"/>
      <c r="CE35" s="235"/>
      <c r="CF35" s="235"/>
      <c r="CG35" s="235"/>
      <c r="CH35" s="235"/>
      <c r="CI35" s="235"/>
      <c r="CJ35" s="235"/>
      <c r="CK35" s="235"/>
      <c r="CL35" s="235"/>
      <c r="CM35" s="235"/>
      <c r="CN35" s="235"/>
      <c r="CO35" s="235"/>
      <c r="CP35" s="235"/>
      <c r="CQ35" s="235"/>
      <c r="CR35" s="235"/>
      <c r="CS35" s="235"/>
      <c r="CT35" s="235"/>
      <c r="CU35" s="235"/>
      <c r="CX35" s="235"/>
      <c r="CY35" s="235"/>
      <c r="CZ35" s="235"/>
      <c r="DC35" s="235"/>
    </row>
    <row r="36" spans="1:107">
      <c r="BJ36" s="236"/>
      <c r="BK36" s="236"/>
      <c r="BL36" s="236"/>
      <c r="BM36" s="236"/>
      <c r="BN36" s="236"/>
      <c r="BO36" s="236"/>
      <c r="BP36" s="236"/>
      <c r="BQ36" s="236"/>
      <c r="BR36" s="236"/>
      <c r="BS36" s="236"/>
      <c r="BT36" s="236"/>
      <c r="BU36" s="236"/>
      <c r="BV36" s="236"/>
      <c r="BW36" s="236"/>
      <c r="BX36" s="236"/>
      <c r="BY36" s="236"/>
      <c r="BZ36" s="236"/>
      <c r="CA36" s="236"/>
      <c r="CB36" s="236"/>
      <c r="CC36" s="236"/>
    </row>
    <row r="41" spans="1:107">
      <c r="J41" s="235"/>
      <c r="K41" s="235"/>
      <c r="L41" s="235"/>
      <c r="M41" s="235"/>
      <c r="N41" s="235"/>
      <c r="O41" s="235"/>
      <c r="P41" s="235"/>
      <c r="Q41" s="235"/>
      <c r="R41" s="235"/>
      <c r="S41" s="235"/>
      <c r="T41" s="235"/>
      <c r="U41" s="235"/>
      <c r="V41" s="235"/>
      <c r="W41" s="235"/>
      <c r="X41" s="235"/>
      <c r="Y41" s="235"/>
      <c r="Z41" s="235"/>
      <c r="AA41" s="235"/>
      <c r="AB41" s="235"/>
      <c r="AC41" s="235"/>
      <c r="AD41" s="235"/>
      <c r="AE41" s="235"/>
      <c r="AF41" s="235"/>
      <c r="AG41" s="235"/>
      <c r="AH41" s="235"/>
      <c r="AI41" s="235"/>
      <c r="AJ41" s="235"/>
      <c r="AK41" s="235"/>
      <c r="AL41" s="235"/>
      <c r="AM41" s="235"/>
      <c r="AN41" s="235"/>
      <c r="AO41" s="235"/>
      <c r="AP41" s="235"/>
      <c r="AQ41" s="235"/>
      <c r="AR41" s="235"/>
      <c r="AS41" s="235"/>
      <c r="AT41" s="235"/>
      <c r="AU41" s="235"/>
      <c r="AV41" s="235"/>
      <c r="AW41" s="235"/>
      <c r="AX41" s="235"/>
      <c r="AY41" s="235"/>
      <c r="AZ41" s="235"/>
      <c r="BA41" s="235"/>
      <c r="BB41" s="235"/>
      <c r="BC41" s="235"/>
      <c r="BD41" s="235"/>
      <c r="BE41" s="235"/>
      <c r="BF41" s="235"/>
      <c r="BG41" s="235"/>
      <c r="BH41" s="235"/>
      <c r="BI41" s="235"/>
      <c r="BJ41" s="235"/>
      <c r="BK41" s="235"/>
      <c r="BL41" s="235"/>
      <c r="BM41" s="235"/>
      <c r="BN41" s="235"/>
      <c r="BO41" s="235"/>
      <c r="BP41" s="235"/>
      <c r="BQ41" s="235"/>
      <c r="BR41" s="235"/>
      <c r="BS41" s="235"/>
      <c r="BT41" s="235"/>
      <c r="BU41" s="235"/>
      <c r="BV41" s="235"/>
      <c r="BW41" s="235"/>
      <c r="BX41" s="235"/>
      <c r="BY41" s="235"/>
      <c r="BZ41" s="235"/>
      <c r="CA41" s="235"/>
      <c r="CB41" s="235"/>
      <c r="CC41" s="235"/>
      <c r="CD41" s="235"/>
      <c r="CE41" s="235"/>
      <c r="CF41" s="235"/>
      <c r="CG41" s="235"/>
      <c r="CH41" s="235"/>
      <c r="CI41" s="235"/>
      <c r="CJ41" s="235"/>
      <c r="CK41" s="235"/>
      <c r="CL41" s="235"/>
      <c r="CM41" s="235"/>
    </row>
    <row r="42" spans="1:107">
      <c r="J42" s="235"/>
      <c r="K42" s="235"/>
      <c r="L42" s="235"/>
      <c r="M42" s="235"/>
      <c r="N42" s="235"/>
      <c r="O42" s="235"/>
      <c r="P42" s="235"/>
      <c r="Q42" s="235"/>
      <c r="R42" s="235"/>
      <c r="S42" s="235"/>
      <c r="T42" s="235"/>
      <c r="U42" s="235"/>
      <c r="V42" s="235"/>
      <c r="W42" s="235"/>
      <c r="X42" s="235"/>
      <c r="Y42" s="235"/>
      <c r="Z42" s="235"/>
      <c r="AA42" s="235"/>
      <c r="AB42" s="235"/>
      <c r="AC42" s="235"/>
      <c r="AD42" s="235"/>
      <c r="AE42" s="235"/>
      <c r="AF42" s="235"/>
      <c r="AG42" s="235"/>
      <c r="AH42" s="235"/>
      <c r="AI42" s="235"/>
      <c r="AJ42" s="235"/>
      <c r="AK42" s="235"/>
      <c r="AL42" s="235"/>
      <c r="AM42" s="235"/>
      <c r="AN42" s="235"/>
      <c r="AO42" s="235"/>
      <c r="AP42" s="235"/>
      <c r="AQ42" s="235"/>
      <c r="AR42" s="235"/>
      <c r="AS42" s="235"/>
      <c r="AT42" s="235"/>
      <c r="AU42" s="235"/>
      <c r="AV42" s="235"/>
      <c r="AW42" s="235"/>
      <c r="AX42" s="235"/>
      <c r="AY42" s="235"/>
      <c r="AZ42" s="235"/>
      <c r="BA42" s="235"/>
      <c r="BB42" s="235"/>
      <c r="BC42" s="235"/>
      <c r="BD42" s="235"/>
      <c r="BE42" s="235"/>
      <c r="BF42" s="235"/>
      <c r="BG42" s="235"/>
      <c r="BH42" s="235"/>
      <c r="BI42" s="235"/>
      <c r="BJ42" s="235"/>
      <c r="BK42" s="235"/>
      <c r="BL42" s="235"/>
      <c r="BM42" s="235"/>
      <c r="BN42" s="235"/>
      <c r="BO42" s="235"/>
      <c r="BP42" s="235"/>
      <c r="BQ42" s="235"/>
      <c r="BR42" s="235"/>
      <c r="BS42" s="235"/>
      <c r="BT42" s="235"/>
      <c r="BU42" s="235"/>
      <c r="BV42" s="235"/>
      <c r="BW42" s="235"/>
      <c r="BX42" s="235"/>
      <c r="BY42" s="235"/>
      <c r="BZ42" s="235"/>
      <c r="CA42" s="235"/>
      <c r="CB42" s="235"/>
      <c r="CC42" s="235"/>
      <c r="CD42" s="235"/>
      <c r="CE42" s="235"/>
      <c r="CF42" s="235"/>
      <c r="CG42" s="235"/>
      <c r="CH42" s="235"/>
      <c r="CI42" s="235"/>
      <c r="CJ42" s="235"/>
      <c r="CK42" s="235"/>
      <c r="CL42" s="235"/>
      <c r="CM42" s="235"/>
    </row>
    <row r="49" spans="10:91">
      <c r="J49" s="237"/>
      <c r="K49" s="237"/>
      <c r="L49" s="237"/>
      <c r="M49" s="237"/>
      <c r="N49" s="237"/>
      <c r="O49" s="237"/>
      <c r="P49" s="237"/>
      <c r="Q49" s="237"/>
      <c r="R49" s="237"/>
      <c r="S49" s="237"/>
      <c r="T49" s="237"/>
      <c r="U49" s="237"/>
      <c r="V49" s="237"/>
      <c r="W49" s="237"/>
      <c r="X49" s="237"/>
      <c r="Y49" s="237"/>
      <c r="Z49" s="237"/>
      <c r="AA49" s="237"/>
      <c r="AB49" s="237"/>
      <c r="AC49" s="237"/>
      <c r="AD49" s="237"/>
      <c r="AE49" s="237"/>
      <c r="AF49" s="237"/>
      <c r="AG49" s="237"/>
      <c r="AH49" s="237"/>
      <c r="AI49" s="237"/>
      <c r="AJ49" s="237"/>
      <c r="AK49" s="237"/>
      <c r="AL49" s="237"/>
      <c r="AM49" s="237"/>
      <c r="AN49" s="237"/>
      <c r="AO49" s="237"/>
      <c r="AP49" s="237"/>
      <c r="AQ49" s="237"/>
      <c r="AR49" s="237"/>
      <c r="AS49" s="237"/>
      <c r="AT49" s="237"/>
      <c r="AU49" s="237"/>
      <c r="AV49" s="237"/>
      <c r="AW49" s="237"/>
      <c r="AX49" s="237"/>
      <c r="AY49" s="237"/>
      <c r="AZ49" s="237"/>
      <c r="BA49" s="237"/>
      <c r="BB49" s="237"/>
      <c r="BC49" s="237"/>
      <c r="BD49" s="237"/>
      <c r="BE49" s="237"/>
      <c r="BF49" s="237"/>
      <c r="BG49" s="237"/>
      <c r="BH49" s="237"/>
      <c r="BI49" s="237"/>
      <c r="BJ49" s="237"/>
      <c r="BK49" s="237"/>
      <c r="BL49" s="237"/>
      <c r="BM49" s="237"/>
      <c r="BN49" s="237"/>
      <c r="BO49" s="237"/>
      <c r="BP49" s="237"/>
      <c r="BQ49" s="237"/>
      <c r="BR49" s="237"/>
      <c r="BS49" s="237"/>
      <c r="BT49" s="237"/>
      <c r="BU49" s="237"/>
      <c r="BV49" s="237"/>
      <c r="BW49" s="237"/>
      <c r="BX49" s="237"/>
      <c r="BY49" s="237"/>
      <c r="BZ49" s="237"/>
      <c r="CA49" s="237"/>
      <c r="CB49" s="237"/>
      <c r="CC49" s="237"/>
      <c r="CD49" s="237"/>
      <c r="CE49" s="237"/>
      <c r="CF49" s="237"/>
      <c r="CG49" s="237"/>
      <c r="CH49" s="237"/>
      <c r="CI49" s="237"/>
      <c r="CJ49" s="237"/>
      <c r="CK49" s="237"/>
      <c r="CL49" s="237"/>
      <c r="CM49" s="237"/>
    </row>
    <row r="50" spans="10:91">
      <c r="J50" s="237"/>
      <c r="K50" s="237"/>
      <c r="L50" s="237"/>
      <c r="M50" s="237"/>
      <c r="N50" s="237"/>
      <c r="O50" s="237"/>
      <c r="P50" s="237"/>
      <c r="Q50" s="237"/>
      <c r="R50" s="237"/>
      <c r="S50" s="237"/>
      <c r="T50" s="237"/>
      <c r="U50" s="237"/>
      <c r="V50" s="237"/>
      <c r="W50" s="237"/>
      <c r="X50" s="237"/>
      <c r="Y50" s="237"/>
      <c r="Z50" s="237"/>
      <c r="AA50" s="237"/>
      <c r="AB50" s="237"/>
      <c r="AC50" s="237"/>
      <c r="AD50" s="237"/>
      <c r="AE50" s="237"/>
      <c r="AF50" s="237"/>
      <c r="AG50" s="237"/>
      <c r="AH50" s="237"/>
      <c r="AI50" s="237"/>
      <c r="AJ50" s="237"/>
      <c r="AK50" s="237"/>
      <c r="AL50" s="237"/>
      <c r="AM50" s="237"/>
      <c r="AN50" s="237"/>
      <c r="AO50" s="237"/>
      <c r="AP50" s="237"/>
      <c r="AQ50" s="237"/>
      <c r="AR50" s="237"/>
      <c r="AS50" s="237"/>
      <c r="AT50" s="237"/>
      <c r="AU50" s="237"/>
      <c r="AV50" s="237"/>
      <c r="AW50" s="237"/>
      <c r="AX50" s="237"/>
      <c r="AY50" s="237"/>
      <c r="AZ50" s="237"/>
      <c r="BA50" s="237"/>
      <c r="BB50" s="237"/>
      <c r="BC50" s="237"/>
      <c r="BD50" s="237"/>
      <c r="BE50" s="237"/>
      <c r="BF50" s="237"/>
      <c r="BG50" s="237"/>
      <c r="BH50" s="237"/>
      <c r="BI50" s="237"/>
      <c r="BJ50" s="237"/>
      <c r="BK50" s="237"/>
      <c r="BL50" s="237"/>
      <c r="BM50" s="237"/>
      <c r="BN50" s="237"/>
      <c r="BO50" s="237"/>
      <c r="BP50" s="237"/>
      <c r="BQ50" s="237"/>
      <c r="BR50" s="237"/>
      <c r="BS50" s="237"/>
      <c r="BT50" s="237"/>
      <c r="BU50" s="237"/>
      <c r="BV50" s="237"/>
      <c r="BW50" s="237"/>
      <c r="BX50" s="237"/>
      <c r="BY50" s="237"/>
      <c r="BZ50" s="237"/>
      <c r="CA50" s="237"/>
      <c r="CB50" s="237"/>
      <c r="CC50" s="237"/>
      <c r="CD50" s="237"/>
      <c r="CE50" s="237"/>
      <c r="CF50" s="237"/>
      <c r="CG50" s="237"/>
      <c r="CH50" s="237"/>
      <c r="CI50" s="237"/>
      <c r="CJ50" s="237"/>
      <c r="CK50" s="237"/>
      <c r="CL50" s="237"/>
      <c r="CM50" s="237"/>
    </row>
    <row r="51" spans="10:91">
      <c r="J51" s="237"/>
    </row>
  </sheetData>
  <printOptions horizontalCentered="1"/>
  <pageMargins left="0.15748031496063" right="0.078740157480315" top="0.275590551181102" bottom="0.393700787401575" header="0.236220472440945" footer="0"/>
  <pageSetup paperSize="9" scale="79" orientation="landscape" verticalDpi="144"/>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Z29"/>
  <sheetViews>
    <sheetView zoomScale="85" zoomScaleNormal="85" zoomScaleSheetLayoutView="85" workbookViewId="0">
      <pane xSplit="1" ySplit="4" topLeftCell="DB5" activePane="bottomRight" state="frozen"/>
      <selection/>
      <selection pane="topRight"/>
      <selection pane="bottomLeft"/>
      <selection pane="bottomRight" activeCell="A1" sqref="A1"/>
    </sheetView>
  </sheetViews>
  <sheetFormatPr defaultColWidth="9" defaultRowHeight="16.8"/>
  <cols>
    <col min="1" max="1" width="26.4296875" customWidth="1"/>
    <col min="2" max="2" width="12.140625" customWidth="1"/>
    <col min="3" max="3" width="10.5703125" hidden="1" customWidth="1" outlineLevel="1"/>
    <col min="4" max="4" width="11.2890625" hidden="1" customWidth="1" outlineLevel="1"/>
    <col min="5" max="5" width="10.7109375" hidden="1" customWidth="1" outlineLevel="1"/>
    <col min="6" max="6" width="11.7109375" customWidth="1" collapsed="1"/>
    <col min="7" max="7" width="10.5703125" hidden="1" customWidth="1" outlineLevel="1"/>
    <col min="8" max="8" width="10.7109375" hidden="1" customWidth="1" outlineLevel="1"/>
    <col min="9" max="9" width="10" hidden="1" customWidth="1" outlineLevel="1"/>
    <col min="10" max="10" width="11.7109375" customWidth="1" collapsed="1"/>
    <col min="11" max="11" width="11" hidden="1" customWidth="1" outlineLevel="1"/>
    <col min="12" max="12" width="10.4296875" hidden="1" customWidth="1" outlineLevel="1"/>
    <col min="13" max="13" width="10" hidden="1" customWidth="1" outlineLevel="1"/>
    <col min="14" max="14" width="11.4296875" customWidth="1" collapsed="1"/>
    <col min="15" max="15" width="10.5703125" hidden="1" customWidth="1" outlineLevel="1"/>
    <col min="16" max="16" width="10.2890625" hidden="1" customWidth="1" outlineLevel="1"/>
    <col min="17" max="17" width="9.4296875" hidden="1" customWidth="1" outlineLevel="1"/>
    <col min="18" max="18" width="11.5703125" customWidth="1" collapsed="1"/>
    <col min="19" max="20" width="10.4296875" hidden="1" customWidth="1" outlineLevel="1"/>
    <col min="21" max="21" width="9.859375" hidden="1" customWidth="1" outlineLevel="1"/>
    <col min="22" max="22" width="11.859375" customWidth="1" collapsed="1"/>
    <col min="23" max="23" width="10.2890625" hidden="1" customWidth="1" outlineLevel="1"/>
    <col min="24" max="24" width="10.859375" hidden="1" customWidth="1" outlineLevel="1"/>
    <col min="25" max="25" width="9.2890625" hidden="1" customWidth="1" outlineLevel="1"/>
    <col min="26" max="26" width="11.859375" customWidth="1" collapsed="1"/>
    <col min="27" max="27" width="10.4296875" hidden="1" customWidth="1" outlineLevel="1"/>
    <col min="28" max="28" width="10.859375" hidden="1" customWidth="1" outlineLevel="1"/>
    <col min="29" max="29" width="10.2890625" hidden="1" customWidth="1" outlineLevel="1"/>
    <col min="30" max="30" width="11.859375" customWidth="1" collapsed="1"/>
    <col min="31" max="31" width="10.859375" hidden="1" customWidth="1" outlineLevel="1"/>
    <col min="32" max="32" width="10.7109375" hidden="1" customWidth="1" outlineLevel="1"/>
    <col min="33" max="33" width="9.140625" hidden="1" customWidth="1" outlineLevel="1"/>
    <col min="34" max="34" width="12" customWidth="1" collapsed="1"/>
    <col min="35" max="36" width="11" hidden="1" customWidth="1" outlineLevel="1"/>
    <col min="37" max="37" width="9.7109375" hidden="1" customWidth="1" outlineLevel="1"/>
    <col min="38" max="38" width="12" customWidth="1" collapsed="1"/>
    <col min="39" max="39" width="10.7109375" hidden="1" customWidth="1" outlineLevel="1"/>
    <col min="40" max="40" width="11.140625" hidden="1" customWidth="1" outlineLevel="1"/>
    <col min="41" max="41" width="9.140625" hidden="1" customWidth="1" outlineLevel="1"/>
    <col min="42" max="42" width="12.140625" customWidth="1" collapsed="1"/>
    <col min="43" max="43" width="10.4296875" hidden="1" customWidth="1" outlineLevel="1"/>
    <col min="44" max="44" width="10.859375" hidden="1" customWidth="1" outlineLevel="1"/>
    <col min="45" max="45" width="9.859375" hidden="1" customWidth="1" outlineLevel="1"/>
    <col min="46" max="46" width="12" customWidth="1" collapsed="1"/>
    <col min="47" max="47" width="10.5703125" hidden="1" customWidth="1" outlineLevel="1"/>
    <col min="48" max="48" width="10.7109375" hidden="1" customWidth="1" outlineLevel="1"/>
    <col min="49" max="49" width="9.140625" hidden="1" customWidth="1" outlineLevel="1"/>
    <col min="50" max="50" width="11.859375" customWidth="1" collapsed="1"/>
    <col min="51" max="51" width="10.5703125" hidden="1" customWidth="1" outlineLevel="1"/>
    <col min="52" max="52" width="10.7109375" hidden="1" customWidth="1" outlineLevel="1"/>
    <col min="53" max="53" width="9.140625" hidden="1" customWidth="1" outlineLevel="1"/>
    <col min="54" max="54" width="11.859375" customWidth="1" collapsed="1"/>
    <col min="55" max="56" width="10.2890625" hidden="1" customWidth="1" outlineLevel="1"/>
    <col min="57" max="57" width="9.140625" hidden="1" customWidth="1" outlineLevel="1"/>
    <col min="58" max="58" width="12" customWidth="1" collapsed="1"/>
    <col min="59" max="59" width="10.4296875" hidden="1" customWidth="1" outlineLevel="1"/>
    <col min="60" max="60" width="10.859375" hidden="1" customWidth="1" outlineLevel="1"/>
    <col min="61" max="61" width="9.140625" hidden="1" customWidth="1" outlineLevel="1"/>
    <col min="62" max="62" width="10.859375" customWidth="1" collapsed="1"/>
    <col min="63" max="63" width="10.859375" hidden="1" customWidth="1" outlineLevel="1"/>
    <col min="64" max="64" width="11.859375" hidden="1" customWidth="1" outlineLevel="1"/>
    <col min="65" max="65" width="9.140625" hidden="1" customWidth="1" outlineLevel="1"/>
    <col min="66" max="66" width="11.859375" customWidth="1" collapsed="1"/>
    <col min="67" max="67" width="10.5703125" hidden="1" customWidth="1" outlineLevel="1"/>
    <col min="68" max="68" width="10.2890625" hidden="1" customWidth="1" outlineLevel="1"/>
    <col min="69" max="69" width="9.140625" hidden="1" customWidth="1" outlineLevel="1"/>
    <col min="70" max="70" width="10.7109375" customWidth="1" collapsed="1"/>
    <col min="71" max="71" width="10.4296875" hidden="1" customWidth="1" outlineLevel="1"/>
    <col min="72" max="72" width="11.7109375" hidden="1" customWidth="1" outlineLevel="1"/>
    <col min="73" max="73" width="9.140625" hidden="1" customWidth="1" outlineLevel="1"/>
    <col min="74" max="74" width="11.4296875" customWidth="1" collapsed="1"/>
    <col min="75" max="75" width="12.140625" hidden="1" customWidth="1" outlineLevel="1"/>
    <col min="76" max="76" width="11.7109375" hidden="1" customWidth="1" outlineLevel="1"/>
    <col min="77" max="77" width="10.4296875" hidden="1" customWidth="1" outlineLevel="1"/>
    <col min="78" max="78" width="11.4296875" customWidth="1" collapsed="1"/>
    <col min="79" max="79" width="11.140625" hidden="1" customWidth="1" outlineLevel="1"/>
    <col min="80" max="80" width="10.7109375" hidden="1" customWidth="1" outlineLevel="1"/>
    <col min="81" max="81" width="9.140625" hidden="1" customWidth="1" outlineLevel="1"/>
    <col min="82" max="82" width="11.859375" customWidth="1" collapsed="1"/>
    <col min="83" max="83" width="12.4296875" hidden="1" customWidth="1" outlineLevel="1"/>
    <col min="84" max="84" width="11.7109375" hidden="1" customWidth="1" outlineLevel="1"/>
    <col min="85" max="85" width="10.5703125" hidden="1" customWidth="1" outlineLevel="1"/>
    <col min="86" max="86" width="11.859375" customWidth="1" collapsed="1"/>
    <col min="87" max="88" width="10.2890625" hidden="1" customWidth="1" outlineLevel="1"/>
    <col min="89" max="89" width="9.140625" hidden="1" customWidth="1" outlineLevel="1"/>
    <col min="90" max="90" width="11.4296875" customWidth="1" collapsed="1"/>
    <col min="91" max="91" width="10.2890625" hidden="1" customWidth="1" outlineLevel="1"/>
    <col min="92" max="92" width="11" hidden="1" customWidth="1" outlineLevel="1"/>
    <col min="93" max="93" width="9.140625" hidden="1" customWidth="1" outlineLevel="1"/>
    <col min="94" max="94" width="11.4296875" customWidth="1" collapsed="1"/>
    <col min="95" max="95" width="10.4296875" hidden="1" customWidth="1" outlineLevel="1"/>
    <col min="96" max="96" width="11.4296875" hidden="1" customWidth="1" outlineLevel="1"/>
    <col min="97" max="97" width="9.140625" hidden="1" customWidth="1" outlineLevel="1"/>
    <col min="98" max="98" width="11.4296875" customWidth="1" collapsed="1"/>
    <col min="99" max="99" width="10.7109375" hidden="1" customWidth="1" outlineLevel="1"/>
    <col min="100" max="100" width="12" hidden="1" customWidth="1" outlineLevel="1"/>
    <col min="101" max="101" width="10.140625" hidden="1" customWidth="1" outlineLevel="1"/>
    <col min="102" max="102" width="11.7109375" customWidth="1" collapsed="1"/>
    <col min="103" max="105" width="11" hidden="1" customWidth="1" outlineLevel="1"/>
    <col min="106" max="106" width="11.5703125" customWidth="1" collapsed="1"/>
    <col min="107" max="107" width="11" hidden="1" customWidth="1" outlineLevel="1" collapsed="1"/>
    <col min="108" max="109" width="11" hidden="1" customWidth="1" outlineLevel="1"/>
    <col min="110" max="110" width="11.7109375" customWidth="1" collapsed="1"/>
    <col min="111" max="111" width="11" hidden="1" customWidth="1" outlineLevel="1" collapsed="1"/>
    <col min="112" max="113" width="11" hidden="1" customWidth="1" outlineLevel="1"/>
    <col min="114" max="114" width="11.7109375" customWidth="1" collapsed="1"/>
    <col min="115" max="115" width="11" hidden="1" customWidth="1" outlineLevel="1" collapsed="1"/>
    <col min="116" max="117" width="11" hidden="1" customWidth="1" outlineLevel="1"/>
    <col min="118" max="118" width="11.7109375" customWidth="1" collapsed="1"/>
    <col min="119" max="119" width="11" hidden="1" customWidth="1" outlineLevel="1" collapsed="1"/>
    <col min="120" max="121" width="11" hidden="1" customWidth="1" outlineLevel="1"/>
    <col min="122" max="122" width="11.7109375" customWidth="1" collapsed="1"/>
    <col min="123" max="123" width="11" hidden="1" customWidth="1" outlineLevel="1" collapsed="1"/>
    <col min="124" max="125" width="11" hidden="1" customWidth="1" outlineLevel="1"/>
    <col min="126" max="126" width="11.7109375" customWidth="1" collapsed="1"/>
    <col min="127" max="127" width="11" hidden="1" customWidth="1" outlineLevel="1" collapsed="1"/>
    <col min="128" max="129" width="11" hidden="1" customWidth="1" outlineLevel="1"/>
    <col min="130" max="130" width="11.7109375" customWidth="1" collapsed="1"/>
    <col min="131" max="131" width="11" hidden="1" customWidth="1" outlineLevel="1" collapsed="1"/>
    <col min="132" max="133" width="11" hidden="1" customWidth="1" outlineLevel="1"/>
    <col min="134" max="134" width="11.7109375" customWidth="1" collapsed="1"/>
    <col min="135" max="135" width="11" hidden="1" customWidth="1" outlineLevel="1" collapsed="1"/>
    <col min="136" max="137" width="11" hidden="1" customWidth="1" outlineLevel="1"/>
    <col min="138" max="138" width="11.7109375" customWidth="1" collapsed="1"/>
    <col min="139" max="139" width="11" hidden="1" customWidth="1" outlineLevel="1" collapsed="1"/>
    <col min="140" max="141" width="11" hidden="1" customWidth="1" outlineLevel="1"/>
    <col min="142" max="142" width="11.7109375" customWidth="1" collapsed="1"/>
    <col min="143" max="143" width="11" hidden="1" customWidth="1" outlineLevel="1" collapsed="1"/>
    <col min="144" max="145" width="11" hidden="1" customWidth="1" outlineLevel="1"/>
    <col min="146" max="146" width="11.7109375" customWidth="1" collapsed="1"/>
    <col min="147" max="147" width="11" hidden="1" customWidth="1" outlineLevel="1" collapsed="1"/>
    <col min="148" max="149" width="11" hidden="1" customWidth="1" outlineLevel="1"/>
    <col min="150" max="150" width="11.7109375" customWidth="1" collapsed="1"/>
    <col min="151" max="151" width="11" hidden="1" customWidth="1" outlineLevel="1" collapsed="1"/>
    <col min="152" max="153" width="11" hidden="1" customWidth="1" outlineLevel="1"/>
    <col min="154" max="154" width="11.7109375" customWidth="1" collapsed="1"/>
    <col min="155" max="155" width="11" hidden="1" customWidth="1" outlineLevel="1" collapsed="1"/>
    <col min="156" max="157" width="11" hidden="1" customWidth="1" outlineLevel="1"/>
    <col min="158" max="158" width="11.7109375" customWidth="1" collapsed="1"/>
    <col min="159" max="159" width="11" hidden="1" customWidth="1" outlineLevel="1" collapsed="1"/>
    <col min="160" max="161" width="11" hidden="1" customWidth="1" outlineLevel="1"/>
    <col min="162" max="162" width="11.7109375" customWidth="1" collapsed="1"/>
    <col min="163" max="163" width="11" hidden="1" customWidth="1" outlineLevel="1" collapsed="1"/>
    <col min="164" max="165" width="11" hidden="1" customWidth="1" outlineLevel="1"/>
    <col min="166" max="166" width="11.7109375" customWidth="1" collapsed="1"/>
    <col min="167" max="167" width="11" hidden="1" customWidth="1" outlineLevel="1" collapsed="1"/>
    <col min="168" max="169" width="11" hidden="1" customWidth="1" outlineLevel="1"/>
    <col min="170" max="170" width="11.7109375" customWidth="1" collapsed="1"/>
    <col min="171" max="171" width="11" hidden="1" customWidth="1" outlineLevel="1" collapsed="1"/>
    <col min="172" max="173" width="11" hidden="1" customWidth="1" outlineLevel="1"/>
    <col min="174" max="174" width="11.7109375" customWidth="1" collapsed="1"/>
    <col min="175" max="175" width="11" hidden="1" customWidth="1" outlineLevel="1" collapsed="1"/>
    <col min="176" max="177" width="11" hidden="1" customWidth="1" outlineLevel="1"/>
    <col min="178" max="178" width="11.7109375" customWidth="1" collapsed="1"/>
    <col min="179" max="179" width="11" customWidth="1" collapsed="1"/>
    <col min="180" max="181" width="11" customWidth="1"/>
    <col min="182" max="182" width="11.7109375" customWidth="1"/>
    <col min="257" max="257" width="26.4296875" customWidth="1"/>
    <col min="258" max="258" width="12.140625" customWidth="1"/>
    <col min="259" max="261" width="9" hidden="1" customWidth="1"/>
    <col min="262" max="262" width="11.7109375" customWidth="1"/>
    <col min="263" max="265" width="9" hidden="1" customWidth="1"/>
    <col min="266" max="266" width="11.7109375" customWidth="1"/>
    <col min="267" max="269" width="9" hidden="1" customWidth="1"/>
    <col min="270" max="270" width="11.4296875" customWidth="1"/>
    <col min="271" max="273" width="9" hidden="1" customWidth="1"/>
    <col min="274" max="274" width="11.5703125" customWidth="1"/>
    <col min="275" max="277" width="9" hidden="1" customWidth="1"/>
    <col min="278" max="278" width="11.859375" customWidth="1"/>
    <col min="279" max="281" width="9" hidden="1" customWidth="1"/>
    <col min="282" max="282" width="11.859375" customWidth="1"/>
    <col min="283" max="285" width="9" hidden="1" customWidth="1"/>
    <col min="286" max="286" width="11.859375" customWidth="1"/>
    <col min="287" max="289" width="9" hidden="1" customWidth="1"/>
    <col min="290" max="290" width="12" customWidth="1"/>
    <col min="291" max="293" width="9" hidden="1" customWidth="1"/>
    <col min="294" max="294" width="12" customWidth="1"/>
    <col min="295" max="297" width="9" hidden="1" customWidth="1"/>
    <col min="298" max="298" width="12.140625" customWidth="1"/>
    <col min="299" max="301" width="9" hidden="1" customWidth="1"/>
    <col min="302" max="302" width="12" customWidth="1"/>
    <col min="303" max="305" width="9" hidden="1" customWidth="1"/>
    <col min="306" max="306" width="11.859375" customWidth="1"/>
    <col min="307" max="309" width="9" hidden="1" customWidth="1"/>
    <col min="310" max="310" width="11.859375" customWidth="1"/>
    <col min="311" max="313" width="9" hidden="1" customWidth="1"/>
    <col min="314" max="314" width="12" customWidth="1"/>
    <col min="315" max="317" width="9" hidden="1" customWidth="1"/>
    <col min="318" max="318" width="10.859375" customWidth="1"/>
    <col min="319" max="321" width="9" hidden="1" customWidth="1"/>
    <col min="322" max="322" width="11.859375" customWidth="1"/>
    <col min="323" max="325" width="9" hidden="1" customWidth="1"/>
    <col min="326" max="326" width="10.7109375" customWidth="1"/>
    <col min="327" max="329" width="9" hidden="1" customWidth="1"/>
    <col min="330" max="330" width="11.4296875" customWidth="1"/>
    <col min="331" max="333" width="9" hidden="1" customWidth="1"/>
    <col min="334" max="334" width="11.4296875" customWidth="1"/>
    <col min="338" max="338" width="11.859375" customWidth="1"/>
    <col min="513" max="513" width="26.4296875" customWidth="1"/>
    <col min="514" max="514" width="12.140625" customWidth="1"/>
    <col min="515" max="517" width="9" hidden="1" customWidth="1"/>
    <col min="518" max="518" width="11.7109375" customWidth="1"/>
    <col min="519" max="521" width="9" hidden="1" customWidth="1"/>
    <col min="522" max="522" width="11.7109375" customWidth="1"/>
    <col min="523" max="525" width="9" hidden="1" customWidth="1"/>
    <col min="526" max="526" width="11.4296875" customWidth="1"/>
    <col min="527" max="529" width="9" hidden="1" customWidth="1"/>
    <col min="530" max="530" width="11.5703125" customWidth="1"/>
    <col min="531" max="533" width="9" hidden="1" customWidth="1"/>
    <col min="534" max="534" width="11.859375" customWidth="1"/>
    <col min="535" max="537" width="9" hidden="1" customWidth="1"/>
    <col min="538" max="538" width="11.859375" customWidth="1"/>
    <col min="539" max="541" width="9" hidden="1" customWidth="1"/>
    <col min="542" max="542" width="11.859375" customWidth="1"/>
    <col min="543" max="545" width="9" hidden="1" customWidth="1"/>
    <col min="546" max="546" width="12" customWidth="1"/>
    <col min="547" max="549" width="9" hidden="1" customWidth="1"/>
    <col min="550" max="550" width="12" customWidth="1"/>
    <col min="551" max="553" width="9" hidden="1" customWidth="1"/>
    <col min="554" max="554" width="12.140625" customWidth="1"/>
    <col min="555" max="557" width="9" hidden="1" customWidth="1"/>
    <col min="558" max="558" width="12" customWidth="1"/>
    <col min="559" max="561" width="9" hidden="1" customWidth="1"/>
    <col min="562" max="562" width="11.859375" customWidth="1"/>
    <col min="563" max="565" width="9" hidden="1" customWidth="1"/>
    <col min="566" max="566" width="11.859375" customWidth="1"/>
    <col min="567" max="569" width="9" hidden="1" customWidth="1"/>
    <col min="570" max="570" width="12" customWidth="1"/>
    <col min="571" max="573" width="9" hidden="1" customWidth="1"/>
    <col min="574" max="574" width="10.859375" customWidth="1"/>
    <col min="575" max="577" width="9" hidden="1" customWidth="1"/>
    <col min="578" max="578" width="11.859375" customWidth="1"/>
    <col min="579" max="581" width="9" hidden="1" customWidth="1"/>
    <col min="582" max="582" width="10.7109375" customWidth="1"/>
    <col min="583" max="585" width="9" hidden="1" customWidth="1"/>
    <col min="586" max="586" width="11.4296875" customWidth="1"/>
    <col min="587" max="589" width="9" hidden="1" customWidth="1"/>
    <col min="590" max="590" width="11.4296875" customWidth="1"/>
    <col min="594" max="594" width="11.859375" customWidth="1"/>
    <col min="769" max="769" width="26.4296875" customWidth="1"/>
    <col min="770" max="770" width="12.140625" customWidth="1"/>
    <col min="771" max="773" width="9" hidden="1" customWidth="1"/>
    <col min="774" max="774" width="11.7109375" customWidth="1"/>
    <col min="775" max="777" width="9" hidden="1" customWidth="1"/>
    <col min="778" max="778" width="11.7109375" customWidth="1"/>
    <col min="779" max="781" width="9" hidden="1" customWidth="1"/>
    <col min="782" max="782" width="11.4296875" customWidth="1"/>
    <col min="783" max="785" width="9" hidden="1" customWidth="1"/>
    <col min="786" max="786" width="11.5703125" customWidth="1"/>
    <col min="787" max="789" width="9" hidden="1" customWidth="1"/>
    <col min="790" max="790" width="11.859375" customWidth="1"/>
    <col min="791" max="793" width="9" hidden="1" customWidth="1"/>
    <col min="794" max="794" width="11.859375" customWidth="1"/>
    <col min="795" max="797" width="9" hidden="1" customWidth="1"/>
    <col min="798" max="798" width="11.859375" customWidth="1"/>
    <col min="799" max="801" width="9" hidden="1" customWidth="1"/>
    <col min="802" max="802" width="12" customWidth="1"/>
    <col min="803" max="805" width="9" hidden="1" customWidth="1"/>
    <col min="806" max="806" width="12" customWidth="1"/>
    <col min="807" max="809" width="9" hidden="1" customWidth="1"/>
    <col min="810" max="810" width="12.140625" customWidth="1"/>
    <col min="811" max="813" width="9" hidden="1" customWidth="1"/>
    <col min="814" max="814" width="12" customWidth="1"/>
    <col min="815" max="817" width="9" hidden="1" customWidth="1"/>
    <col min="818" max="818" width="11.859375" customWidth="1"/>
    <col min="819" max="821" width="9" hidden="1" customWidth="1"/>
    <col min="822" max="822" width="11.859375" customWidth="1"/>
    <col min="823" max="825" width="9" hidden="1" customWidth="1"/>
    <col min="826" max="826" width="12" customWidth="1"/>
    <col min="827" max="829" width="9" hidden="1" customWidth="1"/>
    <col min="830" max="830" width="10.859375" customWidth="1"/>
    <col min="831" max="833" width="9" hidden="1" customWidth="1"/>
    <col min="834" max="834" width="11.859375" customWidth="1"/>
    <col min="835" max="837" width="9" hidden="1" customWidth="1"/>
    <col min="838" max="838" width="10.7109375" customWidth="1"/>
    <col min="839" max="841" width="9" hidden="1" customWidth="1"/>
    <col min="842" max="842" width="11.4296875" customWidth="1"/>
    <col min="843" max="845" width="9" hidden="1" customWidth="1"/>
    <col min="846" max="846" width="11.4296875" customWidth="1"/>
    <col min="850" max="850" width="11.859375" customWidth="1"/>
    <col min="1025" max="1025" width="26.4296875" customWidth="1"/>
    <col min="1026" max="1026" width="12.140625" customWidth="1"/>
    <col min="1027" max="1029" width="9" hidden="1" customWidth="1"/>
    <col min="1030" max="1030" width="11.7109375" customWidth="1"/>
    <col min="1031" max="1033" width="9" hidden="1" customWidth="1"/>
    <col min="1034" max="1034" width="11.7109375" customWidth="1"/>
    <col min="1035" max="1037" width="9" hidden="1" customWidth="1"/>
    <col min="1038" max="1038" width="11.4296875" customWidth="1"/>
    <col min="1039" max="1041" width="9" hidden="1" customWidth="1"/>
    <col min="1042" max="1042" width="11.5703125" customWidth="1"/>
    <col min="1043" max="1045" width="9" hidden="1" customWidth="1"/>
    <col min="1046" max="1046" width="11.859375" customWidth="1"/>
    <col min="1047" max="1049" width="9" hidden="1" customWidth="1"/>
    <col min="1050" max="1050" width="11.859375" customWidth="1"/>
    <col min="1051" max="1053" width="9" hidden="1" customWidth="1"/>
    <col min="1054" max="1054" width="11.859375" customWidth="1"/>
    <col min="1055" max="1057" width="9" hidden="1" customWidth="1"/>
    <col min="1058" max="1058" width="12" customWidth="1"/>
    <col min="1059" max="1061" width="9" hidden="1" customWidth="1"/>
    <col min="1062" max="1062" width="12" customWidth="1"/>
    <col min="1063" max="1065" width="9" hidden="1" customWidth="1"/>
    <col min="1066" max="1066" width="12.140625" customWidth="1"/>
    <col min="1067" max="1069" width="9" hidden="1" customWidth="1"/>
    <col min="1070" max="1070" width="12" customWidth="1"/>
    <col min="1071" max="1073" width="9" hidden="1" customWidth="1"/>
    <col min="1074" max="1074" width="11.859375" customWidth="1"/>
    <col min="1075" max="1077" width="9" hidden="1" customWidth="1"/>
    <col min="1078" max="1078" width="11.859375" customWidth="1"/>
    <col min="1079" max="1081" width="9" hidden="1" customWidth="1"/>
    <col min="1082" max="1082" width="12" customWidth="1"/>
    <col min="1083" max="1085" width="9" hidden="1" customWidth="1"/>
    <col min="1086" max="1086" width="10.859375" customWidth="1"/>
    <col min="1087" max="1089" width="9" hidden="1" customWidth="1"/>
    <col min="1090" max="1090" width="11.859375" customWidth="1"/>
    <col min="1091" max="1093" width="9" hidden="1" customWidth="1"/>
    <col min="1094" max="1094" width="10.7109375" customWidth="1"/>
    <col min="1095" max="1097" width="9" hidden="1" customWidth="1"/>
    <col min="1098" max="1098" width="11.4296875" customWidth="1"/>
    <col min="1099" max="1101" width="9" hidden="1" customWidth="1"/>
    <col min="1102" max="1102" width="11.4296875" customWidth="1"/>
    <col min="1106" max="1106" width="11.859375" customWidth="1"/>
    <col min="1281" max="1281" width="26.4296875" customWidth="1"/>
    <col min="1282" max="1282" width="12.140625" customWidth="1"/>
    <col min="1283" max="1285" width="9" hidden="1" customWidth="1"/>
    <col min="1286" max="1286" width="11.7109375" customWidth="1"/>
    <col min="1287" max="1289" width="9" hidden="1" customWidth="1"/>
    <col min="1290" max="1290" width="11.7109375" customWidth="1"/>
    <col min="1291" max="1293" width="9" hidden="1" customWidth="1"/>
    <col min="1294" max="1294" width="11.4296875" customWidth="1"/>
    <col min="1295" max="1297" width="9" hidden="1" customWidth="1"/>
    <col min="1298" max="1298" width="11.5703125" customWidth="1"/>
    <col min="1299" max="1301" width="9" hidden="1" customWidth="1"/>
    <col min="1302" max="1302" width="11.859375" customWidth="1"/>
    <col min="1303" max="1305" width="9" hidden="1" customWidth="1"/>
    <col min="1306" max="1306" width="11.859375" customWidth="1"/>
    <col min="1307" max="1309" width="9" hidden="1" customWidth="1"/>
    <col min="1310" max="1310" width="11.859375" customWidth="1"/>
    <col min="1311" max="1313" width="9" hidden="1" customWidth="1"/>
    <col min="1314" max="1314" width="12" customWidth="1"/>
    <col min="1315" max="1317" width="9" hidden="1" customWidth="1"/>
    <col min="1318" max="1318" width="12" customWidth="1"/>
    <col min="1319" max="1321" width="9" hidden="1" customWidth="1"/>
    <col min="1322" max="1322" width="12.140625" customWidth="1"/>
    <col min="1323" max="1325" width="9" hidden="1" customWidth="1"/>
    <col min="1326" max="1326" width="12" customWidth="1"/>
    <col min="1327" max="1329" width="9" hidden="1" customWidth="1"/>
    <col min="1330" max="1330" width="11.859375" customWidth="1"/>
    <col min="1331" max="1333" width="9" hidden="1" customWidth="1"/>
    <col min="1334" max="1334" width="11.859375" customWidth="1"/>
    <col min="1335" max="1337" width="9" hidden="1" customWidth="1"/>
    <col min="1338" max="1338" width="12" customWidth="1"/>
    <col min="1339" max="1341" width="9" hidden="1" customWidth="1"/>
    <col min="1342" max="1342" width="10.859375" customWidth="1"/>
    <col min="1343" max="1345" width="9" hidden="1" customWidth="1"/>
    <col min="1346" max="1346" width="11.859375" customWidth="1"/>
    <col min="1347" max="1349" width="9" hidden="1" customWidth="1"/>
    <col min="1350" max="1350" width="10.7109375" customWidth="1"/>
    <col min="1351" max="1353" width="9" hidden="1" customWidth="1"/>
    <col min="1354" max="1354" width="11.4296875" customWidth="1"/>
    <col min="1355" max="1357" width="9" hidden="1" customWidth="1"/>
    <col min="1358" max="1358" width="11.4296875" customWidth="1"/>
    <col min="1362" max="1362" width="11.859375" customWidth="1"/>
    <col min="1537" max="1537" width="26.4296875" customWidth="1"/>
    <col min="1538" max="1538" width="12.140625" customWidth="1"/>
    <col min="1539" max="1541" width="9" hidden="1" customWidth="1"/>
    <col min="1542" max="1542" width="11.7109375" customWidth="1"/>
    <col min="1543" max="1545" width="9" hidden="1" customWidth="1"/>
    <col min="1546" max="1546" width="11.7109375" customWidth="1"/>
    <col min="1547" max="1549" width="9" hidden="1" customWidth="1"/>
    <col min="1550" max="1550" width="11.4296875" customWidth="1"/>
    <col min="1551" max="1553" width="9" hidden="1" customWidth="1"/>
    <col min="1554" max="1554" width="11.5703125" customWidth="1"/>
    <col min="1555" max="1557" width="9" hidden="1" customWidth="1"/>
    <col min="1558" max="1558" width="11.859375" customWidth="1"/>
    <col min="1559" max="1561" width="9" hidden="1" customWidth="1"/>
    <col min="1562" max="1562" width="11.859375" customWidth="1"/>
    <col min="1563" max="1565" width="9" hidden="1" customWidth="1"/>
    <col min="1566" max="1566" width="11.859375" customWidth="1"/>
    <col min="1567" max="1569" width="9" hidden="1" customWidth="1"/>
    <col min="1570" max="1570" width="12" customWidth="1"/>
    <col min="1571" max="1573" width="9" hidden="1" customWidth="1"/>
    <col min="1574" max="1574" width="12" customWidth="1"/>
    <col min="1575" max="1577" width="9" hidden="1" customWidth="1"/>
    <col min="1578" max="1578" width="12.140625" customWidth="1"/>
    <col min="1579" max="1581" width="9" hidden="1" customWidth="1"/>
    <col min="1582" max="1582" width="12" customWidth="1"/>
    <col min="1583" max="1585" width="9" hidden="1" customWidth="1"/>
    <col min="1586" max="1586" width="11.859375" customWidth="1"/>
    <col min="1587" max="1589" width="9" hidden="1" customWidth="1"/>
    <col min="1590" max="1590" width="11.859375" customWidth="1"/>
    <col min="1591" max="1593" width="9" hidden="1" customWidth="1"/>
    <col min="1594" max="1594" width="12" customWidth="1"/>
    <col min="1595" max="1597" width="9" hidden="1" customWidth="1"/>
    <col min="1598" max="1598" width="10.859375" customWidth="1"/>
    <col min="1599" max="1601" width="9" hidden="1" customWidth="1"/>
    <col min="1602" max="1602" width="11.859375" customWidth="1"/>
    <col min="1603" max="1605" width="9" hidden="1" customWidth="1"/>
    <col min="1606" max="1606" width="10.7109375" customWidth="1"/>
    <col min="1607" max="1609" width="9" hidden="1" customWidth="1"/>
    <col min="1610" max="1610" width="11.4296875" customWidth="1"/>
    <col min="1611" max="1613" width="9" hidden="1" customWidth="1"/>
    <col min="1614" max="1614" width="11.4296875" customWidth="1"/>
    <col min="1618" max="1618" width="11.859375" customWidth="1"/>
    <col min="1793" max="1793" width="26.4296875" customWidth="1"/>
    <col min="1794" max="1794" width="12.140625" customWidth="1"/>
    <col min="1795" max="1797" width="9" hidden="1" customWidth="1"/>
    <col min="1798" max="1798" width="11.7109375" customWidth="1"/>
    <col min="1799" max="1801" width="9" hidden="1" customWidth="1"/>
    <col min="1802" max="1802" width="11.7109375" customWidth="1"/>
    <col min="1803" max="1805" width="9" hidden="1" customWidth="1"/>
    <col min="1806" max="1806" width="11.4296875" customWidth="1"/>
    <col min="1807" max="1809" width="9" hidden="1" customWidth="1"/>
    <col min="1810" max="1810" width="11.5703125" customWidth="1"/>
    <col min="1811" max="1813" width="9" hidden="1" customWidth="1"/>
    <col min="1814" max="1814" width="11.859375" customWidth="1"/>
    <col min="1815" max="1817" width="9" hidden="1" customWidth="1"/>
    <col min="1818" max="1818" width="11.859375" customWidth="1"/>
    <col min="1819" max="1821" width="9" hidden="1" customWidth="1"/>
    <col min="1822" max="1822" width="11.859375" customWidth="1"/>
    <col min="1823" max="1825" width="9" hidden="1" customWidth="1"/>
    <col min="1826" max="1826" width="12" customWidth="1"/>
    <col min="1827" max="1829" width="9" hidden="1" customWidth="1"/>
    <col min="1830" max="1830" width="12" customWidth="1"/>
    <col min="1831" max="1833" width="9" hidden="1" customWidth="1"/>
    <col min="1834" max="1834" width="12.140625" customWidth="1"/>
    <col min="1835" max="1837" width="9" hidden="1" customWidth="1"/>
    <col min="1838" max="1838" width="12" customWidth="1"/>
    <col min="1839" max="1841" width="9" hidden="1" customWidth="1"/>
    <col min="1842" max="1842" width="11.859375" customWidth="1"/>
    <col min="1843" max="1845" width="9" hidden="1" customWidth="1"/>
    <col min="1846" max="1846" width="11.859375" customWidth="1"/>
    <col min="1847" max="1849" width="9" hidden="1" customWidth="1"/>
    <col min="1850" max="1850" width="12" customWidth="1"/>
    <col min="1851" max="1853" width="9" hidden="1" customWidth="1"/>
    <col min="1854" max="1854" width="10.859375" customWidth="1"/>
    <col min="1855" max="1857" width="9" hidden="1" customWidth="1"/>
    <col min="1858" max="1858" width="11.859375" customWidth="1"/>
    <col min="1859" max="1861" width="9" hidden="1" customWidth="1"/>
    <col min="1862" max="1862" width="10.7109375" customWidth="1"/>
    <col min="1863" max="1865" width="9" hidden="1" customWidth="1"/>
    <col min="1866" max="1866" width="11.4296875" customWidth="1"/>
    <col min="1867" max="1869" width="9" hidden="1" customWidth="1"/>
    <col min="1870" max="1870" width="11.4296875" customWidth="1"/>
    <col min="1874" max="1874" width="11.859375" customWidth="1"/>
    <col min="2049" max="2049" width="26.4296875" customWidth="1"/>
    <col min="2050" max="2050" width="12.140625" customWidth="1"/>
    <col min="2051" max="2053" width="9" hidden="1" customWidth="1"/>
    <col min="2054" max="2054" width="11.7109375" customWidth="1"/>
    <col min="2055" max="2057" width="9" hidden="1" customWidth="1"/>
    <col min="2058" max="2058" width="11.7109375" customWidth="1"/>
    <col min="2059" max="2061" width="9" hidden="1" customWidth="1"/>
    <col min="2062" max="2062" width="11.4296875" customWidth="1"/>
    <col min="2063" max="2065" width="9" hidden="1" customWidth="1"/>
    <col min="2066" max="2066" width="11.5703125" customWidth="1"/>
    <col min="2067" max="2069" width="9" hidden="1" customWidth="1"/>
    <col min="2070" max="2070" width="11.859375" customWidth="1"/>
    <col min="2071" max="2073" width="9" hidden="1" customWidth="1"/>
    <col min="2074" max="2074" width="11.859375" customWidth="1"/>
    <col min="2075" max="2077" width="9" hidden="1" customWidth="1"/>
    <col min="2078" max="2078" width="11.859375" customWidth="1"/>
    <col min="2079" max="2081" width="9" hidden="1" customWidth="1"/>
    <col min="2082" max="2082" width="12" customWidth="1"/>
    <col min="2083" max="2085" width="9" hidden="1" customWidth="1"/>
    <col min="2086" max="2086" width="12" customWidth="1"/>
    <col min="2087" max="2089" width="9" hidden="1" customWidth="1"/>
    <col min="2090" max="2090" width="12.140625" customWidth="1"/>
    <col min="2091" max="2093" width="9" hidden="1" customWidth="1"/>
    <col min="2094" max="2094" width="12" customWidth="1"/>
    <col min="2095" max="2097" width="9" hidden="1" customWidth="1"/>
    <col min="2098" max="2098" width="11.859375" customWidth="1"/>
    <col min="2099" max="2101" width="9" hidden="1" customWidth="1"/>
    <col min="2102" max="2102" width="11.859375" customWidth="1"/>
    <col min="2103" max="2105" width="9" hidden="1" customWidth="1"/>
    <col min="2106" max="2106" width="12" customWidth="1"/>
    <col min="2107" max="2109" width="9" hidden="1" customWidth="1"/>
    <col min="2110" max="2110" width="10.859375" customWidth="1"/>
    <col min="2111" max="2113" width="9" hidden="1" customWidth="1"/>
    <col min="2114" max="2114" width="11.859375" customWidth="1"/>
    <col min="2115" max="2117" width="9" hidden="1" customWidth="1"/>
    <col min="2118" max="2118" width="10.7109375" customWidth="1"/>
    <col min="2119" max="2121" width="9" hidden="1" customWidth="1"/>
    <col min="2122" max="2122" width="11.4296875" customWidth="1"/>
    <col min="2123" max="2125" width="9" hidden="1" customWidth="1"/>
    <col min="2126" max="2126" width="11.4296875" customWidth="1"/>
    <col min="2130" max="2130" width="11.859375" customWidth="1"/>
    <col min="2305" max="2305" width="26.4296875" customWidth="1"/>
    <col min="2306" max="2306" width="12.140625" customWidth="1"/>
    <col min="2307" max="2309" width="9" hidden="1" customWidth="1"/>
    <col min="2310" max="2310" width="11.7109375" customWidth="1"/>
    <col min="2311" max="2313" width="9" hidden="1" customWidth="1"/>
    <col min="2314" max="2314" width="11.7109375" customWidth="1"/>
    <col min="2315" max="2317" width="9" hidden="1" customWidth="1"/>
    <col min="2318" max="2318" width="11.4296875" customWidth="1"/>
    <col min="2319" max="2321" width="9" hidden="1" customWidth="1"/>
    <col min="2322" max="2322" width="11.5703125" customWidth="1"/>
    <col min="2323" max="2325" width="9" hidden="1" customWidth="1"/>
    <col min="2326" max="2326" width="11.859375" customWidth="1"/>
    <col min="2327" max="2329" width="9" hidden="1" customWidth="1"/>
    <col min="2330" max="2330" width="11.859375" customWidth="1"/>
    <col min="2331" max="2333" width="9" hidden="1" customWidth="1"/>
    <col min="2334" max="2334" width="11.859375" customWidth="1"/>
    <col min="2335" max="2337" width="9" hidden="1" customWidth="1"/>
    <col min="2338" max="2338" width="12" customWidth="1"/>
    <col min="2339" max="2341" width="9" hidden="1" customWidth="1"/>
    <col min="2342" max="2342" width="12" customWidth="1"/>
    <col min="2343" max="2345" width="9" hidden="1" customWidth="1"/>
    <col min="2346" max="2346" width="12.140625" customWidth="1"/>
    <col min="2347" max="2349" width="9" hidden="1" customWidth="1"/>
    <col min="2350" max="2350" width="12" customWidth="1"/>
    <col min="2351" max="2353" width="9" hidden="1" customWidth="1"/>
    <col min="2354" max="2354" width="11.859375" customWidth="1"/>
    <col min="2355" max="2357" width="9" hidden="1" customWidth="1"/>
    <col min="2358" max="2358" width="11.859375" customWidth="1"/>
    <col min="2359" max="2361" width="9" hidden="1" customWidth="1"/>
    <col min="2362" max="2362" width="12" customWidth="1"/>
    <col min="2363" max="2365" width="9" hidden="1" customWidth="1"/>
    <col min="2366" max="2366" width="10.859375" customWidth="1"/>
    <col min="2367" max="2369" width="9" hidden="1" customWidth="1"/>
    <col min="2370" max="2370" width="11.859375" customWidth="1"/>
    <col min="2371" max="2373" width="9" hidden="1" customWidth="1"/>
    <col min="2374" max="2374" width="10.7109375" customWidth="1"/>
    <col min="2375" max="2377" width="9" hidden="1" customWidth="1"/>
    <col min="2378" max="2378" width="11.4296875" customWidth="1"/>
    <col min="2379" max="2381" width="9" hidden="1" customWidth="1"/>
    <col min="2382" max="2382" width="11.4296875" customWidth="1"/>
    <col min="2386" max="2386" width="11.859375" customWidth="1"/>
    <col min="2561" max="2561" width="26.4296875" customWidth="1"/>
    <col min="2562" max="2562" width="12.140625" customWidth="1"/>
    <col min="2563" max="2565" width="9" hidden="1" customWidth="1"/>
    <col min="2566" max="2566" width="11.7109375" customWidth="1"/>
    <col min="2567" max="2569" width="9" hidden="1" customWidth="1"/>
    <col min="2570" max="2570" width="11.7109375" customWidth="1"/>
    <col min="2571" max="2573" width="9" hidden="1" customWidth="1"/>
    <col min="2574" max="2574" width="11.4296875" customWidth="1"/>
    <col min="2575" max="2577" width="9" hidden="1" customWidth="1"/>
    <col min="2578" max="2578" width="11.5703125" customWidth="1"/>
    <col min="2579" max="2581" width="9" hidden="1" customWidth="1"/>
    <col min="2582" max="2582" width="11.859375" customWidth="1"/>
    <col min="2583" max="2585" width="9" hidden="1" customWidth="1"/>
    <col min="2586" max="2586" width="11.859375" customWidth="1"/>
    <col min="2587" max="2589" width="9" hidden="1" customWidth="1"/>
    <col min="2590" max="2590" width="11.859375" customWidth="1"/>
    <col min="2591" max="2593" width="9" hidden="1" customWidth="1"/>
    <col min="2594" max="2594" width="12" customWidth="1"/>
    <col min="2595" max="2597" width="9" hidden="1" customWidth="1"/>
    <col min="2598" max="2598" width="12" customWidth="1"/>
    <col min="2599" max="2601" width="9" hidden="1" customWidth="1"/>
    <col min="2602" max="2602" width="12.140625" customWidth="1"/>
    <col min="2603" max="2605" width="9" hidden="1" customWidth="1"/>
    <col min="2606" max="2606" width="12" customWidth="1"/>
    <col min="2607" max="2609" width="9" hidden="1" customWidth="1"/>
    <col min="2610" max="2610" width="11.859375" customWidth="1"/>
    <col min="2611" max="2613" width="9" hidden="1" customWidth="1"/>
    <col min="2614" max="2614" width="11.859375" customWidth="1"/>
    <col min="2615" max="2617" width="9" hidden="1" customWidth="1"/>
    <col min="2618" max="2618" width="12" customWidth="1"/>
    <col min="2619" max="2621" width="9" hidden="1" customWidth="1"/>
    <col min="2622" max="2622" width="10.859375" customWidth="1"/>
    <col min="2623" max="2625" width="9" hidden="1" customWidth="1"/>
    <col min="2626" max="2626" width="11.859375" customWidth="1"/>
    <col min="2627" max="2629" width="9" hidden="1" customWidth="1"/>
    <col min="2630" max="2630" width="10.7109375" customWidth="1"/>
    <col min="2631" max="2633" width="9" hidden="1" customWidth="1"/>
    <col min="2634" max="2634" width="11.4296875" customWidth="1"/>
    <col min="2635" max="2637" width="9" hidden="1" customWidth="1"/>
    <col min="2638" max="2638" width="11.4296875" customWidth="1"/>
    <col min="2642" max="2642" width="11.859375" customWidth="1"/>
    <col min="2817" max="2817" width="26.4296875" customWidth="1"/>
    <col min="2818" max="2818" width="12.140625" customWidth="1"/>
    <col min="2819" max="2821" width="9" hidden="1" customWidth="1"/>
    <col min="2822" max="2822" width="11.7109375" customWidth="1"/>
    <col min="2823" max="2825" width="9" hidden="1" customWidth="1"/>
    <col min="2826" max="2826" width="11.7109375" customWidth="1"/>
    <col min="2827" max="2829" width="9" hidden="1" customWidth="1"/>
    <col min="2830" max="2830" width="11.4296875" customWidth="1"/>
    <col min="2831" max="2833" width="9" hidden="1" customWidth="1"/>
    <col min="2834" max="2834" width="11.5703125" customWidth="1"/>
    <col min="2835" max="2837" width="9" hidden="1" customWidth="1"/>
    <col min="2838" max="2838" width="11.859375" customWidth="1"/>
    <col min="2839" max="2841" width="9" hidden="1" customWidth="1"/>
    <col min="2842" max="2842" width="11.859375" customWidth="1"/>
    <col min="2843" max="2845" width="9" hidden="1" customWidth="1"/>
    <col min="2846" max="2846" width="11.859375" customWidth="1"/>
    <col min="2847" max="2849" width="9" hidden="1" customWidth="1"/>
    <col min="2850" max="2850" width="12" customWidth="1"/>
    <col min="2851" max="2853" width="9" hidden="1" customWidth="1"/>
    <col min="2854" max="2854" width="12" customWidth="1"/>
    <col min="2855" max="2857" width="9" hidden="1" customWidth="1"/>
    <col min="2858" max="2858" width="12.140625" customWidth="1"/>
    <col min="2859" max="2861" width="9" hidden="1" customWidth="1"/>
    <col min="2862" max="2862" width="12" customWidth="1"/>
    <col min="2863" max="2865" width="9" hidden="1" customWidth="1"/>
    <col min="2866" max="2866" width="11.859375" customWidth="1"/>
    <col min="2867" max="2869" width="9" hidden="1" customWidth="1"/>
    <col min="2870" max="2870" width="11.859375" customWidth="1"/>
    <col min="2871" max="2873" width="9" hidden="1" customWidth="1"/>
    <col min="2874" max="2874" width="12" customWidth="1"/>
    <col min="2875" max="2877" width="9" hidden="1" customWidth="1"/>
    <col min="2878" max="2878" width="10.859375" customWidth="1"/>
    <col min="2879" max="2881" width="9" hidden="1" customWidth="1"/>
    <col min="2882" max="2882" width="11.859375" customWidth="1"/>
    <col min="2883" max="2885" width="9" hidden="1" customWidth="1"/>
    <col min="2886" max="2886" width="10.7109375" customWidth="1"/>
    <col min="2887" max="2889" width="9" hidden="1" customWidth="1"/>
    <col min="2890" max="2890" width="11.4296875" customWidth="1"/>
    <col min="2891" max="2893" width="9" hidden="1" customWidth="1"/>
    <col min="2894" max="2894" width="11.4296875" customWidth="1"/>
    <col min="2898" max="2898" width="11.859375" customWidth="1"/>
    <col min="3073" max="3073" width="26.4296875" customWidth="1"/>
    <col min="3074" max="3074" width="12.140625" customWidth="1"/>
    <col min="3075" max="3077" width="9" hidden="1" customWidth="1"/>
    <col min="3078" max="3078" width="11.7109375" customWidth="1"/>
    <col min="3079" max="3081" width="9" hidden="1" customWidth="1"/>
    <col min="3082" max="3082" width="11.7109375" customWidth="1"/>
    <col min="3083" max="3085" width="9" hidden="1" customWidth="1"/>
    <col min="3086" max="3086" width="11.4296875" customWidth="1"/>
    <col min="3087" max="3089" width="9" hidden="1" customWidth="1"/>
    <col min="3090" max="3090" width="11.5703125" customWidth="1"/>
    <col min="3091" max="3093" width="9" hidden="1" customWidth="1"/>
    <col min="3094" max="3094" width="11.859375" customWidth="1"/>
    <col min="3095" max="3097" width="9" hidden="1" customWidth="1"/>
    <col min="3098" max="3098" width="11.859375" customWidth="1"/>
    <col min="3099" max="3101" width="9" hidden="1" customWidth="1"/>
    <col min="3102" max="3102" width="11.859375" customWidth="1"/>
    <col min="3103" max="3105" width="9" hidden="1" customWidth="1"/>
    <col min="3106" max="3106" width="12" customWidth="1"/>
    <col min="3107" max="3109" width="9" hidden="1" customWidth="1"/>
    <col min="3110" max="3110" width="12" customWidth="1"/>
    <col min="3111" max="3113" width="9" hidden="1" customWidth="1"/>
    <col min="3114" max="3114" width="12.140625" customWidth="1"/>
    <col min="3115" max="3117" width="9" hidden="1" customWidth="1"/>
    <col min="3118" max="3118" width="12" customWidth="1"/>
    <col min="3119" max="3121" width="9" hidden="1" customWidth="1"/>
    <col min="3122" max="3122" width="11.859375" customWidth="1"/>
    <col min="3123" max="3125" width="9" hidden="1" customWidth="1"/>
    <col min="3126" max="3126" width="11.859375" customWidth="1"/>
    <col min="3127" max="3129" width="9" hidden="1" customWidth="1"/>
    <col min="3130" max="3130" width="12" customWidth="1"/>
    <col min="3131" max="3133" width="9" hidden="1" customWidth="1"/>
    <col min="3134" max="3134" width="10.859375" customWidth="1"/>
    <col min="3135" max="3137" width="9" hidden="1" customWidth="1"/>
    <col min="3138" max="3138" width="11.859375" customWidth="1"/>
    <col min="3139" max="3141" width="9" hidden="1" customWidth="1"/>
    <col min="3142" max="3142" width="10.7109375" customWidth="1"/>
    <col min="3143" max="3145" width="9" hidden="1" customWidth="1"/>
    <col min="3146" max="3146" width="11.4296875" customWidth="1"/>
    <col min="3147" max="3149" width="9" hidden="1" customWidth="1"/>
    <col min="3150" max="3150" width="11.4296875" customWidth="1"/>
    <col min="3154" max="3154" width="11.859375" customWidth="1"/>
    <col min="3329" max="3329" width="26.4296875" customWidth="1"/>
    <col min="3330" max="3330" width="12.140625" customWidth="1"/>
    <col min="3331" max="3333" width="9" hidden="1" customWidth="1"/>
    <col min="3334" max="3334" width="11.7109375" customWidth="1"/>
    <col min="3335" max="3337" width="9" hidden="1" customWidth="1"/>
    <col min="3338" max="3338" width="11.7109375" customWidth="1"/>
    <col min="3339" max="3341" width="9" hidden="1" customWidth="1"/>
    <col min="3342" max="3342" width="11.4296875" customWidth="1"/>
    <col min="3343" max="3345" width="9" hidden="1" customWidth="1"/>
    <col min="3346" max="3346" width="11.5703125" customWidth="1"/>
    <col min="3347" max="3349" width="9" hidden="1" customWidth="1"/>
    <col min="3350" max="3350" width="11.859375" customWidth="1"/>
    <col min="3351" max="3353" width="9" hidden="1" customWidth="1"/>
    <col min="3354" max="3354" width="11.859375" customWidth="1"/>
    <col min="3355" max="3357" width="9" hidden="1" customWidth="1"/>
    <col min="3358" max="3358" width="11.859375" customWidth="1"/>
    <col min="3359" max="3361" width="9" hidden="1" customWidth="1"/>
    <col min="3362" max="3362" width="12" customWidth="1"/>
    <col min="3363" max="3365" width="9" hidden="1" customWidth="1"/>
    <col min="3366" max="3366" width="12" customWidth="1"/>
    <col min="3367" max="3369" width="9" hidden="1" customWidth="1"/>
    <col min="3370" max="3370" width="12.140625" customWidth="1"/>
    <col min="3371" max="3373" width="9" hidden="1" customWidth="1"/>
    <col min="3374" max="3374" width="12" customWidth="1"/>
    <col min="3375" max="3377" width="9" hidden="1" customWidth="1"/>
    <col min="3378" max="3378" width="11.859375" customWidth="1"/>
    <col min="3379" max="3381" width="9" hidden="1" customWidth="1"/>
    <col min="3382" max="3382" width="11.859375" customWidth="1"/>
    <col min="3383" max="3385" width="9" hidden="1" customWidth="1"/>
    <col min="3386" max="3386" width="12" customWidth="1"/>
    <col min="3387" max="3389" width="9" hidden="1" customWidth="1"/>
    <col min="3390" max="3390" width="10.859375" customWidth="1"/>
    <col min="3391" max="3393" width="9" hidden="1" customWidth="1"/>
    <col min="3394" max="3394" width="11.859375" customWidth="1"/>
    <col min="3395" max="3397" width="9" hidden="1" customWidth="1"/>
    <col min="3398" max="3398" width="10.7109375" customWidth="1"/>
    <col min="3399" max="3401" width="9" hidden="1" customWidth="1"/>
    <col min="3402" max="3402" width="11.4296875" customWidth="1"/>
    <col min="3403" max="3405" width="9" hidden="1" customWidth="1"/>
    <col min="3406" max="3406" width="11.4296875" customWidth="1"/>
    <col min="3410" max="3410" width="11.859375" customWidth="1"/>
    <col min="3585" max="3585" width="26.4296875" customWidth="1"/>
    <col min="3586" max="3586" width="12.140625" customWidth="1"/>
    <col min="3587" max="3589" width="9" hidden="1" customWidth="1"/>
    <col min="3590" max="3590" width="11.7109375" customWidth="1"/>
    <col min="3591" max="3593" width="9" hidden="1" customWidth="1"/>
    <col min="3594" max="3594" width="11.7109375" customWidth="1"/>
    <col min="3595" max="3597" width="9" hidden="1" customWidth="1"/>
    <col min="3598" max="3598" width="11.4296875" customWidth="1"/>
    <col min="3599" max="3601" width="9" hidden="1" customWidth="1"/>
    <col min="3602" max="3602" width="11.5703125" customWidth="1"/>
    <col min="3603" max="3605" width="9" hidden="1" customWidth="1"/>
    <col min="3606" max="3606" width="11.859375" customWidth="1"/>
    <col min="3607" max="3609" width="9" hidden="1" customWidth="1"/>
    <col min="3610" max="3610" width="11.859375" customWidth="1"/>
    <col min="3611" max="3613" width="9" hidden="1" customWidth="1"/>
    <col min="3614" max="3614" width="11.859375" customWidth="1"/>
    <col min="3615" max="3617" width="9" hidden="1" customWidth="1"/>
    <col min="3618" max="3618" width="12" customWidth="1"/>
    <col min="3619" max="3621" width="9" hidden="1" customWidth="1"/>
    <col min="3622" max="3622" width="12" customWidth="1"/>
    <col min="3623" max="3625" width="9" hidden="1" customWidth="1"/>
    <col min="3626" max="3626" width="12.140625" customWidth="1"/>
    <col min="3627" max="3629" width="9" hidden="1" customWidth="1"/>
    <col min="3630" max="3630" width="12" customWidth="1"/>
    <col min="3631" max="3633" width="9" hidden="1" customWidth="1"/>
    <col min="3634" max="3634" width="11.859375" customWidth="1"/>
    <col min="3635" max="3637" width="9" hidden="1" customWidth="1"/>
    <col min="3638" max="3638" width="11.859375" customWidth="1"/>
    <col min="3639" max="3641" width="9" hidden="1" customWidth="1"/>
    <col min="3642" max="3642" width="12" customWidth="1"/>
    <col min="3643" max="3645" width="9" hidden="1" customWidth="1"/>
    <col min="3646" max="3646" width="10.859375" customWidth="1"/>
    <col min="3647" max="3649" width="9" hidden="1" customWidth="1"/>
    <col min="3650" max="3650" width="11.859375" customWidth="1"/>
    <col min="3651" max="3653" width="9" hidden="1" customWidth="1"/>
    <col min="3654" max="3654" width="10.7109375" customWidth="1"/>
    <col min="3655" max="3657" width="9" hidden="1" customWidth="1"/>
    <col min="3658" max="3658" width="11.4296875" customWidth="1"/>
    <col min="3659" max="3661" width="9" hidden="1" customWidth="1"/>
    <col min="3662" max="3662" width="11.4296875" customWidth="1"/>
    <col min="3666" max="3666" width="11.859375" customWidth="1"/>
    <col min="3841" max="3841" width="26.4296875" customWidth="1"/>
    <col min="3842" max="3842" width="12.140625" customWidth="1"/>
    <col min="3843" max="3845" width="9" hidden="1" customWidth="1"/>
    <col min="3846" max="3846" width="11.7109375" customWidth="1"/>
    <col min="3847" max="3849" width="9" hidden="1" customWidth="1"/>
    <col min="3850" max="3850" width="11.7109375" customWidth="1"/>
    <col min="3851" max="3853" width="9" hidden="1" customWidth="1"/>
    <col min="3854" max="3854" width="11.4296875" customWidth="1"/>
    <col min="3855" max="3857" width="9" hidden="1" customWidth="1"/>
    <col min="3858" max="3858" width="11.5703125" customWidth="1"/>
    <col min="3859" max="3861" width="9" hidden="1" customWidth="1"/>
    <col min="3862" max="3862" width="11.859375" customWidth="1"/>
    <col min="3863" max="3865" width="9" hidden="1" customWidth="1"/>
    <col min="3866" max="3866" width="11.859375" customWidth="1"/>
    <col min="3867" max="3869" width="9" hidden="1" customWidth="1"/>
    <col min="3870" max="3870" width="11.859375" customWidth="1"/>
    <col min="3871" max="3873" width="9" hidden="1" customWidth="1"/>
    <col min="3874" max="3874" width="12" customWidth="1"/>
    <col min="3875" max="3877" width="9" hidden="1" customWidth="1"/>
    <col min="3878" max="3878" width="12" customWidth="1"/>
    <col min="3879" max="3881" width="9" hidden="1" customWidth="1"/>
    <col min="3882" max="3882" width="12.140625" customWidth="1"/>
    <col min="3883" max="3885" width="9" hidden="1" customWidth="1"/>
    <col min="3886" max="3886" width="12" customWidth="1"/>
    <col min="3887" max="3889" width="9" hidden="1" customWidth="1"/>
    <col min="3890" max="3890" width="11.859375" customWidth="1"/>
    <col min="3891" max="3893" width="9" hidden="1" customWidth="1"/>
    <col min="3894" max="3894" width="11.859375" customWidth="1"/>
    <col min="3895" max="3897" width="9" hidden="1" customWidth="1"/>
    <col min="3898" max="3898" width="12" customWidth="1"/>
    <col min="3899" max="3901" width="9" hidden="1" customWidth="1"/>
    <col min="3902" max="3902" width="10.859375" customWidth="1"/>
    <col min="3903" max="3905" width="9" hidden="1" customWidth="1"/>
    <col min="3906" max="3906" width="11.859375" customWidth="1"/>
    <col min="3907" max="3909" width="9" hidden="1" customWidth="1"/>
    <col min="3910" max="3910" width="10.7109375" customWidth="1"/>
    <col min="3911" max="3913" width="9" hidden="1" customWidth="1"/>
    <col min="3914" max="3914" width="11.4296875" customWidth="1"/>
    <col min="3915" max="3917" width="9" hidden="1" customWidth="1"/>
    <col min="3918" max="3918" width="11.4296875" customWidth="1"/>
    <col min="3922" max="3922" width="11.859375" customWidth="1"/>
    <col min="4097" max="4097" width="26.4296875" customWidth="1"/>
    <col min="4098" max="4098" width="12.140625" customWidth="1"/>
    <col min="4099" max="4101" width="9" hidden="1" customWidth="1"/>
    <col min="4102" max="4102" width="11.7109375" customWidth="1"/>
    <col min="4103" max="4105" width="9" hidden="1" customWidth="1"/>
    <col min="4106" max="4106" width="11.7109375" customWidth="1"/>
    <col min="4107" max="4109" width="9" hidden="1" customWidth="1"/>
    <col min="4110" max="4110" width="11.4296875" customWidth="1"/>
    <col min="4111" max="4113" width="9" hidden="1" customWidth="1"/>
    <col min="4114" max="4114" width="11.5703125" customWidth="1"/>
    <col min="4115" max="4117" width="9" hidden="1" customWidth="1"/>
    <col min="4118" max="4118" width="11.859375" customWidth="1"/>
    <col min="4119" max="4121" width="9" hidden="1" customWidth="1"/>
    <col min="4122" max="4122" width="11.859375" customWidth="1"/>
    <col min="4123" max="4125" width="9" hidden="1" customWidth="1"/>
    <col min="4126" max="4126" width="11.859375" customWidth="1"/>
    <col min="4127" max="4129" width="9" hidden="1" customWidth="1"/>
    <col min="4130" max="4130" width="12" customWidth="1"/>
    <col min="4131" max="4133" width="9" hidden="1" customWidth="1"/>
    <col min="4134" max="4134" width="12" customWidth="1"/>
    <col min="4135" max="4137" width="9" hidden="1" customWidth="1"/>
    <col min="4138" max="4138" width="12.140625" customWidth="1"/>
    <col min="4139" max="4141" width="9" hidden="1" customWidth="1"/>
    <col min="4142" max="4142" width="12" customWidth="1"/>
    <col min="4143" max="4145" width="9" hidden="1" customWidth="1"/>
    <col min="4146" max="4146" width="11.859375" customWidth="1"/>
    <col min="4147" max="4149" width="9" hidden="1" customWidth="1"/>
    <col min="4150" max="4150" width="11.859375" customWidth="1"/>
    <col min="4151" max="4153" width="9" hidden="1" customWidth="1"/>
    <col min="4154" max="4154" width="12" customWidth="1"/>
    <col min="4155" max="4157" width="9" hidden="1" customWidth="1"/>
    <col min="4158" max="4158" width="10.859375" customWidth="1"/>
    <col min="4159" max="4161" width="9" hidden="1" customWidth="1"/>
    <col min="4162" max="4162" width="11.859375" customWidth="1"/>
    <col min="4163" max="4165" width="9" hidden="1" customWidth="1"/>
    <col min="4166" max="4166" width="10.7109375" customWidth="1"/>
    <col min="4167" max="4169" width="9" hidden="1" customWidth="1"/>
    <col min="4170" max="4170" width="11.4296875" customWidth="1"/>
    <col min="4171" max="4173" width="9" hidden="1" customWidth="1"/>
    <col min="4174" max="4174" width="11.4296875" customWidth="1"/>
    <col min="4178" max="4178" width="11.859375" customWidth="1"/>
    <col min="4353" max="4353" width="26.4296875" customWidth="1"/>
    <col min="4354" max="4354" width="12.140625" customWidth="1"/>
    <col min="4355" max="4357" width="9" hidden="1" customWidth="1"/>
    <col min="4358" max="4358" width="11.7109375" customWidth="1"/>
    <col min="4359" max="4361" width="9" hidden="1" customWidth="1"/>
    <col min="4362" max="4362" width="11.7109375" customWidth="1"/>
    <col min="4363" max="4365" width="9" hidden="1" customWidth="1"/>
    <col min="4366" max="4366" width="11.4296875" customWidth="1"/>
    <col min="4367" max="4369" width="9" hidden="1" customWidth="1"/>
    <col min="4370" max="4370" width="11.5703125" customWidth="1"/>
    <col min="4371" max="4373" width="9" hidden="1" customWidth="1"/>
    <col min="4374" max="4374" width="11.859375" customWidth="1"/>
    <col min="4375" max="4377" width="9" hidden="1" customWidth="1"/>
    <col min="4378" max="4378" width="11.859375" customWidth="1"/>
    <col min="4379" max="4381" width="9" hidden="1" customWidth="1"/>
    <col min="4382" max="4382" width="11.859375" customWidth="1"/>
    <col min="4383" max="4385" width="9" hidden="1" customWidth="1"/>
    <col min="4386" max="4386" width="12" customWidth="1"/>
    <col min="4387" max="4389" width="9" hidden="1" customWidth="1"/>
    <col min="4390" max="4390" width="12" customWidth="1"/>
    <col min="4391" max="4393" width="9" hidden="1" customWidth="1"/>
    <col min="4394" max="4394" width="12.140625" customWidth="1"/>
    <col min="4395" max="4397" width="9" hidden="1" customWidth="1"/>
    <col min="4398" max="4398" width="12" customWidth="1"/>
    <col min="4399" max="4401" width="9" hidden="1" customWidth="1"/>
    <col min="4402" max="4402" width="11.859375" customWidth="1"/>
    <col min="4403" max="4405" width="9" hidden="1" customWidth="1"/>
    <col min="4406" max="4406" width="11.859375" customWidth="1"/>
    <col min="4407" max="4409" width="9" hidden="1" customWidth="1"/>
    <col min="4410" max="4410" width="12" customWidth="1"/>
    <col min="4411" max="4413" width="9" hidden="1" customWidth="1"/>
    <col min="4414" max="4414" width="10.859375" customWidth="1"/>
    <col min="4415" max="4417" width="9" hidden="1" customWidth="1"/>
    <col min="4418" max="4418" width="11.859375" customWidth="1"/>
    <col min="4419" max="4421" width="9" hidden="1" customWidth="1"/>
    <col min="4422" max="4422" width="10.7109375" customWidth="1"/>
    <col min="4423" max="4425" width="9" hidden="1" customWidth="1"/>
    <col min="4426" max="4426" width="11.4296875" customWidth="1"/>
    <col min="4427" max="4429" width="9" hidden="1" customWidth="1"/>
    <col min="4430" max="4430" width="11.4296875" customWidth="1"/>
    <col min="4434" max="4434" width="11.859375" customWidth="1"/>
    <col min="4609" max="4609" width="26.4296875" customWidth="1"/>
    <col min="4610" max="4610" width="12.140625" customWidth="1"/>
    <col min="4611" max="4613" width="9" hidden="1" customWidth="1"/>
    <col min="4614" max="4614" width="11.7109375" customWidth="1"/>
    <col min="4615" max="4617" width="9" hidden="1" customWidth="1"/>
    <col min="4618" max="4618" width="11.7109375" customWidth="1"/>
    <col min="4619" max="4621" width="9" hidden="1" customWidth="1"/>
    <col min="4622" max="4622" width="11.4296875" customWidth="1"/>
    <col min="4623" max="4625" width="9" hidden="1" customWidth="1"/>
    <col min="4626" max="4626" width="11.5703125" customWidth="1"/>
    <col min="4627" max="4629" width="9" hidden="1" customWidth="1"/>
    <col min="4630" max="4630" width="11.859375" customWidth="1"/>
    <col min="4631" max="4633" width="9" hidden="1" customWidth="1"/>
    <col min="4634" max="4634" width="11.859375" customWidth="1"/>
    <col min="4635" max="4637" width="9" hidden="1" customWidth="1"/>
    <col min="4638" max="4638" width="11.859375" customWidth="1"/>
    <col min="4639" max="4641" width="9" hidden="1" customWidth="1"/>
    <col min="4642" max="4642" width="12" customWidth="1"/>
    <col min="4643" max="4645" width="9" hidden="1" customWidth="1"/>
    <col min="4646" max="4646" width="12" customWidth="1"/>
    <col min="4647" max="4649" width="9" hidden="1" customWidth="1"/>
    <col min="4650" max="4650" width="12.140625" customWidth="1"/>
    <col min="4651" max="4653" width="9" hidden="1" customWidth="1"/>
    <col min="4654" max="4654" width="12" customWidth="1"/>
    <col min="4655" max="4657" width="9" hidden="1" customWidth="1"/>
    <col min="4658" max="4658" width="11.859375" customWidth="1"/>
    <col min="4659" max="4661" width="9" hidden="1" customWidth="1"/>
    <col min="4662" max="4662" width="11.859375" customWidth="1"/>
    <col min="4663" max="4665" width="9" hidden="1" customWidth="1"/>
    <col min="4666" max="4666" width="12" customWidth="1"/>
    <col min="4667" max="4669" width="9" hidden="1" customWidth="1"/>
    <col min="4670" max="4670" width="10.859375" customWidth="1"/>
    <col min="4671" max="4673" width="9" hidden="1" customWidth="1"/>
    <col min="4674" max="4674" width="11.859375" customWidth="1"/>
    <col min="4675" max="4677" width="9" hidden="1" customWidth="1"/>
    <col min="4678" max="4678" width="10.7109375" customWidth="1"/>
    <col min="4679" max="4681" width="9" hidden="1" customWidth="1"/>
    <col min="4682" max="4682" width="11.4296875" customWidth="1"/>
    <col min="4683" max="4685" width="9" hidden="1" customWidth="1"/>
    <col min="4686" max="4686" width="11.4296875" customWidth="1"/>
    <col min="4690" max="4690" width="11.859375" customWidth="1"/>
    <col min="4865" max="4865" width="26.4296875" customWidth="1"/>
    <col min="4866" max="4866" width="12.140625" customWidth="1"/>
    <col min="4867" max="4869" width="9" hidden="1" customWidth="1"/>
    <col min="4870" max="4870" width="11.7109375" customWidth="1"/>
    <col min="4871" max="4873" width="9" hidden="1" customWidth="1"/>
    <col min="4874" max="4874" width="11.7109375" customWidth="1"/>
    <col min="4875" max="4877" width="9" hidden="1" customWidth="1"/>
    <col min="4878" max="4878" width="11.4296875" customWidth="1"/>
    <col min="4879" max="4881" width="9" hidden="1" customWidth="1"/>
    <col min="4882" max="4882" width="11.5703125" customWidth="1"/>
    <col min="4883" max="4885" width="9" hidden="1" customWidth="1"/>
    <col min="4886" max="4886" width="11.859375" customWidth="1"/>
    <col min="4887" max="4889" width="9" hidden="1" customWidth="1"/>
    <col min="4890" max="4890" width="11.859375" customWidth="1"/>
    <col min="4891" max="4893" width="9" hidden="1" customWidth="1"/>
    <col min="4894" max="4894" width="11.859375" customWidth="1"/>
    <col min="4895" max="4897" width="9" hidden="1" customWidth="1"/>
    <col min="4898" max="4898" width="12" customWidth="1"/>
    <col min="4899" max="4901" width="9" hidden="1" customWidth="1"/>
    <col min="4902" max="4902" width="12" customWidth="1"/>
    <col min="4903" max="4905" width="9" hidden="1" customWidth="1"/>
    <col min="4906" max="4906" width="12.140625" customWidth="1"/>
    <col min="4907" max="4909" width="9" hidden="1" customWidth="1"/>
    <col min="4910" max="4910" width="12" customWidth="1"/>
    <col min="4911" max="4913" width="9" hidden="1" customWidth="1"/>
    <col min="4914" max="4914" width="11.859375" customWidth="1"/>
    <col min="4915" max="4917" width="9" hidden="1" customWidth="1"/>
    <col min="4918" max="4918" width="11.859375" customWidth="1"/>
    <col min="4919" max="4921" width="9" hidden="1" customWidth="1"/>
    <col min="4922" max="4922" width="12" customWidth="1"/>
    <col min="4923" max="4925" width="9" hidden="1" customWidth="1"/>
    <col min="4926" max="4926" width="10.859375" customWidth="1"/>
    <col min="4927" max="4929" width="9" hidden="1" customWidth="1"/>
    <col min="4930" max="4930" width="11.859375" customWidth="1"/>
    <col min="4931" max="4933" width="9" hidden="1" customWidth="1"/>
    <col min="4934" max="4934" width="10.7109375" customWidth="1"/>
    <col min="4935" max="4937" width="9" hidden="1" customWidth="1"/>
    <col min="4938" max="4938" width="11.4296875" customWidth="1"/>
    <col min="4939" max="4941" width="9" hidden="1" customWidth="1"/>
    <col min="4942" max="4942" width="11.4296875" customWidth="1"/>
    <col min="4946" max="4946" width="11.859375" customWidth="1"/>
    <col min="5121" max="5121" width="26.4296875" customWidth="1"/>
    <col min="5122" max="5122" width="12.140625" customWidth="1"/>
    <col min="5123" max="5125" width="9" hidden="1" customWidth="1"/>
    <col min="5126" max="5126" width="11.7109375" customWidth="1"/>
    <col min="5127" max="5129" width="9" hidden="1" customWidth="1"/>
    <col min="5130" max="5130" width="11.7109375" customWidth="1"/>
    <col min="5131" max="5133" width="9" hidden="1" customWidth="1"/>
    <col min="5134" max="5134" width="11.4296875" customWidth="1"/>
    <col min="5135" max="5137" width="9" hidden="1" customWidth="1"/>
    <col min="5138" max="5138" width="11.5703125" customWidth="1"/>
    <col min="5139" max="5141" width="9" hidden="1" customWidth="1"/>
    <col min="5142" max="5142" width="11.859375" customWidth="1"/>
    <col min="5143" max="5145" width="9" hidden="1" customWidth="1"/>
    <col min="5146" max="5146" width="11.859375" customWidth="1"/>
    <col min="5147" max="5149" width="9" hidden="1" customWidth="1"/>
    <col min="5150" max="5150" width="11.859375" customWidth="1"/>
    <col min="5151" max="5153" width="9" hidden="1" customWidth="1"/>
    <col min="5154" max="5154" width="12" customWidth="1"/>
    <col min="5155" max="5157" width="9" hidden="1" customWidth="1"/>
    <col min="5158" max="5158" width="12" customWidth="1"/>
    <col min="5159" max="5161" width="9" hidden="1" customWidth="1"/>
    <col min="5162" max="5162" width="12.140625" customWidth="1"/>
    <col min="5163" max="5165" width="9" hidden="1" customWidth="1"/>
    <col min="5166" max="5166" width="12" customWidth="1"/>
    <col min="5167" max="5169" width="9" hidden="1" customWidth="1"/>
    <col min="5170" max="5170" width="11.859375" customWidth="1"/>
    <col min="5171" max="5173" width="9" hidden="1" customWidth="1"/>
    <col min="5174" max="5174" width="11.859375" customWidth="1"/>
    <col min="5175" max="5177" width="9" hidden="1" customWidth="1"/>
    <col min="5178" max="5178" width="12" customWidth="1"/>
    <col min="5179" max="5181" width="9" hidden="1" customWidth="1"/>
    <col min="5182" max="5182" width="10.859375" customWidth="1"/>
    <col min="5183" max="5185" width="9" hidden="1" customWidth="1"/>
    <col min="5186" max="5186" width="11.859375" customWidth="1"/>
    <col min="5187" max="5189" width="9" hidden="1" customWidth="1"/>
    <col min="5190" max="5190" width="10.7109375" customWidth="1"/>
    <col min="5191" max="5193" width="9" hidden="1" customWidth="1"/>
    <col min="5194" max="5194" width="11.4296875" customWidth="1"/>
    <col min="5195" max="5197" width="9" hidden="1" customWidth="1"/>
    <col min="5198" max="5198" width="11.4296875" customWidth="1"/>
    <col min="5202" max="5202" width="11.859375" customWidth="1"/>
    <col min="5377" max="5377" width="26.4296875" customWidth="1"/>
    <col min="5378" max="5378" width="12.140625" customWidth="1"/>
    <col min="5379" max="5381" width="9" hidden="1" customWidth="1"/>
    <col min="5382" max="5382" width="11.7109375" customWidth="1"/>
    <col min="5383" max="5385" width="9" hidden="1" customWidth="1"/>
    <col min="5386" max="5386" width="11.7109375" customWidth="1"/>
    <col min="5387" max="5389" width="9" hidden="1" customWidth="1"/>
    <col min="5390" max="5390" width="11.4296875" customWidth="1"/>
    <col min="5391" max="5393" width="9" hidden="1" customWidth="1"/>
    <col min="5394" max="5394" width="11.5703125" customWidth="1"/>
    <col min="5395" max="5397" width="9" hidden="1" customWidth="1"/>
    <col min="5398" max="5398" width="11.859375" customWidth="1"/>
    <col min="5399" max="5401" width="9" hidden="1" customWidth="1"/>
    <col min="5402" max="5402" width="11.859375" customWidth="1"/>
    <col min="5403" max="5405" width="9" hidden="1" customWidth="1"/>
    <col min="5406" max="5406" width="11.859375" customWidth="1"/>
    <col min="5407" max="5409" width="9" hidden="1" customWidth="1"/>
    <col min="5410" max="5410" width="12" customWidth="1"/>
    <col min="5411" max="5413" width="9" hidden="1" customWidth="1"/>
    <col min="5414" max="5414" width="12" customWidth="1"/>
    <col min="5415" max="5417" width="9" hidden="1" customWidth="1"/>
    <col min="5418" max="5418" width="12.140625" customWidth="1"/>
    <col min="5419" max="5421" width="9" hidden="1" customWidth="1"/>
    <col min="5422" max="5422" width="12" customWidth="1"/>
    <col min="5423" max="5425" width="9" hidden="1" customWidth="1"/>
    <col min="5426" max="5426" width="11.859375" customWidth="1"/>
    <col min="5427" max="5429" width="9" hidden="1" customWidth="1"/>
    <col min="5430" max="5430" width="11.859375" customWidth="1"/>
    <col min="5431" max="5433" width="9" hidden="1" customWidth="1"/>
    <col min="5434" max="5434" width="12" customWidth="1"/>
    <col min="5435" max="5437" width="9" hidden="1" customWidth="1"/>
    <col min="5438" max="5438" width="10.859375" customWidth="1"/>
    <col min="5439" max="5441" width="9" hidden="1" customWidth="1"/>
    <col min="5442" max="5442" width="11.859375" customWidth="1"/>
    <col min="5443" max="5445" width="9" hidden="1" customWidth="1"/>
    <col min="5446" max="5446" width="10.7109375" customWidth="1"/>
    <col min="5447" max="5449" width="9" hidden="1" customWidth="1"/>
    <col min="5450" max="5450" width="11.4296875" customWidth="1"/>
    <col min="5451" max="5453" width="9" hidden="1" customWidth="1"/>
    <col min="5454" max="5454" width="11.4296875" customWidth="1"/>
    <col min="5458" max="5458" width="11.859375" customWidth="1"/>
    <col min="5633" max="5633" width="26.4296875" customWidth="1"/>
    <col min="5634" max="5634" width="12.140625" customWidth="1"/>
    <col min="5635" max="5637" width="9" hidden="1" customWidth="1"/>
    <col min="5638" max="5638" width="11.7109375" customWidth="1"/>
    <col min="5639" max="5641" width="9" hidden="1" customWidth="1"/>
    <col min="5642" max="5642" width="11.7109375" customWidth="1"/>
    <col min="5643" max="5645" width="9" hidden="1" customWidth="1"/>
    <col min="5646" max="5646" width="11.4296875" customWidth="1"/>
    <col min="5647" max="5649" width="9" hidden="1" customWidth="1"/>
    <col min="5650" max="5650" width="11.5703125" customWidth="1"/>
    <col min="5651" max="5653" width="9" hidden="1" customWidth="1"/>
    <col min="5654" max="5654" width="11.859375" customWidth="1"/>
    <col min="5655" max="5657" width="9" hidden="1" customWidth="1"/>
    <col min="5658" max="5658" width="11.859375" customWidth="1"/>
    <col min="5659" max="5661" width="9" hidden="1" customWidth="1"/>
    <col min="5662" max="5662" width="11.859375" customWidth="1"/>
    <col min="5663" max="5665" width="9" hidden="1" customWidth="1"/>
    <col min="5666" max="5666" width="12" customWidth="1"/>
    <col min="5667" max="5669" width="9" hidden="1" customWidth="1"/>
    <col min="5670" max="5670" width="12" customWidth="1"/>
    <col min="5671" max="5673" width="9" hidden="1" customWidth="1"/>
    <col min="5674" max="5674" width="12.140625" customWidth="1"/>
    <col min="5675" max="5677" width="9" hidden="1" customWidth="1"/>
    <col min="5678" max="5678" width="12" customWidth="1"/>
    <col min="5679" max="5681" width="9" hidden="1" customWidth="1"/>
    <col min="5682" max="5682" width="11.859375" customWidth="1"/>
    <col min="5683" max="5685" width="9" hidden="1" customWidth="1"/>
    <col min="5686" max="5686" width="11.859375" customWidth="1"/>
    <col min="5687" max="5689" width="9" hidden="1" customWidth="1"/>
    <col min="5690" max="5690" width="12" customWidth="1"/>
    <col min="5691" max="5693" width="9" hidden="1" customWidth="1"/>
    <col min="5694" max="5694" width="10.859375" customWidth="1"/>
    <col min="5695" max="5697" width="9" hidden="1" customWidth="1"/>
    <col min="5698" max="5698" width="11.859375" customWidth="1"/>
    <col min="5699" max="5701" width="9" hidden="1" customWidth="1"/>
    <col min="5702" max="5702" width="10.7109375" customWidth="1"/>
    <col min="5703" max="5705" width="9" hidden="1" customWidth="1"/>
    <col min="5706" max="5706" width="11.4296875" customWidth="1"/>
    <col min="5707" max="5709" width="9" hidden="1" customWidth="1"/>
    <col min="5710" max="5710" width="11.4296875" customWidth="1"/>
    <col min="5714" max="5714" width="11.859375" customWidth="1"/>
    <col min="5889" max="5889" width="26.4296875" customWidth="1"/>
    <col min="5890" max="5890" width="12.140625" customWidth="1"/>
    <col min="5891" max="5893" width="9" hidden="1" customWidth="1"/>
    <col min="5894" max="5894" width="11.7109375" customWidth="1"/>
    <col min="5895" max="5897" width="9" hidden="1" customWidth="1"/>
    <col min="5898" max="5898" width="11.7109375" customWidth="1"/>
    <col min="5899" max="5901" width="9" hidden="1" customWidth="1"/>
    <col min="5902" max="5902" width="11.4296875" customWidth="1"/>
    <col min="5903" max="5905" width="9" hidden="1" customWidth="1"/>
    <col min="5906" max="5906" width="11.5703125" customWidth="1"/>
    <col min="5907" max="5909" width="9" hidden="1" customWidth="1"/>
    <col min="5910" max="5910" width="11.859375" customWidth="1"/>
    <col min="5911" max="5913" width="9" hidden="1" customWidth="1"/>
    <col min="5914" max="5914" width="11.859375" customWidth="1"/>
    <col min="5915" max="5917" width="9" hidden="1" customWidth="1"/>
    <col min="5918" max="5918" width="11.859375" customWidth="1"/>
    <col min="5919" max="5921" width="9" hidden="1" customWidth="1"/>
    <col min="5922" max="5922" width="12" customWidth="1"/>
    <col min="5923" max="5925" width="9" hidden="1" customWidth="1"/>
    <col min="5926" max="5926" width="12" customWidth="1"/>
    <col min="5927" max="5929" width="9" hidden="1" customWidth="1"/>
    <col min="5930" max="5930" width="12.140625" customWidth="1"/>
    <col min="5931" max="5933" width="9" hidden="1" customWidth="1"/>
    <col min="5934" max="5934" width="12" customWidth="1"/>
    <col min="5935" max="5937" width="9" hidden="1" customWidth="1"/>
    <col min="5938" max="5938" width="11.859375" customWidth="1"/>
    <col min="5939" max="5941" width="9" hidden="1" customWidth="1"/>
    <col min="5942" max="5942" width="11.859375" customWidth="1"/>
    <col min="5943" max="5945" width="9" hidden="1" customWidth="1"/>
    <col min="5946" max="5946" width="12" customWidth="1"/>
    <col min="5947" max="5949" width="9" hidden="1" customWidth="1"/>
    <col min="5950" max="5950" width="10.859375" customWidth="1"/>
    <col min="5951" max="5953" width="9" hidden="1" customWidth="1"/>
    <col min="5954" max="5954" width="11.859375" customWidth="1"/>
    <col min="5955" max="5957" width="9" hidden="1" customWidth="1"/>
    <col min="5958" max="5958" width="10.7109375" customWidth="1"/>
    <col min="5959" max="5961" width="9" hidden="1" customWidth="1"/>
    <col min="5962" max="5962" width="11.4296875" customWidth="1"/>
    <col min="5963" max="5965" width="9" hidden="1" customWidth="1"/>
    <col min="5966" max="5966" width="11.4296875" customWidth="1"/>
    <col min="5970" max="5970" width="11.859375" customWidth="1"/>
    <col min="6145" max="6145" width="26.4296875" customWidth="1"/>
    <col min="6146" max="6146" width="12.140625" customWidth="1"/>
    <col min="6147" max="6149" width="9" hidden="1" customWidth="1"/>
    <col min="6150" max="6150" width="11.7109375" customWidth="1"/>
    <col min="6151" max="6153" width="9" hidden="1" customWidth="1"/>
    <col min="6154" max="6154" width="11.7109375" customWidth="1"/>
    <col min="6155" max="6157" width="9" hidden="1" customWidth="1"/>
    <col min="6158" max="6158" width="11.4296875" customWidth="1"/>
    <col min="6159" max="6161" width="9" hidden="1" customWidth="1"/>
    <col min="6162" max="6162" width="11.5703125" customWidth="1"/>
    <col min="6163" max="6165" width="9" hidden="1" customWidth="1"/>
    <col min="6166" max="6166" width="11.859375" customWidth="1"/>
    <col min="6167" max="6169" width="9" hidden="1" customWidth="1"/>
    <col min="6170" max="6170" width="11.859375" customWidth="1"/>
    <col min="6171" max="6173" width="9" hidden="1" customWidth="1"/>
    <col min="6174" max="6174" width="11.859375" customWidth="1"/>
    <col min="6175" max="6177" width="9" hidden="1" customWidth="1"/>
    <col min="6178" max="6178" width="12" customWidth="1"/>
    <col min="6179" max="6181" width="9" hidden="1" customWidth="1"/>
    <col min="6182" max="6182" width="12" customWidth="1"/>
    <col min="6183" max="6185" width="9" hidden="1" customWidth="1"/>
    <col min="6186" max="6186" width="12.140625" customWidth="1"/>
    <col min="6187" max="6189" width="9" hidden="1" customWidth="1"/>
    <col min="6190" max="6190" width="12" customWidth="1"/>
    <col min="6191" max="6193" width="9" hidden="1" customWidth="1"/>
    <col min="6194" max="6194" width="11.859375" customWidth="1"/>
    <col min="6195" max="6197" width="9" hidden="1" customWidth="1"/>
    <col min="6198" max="6198" width="11.859375" customWidth="1"/>
    <col min="6199" max="6201" width="9" hidden="1" customWidth="1"/>
    <col min="6202" max="6202" width="12" customWidth="1"/>
    <col min="6203" max="6205" width="9" hidden="1" customWidth="1"/>
    <col min="6206" max="6206" width="10.859375" customWidth="1"/>
    <col min="6207" max="6209" width="9" hidden="1" customWidth="1"/>
    <col min="6210" max="6210" width="11.859375" customWidth="1"/>
    <col min="6211" max="6213" width="9" hidden="1" customWidth="1"/>
    <col min="6214" max="6214" width="10.7109375" customWidth="1"/>
    <col min="6215" max="6217" width="9" hidden="1" customWidth="1"/>
    <col min="6218" max="6218" width="11.4296875" customWidth="1"/>
    <col min="6219" max="6221" width="9" hidden="1" customWidth="1"/>
    <col min="6222" max="6222" width="11.4296875" customWidth="1"/>
    <col min="6226" max="6226" width="11.859375" customWidth="1"/>
    <col min="6401" max="6401" width="26.4296875" customWidth="1"/>
    <col min="6402" max="6402" width="12.140625" customWidth="1"/>
    <col min="6403" max="6405" width="9" hidden="1" customWidth="1"/>
    <col min="6406" max="6406" width="11.7109375" customWidth="1"/>
    <col min="6407" max="6409" width="9" hidden="1" customWidth="1"/>
    <col min="6410" max="6410" width="11.7109375" customWidth="1"/>
    <col min="6411" max="6413" width="9" hidden="1" customWidth="1"/>
    <col min="6414" max="6414" width="11.4296875" customWidth="1"/>
    <col min="6415" max="6417" width="9" hidden="1" customWidth="1"/>
    <col min="6418" max="6418" width="11.5703125" customWidth="1"/>
    <col min="6419" max="6421" width="9" hidden="1" customWidth="1"/>
    <col min="6422" max="6422" width="11.859375" customWidth="1"/>
    <col min="6423" max="6425" width="9" hidden="1" customWidth="1"/>
    <col min="6426" max="6426" width="11.859375" customWidth="1"/>
    <col min="6427" max="6429" width="9" hidden="1" customWidth="1"/>
    <col min="6430" max="6430" width="11.859375" customWidth="1"/>
    <col min="6431" max="6433" width="9" hidden="1" customWidth="1"/>
    <col min="6434" max="6434" width="12" customWidth="1"/>
    <col min="6435" max="6437" width="9" hidden="1" customWidth="1"/>
    <col min="6438" max="6438" width="12" customWidth="1"/>
    <col min="6439" max="6441" width="9" hidden="1" customWidth="1"/>
    <col min="6442" max="6442" width="12.140625" customWidth="1"/>
    <col min="6443" max="6445" width="9" hidden="1" customWidth="1"/>
    <col min="6446" max="6446" width="12" customWidth="1"/>
    <col min="6447" max="6449" width="9" hidden="1" customWidth="1"/>
    <col min="6450" max="6450" width="11.859375" customWidth="1"/>
    <col min="6451" max="6453" width="9" hidden="1" customWidth="1"/>
    <col min="6454" max="6454" width="11.859375" customWidth="1"/>
    <col min="6455" max="6457" width="9" hidden="1" customWidth="1"/>
    <col min="6458" max="6458" width="12" customWidth="1"/>
    <col min="6459" max="6461" width="9" hidden="1" customWidth="1"/>
    <col min="6462" max="6462" width="10.859375" customWidth="1"/>
    <col min="6463" max="6465" width="9" hidden="1" customWidth="1"/>
    <col min="6466" max="6466" width="11.859375" customWidth="1"/>
    <col min="6467" max="6469" width="9" hidden="1" customWidth="1"/>
    <col min="6470" max="6470" width="10.7109375" customWidth="1"/>
    <col min="6471" max="6473" width="9" hidden="1" customWidth="1"/>
    <col min="6474" max="6474" width="11.4296875" customWidth="1"/>
    <col min="6475" max="6477" width="9" hidden="1" customWidth="1"/>
    <col min="6478" max="6478" width="11.4296875" customWidth="1"/>
    <col min="6482" max="6482" width="11.859375" customWidth="1"/>
    <col min="6657" max="6657" width="26.4296875" customWidth="1"/>
    <col min="6658" max="6658" width="12.140625" customWidth="1"/>
    <col min="6659" max="6661" width="9" hidden="1" customWidth="1"/>
    <col min="6662" max="6662" width="11.7109375" customWidth="1"/>
    <col min="6663" max="6665" width="9" hidden="1" customWidth="1"/>
    <col min="6666" max="6666" width="11.7109375" customWidth="1"/>
    <col min="6667" max="6669" width="9" hidden="1" customWidth="1"/>
    <col min="6670" max="6670" width="11.4296875" customWidth="1"/>
    <col min="6671" max="6673" width="9" hidden="1" customWidth="1"/>
    <col min="6674" max="6674" width="11.5703125" customWidth="1"/>
    <col min="6675" max="6677" width="9" hidden="1" customWidth="1"/>
    <col min="6678" max="6678" width="11.859375" customWidth="1"/>
    <col min="6679" max="6681" width="9" hidden="1" customWidth="1"/>
    <col min="6682" max="6682" width="11.859375" customWidth="1"/>
    <col min="6683" max="6685" width="9" hidden="1" customWidth="1"/>
    <col min="6686" max="6686" width="11.859375" customWidth="1"/>
    <col min="6687" max="6689" width="9" hidden="1" customWidth="1"/>
    <col min="6690" max="6690" width="12" customWidth="1"/>
    <col min="6691" max="6693" width="9" hidden="1" customWidth="1"/>
    <col min="6694" max="6694" width="12" customWidth="1"/>
    <col min="6695" max="6697" width="9" hidden="1" customWidth="1"/>
    <col min="6698" max="6698" width="12.140625" customWidth="1"/>
    <col min="6699" max="6701" width="9" hidden="1" customWidth="1"/>
    <col min="6702" max="6702" width="12" customWidth="1"/>
    <col min="6703" max="6705" width="9" hidden="1" customWidth="1"/>
    <col min="6706" max="6706" width="11.859375" customWidth="1"/>
    <col min="6707" max="6709" width="9" hidden="1" customWidth="1"/>
    <col min="6710" max="6710" width="11.859375" customWidth="1"/>
    <col min="6711" max="6713" width="9" hidden="1" customWidth="1"/>
    <col min="6714" max="6714" width="12" customWidth="1"/>
    <col min="6715" max="6717" width="9" hidden="1" customWidth="1"/>
    <col min="6718" max="6718" width="10.859375" customWidth="1"/>
    <col min="6719" max="6721" width="9" hidden="1" customWidth="1"/>
    <col min="6722" max="6722" width="11.859375" customWidth="1"/>
    <col min="6723" max="6725" width="9" hidden="1" customWidth="1"/>
    <col min="6726" max="6726" width="10.7109375" customWidth="1"/>
    <col min="6727" max="6729" width="9" hidden="1" customWidth="1"/>
    <col min="6730" max="6730" width="11.4296875" customWidth="1"/>
    <col min="6731" max="6733" width="9" hidden="1" customWidth="1"/>
    <col min="6734" max="6734" width="11.4296875" customWidth="1"/>
    <col min="6738" max="6738" width="11.859375" customWidth="1"/>
    <col min="6913" max="6913" width="26.4296875" customWidth="1"/>
    <col min="6914" max="6914" width="12.140625" customWidth="1"/>
    <col min="6915" max="6917" width="9" hidden="1" customWidth="1"/>
    <col min="6918" max="6918" width="11.7109375" customWidth="1"/>
    <col min="6919" max="6921" width="9" hidden="1" customWidth="1"/>
    <col min="6922" max="6922" width="11.7109375" customWidth="1"/>
    <col min="6923" max="6925" width="9" hidden="1" customWidth="1"/>
    <col min="6926" max="6926" width="11.4296875" customWidth="1"/>
    <col min="6927" max="6929" width="9" hidden="1" customWidth="1"/>
    <col min="6930" max="6930" width="11.5703125" customWidth="1"/>
    <col min="6931" max="6933" width="9" hidden="1" customWidth="1"/>
    <col min="6934" max="6934" width="11.859375" customWidth="1"/>
    <col min="6935" max="6937" width="9" hidden="1" customWidth="1"/>
    <col min="6938" max="6938" width="11.859375" customWidth="1"/>
    <col min="6939" max="6941" width="9" hidden="1" customWidth="1"/>
    <col min="6942" max="6942" width="11.859375" customWidth="1"/>
    <col min="6943" max="6945" width="9" hidden="1" customWidth="1"/>
    <col min="6946" max="6946" width="12" customWidth="1"/>
    <col min="6947" max="6949" width="9" hidden="1" customWidth="1"/>
    <col min="6950" max="6950" width="12" customWidth="1"/>
    <col min="6951" max="6953" width="9" hidden="1" customWidth="1"/>
    <col min="6954" max="6954" width="12.140625" customWidth="1"/>
    <col min="6955" max="6957" width="9" hidden="1" customWidth="1"/>
    <col min="6958" max="6958" width="12" customWidth="1"/>
    <col min="6959" max="6961" width="9" hidden="1" customWidth="1"/>
    <col min="6962" max="6962" width="11.859375" customWidth="1"/>
    <col min="6963" max="6965" width="9" hidden="1" customWidth="1"/>
    <col min="6966" max="6966" width="11.859375" customWidth="1"/>
    <col min="6967" max="6969" width="9" hidden="1" customWidth="1"/>
    <col min="6970" max="6970" width="12" customWidth="1"/>
    <col min="6971" max="6973" width="9" hidden="1" customWidth="1"/>
    <col min="6974" max="6974" width="10.859375" customWidth="1"/>
    <col min="6975" max="6977" width="9" hidden="1" customWidth="1"/>
    <col min="6978" max="6978" width="11.859375" customWidth="1"/>
    <col min="6979" max="6981" width="9" hidden="1" customWidth="1"/>
    <col min="6982" max="6982" width="10.7109375" customWidth="1"/>
    <col min="6983" max="6985" width="9" hidden="1" customWidth="1"/>
    <col min="6986" max="6986" width="11.4296875" customWidth="1"/>
    <col min="6987" max="6989" width="9" hidden="1" customWidth="1"/>
    <col min="6990" max="6990" width="11.4296875" customWidth="1"/>
    <col min="6994" max="6994" width="11.859375" customWidth="1"/>
    <col min="7169" max="7169" width="26.4296875" customWidth="1"/>
    <col min="7170" max="7170" width="12.140625" customWidth="1"/>
    <col min="7171" max="7173" width="9" hidden="1" customWidth="1"/>
    <col min="7174" max="7174" width="11.7109375" customWidth="1"/>
    <col min="7175" max="7177" width="9" hidden="1" customWidth="1"/>
    <col min="7178" max="7178" width="11.7109375" customWidth="1"/>
    <col min="7179" max="7181" width="9" hidden="1" customWidth="1"/>
    <col min="7182" max="7182" width="11.4296875" customWidth="1"/>
    <col min="7183" max="7185" width="9" hidden="1" customWidth="1"/>
    <col min="7186" max="7186" width="11.5703125" customWidth="1"/>
    <col min="7187" max="7189" width="9" hidden="1" customWidth="1"/>
    <col min="7190" max="7190" width="11.859375" customWidth="1"/>
    <col min="7191" max="7193" width="9" hidden="1" customWidth="1"/>
    <col min="7194" max="7194" width="11.859375" customWidth="1"/>
    <col min="7195" max="7197" width="9" hidden="1" customWidth="1"/>
    <col min="7198" max="7198" width="11.859375" customWidth="1"/>
    <col min="7199" max="7201" width="9" hidden="1" customWidth="1"/>
    <col min="7202" max="7202" width="12" customWidth="1"/>
    <col min="7203" max="7205" width="9" hidden="1" customWidth="1"/>
    <col min="7206" max="7206" width="12" customWidth="1"/>
    <col min="7207" max="7209" width="9" hidden="1" customWidth="1"/>
    <col min="7210" max="7210" width="12.140625" customWidth="1"/>
    <col min="7211" max="7213" width="9" hidden="1" customWidth="1"/>
    <col min="7214" max="7214" width="12" customWidth="1"/>
    <col min="7215" max="7217" width="9" hidden="1" customWidth="1"/>
    <col min="7218" max="7218" width="11.859375" customWidth="1"/>
    <col min="7219" max="7221" width="9" hidden="1" customWidth="1"/>
    <col min="7222" max="7222" width="11.859375" customWidth="1"/>
    <col min="7223" max="7225" width="9" hidden="1" customWidth="1"/>
    <col min="7226" max="7226" width="12" customWidth="1"/>
    <col min="7227" max="7229" width="9" hidden="1" customWidth="1"/>
    <col min="7230" max="7230" width="10.859375" customWidth="1"/>
    <col min="7231" max="7233" width="9" hidden="1" customWidth="1"/>
    <col min="7234" max="7234" width="11.859375" customWidth="1"/>
    <col min="7235" max="7237" width="9" hidden="1" customWidth="1"/>
    <col min="7238" max="7238" width="10.7109375" customWidth="1"/>
    <col min="7239" max="7241" width="9" hidden="1" customWidth="1"/>
    <col min="7242" max="7242" width="11.4296875" customWidth="1"/>
    <col min="7243" max="7245" width="9" hidden="1" customWidth="1"/>
    <col min="7246" max="7246" width="11.4296875" customWidth="1"/>
    <col min="7250" max="7250" width="11.859375" customWidth="1"/>
    <col min="7425" max="7425" width="26.4296875" customWidth="1"/>
    <col min="7426" max="7426" width="12.140625" customWidth="1"/>
    <col min="7427" max="7429" width="9" hidden="1" customWidth="1"/>
    <col min="7430" max="7430" width="11.7109375" customWidth="1"/>
    <col min="7431" max="7433" width="9" hidden="1" customWidth="1"/>
    <col min="7434" max="7434" width="11.7109375" customWidth="1"/>
    <col min="7435" max="7437" width="9" hidden="1" customWidth="1"/>
    <col min="7438" max="7438" width="11.4296875" customWidth="1"/>
    <col min="7439" max="7441" width="9" hidden="1" customWidth="1"/>
    <col min="7442" max="7442" width="11.5703125" customWidth="1"/>
    <col min="7443" max="7445" width="9" hidden="1" customWidth="1"/>
    <col min="7446" max="7446" width="11.859375" customWidth="1"/>
    <col min="7447" max="7449" width="9" hidden="1" customWidth="1"/>
    <col min="7450" max="7450" width="11.859375" customWidth="1"/>
    <col min="7451" max="7453" width="9" hidden="1" customWidth="1"/>
    <col min="7454" max="7454" width="11.859375" customWidth="1"/>
    <col min="7455" max="7457" width="9" hidden="1" customWidth="1"/>
    <col min="7458" max="7458" width="12" customWidth="1"/>
    <col min="7459" max="7461" width="9" hidden="1" customWidth="1"/>
    <col min="7462" max="7462" width="12" customWidth="1"/>
    <col min="7463" max="7465" width="9" hidden="1" customWidth="1"/>
    <col min="7466" max="7466" width="12.140625" customWidth="1"/>
    <col min="7467" max="7469" width="9" hidden="1" customWidth="1"/>
    <col min="7470" max="7470" width="12" customWidth="1"/>
    <col min="7471" max="7473" width="9" hidden="1" customWidth="1"/>
    <col min="7474" max="7474" width="11.859375" customWidth="1"/>
    <col min="7475" max="7477" width="9" hidden="1" customWidth="1"/>
    <col min="7478" max="7478" width="11.859375" customWidth="1"/>
    <col min="7479" max="7481" width="9" hidden="1" customWidth="1"/>
    <col min="7482" max="7482" width="12" customWidth="1"/>
    <col min="7483" max="7485" width="9" hidden="1" customWidth="1"/>
    <col min="7486" max="7486" width="10.859375" customWidth="1"/>
    <col min="7487" max="7489" width="9" hidden="1" customWidth="1"/>
    <col min="7490" max="7490" width="11.859375" customWidth="1"/>
    <col min="7491" max="7493" width="9" hidden="1" customWidth="1"/>
    <col min="7494" max="7494" width="10.7109375" customWidth="1"/>
    <col min="7495" max="7497" width="9" hidden="1" customWidth="1"/>
    <col min="7498" max="7498" width="11.4296875" customWidth="1"/>
    <col min="7499" max="7501" width="9" hidden="1" customWidth="1"/>
    <col min="7502" max="7502" width="11.4296875" customWidth="1"/>
    <col min="7506" max="7506" width="11.859375" customWidth="1"/>
    <col min="7681" max="7681" width="26.4296875" customWidth="1"/>
    <col min="7682" max="7682" width="12.140625" customWidth="1"/>
    <col min="7683" max="7685" width="9" hidden="1" customWidth="1"/>
    <col min="7686" max="7686" width="11.7109375" customWidth="1"/>
    <col min="7687" max="7689" width="9" hidden="1" customWidth="1"/>
    <col min="7690" max="7690" width="11.7109375" customWidth="1"/>
    <col min="7691" max="7693" width="9" hidden="1" customWidth="1"/>
    <col min="7694" max="7694" width="11.4296875" customWidth="1"/>
    <col min="7695" max="7697" width="9" hidden="1" customWidth="1"/>
    <col min="7698" max="7698" width="11.5703125" customWidth="1"/>
    <col min="7699" max="7701" width="9" hidden="1" customWidth="1"/>
    <col min="7702" max="7702" width="11.859375" customWidth="1"/>
    <col min="7703" max="7705" width="9" hidden="1" customWidth="1"/>
    <col min="7706" max="7706" width="11.859375" customWidth="1"/>
    <col min="7707" max="7709" width="9" hidden="1" customWidth="1"/>
    <col min="7710" max="7710" width="11.859375" customWidth="1"/>
    <col min="7711" max="7713" width="9" hidden="1" customWidth="1"/>
    <col min="7714" max="7714" width="12" customWidth="1"/>
    <col min="7715" max="7717" width="9" hidden="1" customWidth="1"/>
    <col min="7718" max="7718" width="12" customWidth="1"/>
    <col min="7719" max="7721" width="9" hidden="1" customWidth="1"/>
    <col min="7722" max="7722" width="12.140625" customWidth="1"/>
    <col min="7723" max="7725" width="9" hidden="1" customWidth="1"/>
    <col min="7726" max="7726" width="12" customWidth="1"/>
    <col min="7727" max="7729" width="9" hidden="1" customWidth="1"/>
    <col min="7730" max="7730" width="11.859375" customWidth="1"/>
    <col min="7731" max="7733" width="9" hidden="1" customWidth="1"/>
    <col min="7734" max="7734" width="11.859375" customWidth="1"/>
    <col min="7735" max="7737" width="9" hidden="1" customWidth="1"/>
    <col min="7738" max="7738" width="12" customWidth="1"/>
    <col min="7739" max="7741" width="9" hidden="1" customWidth="1"/>
    <col min="7742" max="7742" width="10.859375" customWidth="1"/>
    <col min="7743" max="7745" width="9" hidden="1" customWidth="1"/>
    <col min="7746" max="7746" width="11.859375" customWidth="1"/>
    <col min="7747" max="7749" width="9" hidden="1" customWidth="1"/>
    <col min="7750" max="7750" width="10.7109375" customWidth="1"/>
    <col min="7751" max="7753" width="9" hidden="1" customWidth="1"/>
    <col min="7754" max="7754" width="11.4296875" customWidth="1"/>
    <col min="7755" max="7757" width="9" hidden="1" customWidth="1"/>
    <col min="7758" max="7758" width="11.4296875" customWidth="1"/>
    <col min="7762" max="7762" width="11.859375" customWidth="1"/>
    <col min="7937" max="7937" width="26.4296875" customWidth="1"/>
    <col min="7938" max="7938" width="12.140625" customWidth="1"/>
    <col min="7939" max="7941" width="9" hidden="1" customWidth="1"/>
    <col min="7942" max="7942" width="11.7109375" customWidth="1"/>
    <col min="7943" max="7945" width="9" hidden="1" customWidth="1"/>
    <col min="7946" max="7946" width="11.7109375" customWidth="1"/>
    <col min="7947" max="7949" width="9" hidden="1" customWidth="1"/>
    <col min="7950" max="7950" width="11.4296875" customWidth="1"/>
    <col min="7951" max="7953" width="9" hidden="1" customWidth="1"/>
    <col min="7954" max="7954" width="11.5703125" customWidth="1"/>
    <col min="7955" max="7957" width="9" hidden="1" customWidth="1"/>
    <col min="7958" max="7958" width="11.859375" customWidth="1"/>
    <col min="7959" max="7961" width="9" hidden="1" customWidth="1"/>
    <col min="7962" max="7962" width="11.859375" customWidth="1"/>
    <col min="7963" max="7965" width="9" hidden="1" customWidth="1"/>
    <col min="7966" max="7966" width="11.859375" customWidth="1"/>
    <col min="7967" max="7969" width="9" hidden="1" customWidth="1"/>
    <col min="7970" max="7970" width="12" customWidth="1"/>
    <col min="7971" max="7973" width="9" hidden="1" customWidth="1"/>
    <col min="7974" max="7974" width="12" customWidth="1"/>
    <col min="7975" max="7977" width="9" hidden="1" customWidth="1"/>
    <col min="7978" max="7978" width="12.140625" customWidth="1"/>
    <col min="7979" max="7981" width="9" hidden="1" customWidth="1"/>
    <col min="7982" max="7982" width="12" customWidth="1"/>
    <col min="7983" max="7985" width="9" hidden="1" customWidth="1"/>
    <col min="7986" max="7986" width="11.859375" customWidth="1"/>
    <col min="7987" max="7989" width="9" hidden="1" customWidth="1"/>
    <col min="7990" max="7990" width="11.859375" customWidth="1"/>
    <col min="7991" max="7993" width="9" hidden="1" customWidth="1"/>
    <col min="7994" max="7994" width="12" customWidth="1"/>
    <col min="7995" max="7997" width="9" hidden="1" customWidth="1"/>
    <col min="7998" max="7998" width="10.859375" customWidth="1"/>
    <col min="7999" max="8001" width="9" hidden="1" customWidth="1"/>
    <col min="8002" max="8002" width="11.859375" customWidth="1"/>
    <col min="8003" max="8005" width="9" hidden="1" customWidth="1"/>
    <col min="8006" max="8006" width="10.7109375" customWidth="1"/>
    <col min="8007" max="8009" width="9" hidden="1" customWidth="1"/>
    <col min="8010" max="8010" width="11.4296875" customWidth="1"/>
    <col min="8011" max="8013" width="9" hidden="1" customWidth="1"/>
    <col min="8014" max="8014" width="11.4296875" customWidth="1"/>
    <col min="8018" max="8018" width="11.859375" customWidth="1"/>
    <col min="8193" max="8193" width="26.4296875" customWidth="1"/>
    <col min="8194" max="8194" width="12.140625" customWidth="1"/>
    <col min="8195" max="8197" width="9" hidden="1" customWidth="1"/>
    <col min="8198" max="8198" width="11.7109375" customWidth="1"/>
    <col min="8199" max="8201" width="9" hidden="1" customWidth="1"/>
    <col min="8202" max="8202" width="11.7109375" customWidth="1"/>
    <col min="8203" max="8205" width="9" hidden="1" customWidth="1"/>
    <col min="8206" max="8206" width="11.4296875" customWidth="1"/>
    <col min="8207" max="8209" width="9" hidden="1" customWidth="1"/>
    <col min="8210" max="8210" width="11.5703125" customWidth="1"/>
    <col min="8211" max="8213" width="9" hidden="1" customWidth="1"/>
    <col min="8214" max="8214" width="11.859375" customWidth="1"/>
    <col min="8215" max="8217" width="9" hidden="1" customWidth="1"/>
    <col min="8218" max="8218" width="11.859375" customWidth="1"/>
    <col min="8219" max="8221" width="9" hidden="1" customWidth="1"/>
    <col min="8222" max="8222" width="11.859375" customWidth="1"/>
    <col min="8223" max="8225" width="9" hidden="1" customWidth="1"/>
    <col min="8226" max="8226" width="12" customWidth="1"/>
    <col min="8227" max="8229" width="9" hidden="1" customWidth="1"/>
    <col min="8230" max="8230" width="12" customWidth="1"/>
    <col min="8231" max="8233" width="9" hidden="1" customWidth="1"/>
    <col min="8234" max="8234" width="12.140625" customWidth="1"/>
    <col min="8235" max="8237" width="9" hidden="1" customWidth="1"/>
    <col min="8238" max="8238" width="12" customWidth="1"/>
    <col min="8239" max="8241" width="9" hidden="1" customWidth="1"/>
    <col min="8242" max="8242" width="11.859375" customWidth="1"/>
    <col min="8243" max="8245" width="9" hidden="1" customWidth="1"/>
    <col min="8246" max="8246" width="11.859375" customWidth="1"/>
    <col min="8247" max="8249" width="9" hidden="1" customWidth="1"/>
    <col min="8250" max="8250" width="12" customWidth="1"/>
    <col min="8251" max="8253" width="9" hidden="1" customWidth="1"/>
    <col min="8254" max="8254" width="10.859375" customWidth="1"/>
    <col min="8255" max="8257" width="9" hidden="1" customWidth="1"/>
    <col min="8258" max="8258" width="11.859375" customWidth="1"/>
    <col min="8259" max="8261" width="9" hidden="1" customWidth="1"/>
    <col min="8262" max="8262" width="10.7109375" customWidth="1"/>
    <col min="8263" max="8265" width="9" hidden="1" customWidth="1"/>
    <col min="8266" max="8266" width="11.4296875" customWidth="1"/>
    <col min="8267" max="8269" width="9" hidden="1" customWidth="1"/>
    <col min="8270" max="8270" width="11.4296875" customWidth="1"/>
    <col min="8274" max="8274" width="11.859375" customWidth="1"/>
    <col min="8449" max="8449" width="26.4296875" customWidth="1"/>
    <col min="8450" max="8450" width="12.140625" customWidth="1"/>
    <col min="8451" max="8453" width="9" hidden="1" customWidth="1"/>
    <col min="8454" max="8454" width="11.7109375" customWidth="1"/>
    <col min="8455" max="8457" width="9" hidden="1" customWidth="1"/>
    <col min="8458" max="8458" width="11.7109375" customWidth="1"/>
    <col min="8459" max="8461" width="9" hidden="1" customWidth="1"/>
    <col min="8462" max="8462" width="11.4296875" customWidth="1"/>
    <col min="8463" max="8465" width="9" hidden="1" customWidth="1"/>
    <col min="8466" max="8466" width="11.5703125" customWidth="1"/>
    <col min="8467" max="8469" width="9" hidden="1" customWidth="1"/>
    <col min="8470" max="8470" width="11.859375" customWidth="1"/>
    <col min="8471" max="8473" width="9" hidden="1" customWidth="1"/>
    <col min="8474" max="8474" width="11.859375" customWidth="1"/>
    <col min="8475" max="8477" width="9" hidden="1" customWidth="1"/>
    <col min="8478" max="8478" width="11.859375" customWidth="1"/>
    <col min="8479" max="8481" width="9" hidden="1" customWidth="1"/>
    <col min="8482" max="8482" width="12" customWidth="1"/>
    <col min="8483" max="8485" width="9" hidden="1" customWidth="1"/>
    <col min="8486" max="8486" width="12" customWidth="1"/>
    <col min="8487" max="8489" width="9" hidden="1" customWidth="1"/>
    <col min="8490" max="8490" width="12.140625" customWidth="1"/>
    <col min="8491" max="8493" width="9" hidden="1" customWidth="1"/>
    <col min="8494" max="8494" width="12" customWidth="1"/>
    <col min="8495" max="8497" width="9" hidden="1" customWidth="1"/>
    <col min="8498" max="8498" width="11.859375" customWidth="1"/>
    <col min="8499" max="8501" width="9" hidden="1" customWidth="1"/>
    <col min="8502" max="8502" width="11.859375" customWidth="1"/>
    <col min="8503" max="8505" width="9" hidden="1" customWidth="1"/>
    <col min="8506" max="8506" width="12" customWidth="1"/>
    <col min="8507" max="8509" width="9" hidden="1" customWidth="1"/>
    <col min="8510" max="8510" width="10.859375" customWidth="1"/>
    <col min="8511" max="8513" width="9" hidden="1" customWidth="1"/>
    <col min="8514" max="8514" width="11.859375" customWidth="1"/>
    <col min="8515" max="8517" width="9" hidden="1" customWidth="1"/>
    <col min="8518" max="8518" width="10.7109375" customWidth="1"/>
    <col min="8519" max="8521" width="9" hidden="1" customWidth="1"/>
    <col min="8522" max="8522" width="11.4296875" customWidth="1"/>
    <col min="8523" max="8525" width="9" hidden="1" customWidth="1"/>
    <col min="8526" max="8526" width="11.4296875" customWidth="1"/>
    <col min="8530" max="8530" width="11.859375" customWidth="1"/>
    <col min="8705" max="8705" width="26.4296875" customWidth="1"/>
    <col min="8706" max="8706" width="12.140625" customWidth="1"/>
    <col min="8707" max="8709" width="9" hidden="1" customWidth="1"/>
    <col min="8710" max="8710" width="11.7109375" customWidth="1"/>
    <col min="8711" max="8713" width="9" hidden="1" customWidth="1"/>
    <col min="8714" max="8714" width="11.7109375" customWidth="1"/>
    <col min="8715" max="8717" width="9" hidden="1" customWidth="1"/>
    <col min="8718" max="8718" width="11.4296875" customWidth="1"/>
    <col min="8719" max="8721" width="9" hidden="1" customWidth="1"/>
    <col min="8722" max="8722" width="11.5703125" customWidth="1"/>
    <col min="8723" max="8725" width="9" hidden="1" customWidth="1"/>
    <col min="8726" max="8726" width="11.859375" customWidth="1"/>
    <col min="8727" max="8729" width="9" hidden="1" customWidth="1"/>
    <col min="8730" max="8730" width="11.859375" customWidth="1"/>
    <col min="8731" max="8733" width="9" hidden="1" customWidth="1"/>
    <col min="8734" max="8734" width="11.859375" customWidth="1"/>
    <col min="8735" max="8737" width="9" hidden="1" customWidth="1"/>
    <col min="8738" max="8738" width="12" customWidth="1"/>
    <col min="8739" max="8741" width="9" hidden="1" customWidth="1"/>
    <col min="8742" max="8742" width="12" customWidth="1"/>
    <col min="8743" max="8745" width="9" hidden="1" customWidth="1"/>
    <col min="8746" max="8746" width="12.140625" customWidth="1"/>
    <col min="8747" max="8749" width="9" hidden="1" customWidth="1"/>
    <col min="8750" max="8750" width="12" customWidth="1"/>
    <col min="8751" max="8753" width="9" hidden="1" customWidth="1"/>
    <col min="8754" max="8754" width="11.859375" customWidth="1"/>
    <col min="8755" max="8757" width="9" hidden="1" customWidth="1"/>
    <col min="8758" max="8758" width="11.859375" customWidth="1"/>
    <col min="8759" max="8761" width="9" hidden="1" customWidth="1"/>
    <col min="8762" max="8762" width="12" customWidth="1"/>
    <col min="8763" max="8765" width="9" hidden="1" customWidth="1"/>
    <col min="8766" max="8766" width="10.859375" customWidth="1"/>
    <col min="8767" max="8769" width="9" hidden="1" customWidth="1"/>
    <col min="8770" max="8770" width="11.859375" customWidth="1"/>
    <col min="8771" max="8773" width="9" hidden="1" customWidth="1"/>
    <col min="8774" max="8774" width="10.7109375" customWidth="1"/>
    <col min="8775" max="8777" width="9" hidden="1" customWidth="1"/>
    <col min="8778" max="8778" width="11.4296875" customWidth="1"/>
    <col min="8779" max="8781" width="9" hidden="1" customWidth="1"/>
    <col min="8782" max="8782" width="11.4296875" customWidth="1"/>
    <col min="8786" max="8786" width="11.859375" customWidth="1"/>
    <col min="8961" max="8961" width="26.4296875" customWidth="1"/>
    <col min="8962" max="8962" width="12.140625" customWidth="1"/>
    <col min="8963" max="8965" width="9" hidden="1" customWidth="1"/>
    <col min="8966" max="8966" width="11.7109375" customWidth="1"/>
    <col min="8967" max="8969" width="9" hidden="1" customWidth="1"/>
    <col min="8970" max="8970" width="11.7109375" customWidth="1"/>
    <col min="8971" max="8973" width="9" hidden="1" customWidth="1"/>
    <col min="8974" max="8974" width="11.4296875" customWidth="1"/>
    <col min="8975" max="8977" width="9" hidden="1" customWidth="1"/>
    <col min="8978" max="8978" width="11.5703125" customWidth="1"/>
    <col min="8979" max="8981" width="9" hidden="1" customWidth="1"/>
    <col min="8982" max="8982" width="11.859375" customWidth="1"/>
    <col min="8983" max="8985" width="9" hidden="1" customWidth="1"/>
    <col min="8986" max="8986" width="11.859375" customWidth="1"/>
    <col min="8987" max="8989" width="9" hidden="1" customWidth="1"/>
    <col min="8990" max="8990" width="11.859375" customWidth="1"/>
    <col min="8991" max="8993" width="9" hidden="1" customWidth="1"/>
    <col min="8994" max="8994" width="12" customWidth="1"/>
    <col min="8995" max="8997" width="9" hidden="1" customWidth="1"/>
    <col min="8998" max="8998" width="12" customWidth="1"/>
    <col min="8999" max="9001" width="9" hidden="1" customWidth="1"/>
    <col min="9002" max="9002" width="12.140625" customWidth="1"/>
    <col min="9003" max="9005" width="9" hidden="1" customWidth="1"/>
    <col min="9006" max="9006" width="12" customWidth="1"/>
    <col min="9007" max="9009" width="9" hidden="1" customWidth="1"/>
    <col min="9010" max="9010" width="11.859375" customWidth="1"/>
    <col min="9011" max="9013" width="9" hidden="1" customWidth="1"/>
    <col min="9014" max="9014" width="11.859375" customWidth="1"/>
    <col min="9015" max="9017" width="9" hidden="1" customWidth="1"/>
    <col min="9018" max="9018" width="12" customWidth="1"/>
    <col min="9019" max="9021" width="9" hidden="1" customWidth="1"/>
    <col min="9022" max="9022" width="10.859375" customWidth="1"/>
    <col min="9023" max="9025" width="9" hidden="1" customWidth="1"/>
    <col min="9026" max="9026" width="11.859375" customWidth="1"/>
    <col min="9027" max="9029" width="9" hidden="1" customWidth="1"/>
    <col min="9030" max="9030" width="10.7109375" customWidth="1"/>
    <col min="9031" max="9033" width="9" hidden="1" customWidth="1"/>
    <col min="9034" max="9034" width="11.4296875" customWidth="1"/>
    <col min="9035" max="9037" width="9" hidden="1" customWidth="1"/>
    <col min="9038" max="9038" width="11.4296875" customWidth="1"/>
    <col min="9042" max="9042" width="11.859375" customWidth="1"/>
    <col min="9217" max="9217" width="26.4296875" customWidth="1"/>
    <col min="9218" max="9218" width="12.140625" customWidth="1"/>
    <col min="9219" max="9221" width="9" hidden="1" customWidth="1"/>
    <col min="9222" max="9222" width="11.7109375" customWidth="1"/>
    <col min="9223" max="9225" width="9" hidden="1" customWidth="1"/>
    <col min="9226" max="9226" width="11.7109375" customWidth="1"/>
    <col min="9227" max="9229" width="9" hidden="1" customWidth="1"/>
    <col min="9230" max="9230" width="11.4296875" customWidth="1"/>
    <col min="9231" max="9233" width="9" hidden="1" customWidth="1"/>
    <col min="9234" max="9234" width="11.5703125" customWidth="1"/>
    <col min="9235" max="9237" width="9" hidden="1" customWidth="1"/>
    <col min="9238" max="9238" width="11.859375" customWidth="1"/>
    <col min="9239" max="9241" width="9" hidden="1" customWidth="1"/>
    <col min="9242" max="9242" width="11.859375" customWidth="1"/>
    <col min="9243" max="9245" width="9" hidden="1" customWidth="1"/>
    <col min="9246" max="9246" width="11.859375" customWidth="1"/>
    <col min="9247" max="9249" width="9" hidden="1" customWidth="1"/>
    <col min="9250" max="9250" width="12" customWidth="1"/>
    <col min="9251" max="9253" width="9" hidden="1" customWidth="1"/>
    <col min="9254" max="9254" width="12" customWidth="1"/>
    <col min="9255" max="9257" width="9" hidden="1" customWidth="1"/>
    <col min="9258" max="9258" width="12.140625" customWidth="1"/>
    <col min="9259" max="9261" width="9" hidden="1" customWidth="1"/>
    <col min="9262" max="9262" width="12" customWidth="1"/>
    <col min="9263" max="9265" width="9" hidden="1" customWidth="1"/>
    <col min="9266" max="9266" width="11.859375" customWidth="1"/>
    <col min="9267" max="9269" width="9" hidden="1" customWidth="1"/>
    <col min="9270" max="9270" width="11.859375" customWidth="1"/>
    <col min="9271" max="9273" width="9" hidden="1" customWidth="1"/>
    <col min="9274" max="9274" width="12" customWidth="1"/>
    <col min="9275" max="9277" width="9" hidden="1" customWidth="1"/>
    <col min="9278" max="9278" width="10.859375" customWidth="1"/>
    <col min="9279" max="9281" width="9" hidden="1" customWidth="1"/>
    <col min="9282" max="9282" width="11.859375" customWidth="1"/>
    <col min="9283" max="9285" width="9" hidden="1" customWidth="1"/>
    <col min="9286" max="9286" width="10.7109375" customWidth="1"/>
    <col min="9287" max="9289" width="9" hidden="1" customWidth="1"/>
    <col min="9290" max="9290" width="11.4296875" customWidth="1"/>
    <col min="9291" max="9293" width="9" hidden="1" customWidth="1"/>
    <col min="9294" max="9294" width="11.4296875" customWidth="1"/>
    <col min="9298" max="9298" width="11.859375" customWidth="1"/>
    <col min="9473" max="9473" width="26.4296875" customWidth="1"/>
    <col min="9474" max="9474" width="12.140625" customWidth="1"/>
    <col min="9475" max="9477" width="9" hidden="1" customWidth="1"/>
    <col min="9478" max="9478" width="11.7109375" customWidth="1"/>
    <col min="9479" max="9481" width="9" hidden="1" customWidth="1"/>
    <col min="9482" max="9482" width="11.7109375" customWidth="1"/>
    <col min="9483" max="9485" width="9" hidden="1" customWidth="1"/>
    <col min="9486" max="9486" width="11.4296875" customWidth="1"/>
    <col min="9487" max="9489" width="9" hidden="1" customWidth="1"/>
    <col min="9490" max="9490" width="11.5703125" customWidth="1"/>
    <col min="9491" max="9493" width="9" hidden="1" customWidth="1"/>
    <col min="9494" max="9494" width="11.859375" customWidth="1"/>
    <col min="9495" max="9497" width="9" hidden="1" customWidth="1"/>
    <col min="9498" max="9498" width="11.859375" customWidth="1"/>
    <col min="9499" max="9501" width="9" hidden="1" customWidth="1"/>
    <col min="9502" max="9502" width="11.859375" customWidth="1"/>
    <col min="9503" max="9505" width="9" hidden="1" customWidth="1"/>
    <col min="9506" max="9506" width="12" customWidth="1"/>
    <col min="9507" max="9509" width="9" hidden="1" customWidth="1"/>
    <col min="9510" max="9510" width="12" customWidth="1"/>
    <col min="9511" max="9513" width="9" hidden="1" customWidth="1"/>
    <col min="9514" max="9514" width="12.140625" customWidth="1"/>
    <col min="9515" max="9517" width="9" hidden="1" customWidth="1"/>
    <col min="9518" max="9518" width="12" customWidth="1"/>
    <col min="9519" max="9521" width="9" hidden="1" customWidth="1"/>
    <col min="9522" max="9522" width="11.859375" customWidth="1"/>
    <col min="9523" max="9525" width="9" hidden="1" customWidth="1"/>
    <col min="9526" max="9526" width="11.859375" customWidth="1"/>
    <col min="9527" max="9529" width="9" hidden="1" customWidth="1"/>
    <col min="9530" max="9530" width="12" customWidth="1"/>
    <col min="9531" max="9533" width="9" hidden="1" customWidth="1"/>
    <col min="9534" max="9534" width="10.859375" customWidth="1"/>
    <col min="9535" max="9537" width="9" hidden="1" customWidth="1"/>
    <col min="9538" max="9538" width="11.859375" customWidth="1"/>
    <col min="9539" max="9541" width="9" hidden="1" customWidth="1"/>
    <col min="9542" max="9542" width="10.7109375" customWidth="1"/>
    <col min="9543" max="9545" width="9" hidden="1" customWidth="1"/>
    <col min="9546" max="9546" width="11.4296875" customWidth="1"/>
    <col min="9547" max="9549" width="9" hidden="1" customWidth="1"/>
    <col min="9550" max="9550" width="11.4296875" customWidth="1"/>
    <col min="9554" max="9554" width="11.859375" customWidth="1"/>
    <col min="9729" max="9729" width="26.4296875" customWidth="1"/>
    <col min="9730" max="9730" width="12.140625" customWidth="1"/>
    <col min="9731" max="9733" width="9" hidden="1" customWidth="1"/>
    <col min="9734" max="9734" width="11.7109375" customWidth="1"/>
    <col min="9735" max="9737" width="9" hidden="1" customWidth="1"/>
    <col min="9738" max="9738" width="11.7109375" customWidth="1"/>
    <col min="9739" max="9741" width="9" hidden="1" customWidth="1"/>
    <col min="9742" max="9742" width="11.4296875" customWidth="1"/>
    <col min="9743" max="9745" width="9" hidden="1" customWidth="1"/>
    <col min="9746" max="9746" width="11.5703125" customWidth="1"/>
    <col min="9747" max="9749" width="9" hidden="1" customWidth="1"/>
    <col min="9750" max="9750" width="11.859375" customWidth="1"/>
    <col min="9751" max="9753" width="9" hidden="1" customWidth="1"/>
    <col min="9754" max="9754" width="11.859375" customWidth="1"/>
    <col min="9755" max="9757" width="9" hidden="1" customWidth="1"/>
    <col min="9758" max="9758" width="11.859375" customWidth="1"/>
    <col min="9759" max="9761" width="9" hidden="1" customWidth="1"/>
    <col min="9762" max="9762" width="12" customWidth="1"/>
    <col min="9763" max="9765" width="9" hidden="1" customWidth="1"/>
    <col min="9766" max="9766" width="12" customWidth="1"/>
    <col min="9767" max="9769" width="9" hidden="1" customWidth="1"/>
    <col min="9770" max="9770" width="12.140625" customWidth="1"/>
    <col min="9771" max="9773" width="9" hidden="1" customWidth="1"/>
    <col min="9774" max="9774" width="12" customWidth="1"/>
    <col min="9775" max="9777" width="9" hidden="1" customWidth="1"/>
    <col min="9778" max="9778" width="11.859375" customWidth="1"/>
    <col min="9779" max="9781" width="9" hidden="1" customWidth="1"/>
    <col min="9782" max="9782" width="11.859375" customWidth="1"/>
    <col min="9783" max="9785" width="9" hidden="1" customWidth="1"/>
    <col min="9786" max="9786" width="12" customWidth="1"/>
    <col min="9787" max="9789" width="9" hidden="1" customWidth="1"/>
    <col min="9790" max="9790" width="10.859375" customWidth="1"/>
    <col min="9791" max="9793" width="9" hidden="1" customWidth="1"/>
    <col min="9794" max="9794" width="11.859375" customWidth="1"/>
    <col min="9795" max="9797" width="9" hidden="1" customWidth="1"/>
    <col min="9798" max="9798" width="10.7109375" customWidth="1"/>
    <col min="9799" max="9801" width="9" hidden="1" customWidth="1"/>
    <col min="9802" max="9802" width="11.4296875" customWidth="1"/>
    <col min="9803" max="9805" width="9" hidden="1" customWidth="1"/>
    <col min="9806" max="9806" width="11.4296875" customWidth="1"/>
    <col min="9810" max="9810" width="11.859375" customWidth="1"/>
    <col min="9985" max="9985" width="26.4296875" customWidth="1"/>
    <col min="9986" max="9986" width="12.140625" customWidth="1"/>
    <col min="9987" max="9989" width="9" hidden="1" customWidth="1"/>
    <col min="9990" max="9990" width="11.7109375" customWidth="1"/>
    <col min="9991" max="9993" width="9" hidden="1" customWidth="1"/>
    <col min="9994" max="9994" width="11.7109375" customWidth="1"/>
    <col min="9995" max="9997" width="9" hidden="1" customWidth="1"/>
    <col min="9998" max="9998" width="11.4296875" customWidth="1"/>
    <col min="9999" max="10001" width="9" hidden="1" customWidth="1"/>
    <col min="10002" max="10002" width="11.5703125" customWidth="1"/>
    <col min="10003" max="10005" width="9" hidden="1" customWidth="1"/>
    <col min="10006" max="10006" width="11.859375" customWidth="1"/>
    <col min="10007" max="10009" width="9" hidden="1" customWidth="1"/>
    <col min="10010" max="10010" width="11.859375" customWidth="1"/>
    <col min="10011" max="10013" width="9" hidden="1" customWidth="1"/>
    <col min="10014" max="10014" width="11.859375" customWidth="1"/>
    <col min="10015" max="10017" width="9" hidden="1" customWidth="1"/>
    <col min="10018" max="10018" width="12" customWidth="1"/>
    <col min="10019" max="10021" width="9" hidden="1" customWidth="1"/>
    <col min="10022" max="10022" width="12" customWidth="1"/>
    <col min="10023" max="10025" width="9" hidden="1" customWidth="1"/>
    <col min="10026" max="10026" width="12.140625" customWidth="1"/>
    <col min="10027" max="10029" width="9" hidden="1" customWidth="1"/>
    <col min="10030" max="10030" width="12" customWidth="1"/>
    <col min="10031" max="10033" width="9" hidden="1" customWidth="1"/>
    <col min="10034" max="10034" width="11.859375" customWidth="1"/>
    <col min="10035" max="10037" width="9" hidden="1" customWidth="1"/>
    <col min="10038" max="10038" width="11.859375" customWidth="1"/>
    <col min="10039" max="10041" width="9" hidden="1" customWidth="1"/>
    <col min="10042" max="10042" width="12" customWidth="1"/>
    <col min="10043" max="10045" width="9" hidden="1" customWidth="1"/>
    <col min="10046" max="10046" width="10.859375" customWidth="1"/>
    <col min="10047" max="10049" width="9" hidden="1" customWidth="1"/>
    <col min="10050" max="10050" width="11.859375" customWidth="1"/>
    <col min="10051" max="10053" width="9" hidden="1" customWidth="1"/>
    <col min="10054" max="10054" width="10.7109375" customWidth="1"/>
    <col min="10055" max="10057" width="9" hidden="1" customWidth="1"/>
    <col min="10058" max="10058" width="11.4296875" customWidth="1"/>
    <col min="10059" max="10061" width="9" hidden="1" customWidth="1"/>
    <col min="10062" max="10062" width="11.4296875" customWidth="1"/>
    <col min="10066" max="10066" width="11.859375" customWidth="1"/>
    <col min="10241" max="10241" width="26.4296875" customWidth="1"/>
    <col min="10242" max="10242" width="12.140625" customWidth="1"/>
    <col min="10243" max="10245" width="9" hidden="1" customWidth="1"/>
    <col min="10246" max="10246" width="11.7109375" customWidth="1"/>
    <col min="10247" max="10249" width="9" hidden="1" customWidth="1"/>
    <col min="10250" max="10250" width="11.7109375" customWidth="1"/>
    <col min="10251" max="10253" width="9" hidden="1" customWidth="1"/>
    <col min="10254" max="10254" width="11.4296875" customWidth="1"/>
    <col min="10255" max="10257" width="9" hidden="1" customWidth="1"/>
    <col min="10258" max="10258" width="11.5703125" customWidth="1"/>
    <col min="10259" max="10261" width="9" hidden="1" customWidth="1"/>
    <col min="10262" max="10262" width="11.859375" customWidth="1"/>
    <col min="10263" max="10265" width="9" hidden="1" customWidth="1"/>
    <col min="10266" max="10266" width="11.859375" customWidth="1"/>
    <col min="10267" max="10269" width="9" hidden="1" customWidth="1"/>
    <col min="10270" max="10270" width="11.859375" customWidth="1"/>
    <col min="10271" max="10273" width="9" hidden="1" customWidth="1"/>
    <col min="10274" max="10274" width="12" customWidth="1"/>
    <col min="10275" max="10277" width="9" hidden="1" customWidth="1"/>
    <col min="10278" max="10278" width="12" customWidth="1"/>
    <col min="10279" max="10281" width="9" hidden="1" customWidth="1"/>
    <col min="10282" max="10282" width="12.140625" customWidth="1"/>
    <col min="10283" max="10285" width="9" hidden="1" customWidth="1"/>
    <col min="10286" max="10286" width="12" customWidth="1"/>
    <col min="10287" max="10289" width="9" hidden="1" customWidth="1"/>
    <col min="10290" max="10290" width="11.859375" customWidth="1"/>
    <col min="10291" max="10293" width="9" hidden="1" customWidth="1"/>
    <col min="10294" max="10294" width="11.859375" customWidth="1"/>
    <col min="10295" max="10297" width="9" hidden="1" customWidth="1"/>
    <col min="10298" max="10298" width="12" customWidth="1"/>
    <col min="10299" max="10301" width="9" hidden="1" customWidth="1"/>
    <col min="10302" max="10302" width="10.859375" customWidth="1"/>
    <col min="10303" max="10305" width="9" hidden="1" customWidth="1"/>
    <col min="10306" max="10306" width="11.859375" customWidth="1"/>
    <col min="10307" max="10309" width="9" hidden="1" customWidth="1"/>
    <col min="10310" max="10310" width="10.7109375" customWidth="1"/>
    <col min="10311" max="10313" width="9" hidden="1" customWidth="1"/>
    <col min="10314" max="10314" width="11.4296875" customWidth="1"/>
    <col min="10315" max="10317" width="9" hidden="1" customWidth="1"/>
    <col min="10318" max="10318" width="11.4296875" customWidth="1"/>
    <col min="10322" max="10322" width="11.859375" customWidth="1"/>
    <col min="10497" max="10497" width="26.4296875" customWidth="1"/>
    <col min="10498" max="10498" width="12.140625" customWidth="1"/>
    <col min="10499" max="10501" width="9" hidden="1" customWidth="1"/>
    <col min="10502" max="10502" width="11.7109375" customWidth="1"/>
    <col min="10503" max="10505" width="9" hidden="1" customWidth="1"/>
    <col min="10506" max="10506" width="11.7109375" customWidth="1"/>
    <col min="10507" max="10509" width="9" hidden="1" customWidth="1"/>
    <col min="10510" max="10510" width="11.4296875" customWidth="1"/>
    <col min="10511" max="10513" width="9" hidden="1" customWidth="1"/>
    <col min="10514" max="10514" width="11.5703125" customWidth="1"/>
    <col min="10515" max="10517" width="9" hidden="1" customWidth="1"/>
    <col min="10518" max="10518" width="11.859375" customWidth="1"/>
    <col min="10519" max="10521" width="9" hidden="1" customWidth="1"/>
    <col min="10522" max="10522" width="11.859375" customWidth="1"/>
    <col min="10523" max="10525" width="9" hidden="1" customWidth="1"/>
    <col min="10526" max="10526" width="11.859375" customWidth="1"/>
    <col min="10527" max="10529" width="9" hidden="1" customWidth="1"/>
    <col min="10530" max="10530" width="12" customWidth="1"/>
    <col min="10531" max="10533" width="9" hidden="1" customWidth="1"/>
    <col min="10534" max="10534" width="12" customWidth="1"/>
    <col min="10535" max="10537" width="9" hidden="1" customWidth="1"/>
    <col min="10538" max="10538" width="12.140625" customWidth="1"/>
    <col min="10539" max="10541" width="9" hidden="1" customWidth="1"/>
    <col min="10542" max="10542" width="12" customWidth="1"/>
    <col min="10543" max="10545" width="9" hidden="1" customWidth="1"/>
    <col min="10546" max="10546" width="11.859375" customWidth="1"/>
    <col min="10547" max="10549" width="9" hidden="1" customWidth="1"/>
    <col min="10550" max="10550" width="11.859375" customWidth="1"/>
    <col min="10551" max="10553" width="9" hidden="1" customWidth="1"/>
    <col min="10554" max="10554" width="12" customWidth="1"/>
    <col min="10555" max="10557" width="9" hidden="1" customWidth="1"/>
    <col min="10558" max="10558" width="10.859375" customWidth="1"/>
    <col min="10559" max="10561" width="9" hidden="1" customWidth="1"/>
    <col min="10562" max="10562" width="11.859375" customWidth="1"/>
    <col min="10563" max="10565" width="9" hidden="1" customWidth="1"/>
    <col min="10566" max="10566" width="10.7109375" customWidth="1"/>
    <col min="10567" max="10569" width="9" hidden="1" customWidth="1"/>
    <col min="10570" max="10570" width="11.4296875" customWidth="1"/>
    <col min="10571" max="10573" width="9" hidden="1" customWidth="1"/>
    <col min="10574" max="10574" width="11.4296875" customWidth="1"/>
    <col min="10578" max="10578" width="11.859375" customWidth="1"/>
    <col min="10753" max="10753" width="26.4296875" customWidth="1"/>
    <col min="10754" max="10754" width="12.140625" customWidth="1"/>
    <col min="10755" max="10757" width="9" hidden="1" customWidth="1"/>
    <col min="10758" max="10758" width="11.7109375" customWidth="1"/>
    <col min="10759" max="10761" width="9" hidden="1" customWidth="1"/>
    <col min="10762" max="10762" width="11.7109375" customWidth="1"/>
    <col min="10763" max="10765" width="9" hidden="1" customWidth="1"/>
    <col min="10766" max="10766" width="11.4296875" customWidth="1"/>
    <col min="10767" max="10769" width="9" hidden="1" customWidth="1"/>
    <col min="10770" max="10770" width="11.5703125" customWidth="1"/>
    <col min="10771" max="10773" width="9" hidden="1" customWidth="1"/>
    <col min="10774" max="10774" width="11.859375" customWidth="1"/>
    <col min="10775" max="10777" width="9" hidden="1" customWidth="1"/>
    <col min="10778" max="10778" width="11.859375" customWidth="1"/>
    <col min="10779" max="10781" width="9" hidden="1" customWidth="1"/>
    <col min="10782" max="10782" width="11.859375" customWidth="1"/>
    <col min="10783" max="10785" width="9" hidden="1" customWidth="1"/>
    <col min="10786" max="10786" width="12" customWidth="1"/>
    <col min="10787" max="10789" width="9" hidden="1" customWidth="1"/>
    <col min="10790" max="10790" width="12" customWidth="1"/>
    <col min="10791" max="10793" width="9" hidden="1" customWidth="1"/>
    <col min="10794" max="10794" width="12.140625" customWidth="1"/>
    <col min="10795" max="10797" width="9" hidden="1" customWidth="1"/>
    <col min="10798" max="10798" width="12" customWidth="1"/>
    <col min="10799" max="10801" width="9" hidden="1" customWidth="1"/>
    <col min="10802" max="10802" width="11.859375" customWidth="1"/>
    <col min="10803" max="10805" width="9" hidden="1" customWidth="1"/>
    <col min="10806" max="10806" width="11.859375" customWidth="1"/>
    <col min="10807" max="10809" width="9" hidden="1" customWidth="1"/>
    <col min="10810" max="10810" width="12" customWidth="1"/>
    <col min="10811" max="10813" width="9" hidden="1" customWidth="1"/>
    <col min="10814" max="10814" width="10.859375" customWidth="1"/>
    <col min="10815" max="10817" width="9" hidden="1" customWidth="1"/>
    <col min="10818" max="10818" width="11.859375" customWidth="1"/>
    <col min="10819" max="10821" width="9" hidden="1" customWidth="1"/>
    <col min="10822" max="10822" width="10.7109375" customWidth="1"/>
    <col min="10823" max="10825" width="9" hidden="1" customWidth="1"/>
    <col min="10826" max="10826" width="11.4296875" customWidth="1"/>
    <col min="10827" max="10829" width="9" hidden="1" customWidth="1"/>
    <col min="10830" max="10830" width="11.4296875" customWidth="1"/>
    <col min="10834" max="10834" width="11.859375" customWidth="1"/>
    <col min="11009" max="11009" width="26.4296875" customWidth="1"/>
    <col min="11010" max="11010" width="12.140625" customWidth="1"/>
    <col min="11011" max="11013" width="9" hidden="1" customWidth="1"/>
    <col min="11014" max="11014" width="11.7109375" customWidth="1"/>
    <col min="11015" max="11017" width="9" hidden="1" customWidth="1"/>
    <col min="11018" max="11018" width="11.7109375" customWidth="1"/>
    <col min="11019" max="11021" width="9" hidden="1" customWidth="1"/>
    <col min="11022" max="11022" width="11.4296875" customWidth="1"/>
    <col min="11023" max="11025" width="9" hidden="1" customWidth="1"/>
    <col min="11026" max="11026" width="11.5703125" customWidth="1"/>
    <col min="11027" max="11029" width="9" hidden="1" customWidth="1"/>
    <col min="11030" max="11030" width="11.859375" customWidth="1"/>
    <col min="11031" max="11033" width="9" hidden="1" customWidth="1"/>
    <col min="11034" max="11034" width="11.859375" customWidth="1"/>
    <col min="11035" max="11037" width="9" hidden="1" customWidth="1"/>
    <col min="11038" max="11038" width="11.859375" customWidth="1"/>
    <col min="11039" max="11041" width="9" hidden="1" customWidth="1"/>
    <col min="11042" max="11042" width="12" customWidth="1"/>
    <col min="11043" max="11045" width="9" hidden="1" customWidth="1"/>
    <col min="11046" max="11046" width="12" customWidth="1"/>
    <col min="11047" max="11049" width="9" hidden="1" customWidth="1"/>
    <col min="11050" max="11050" width="12.140625" customWidth="1"/>
    <col min="11051" max="11053" width="9" hidden="1" customWidth="1"/>
    <col min="11054" max="11054" width="12" customWidth="1"/>
    <col min="11055" max="11057" width="9" hidden="1" customWidth="1"/>
    <col min="11058" max="11058" width="11.859375" customWidth="1"/>
    <col min="11059" max="11061" width="9" hidden="1" customWidth="1"/>
    <col min="11062" max="11062" width="11.859375" customWidth="1"/>
    <col min="11063" max="11065" width="9" hidden="1" customWidth="1"/>
    <col min="11066" max="11066" width="12" customWidth="1"/>
    <col min="11067" max="11069" width="9" hidden="1" customWidth="1"/>
    <col min="11070" max="11070" width="10.859375" customWidth="1"/>
    <col min="11071" max="11073" width="9" hidden="1" customWidth="1"/>
    <col min="11074" max="11074" width="11.859375" customWidth="1"/>
    <col min="11075" max="11077" width="9" hidden="1" customWidth="1"/>
    <col min="11078" max="11078" width="10.7109375" customWidth="1"/>
    <col min="11079" max="11081" width="9" hidden="1" customWidth="1"/>
    <col min="11082" max="11082" width="11.4296875" customWidth="1"/>
    <col min="11083" max="11085" width="9" hidden="1" customWidth="1"/>
    <col min="11086" max="11086" width="11.4296875" customWidth="1"/>
    <col min="11090" max="11090" width="11.859375" customWidth="1"/>
    <col min="11265" max="11265" width="26.4296875" customWidth="1"/>
    <col min="11266" max="11266" width="12.140625" customWidth="1"/>
    <col min="11267" max="11269" width="9" hidden="1" customWidth="1"/>
    <col min="11270" max="11270" width="11.7109375" customWidth="1"/>
    <col min="11271" max="11273" width="9" hidden="1" customWidth="1"/>
    <col min="11274" max="11274" width="11.7109375" customWidth="1"/>
    <col min="11275" max="11277" width="9" hidden="1" customWidth="1"/>
    <col min="11278" max="11278" width="11.4296875" customWidth="1"/>
    <col min="11279" max="11281" width="9" hidden="1" customWidth="1"/>
    <col min="11282" max="11282" width="11.5703125" customWidth="1"/>
    <col min="11283" max="11285" width="9" hidden="1" customWidth="1"/>
    <col min="11286" max="11286" width="11.859375" customWidth="1"/>
    <col min="11287" max="11289" width="9" hidden="1" customWidth="1"/>
    <col min="11290" max="11290" width="11.859375" customWidth="1"/>
    <col min="11291" max="11293" width="9" hidden="1" customWidth="1"/>
    <col min="11294" max="11294" width="11.859375" customWidth="1"/>
    <col min="11295" max="11297" width="9" hidden="1" customWidth="1"/>
    <col min="11298" max="11298" width="12" customWidth="1"/>
    <col min="11299" max="11301" width="9" hidden="1" customWidth="1"/>
    <col min="11302" max="11302" width="12" customWidth="1"/>
    <col min="11303" max="11305" width="9" hidden="1" customWidth="1"/>
    <col min="11306" max="11306" width="12.140625" customWidth="1"/>
    <col min="11307" max="11309" width="9" hidden="1" customWidth="1"/>
    <col min="11310" max="11310" width="12" customWidth="1"/>
    <col min="11311" max="11313" width="9" hidden="1" customWidth="1"/>
    <col min="11314" max="11314" width="11.859375" customWidth="1"/>
    <col min="11315" max="11317" width="9" hidden="1" customWidth="1"/>
    <col min="11318" max="11318" width="11.859375" customWidth="1"/>
    <col min="11319" max="11321" width="9" hidden="1" customWidth="1"/>
    <col min="11322" max="11322" width="12" customWidth="1"/>
    <col min="11323" max="11325" width="9" hidden="1" customWidth="1"/>
    <col min="11326" max="11326" width="10.859375" customWidth="1"/>
    <col min="11327" max="11329" width="9" hidden="1" customWidth="1"/>
    <col min="11330" max="11330" width="11.859375" customWidth="1"/>
    <col min="11331" max="11333" width="9" hidden="1" customWidth="1"/>
    <col min="11334" max="11334" width="10.7109375" customWidth="1"/>
    <col min="11335" max="11337" width="9" hidden="1" customWidth="1"/>
    <col min="11338" max="11338" width="11.4296875" customWidth="1"/>
    <col min="11339" max="11341" width="9" hidden="1" customWidth="1"/>
    <col min="11342" max="11342" width="11.4296875" customWidth="1"/>
    <col min="11346" max="11346" width="11.859375" customWidth="1"/>
    <col min="11521" max="11521" width="26.4296875" customWidth="1"/>
    <col min="11522" max="11522" width="12.140625" customWidth="1"/>
    <col min="11523" max="11525" width="9" hidden="1" customWidth="1"/>
    <col min="11526" max="11526" width="11.7109375" customWidth="1"/>
    <col min="11527" max="11529" width="9" hidden="1" customWidth="1"/>
    <col min="11530" max="11530" width="11.7109375" customWidth="1"/>
    <col min="11531" max="11533" width="9" hidden="1" customWidth="1"/>
    <col min="11534" max="11534" width="11.4296875" customWidth="1"/>
    <col min="11535" max="11537" width="9" hidden="1" customWidth="1"/>
    <col min="11538" max="11538" width="11.5703125" customWidth="1"/>
    <col min="11539" max="11541" width="9" hidden="1" customWidth="1"/>
    <col min="11542" max="11542" width="11.859375" customWidth="1"/>
    <col min="11543" max="11545" width="9" hidden="1" customWidth="1"/>
    <col min="11546" max="11546" width="11.859375" customWidth="1"/>
    <col min="11547" max="11549" width="9" hidden="1" customWidth="1"/>
    <col min="11550" max="11550" width="11.859375" customWidth="1"/>
    <col min="11551" max="11553" width="9" hidden="1" customWidth="1"/>
    <col min="11554" max="11554" width="12" customWidth="1"/>
    <col min="11555" max="11557" width="9" hidden="1" customWidth="1"/>
    <col min="11558" max="11558" width="12" customWidth="1"/>
    <col min="11559" max="11561" width="9" hidden="1" customWidth="1"/>
    <col min="11562" max="11562" width="12.140625" customWidth="1"/>
    <col min="11563" max="11565" width="9" hidden="1" customWidth="1"/>
    <col min="11566" max="11566" width="12" customWidth="1"/>
    <col min="11567" max="11569" width="9" hidden="1" customWidth="1"/>
    <col min="11570" max="11570" width="11.859375" customWidth="1"/>
    <col min="11571" max="11573" width="9" hidden="1" customWidth="1"/>
    <col min="11574" max="11574" width="11.859375" customWidth="1"/>
    <col min="11575" max="11577" width="9" hidden="1" customWidth="1"/>
    <col min="11578" max="11578" width="12" customWidth="1"/>
    <col min="11579" max="11581" width="9" hidden="1" customWidth="1"/>
    <col min="11582" max="11582" width="10.859375" customWidth="1"/>
    <col min="11583" max="11585" width="9" hidden="1" customWidth="1"/>
    <col min="11586" max="11586" width="11.859375" customWidth="1"/>
    <col min="11587" max="11589" width="9" hidden="1" customWidth="1"/>
    <col min="11590" max="11590" width="10.7109375" customWidth="1"/>
    <col min="11591" max="11593" width="9" hidden="1" customWidth="1"/>
    <col min="11594" max="11594" width="11.4296875" customWidth="1"/>
    <col min="11595" max="11597" width="9" hidden="1" customWidth="1"/>
    <col min="11598" max="11598" width="11.4296875" customWidth="1"/>
    <col min="11602" max="11602" width="11.859375" customWidth="1"/>
    <col min="11777" max="11777" width="26.4296875" customWidth="1"/>
    <col min="11778" max="11778" width="12.140625" customWidth="1"/>
    <col min="11779" max="11781" width="9" hidden="1" customWidth="1"/>
    <col min="11782" max="11782" width="11.7109375" customWidth="1"/>
    <col min="11783" max="11785" width="9" hidden="1" customWidth="1"/>
    <col min="11786" max="11786" width="11.7109375" customWidth="1"/>
    <col min="11787" max="11789" width="9" hidden="1" customWidth="1"/>
    <col min="11790" max="11790" width="11.4296875" customWidth="1"/>
    <col min="11791" max="11793" width="9" hidden="1" customWidth="1"/>
    <col min="11794" max="11794" width="11.5703125" customWidth="1"/>
    <col min="11795" max="11797" width="9" hidden="1" customWidth="1"/>
    <col min="11798" max="11798" width="11.859375" customWidth="1"/>
    <col min="11799" max="11801" width="9" hidden="1" customWidth="1"/>
    <col min="11802" max="11802" width="11.859375" customWidth="1"/>
    <col min="11803" max="11805" width="9" hidden="1" customWidth="1"/>
    <col min="11806" max="11806" width="11.859375" customWidth="1"/>
    <col min="11807" max="11809" width="9" hidden="1" customWidth="1"/>
    <col min="11810" max="11810" width="12" customWidth="1"/>
    <col min="11811" max="11813" width="9" hidden="1" customWidth="1"/>
    <col min="11814" max="11814" width="12" customWidth="1"/>
    <col min="11815" max="11817" width="9" hidden="1" customWidth="1"/>
    <col min="11818" max="11818" width="12.140625" customWidth="1"/>
    <col min="11819" max="11821" width="9" hidden="1" customWidth="1"/>
    <col min="11822" max="11822" width="12" customWidth="1"/>
    <col min="11823" max="11825" width="9" hidden="1" customWidth="1"/>
    <col min="11826" max="11826" width="11.859375" customWidth="1"/>
    <col min="11827" max="11829" width="9" hidden="1" customWidth="1"/>
    <col min="11830" max="11830" width="11.859375" customWidth="1"/>
    <col min="11831" max="11833" width="9" hidden="1" customWidth="1"/>
    <col min="11834" max="11834" width="12" customWidth="1"/>
    <col min="11835" max="11837" width="9" hidden="1" customWidth="1"/>
    <col min="11838" max="11838" width="10.859375" customWidth="1"/>
    <col min="11839" max="11841" width="9" hidden="1" customWidth="1"/>
    <col min="11842" max="11842" width="11.859375" customWidth="1"/>
    <col min="11843" max="11845" width="9" hidden="1" customWidth="1"/>
    <col min="11846" max="11846" width="10.7109375" customWidth="1"/>
    <col min="11847" max="11849" width="9" hidden="1" customWidth="1"/>
    <col min="11850" max="11850" width="11.4296875" customWidth="1"/>
    <col min="11851" max="11853" width="9" hidden="1" customWidth="1"/>
    <col min="11854" max="11854" width="11.4296875" customWidth="1"/>
    <col min="11858" max="11858" width="11.859375" customWidth="1"/>
    <col min="12033" max="12033" width="26.4296875" customWidth="1"/>
    <col min="12034" max="12034" width="12.140625" customWidth="1"/>
    <col min="12035" max="12037" width="9" hidden="1" customWidth="1"/>
    <col min="12038" max="12038" width="11.7109375" customWidth="1"/>
    <col min="12039" max="12041" width="9" hidden="1" customWidth="1"/>
    <col min="12042" max="12042" width="11.7109375" customWidth="1"/>
    <col min="12043" max="12045" width="9" hidden="1" customWidth="1"/>
    <col min="12046" max="12046" width="11.4296875" customWidth="1"/>
    <col min="12047" max="12049" width="9" hidden="1" customWidth="1"/>
    <col min="12050" max="12050" width="11.5703125" customWidth="1"/>
    <col min="12051" max="12053" width="9" hidden="1" customWidth="1"/>
    <col min="12054" max="12054" width="11.859375" customWidth="1"/>
    <col min="12055" max="12057" width="9" hidden="1" customWidth="1"/>
    <col min="12058" max="12058" width="11.859375" customWidth="1"/>
    <col min="12059" max="12061" width="9" hidden="1" customWidth="1"/>
    <col min="12062" max="12062" width="11.859375" customWidth="1"/>
    <col min="12063" max="12065" width="9" hidden="1" customWidth="1"/>
    <col min="12066" max="12066" width="12" customWidth="1"/>
    <col min="12067" max="12069" width="9" hidden="1" customWidth="1"/>
    <col min="12070" max="12070" width="12" customWidth="1"/>
    <col min="12071" max="12073" width="9" hidden="1" customWidth="1"/>
    <col min="12074" max="12074" width="12.140625" customWidth="1"/>
    <col min="12075" max="12077" width="9" hidden="1" customWidth="1"/>
    <col min="12078" max="12078" width="12" customWidth="1"/>
    <col min="12079" max="12081" width="9" hidden="1" customWidth="1"/>
    <col min="12082" max="12082" width="11.859375" customWidth="1"/>
    <col min="12083" max="12085" width="9" hidden="1" customWidth="1"/>
    <col min="12086" max="12086" width="11.859375" customWidth="1"/>
    <col min="12087" max="12089" width="9" hidden="1" customWidth="1"/>
    <col min="12090" max="12090" width="12" customWidth="1"/>
    <col min="12091" max="12093" width="9" hidden="1" customWidth="1"/>
    <col min="12094" max="12094" width="10.859375" customWidth="1"/>
    <col min="12095" max="12097" width="9" hidden="1" customWidth="1"/>
    <col min="12098" max="12098" width="11.859375" customWidth="1"/>
    <col min="12099" max="12101" width="9" hidden="1" customWidth="1"/>
    <col min="12102" max="12102" width="10.7109375" customWidth="1"/>
    <col min="12103" max="12105" width="9" hidden="1" customWidth="1"/>
    <col min="12106" max="12106" width="11.4296875" customWidth="1"/>
    <col min="12107" max="12109" width="9" hidden="1" customWidth="1"/>
    <col min="12110" max="12110" width="11.4296875" customWidth="1"/>
    <col min="12114" max="12114" width="11.859375" customWidth="1"/>
    <col min="12289" max="12289" width="26.4296875" customWidth="1"/>
    <col min="12290" max="12290" width="12.140625" customWidth="1"/>
    <col min="12291" max="12293" width="9" hidden="1" customWidth="1"/>
    <col min="12294" max="12294" width="11.7109375" customWidth="1"/>
    <col min="12295" max="12297" width="9" hidden="1" customWidth="1"/>
    <col min="12298" max="12298" width="11.7109375" customWidth="1"/>
    <col min="12299" max="12301" width="9" hidden="1" customWidth="1"/>
    <col min="12302" max="12302" width="11.4296875" customWidth="1"/>
    <col min="12303" max="12305" width="9" hidden="1" customWidth="1"/>
    <col min="12306" max="12306" width="11.5703125" customWidth="1"/>
    <col min="12307" max="12309" width="9" hidden="1" customWidth="1"/>
    <col min="12310" max="12310" width="11.859375" customWidth="1"/>
    <col min="12311" max="12313" width="9" hidden="1" customWidth="1"/>
    <col min="12314" max="12314" width="11.859375" customWidth="1"/>
    <col min="12315" max="12317" width="9" hidden="1" customWidth="1"/>
    <col min="12318" max="12318" width="11.859375" customWidth="1"/>
    <col min="12319" max="12321" width="9" hidden="1" customWidth="1"/>
    <col min="12322" max="12322" width="12" customWidth="1"/>
    <col min="12323" max="12325" width="9" hidden="1" customWidth="1"/>
    <col min="12326" max="12326" width="12" customWidth="1"/>
    <col min="12327" max="12329" width="9" hidden="1" customWidth="1"/>
    <col min="12330" max="12330" width="12.140625" customWidth="1"/>
    <col min="12331" max="12333" width="9" hidden="1" customWidth="1"/>
    <col min="12334" max="12334" width="12" customWidth="1"/>
    <col min="12335" max="12337" width="9" hidden="1" customWidth="1"/>
    <col min="12338" max="12338" width="11.859375" customWidth="1"/>
    <col min="12339" max="12341" width="9" hidden="1" customWidth="1"/>
    <col min="12342" max="12342" width="11.859375" customWidth="1"/>
    <col min="12343" max="12345" width="9" hidden="1" customWidth="1"/>
    <col min="12346" max="12346" width="12" customWidth="1"/>
    <col min="12347" max="12349" width="9" hidden="1" customWidth="1"/>
    <col min="12350" max="12350" width="10.859375" customWidth="1"/>
    <col min="12351" max="12353" width="9" hidden="1" customWidth="1"/>
    <col min="12354" max="12354" width="11.859375" customWidth="1"/>
    <col min="12355" max="12357" width="9" hidden="1" customWidth="1"/>
    <col min="12358" max="12358" width="10.7109375" customWidth="1"/>
    <col min="12359" max="12361" width="9" hidden="1" customWidth="1"/>
    <col min="12362" max="12362" width="11.4296875" customWidth="1"/>
    <col min="12363" max="12365" width="9" hidden="1" customWidth="1"/>
    <col min="12366" max="12366" width="11.4296875" customWidth="1"/>
    <col min="12370" max="12370" width="11.859375" customWidth="1"/>
    <col min="12545" max="12545" width="26.4296875" customWidth="1"/>
    <col min="12546" max="12546" width="12.140625" customWidth="1"/>
    <col min="12547" max="12549" width="9" hidden="1" customWidth="1"/>
    <col min="12550" max="12550" width="11.7109375" customWidth="1"/>
    <col min="12551" max="12553" width="9" hidden="1" customWidth="1"/>
    <col min="12554" max="12554" width="11.7109375" customWidth="1"/>
    <col min="12555" max="12557" width="9" hidden="1" customWidth="1"/>
    <col min="12558" max="12558" width="11.4296875" customWidth="1"/>
    <col min="12559" max="12561" width="9" hidden="1" customWidth="1"/>
    <col min="12562" max="12562" width="11.5703125" customWidth="1"/>
    <col min="12563" max="12565" width="9" hidden="1" customWidth="1"/>
    <col min="12566" max="12566" width="11.859375" customWidth="1"/>
    <col min="12567" max="12569" width="9" hidden="1" customWidth="1"/>
    <col min="12570" max="12570" width="11.859375" customWidth="1"/>
    <col min="12571" max="12573" width="9" hidden="1" customWidth="1"/>
    <col min="12574" max="12574" width="11.859375" customWidth="1"/>
    <col min="12575" max="12577" width="9" hidden="1" customWidth="1"/>
    <col min="12578" max="12578" width="12" customWidth="1"/>
    <col min="12579" max="12581" width="9" hidden="1" customWidth="1"/>
    <col min="12582" max="12582" width="12" customWidth="1"/>
    <col min="12583" max="12585" width="9" hidden="1" customWidth="1"/>
    <col min="12586" max="12586" width="12.140625" customWidth="1"/>
    <col min="12587" max="12589" width="9" hidden="1" customWidth="1"/>
    <col min="12590" max="12590" width="12" customWidth="1"/>
    <col min="12591" max="12593" width="9" hidden="1" customWidth="1"/>
    <col min="12594" max="12594" width="11.859375" customWidth="1"/>
    <col min="12595" max="12597" width="9" hidden="1" customWidth="1"/>
    <col min="12598" max="12598" width="11.859375" customWidth="1"/>
    <col min="12599" max="12601" width="9" hidden="1" customWidth="1"/>
    <col min="12602" max="12602" width="12" customWidth="1"/>
    <col min="12603" max="12605" width="9" hidden="1" customWidth="1"/>
    <col min="12606" max="12606" width="10.859375" customWidth="1"/>
    <col min="12607" max="12609" width="9" hidden="1" customWidth="1"/>
    <col min="12610" max="12610" width="11.859375" customWidth="1"/>
    <col min="12611" max="12613" width="9" hidden="1" customWidth="1"/>
    <col min="12614" max="12614" width="10.7109375" customWidth="1"/>
    <col min="12615" max="12617" width="9" hidden="1" customWidth="1"/>
    <col min="12618" max="12618" width="11.4296875" customWidth="1"/>
    <col min="12619" max="12621" width="9" hidden="1" customWidth="1"/>
    <col min="12622" max="12622" width="11.4296875" customWidth="1"/>
    <col min="12626" max="12626" width="11.859375" customWidth="1"/>
    <col min="12801" max="12801" width="26.4296875" customWidth="1"/>
    <col min="12802" max="12802" width="12.140625" customWidth="1"/>
    <col min="12803" max="12805" width="9" hidden="1" customWidth="1"/>
    <col min="12806" max="12806" width="11.7109375" customWidth="1"/>
    <col min="12807" max="12809" width="9" hidden="1" customWidth="1"/>
    <col min="12810" max="12810" width="11.7109375" customWidth="1"/>
    <col min="12811" max="12813" width="9" hidden="1" customWidth="1"/>
    <col min="12814" max="12814" width="11.4296875" customWidth="1"/>
    <col min="12815" max="12817" width="9" hidden="1" customWidth="1"/>
    <col min="12818" max="12818" width="11.5703125" customWidth="1"/>
    <col min="12819" max="12821" width="9" hidden="1" customWidth="1"/>
    <col min="12822" max="12822" width="11.859375" customWidth="1"/>
    <col min="12823" max="12825" width="9" hidden="1" customWidth="1"/>
    <col min="12826" max="12826" width="11.859375" customWidth="1"/>
    <col min="12827" max="12829" width="9" hidden="1" customWidth="1"/>
    <col min="12830" max="12830" width="11.859375" customWidth="1"/>
    <col min="12831" max="12833" width="9" hidden="1" customWidth="1"/>
    <col min="12834" max="12834" width="12" customWidth="1"/>
    <col min="12835" max="12837" width="9" hidden="1" customWidth="1"/>
    <col min="12838" max="12838" width="12" customWidth="1"/>
    <col min="12839" max="12841" width="9" hidden="1" customWidth="1"/>
    <col min="12842" max="12842" width="12.140625" customWidth="1"/>
    <col min="12843" max="12845" width="9" hidden="1" customWidth="1"/>
    <col min="12846" max="12846" width="12" customWidth="1"/>
    <col min="12847" max="12849" width="9" hidden="1" customWidth="1"/>
    <col min="12850" max="12850" width="11.859375" customWidth="1"/>
    <col min="12851" max="12853" width="9" hidden="1" customWidth="1"/>
    <col min="12854" max="12854" width="11.859375" customWidth="1"/>
    <col min="12855" max="12857" width="9" hidden="1" customWidth="1"/>
    <col min="12858" max="12858" width="12" customWidth="1"/>
    <col min="12859" max="12861" width="9" hidden="1" customWidth="1"/>
    <col min="12862" max="12862" width="10.859375" customWidth="1"/>
    <col min="12863" max="12865" width="9" hidden="1" customWidth="1"/>
    <col min="12866" max="12866" width="11.859375" customWidth="1"/>
    <col min="12867" max="12869" width="9" hidden="1" customWidth="1"/>
    <col min="12870" max="12870" width="10.7109375" customWidth="1"/>
    <col min="12871" max="12873" width="9" hidden="1" customWidth="1"/>
    <col min="12874" max="12874" width="11.4296875" customWidth="1"/>
    <col min="12875" max="12877" width="9" hidden="1" customWidth="1"/>
    <col min="12878" max="12878" width="11.4296875" customWidth="1"/>
    <col min="12882" max="12882" width="11.859375" customWidth="1"/>
    <col min="13057" max="13057" width="26.4296875" customWidth="1"/>
    <col min="13058" max="13058" width="12.140625" customWidth="1"/>
    <col min="13059" max="13061" width="9" hidden="1" customWidth="1"/>
    <col min="13062" max="13062" width="11.7109375" customWidth="1"/>
    <col min="13063" max="13065" width="9" hidden="1" customWidth="1"/>
    <col min="13066" max="13066" width="11.7109375" customWidth="1"/>
    <col min="13067" max="13069" width="9" hidden="1" customWidth="1"/>
    <col min="13070" max="13070" width="11.4296875" customWidth="1"/>
    <col min="13071" max="13073" width="9" hidden="1" customWidth="1"/>
    <col min="13074" max="13074" width="11.5703125" customWidth="1"/>
    <col min="13075" max="13077" width="9" hidden="1" customWidth="1"/>
    <col min="13078" max="13078" width="11.859375" customWidth="1"/>
    <col min="13079" max="13081" width="9" hidden="1" customWidth="1"/>
    <col min="13082" max="13082" width="11.859375" customWidth="1"/>
    <col min="13083" max="13085" width="9" hidden="1" customWidth="1"/>
    <col min="13086" max="13086" width="11.859375" customWidth="1"/>
    <col min="13087" max="13089" width="9" hidden="1" customWidth="1"/>
    <col min="13090" max="13090" width="12" customWidth="1"/>
    <col min="13091" max="13093" width="9" hidden="1" customWidth="1"/>
    <col min="13094" max="13094" width="12" customWidth="1"/>
    <col min="13095" max="13097" width="9" hidden="1" customWidth="1"/>
    <col min="13098" max="13098" width="12.140625" customWidth="1"/>
    <col min="13099" max="13101" width="9" hidden="1" customWidth="1"/>
    <col min="13102" max="13102" width="12" customWidth="1"/>
    <col min="13103" max="13105" width="9" hidden="1" customWidth="1"/>
    <col min="13106" max="13106" width="11.859375" customWidth="1"/>
    <col min="13107" max="13109" width="9" hidden="1" customWidth="1"/>
    <col min="13110" max="13110" width="11.859375" customWidth="1"/>
    <col min="13111" max="13113" width="9" hidden="1" customWidth="1"/>
    <col min="13114" max="13114" width="12" customWidth="1"/>
    <col min="13115" max="13117" width="9" hidden="1" customWidth="1"/>
    <col min="13118" max="13118" width="10.859375" customWidth="1"/>
    <col min="13119" max="13121" width="9" hidden="1" customWidth="1"/>
    <col min="13122" max="13122" width="11.859375" customWidth="1"/>
    <col min="13123" max="13125" width="9" hidden="1" customWidth="1"/>
    <col min="13126" max="13126" width="10.7109375" customWidth="1"/>
    <col min="13127" max="13129" width="9" hidden="1" customWidth="1"/>
    <col min="13130" max="13130" width="11.4296875" customWidth="1"/>
    <col min="13131" max="13133" width="9" hidden="1" customWidth="1"/>
    <col min="13134" max="13134" width="11.4296875" customWidth="1"/>
    <col min="13138" max="13138" width="11.859375" customWidth="1"/>
    <col min="13313" max="13313" width="26.4296875" customWidth="1"/>
    <col min="13314" max="13314" width="12.140625" customWidth="1"/>
    <col min="13315" max="13317" width="9" hidden="1" customWidth="1"/>
    <col min="13318" max="13318" width="11.7109375" customWidth="1"/>
    <col min="13319" max="13321" width="9" hidden="1" customWidth="1"/>
    <col min="13322" max="13322" width="11.7109375" customWidth="1"/>
    <col min="13323" max="13325" width="9" hidden="1" customWidth="1"/>
    <col min="13326" max="13326" width="11.4296875" customWidth="1"/>
    <col min="13327" max="13329" width="9" hidden="1" customWidth="1"/>
    <col min="13330" max="13330" width="11.5703125" customWidth="1"/>
    <col min="13331" max="13333" width="9" hidden="1" customWidth="1"/>
    <col min="13334" max="13334" width="11.859375" customWidth="1"/>
    <col min="13335" max="13337" width="9" hidden="1" customWidth="1"/>
    <col min="13338" max="13338" width="11.859375" customWidth="1"/>
    <col min="13339" max="13341" width="9" hidden="1" customWidth="1"/>
    <col min="13342" max="13342" width="11.859375" customWidth="1"/>
    <col min="13343" max="13345" width="9" hidden="1" customWidth="1"/>
    <col min="13346" max="13346" width="12" customWidth="1"/>
    <col min="13347" max="13349" width="9" hidden="1" customWidth="1"/>
    <col min="13350" max="13350" width="12" customWidth="1"/>
    <col min="13351" max="13353" width="9" hidden="1" customWidth="1"/>
    <col min="13354" max="13354" width="12.140625" customWidth="1"/>
    <col min="13355" max="13357" width="9" hidden="1" customWidth="1"/>
    <col min="13358" max="13358" width="12" customWidth="1"/>
    <col min="13359" max="13361" width="9" hidden="1" customWidth="1"/>
    <col min="13362" max="13362" width="11.859375" customWidth="1"/>
    <col min="13363" max="13365" width="9" hidden="1" customWidth="1"/>
    <col min="13366" max="13366" width="11.859375" customWidth="1"/>
    <col min="13367" max="13369" width="9" hidden="1" customWidth="1"/>
    <col min="13370" max="13370" width="12" customWidth="1"/>
    <col min="13371" max="13373" width="9" hidden="1" customWidth="1"/>
    <col min="13374" max="13374" width="10.859375" customWidth="1"/>
    <col min="13375" max="13377" width="9" hidden="1" customWidth="1"/>
    <col min="13378" max="13378" width="11.859375" customWidth="1"/>
    <col min="13379" max="13381" width="9" hidden="1" customWidth="1"/>
    <col min="13382" max="13382" width="10.7109375" customWidth="1"/>
    <col min="13383" max="13385" width="9" hidden="1" customWidth="1"/>
    <col min="13386" max="13386" width="11.4296875" customWidth="1"/>
    <col min="13387" max="13389" width="9" hidden="1" customWidth="1"/>
    <col min="13390" max="13390" width="11.4296875" customWidth="1"/>
    <col min="13394" max="13394" width="11.859375" customWidth="1"/>
    <col min="13569" max="13569" width="26.4296875" customWidth="1"/>
    <col min="13570" max="13570" width="12.140625" customWidth="1"/>
    <col min="13571" max="13573" width="9" hidden="1" customWidth="1"/>
    <col min="13574" max="13574" width="11.7109375" customWidth="1"/>
    <col min="13575" max="13577" width="9" hidden="1" customWidth="1"/>
    <col min="13578" max="13578" width="11.7109375" customWidth="1"/>
    <col min="13579" max="13581" width="9" hidden="1" customWidth="1"/>
    <col min="13582" max="13582" width="11.4296875" customWidth="1"/>
    <col min="13583" max="13585" width="9" hidden="1" customWidth="1"/>
    <col min="13586" max="13586" width="11.5703125" customWidth="1"/>
    <col min="13587" max="13589" width="9" hidden="1" customWidth="1"/>
    <col min="13590" max="13590" width="11.859375" customWidth="1"/>
    <col min="13591" max="13593" width="9" hidden="1" customWidth="1"/>
    <col min="13594" max="13594" width="11.859375" customWidth="1"/>
    <col min="13595" max="13597" width="9" hidden="1" customWidth="1"/>
    <col min="13598" max="13598" width="11.859375" customWidth="1"/>
    <col min="13599" max="13601" width="9" hidden="1" customWidth="1"/>
    <col min="13602" max="13602" width="12" customWidth="1"/>
    <col min="13603" max="13605" width="9" hidden="1" customWidth="1"/>
    <col min="13606" max="13606" width="12" customWidth="1"/>
    <col min="13607" max="13609" width="9" hidden="1" customWidth="1"/>
    <col min="13610" max="13610" width="12.140625" customWidth="1"/>
    <col min="13611" max="13613" width="9" hidden="1" customWidth="1"/>
    <col min="13614" max="13614" width="12" customWidth="1"/>
    <col min="13615" max="13617" width="9" hidden="1" customWidth="1"/>
    <col min="13618" max="13618" width="11.859375" customWidth="1"/>
    <col min="13619" max="13621" width="9" hidden="1" customWidth="1"/>
    <col min="13622" max="13622" width="11.859375" customWidth="1"/>
    <col min="13623" max="13625" width="9" hidden="1" customWidth="1"/>
    <col min="13626" max="13626" width="12" customWidth="1"/>
    <col min="13627" max="13629" width="9" hidden="1" customWidth="1"/>
    <col min="13630" max="13630" width="10.859375" customWidth="1"/>
    <col min="13631" max="13633" width="9" hidden="1" customWidth="1"/>
    <col min="13634" max="13634" width="11.859375" customWidth="1"/>
    <col min="13635" max="13637" width="9" hidden="1" customWidth="1"/>
    <col min="13638" max="13638" width="10.7109375" customWidth="1"/>
    <col min="13639" max="13641" width="9" hidden="1" customWidth="1"/>
    <col min="13642" max="13642" width="11.4296875" customWidth="1"/>
    <col min="13643" max="13645" width="9" hidden="1" customWidth="1"/>
    <col min="13646" max="13646" width="11.4296875" customWidth="1"/>
    <col min="13650" max="13650" width="11.859375" customWidth="1"/>
    <col min="13825" max="13825" width="26.4296875" customWidth="1"/>
    <col min="13826" max="13826" width="12.140625" customWidth="1"/>
    <col min="13827" max="13829" width="9" hidden="1" customWidth="1"/>
    <col min="13830" max="13830" width="11.7109375" customWidth="1"/>
    <col min="13831" max="13833" width="9" hidden="1" customWidth="1"/>
    <col min="13834" max="13834" width="11.7109375" customWidth="1"/>
    <col min="13835" max="13837" width="9" hidden="1" customWidth="1"/>
    <col min="13838" max="13838" width="11.4296875" customWidth="1"/>
    <col min="13839" max="13841" width="9" hidden="1" customWidth="1"/>
    <col min="13842" max="13842" width="11.5703125" customWidth="1"/>
    <col min="13843" max="13845" width="9" hidden="1" customWidth="1"/>
    <col min="13846" max="13846" width="11.859375" customWidth="1"/>
    <col min="13847" max="13849" width="9" hidden="1" customWidth="1"/>
    <col min="13850" max="13850" width="11.859375" customWidth="1"/>
    <col min="13851" max="13853" width="9" hidden="1" customWidth="1"/>
    <col min="13854" max="13854" width="11.859375" customWidth="1"/>
    <col min="13855" max="13857" width="9" hidden="1" customWidth="1"/>
    <col min="13858" max="13858" width="12" customWidth="1"/>
    <col min="13859" max="13861" width="9" hidden="1" customWidth="1"/>
    <col min="13862" max="13862" width="12" customWidth="1"/>
    <col min="13863" max="13865" width="9" hidden="1" customWidth="1"/>
    <col min="13866" max="13866" width="12.140625" customWidth="1"/>
    <col min="13867" max="13869" width="9" hidden="1" customWidth="1"/>
    <col min="13870" max="13870" width="12" customWidth="1"/>
    <col min="13871" max="13873" width="9" hidden="1" customWidth="1"/>
    <col min="13874" max="13874" width="11.859375" customWidth="1"/>
    <col min="13875" max="13877" width="9" hidden="1" customWidth="1"/>
    <col min="13878" max="13878" width="11.859375" customWidth="1"/>
    <col min="13879" max="13881" width="9" hidden="1" customWidth="1"/>
    <col min="13882" max="13882" width="12" customWidth="1"/>
    <col min="13883" max="13885" width="9" hidden="1" customWidth="1"/>
    <col min="13886" max="13886" width="10.859375" customWidth="1"/>
    <col min="13887" max="13889" width="9" hidden="1" customWidth="1"/>
    <col min="13890" max="13890" width="11.859375" customWidth="1"/>
    <col min="13891" max="13893" width="9" hidden="1" customWidth="1"/>
    <col min="13894" max="13894" width="10.7109375" customWidth="1"/>
    <col min="13895" max="13897" width="9" hidden="1" customWidth="1"/>
    <col min="13898" max="13898" width="11.4296875" customWidth="1"/>
    <col min="13899" max="13901" width="9" hidden="1" customWidth="1"/>
    <col min="13902" max="13902" width="11.4296875" customWidth="1"/>
    <col min="13906" max="13906" width="11.859375" customWidth="1"/>
    <col min="14081" max="14081" width="26.4296875" customWidth="1"/>
    <col min="14082" max="14082" width="12.140625" customWidth="1"/>
    <col min="14083" max="14085" width="9" hidden="1" customWidth="1"/>
    <col min="14086" max="14086" width="11.7109375" customWidth="1"/>
    <col min="14087" max="14089" width="9" hidden="1" customWidth="1"/>
    <col min="14090" max="14090" width="11.7109375" customWidth="1"/>
    <col min="14091" max="14093" width="9" hidden="1" customWidth="1"/>
    <col min="14094" max="14094" width="11.4296875" customWidth="1"/>
    <col min="14095" max="14097" width="9" hidden="1" customWidth="1"/>
    <col min="14098" max="14098" width="11.5703125" customWidth="1"/>
    <col min="14099" max="14101" width="9" hidden="1" customWidth="1"/>
    <col min="14102" max="14102" width="11.859375" customWidth="1"/>
    <col min="14103" max="14105" width="9" hidden="1" customWidth="1"/>
    <col min="14106" max="14106" width="11.859375" customWidth="1"/>
    <col min="14107" max="14109" width="9" hidden="1" customWidth="1"/>
    <col min="14110" max="14110" width="11.859375" customWidth="1"/>
    <col min="14111" max="14113" width="9" hidden="1" customWidth="1"/>
    <col min="14114" max="14114" width="12" customWidth="1"/>
    <col min="14115" max="14117" width="9" hidden="1" customWidth="1"/>
    <col min="14118" max="14118" width="12" customWidth="1"/>
    <col min="14119" max="14121" width="9" hidden="1" customWidth="1"/>
    <col min="14122" max="14122" width="12.140625" customWidth="1"/>
    <col min="14123" max="14125" width="9" hidden="1" customWidth="1"/>
    <col min="14126" max="14126" width="12" customWidth="1"/>
    <col min="14127" max="14129" width="9" hidden="1" customWidth="1"/>
    <col min="14130" max="14130" width="11.859375" customWidth="1"/>
    <col min="14131" max="14133" width="9" hidden="1" customWidth="1"/>
    <col min="14134" max="14134" width="11.859375" customWidth="1"/>
    <col min="14135" max="14137" width="9" hidden="1" customWidth="1"/>
    <col min="14138" max="14138" width="12" customWidth="1"/>
    <col min="14139" max="14141" width="9" hidden="1" customWidth="1"/>
    <col min="14142" max="14142" width="10.859375" customWidth="1"/>
    <col min="14143" max="14145" width="9" hidden="1" customWidth="1"/>
    <col min="14146" max="14146" width="11.859375" customWidth="1"/>
    <col min="14147" max="14149" width="9" hidden="1" customWidth="1"/>
    <col min="14150" max="14150" width="10.7109375" customWidth="1"/>
    <col min="14151" max="14153" width="9" hidden="1" customWidth="1"/>
    <col min="14154" max="14154" width="11.4296875" customWidth="1"/>
    <col min="14155" max="14157" width="9" hidden="1" customWidth="1"/>
    <col min="14158" max="14158" width="11.4296875" customWidth="1"/>
    <col min="14162" max="14162" width="11.859375" customWidth="1"/>
    <col min="14337" max="14337" width="26.4296875" customWidth="1"/>
    <col min="14338" max="14338" width="12.140625" customWidth="1"/>
    <col min="14339" max="14341" width="9" hidden="1" customWidth="1"/>
    <col min="14342" max="14342" width="11.7109375" customWidth="1"/>
    <col min="14343" max="14345" width="9" hidden="1" customWidth="1"/>
    <col min="14346" max="14346" width="11.7109375" customWidth="1"/>
    <col min="14347" max="14349" width="9" hidden="1" customWidth="1"/>
    <col min="14350" max="14350" width="11.4296875" customWidth="1"/>
    <col min="14351" max="14353" width="9" hidden="1" customWidth="1"/>
    <col min="14354" max="14354" width="11.5703125" customWidth="1"/>
    <col min="14355" max="14357" width="9" hidden="1" customWidth="1"/>
    <col min="14358" max="14358" width="11.859375" customWidth="1"/>
    <col min="14359" max="14361" width="9" hidden="1" customWidth="1"/>
    <col min="14362" max="14362" width="11.859375" customWidth="1"/>
    <col min="14363" max="14365" width="9" hidden="1" customWidth="1"/>
    <col min="14366" max="14366" width="11.859375" customWidth="1"/>
    <col min="14367" max="14369" width="9" hidden="1" customWidth="1"/>
    <col min="14370" max="14370" width="12" customWidth="1"/>
    <col min="14371" max="14373" width="9" hidden="1" customWidth="1"/>
    <col min="14374" max="14374" width="12" customWidth="1"/>
    <col min="14375" max="14377" width="9" hidden="1" customWidth="1"/>
    <col min="14378" max="14378" width="12.140625" customWidth="1"/>
    <col min="14379" max="14381" width="9" hidden="1" customWidth="1"/>
    <col min="14382" max="14382" width="12" customWidth="1"/>
    <col min="14383" max="14385" width="9" hidden="1" customWidth="1"/>
    <col min="14386" max="14386" width="11.859375" customWidth="1"/>
    <col min="14387" max="14389" width="9" hidden="1" customWidth="1"/>
    <col min="14390" max="14390" width="11.859375" customWidth="1"/>
    <col min="14391" max="14393" width="9" hidden="1" customWidth="1"/>
    <col min="14394" max="14394" width="12" customWidth="1"/>
    <col min="14395" max="14397" width="9" hidden="1" customWidth="1"/>
    <col min="14398" max="14398" width="10.859375" customWidth="1"/>
    <col min="14399" max="14401" width="9" hidden="1" customWidth="1"/>
    <col min="14402" max="14402" width="11.859375" customWidth="1"/>
    <col min="14403" max="14405" width="9" hidden="1" customWidth="1"/>
    <col min="14406" max="14406" width="10.7109375" customWidth="1"/>
    <col min="14407" max="14409" width="9" hidden="1" customWidth="1"/>
    <col min="14410" max="14410" width="11.4296875" customWidth="1"/>
    <col min="14411" max="14413" width="9" hidden="1" customWidth="1"/>
    <col min="14414" max="14414" width="11.4296875" customWidth="1"/>
    <col min="14418" max="14418" width="11.859375" customWidth="1"/>
    <col min="14593" max="14593" width="26.4296875" customWidth="1"/>
    <col min="14594" max="14594" width="12.140625" customWidth="1"/>
    <col min="14595" max="14597" width="9" hidden="1" customWidth="1"/>
    <col min="14598" max="14598" width="11.7109375" customWidth="1"/>
    <col min="14599" max="14601" width="9" hidden="1" customWidth="1"/>
    <col min="14602" max="14602" width="11.7109375" customWidth="1"/>
    <col min="14603" max="14605" width="9" hidden="1" customWidth="1"/>
    <col min="14606" max="14606" width="11.4296875" customWidth="1"/>
    <col min="14607" max="14609" width="9" hidden="1" customWidth="1"/>
    <col min="14610" max="14610" width="11.5703125" customWidth="1"/>
    <col min="14611" max="14613" width="9" hidden="1" customWidth="1"/>
    <col min="14614" max="14614" width="11.859375" customWidth="1"/>
    <col min="14615" max="14617" width="9" hidden="1" customWidth="1"/>
    <col min="14618" max="14618" width="11.859375" customWidth="1"/>
    <col min="14619" max="14621" width="9" hidden="1" customWidth="1"/>
    <col min="14622" max="14622" width="11.859375" customWidth="1"/>
    <col min="14623" max="14625" width="9" hidden="1" customWidth="1"/>
    <col min="14626" max="14626" width="12" customWidth="1"/>
    <col min="14627" max="14629" width="9" hidden="1" customWidth="1"/>
    <col min="14630" max="14630" width="12" customWidth="1"/>
    <col min="14631" max="14633" width="9" hidden="1" customWidth="1"/>
    <col min="14634" max="14634" width="12.140625" customWidth="1"/>
    <col min="14635" max="14637" width="9" hidden="1" customWidth="1"/>
    <col min="14638" max="14638" width="12" customWidth="1"/>
    <col min="14639" max="14641" width="9" hidden="1" customWidth="1"/>
    <col min="14642" max="14642" width="11.859375" customWidth="1"/>
    <col min="14643" max="14645" width="9" hidden="1" customWidth="1"/>
    <col min="14646" max="14646" width="11.859375" customWidth="1"/>
    <col min="14647" max="14649" width="9" hidden="1" customWidth="1"/>
    <col min="14650" max="14650" width="12" customWidth="1"/>
    <col min="14651" max="14653" width="9" hidden="1" customWidth="1"/>
    <col min="14654" max="14654" width="10.859375" customWidth="1"/>
    <col min="14655" max="14657" width="9" hidden="1" customWidth="1"/>
    <col min="14658" max="14658" width="11.859375" customWidth="1"/>
    <col min="14659" max="14661" width="9" hidden="1" customWidth="1"/>
    <col min="14662" max="14662" width="10.7109375" customWidth="1"/>
    <col min="14663" max="14665" width="9" hidden="1" customWidth="1"/>
    <col min="14666" max="14666" width="11.4296875" customWidth="1"/>
    <col min="14667" max="14669" width="9" hidden="1" customWidth="1"/>
    <col min="14670" max="14670" width="11.4296875" customWidth="1"/>
    <col min="14674" max="14674" width="11.859375" customWidth="1"/>
    <col min="14849" max="14849" width="26.4296875" customWidth="1"/>
    <col min="14850" max="14850" width="12.140625" customWidth="1"/>
    <col min="14851" max="14853" width="9" hidden="1" customWidth="1"/>
    <col min="14854" max="14854" width="11.7109375" customWidth="1"/>
    <col min="14855" max="14857" width="9" hidden="1" customWidth="1"/>
    <col min="14858" max="14858" width="11.7109375" customWidth="1"/>
    <col min="14859" max="14861" width="9" hidden="1" customWidth="1"/>
    <col min="14862" max="14862" width="11.4296875" customWidth="1"/>
    <col min="14863" max="14865" width="9" hidden="1" customWidth="1"/>
    <col min="14866" max="14866" width="11.5703125" customWidth="1"/>
    <col min="14867" max="14869" width="9" hidden="1" customWidth="1"/>
    <col min="14870" max="14870" width="11.859375" customWidth="1"/>
    <col min="14871" max="14873" width="9" hidden="1" customWidth="1"/>
    <col min="14874" max="14874" width="11.859375" customWidth="1"/>
    <col min="14875" max="14877" width="9" hidden="1" customWidth="1"/>
    <col min="14878" max="14878" width="11.859375" customWidth="1"/>
    <col min="14879" max="14881" width="9" hidden="1" customWidth="1"/>
    <col min="14882" max="14882" width="12" customWidth="1"/>
    <col min="14883" max="14885" width="9" hidden="1" customWidth="1"/>
    <col min="14886" max="14886" width="12" customWidth="1"/>
    <col min="14887" max="14889" width="9" hidden="1" customWidth="1"/>
    <col min="14890" max="14890" width="12.140625" customWidth="1"/>
    <col min="14891" max="14893" width="9" hidden="1" customWidth="1"/>
    <col min="14894" max="14894" width="12" customWidth="1"/>
    <col min="14895" max="14897" width="9" hidden="1" customWidth="1"/>
    <col min="14898" max="14898" width="11.859375" customWidth="1"/>
    <col min="14899" max="14901" width="9" hidden="1" customWidth="1"/>
    <col min="14902" max="14902" width="11.859375" customWidth="1"/>
    <col min="14903" max="14905" width="9" hidden="1" customWidth="1"/>
    <col min="14906" max="14906" width="12" customWidth="1"/>
    <col min="14907" max="14909" width="9" hidden="1" customWidth="1"/>
    <col min="14910" max="14910" width="10.859375" customWidth="1"/>
    <col min="14911" max="14913" width="9" hidden="1" customWidth="1"/>
    <col min="14914" max="14914" width="11.859375" customWidth="1"/>
    <col min="14915" max="14917" width="9" hidden="1" customWidth="1"/>
    <col min="14918" max="14918" width="10.7109375" customWidth="1"/>
    <col min="14919" max="14921" width="9" hidden="1" customWidth="1"/>
    <col min="14922" max="14922" width="11.4296875" customWidth="1"/>
    <col min="14923" max="14925" width="9" hidden="1" customWidth="1"/>
    <col min="14926" max="14926" width="11.4296875" customWidth="1"/>
    <col min="14930" max="14930" width="11.859375" customWidth="1"/>
    <col min="15105" max="15105" width="26.4296875" customWidth="1"/>
    <col min="15106" max="15106" width="12.140625" customWidth="1"/>
    <col min="15107" max="15109" width="9" hidden="1" customWidth="1"/>
    <col min="15110" max="15110" width="11.7109375" customWidth="1"/>
    <col min="15111" max="15113" width="9" hidden="1" customWidth="1"/>
    <col min="15114" max="15114" width="11.7109375" customWidth="1"/>
    <col min="15115" max="15117" width="9" hidden="1" customWidth="1"/>
    <col min="15118" max="15118" width="11.4296875" customWidth="1"/>
    <col min="15119" max="15121" width="9" hidden="1" customWidth="1"/>
    <col min="15122" max="15122" width="11.5703125" customWidth="1"/>
    <col min="15123" max="15125" width="9" hidden="1" customWidth="1"/>
    <col min="15126" max="15126" width="11.859375" customWidth="1"/>
    <col min="15127" max="15129" width="9" hidden="1" customWidth="1"/>
    <col min="15130" max="15130" width="11.859375" customWidth="1"/>
    <col min="15131" max="15133" width="9" hidden="1" customWidth="1"/>
    <col min="15134" max="15134" width="11.859375" customWidth="1"/>
    <col min="15135" max="15137" width="9" hidden="1" customWidth="1"/>
    <col min="15138" max="15138" width="12" customWidth="1"/>
    <col min="15139" max="15141" width="9" hidden="1" customWidth="1"/>
    <col min="15142" max="15142" width="12" customWidth="1"/>
    <col min="15143" max="15145" width="9" hidden="1" customWidth="1"/>
    <col min="15146" max="15146" width="12.140625" customWidth="1"/>
    <col min="15147" max="15149" width="9" hidden="1" customWidth="1"/>
    <col min="15150" max="15150" width="12" customWidth="1"/>
    <col min="15151" max="15153" width="9" hidden="1" customWidth="1"/>
    <col min="15154" max="15154" width="11.859375" customWidth="1"/>
    <col min="15155" max="15157" width="9" hidden="1" customWidth="1"/>
    <col min="15158" max="15158" width="11.859375" customWidth="1"/>
    <col min="15159" max="15161" width="9" hidden="1" customWidth="1"/>
    <col min="15162" max="15162" width="12" customWidth="1"/>
    <col min="15163" max="15165" width="9" hidden="1" customWidth="1"/>
    <col min="15166" max="15166" width="10.859375" customWidth="1"/>
    <col min="15167" max="15169" width="9" hidden="1" customWidth="1"/>
    <col min="15170" max="15170" width="11.859375" customWidth="1"/>
    <col min="15171" max="15173" width="9" hidden="1" customWidth="1"/>
    <col min="15174" max="15174" width="10.7109375" customWidth="1"/>
    <col min="15175" max="15177" width="9" hidden="1" customWidth="1"/>
    <col min="15178" max="15178" width="11.4296875" customWidth="1"/>
    <col min="15179" max="15181" width="9" hidden="1" customWidth="1"/>
    <col min="15182" max="15182" width="11.4296875" customWidth="1"/>
    <col min="15186" max="15186" width="11.859375" customWidth="1"/>
    <col min="15361" max="15361" width="26.4296875" customWidth="1"/>
    <col min="15362" max="15362" width="12.140625" customWidth="1"/>
    <col min="15363" max="15365" width="9" hidden="1" customWidth="1"/>
    <col min="15366" max="15366" width="11.7109375" customWidth="1"/>
    <col min="15367" max="15369" width="9" hidden="1" customWidth="1"/>
    <col min="15370" max="15370" width="11.7109375" customWidth="1"/>
    <col min="15371" max="15373" width="9" hidden="1" customWidth="1"/>
    <col min="15374" max="15374" width="11.4296875" customWidth="1"/>
    <col min="15375" max="15377" width="9" hidden="1" customWidth="1"/>
    <col min="15378" max="15378" width="11.5703125" customWidth="1"/>
    <col min="15379" max="15381" width="9" hidden="1" customWidth="1"/>
    <col min="15382" max="15382" width="11.859375" customWidth="1"/>
    <col min="15383" max="15385" width="9" hidden="1" customWidth="1"/>
    <col min="15386" max="15386" width="11.859375" customWidth="1"/>
    <col min="15387" max="15389" width="9" hidden="1" customWidth="1"/>
    <col min="15390" max="15390" width="11.859375" customWidth="1"/>
    <col min="15391" max="15393" width="9" hidden="1" customWidth="1"/>
    <col min="15394" max="15394" width="12" customWidth="1"/>
    <col min="15395" max="15397" width="9" hidden="1" customWidth="1"/>
    <col min="15398" max="15398" width="12" customWidth="1"/>
    <col min="15399" max="15401" width="9" hidden="1" customWidth="1"/>
    <col min="15402" max="15402" width="12.140625" customWidth="1"/>
    <col min="15403" max="15405" width="9" hidden="1" customWidth="1"/>
    <col min="15406" max="15406" width="12" customWidth="1"/>
    <col min="15407" max="15409" width="9" hidden="1" customWidth="1"/>
    <col min="15410" max="15410" width="11.859375" customWidth="1"/>
    <col min="15411" max="15413" width="9" hidden="1" customWidth="1"/>
    <col min="15414" max="15414" width="11.859375" customWidth="1"/>
    <col min="15415" max="15417" width="9" hidden="1" customWidth="1"/>
    <col min="15418" max="15418" width="12" customWidth="1"/>
    <col min="15419" max="15421" width="9" hidden="1" customWidth="1"/>
    <col min="15422" max="15422" width="10.859375" customWidth="1"/>
    <col min="15423" max="15425" width="9" hidden="1" customWidth="1"/>
    <col min="15426" max="15426" width="11.859375" customWidth="1"/>
    <col min="15427" max="15429" width="9" hidden="1" customWidth="1"/>
    <col min="15430" max="15430" width="10.7109375" customWidth="1"/>
    <col min="15431" max="15433" width="9" hidden="1" customWidth="1"/>
    <col min="15434" max="15434" width="11.4296875" customWidth="1"/>
    <col min="15435" max="15437" width="9" hidden="1" customWidth="1"/>
    <col min="15438" max="15438" width="11.4296875" customWidth="1"/>
    <col min="15442" max="15442" width="11.859375" customWidth="1"/>
    <col min="15617" max="15617" width="26.4296875" customWidth="1"/>
    <col min="15618" max="15618" width="12.140625" customWidth="1"/>
    <col min="15619" max="15621" width="9" hidden="1" customWidth="1"/>
    <col min="15622" max="15622" width="11.7109375" customWidth="1"/>
    <col min="15623" max="15625" width="9" hidden="1" customWidth="1"/>
    <col min="15626" max="15626" width="11.7109375" customWidth="1"/>
    <col min="15627" max="15629" width="9" hidden="1" customWidth="1"/>
    <col min="15630" max="15630" width="11.4296875" customWidth="1"/>
    <col min="15631" max="15633" width="9" hidden="1" customWidth="1"/>
    <col min="15634" max="15634" width="11.5703125" customWidth="1"/>
    <col min="15635" max="15637" width="9" hidden="1" customWidth="1"/>
    <col min="15638" max="15638" width="11.859375" customWidth="1"/>
    <col min="15639" max="15641" width="9" hidden="1" customWidth="1"/>
    <col min="15642" max="15642" width="11.859375" customWidth="1"/>
    <col min="15643" max="15645" width="9" hidden="1" customWidth="1"/>
    <col min="15646" max="15646" width="11.859375" customWidth="1"/>
    <col min="15647" max="15649" width="9" hidden="1" customWidth="1"/>
    <col min="15650" max="15650" width="12" customWidth="1"/>
    <col min="15651" max="15653" width="9" hidden="1" customWidth="1"/>
    <col min="15654" max="15654" width="12" customWidth="1"/>
    <col min="15655" max="15657" width="9" hidden="1" customWidth="1"/>
    <col min="15658" max="15658" width="12.140625" customWidth="1"/>
    <col min="15659" max="15661" width="9" hidden="1" customWidth="1"/>
    <col min="15662" max="15662" width="12" customWidth="1"/>
    <col min="15663" max="15665" width="9" hidden="1" customWidth="1"/>
    <col min="15666" max="15666" width="11.859375" customWidth="1"/>
    <col min="15667" max="15669" width="9" hidden="1" customWidth="1"/>
    <col min="15670" max="15670" width="11.859375" customWidth="1"/>
    <col min="15671" max="15673" width="9" hidden="1" customWidth="1"/>
    <col min="15674" max="15674" width="12" customWidth="1"/>
    <col min="15675" max="15677" width="9" hidden="1" customWidth="1"/>
    <col min="15678" max="15678" width="10.859375" customWidth="1"/>
    <col min="15679" max="15681" width="9" hidden="1" customWidth="1"/>
    <col min="15682" max="15682" width="11.859375" customWidth="1"/>
    <col min="15683" max="15685" width="9" hidden="1" customWidth="1"/>
    <col min="15686" max="15686" width="10.7109375" customWidth="1"/>
    <col min="15687" max="15689" width="9" hidden="1" customWidth="1"/>
    <col min="15690" max="15690" width="11.4296875" customWidth="1"/>
    <col min="15691" max="15693" width="9" hidden="1" customWidth="1"/>
    <col min="15694" max="15694" width="11.4296875" customWidth="1"/>
    <col min="15698" max="15698" width="11.859375" customWidth="1"/>
    <col min="15873" max="15873" width="26.4296875" customWidth="1"/>
    <col min="15874" max="15874" width="12.140625" customWidth="1"/>
    <col min="15875" max="15877" width="9" hidden="1" customWidth="1"/>
    <col min="15878" max="15878" width="11.7109375" customWidth="1"/>
    <col min="15879" max="15881" width="9" hidden="1" customWidth="1"/>
    <col min="15882" max="15882" width="11.7109375" customWidth="1"/>
    <col min="15883" max="15885" width="9" hidden="1" customWidth="1"/>
    <col min="15886" max="15886" width="11.4296875" customWidth="1"/>
    <col min="15887" max="15889" width="9" hidden="1" customWidth="1"/>
    <col min="15890" max="15890" width="11.5703125" customWidth="1"/>
    <col min="15891" max="15893" width="9" hidden="1" customWidth="1"/>
    <col min="15894" max="15894" width="11.859375" customWidth="1"/>
    <col min="15895" max="15897" width="9" hidden="1" customWidth="1"/>
    <col min="15898" max="15898" width="11.859375" customWidth="1"/>
    <col min="15899" max="15901" width="9" hidden="1" customWidth="1"/>
    <col min="15902" max="15902" width="11.859375" customWidth="1"/>
    <col min="15903" max="15905" width="9" hidden="1" customWidth="1"/>
    <col min="15906" max="15906" width="12" customWidth="1"/>
    <col min="15907" max="15909" width="9" hidden="1" customWidth="1"/>
    <col min="15910" max="15910" width="12" customWidth="1"/>
    <col min="15911" max="15913" width="9" hidden="1" customWidth="1"/>
    <col min="15914" max="15914" width="12.140625" customWidth="1"/>
    <col min="15915" max="15917" width="9" hidden="1" customWidth="1"/>
    <col min="15918" max="15918" width="12" customWidth="1"/>
    <col min="15919" max="15921" width="9" hidden="1" customWidth="1"/>
    <col min="15922" max="15922" width="11.859375" customWidth="1"/>
    <col min="15923" max="15925" width="9" hidden="1" customWidth="1"/>
    <col min="15926" max="15926" width="11.859375" customWidth="1"/>
    <col min="15927" max="15929" width="9" hidden="1" customWidth="1"/>
    <col min="15930" max="15930" width="12" customWidth="1"/>
    <col min="15931" max="15933" width="9" hidden="1" customWidth="1"/>
    <col min="15934" max="15934" width="10.859375" customWidth="1"/>
    <col min="15935" max="15937" width="9" hidden="1" customWidth="1"/>
    <col min="15938" max="15938" width="11.859375" customWidth="1"/>
    <col min="15939" max="15941" width="9" hidden="1" customWidth="1"/>
    <col min="15942" max="15942" width="10.7109375" customWidth="1"/>
    <col min="15943" max="15945" width="9" hidden="1" customWidth="1"/>
    <col min="15946" max="15946" width="11.4296875" customWidth="1"/>
    <col min="15947" max="15949" width="9" hidden="1" customWidth="1"/>
    <col min="15950" max="15950" width="11.4296875" customWidth="1"/>
    <col min="15954" max="15954" width="11.859375" customWidth="1"/>
    <col min="16129" max="16129" width="26.4296875" customWidth="1"/>
    <col min="16130" max="16130" width="12.140625" customWidth="1"/>
    <col min="16131" max="16133" width="9" hidden="1" customWidth="1"/>
    <col min="16134" max="16134" width="11.7109375" customWidth="1"/>
    <col min="16135" max="16137" width="9" hidden="1" customWidth="1"/>
    <col min="16138" max="16138" width="11.7109375" customWidth="1"/>
    <col min="16139" max="16141" width="9" hidden="1" customWidth="1"/>
    <col min="16142" max="16142" width="11.4296875" customWidth="1"/>
    <col min="16143" max="16145" width="9" hidden="1" customWidth="1"/>
    <col min="16146" max="16146" width="11.5703125" customWidth="1"/>
    <col min="16147" max="16149" width="9" hidden="1" customWidth="1"/>
    <col min="16150" max="16150" width="11.859375" customWidth="1"/>
    <col min="16151" max="16153" width="9" hidden="1" customWidth="1"/>
    <col min="16154" max="16154" width="11.859375" customWidth="1"/>
    <col min="16155" max="16157" width="9" hidden="1" customWidth="1"/>
    <col min="16158" max="16158" width="11.859375" customWidth="1"/>
    <col min="16159" max="16161" width="9" hidden="1" customWidth="1"/>
    <col min="16162" max="16162" width="12" customWidth="1"/>
    <col min="16163" max="16165" width="9" hidden="1" customWidth="1"/>
    <col min="16166" max="16166" width="12" customWidth="1"/>
    <col min="16167" max="16169" width="9" hidden="1" customWidth="1"/>
    <col min="16170" max="16170" width="12.140625" customWidth="1"/>
    <col min="16171" max="16173" width="9" hidden="1" customWidth="1"/>
    <col min="16174" max="16174" width="12" customWidth="1"/>
    <col min="16175" max="16177" width="9" hidden="1" customWidth="1"/>
    <col min="16178" max="16178" width="11.859375" customWidth="1"/>
    <col min="16179" max="16181" width="9" hidden="1" customWidth="1"/>
    <col min="16182" max="16182" width="11.859375" customWidth="1"/>
    <col min="16183" max="16185" width="9" hidden="1" customWidth="1"/>
    <col min="16186" max="16186" width="12" customWidth="1"/>
    <col min="16187" max="16189" width="9" hidden="1" customWidth="1"/>
    <col min="16190" max="16190" width="10.859375" customWidth="1"/>
    <col min="16191" max="16193" width="9" hidden="1" customWidth="1"/>
    <col min="16194" max="16194" width="11.859375" customWidth="1"/>
    <col min="16195" max="16197" width="9" hidden="1" customWidth="1"/>
    <col min="16198" max="16198" width="10.7109375" customWidth="1"/>
    <col min="16199" max="16201" width="9" hidden="1" customWidth="1"/>
    <col min="16202" max="16202" width="11.4296875" customWidth="1"/>
    <col min="16203" max="16205" width="9" hidden="1" customWidth="1"/>
    <col min="16206" max="16206" width="11.4296875" customWidth="1"/>
    <col min="16210" max="16210" width="11.859375" customWidth="1"/>
  </cols>
  <sheetData>
    <row r="1" ht="17.6" spans="1:182">
      <c r="A1" s="99" t="s">
        <v>356</v>
      </c>
      <c r="CE1" s="100"/>
      <c r="CF1" s="100"/>
      <c r="CG1" s="100"/>
      <c r="CH1" s="100"/>
      <c r="CU1" s="100"/>
      <c r="CV1" s="100"/>
      <c r="CW1" s="100"/>
      <c r="CX1" s="100"/>
      <c r="CY1" s="100"/>
      <c r="CZ1" s="100"/>
      <c r="DA1" s="100"/>
      <c r="DB1" s="100"/>
      <c r="DC1" s="100"/>
      <c r="DD1" s="100"/>
      <c r="DE1" s="100"/>
      <c r="DF1" s="100"/>
      <c r="DG1" s="100"/>
      <c r="DH1" s="100"/>
      <c r="DI1" s="100"/>
      <c r="DJ1" s="100"/>
      <c r="DK1" s="100"/>
      <c r="DL1" s="100"/>
      <c r="DM1" s="100"/>
      <c r="DN1" s="100"/>
      <c r="DO1" s="100"/>
      <c r="DP1" s="100"/>
      <c r="DQ1" s="100"/>
      <c r="DR1" s="100"/>
      <c r="DS1" s="100"/>
      <c r="DT1" s="100"/>
      <c r="DU1" s="100"/>
      <c r="DV1" s="100"/>
      <c r="DW1" s="100"/>
      <c r="DX1" s="100"/>
      <c r="DY1" s="100"/>
      <c r="DZ1" s="100"/>
      <c r="EA1" s="100"/>
      <c r="EB1" s="100"/>
      <c r="EC1" s="100"/>
      <c r="ED1" s="100"/>
      <c r="EE1" s="100"/>
      <c r="EF1" s="100"/>
      <c r="EG1" s="100"/>
      <c r="EH1" s="100"/>
      <c r="EI1" s="100"/>
      <c r="EJ1" s="100"/>
      <c r="EK1" s="100"/>
      <c r="EL1" s="100"/>
      <c r="EM1" s="100"/>
      <c r="EN1" s="100"/>
      <c r="EO1" s="100"/>
      <c r="EP1" s="100"/>
      <c r="EQ1" s="100"/>
      <c r="ER1" s="100"/>
      <c r="ES1" s="100"/>
      <c r="ET1" s="100"/>
      <c r="EU1" s="100"/>
      <c r="EV1" s="100"/>
      <c r="EW1" s="100"/>
      <c r="EX1" s="100"/>
      <c r="EY1" s="100"/>
      <c r="EZ1" s="100"/>
      <c r="FA1" s="100"/>
      <c r="FB1" s="100"/>
      <c r="FC1" s="100"/>
      <c r="FD1" s="100"/>
      <c r="FE1" s="100"/>
      <c r="FF1" s="100"/>
      <c r="FG1" s="100"/>
      <c r="FH1" s="100"/>
      <c r="FI1" s="100"/>
      <c r="FJ1" s="100"/>
      <c r="FK1" s="100"/>
      <c r="FL1" s="100"/>
      <c r="FM1" s="100"/>
      <c r="FN1" s="100"/>
      <c r="FO1" s="100"/>
      <c r="FP1" s="100"/>
      <c r="FQ1" s="100"/>
      <c r="FR1" s="100"/>
      <c r="FS1" s="100"/>
      <c r="FT1" s="100"/>
      <c r="FU1" s="100"/>
      <c r="FV1" s="100"/>
      <c r="FW1" s="100"/>
      <c r="FX1" s="100"/>
      <c r="FY1" s="100"/>
      <c r="FZ1" s="100"/>
    </row>
    <row r="2" spans="1:182">
      <c r="A2" s="101" t="s">
        <v>58</v>
      </c>
    </row>
    <row r="3" ht="24.75" customHeight="1" spans="1:182">
      <c r="A3" s="102"/>
      <c r="B3" s="103" t="s">
        <v>357</v>
      </c>
      <c r="C3" s="104" t="s">
        <v>358</v>
      </c>
      <c r="D3" s="104"/>
      <c r="E3" s="104"/>
      <c r="F3" s="104" t="s">
        <v>359</v>
      </c>
      <c r="G3" s="104" t="s">
        <v>358</v>
      </c>
      <c r="H3" s="104"/>
      <c r="I3" s="104"/>
      <c r="J3" s="104" t="s">
        <v>360</v>
      </c>
      <c r="K3" s="104" t="s">
        <v>358</v>
      </c>
      <c r="L3" s="104"/>
      <c r="M3" s="104"/>
      <c r="N3" s="104" t="s">
        <v>361</v>
      </c>
      <c r="O3" s="104" t="s">
        <v>358</v>
      </c>
      <c r="P3" s="104"/>
      <c r="Q3" s="104"/>
      <c r="R3" s="104" t="s">
        <v>362</v>
      </c>
      <c r="S3" s="104" t="s">
        <v>358</v>
      </c>
      <c r="T3" s="104"/>
      <c r="U3" s="104"/>
      <c r="V3" s="104" t="s">
        <v>363</v>
      </c>
      <c r="W3" s="104" t="s">
        <v>358</v>
      </c>
      <c r="X3" s="104"/>
      <c r="Y3" s="104"/>
      <c r="Z3" s="104" t="s">
        <v>364</v>
      </c>
      <c r="AA3" s="104" t="s">
        <v>358</v>
      </c>
      <c r="AB3" s="104"/>
      <c r="AC3" s="104"/>
      <c r="AD3" s="104" t="s">
        <v>365</v>
      </c>
      <c r="AE3" s="104" t="s">
        <v>358</v>
      </c>
      <c r="AF3" s="104"/>
      <c r="AG3" s="104"/>
      <c r="AH3" s="104" t="s">
        <v>366</v>
      </c>
      <c r="AI3" s="104" t="s">
        <v>358</v>
      </c>
      <c r="AJ3" s="104"/>
      <c r="AK3" s="104"/>
      <c r="AL3" s="104" t="s">
        <v>367</v>
      </c>
      <c r="AM3" s="104" t="s">
        <v>358</v>
      </c>
      <c r="AN3" s="104"/>
      <c r="AO3" s="104"/>
      <c r="AP3" s="104" t="s">
        <v>368</v>
      </c>
      <c r="AQ3" s="104" t="s">
        <v>358</v>
      </c>
      <c r="AR3" s="104"/>
      <c r="AS3" s="104"/>
      <c r="AT3" s="104" t="s">
        <v>369</v>
      </c>
      <c r="AU3" s="104" t="s">
        <v>358</v>
      </c>
      <c r="AV3" s="104"/>
      <c r="AW3" s="104"/>
      <c r="AX3" s="104" t="s">
        <v>370</v>
      </c>
      <c r="AY3" s="104" t="s">
        <v>358</v>
      </c>
      <c r="AZ3" s="104"/>
      <c r="BA3" s="104"/>
      <c r="BB3" s="104" t="s">
        <v>371</v>
      </c>
      <c r="BC3" s="104" t="s">
        <v>358</v>
      </c>
      <c r="BD3" s="104"/>
      <c r="BE3" s="104"/>
      <c r="BF3" s="104" t="s">
        <v>372</v>
      </c>
      <c r="BG3" s="104" t="s">
        <v>358</v>
      </c>
      <c r="BH3" s="104"/>
      <c r="BI3" s="104"/>
      <c r="BJ3" s="104" t="s">
        <v>373</v>
      </c>
      <c r="BK3" s="104" t="s">
        <v>358</v>
      </c>
      <c r="BL3" s="104"/>
      <c r="BM3" s="104"/>
      <c r="BN3" s="104" t="s">
        <v>374</v>
      </c>
      <c r="BO3" s="104" t="s">
        <v>358</v>
      </c>
      <c r="BP3" s="104"/>
      <c r="BQ3" s="104"/>
      <c r="BR3" s="104" t="s">
        <v>375</v>
      </c>
      <c r="BS3" s="104" t="s">
        <v>358</v>
      </c>
      <c r="BT3" s="104"/>
      <c r="BU3" s="104"/>
      <c r="BV3" s="104" t="s">
        <v>376</v>
      </c>
      <c r="BW3" s="104" t="s">
        <v>358</v>
      </c>
      <c r="BX3" s="104"/>
      <c r="BY3" s="104"/>
      <c r="BZ3" s="104" t="s">
        <v>377</v>
      </c>
      <c r="CA3" s="104" t="s">
        <v>358</v>
      </c>
      <c r="CB3" s="104"/>
      <c r="CC3" s="104"/>
      <c r="CD3" s="104" t="s">
        <v>378</v>
      </c>
      <c r="CE3" s="104" t="s">
        <v>358</v>
      </c>
      <c r="CF3" s="104"/>
      <c r="CG3" s="104"/>
      <c r="CH3" s="104" t="s">
        <v>379</v>
      </c>
      <c r="CI3" s="104" t="s">
        <v>358</v>
      </c>
      <c r="CJ3" s="104"/>
      <c r="CK3" s="104"/>
      <c r="CL3" s="104" t="s">
        <v>380</v>
      </c>
      <c r="CM3" s="104" t="s">
        <v>358</v>
      </c>
      <c r="CN3" s="104"/>
      <c r="CO3" s="104"/>
      <c r="CP3" s="104" t="s">
        <v>381</v>
      </c>
      <c r="CQ3" s="104" t="s">
        <v>358</v>
      </c>
      <c r="CR3" s="104"/>
      <c r="CS3" s="104"/>
      <c r="CT3" s="104" t="s">
        <v>382</v>
      </c>
      <c r="CU3" s="104" t="s">
        <v>358</v>
      </c>
      <c r="CV3" s="104"/>
      <c r="CW3" s="104"/>
      <c r="CX3" s="104" t="s">
        <v>383</v>
      </c>
      <c r="CY3" s="104" t="s">
        <v>358</v>
      </c>
      <c r="CZ3" s="104"/>
      <c r="DA3" s="104"/>
      <c r="DB3" s="104" t="s">
        <v>384</v>
      </c>
      <c r="DC3" s="104" t="s">
        <v>358</v>
      </c>
      <c r="DD3" s="104"/>
      <c r="DE3" s="104"/>
      <c r="DF3" s="104" t="s">
        <v>385</v>
      </c>
      <c r="DG3" s="104" t="s">
        <v>358</v>
      </c>
      <c r="DH3" s="104"/>
      <c r="DI3" s="104"/>
      <c r="DJ3" s="104" t="s">
        <v>386</v>
      </c>
      <c r="DK3" s="104" t="s">
        <v>358</v>
      </c>
      <c r="DL3" s="104"/>
      <c r="DM3" s="104"/>
      <c r="DN3" s="104" t="s">
        <v>387</v>
      </c>
      <c r="DO3" s="104" t="s">
        <v>358</v>
      </c>
      <c r="DP3" s="104"/>
      <c r="DQ3" s="104"/>
      <c r="DR3" s="104" t="s">
        <v>388</v>
      </c>
      <c r="DS3" s="104" t="s">
        <v>358</v>
      </c>
      <c r="DT3" s="104"/>
      <c r="DU3" s="104"/>
      <c r="DV3" s="104" t="s">
        <v>389</v>
      </c>
      <c r="DW3" s="104" t="s">
        <v>358</v>
      </c>
      <c r="DX3" s="104"/>
      <c r="DY3" s="104"/>
      <c r="DZ3" s="104" t="s">
        <v>390</v>
      </c>
      <c r="EA3" s="104" t="s">
        <v>358</v>
      </c>
      <c r="EB3" s="104"/>
      <c r="EC3" s="104"/>
      <c r="ED3" s="104" t="s">
        <v>391</v>
      </c>
      <c r="EE3" s="104" t="s">
        <v>358</v>
      </c>
      <c r="EF3" s="104"/>
      <c r="EG3" s="104"/>
      <c r="EH3" s="104" t="s">
        <v>392</v>
      </c>
      <c r="EI3" s="104" t="s">
        <v>358</v>
      </c>
      <c r="EJ3" s="104"/>
      <c r="EK3" s="104"/>
      <c r="EL3" s="104" t="s">
        <v>393</v>
      </c>
      <c r="EM3" s="104" t="s">
        <v>358</v>
      </c>
      <c r="EN3" s="104"/>
      <c r="EO3" s="104"/>
      <c r="EP3" s="104" t="s">
        <v>394</v>
      </c>
      <c r="EQ3" s="104" t="s">
        <v>358</v>
      </c>
      <c r="ER3" s="104"/>
      <c r="ES3" s="104"/>
      <c r="ET3" s="104" t="s">
        <v>395</v>
      </c>
      <c r="EU3" s="104" t="s">
        <v>358</v>
      </c>
      <c r="EV3" s="104"/>
      <c r="EW3" s="104"/>
      <c r="EX3" s="104" t="s">
        <v>396</v>
      </c>
      <c r="EY3" s="104" t="s">
        <v>358</v>
      </c>
      <c r="EZ3" s="104"/>
      <c r="FA3" s="104"/>
      <c r="FB3" s="104" t="s">
        <v>397</v>
      </c>
      <c r="FC3" s="104" t="s">
        <v>358</v>
      </c>
      <c r="FD3" s="104"/>
      <c r="FE3" s="104"/>
      <c r="FF3" s="104" t="s">
        <v>398</v>
      </c>
      <c r="FG3" s="104" t="s">
        <v>358</v>
      </c>
      <c r="FH3" s="104"/>
      <c r="FI3" s="104"/>
      <c r="FJ3" s="104" t="s">
        <v>399</v>
      </c>
      <c r="FK3" s="104" t="s">
        <v>358</v>
      </c>
      <c r="FL3" s="104"/>
      <c r="FM3" s="104"/>
      <c r="FN3" s="104" t="s">
        <v>400</v>
      </c>
      <c r="FO3" s="104" t="s">
        <v>358</v>
      </c>
      <c r="FP3" s="104"/>
      <c r="FQ3" s="104"/>
      <c r="FR3" s="104" t="s">
        <v>401</v>
      </c>
      <c r="FS3" s="104" t="s">
        <v>358</v>
      </c>
      <c r="FT3" s="104"/>
      <c r="FU3" s="104"/>
      <c r="FV3" s="104" t="s">
        <v>402</v>
      </c>
      <c r="FW3" s="104" t="s">
        <v>358</v>
      </c>
      <c r="FX3" s="104"/>
      <c r="FY3" s="104"/>
      <c r="FZ3" s="105" t="s">
        <v>403</v>
      </c>
    </row>
    <row r="4" ht="43.5" customHeight="1" spans="1:182">
      <c r="A4" s="106"/>
      <c r="B4" s="107"/>
      <c r="C4" s="108" t="s">
        <v>404</v>
      </c>
      <c r="D4" s="108" t="s">
        <v>405</v>
      </c>
      <c r="E4" s="108" t="s">
        <v>406</v>
      </c>
      <c r="F4" s="108"/>
      <c r="G4" s="108" t="s">
        <v>404</v>
      </c>
      <c r="H4" s="108" t="s">
        <v>405</v>
      </c>
      <c r="I4" s="108" t="s">
        <v>406</v>
      </c>
      <c r="J4" s="108"/>
      <c r="K4" s="108" t="s">
        <v>404</v>
      </c>
      <c r="L4" s="108" t="s">
        <v>405</v>
      </c>
      <c r="M4" s="108" t="s">
        <v>406</v>
      </c>
      <c r="N4" s="108"/>
      <c r="O4" s="108" t="s">
        <v>404</v>
      </c>
      <c r="P4" s="108" t="s">
        <v>405</v>
      </c>
      <c r="Q4" s="108" t="s">
        <v>406</v>
      </c>
      <c r="R4" s="108"/>
      <c r="S4" s="108" t="s">
        <v>404</v>
      </c>
      <c r="T4" s="108" t="s">
        <v>405</v>
      </c>
      <c r="U4" s="108" t="s">
        <v>406</v>
      </c>
      <c r="V4" s="108"/>
      <c r="W4" s="108" t="s">
        <v>404</v>
      </c>
      <c r="X4" s="108" t="s">
        <v>405</v>
      </c>
      <c r="Y4" s="108" t="s">
        <v>406</v>
      </c>
      <c r="Z4" s="108"/>
      <c r="AA4" s="108" t="s">
        <v>404</v>
      </c>
      <c r="AB4" s="108" t="s">
        <v>405</v>
      </c>
      <c r="AC4" s="108" t="s">
        <v>406</v>
      </c>
      <c r="AD4" s="108"/>
      <c r="AE4" s="108" t="s">
        <v>404</v>
      </c>
      <c r="AF4" s="108" t="s">
        <v>405</v>
      </c>
      <c r="AG4" s="108" t="s">
        <v>406</v>
      </c>
      <c r="AH4" s="108"/>
      <c r="AI4" s="108" t="s">
        <v>404</v>
      </c>
      <c r="AJ4" s="108" t="s">
        <v>405</v>
      </c>
      <c r="AK4" s="108" t="s">
        <v>406</v>
      </c>
      <c r="AL4" s="108"/>
      <c r="AM4" s="108" t="s">
        <v>404</v>
      </c>
      <c r="AN4" s="108" t="s">
        <v>405</v>
      </c>
      <c r="AO4" s="108" t="s">
        <v>406</v>
      </c>
      <c r="AP4" s="108"/>
      <c r="AQ4" s="108" t="s">
        <v>404</v>
      </c>
      <c r="AR4" s="108" t="s">
        <v>405</v>
      </c>
      <c r="AS4" s="108" t="s">
        <v>406</v>
      </c>
      <c r="AT4" s="108"/>
      <c r="AU4" s="108" t="s">
        <v>404</v>
      </c>
      <c r="AV4" s="108" t="s">
        <v>405</v>
      </c>
      <c r="AW4" s="108" t="s">
        <v>406</v>
      </c>
      <c r="AX4" s="108"/>
      <c r="AY4" s="108" t="s">
        <v>404</v>
      </c>
      <c r="AZ4" s="108" t="s">
        <v>405</v>
      </c>
      <c r="BA4" s="108" t="s">
        <v>406</v>
      </c>
      <c r="BB4" s="108"/>
      <c r="BC4" s="108" t="s">
        <v>404</v>
      </c>
      <c r="BD4" s="108" t="s">
        <v>405</v>
      </c>
      <c r="BE4" s="108" t="s">
        <v>406</v>
      </c>
      <c r="BF4" s="108"/>
      <c r="BG4" s="108" t="s">
        <v>404</v>
      </c>
      <c r="BH4" s="108" t="s">
        <v>405</v>
      </c>
      <c r="BI4" s="108" t="s">
        <v>406</v>
      </c>
      <c r="BJ4" s="108"/>
      <c r="BK4" s="108" t="s">
        <v>404</v>
      </c>
      <c r="BL4" s="108" t="s">
        <v>405</v>
      </c>
      <c r="BM4" s="108" t="s">
        <v>406</v>
      </c>
      <c r="BN4" s="108"/>
      <c r="BO4" s="108" t="s">
        <v>404</v>
      </c>
      <c r="BP4" s="108" t="s">
        <v>405</v>
      </c>
      <c r="BQ4" s="108" t="s">
        <v>406</v>
      </c>
      <c r="BR4" s="108"/>
      <c r="BS4" s="108" t="s">
        <v>404</v>
      </c>
      <c r="BT4" s="108" t="s">
        <v>405</v>
      </c>
      <c r="BU4" s="108" t="s">
        <v>406</v>
      </c>
      <c r="BV4" s="108"/>
      <c r="BW4" s="108" t="s">
        <v>404</v>
      </c>
      <c r="BX4" s="108" t="s">
        <v>405</v>
      </c>
      <c r="BY4" s="108" t="s">
        <v>406</v>
      </c>
      <c r="BZ4" s="108"/>
      <c r="CA4" s="108" t="s">
        <v>404</v>
      </c>
      <c r="CB4" s="108" t="s">
        <v>405</v>
      </c>
      <c r="CC4" s="108" t="s">
        <v>406</v>
      </c>
      <c r="CD4" s="108"/>
      <c r="CE4" s="108" t="s">
        <v>404</v>
      </c>
      <c r="CF4" s="108" t="s">
        <v>405</v>
      </c>
      <c r="CG4" s="108" t="s">
        <v>406</v>
      </c>
      <c r="CH4" s="108"/>
      <c r="CI4" s="108" t="s">
        <v>404</v>
      </c>
      <c r="CJ4" s="108" t="s">
        <v>405</v>
      </c>
      <c r="CK4" s="108" t="s">
        <v>406</v>
      </c>
      <c r="CL4" s="108"/>
      <c r="CM4" s="108" t="s">
        <v>404</v>
      </c>
      <c r="CN4" s="108" t="s">
        <v>405</v>
      </c>
      <c r="CO4" s="108" t="s">
        <v>406</v>
      </c>
      <c r="CP4" s="108"/>
      <c r="CQ4" s="108" t="s">
        <v>404</v>
      </c>
      <c r="CR4" s="108" t="s">
        <v>405</v>
      </c>
      <c r="CS4" s="108" t="s">
        <v>406</v>
      </c>
      <c r="CT4" s="108"/>
      <c r="CU4" s="108" t="s">
        <v>404</v>
      </c>
      <c r="CV4" s="108" t="s">
        <v>405</v>
      </c>
      <c r="CW4" s="108" t="s">
        <v>406</v>
      </c>
      <c r="CX4" s="108"/>
      <c r="CY4" s="108" t="s">
        <v>404</v>
      </c>
      <c r="CZ4" s="108" t="s">
        <v>405</v>
      </c>
      <c r="DA4" s="108" t="s">
        <v>406</v>
      </c>
      <c r="DB4" s="108"/>
      <c r="DC4" s="108" t="s">
        <v>404</v>
      </c>
      <c r="DD4" s="108" t="s">
        <v>405</v>
      </c>
      <c r="DE4" s="108" t="s">
        <v>406</v>
      </c>
      <c r="DF4" s="108"/>
      <c r="DG4" s="108" t="s">
        <v>404</v>
      </c>
      <c r="DH4" s="108" t="s">
        <v>405</v>
      </c>
      <c r="DI4" s="108" t="s">
        <v>406</v>
      </c>
      <c r="DJ4" s="108"/>
      <c r="DK4" s="108" t="s">
        <v>404</v>
      </c>
      <c r="DL4" s="108" t="s">
        <v>405</v>
      </c>
      <c r="DM4" s="108" t="s">
        <v>406</v>
      </c>
      <c r="DN4" s="108"/>
      <c r="DO4" s="108" t="s">
        <v>404</v>
      </c>
      <c r="DP4" s="108" t="s">
        <v>405</v>
      </c>
      <c r="DQ4" s="108" t="s">
        <v>406</v>
      </c>
      <c r="DR4" s="108"/>
      <c r="DS4" s="108" t="s">
        <v>404</v>
      </c>
      <c r="DT4" s="108" t="s">
        <v>405</v>
      </c>
      <c r="DU4" s="108" t="s">
        <v>406</v>
      </c>
      <c r="DV4" s="108"/>
      <c r="DW4" s="108" t="s">
        <v>404</v>
      </c>
      <c r="DX4" s="108" t="s">
        <v>405</v>
      </c>
      <c r="DY4" s="108" t="s">
        <v>406</v>
      </c>
      <c r="DZ4" s="108"/>
      <c r="EA4" s="108" t="s">
        <v>404</v>
      </c>
      <c r="EB4" s="108" t="s">
        <v>405</v>
      </c>
      <c r="EC4" s="108" t="s">
        <v>406</v>
      </c>
      <c r="ED4" s="108"/>
      <c r="EE4" s="108" t="s">
        <v>404</v>
      </c>
      <c r="EF4" s="108" t="s">
        <v>405</v>
      </c>
      <c r="EG4" s="108" t="s">
        <v>406</v>
      </c>
      <c r="EH4" s="108"/>
      <c r="EI4" s="108" t="s">
        <v>404</v>
      </c>
      <c r="EJ4" s="108" t="s">
        <v>405</v>
      </c>
      <c r="EK4" s="108" t="s">
        <v>406</v>
      </c>
      <c r="EL4" s="108"/>
      <c r="EM4" s="108" t="s">
        <v>404</v>
      </c>
      <c r="EN4" s="108" t="s">
        <v>405</v>
      </c>
      <c r="EO4" s="108" t="s">
        <v>406</v>
      </c>
      <c r="EP4" s="108"/>
      <c r="EQ4" s="108" t="s">
        <v>404</v>
      </c>
      <c r="ER4" s="108" t="s">
        <v>405</v>
      </c>
      <c r="ES4" s="108" t="s">
        <v>406</v>
      </c>
      <c r="ET4" s="108"/>
      <c r="EU4" s="108" t="s">
        <v>404</v>
      </c>
      <c r="EV4" s="108" t="s">
        <v>405</v>
      </c>
      <c r="EW4" s="108" t="s">
        <v>406</v>
      </c>
      <c r="EX4" s="108"/>
      <c r="EY4" s="108" t="s">
        <v>404</v>
      </c>
      <c r="EZ4" s="108" t="s">
        <v>405</v>
      </c>
      <c r="FA4" s="108" t="s">
        <v>406</v>
      </c>
      <c r="FB4" s="108"/>
      <c r="FC4" s="108" t="s">
        <v>404</v>
      </c>
      <c r="FD4" s="108" t="s">
        <v>405</v>
      </c>
      <c r="FE4" s="108" t="s">
        <v>406</v>
      </c>
      <c r="FF4" s="108"/>
      <c r="FG4" s="108" t="s">
        <v>404</v>
      </c>
      <c r="FH4" s="108" t="s">
        <v>405</v>
      </c>
      <c r="FI4" s="108" t="s">
        <v>406</v>
      </c>
      <c r="FJ4" s="108"/>
      <c r="FK4" s="108" t="s">
        <v>404</v>
      </c>
      <c r="FL4" s="108" t="s">
        <v>405</v>
      </c>
      <c r="FM4" s="108" t="s">
        <v>406</v>
      </c>
      <c r="FN4" s="108"/>
      <c r="FO4" s="108" t="s">
        <v>404</v>
      </c>
      <c r="FP4" s="108" t="s">
        <v>405</v>
      </c>
      <c r="FQ4" s="108" t="s">
        <v>406</v>
      </c>
      <c r="FR4" s="108"/>
      <c r="FS4" s="108" t="s">
        <v>404</v>
      </c>
      <c r="FT4" s="108" t="s">
        <v>405</v>
      </c>
      <c r="FU4" s="108" t="s">
        <v>406</v>
      </c>
      <c r="FV4" s="108"/>
      <c r="FW4" s="108" t="s">
        <v>404</v>
      </c>
      <c r="FX4" s="108" t="s">
        <v>405</v>
      </c>
      <c r="FY4" s="108" t="s">
        <v>406</v>
      </c>
      <c r="FZ4" s="109"/>
    </row>
    <row r="5" spans="1:182">
      <c r="A5" s="110" t="s">
        <v>407</v>
      </c>
      <c r="B5" s="111">
        <v>157114.532270664</v>
      </c>
      <c r="C5" s="112">
        <v>-1998.27483125321</v>
      </c>
      <c r="D5" s="112">
        <v>-792.648301985709</v>
      </c>
      <c r="E5" s="112">
        <v>-257.90404224998</v>
      </c>
      <c r="F5" s="113">
        <v>154065.705095175</v>
      </c>
      <c r="G5" s="112">
        <v>612.131019390003</v>
      </c>
      <c r="H5" s="112">
        <v>907.134587715772</v>
      </c>
      <c r="I5" s="112">
        <v>-303.965457616672</v>
      </c>
      <c r="J5" s="113">
        <v>155281.005244664</v>
      </c>
      <c r="K5" s="112">
        <v>3196.02354920339</v>
      </c>
      <c r="L5" s="112">
        <v>-2804.79149798688</v>
      </c>
      <c r="M5" s="112">
        <v>-387.962061582232</v>
      </c>
      <c r="N5" s="113">
        <v>155284.275234299</v>
      </c>
      <c r="O5" s="112">
        <v>-886.871989026758</v>
      </c>
      <c r="P5" s="112">
        <v>-578.4509578181</v>
      </c>
      <c r="Q5" s="112">
        <v>-812.339677842629</v>
      </c>
      <c r="R5" s="113">
        <v>153006.612609611</v>
      </c>
      <c r="S5" s="112">
        <v>53.6735379237322</v>
      </c>
      <c r="T5" s="112">
        <v>138.142502329504</v>
      </c>
      <c r="U5" s="112">
        <v>136.714723129568</v>
      </c>
      <c r="V5" s="113">
        <v>153335.143372994</v>
      </c>
      <c r="W5" s="112">
        <v>5551.53697026948</v>
      </c>
      <c r="X5" s="112">
        <v>1046.59123522907</v>
      </c>
      <c r="Y5" s="112">
        <v>-68.877616463345</v>
      </c>
      <c r="Z5" s="113">
        <v>159864.393962029</v>
      </c>
      <c r="AA5" s="112">
        <v>4395.27187871673</v>
      </c>
      <c r="AB5" s="112">
        <v>789.77856309128</v>
      </c>
      <c r="AC5" s="112">
        <v>-200.231348550369</v>
      </c>
      <c r="AD5" s="113">
        <v>164849.213055287</v>
      </c>
      <c r="AE5" s="112">
        <v>-899.352765128963</v>
      </c>
      <c r="AF5" s="112">
        <v>-512.862455299585</v>
      </c>
      <c r="AG5" s="112">
        <v>91.4945647800167</v>
      </c>
      <c r="AH5" s="113">
        <v>163528.492399638</v>
      </c>
      <c r="AI5" s="112">
        <v>488.398449497645</v>
      </c>
      <c r="AJ5" s="112">
        <v>661.221621859309</v>
      </c>
      <c r="AK5" s="112">
        <v>614.588973898544</v>
      </c>
      <c r="AL5" s="113">
        <v>165292.701444894</v>
      </c>
      <c r="AM5" s="112">
        <v>2365.44732098148</v>
      </c>
      <c r="AN5" s="112">
        <v>230.002161866997</v>
      </c>
      <c r="AO5" s="112">
        <v>-113.823388769058</v>
      </c>
      <c r="AP5" s="113">
        <v>167774.327538973</v>
      </c>
      <c r="AQ5" s="112">
        <v>1208.09605459263</v>
      </c>
      <c r="AR5" s="112">
        <v>-50.7767558422292</v>
      </c>
      <c r="AS5" s="112">
        <v>-83.8966525042977</v>
      </c>
      <c r="AT5" s="113">
        <v>168847.750185219</v>
      </c>
      <c r="AU5" s="112">
        <v>-1944.42537772207</v>
      </c>
      <c r="AV5" s="112">
        <v>592.961094530989</v>
      </c>
      <c r="AW5" s="112">
        <v>-13.5694083759461</v>
      </c>
      <c r="AX5" s="113">
        <v>167482.716493652</v>
      </c>
      <c r="AY5" s="112">
        <v>-400.624595662768</v>
      </c>
      <c r="AZ5" s="112">
        <v>-271.326764429887</v>
      </c>
      <c r="BA5" s="112">
        <v>944.832405619995</v>
      </c>
      <c r="BB5" s="113">
        <v>167755.59753918</v>
      </c>
      <c r="BC5" s="112">
        <v>-1090.73193141088</v>
      </c>
      <c r="BD5" s="112">
        <v>-1185.83580703548</v>
      </c>
      <c r="BE5" s="112">
        <v>200.570992861583</v>
      </c>
      <c r="BF5" s="113">
        <v>165679.600793595</v>
      </c>
      <c r="BG5" s="112">
        <v>-2548.90166653176</v>
      </c>
      <c r="BH5" s="112">
        <v>-132.449820334354</v>
      </c>
      <c r="BI5" s="112">
        <v>-354.42245069925</v>
      </c>
      <c r="BJ5" s="113">
        <v>162643.826856029</v>
      </c>
      <c r="BK5" s="112">
        <v>-1529.81024567988</v>
      </c>
      <c r="BL5" s="112">
        <v>-780.628031961139</v>
      </c>
      <c r="BM5" s="112">
        <v>-2.09635031011747</v>
      </c>
      <c r="BN5" s="113">
        <v>160331.292228078</v>
      </c>
      <c r="BO5" s="112">
        <v>-1450.04689397997</v>
      </c>
      <c r="BP5" s="112">
        <v>689.745797094539</v>
      </c>
      <c r="BQ5" s="112">
        <v>667.824805710448</v>
      </c>
      <c r="BR5" s="113">
        <v>160238.815936903</v>
      </c>
      <c r="BS5" s="112">
        <v>-627.31185990044</v>
      </c>
      <c r="BT5" s="112">
        <v>1045.70126545753</v>
      </c>
      <c r="BU5" s="112">
        <v>-263.235809542757</v>
      </c>
      <c r="BV5" s="113">
        <v>160393.969532918</v>
      </c>
      <c r="BW5" s="112">
        <v>-134.746106286248</v>
      </c>
      <c r="BX5" s="112">
        <v>302.168706905712</v>
      </c>
      <c r="BY5" s="112">
        <v>-232.76760848468</v>
      </c>
      <c r="BZ5" s="113">
        <v>160328.624525052</v>
      </c>
      <c r="CA5" s="112">
        <v>147.334053272803</v>
      </c>
      <c r="CB5" s="112">
        <v>-606.08034782833</v>
      </c>
      <c r="CC5" s="112">
        <v>-325.660584606391</v>
      </c>
      <c r="CD5" s="113">
        <v>159544.217645891</v>
      </c>
      <c r="CE5" s="112">
        <v>258.508280472178</v>
      </c>
      <c r="CF5" s="112">
        <v>-3581.29493312514</v>
      </c>
      <c r="CG5" s="112">
        <v>-754.688901034396</v>
      </c>
      <c r="CH5" s="113">
        <v>155466.742092203</v>
      </c>
      <c r="CI5" s="112">
        <v>2199.90648032659</v>
      </c>
      <c r="CJ5" s="112">
        <v>3025.63675979275</v>
      </c>
      <c r="CK5" s="112">
        <v>-106.492599771913</v>
      </c>
      <c r="CL5" s="113">
        <v>160585.792732551</v>
      </c>
      <c r="CM5" s="112">
        <v>919.74822264496</v>
      </c>
      <c r="CN5" s="112">
        <v>322.231947573946</v>
      </c>
      <c r="CO5" s="112">
        <v>-121.236158898539</v>
      </c>
      <c r="CP5" s="113">
        <v>161706.536743871</v>
      </c>
      <c r="CQ5" s="112">
        <v>1245.31731721661</v>
      </c>
      <c r="CR5" s="112">
        <v>1229.64688515798</v>
      </c>
      <c r="CS5" s="112">
        <v>-201.42570510607</v>
      </c>
      <c r="CT5" s="113">
        <v>163980.07524114</v>
      </c>
      <c r="CU5" s="114">
        <v>772.262147346255</v>
      </c>
      <c r="CV5" s="114">
        <v>-730.699299264346</v>
      </c>
      <c r="CW5" s="114">
        <v>-66.542858018411</v>
      </c>
      <c r="CX5" s="115">
        <v>163955.095231203</v>
      </c>
      <c r="CY5" s="114">
        <v>2278.10674209107</v>
      </c>
      <c r="CZ5" s="114">
        <v>429.290344568675</v>
      </c>
      <c r="DA5" s="114">
        <v>-179.411840205908</v>
      </c>
      <c r="DB5" s="115">
        <v>166483.080477657</v>
      </c>
      <c r="DC5" s="114">
        <v>-284.467233807714</v>
      </c>
      <c r="DD5" s="114">
        <v>-269.665415309849</v>
      </c>
      <c r="DE5" s="114">
        <v>-167.223909358731</v>
      </c>
      <c r="DF5" s="115">
        <v>165761.723919181</v>
      </c>
      <c r="DG5" s="114">
        <v>-617.632697495641</v>
      </c>
      <c r="DH5" s="114">
        <v>-605.468107264792</v>
      </c>
      <c r="DI5" s="114">
        <v>-407.548195508067</v>
      </c>
      <c r="DJ5" s="115">
        <v>164131.074918912</v>
      </c>
      <c r="DK5" s="114">
        <v>-603.059276785296</v>
      </c>
      <c r="DL5" s="114">
        <v>-4211.02559799283</v>
      </c>
      <c r="DM5" s="114">
        <v>579.783255714724</v>
      </c>
      <c r="DN5" s="115">
        <v>159896.773299849</v>
      </c>
      <c r="DO5" s="114">
        <v>1369.15502780055</v>
      </c>
      <c r="DP5" s="114">
        <v>2813.07249246406</v>
      </c>
      <c r="DQ5" s="114">
        <v>73.2450491591873</v>
      </c>
      <c r="DR5" s="115">
        <v>164152.245869273</v>
      </c>
      <c r="DS5" s="114">
        <v>615.985643895892</v>
      </c>
      <c r="DT5" s="114">
        <v>-2872.88738804608</v>
      </c>
      <c r="DU5" s="114">
        <v>-799.147207533695</v>
      </c>
      <c r="DV5" s="115">
        <v>161096.196917589</v>
      </c>
      <c r="DW5" s="114">
        <v>1485.41977703646</v>
      </c>
      <c r="DX5" s="114">
        <v>-171.454750313775</v>
      </c>
      <c r="DY5" s="114">
        <v>-1265.88819611419</v>
      </c>
      <c r="DZ5" s="115">
        <v>161144.273748197</v>
      </c>
      <c r="EA5" s="114">
        <v>1156.56006379536</v>
      </c>
      <c r="EB5" s="114">
        <v>-319.192861620565</v>
      </c>
      <c r="EC5" s="114">
        <v>832.328352806629</v>
      </c>
      <c r="ED5" s="115">
        <v>162813.969303179</v>
      </c>
      <c r="EE5" s="114">
        <v>1001.36715391427</v>
      </c>
      <c r="EF5" s="114">
        <v>-733.809810565049</v>
      </c>
      <c r="EG5" s="114">
        <v>-278.908904417794</v>
      </c>
      <c r="EH5" s="115">
        <v>162802.61774211</v>
      </c>
      <c r="EI5" s="114">
        <v>1680.39682237903</v>
      </c>
      <c r="EJ5" s="114">
        <v>-722.62124371935</v>
      </c>
      <c r="EK5" s="114">
        <v>49.102297544091</v>
      </c>
      <c r="EL5" s="115">
        <v>163809.495618314</v>
      </c>
      <c r="EM5" s="114">
        <v>-576.358869163395</v>
      </c>
      <c r="EN5" s="114">
        <v>684.066091772218</v>
      </c>
      <c r="EO5" s="114">
        <v>-205.238375984862</v>
      </c>
      <c r="EP5" s="115">
        <v>163711.964464938</v>
      </c>
      <c r="EQ5" s="114">
        <v>457.491459163846</v>
      </c>
      <c r="ER5" s="114">
        <v>-126.722027331182</v>
      </c>
      <c r="ES5" s="114">
        <v>-89.8073174119647</v>
      </c>
      <c r="ET5" s="115">
        <v>163952.926579358</v>
      </c>
      <c r="EU5" s="114">
        <v>2824.50018608081</v>
      </c>
      <c r="EV5" s="114">
        <v>114.747298776402</v>
      </c>
      <c r="EW5" s="114">
        <v>-39.0781412037522</v>
      </c>
      <c r="EX5" s="115">
        <v>166853.095923012</v>
      </c>
      <c r="EY5" s="114">
        <v>-98.0588374376653</v>
      </c>
      <c r="EZ5" s="114">
        <v>-121.063852900261</v>
      </c>
      <c r="FA5" s="114">
        <v>-266.908454891682</v>
      </c>
      <c r="FB5" s="115">
        <v>166367.064777782</v>
      </c>
      <c r="FC5" s="114">
        <v>697.502004806041</v>
      </c>
      <c r="FD5" s="114">
        <v>-2488.10956887691</v>
      </c>
      <c r="FE5" s="114">
        <v>101.04017605818</v>
      </c>
      <c r="FF5" s="115">
        <v>164677.49738977</v>
      </c>
      <c r="FG5" s="114">
        <v>3319.42952341914</v>
      </c>
      <c r="FH5" s="114">
        <v>2272.79829544205</v>
      </c>
      <c r="FI5" s="114">
        <v>-231.924010694525</v>
      </c>
      <c r="FJ5" s="115">
        <v>170037.801197936</v>
      </c>
      <c r="FK5" s="114">
        <v>1184.62227063753</v>
      </c>
      <c r="FL5" s="114">
        <v>1658.11267535211</v>
      </c>
      <c r="FM5" s="114">
        <v>-333.452760060251</v>
      </c>
      <c r="FN5" s="115">
        <v>172547.083383866</v>
      </c>
      <c r="FO5" s="114">
        <v>876.74182332089</v>
      </c>
      <c r="FP5" s="114">
        <v>-867.278002737936</v>
      </c>
      <c r="FQ5" s="114">
        <v>-998.284416239754</v>
      </c>
      <c r="FR5" s="115">
        <v>171558.262788209</v>
      </c>
      <c r="FS5" s="114">
        <v>7439.17877803332</v>
      </c>
      <c r="FT5" s="114">
        <v>2790.27617102529</v>
      </c>
      <c r="FU5" s="114">
        <v>53.8730420517358</v>
      </c>
      <c r="FV5" s="115">
        <v>181841.590779319</v>
      </c>
      <c r="FW5" s="114">
        <v>-7.73070928631478</v>
      </c>
      <c r="FX5" s="114">
        <v>821.3047186217</v>
      </c>
      <c r="FY5" s="114">
        <v>123.074798107581</v>
      </c>
      <c r="FZ5" s="116">
        <v>182778.239586762</v>
      </c>
    </row>
    <row r="6" spans="1:182">
      <c r="A6" s="117" t="s">
        <v>164</v>
      </c>
      <c r="B6" s="118">
        <v>9713.77106777395</v>
      </c>
      <c r="C6" s="119">
        <v>-1312.38730601954</v>
      </c>
      <c r="D6" s="119">
        <v>-25.053352258727</v>
      </c>
      <c r="E6" s="119">
        <v>-291.289102249993</v>
      </c>
      <c r="F6" s="119">
        <v>8085.04130724569</v>
      </c>
      <c r="G6" s="119">
        <v>-305.637063541504</v>
      </c>
      <c r="H6" s="119">
        <v>7.5353921005367</v>
      </c>
      <c r="I6" s="119">
        <v>9.87196137333488</v>
      </c>
      <c r="J6" s="119">
        <v>7796.81159717806</v>
      </c>
      <c r="K6" s="119">
        <v>-611.97518476446</v>
      </c>
      <c r="L6" s="119">
        <v>-162.048945186665</v>
      </c>
      <c r="M6" s="119">
        <v>-593.512671576666</v>
      </c>
      <c r="N6" s="119">
        <v>6429.27479565027</v>
      </c>
      <c r="O6" s="119">
        <v>99.604629478767</v>
      </c>
      <c r="P6" s="119">
        <v>-119.258832792956</v>
      </c>
      <c r="Q6" s="119">
        <v>-149.288967856666</v>
      </c>
      <c r="R6" s="119">
        <v>6260.33162447941</v>
      </c>
      <c r="S6" s="119">
        <v>8.49668779062608</v>
      </c>
      <c r="T6" s="119">
        <v>-14.6881997882028</v>
      </c>
      <c r="U6" s="119">
        <v>-16.0122080004219</v>
      </c>
      <c r="V6" s="119">
        <v>6238.12790448141</v>
      </c>
      <c r="W6" s="119">
        <v>207.51201331994</v>
      </c>
      <c r="X6" s="119">
        <v>-11.32473754262</v>
      </c>
      <c r="Y6" s="119">
        <v>-108.169182809088</v>
      </c>
      <c r="Z6" s="119">
        <v>6326.14599744964</v>
      </c>
      <c r="AA6" s="119">
        <v>490.506273971567</v>
      </c>
      <c r="AB6" s="119">
        <v>10.8362201872895</v>
      </c>
      <c r="AC6" s="119">
        <v>-94.3985835900104</v>
      </c>
      <c r="AD6" s="119">
        <v>6733.08990801849</v>
      </c>
      <c r="AE6" s="119">
        <v>-296.174868457334</v>
      </c>
      <c r="AF6" s="119">
        <v>52.3216089580024</v>
      </c>
      <c r="AG6" s="119">
        <v>71.0496547400106</v>
      </c>
      <c r="AH6" s="119">
        <v>6560.28630325917</v>
      </c>
      <c r="AI6" s="119">
        <v>506.554342445505</v>
      </c>
      <c r="AJ6" s="119">
        <v>-7.7221965441804</v>
      </c>
      <c r="AK6" s="119">
        <v>-6.80060610145648</v>
      </c>
      <c r="AL6" s="119">
        <v>7052.31784305904</v>
      </c>
      <c r="AM6" s="119">
        <v>175.7353609448</v>
      </c>
      <c r="AN6" s="119">
        <v>4.30912928414015</v>
      </c>
      <c r="AO6" s="119">
        <v>-38.7016643199961</v>
      </c>
      <c r="AP6" s="119">
        <v>7193.66066896798</v>
      </c>
      <c r="AQ6" s="119">
        <v>248.670432261424</v>
      </c>
      <c r="AR6" s="119">
        <v>-126.792208096086</v>
      </c>
      <c r="AS6" s="119">
        <v>91.9936172402489</v>
      </c>
      <c r="AT6" s="119">
        <v>7407.53251037356</v>
      </c>
      <c r="AU6" s="119">
        <v>208.207000716113</v>
      </c>
      <c r="AV6" s="119">
        <v>14.1830548182212</v>
      </c>
      <c r="AW6" s="119">
        <v>-140.740261376982</v>
      </c>
      <c r="AX6" s="119">
        <v>7489.18230453092</v>
      </c>
      <c r="AY6" s="119">
        <v>792.211434104845</v>
      </c>
      <c r="AZ6" s="119">
        <v>103.705029106862</v>
      </c>
      <c r="BA6" s="119">
        <v>-78.9013460299999</v>
      </c>
      <c r="BB6" s="119">
        <v>8306.19742171262</v>
      </c>
      <c r="BC6" s="119">
        <v>-99.948993248076</v>
      </c>
      <c r="BD6" s="119">
        <v>-145.598559313521</v>
      </c>
      <c r="BE6" s="119">
        <v>25.31032353</v>
      </c>
      <c r="BF6" s="119">
        <v>8085.96019268103</v>
      </c>
      <c r="BG6" s="119">
        <v>303.717578441279</v>
      </c>
      <c r="BH6" s="119">
        <v>-95.5954576096517</v>
      </c>
      <c r="BI6" s="119">
        <v>-137.01978198</v>
      </c>
      <c r="BJ6" s="119">
        <v>8157.06253153265</v>
      </c>
      <c r="BK6" s="119">
        <v>195.918062841234</v>
      </c>
      <c r="BL6" s="119">
        <v>-96.5837275701844</v>
      </c>
      <c r="BM6" s="119">
        <v>-105.940317170001</v>
      </c>
      <c r="BN6" s="119">
        <v>8150.4565496337</v>
      </c>
      <c r="BO6" s="119">
        <v>269.512676371602</v>
      </c>
      <c r="BP6" s="119">
        <v>-16.1837549997846</v>
      </c>
      <c r="BQ6" s="119">
        <v>-206.478619222854</v>
      </c>
      <c r="BR6" s="119">
        <v>8197.30685178267</v>
      </c>
      <c r="BS6" s="119">
        <v>204.843016232554</v>
      </c>
      <c r="BT6" s="119">
        <v>21.915713323526</v>
      </c>
      <c r="BU6" s="119">
        <v>-133.423586430001</v>
      </c>
      <c r="BV6" s="119">
        <v>8290.64199490874</v>
      </c>
      <c r="BW6" s="119">
        <v>64.2285334207053</v>
      </c>
      <c r="BX6" s="119">
        <v>-41.5631198167604</v>
      </c>
      <c r="BY6" s="119">
        <v>-88.0044613399999</v>
      </c>
      <c r="BZ6" s="119">
        <v>8225.30294717269</v>
      </c>
      <c r="CA6" s="119">
        <v>615.971906184385</v>
      </c>
      <c r="CB6" s="119">
        <v>43.4376057266808</v>
      </c>
      <c r="CC6" s="119">
        <v>-83.52578787381</v>
      </c>
      <c r="CD6" s="119">
        <v>8801.18667120994</v>
      </c>
      <c r="CE6" s="119">
        <v>88.7941577749838</v>
      </c>
      <c r="CF6" s="119">
        <v>-330.655931529645</v>
      </c>
      <c r="CG6" s="119">
        <v>-211.599231329999</v>
      </c>
      <c r="CH6" s="119">
        <v>8347.72566612528</v>
      </c>
      <c r="CI6" s="119">
        <v>406.276226036582</v>
      </c>
      <c r="CJ6" s="119">
        <v>170.123708943932</v>
      </c>
      <c r="CK6" s="119">
        <v>-29.9609249267746</v>
      </c>
      <c r="CL6" s="119">
        <v>8894.16467617903</v>
      </c>
      <c r="CM6" s="119">
        <v>685.954938866711</v>
      </c>
      <c r="CN6" s="119">
        <v>-277.893768912244</v>
      </c>
      <c r="CO6" s="119">
        <v>-150.94248469</v>
      </c>
      <c r="CP6" s="119">
        <v>9151.28336144349</v>
      </c>
      <c r="CQ6" s="119">
        <v>120.75926462076</v>
      </c>
      <c r="CR6" s="119">
        <v>124.034303738728</v>
      </c>
      <c r="CS6" s="119">
        <v>84.9381044772922</v>
      </c>
      <c r="CT6" s="119">
        <v>9481.01503428027</v>
      </c>
      <c r="CU6" s="120">
        <v>1494.30919535664</v>
      </c>
      <c r="CV6" s="120">
        <v>-34.0616898397862</v>
      </c>
      <c r="CW6" s="120">
        <v>13.9493940978977</v>
      </c>
      <c r="CX6" s="120">
        <v>10955.211933895</v>
      </c>
      <c r="CY6" s="120">
        <v>1389.51618280234</v>
      </c>
      <c r="CZ6" s="120">
        <v>-88.7158257732842</v>
      </c>
      <c r="DA6" s="120">
        <v>-12.2407276800001</v>
      </c>
      <c r="DB6" s="120">
        <v>12243.7715632441</v>
      </c>
      <c r="DC6" s="120">
        <v>-699.118736726953</v>
      </c>
      <c r="DD6" s="120">
        <v>82.1686312137625</v>
      </c>
      <c r="DE6" s="120">
        <v>-41.8185150821247</v>
      </c>
      <c r="DF6" s="120">
        <v>11585.0029426488</v>
      </c>
      <c r="DG6" s="120">
        <v>539.408354830121</v>
      </c>
      <c r="DH6" s="120">
        <v>-30.947355009809</v>
      </c>
      <c r="DI6" s="120">
        <v>-83.8432362396949</v>
      </c>
      <c r="DJ6" s="120">
        <v>12009.6207062294</v>
      </c>
      <c r="DK6" s="120">
        <v>-745.496783663498</v>
      </c>
      <c r="DL6" s="120">
        <v>23.6605310273189</v>
      </c>
      <c r="DM6" s="120">
        <v>432.272790810003</v>
      </c>
      <c r="DN6" s="120">
        <v>11720.0572444032</v>
      </c>
      <c r="DO6" s="120">
        <v>1952.38637129945</v>
      </c>
      <c r="DP6" s="120">
        <v>530.06393558544</v>
      </c>
      <c r="DQ6" s="120">
        <v>-52.1019598699995</v>
      </c>
      <c r="DR6" s="120">
        <v>14150.4055914181</v>
      </c>
      <c r="DS6" s="120">
        <v>2044.22267378063</v>
      </c>
      <c r="DT6" s="120">
        <v>-231.699143494021</v>
      </c>
      <c r="DU6" s="120">
        <v>-435.168745073866</v>
      </c>
      <c r="DV6" s="120">
        <v>15527.7603766308</v>
      </c>
      <c r="DW6" s="120">
        <v>2202.26077735502</v>
      </c>
      <c r="DX6" s="120">
        <v>-462.314549643245</v>
      </c>
      <c r="DY6" s="120">
        <v>-932.016799709605</v>
      </c>
      <c r="DZ6" s="120">
        <v>16335.689804633</v>
      </c>
      <c r="EA6" s="120">
        <v>881.934227010316</v>
      </c>
      <c r="EB6" s="120">
        <v>43.1332719512449</v>
      </c>
      <c r="EC6" s="120">
        <v>-3.80390506999656</v>
      </c>
      <c r="ED6" s="120">
        <v>17256.9533985246</v>
      </c>
      <c r="EE6" s="120">
        <v>33.8770804086867</v>
      </c>
      <c r="EF6" s="120">
        <v>-75.4262951126402</v>
      </c>
      <c r="EG6" s="120">
        <v>-14.7544285599745</v>
      </c>
      <c r="EH6" s="120">
        <v>17200.6497552606</v>
      </c>
      <c r="EI6" s="120">
        <v>1315.10318192614</v>
      </c>
      <c r="EJ6" s="120">
        <v>-288.029568953133</v>
      </c>
      <c r="EK6" s="120">
        <v>-2.26442832005008</v>
      </c>
      <c r="EL6" s="120">
        <v>18225.4589399136</v>
      </c>
      <c r="EM6" s="120">
        <v>1333.72774431239</v>
      </c>
      <c r="EN6" s="120">
        <v>-210.598920607427</v>
      </c>
      <c r="EO6" s="120">
        <v>40.9667919698863</v>
      </c>
      <c r="EP6" s="120">
        <v>19389.5545555884</v>
      </c>
      <c r="EQ6" s="120">
        <v>-177.265795364812</v>
      </c>
      <c r="ER6" s="120">
        <v>62.475894884622</v>
      </c>
      <c r="ES6" s="120">
        <v>-142.464465654395</v>
      </c>
      <c r="ET6" s="120">
        <v>19132.3001894539</v>
      </c>
      <c r="EU6" s="120">
        <v>1557.13535993276</v>
      </c>
      <c r="EV6" s="120">
        <v>-23.3359774239324</v>
      </c>
      <c r="EW6" s="120">
        <v>-32.380781860053</v>
      </c>
      <c r="EX6" s="120">
        <v>20633.7187901026</v>
      </c>
      <c r="EY6" s="120">
        <v>728.825214479056</v>
      </c>
      <c r="EZ6" s="120">
        <v>-109.955628225</v>
      </c>
      <c r="FA6" s="120">
        <v>16.440997011553</v>
      </c>
      <c r="FB6" s="120">
        <v>21269.0293733682</v>
      </c>
      <c r="FC6" s="120">
        <v>-1316.31371322754</v>
      </c>
      <c r="FD6" s="120">
        <v>-338.347948073338</v>
      </c>
      <c r="FE6" s="120">
        <v>-145.630597300311</v>
      </c>
      <c r="FF6" s="120">
        <v>19468.737114767</v>
      </c>
      <c r="FG6" s="120">
        <v>1824.99861436244</v>
      </c>
      <c r="FH6" s="120">
        <v>491.862616698162</v>
      </c>
      <c r="FI6" s="120">
        <v>-167.89118010628</v>
      </c>
      <c r="FJ6" s="120">
        <v>21617.7071657214</v>
      </c>
      <c r="FK6" s="120">
        <v>1500.62579756337</v>
      </c>
      <c r="FL6" s="120">
        <v>-510.065730148679</v>
      </c>
      <c r="FM6" s="120">
        <v>-189.299258839589</v>
      </c>
      <c r="FN6" s="120">
        <v>22418.9679742965</v>
      </c>
      <c r="FO6" s="120">
        <v>-946.982628274155</v>
      </c>
      <c r="FP6" s="120">
        <v>-611.529106866953</v>
      </c>
      <c r="FQ6" s="120">
        <v>67.4320671201173</v>
      </c>
      <c r="FR6" s="120">
        <v>20927.8883062755</v>
      </c>
      <c r="FS6" s="120">
        <v>123.828909648719</v>
      </c>
      <c r="FT6" s="120">
        <v>664.274277340117</v>
      </c>
      <c r="FU6" s="120">
        <v>-27.6690678669752</v>
      </c>
      <c r="FV6" s="120">
        <v>21688.3224253973</v>
      </c>
      <c r="FW6" s="120">
        <v>977.256641522734</v>
      </c>
      <c r="FX6" s="120">
        <v>584.176885615448</v>
      </c>
      <c r="FY6" s="120">
        <v>326.458026439997</v>
      </c>
      <c r="FZ6" s="121">
        <v>23576.2139789755</v>
      </c>
    </row>
    <row r="7" spans="1:182">
      <c r="A7" s="117" t="s">
        <v>166</v>
      </c>
      <c r="B7" s="118">
        <v>147400.76120289</v>
      </c>
      <c r="C7" s="119">
        <v>-685.887525233671</v>
      </c>
      <c r="D7" s="119">
        <v>-767.594949726982</v>
      </c>
      <c r="E7" s="119">
        <v>33.3850600000133</v>
      </c>
      <c r="F7" s="119">
        <v>145980.66378793</v>
      </c>
      <c r="G7" s="119">
        <v>917.768082931507</v>
      </c>
      <c r="H7" s="119">
        <v>899.599195615235</v>
      </c>
      <c r="I7" s="119">
        <v>-313.837418990007</v>
      </c>
      <c r="J7" s="119">
        <v>147484.193647486</v>
      </c>
      <c r="K7" s="119">
        <v>3807.99873396785</v>
      </c>
      <c r="L7" s="119">
        <v>-2642.74255280021</v>
      </c>
      <c r="M7" s="119">
        <v>205.550609994434</v>
      </c>
      <c r="N7" s="119">
        <v>148855.000438648</v>
      </c>
      <c r="O7" s="119">
        <v>-986.476618505525</v>
      </c>
      <c r="P7" s="119">
        <v>-459.192125025143</v>
      </c>
      <c r="Q7" s="119">
        <v>-663.050709985962</v>
      </c>
      <c r="R7" s="119">
        <v>146746.280985132</v>
      </c>
      <c r="S7" s="119">
        <v>45.1768501331061</v>
      </c>
      <c r="T7" s="119">
        <v>152.830702117707</v>
      </c>
      <c r="U7" s="119">
        <v>152.72693112999</v>
      </c>
      <c r="V7" s="119">
        <v>147097.015468513</v>
      </c>
      <c r="W7" s="119">
        <v>5344.02495694954</v>
      </c>
      <c r="X7" s="119">
        <v>1057.91597277169</v>
      </c>
      <c r="Y7" s="119">
        <v>39.2915663457428</v>
      </c>
      <c r="Z7" s="119">
        <v>153538.24796458</v>
      </c>
      <c r="AA7" s="119">
        <v>3904.76560474516</v>
      </c>
      <c r="AB7" s="119">
        <v>778.94234290399</v>
      </c>
      <c r="AC7" s="119">
        <v>-105.832764960359</v>
      </c>
      <c r="AD7" s="119">
        <v>158116.123147268</v>
      </c>
      <c r="AE7" s="119">
        <v>-603.17789667163</v>
      </c>
      <c r="AF7" s="119">
        <v>-565.184064257587</v>
      </c>
      <c r="AG7" s="119">
        <v>20.4449100400062</v>
      </c>
      <c r="AH7" s="119">
        <v>156968.206096379</v>
      </c>
      <c r="AI7" s="119">
        <v>-18.1558929478595</v>
      </c>
      <c r="AJ7" s="119">
        <v>668.943818403489</v>
      </c>
      <c r="AK7" s="119">
        <v>621.389580000001</v>
      </c>
      <c r="AL7" s="119">
        <v>158240.383601835</v>
      </c>
      <c r="AM7" s="119">
        <v>2189.71196003668</v>
      </c>
      <c r="AN7" s="119">
        <v>225.693032582856</v>
      </c>
      <c r="AO7" s="119">
        <v>-75.1217244490617</v>
      </c>
      <c r="AP7" s="119">
        <v>160580.666870005</v>
      </c>
      <c r="AQ7" s="119">
        <v>959.425622331205</v>
      </c>
      <c r="AR7" s="119">
        <v>76.0154522538571</v>
      </c>
      <c r="AS7" s="119">
        <v>-175.890269744547</v>
      </c>
      <c r="AT7" s="119">
        <v>161440.217674846</v>
      </c>
      <c r="AU7" s="119">
        <v>-2152.63237843818</v>
      </c>
      <c r="AV7" s="119">
        <v>578.778039712768</v>
      </c>
      <c r="AW7" s="119">
        <v>127.170853001036</v>
      </c>
      <c r="AX7" s="119">
        <v>159993.534189121</v>
      </c>
      <c r="AY7" s="119">
        <v>-1192.83602976761</v>
      </c>
      <c r="AZ7" s="119">
        <v>-375.031793536749</v>
      </c>
      <c r="BA7" s="119">
        <v>1023.73375165</v>
      </c>
      <c r="BB7" s="119">
        <v>159449.400117467</v>
      </c>
      <c r="BC7" s="119">
        <v>-990.782938162806</v>
      </c>
      <c r="BD7" s="119">
        <v>-1040.23724772196</v>
      </c>
      <c r="BE7" s="119">
        <v>175.260669331583</v>
      </c>
      <c r="BF7" s="119">
        <v>157593.640600914</v>
      </c>
      <c r="BG7" s="119">
        <v>-2852.61924497304</v>
      </c>
      <c r="BH7" s="119">
        <v>-36.854362724702</v>
      </c>
      <c r="BI7" s="119">
        <v>-217.40266871925</v>
      </c>
      <c r="BJ7" s="119">
        <v>154486.764324497</v>
      </c>
      <c r="BK7" s="119">
        <v>-1725.72830852111</v>
      </c>
      <c r="BL7" s="119">
        <v>-684.044304390954</v>
      </c>
      <c r="BM7" s="119">
        <v>103.843966859883</v>
      </c>
      <c r="BN7" s="119">
        <v>152180.835678445</v>
      </c>
      <c r="BO7" s="119">
        <v>-1719.55957035157</v>
      </c>
      <c r="BP7" s="119">
        <v>705.929552094324</v>
      </c>
      <c r="BQ7" s="119">
        <v>874.303424933302</v>
      </c>
      <c r="BR7" s="119">
        <v>152041.509085121</v>
      </c>
      <c r="BS7" s="119">
        <v>-832.154876132994</v>
      </c>
      <c r="BT7" s="119">
        <v>1023.78555213401</v>
      </c>
      <c r="BU7" s="119">
        <v>-129.812223112757</v>
      </c>
      <c r="BV7" s="119">
        <v>152103.327538009</v>
      </c>
      <c r="BW7" s="119">
        <v>-198.974639706953</v>
      </c>
      <c r="BX7" s="119">
        <v>343.731826722473</v>
      </c>
      <c r="BY7" s="119">
        <v>-144.76314714468</v>
      </c>
      <c r="BZ7" s="119">
        <v>152103.32157788</v>
      </c>
      <c r="CA7" s="119">
        <v>-468.637852911582</v>
      </c>
      <c r="CB7" s="119">
        <v>-649.517953555011</v>
      </c>
      <c r="CC7" s="119">
        <v>-242.134796732581</v>
      </c>
      <c r="CD7" s="119">
        <v>150743.030974681</v>
      </c>
      <c r="CE7" s="119">
        <v>169.714122697195</v>
      </c>
      <c r="CF7" s="119">
        <v>-3250.6390015955</v>
      </c>
      <c r="CG7" s="119">
        <v>-543.089669704397</v>
      </c>
      <c r="CH7" s="119">
        <v>147119.016426078</v>
      </c>
      <c r="CI7" s="119">
        <v>1793.63025429</v>
      </c>
      <c r="CJ7" s="119">
        <v>2855.51305084881</v>
      </c>
      <c r="CK7" s="119">
        <v>-76.5316748451383</v>
      </c>
      <c r="CL7" s="119">
        <v>151691.628056372</v>
      </c>
      <c r="CM7" s="119">
        <v>233.79328377825</v>
      </c>
      <c r="CN7" s="119">
        <v>600.12571648619</v>
      </c>
      <c r="CO7" s="119">
        <v>29.7063257914606</v>
      </c>
      <c r="CP7" s="119">
        <v>152555.253382428</v>
      </c>
      <c r="CQ7" s="119">
        <v>1124.55805259585</v>
      </c>
      <c r="CR7" s="119">
        <v>1105.61258141926</v>
      </c>
      <c r="CS7" s="119">
        <v>-286.363809583362</v>
      </c>
      <c r="CT7" s="119">
        <v>154499.060206859</v>
      </c>
      <c r="CU7" s="120">
        <v>-722.047048010387</v>
      </c>
      <c r="CV7" s="120">
        <v>-696.63760942456</v>
      </c>
      <c r="CW7" s="120">
        <v>-80.4922521163087</v>
      </c>
      <c r="CX7" s="120">
        <v>152999.883297308</v>
      </c>
      <c r="CY7" s="120">
        <v>888.590559288735</v>
      </c>
      <c r="CZ7" s="120">
        <v>518.00617034196</v>
      </c>
      <c r="DA7" s="120">
        <v>-167.171112525908</v>
      </c>
      <c r="DB7" s="120">
        <v>154239.308914413</v>
      </c>
      <c r="DC7" s="120">
        <v>414.651502919239</v>
      </c>
      <c r="DD7" s="120">
        <v>-351.834046523611</v>
      </c>
      <c r="DE7" s="120">
        <v>-125.405394276607</v>
      </c>
      <c r="DF7" s="120">
        <v>154176.720976532</v>
      </c>
      <c r="DG7" s="120">
        <v>-1157.04105232576</v>
      </c>
      <c r="DH7" s="120">
        <v>-574.520752254983</v>
      </c>
      <c r="DI7" s="120">
        <v>-323.704959268372</v>
      </c>
      <c r="DJ7" s="120">
        <v>152121.454212683</v>
      </c>
      <c r="DK7" s="120">
        <v>142.437506878201</v>
      </c>
      <c r="DL7" s="120">
        <v>-4234.68612902015</v>
      </c>
      <c r="DM7" s="120">
        <v>147.510464904721</v>
      </c>
      <c r="DN7" s="120">
        <v>148176.716055445</v>
      </c>
      <c r="DO7" s="120">
        <v>-583.231343498895</v>
      </c>
      <c r="DP7" s="120">
        <v>2283.00855687862</v>
      </c>
      <c r="DQ7" s="120">
        <v>125.347009029187</v>
      </c>
      <c r="DR7" s="120">
        <v>150001.840277854</v>
      </c>
      <c r="DS7" s="120">
        <v>-1428.23702988474</v>
      </c>
      <c r="DT7" s="120">
        <v>-2641.18824455206</v>
      </c>
      <c r="DU7" s="120">
        <v>-363.978462459829</v>
      </c>
      <c r="DV7" s="120">
        <v>145568.436540958</v>
      </c>
      <c r="DW7" s="120">
        <v>-716.841000318559</v>
      </c>
      <c r="DX7" s="120">
        <v>290.85979932947</v>
      </c>
      <c r="DY7" s="120">
        <v>-333.871396404585</v>
      </c>
      <c r="DZ7" s="120">
        <v>144808.583943564</v>
      </c>
      <c r="EA7" s="120">
        <v>274.625836785042</v>
      </c>
      <c r="EB7" s="120">
        <v>-362.32613357181</v>
      </c>
      <c r="EC7" s="120">
        <v>836.132257876626</v>
      </c>
      <c r="ED7" s="120">
        <v>145557.015904654</v>
      </c>
      <c r="EE7" s="120">
        <v>967.490073505585</v>
      </c>
      <c r="EF7" s="120">
        <v>-658.383515452409</v>
      </c>
      <c r="EG7" s="120">
        <v>-264.154475857819</v>
      </c>
      <c r="EH7" s="120">
        <v>145601.967986849</v>
      </c>
      <c r="EI7" s="120">
        <v>365.293640452891</v>
      </c>
      <c r="EJ7" s="120">
        <v>-434.591674766217</v>
      </c>
      <c r="EK7" s="120">
        <v>51.3667258641411</v>
      </c>
      <c r="EL7" s="120">
        <v>145584.0366784</v>
      </c>
      <c r="EM7" s="120">
        <v>-1910.08661347578</v>
      </c>
      <c r="EN7" s="120">
        <v>894.665012379645</v>
      </c>
      <c r="EO7" s="120">
        <v>-246.205167954748</v>
      </c>
      <c r="EP7" s="120">
        <v>144322.409909349</v>
      </c>
      <c r="EQ7" s="120">
        <v>634.757254528659</v>
      </c>
      <c r="ER7" s="120">
        <v>-189.197922215804</v>
      </c>
      <c r="ES7" s="120">
        <v>52.6571482424301</v>
      </c>
      <c r="ET7" s="120">
        <v>144820.626389905</v>
      </c>
      <c r="EU7" s="120">
        <v>1267.36482614805</v>
      </c>
      <c r="EV7" s="120">
        <v>138.083276200335</v>
      </c>
      <c r="EW7" s="120">
        <v>-6.69735934369923</v>
      </c>
      <c r="EX7" s="120">
        <v>146219.377132909</v>
      </c>
      <c r="EY7" s="120">
        <v>-826.884051916721</v>
      </c>
      <c r="EZ7" s="120">
        <v>-11.1082246752601</v>
      </c>
      <c r="FA7" s="120">
        <v>-283.349451903235</v>
      </c>
      <c r="FB7" s="120">
        <v>145098.035404414</v>
      </c>
      <c r="FC7" s="120">
        <v>2013.81571803358</v>
      </c>
      <c r="FD7" s="120">
        <v>-2149.76162080358</v>
      </c>
      <c r="FE7" s="120">
        <v>246.670773358491</v>
      </c>
      <c r="FF7" s="120">
        <v>145208.760275003</v>
      </c>
      <c r="FG7" s="120">
        <v>1494.43090905669</v>
      </c>
      <c r="FH7" s="120">
        <v>1780.93567874388</v>
      </c>
      <c r="FI7" s="120">
        <v>-64.0328305882448</v>
      </c>
      <c r="FJ7" s="120">
        <v>148420.094032215</v>
      </c>
      <c r="FK7" s="120">
        <v>-316.003526925841</v>
      </c>
      <c r="FL7" s="120">
        <v>2168.17840550079</v>
      </c>
      <c r="FM7" s="120">
        <v>-144.153501220661</v>
      </c>
      <c r="FN7" s="120">
        <v>150128.115409569</v>
      </c>
      <c r="FO7" s="120">
        <v>1823.72445159505</v>
      </c>
      <c r="FP7" s="120">
        <v>-255.748895870983</v>
      </c>
      <c r="FQ7" s="120">
        <v>-1065.71648335987</v>
      </c>
      <c r="FR7" s="120">
        <v>150630.374481933</v>
      </c>
      <c r="FS7" s="120">
        <v>7315.3498683846</v>
      </c>
      <c r="FT7" s="120">
        <v>2126.00189368517</v>
      </c>
      <c r="FU7" s="120">
        <v>81.542109918711</v>
      </c>
      <c r="FV7" s="120">
        <v>160153.268353922</v>
      </c>
      <c r="FW7" s="120">
        <v>-984.987350809049</v>
      </c>
      <c r="FX7" s="120">
        <v>237.127833006251</v>
      </c>
      <c r="FY7" s="120">
        <v>-203.383228332415</v>
      </c>
      <c r="FZ7" s="121">
        <v>159202.025607787</v>
      </c>
    </row>
    <row r="8" spans="1:182">
      <c r="A8" s="122" t="s">
        <v>168</v>
      </c>
      <c r="B8" s="123">
        <v>7334.97967981397</v>
      </c>
      <c r="C8" s="124">
        <v>-178.500926386562</v>
      </c>
      <c r="D8" s="124">
        <v>-71.8649945309198</v>
      </c>
      <c r="E8" s="124">
        <v>22.60471052</v>
      </c>
      <c r="F8" s="125">
        <v>7105.98846941649</v>
      </c>
      <c r="G8" s="124">
        <v>-107.066673489978</v>
      </c>
      <c r="H8" s="124">
        <v>5.77779045811294</v>
      </c>
      <c r="I8" s="124">
        <v>0.996064943333346</v>
      </c>
      <c r="J8" s="125">
        <v>7005.69565132796</v>
      </c>
      <c r="K8" s="124">
        <v>3561.68123794333</v>
      </c>
      <c r="L8" s="124">
        <v>-242.192825672391</v>
      </c>
      <c r="M8" s="124">
        <v>-5.45457157666667</v>
      </c>
      <c r="N8" s="125">
        <v>10319.7294920222</v>
      </c>
      <c r="O8" s="124">
        <v>896.949155044227</v>
      </c>
      <c r="P8" s="124">
        <v>93.9795882048229</v>
      </c>
      <c r="Q8" s="124">
        <v>2.53499214333333</v>
      </c>
      <c r="R8" s="125">
        <v>11313.1932274146</v>
      </c>
      <c r="S8" s="124">
        <v>-294.454252800796</v>
      </c>
      <c r="T8" s="124">
        <v>319.318961904587</v>
      </c>
      <c r="U8" s="124">
        <v>-0.990519039999999</v>
      </c>
      <c r="V8" s="125">
        <v>11337.0674174784</v>
      </c>
      <c r="W8" s="124">
        <v>942.931808840754</v>
      </c>
      <c r="X8" s="124">
        <v>419.08073262169</v>
      </c>
      <c r="Y8" s="124">
        <v>-2.26163510999999</v>
      </c>
      <c r="Z8" s="125">
        <v>12696.8183238309</v>
      </c>
      <c r="AA8" s="124">
        <v>-345.831948582934</v>
      </c>
      <c r="AB8" s="124">
        <v>346.164722267019</v>
      </c>
      <c r="AC8" s="124">
        <v>1.81320641</v>
      </c>
      <c r="AD8" s="125">
        <v>12698.9643039249</v>
      </c>
      <c r="AE8" s="124">
        <v>-229.48442252256</v>
      </c>
      <c r="AF8" s="124">
        <v>-376.331092137378</v>
      </c>
      <c r="AG8" s="124">
        <v>-1.07423045</v>
      </c>
      <c r="AH8" s="125">
        <v>12092.074558815</v>
      </c>
      <c r="AI8" s="124">
        <v>-43.0004001750599</v>
      </c>
      <c r="AJ8" s="124">
        <v>121.623945852059</v>
      </c>
      <c r="AK8" s="124">
        <v>-0.505741799999999</v>
      </c>
      <c r="AL8" s="125">
        <v>12170.192362692</v>
      </c>
      <c r="AM8" s="124">
        <v>-52.9029194542311</v>
      </c>
      <c r="AN8" s="124">
        <v>29.0035693151106</v>
      </c>
      <c r="AO8" s="124">
        <v>-1.10869483</v>
      </c>
      <c r="AP8" s="125">
        <v>12145.1843177229</v>
      </c>
      <c r="AQ8" s="124">
        <v>37.4346279751611</v>
      </c>
      <c r="AR8" s="124">
        <v>129.021039503788</v>
      </c>
      <c r="AS8" s="124">
        <v>1.66068053</v>
      </c>
      <c r="AT8" s="125">
        <v>12313.3006657318</v>
      </c>
      <c r="AU8" s="124">
        <v>-363.952101932024</v>
      </c>
      <c r="AV8" s="124">
        <v>120.734987701523</v>
      </c>
      <c r="AW8" s="124">
        <v>-2.60802091</v>
      </c>
      <c r="AX8" s="125">
        <v>12067.4755305913</v>
      </c>
      <c r="AY8" s="124">
        <v>-749.406266775268</v>
      </c>
      <c r="AZ8" s="124">
        <v>-182.396728155223</v>
      </c>
      <c r="BA8" s="124">
        <v>2.21744497</v>
      </c>
      <c r="BB8" s="125">
        <v>11137.8899806308</v>
      </c>
      <c r="BC8" s="124">
        <v>-335.389934183396</v>
      </c>
      <c r="BD8" s="124">
        <v>-109.439539943689</v>
      </c>
      <c r="BE8" s="124">
        <v>-2.6609688</v>
      </c>
      <c r="BF8" s="125">
        <v>10690.3995377037</v>
      </c>
      <c r="BG8" s="124">
        <v>-151.214353024748</v>
      </c>
      <c r="BH8" s="124">
        <v>110.630532802133</v>
      </c>
      <c r="BI8" s="124">
        <v>1.65623702</v>
      </c>
      <c r="BJ8" s="125">
        <v>10651.4719545011</v>
      </c>
      <c r="BK8" s="124">
        <v>967.411704463285</v>
      </c>
      <c r="BL8" s="124">
        <v>-62.4989770824759</v>
      </c>
      <c r="BM8" s="124">
        <v>-1.59630617000002</v>
      </c>
      <c r="BN8" s="125">
        <v>11554.7883757119</v>
      </c>
      <c r="BO8" s="124">
        <v>-246.140927548921</v>
      </c>
      <c r="BP8" s="124">
        <v>181.187487109604</v>
      </c>
      <c r="BQ8" s="124">
        <v>-1.05130466999999</v>
      </c>
      <c r="BR8" s="125">
        <v>11488.7836306026</v>
      </c>
      <c r="BS8" s="124">
        <v>66.3121357880291</v>
      </c>
      <c r="BT8" s="124">
        <v>333.835429330949</v>
      </c>
      <c r="BU8" s="124">
        <v>-0.212243430000001</v>
      </c>
      <c r="BV8" s="125">
        <v>11888.7189522916</v>
      </c>
      <c r="BW8" s="124">
        <v>809.047360946449</v>
      </c>
      <c r="BX8" s="124">
        <v>94.6201700906609</v>
      </c>
      <c r="BY8" s="124">
        <v>1.22630166</v>
      </c>
      <c r="BZ8" s="125">
        <v>12793.6127849887</v>
      </c>
      <c r="CA8" s="124">
        <v>-201.718868927571</v>
      </c>
      <c r="CB8" s="124">
        <v>-175.408120376103</v>
      </c>
      <c r="CC8" s="124">
        <v>1.11462512618999</v>
      </c>
      <c r="CD8" s="125">
        <v>12417.6004208112</v>
      </c>
      <c r="CE8" s="124">
        <v>-615.230714437197</v>
      </c>
      <c r="CF8" s="124">
        <v>-374.265692008283</v>
      </c>
      <c r="CG8" s="124">
        <v>0.258102669999899</v>
      </c>
      <c r="CH8" s="125">
        <v>11428.3621170358</v>
      </c>
      <c r="CI8" s="124">
        <v>-52.9649411970757</v>
      </c>
      <c r="CJ8" s="124">
        <v>458.074931394752</v>
      </c>
      <c r="CK8" s="124">
        <v>1.04792422792539</v>
      </c>
      <c r="CL8" s="125">
        <v>11834.5200314614</v>
      </c>
      <c r="CM8" s="124">
        <v>244.556102741992</v>
      </c>
      <c r="CN8" s="124">
        <v>215.953568911435</v>
      </c>
      <c r="CO8" s="124">
        <v>0.0330053099999984</v>
      </c>
      <c r="CP8" s="125">
        <v>12295.0627084248</v>
      </c>
      <c r="CQ8" s="124">
        <v>1172.78490043145</v>
      </c>
      <c r="CR8" s="124">
        <v>415.376495929647</v>
      </c>
      <c r="CS8" s="124">
        <v>1.81701920966199</v>
      </c>
      <c r="CT8" s="125">
        <v>13885.0411239955</v>
      </c>
      <c r="CU8" s="126">
        <v>1129.80486418885</v>
      </c>
      <c r="CV8" s="126">
        <v>-539.483758176967</v>
      </c>
      <c r="CW8" s="126">
        <v>-3.78079153648433</v>
      </c>
      <c r="CX8" s="127">
        <v>14471.5814384709</v>
      </c>
      <c r="CY8" s="126">
        <v>1041.85728038562</v>
      </c>
      <c r="CZ8" s="126">
        <v>162.683497865287</v>
      </c>
      <c r="DA8" s="126">
        <v>5.96425505999996</v>
      </c>
      <c r="DB8" s="127">
        <v>15682.0864717818</v>
      </c>
      <c r="DC8" s="126">
        <v>357.97454358158</v>
      </c>
      <c r="DD8" s="126">
        <v>-97.5094663053032</v>
      </c>
      <c r="DE8" s="126">
        <v>-5.88999208212422</v>
      </c>
      <c r="DF8" s="127">
        <v>15936.661556976</v>
      </c>
      <c r="DG8" s="126">
        <v>164.747554400476</v>
      </c>
      <c r="DH8" s="126">
        <v>-221.99239219415</v>
      </c>
      <c r="DI8" s="126">
        <v>-20.0924807580522</v>
      </c>
      <c r="DJ8" s="127">
        <v>15859.3242384243</v>
      </c>
      <c r="DK8" s="126">
        <v>-316.749492594316</v>
      </c>
      <c r="DL8" s="126">
        <v>-1389.50836273688</v>
      </c>
      <c r="DM8" s="126">
        <v>0.177693879315366</v>
      </c>
      <c r="DN8" s="127">
        <v>14153.2440769724</v>
      </c>
      <c r="DO8" s="126">
        <v>-262.217226225432</v>
      </c>
      <c r="DP8" s="126">
        <v>392.849050219297</v>
      </c>
      <c r="DQ8" s="126">
        <v>-0.562412901693043</v>
      </c>
      <c r="DR8" s="127">
        <v>14283.3134880646</v>
      </c>
      <c r="DS8" s="126">
        <v>-512.174707339887</v>
      </c>
      <c r="DT8" s="126">
        <v>-850.092052210879</v>
      </c>
      <c r="DU8" s="126">
        <v>18.04848996</v>
      </c>
      <c r="DV8" s="127">
        <v>12939.0952184738</v>
      </c>
      <c r="DW8" s="126">
        <v>325.772325339875</v>
      </c>
      <c r="DX8" s="126">
        <v>122.718935845802</v>
      </c>
      <c r="DY8" s="126">
        <v>2.40518979039517</v>
      </c>
      <c r="DZ8" s="127">
        <v>13389.9916694499</v>
      </c>
      <c r="EA8" s="126">
        <v>-237.941320883098</v>
      </c>
      <c r="EB8" s="126">
        <v>-290.104730828822</v>
      </c>
      <c r="EC8" s="126">
        <v>-4.79666857</v>
      </c>
      <c r="ED8" s="127">
        <v>12857.1489491679</v>
      </c>
      <c r="EE8" s="126">
        <v>-126.623531613241</v>
      </c>
      <c r="EF8" s="126">
        <v>-37.2538372886902</v>
      </c>
      <c r="EG8" s="126">
        <v>-7.09009067313453</v>
      </c>
      <c r="EH8" s="127">
        <v>12686.1814895929</v>
      </c>
      <c r="EI8" s="126">
        <v>-560.774922274564</v>
      </c>
      <c r="EJ8" s="126">
        <v>498.771334662316</v>
      </c>
      <c r="EK8" s="126">
        <v>-13.8868147782796</v>
      </c>
      <c r="EL8" s="127">
        <v>12610.2910872024</v>
      </c>
      <c r="EM8" s="126">
        <v>-652.77940625424</v>
      </c>
      <c r="EN8" s="126">
        <v>-128.620457529073</v>
      </c>
      <c r="EO8" s="126">
        <v>-19.4780087434997</v>
      </c>
      <c r="EP8" s="127">
        <v>11809.4132146755</v>
      </c>
      <c r="EQ8" s="126">
        <v>-524.73206915217</v>
      </c>
      <c r="ER8" s="126">
        <v>-69.8390327229714</v>
      </c>
      <c r="ES8" s="126">
        <v>12.2161865306926</v>
      </c>
      <c r="ET8" s="127">
        <v>11227.0582993311</v>
      </c>
      <c r="EU8" s="126">
        <v>-415.636975484766</v>
      </c>
      <c r="EV8" s="126">
        <v>51.2484094210657</v>
      </c>
      <c r="EW8" s="126">
        <v>20.6012354160162</v>
      </c>
      <c r="EX8" s="127">
        <v>10883.2709686834</v>
      </c>
      <c r="EY8" s="126">
        <v>340.116505555342</v>
      </c>
      <c r="EZ8" s="126">
        <v>344.867851090828</v>
      </c>
      <c r="FA8" s="126">
        <v>92.1228211720952</v>
      </c>
      <c r="FB8" s="127">
        <v>11660.3781465017</v>
      </c>
      <c r="FC8" s="126">
        <v>1510.63473491074</v>
      </c>
      <c r="FD8" s="126">
        <v>-421.764689951409</v>
      </c>
      <c r="FE8" s="126">
        <v>24.2492387434234</v>
      </c>
      <c r="FF8" s="127">
        <v>12773.4974302044</v>
      </c>
      <c r="FG8" s="126">
        <v>-657.94897496046</v>
      </c>
      <c r="FH8" s="126">
        <v>402.880932141249</v>
      </c>
      <c r="FI8" s="126">
        <v>8.23568836739293</v>
      </c>
      <c r="FJ8" s="127">
        <v>12526.6650757526</v>
      </c>
      <c r="FK8" s="126">
        <v>-499.812894672042</v>
      </c>
      <c r="FL8" s="126">
        <v>468.319056834911</v>
      </c>
      <c r="FM8" s="126">
        <v>-19.5353674563872</v>
      </c>
      <c r="FN8" s="127">
        <v>12475.6358704591</v>
      </c>
      <c r="FO8" s="126">
        <v>1954.55292435181</v>
      </c>
      <c r="FP8" s="126">
        <v>-125.423970254375</v>
      </c>
      <c r="FQ8" s="126">
        <v>-269.121314651566</v>
      </c>
      <c r="FR8" s="127">
        <v>14035.643509905</v>
      </c>
      <c r="FS8" s="126">
        <v>1392.47112340587</v>
      </c>
      <c r="FT8" s="126">
        <v>839.489786924366</v>
      </c>
      <c r="FU8" s="126">
        <v>-268.079661469323</v>
      </c>
      <c r="FV8" s="127">
        <v>15999.5247587659</v>
      </c>
      <c r="FW8" s="126">
        <v>-140.117351823784</v>
      </c>
      <c r="FX8" s="126">
        <v>664.328799951967</v>
      </c>
      <c r="FY8" s="126">
        <v>17.7525152301626</v>
      </c>
      <c r="FZ8" s="128">
        <v>16541.4887221242</v>
      </c>
    </row>
    <row r="9" spans="1:182">
      <c r="A9" s="91" t="s">
        <v>164</v>
      </c>
      <c r="B9" s="129">
        <v>1.23</v>
      </c>
      <c r="C9" s="130">
        <v>3.91190004</v>
      </c>
      <c r="D9" s="130">
        <v>-0.002</v>
      </c>
      <c r="E9" s="130">
        <v>20.47571052</v>
      </c>
      <c r="F9" s="130">
        <v>25.61561056</v>
      </c>
      <c r="G9" s="130">
        <v>-1.34509904333335</v>
      </c>
      <c r="H9" s="130">
        <v>0</v>
      </c>
      <c r="I9" s="130">
        <v>0.937064943333342</v>
      </c>
      <c r="J9" s="130">
        <v>25.20757646</v>
      </c>
      <c r="K9" s="130">
        <v>-3.74003639333333</v>
      </c>
      <c r="L9" s="130">
        <v>-0.0001</v>
      </c>
      <c r="M9" s="130">
        <v>-5.37057157666668</v>
      </c>
      <c r="N9" s="130">
        <v>16.09686849</v>
      </c>
      <c r="O9" s="130">
        <v>3.01870290666666</v>
      </c>
      <c r="P9" s="130">
        <v>0.001</v>
      </c>
      <c r="Q9" s="130">
        <v>2.53525214333333</v>
      </c>
      <c r="R9" s="130">
        <v>21.65182354</v>
      </c>
      <c r="S9" s="130">
        <v>0.98092297</v>
      </c>
      <c r="T9" s="130">
        <v>-0.01</v>
      </c>
      <c r="U9" s="130">
        <v>-0.990519039999999</v>
      </c>
      <c r="V9" s="130">
        <v>21.63222747</v>
      </c>
      <c r="W9" s="130">
        <v>-3.49294717</v>
      </c>
      <c r="X9" s="130">
        <v>0</v>
      </c>
      <c r="Y9" s="130">
        <v>-2.26163510999999</v>
      </c>
      <c r="Z9" s="130">
        <v>15.87764519</v>
      </c>
      <c r="AA9" s="130">
        <v>-1.8098789</v>
      </c>
      <c r="AB9" s="130">
        <v>0</v>
      </c>
      <c r="AC9" s="130">
        <v>1.81320641</v>
      </c>
      <c r="AD9" s="130">
        <v>15.8809727</v>
      </c>
      <c r="AE9" s="130">
        <v>-1.1951527</v>
      </c>
      <c r="AF9" s="130">
        <v>0</v>
      </c>
      <c r="AG9" s="130">
        <v>-1.07423045</v>
      </c>
      <c r="AH9" s="130">
        <v>13.61158955</v>
      </c>
      <c r="AI9" s="130">
        <v>-2.2487911</v>
      </c>
      <c r="AJ9" s="130">
        <v>0.739</v>
      </c>
      <c r="AK9" s="130">
        <v>-0.503741799999999</v>
      </c>
      <c r="AL9" s="130">
        <v>11.59805665</v>
      </c>
      <c r="AM9" s="130">
        <v>3.54074688</v>
      </c>
      <c r="AN9" s="130">
        <v>0</v>
      </c>
      <c r="AO9" s="130">
        <v>-1.10869483</v>
      </c>
      <c r="AP9" s="130">
        <v>14.0301087</v>
      </c>
      <c r="AQ9" s="130">
        <v>1.22501894</v>
      </c>
      <c r="AR9" s="130">
        <v>0</v>
      </c>
      <c r="AS9" s="130">
        <v>1.66068053</v>
      </c>
      <c r="AT9" s="130">
        <v>16.91580817</v>
      </c>
      <c r="AU9" s="130">
        <v>5.2456123</v>
      </c>
      <c r="AV9" s="130">
        <v>0</v>
      </c>
      <c r="AW9" s="130">
        <v>-2.85184491</v>
      </c>
      <c r="AX9" s="130">
        <v>19.30957556</v>
      </c>
      <c r="AY9" s="130">
        <v>-2.73487084</v>
      </c>
      <c r="AZ9" s="130">
        <v>0</v>
      </c>
      <c r="BA9" s="130">
        <v>1.01275697</v>
      </c>
      <c r="BB9" s="130">
        <v>17.58746169</v>
      </c>
      <c r="BC9" s="130">
        <v>5.32300932</v>
      </c>
      <c r="BD9" s="130">
        <v>0</v>
      </c>
      <c r="BE9" s="130">
        <v>-1.3619998</v>
      </c>
      <c r="BF9" s="130">
        <v>21.54847121</v>
      </c>
      <c r="BG9" s="130">
        <v>2.7837463</v>
      </c>
      <c r="BH9" s="130">
        <v>0</v>
      </c>
      <c r="BI9" s="130">
        <v>-1.27377198</v>
      </c>
      <c r="BJ9" s="130">
        <v>23.05844553</v>
      </c>
      <c r="BK9" s="130">
        <v>-0.972005840000001</v>
      </c>
      <c r="BL9" s="130">
        <v>0</v>
      </c>
      <c r="BM9" s="130">
        <v>-4.17782717</v>
      </c>
      <c r="BN9" s="130">
        <v>17.90861252</v>
      </c>
      <c r="BO9" s="130">
        <v>0.85050867</v>
      </c>
      <c r="BP9" s="130">
        <v>0</v>
      </c>
      <c r="BQ9" s="130">
        <v>-0.985324669999999</v>
      </c>
      <c r="BR9" s="130">
        <v>17.77379652</v>
      </c>
      <c r="BS9" s="130">
        <v>-0.219858342</v>
      </c>
      <c r="BT9" s="130">
        <v>0</v>
      </c>
      <c r="BU9" s="130">
        <v>-0.112356429999998</v>
      </c>
      <c r="BV9" s="130">
        <v>17.441581748</v>
      </c>
      <c r="BW9" s="130">
        <v>-1.9905395</v>
      </c>
      <c r="BX9" s="130">
        <v>0</v>
      </c>
      <c r="BY9" s="130">
        <v>0.155080659999997</v>
      </c>
      <c r="BZ9" s="130">
        <v>15.606122908</v>
      </c>
      <c r="CA9" s="130">
        <v>-1.69522691740733</v>
      </c>
      <c r="CB9" s="130">
        <v>0</v>
      </c>
      <c r="CC9" s="130">
        <v>1.01829212618999</v>
      </c>
      <c r="CD9" s="130">
        <v>14.9291881167827</v>
      </c>
      <c r="CE9" s="130">
        <v>2.18443194</v>
      </c>
      <c r="CF9" s="130">
        <v>0</v>
      </c>
      <c r="CG9" s="130">
        <v>-0.19565133</v>
      </c>
      <c r="CH9" s="130">
        <v>16.9179687267827</v>
      </c>
      <c r="CI9" s="130">
        <v>1.50791413</v>
      </c>
      <c r="CJ9" s="130">
        <v>0</v>
      </c>
      <c r="CK9" s="130">
        <v>0.462712227925329</v>
      </c>
      <c r="CL9" s="130">
        <v>18.888595084708</v>
      </c>
      <c r="CM9" s="130">
        <v>3.16578589</v>
      </c>
      <c r="CN9" s="130">
        <v>0</v>
      </c>
      <c r="CO9" s="130">
        <v>-0.014954689999999</v>
      </c>
      <c r="CP9" s="130">
        <v>22.039426284708</v>
      </c>
      <c r="CQ9" s="130">
        <v>1.564666988</v>
      </c>
      <c r="CR9" s="130">
        <v>0</v>
      </c>
      <c r="CS9" s="130">
        <v>1.00934417729199</v>
      </c>
      <c r="CT9" s="130">
        <v>24.61343745</v>
      </c>
      <c r="CU9" s="131">
        <v>6.30353284</v>
      </c>
      <c r="CV9" s="131">
        <v>0</v>
      </c>
      <c r="CW9" s="131">
        <v>-1.46138899287575</v>
      </c>
      <c r="CX9" s="131">
        <v>29.4555812971242</v>
      </c>
      <c r="CY9" s="131">
        <v>-3.17163847</v>
      </c>
      <c r="CZ9" s="131">
        <v>0</v>
      </c>
      <c r="DA9" s="131">
        <v>5.96222305999998</v>
      </c>
      <c r="DB9" s="131">
        <v>32.2461658871242</v>
      </c>
      <c r="DC9" s="131">
        <v>2.606792775</v>
      </c>
      <c r="DD9" s="131">
        <v>0</v>
      </c>
      <c r="DE9" s="131">
        <v>-5.85822508212421</v>
      </c>
      <c r="DF9" s="131">
        <v>28.99473358</v>
      </c>
      <c r="DG9" s="131">
        <v>-0.844870376851269</v>
      </c>
      <c r="DH9" s="131">
        <v>0</v>
      </c>
      <c r="DI9" s="131">
        <v>-3.84845423969498</v>
      </c>
      <c r="DJ9" s="131">
        <v>24.3014089634537</v>
      </c>
      <c r="DK9" s="131">
        <v>5.93257206</v>
      </c>
      <c r="DL9" s="131">
        <v>0</v>
      </c>
      <c r="DM9" s="131">
        <v>0.177803809999998</v>
      </c>
      <c r="DN9" s="131">
        <v>30.4117848334537</v>
      </c>
      <c r="DO9" s="131">
        <v>4.92298256</v>
      </c>
      <c r="DP9" s="131">
        <v>0</v>
      </c>
      <c r="DQ9" s="131">
        <v>0.32437595000001</v>
      </c>
      <c r="DR9" s="131">
        <v>35.6591433434538</v>
      </c>
      <c r="DS9" s="131">
        <v>-4.72292626884895</v>
      </c>
      <c r="DT9" s="131">
        <v>-0.00121</v>
      </c>
      <c r="DU9" s="131">
        <v>4.15408495999999</v>
      </c>
      <c r="DV9" s="131">
        <v>35.0890920346048</v>
      </c>
      <c r="DW9" s="131">
        <v>17.871015545</v>
      </c>
      <c r="DX9" s="131">
        <v>0</v>
      </c>
      <c r="DY9" s="131">
        <v>2.40518979039517</v>
      </c>
      <c r="DZ9" s="131">
        <v>55.36529737</v>
      </c>
      <c r="EA9" s="131">
        <v>9.03168941</v>
      </c>
      <c r="EB9" s="131">
        <v>0</v>
      </c>
      <c r="EC9" s="131">
        <v>-4.81699257</v>
      </c>
      <c r="ED9" s="131">
        <v>59.57999421</v>
      </c>
      <c r="EE9" s="131">
        <v>2.42752388000932</v>
      </c>
      <c r="EF9" s="131">
        <v>0</v>
      </c>
      <c r="EG9" s="131">
        <v>-7.64301471997338</v>
      </c>
      <c r="EH9" s="131">
        <v>54.3645033700359</v>
      </c>
      <c r="EI9" s="131">
        <v>75.5362533400015</v>
      </c>
      <c r="EJ9" s="131">
        <v>0</v>
      </c>
      <c r="EK9" s="131">
        <v>-15.248609850053</v>
      </c>
      <c r="EL9" s="131">
        <v>114.652146859984</v>
      </c>
      <c r="EM9" s="131">
        <v>8.52663943996049</v>
      </c>
      <c r="EN9" s="131">
        <v>0</v>
      </c>
      <c r="EO9" s="131">
        <v>-7.4060707700125</v>
      </c>
      <c r="EP9" s="131">
        <v>115.772715529932</v>
      </c>
      <c r="EQ9" s="131">
        <v>7.8716557300397</v>
      </c>
      <c r="ER9" s="131">
        <v>0</v>
      </c>
      <c r="ES9" s="131">
        <v>-1.96478623989496</v>
      </c>
      <c r="ET9" s="131">
        <v>121.679585020077</v>
      </c>
      <c r="EU9" s="131">
        <v>6.83144633008539</v>
      </c>
      <c r="EV9" s="131">
        <v>0</v>
      </c>
      <c r="EW9" s="131">
        <v>-8.02078633005316</v>
      </c>
      <c r="EX9" s="131">
        <v>120.490245020109</v>
      </c>
      <c r="EY9" s="131">
        <v>56.3180609895661</v>
      </c>
      <c r="EZ9" s="131">
        <v>0</v>
      </c>
      <c r="FA9" s="131">
        <v>68.4840980115531</v>
      </c>
      <c r="FB9" s="131">
        <v>245.292404021229</v>
      </c>
      <c r="FC9" s="131">
        <v>1.93594483472639</v>
      </c>
      <c r="FD9" s="131">
        <v>0</v>
      </c>
      <c r="FE9" s="131">
        <v>-63.5927673003111</v>
      </c>
      <c r="FF9" s="131">
        <v>183.635581555644</v>
      </c>
      <c r="FG9" s="131">
        <v>7.54945381468053</v>
      </c>
      <c r="FH9" s="131">
        <v>0</v>
      </c>
      <c r="FI9" s="131">
        <v>-5.55832010629129</v>
      </c>
      <c r="FJ9" s="131">
        <v>185.626715264033</v>
      </c>
      <c r="FK9" s="131">
        <v>-11.6366150488522</v>
      </c>
      <c r="FL9" s="131">
        <v>0</v>
      </c>
      <c r="FM9" s="131">
        <v>-16.4225488395902</v>
      </c>
      <c r="FN9" s="131">
        <v>157.567551375591</v>
      </c>
      <c r="FO9" s="131">
        <v>-29.3560046501218</v>
      </c>
      <c r="FP9" s="131">
        <v>0</v>
      </c>
      <c r="FQ9" s="131">
        <v>17.6690691100169</v>
      </c>
      <c r="FR9" s="131">
        <v>145.880615835486</v>
      </c>
      <c r="FS9" s="131">
        <v>3.03534928141397</v>
      </c>
      <c r="FT9" s="131">
        <v>0</v>
      </c>
      <c r="FU9" s="131">
        <v>-30.3101298669765</v>
      </c>
      <c r="FV9" s="131">
        <v>118.605835249923</v>
      </c>
      <c r="FW9" s="131">
        <v>8.43533373006955</v>
      </c>
      <c r="FX9" s="131">
        <v>0</v>
      </c>
      <c r="FY9" s="131">
        <v>0.41481089999523</v>
      </c>
      <c r="FZ9" s="132">
        <v>127.455979879988</v>
      </c>
    </row>
    <row r="10" spans="1:182">
      <c r="A10" s="91" t="s">
        <v>166</v>
      </c>
      <c r="B10" s="129">
        <v>7332.51967981397</v>
      </c>
      <c r="C10" s="130">
        <v>-182.412826426562</v>
      </c>
      <c r="D10" s="130">
        <v>-71.8629945309198</v>
      </c>
      <c r="E10" s="130">
        <v>2.129</v>
      </c>
      <c r="F10" s="130">
        <v>7080.37285885649</v>
      </c>
      <c r="G10" s="130">
        <v>-105.721574446645</v>
      </c>
      <c r="H10" s="130">
        <v>5.77779045811294</v>
      </c>
      <c r="I10" s="130">
        <v>0.0590000000000046</v>
      </c>
      <c r="J10" s="130">
        <v>6980.48807486796</v>
      </c>
      <c r="K10" s="130">
        <v>3565.42127433667</v>
      </c>
      <c r="L10" s="130">
        <v>-242.192725672391</v>
      </c>
      <c r="M10" s="130">
        <v>-0.0839999999999937</v>
      </c>
      <c r="N10" s="130">
        <v>10303.6326235322</v>
      </c>
      <c r="O10" s="130">
        <v>893.93045213756</v>
      </c>
      <c r="P10" s="130">
        <v>93.9785882048229</v>
      </c>
      <c r="Q10" s="130">
        <v>-0.000259999999997262</v>
      </c>
      <c r="R10" s="130">
        <v>11291.5414038746</v>
      </c>
      <c r="S10" s="130">
        <v>-295.435175770796</v>
      </c>
      <c r="T10" s="130">
        <v>319.328961904587</v>
      </c>
      <c r="U10" s="130">
        <v>0</v>
      </c>
      <c r="V10" s="130">
        <v>11315.4351900084</v>
      </c>
      <c r="W10" s="130">
        <v>946.424756010754</v>
      </c>
      <c r="X10" s="130">
        <v>419.08073262169</v>
      </c>
      <c r="Y10" s="130">
        <v>0</v>
      </c>
      <c r="Z10" s="130">
        <v>12680.9406786409</v>
      </c>
      <c r="AA10" s="130">
        <v>-344.022069682934</v>
      </c>
      <c r="AB10" s="130">
        <v>346.164722267019</v>
      </c>
      <c r="AC10" s="130">
        <v>0</v>
      </c>
      <c r="AD10" s="130">
        <v>12683.0833312249</v>
      </c>
      <c r="AE10" s="130">
        <v>-228.28926982256</v>
      </c>
      <c r="AF10" s="130">
        <v>-376.331092137378</v>
      </c>
      <c r="AG10" s="130">
        <v>0</v>
      </c>
      <c r="AH10" s="130">
        <v>12078.462969265</v>
      </c>
      <c r="AI10" s="130">
        <v>-40.7516090750598</v>
      </c>
      <c r="AJ10" s="130">
        <v>120.884945852059</v>
      </c>
      <c r="AK10" s="130">
        <v>-0.002</v>
      </c>
      <c r="AL10" s="130">
        <v>12158.594306042</v>
      </c>
      <c r="AM10" s="130">
        <v>-56.4436663342311</v>
      </c>
      <c r="AN10" s="130">
        <v>29.0035693151106</v>
      </c>
      <c r="AO10" s="130">
        <v>0</v>
      </c>
      <c r="AP10" s="130">
        <v>12131.1542090229</v>
      </c>
      <c r="AQ10" s="130">
        <v>36.2096090351611</v>
      </c>
      <c r="AR10" s="130">
        <v>129.021039503788</v>
      </c>
      <c r="AS10" s="130">
        <v>0</v>
      </c>
      <c r="AT10" s="130">
        <v>12296.3848575618</v>
      </c>
      <c r="AU10" s="130">
        <v>-369.197714232024</v>
      </c>
      <c r="AV10" s="130">
        <v>120.734987701523</v>
      </c>
      <c r="AW10" s="130">
        <v>0.243823999999999</v>
      </c>
      <c r="AX10" s="130">
        <v>12048.1659550313</v>
      </c>
      <c r="AY10" s="130">
        <v>-746.671395935268</v>
      </c>
      <c r="AZ10" s="130">
        <v>-182.396728155223</v>
      </c>
      <c r="BA10" s="130">
        <v>1.204688</v>
      </c>
      <c r="BB10" s="130">
        <v>11120.3025189408</v>
      </c>
      <c r="BC10" s="130">
        <v>-340.712943503396</v>
      </c>
      <c r="BD10" s="130">
        <v>-109.439539943689</v>
      </c>
      <c r="BE10" s="130">
        <v>-1.298969</v>
      </c>
      <c r="BF10" s="130">
        <v>10668.8510664937</v>
      </c>
      <c r="BG10" s="130">
        <v>-153.998099324748</v>
      </c>
      <c r="BH10" s="130">
        <v>110.630532802133</v>
      </c>
      <c r="BI10" s="130">
        <v>2.930009</v>
      </c>
      <c r="BJ10" s="130">
        <v>10628.4135089711</v>
      </c>
      <c r="BK10" s="130">
        <v>968.383710303285</v>
      </c>
      <c r="BL10" s="130">
        <v>-62.4989770824759</v>
      </c>
      <c r="BM10" s="130">
        <v>2.58152099999998</v>
      </c>
      <c r="BN10" s="130">
        <v>11536.8797631919</v>
      </c>
      <c r="BO10" s="130">
        <v>-246.991436218921</v>
      </c>
      <c r="BP10" s="130">
        <v>181.187487109604</v>
      </c>
      <c r="BQ10" s="130">
        <v>-0.0659799999999959</v>
      </c>
      <c r="BR10" s="130">
        <v>11471.0098340826</v>
      </c>
      <c r="BS10" s="130">
        <v>66.5319941300291</v>
      </c>
      <c r="BT10" s="130">
        <v>333.835429330949</v>
      </c>
      <c r="BU10" s="130">
        <v>-0.0998870000000024</v>
      </c>
      <c r="BV10" s="130">
        <v>11871.2773705436</v>
      </c>
      <c r="BW10" s="130">
        <v>811.037900446449</v>
      </c>
      <c r="BX10" s="130">
        <v>94.6201700906609</v>
      </c>
      <c r="BY10" s="130">
        <v>1.071221</v>
      </c>
      <c r="BZ10" s="130">
        <v>12778.0066620807</v>
      </c>
      <c r="CA10" s="130">
        <v>-200.023642010164</v>
      </c>
      <c r="CB10" s="130">
        <v>-175.408120376103</v>
      </c>
      <c r="CC10" s="130">
        <v>0.0963329999999987</v>
      </c>
      <c r="CD10" s="130">
        <v>12402.6712326944</v>
      </c>
      <c r="CE10" s="130">
        <v>-617.415146377197</v>
      </c>
      <c r="CF10" s="130">
        <v>-374.265692008283</v>
      </c>
      <c r="CG10" s="130">
        <v>0.453753999999899</v>
      </c>
      <c r="CH10" s="130">
        <v>11411.444148309</v>
      </c>
      <c r="CI10" s="130">
        <v>-54.4728553270757</v>
      </c>
      <c r="CJ10" s="130">
        <v>458.074931394752</v>
      </c>
      <c r="CK10" s="130">
        <v>0.585212000000058</v>
      </c>
      <c r="CL10" s="130">
        <v>11815.6314363766</v>
      </c>
      <c r="CM10" s="130">
        <v>241.390316851992</v>
      </c>
      <c r="CN10" s="130">
        <v>215.953568911435</v>
      </c>
      <c r="CO10" s="130">
        <v>0.0479599999999974</v>
      </c>
      <c r="CP10" s="130">
        <v>12273.0232821401</v>
      </c>
      <c r="CQ10" s="130">
        <v>1171.22023344345</v>
      </c>
      <c r="CR10" s="130">
        <v>415.376495929647</v>
      </c>
      <c r="CS10" s="130">
        <v>0.807675032369996</v>
      </c>
      <c r="CT10" s="130">
        <v>13860.4276865455</v>
      </c>
      <c r="CU10" s="131">
        <v>1123.50133134885</v>
      </c>
      <c r="CV10" s="131">
        <v>-539.483758176967</v>
      </c>
      <c r="CW10" s="131">
        <v>-2.31940254360858</v>
      </c>
      <c r="CX10" s="131">
        <v>14442.1258571738</v>
      </c>
      <c r="CY10" s="131">
        <v>1045.02891885562</v>
      </c>
      <c r="CZ10" s="131">
        <v>162.683497865287</v>
      </c>
      <c r="DA10" s="131">
        <v>0.00203199999997742</v>
      </c>
      <c r="DB10" s="131">
        <v>15649.8403058947</v>
      </c>
      <c r="DC10" s="131">
        <v>355.36775080658</v>
      </c>
      <c r="DD10" s="131">
        <v>-97.5094663053032</v>
      </c>
      <c r="DE10" s="131">
        <v>-0.0317670000000057</v>
      </c>
      <c r="DF10" s="131">
        <v>15907.666823396</v>
      </c>
      <c r="DG10" s="131">
        <v>165.592424777327</v>
      </c>
      <c r="DH10" s="131">
        <v>-221.99239219415</v>
      </c>
      <c r="DI10" s="131">
        <v>-16.2440265183572</v>
      </c>
      <c r="DJ10" s="131">
        <v>15835.0228294608</v>
      </c>
      <c r="DK10" s="131">
        <v>-322.682064654316</v>
      </c>
      <c r="DL10" s="131">
        <v>-1389.50836273688</v>
      </c>
      <c r="DM10" s="131">
        <v>-0.000109930684631747</v>
      </c>
      <c r="DN10" s="131">
        <v>14122.8322921389</v>
      </c>
      <c r="DO10" s="131">
        <v>-267.140208785432</v>
      </c>
      <c r="DP10" s="131">
        <v>392.849050219297</v>
      </c>
      <c r="DQ10" s="131">
        <v>-0.886788851693053</v>
      </c>
      <c r="DR10" s="131">
        <v>14247.6543447211</v>
      </c>
      <c r="DS10" s="131">
        <v>-507.451781071038</v>
      </c>
      <c r="DT10" s="131">
        <v>-850.090842210879</v>
      </c>
      <c r="DU10" s="131">
        <v>13.894405</v>
      </c>
      <c r="DV10" s="131">
        <v>12904.0061264392</v>
      </c>
      <c r="DW10" s="131">
        <v>307.901309794875</v>
      </c>
      <c r="DX10" s="131">
        <v>122.718935845802</v>
      </c>
      <c r="DY10" s="131">
        <v>0</v>
      </c>
      <c r="DZ10" s="131">
        <v>13334.6263720799</v>
      </c>
      <c r="EA10" s="131">
        <v>-246.973010293098</v>
      </c>
      <c r="EB10" s="131">
        <v>-290.104730828822</v>
      </c>
      <c r="EC10" s="131">
        <v>0.0203240000000005</v>
      </c>
      <c r="ED10" s="131">
        <v>12797.5689549579</v>
      </c>
      <c r="EE10" s="131">
        <v>-129.051055493251</v>
      </c>
      <c r="EF10" s="131">
        <v>-37.2538372886902</v>
      </c>
      <c r="EG10" s="131">
        <v>0.552924046838854</v>
      </c>
      <c r="EH10" s="131">
        <v>12631.8169862228</v>
      </c>
      <c r="EI10" s="131">
        <v>-636.311175614566</v>
      </c>
      <c r="EJ10" s="131">
        <v>498.771334662316</v>
      </c>
      <c r="EK10" s="131">
        <v>1.36179507177343</v>
      </c>
      <c r="EL10" s="131">
        <v>12495.6389403424</v>
      </c>
      <c r="EM10" s="131">
        <v>-661.306045694201</v>
      </c>
      <c r="EN10" s="131">
        <v>-128.620457529073</v>
      </c>
      <c r="EO10" s="131">
        <v>-12.0719379734872</v>
      </c>
      <c r="EP10" s="131">
        <v>11693.6404991456</v>
      </c>
      <c r="EQ10" s="131">
        <v>-532.60372488221</v>
      </c>
      <c r="ER10" s="131">
        <v>-69.8390327229714</v>
      </c>
      <c r="ES10" s="131">
        <v>14.1809727705875</v>
      </c>
      <c r="ET10" s="131">
        <v>11105.378714311</v>
      </c>
      <c r="EU10" s="131">
        <v>-422.468421814851</v>
      </c>
      <c r="EV10" s="131">
        <v>51.2484094210657</v>
      </c>
      <c r="EW10" s="131">
        <v>28.6220217460694</v>
      </c>
      <c r="EX10" s="131">
        <v>10762.7807236633</v>
      </c>
      <c r="EY10" s="131">
        <v>283.798444565776</v>
      </c>
      <c r="EZ10" s="131">
        <v>344.867851090828</v>
      </c>
      <c r="FA10" s="131">
        <v>23.6387231605421</v>
      </c>
      <c r="FB10" s="131">
        <v>11415.0857424804</v>
      </c>
      <c r="FC10" s="131">
        <v>1508.69879007601</v>
      </c>
      <c r="FD10" s="131">
        <v>-421.764689951409</v>
      </c>
      <c r="FE10" s="131">
        <v>87.8420060437345</v>
      </c>
      <c r="FF10" s="131">
        <v>12589.8618486488</v>
      </c>
      <c r="FG10" s="131">
        <v>-665.49842877514</v>
      </c>
      <c r="FH10" s="131">
        <v>402.880932141249</v>
      </c>
      <c r="FI10" s="131">
        <v>13.7940084736842</v>
      </c>
      <c r="FJ10" s="131">
        <v>12341.0383604886</v>
      </c>
      <c r="FK10" s="131">
        <v>-488.176279623189</v>
      </c>
      <c r="FL10" s="131">
        <v>468.319056834911</v>
      </c>
      <c r="FM10" s="131">
        <v>-3.11281861679693</v>
      </c>
      <c r="FN10" s="131">
        <v>12318.0683190835</v>
      </c>
      <c r="FO10" s="131">
        <v>1983.90892900193</v>
      </c>
      <c r="FP10" s="131">
        <v>-125.423970254375</v>
      </c>
      <c r="FQ10" s="131">
        <v>-286.790383761583</v>
      </c>
      <c r="FR10" s="131">
        <v>13889.7628940695</v>
      </c>
      <c r="FS10" s="131">
        <v>1389.43577412446</v>
      </c>
      <c r="FT10" s="131">
        <v>839.489786924366</v>
      </c>
      <c r="FU10" s="131">
        <v>-237.769531602346</v>
      </c>
      <c r="FV10" s="131">
        <v>15880.918923516</v>
      </c>
      <c r="FW10" s="131">
        <v>-148.552685553854</v>
      </c>
      <c r="FX10" s="131">
        <v>664.328799951967</v>
      </c>
      <c r="FY10" s="131">
        <v>17.3377043301673</v>
      </c>
      <c r="FZ10" s="132">
        <v>16414.0327422442</v>
      </c>
    </row>
    <row r="11" spans="1:182">
      <c r="A11" s="122" t="s">
        <v>178</v>
      </c>
      <c r="B11" s="123">
        <v>953.65207568363</v>
      </c>
      <c r="C11" s="124">
        <v>-170.716934009547</v>
      </c>
      <c r="D11" s="124">
        <v>-22.6700093636607</v>
      </c>
      <c r="E11" s="124">
        <v>-2.76999168221437e-6</v>
      </c>
      <c r="F11" s="125">
        <v>760.265129540431</v>
      </c>
      <c r="G11" s="124">
        <v>12.115758511831</v>
      </c>
      <c r="H11" s="124">
        <v>6.83339935730836</v>
      </c>
      <c r="I11" s="124">
        <v>-3.56999999939944e-6</v>
      </c>
      <c r="J11" s="125">
        <v>779.21428383957</v>
      </c>
      <c r="K11" s="124">
        <v>97.2136749588717</v>
      </c>
      <c r="L11" s="124">
        <v>-1.13306981949882</v>
      </c>
      <c r="M11" s="124">
        <v>0</v>
      </c>
      <c r="N11" s="125">
        <v>875.294888978943</v>
      </c>
      <c r="O11" s="124">
        <v>31.9136724321034</v>
      </c>
      <c r="P11" s="124">
        <v>-8.38487134822845</v>
      </c>
      <c r="Q11" s="124">
        <v>0</v>
      </c>
      <c r="R11" s="125">
        <v>898.823690062818</v>
      </c>
      <c r="S11" s="124">
        <v>-14.9591251793731</v>
      </c>
      <c r="T11" s="124">
        <v>7.01211028166133</v>
      </c>
      <c r="U11" s="124">
        <v>1.16023216957854</v>
      </c>
      <c r="V11" s="125">
        <v>892.036907334685</v>
      </c>
      <c r="W11" s="124">
        <v>6.17043406161592</v>
      </c>
      <c r="X11" s="124">
        <v>-4.21377840316842</v>
      </c>
      <c r="Y11" s="124">
        <v>2.3009128814806e-6</v>
      </c>
      <c r="Z11" s="125">
        <v>893.993565294045</v>
      </c>
      <c r="AA11" s="124">
        <v>-156.89033815919</v>
      </c>
      <c r="AB11" s="124">
        <v>2.28254215765809</v>
      </c>
      <c r="AC11" s="124">
        <v>0</v>
      </c>
      <c r="AD11" s="125">
        <v>739.385769292514</v>
      </c>
      <c r="AE11" s="124">
        <v>37.1423719466908</v>
      </c>
      <c r="AF11" s="124">
        <v>-20.228322412287</v>
      </c>
      <c r="AG11" s="124">
        <v>0</v>
      </c>
      <c r="AH11" s="125">
        <v>756.299818826917</v>
      </c>
      <c r="AI11" s="124">
        <v>347.272897805494</v>
      </c>
      <c r="AJ11" s="124">
        <v>16.8094861590721</v>
      </c>
      <c r="AK11" s="124">
        <v>0.000405698552445877</v>
      </c>
      <c r="AL11" s="125">
        <v>1120.38260849004</v>
      </c>
      <c r="AM11" s="124">
        <v>-36.8690231246469</v>
      </c>
      <c r="AN11" s="124">
        <v>14.3367214279889</v>
      </c>
      <c r="AO11" s="124">
        <v>-9.09494701772928e-16</v>
      </c>
      <c r="AP11" s="125">
        <v>1097.85030679338</v>
      </c>
      <c r="AQ11" s="124">
        <v>-195.60262868382</v>
      </c>
      <c r="AR11" s="124">
        <v>-32.5091930584472</v>
      </c>
      <c r="AS11" s="124">
        <v>0</v>
      </c>
      <c r="AT11" s="125">
        <v>869.738485051112</v>
      </c>
      <c r="AU11" s="124">
        <v>44.9883347534073</v>
      </c>
      <c r="AV11" s="124">
        <v>11.5889241164568</v>
      </c>
      <c r="AW11" s="124">
        <v>0</v>
      </c>
      <c r="AX11" s="125">
        <v>926.315743920976</v>
      </c>
      <c r="AY11" s="124">
        <v>917.707829257515</v>
      </c>
      <c r="AZ11" s="124">
        <v>55.1732554011731</v>
      </c>
      <c r="BA11" s="124">
        <v>-0.0154763499999999</v>
      </c>
      <c r="BB11" s="125">
        <v>1899.18135222966</v>
      </c>
      <c r="BC11" s="124">
        <v>-631.995337691871</v>
      </c>
      <c r="BD11" s="124">
        <v>-78.6158697146044</v>
      </c>
      <c r="BE11" s="124">
        <v>3.32999999943695e-6</v>
      </c>
      <c r="BF11" s="125">
        <v>1188.57014815319</v>
      </c>
      <c r="BG11" s="124">
        <v>-387.094414858718</v>
      </c>
      <c r="BH11" s="124">
        <v>-26.8973987403359</v>
      </c>
      <c r="BI11" s="124">
        <v>0</v>
      </c>
      <c r="BJ11" s="125">
        <v>774.578334554135</v>
      </c>
      <c r="BK11" s="124">
        <v>14.4038841283907</v>
      </c>
      <c r="BL11" s="124">
        <v>-18.5854405325741</v>
      </c>
      <c r="BM11" s="124">
        <v>0</v>
      </c>
      <c r="BN11" s="125">
        <v>770.396778149952</v>
      </c>
      <c r="BO11" s="124">
        <v>164.018437701598</v>
      </c>
      <c r="BP11" s="124">
        <v>4.37449640655933</v>
      </c>
      <c r="BQ11" s="124">
        <v>-5.6843418860808e-16</v>
      </c>
      <c r="BR11" s="125">
        <v>938.78971225811</v>
      </c>
      <c r="BS11" s="124">
        <v>-183.023085425457</v>
      </c>
      <c r="BT11" s="124">
        <v>3.64538776115297</v>
      </c>
      <c r="BU11" s="124">
        <v>1.47792889038101e-15</v>
      </c>
      <c r="BV11" s="125">
        <v>759.412014593806</v>
      </c>
      <c r="BW11" s="124">
        <v>-108.667779079295</v>
      </c>
      <c r="BX11" s="124">
        <v>-16.7059938136003</v>
      </c>
      <c r="BY11" s="124">
        <v>0</v>
      </c>
      <c r="BZ11" s="125">
        <v>634.03824170091</v>
      </c>
      <c r="CA11" s="124">
        <v>247.133423101791</v>
      </c>
      <c r="CB11" s="124">
        <v>9.92990105682927</v>
      </c>
      <c r="CC11" s="124">
        <v>0</v>
      </c>
      <c r="CD11" s="125">
        <v>891.101565859531</v>
      </c>
      <c r="CE11" s="124">
        <v>156.866687537271</v>
      </c>
      <c r="CF11" s="124">
        <v>-98.0826470030239</v>
      </c>
      <c r="CG11" s="124">
        <v>-9.09494701772928e-16</v>
      </c>
      <c r="CH11" s="125">
        <v>949.885606393779</v>
      </c>
      <c r="CI11" s="124">
        <v>-171.810983093419</v>
      </c>
      <c r="CJ11" s="124">
        <v>47.8349859078349</v>
      </c>
      <c r="CK11" s="124">
        <v>1.43000001195048e-7</v>
      </c>
      <c r="CL11" s="125">
        <v>825.909609351194</v>
      </c>
      <c r="CM11" s="124">
        <v>55.7592732767086</v>
      </c>
      <c r="CN11" s="124">
        <v>-76.0729677746925</v>
      </c>
      <c r="CO11" s="124">
        <v>0</v>
      </c>
      <c r="CP11" s="125">
        <v>805.59591485321</v>
      </c>
      <c r="CQ11" s="124">
        <v>429.37920953276</v>
      </c>
      <c r="CR11" s="124">
        <v>94.3945343940158</v>
      </c>
      <c r="CS11" s="124">
        <v>0</v>
      </c>
      <c r="CT11" s="125">
        <v>1329.36965877999</v>
      </c>
      <c r="CU11" s="126">
        <v>516.95860896741</v>
      </c>
      <c r="CV11" s="126">
        <v>-10.336388890816</v>
      </c>
      <c r="CW11" s="126">
        <v>2.69295696853078e-14</v>
      </c>
      <c r="CX11" s="127">
        <v>1835.99187885658</v>
      </c>
      <c r="CY11" s="126">
        <v>-40.0148647276553</v>
      </c>
      <c r="CZ11" s="126">
        <v>-81.2859273778462</v>
      </c>
      <c r="DA11" s="126">
        <v>-4.54747350886464e-16</v>
      </c>
      <c r="DB11" s="127">
        <v>1714.69108675108</v>
      </c>
      <c r="DC11" s="126">
        <v>1257.90244189059</v>
      </c>
      <c r="DD11" s="126">
        <v>78.7489186476959</v>
      </c>
      <c r="DE11" s="126">
        <v>0</v>
      </c>
      <c r="DF11" s="127">
        <v>3051.34244728937</v>
      </c>
      <c r="DG11" s="126">
        <v>-485.875483707017</v>
      </c>
      <c r="DH11" s="126">
        <v>-29.699979198645</v>
      </c>
      <c r="DI11" s="126">
        <v>0</v>
      </c>
      <c r="DJ11" s="127">
        <v>2535.76698438371</v>
      </c>
      <c r="DK11" s="126">
        <v>54.694246266502</v>
      </c>
      <c r="DL11" s="126">
        <v>-71.1265437091497</v>
      </c>
      <c r="DM11" s="126">
        <v>2.67945665655134e-14</v>
      </c>
      <c r="DN11" s="127">
        <v>2519.33468694106</v>
      </c>
      <c r="DO11" s="126">
        <v>-240.661218284433</v>
      </c>
      <c r="DP11" s="126">
        <v>-64.3587774871998</v>
      </c>
      <c r="DQ11" s="126">
        <v>1.79999999929237e-7</v>
      </c>
      <c r="DR11" s="127">
        <v>2214.31469134943</v>
      </c>
      <c r="DS11" s="126">
        <v>-88.2486226665755</v>
      </c>
      <c r="DT11" s="126">
        <v>-82.4379673939404</v>
      </c>
      <c r="DU11" s="126">
        <v>0</v>
      </c>
      <c r="DV11" s="127">
        <v>2043.62810128891</v>
      </c>
      <c r="DW11" s="126">
        <v>38.7731880260568</v>
      </c>
      <c r="DX11" s="126">
        <v>89.4014442804371</v>
      </c>
      <c r="DY11" s="126">
        <v>0</v>
      </c>
      <c r="DZ11" s="127">
        <v>2171.8027335954</v>
      </c>
      <c r="EA11" s="126">
        <v>16.4875722986196</v>
      </c>
      <c r="EB11" s="126">
        <v>29.6053718529949</v>
      </c>
      <c r="EC11" s="126">
        <v>2.68425282001772e-14</v>
      </c>
      <c r="ED11" s="127">
        <v>2217.89567774702</v>
      </c>
      <c r="EE11" s="126">
        <v>-155.214459809137</v>
      </c>
      <c r="EF11" s="126">
        <v>2.41225729611916</v>
      </c>
      <c r="EG11" s="126">
        <v>-3.97903932025656e-16</v>
      </c>
      <c r="EH11" s="127">
        <v>2065.093475234</v>
      </c>
      <c r="EI11" s="126">
        <v>56.6698553894713</v>
      </c>
      <c r="EJ11" s="126">
        <v>-24.1335149944551</v>
      </c>
      <c r="EK11" s="126">
        <v>0</v>
      </c>
      <c r="EL11" s="127">
        <v>2097.62981562902</v>
      </c>
      <c r="EM11" s="126">
        <v>70.0064047332259</v>
      </c>
      <c r="EN11" s="126">
        <v>65.4339098615978</v>
      </c>
      <c r="EO11" s="126">
        <v>0</v>
      </c>
      <c r="EP11" s="127">
        <v>2233.07013022384</v>
      </c>
      <c r="EQ11" s="126">
        <v>-115.650201695561</v>
      </c>
      <c r="ER11" s="126">
        <v>-23.2436892809983</v>
      </c>
      <c r="ES11" s="126">
        <v>2.66879851551494e-14</v>
      </c>
      <c r="ET11" s="127">
        <v>2094.17623924728</v>
      </c>
      <c r="EU11" s="126">
        <v>-55.1022113552535</v>
      </c>
      <c r="EV11" s="126">
        <v>-3.08321973319794</v>
      </c>
      <c r="EW11" s="126">
        <v>5.95079541199084e-16</v>
      </c>
      <c r="EX11" s="127">
        <v>2035.99080815883</v>
      </c>
      <c r="EY11" s="126">
        <v>106.241567158264</v>
      </c>
      <c r="EZ11" s="126">
        <v>61.7803149042275</v>
      </c>
      <c r="FA11" s="126">
        <v>0</v>
      </c>
      <c r="FB11" s="127">
        <v>2204.01269022132</v>
      </c>
      <c r="FC11" s="126">
        <v>2.39903252121</v>
      </c>
      <c r="FD11" s="126">
        <v>263.553839215988</v>
      </c>
      <c r="FE11" s="126">
        <v>0</v>
      </c>
      <c r="FF11" s="127">
        <v>2469.96556195852</v>
      </c>
      <c r="FG11" s="126">
        <v>-573.262332789045</v>
      </c>
      <c r="FH11" s="126">
        <v>316.038480477168</v>
      </c>
      <c r="FI11" s="126">
        <v>2.80685474862708e-14</v>
      </c>
      <c r="FJ11" s="127">
        <v>2212.74170964664</v>
      </c>
      <c r="FK11" s="126">
        <v>-119.157967088166</v>
      </c>
      <c r="FL11" s="126">
        <v>112.270082364727</v>
      </c>
      <c r="FM11" s="126">
        <v>-1.02318153949454e-15</v>
      </c>
      <c r="FN11" s="127">
        <v>2205.8538249232</v>
      </c>
      <c r="FO11" s="126">
        <v>158.437035272995</v>
      </c>
      <c r="FP11" s="126">
        <v>-198.445999955827</v>
      </c>
      <c r="FQ11" s="126">
        <v>0</v>
      </c>
      <c r="FR11" s="127">
        <v>2165.84486024037</v>
      </c>
      <c r="FS11" s="126">
        <v>50.5490521278463</v>
      </c>
      <c r="FT11" s="126">
        <v>378.038856124188</v>
      </c>
      <c r="FU11" s="126">
        <v>0</v>
      </c>
      <c r="FV11" s="127">
        <v>2594.43276849241</v>
      </c>
      <c r="FW11" s="126">
        <v>-197.939585346456</v>
      </c>
      <c r="FX11" s="126">
        <v>-14.7014393572209</v>
      </c>
      <c r="FY11" s="126">
        <v>2.66453525910038e-14</v>
      </c>
      <c r="FZ11" s="128">
        <v>2381.79174378873</v>
      </c>
    </row>
    <row r="12" spans="1:182">
      <c r="A12" s="91" t="s">
        <v>164</v>
      </c>
      <c r="B12" s="129">
        <v>215.573577773946</v>
      </c>
      <c r="C12" s="130">
        <v>-202.920416059539</v>
      </c>
      <c r="D12" s="130">
        <v>-0.120612258727015</v>
      </c>
      <c r="E12" s="130">
        <v>-2.76999168221437e-6</v>
      </c>
      <c r="F12" s="130">
        <v>12.5325466856881</v>
      </c>
      <c r="G12" s="130">
        <v>-1.59023449816897</v>
      </c>
      <c r="H12" s="130">
        <v>-0.0124278994633148</v>
      </c>
      <c r="I12" s="130">
        <v>-3.56999999939944e-6</v>
      </c>
      <c r="J12" s="130">
        <v>10.9298807180558</v>
      </c>
      <c r="K12" s="130">
        <v>70.6673516288717</v>
      </c>
      <c r="L12" s="130">
        <v>-1.68595518666507</v>
      </c>
      <c r="M12" s="130">
        <v>0</v>
      </c>
      <c r="N12" s="130">
        <v>79.9112771602624</v>
      </c>
      <c r="O12" s="130">
        <v>-1.79567342789656</v>
      </c>
      <c r="P12" s="130">
        <v>-2.16147279295648</v>
      </c>
      <c r="Q12" s="130">
        <v>0</v>
      </c>
      <c r="R12" s="130">
        <v>75.9541309394094</v>
      </c>
      <c r="S12" s="130">
        <v>-14.9591251793731</v>
      </c>
      <c r="T12" s="130">
        <v>0.163990211797239</v>
      </c>
      <c r="U12" s="130">
        <v>43.5755710395785</v>
      </c>
      <c r="V12" s="130">
        <v>104.734567011412</v>
      </c>
      <c r="W12" s="130">
        <v>65.1281263716299</v>
      </c>
      <c r="X12" s="130">
        <v>-0.496893424308856</v>
      </c>
      <c r="Y12" s="130">
        <v>2.3009128814806e-6</v>
      </c>
      <c r="Z12" s="130">
        <v>169.365802259646</v>
      </c>
      <c r="AA12" s="130">
        <v>7.70512806157009</v>
      </c>
      <c r="AB12" s="130">
        <v>1.45808018728955</v>
      </c>
      <c r="AC12" s="130">
        <v>0</v>
      </c>
      <c r="AD12" s="130">
        <v>178.529010508506</v>
      </c>
      <c r="AE12" s="130">
        <v>64.0181442426684</v>
      </c>
      <c r="AF12" s="130">
        <v>-0.0105310419976035</v>
      </c>
      <c r="AG12" s="130">
        <v>0</v>
      </c>
      <c r="AH12" s="130">
        <v>242.536623709176</v>
      </c>
      <c r="AI12" s="130">
        <v>374.476379855494</v>
      </c>
      <c r="AJ12" s="130">
        <v>9.93021345581959</v>
      </c>
      <c r="AK12" s="130">
        <v>0.000405698552445877</v>
      </c>
      <c r="AL12" s="130">
        <v>626.943622719043</v>
      </c>
      <c r="AM12" s="130">
        <v>-36.8690231246469</v>
      </c>
      <c r="AN12" s="130">
        <v>3.66801928414015</v>
      </c>
      <c r="AO12" s="130">
        <v>-9.09494701772928e-16</v>
      </c>
      <c r="AP12" s="130">
        <v>593.742618878536</v>
      </c>
      <c r="AQ12" s="130">
        <v>-185.602624676104</v>
      </c>
      <c r="AR12" s="130">
        <v>-39.8403528845528</v>
      </c>
      <c r="AS12" s="130">
        <v>0</v>
      </c>
      <c r="AT12" s="130">
        <v>368.29964131788</v>
      </c>
      <c r="AU12" s="130">
        <v>44.9883347534073</v>
      </c>
      <c r="AV12" s="130">
        <v>8.46557946179175</v>
      </c>
      <c r="AW12" s="130">
        <v>0</v>
      </c>
      <c r="AX12" s="130">
        <v>421.753555533079</v>
      </c>
      <c r="AY12" s="130">
        <v>922.707829257515</v>
      </c>
      <c r="AZ12" s="130">
        <v>43.7042268420103</v>
      </c>
      <c r="BA12" s="130">
        <v>1.13686837721616e-16</v>
      </c>
      <c r="BB12" s="130">
        <v>1388.1656116326</v>
      </c>
      <c r="BC12" s="130">
        <v>-631.995337691871</v>
      </c>
      <c r="BD12" s="130">
        <v>-61.655597799692</v>
      </c>
      <c r="BE12" s="130">
        <v>3.32999999943695e-6</v>
      </c>
      <c r="BF12" s="130">
        <v>694.514679471042</v>
      </c>
      <c r="BG12" s="130">
        <v>-382.094414858718</v>
      </c>
      <c r="BH12" s="130">
        <v>-25.9275586096517</v>
      </c>
      <c r="BI12" s="130">
        <v>0</v>
      </c>
      <c r="BJ12" s="130">
        <v>286.492706002672</v>
      </c>
      <c r="BK12" s="130">
        <v>14.4038841283907</v>
      </c>
      <c r="BL12" s="130">
        <v>-14.6552175701844</v>
      </c>
      <c r="BM12" s="130">
        <v>0</v>
      </c>
      <c r="BN12" s="130">
        <v>286.241372560879</v>
      </c>
      <c r="BO12" s="130">
        <v>164.018437701598</v>
      </c>
      <c r="BP12" s="130">
        <v>5.31089500021547</v>
      </c>
      <c r="BQ12" s="130">
        <v>-5.6843418860808e-16</v>
      </c>
      <c r="BR12" s="130">
        <v>455.570705262692</v>
      </c>
      <c r="BS12" s="130">
        <v>-183.023085425457</v>
      </c>
      <c r="BT12" s="130">
        <v>2.94254332352603</v>
      </c>
      <c r="BU12" s="130">
        <v>1.47792889038101e-15</v>
      </c>
      <c r="BV12" s="130">
        <v>275.490163160762</v>
      </c>
      <c r="BW12" s="130">
        <v>-108.667779079295</v>
      </c>
      <c r="BX12" s="130">
        <v>-7.72464981676037</v>
      </c>
      <c r="BY12" s="130">
        <v>0</v>
      </c>
      <c r="BZ12" s="130">
        <v>159.097734264706</v>
      </c>
      <c r="CA12" s="130">
        <v>247.133423101791</v>
      </c>
      <c r="CB12" s="130">
        <v>3.47627572668083</v>
      </c>
      <c r="CC12" s="130">
        <v>0</v>
      </c>
      <c r="CD12" s="130">
        <v>409.707433093178</v>
      </c>
      <c r="CE12" s="130">
        <v>156.866687537271</v>
      </c>
      <c r="CF12" s="130">
        <v>-93.8181515296451</v>
      </c>
      <c r="CG12" s="130">
        <v>-9.09494701772928e-16</v>
      </c>
      <c r="CH12" s="130">
        <v>472.755969100805</v>
      </c>
      <c r="CI12" s="130">
        <v>-171.810983093419</v>
      </c>
      <c r="CJ12" s="130">
        <v>44.636798943932</v>
      </c>
      <c r="CK12" s="130">
        <v>1.43000001195048e-7</v>
      </c>
      <c r="CL12" s="130">
        <v>345.581785094317</v>
      </c>
      <c r="CM12" s="130">
        <v>55.7592732767086</v>
      </c>
      <c r="CN12" s="130">
        <v>-85.6294889122444</v>
      </c>
      <c r="CO12" s="130">
        <v>0</v>
      </c>
      <c r="CP12" s="130">
        <v>315.711569458781</v>
      </c>
      <c r="CQ12" s="130">
        <v>429.37920953276</v>
      </c>
      <c r="CR12" s="130">
        <v>82.9352837387283</v>
      </c>
      <c r="CS12" s="130">
        <v>0</v>
      </c>
      <c r="CT12" s="130">
        <v>828.02606273027</v>
      </c>
      <c r="CU12" s="131">
        <v>516.95860896741</v>
      </c>
      <c r="CV12" s="131">
        <v>-2.21517983978622</v>
      </c>
      <c r="CW12" s="131">
        <v>2.69295696853078e-14</v>
      </c>
      <c r="CX12" s="131">
        <v>1342.76949185789</v>
      </c>
      <c r="CY12" s="131">
        <v>-40.0148647276553</v>
      </c>
      <c r="CZ12" s="131">
        <v>-84.7279757732842</v>
      </c>
      <c r="DA12" s="131">
        <v>-4.54747350886464e-16</v>
      </c>
      <c r="DB12" s="131">
        <v>1218.02665135695</v>
      </c>
      <c r="DC12" s="131">
        <v>-315.880611587964</v>
      </c>
      <c r="DD12" s="131">
        <v>87.7323952137624</v>
      </c>
      <c r="DE12" s="131">
        <v>0</v>
      </c>
      <c r="DF12" s="131">
        <v>989.878434982752</v>
      </c>
      <c r="DG12" s="131">
        <v>-485.875483707017</v>
      </c>
      <c r="DH12" s="131">
        <v>-9.36881800980902</v>
      </c>
      <c r="DI12" s="131">
        <v>0</v>
      </c>
      <c r="DJ12" s="131">
        <v>494.634133265927</v>
      </c>
      <c r="DK12" s="131">
        <v>54.675446276502</v>
      </c>
      <c r="DL12" s="131">
        <v>-47.3700599726814</v>
      </c>
      <c r="DM12" s="131">
        <v>2.67945665655134e-14</v>
      </c>
      <c r="DN12" s="131">
        <v>501.939519569747</v>
      </c>
      <c r="DO12" s="131">
        <v>-240.661218294433</v>
      </c>
      <c r="DP12" s="131">
        <v>9.10729558543998</v>
      </c>
      <c r="DQ12" s="131">
        <v>1.79999999929237e-7</v>
      </c>
      <c r="DR12" s="131">
        <v>270.385597040754</v>
      </c>
      <c r="DS12" s="131">
        <v>-88.2486226665755</v>
      </c>
      <c r="DT12" s="131">
        <v>0.674916505979006</v>
      </c>
      <c r="DU12" s="131">
        <v>0</v>
      </c>
      <c r="DV12" s="131">
        <v>182.811890880157</v>
      </c>
      <c r="DW12" s="131">
        <v>38.7919880260568</v>
      </c>
      <c r="DX12" s="131">
        <v>9.28208035675461</v>
      </c>
      <c r="DY12" s="131">
        <v>0</v>
      </c>
      <c r="DZ12" s="131">
        <v>230.885959262969</v>
      </c>
      <c r="EA12" s="131">
        <v>14.5864361385099</v>
      </c>
      <c r="EB12" s="131">
        <v>9.82294307305605</v>
      </c>
      <c r="EC12" s="131">
        <v>2.68425282001772e-14</v>
      </c>
      <c r="ED12" s="131">
        <v>255.295338474535</v>
      </c>
      <c r="EE12" s="131">
        <v>-157.430504483835</v>
      </c>
      <c r="EF12" s="131">
        <v>21.8836487198611</v>
      </c>
      <c r="EG12" s="131">
        <v>-3.97903932025656e-16</v>
      </c>
      <c r="EH12" s="131">
        <v>119.748482710561</v>
      </c>
      <c r="EI12" s="131">
        <v>56.6698553894713</v>
      </c>
      <c r="EJ12" s="131">
        <v>8.74511967332866</v>
      </c>
      <c r="EK12" s="131">
        <v>0</v>
      </c>
      <c r="EL12" s="131">
        <v>185.163457773361</v>
      </c>
      <c r="EM12" s="131">
        <v>70.0064047332259</v>
      </c>
      <c r="EN12" s="131">
        <v>21.1853006073077</v>
      </c>
      <c r="EO12" s="131">
        <v>0</v>
      </c>
      <c r="EP12" s="131">
        <v>276.355163113895</v>
      </c>
      <c r="EQ12" s="131">
        <v>-118.452506818041</v>
      </c>
      <c r="ER12" s="131">
        <v>6.15515260778379</v>
      </c>
      <c r="ES12" s="131">
        <v>2.66879851551494e-14</v>
      </c>
      <c r="ET12" s="131">
        <v>164.057808903637</v>
      </c>
      <c r="EU12" s="131">
        <v>-57.823952955448</v>
      </c>
      <c r="EV12" s="131">
        <v>11.9198381341628</v>
      </c>
      <c r="EW12" s="131">
        <v>5.95079541199084e-16</v>
      </c>
      <c r="EX12" s="131">
        <v>118.153694082352</v>
      </c>
      <c r="EY12" s="131">
        <v>106.241567158264</v>
      </c>
      <c r="EZ12" s="131">
        <v>3.48042310621833</v>
      </c>
      <c r="FA12" s="131">
        <v>0</v>
      </c>
      <c r="FB12" s="131">
        <v>227.875684346834</v>
      </c>
      <c r="FC12" s="131">
        <v>-0.15994946444425</v>
      </c>
      <c r="FD12" s="131">
        <v>340.262849792575</v>
      </c>
      <c r="FE12" s="131">
        <v>0</v>
      </c>
      <c r="FF12" s="131">
        <v>567.978584674965</v>
      </c>
      <c r="FG12" s="131">
        <v>-575.550823397428</v>
      </c>
      <c r="FH12" s="131">
        <v>286.955299179604</v>
      </c>
      <c r="FI12" s="131">
        <v>2.80685474862708e-14</v>
      </c>
      <c r="FJ12" s="131">
        <v>279.383060457141</v>
      </c>
      <c r="FK12" s="131">
        <v>-121.334808257597</v>
      </c>
      <c r="FL12" s="131">
        <v>44.8777217311573</v>
      </c>
      <c r="FM12" s="131">
        <v>-1.02318153949454e-15</v>
      </c>
      <c r="FN12" s="131">
        <v>202.925973930701</v>
      </c>
      <c r="FO12" s="131">
        <v>156.228621758501</v>
      </c>
      <c r="FP12" s="131">
        <v>-190.649960071042</v>
      </c>
      <c r="FQ12" s="131">
        <v>0</v>
      </c>
      <c r="FR12" s="131">
        <v>168.504635618159</v>
      </c>
      <c r="FS12" s="131">
        <v>48.4419182309607</v>
      </c>
      <c r="FT12" s="131">
        <v>378.42712637421</v>
      </c>
      <c r="FU12" s="131">
        <v>0</v>
      </c>
      <c r="FV12" s="131">
        <v>595.37368022333</v>
      </c>
      <c r="FW12" s="131">
        <v>-199.972575819154</v>
      </c>
      <c r="FX12" s="131">
        <v>6.17657044433775</v>
      </c>
      <c r="FY12" s="131">
        <v>2.66453525910038e-14</v>
      </c>
      <c r="FZ12" s="132">
        <v>401.577674848514</v>
      </c>
    </row>
    <row r="13" spans="1:182">
      <c r="A13" s="91" t="s">
        <v>166</v>
      </c>
      <c r="B13" s="129">
        <v>738.078497909685</v>
      </c>
      <c r="C13" s="130">
        <v>32.2034820499918</v>
      </c>
      <c r="D13" s="130">
        <v>-22.5493971049337</v>
      </c>
      <c r="E13" s="130">
        <v>0</v>
      </c>
      <c r="F13" s="130">
        <v>747.732582854743</v>
      </c>
      <c r="G13" s="130">
        <v>13.70599301</v>
      </c>
      <c r="H13" s="130">
        <v>6.84582725677168</v>
      </c>
      <c r="I13" s="130">
        <v>0</v>
      </c>
      <c r="J13" s="130">
        <v>768.284403121514</v>
      </c>
      <c r="K13" s="130">
        <v>26.54632333</v>
      </c>
      <c r="L13" s="130">
        <v>0.552885367166251</v>
      </c>
      <c r="M13" s="130">
        <v>0</v>
      </c>
      <c r="N13" s="130">
        <v>795.383611818681</v>
      </c>
      <c r="O13" s="130">
        <v>33.7093458599999</v>
      </c>
      <c r="P13" s="130">
        <v>-6.22339855527197</v>
      </c>
      <c r="Q13" s="130">
        <v>0</v>
      </c>
      <c r="R13" s="130">
        <v>822.869559123409</v>
      </c>
      <c r="S13" s="130">
        <v>0</v>
      </c>
      <c r="T13" s="130">
        <v>6.84812006986409</v>
      </c>
      <c r="U13" s="130">
        <v>-42.41533887</v>
      </c>
      <c r="V13" s="130">
        <v>787.302340323273</v>
      </c>
      <c r="W13" s="130">
        <v>-58.957692310014</v>
      </c>
      <c r="X13" s="130">
        <v>-3.71688497885957</v>
      </c>
      <c r="Y13" s="130">
        <v>0</v>
      </c>
      <c r="Z13" s="130">
        <v>724.627763034399</v>
      </c>
      <c r="AA13" s="130">
        <v>-164.59546622076</v>
      </c>
      <c r="AB13" s="130">
        <v>0.824461970368542</v>
      </c>
      <c r="AC13" s="130">
        <v>0</v>
      </c>
      <c r="AD13" s="130">
        <v>560.856758784008</v>
      </c>
      <c r="AE13" s="130">
        <v>-26.8757722959776</v>
      </c>
      <c r="AF13" s="130">
        <v>-20.2177913702894</v>
      </c>
      <c r="AG13" s="130">
        <v>0</v>
      </c>
      <c r="AH13" s="130">
        <v>513.763195117741</v>
      </c>
      <c r="AI13" s="130">
        <v>-27.20348205</v>
      </c>
      <c r="AJ13" s="130">
        <v>6.8792727032525</v>
      </c>
      <c r="AK13" s="130">
        <v>0</v>
      </c>
      <c r="AL13" s="130">
        <v>493.438985770993</v>
      </c>
      <c r="AM13" s="130">
        <v>0</v>
      </c>
      <c r="AN13" s="130">
        <v>10.6687021438488</v>
      </c>
      <c r="AO13" s="130">
        <v>0</v>
      </c>
      <c r="AP13" s="130">
        <v>504.107687914842</v>
      </c>
      <c r="AQ13" s="130">
        <v>-10.0000040077159</v>
      </c>
      <c r="AR13" s="130">
        <v>7.33115982610566</v>
      </c>
      <c r="AS13" s="130">
        <v>0</v>
      </c>
      <c r="AT13" s="130">
        <v>501.438843733232</v>
      </c>
      <c r="AU13" s="130">
        <v>0</v>
      </c>
      <c r="AV13" s="130">
        <v>3.12334465466504</v>
      </c>
      <c r="AW13" s="130">
        <v>0</v>
      </c>
      <c r="AX13" s="130">
        <v>504.562188387897</v>
      </c>
      <c r="AY13" s="130">
        <v>-5</v>
      </c>
      <c r="AZ13" s="130">
        <v>11.4690285591628</v>
      </c>
      <c r="BA13" s="130">
        <v>-0.01547635</v>
      </c>
      <c r="BB13" s="130">
        <v>511.01574059706</v>
      </c>
      <c r="BC13" s="130">
        <v>0</v>
      </c>
      <c r="BD13" s="130">
        <v>-16.9602719149124</v>
      </c>
      <c r="BE13" s="130">
        <v>0</v>
      </c>
      <c r="BF13" s="130">
        <v>494.055468682147</v>
      </c>
      <c r="BG13" s="130">
        <v>-5</v>
      </c>
      <c r="BH13" s="130">
        <v>-0.969840130684257</v>
      </c>
      <c r="BI13" s="130">
        <v>0</v>
      </c>
      <c r="BJ13" s="130">
        <v>488.085628551463</v>
      </c>
      <c r="BK13" s="130">
        <v>0</v>
      </c>
      <c r="BL13" s="130">
        <v>-3.93022296238964</v>
      </c>
      <c r="BM13" s="130">
        <v>0</v>
      </c>
      <c r="BN13" s="130">
        <v>484.155405589073</v>
      </c>
      <c r="BO13" s="130">
        <v>0</v>
      </c>
      <c r="BP13" s="130">
        <v>-0.936398593656137</v>
      </c>
      <c r="BQ13" s="130">
        <v>0</v>
      </c>
      <c r="BR13" s="130">
        <v>483.219006995417</v>
      </c>
      <c r="BS13" s="130">
        <v>0</v>
      </c>
      <c r="BT13" s="130">
        <v>0.702844437626947</v>
      </c>
      <c r="BU13" s="130">
        <v>0</v>
      </c>
      <c r="BV13" s="130">
        <v>483.921851433044</v>
      </c>
      <c r="BW13" s="130">
        <v>0</v>
      </c>
      <c r="BX13" s="130">
        <v>-8.98134399683995</v>
      </c>
      <c r="BY13" s="130">
        <v>0</v>
      </c>
      <c r="BZ13" s="130">
        <v>474.940507436204</v>
      </c>
      <c r="CA13" s="130">
        <v>0</v>
      </c>
      <c r="CB13" s="130">
        <v>6.45362533014844</v>
      </c>
      <c r="CC13" s="130">
        <v>0</v>
      </c>
      <c r="CD13" s="130">
        <v>481.394132766353</v>
      </c>
      <c r="CE13" s="130">
        <v>0</v>
      </c>
      <c r="CF13" s="130">
        <v>-4.2644954733788</v>
      </c>
      <c r="CG13" s="130">
        <v>0</v>
      </c>
      <c r="CH13" s="130">
        <v>477.129637292974</v>
      </c>
      <c r="CI13" s="130">
        <v>0</v>
      </c>
      <c r="CJ13" s="130">
        <v>3.19818696390296</v>
      </c>
      <c r="CK13" s="130">
        <v>0</v>
      </c>
      <c r="CL13" s="130">
        <v>480.327824256877</v>
      </c>
      <c r="CM13" s="130">
        <v>0</v>
      </c>
      <c r="CN13" s="130">
        <v>9.55652113755187</v>
      </c>
      <c r="CO13" s="130">
        <v>0</v>
      </c>
      <c r="CP13" s="130">
        <v>489.884345394429</v>
      </c>
      <c r="CQ13" s="130">
        <v>0</v>
      </c>
      <c r="CR13" s="130">
        <v>11.4592506552875</v>
      </c>
      <c r="CS13" s="130">
        <v>0</v>
      </c>
      <c r="CT13" s="130">
        <v>501.343596049716</v>
      </c>
      <c r="CU13" s="131">
        <v>0</v>
      </c>
      <c r="CV13" s="131">
        <v>-8.12120905102982</v>
      </c>
      <c r="CW13" s="131">
        <v>0</v>
      </c>
      <c r="CX13" s="131">
        <v>493.222386998687</v>
      </c>
      <c r="CY13" s="131">
        <v>0</v>
      </c>
      <c r="CZ13" s="131">
        <v>3.44204839543795</v>
      </c>
      <c r="DA13" s="131">
        <v>0</v>
      </c>
      <c r="DB13" s="131">
        <v>496.664435394124</v>
      </c>
      <c r="DC13" s="131">
        <v>1573.78305347856</v>
      </c>
      <c r="DD13" s="131">
        <v>-8.98347656606655</v>
      </c>
      <c r="DE13" s="131">
        <v>0</v>
      </c>
      <c r="DF13" s="131">
        <v>2061.46401230662</v>
      </c>
      <c r="DG13" s="131">
        <v>0</v>
      </c>
      <c r="DH13" s="131">
        <v>-20.331161188836</v>
      </c>
      <c r="DI13" s="131">
        <v>0</v>
      </c>
      <c r="DJ13" s="131">
        <v>2041.13285111778</v>
      </c>
      <c r="DK13" s="131">
        <v>0.0187999900000001</v>
      </c>
      <c r="DL13" s="131">
        <v>-23.7564837364682</v>
      </c>
      <c r="DM13" s="131">
        <v>0</v>
      </c>
      <c r="DN13" s="131">
        <v>2017.39516737131</v>
      </c>
      <c r="DO13" s="131">
        <v>9.99999997475243e-9</v>
      </c>
      <c r="DP13" s="131">
        <v>-73.4660730726398</v>
      </c>
      <c r="DQ13" s="131">
        <v>0</v>
      </c>
      <c r="DR13" s="131">
        <v>1943.92909430867</v>
      </c>
      <c r="DS13" s="131">
        <v>0</v>
      </c>
      <c r="DT13" s="131">
        <v>-83.1128838999194</v>
      </c>
      <c r="DU13" s="131">
        <v>0</v>
      </c>
      <c r="DV13" s="131">
        <v>1860.81621040875</v>
      </c>
      <c r="DW13" s="131">
        <v>-0.0188</v>
      </c>
      <c r="DX13" s="131">
        <v>80.1193639236825</v>
      </c>
      <c r="DY13" s="131">
        <v>0</v>
      </c>
      <c r="DZ13" s="131">
        <v>1940.91677433244</v>
      </c>
      <c r="EA13" s="131">
        <v>1.90113616010975</v>
      </c>
      <c r="EB13" s="131">
        <v>19.7824287799389</v>
      </c>
      <c r="EC13" s="131">
        <v>0</v>
      </c>
      <c r="ED13" s="131">
        <v>1962.60033927248</v>
      </c>
      <c r="EE13" s="131">
        <v>2.21604467469771</v>
      </c>
      <c r="EF13" s="131">
        <v>-19.471391423742</v>
      </c>
      <c r="EG13" s="131">
        <v>0</v>
      </c>
      <c r="EH13" s="131">
        <v>1945.34499252344</v>
      </c>
      <c r="EI13" s="131">
        <v>0</v>
      </c>
      <c r="EJ13" s="131">
        <v>-32.8786346677837</v>
      </c>
      <c r="EK13" s="131">
        <v>0</v>
      </c>
      <c r="EL13" s="131">
        <v>1912.46635785566</v>
      </c>
      <c r="EM13" s="131">
        <v>0</v>
      </c>
      <c r="EN13" s="131">
        <v>44.2486092542901</v>
      </c>
      <c r="EO13" s="131">
        <v>0</v>
      </c>
      <c r="EP13" s="131">
        <v>1956.71496710995</v>
      </c>
      <c r="EQ13" s="131">
        <v>2.80230512248027</v>
      </c>
      <c r="ER13" s="131">
        <v>-29.3988418887821</v>
      </c>
      <c r="ES13" s="131">
        <v>0</v>
      </c>
      <c r="ET13" s="131">
        <v>1930.11843034364</v>
      </c>
      <c r="EU13" s="131">
        <v>2.72174160019449</v>
      </c>
      <c r="EV13" s="131">
        <v>-15.0030578673608</v>
      </c>
      <c r="EW13" s="131">
        <v>0</v>
      </c>
      <c r="EX13" s="131">
        <v>1917.83711407648</v>
      </c>
      <c r="EY13" s="131">
        <v>0</v>
      </c>
      <c r="EZ13" s="131">
        <v>58.2998917980092</v>
      </c>
      <c r="FA13" s="131">
        <v>0</v>
      </c>
      <c r="FB13" s="131">
        <v>1976.13700587449</v>
      </c>
      <c r="FC13" s="131">
        <v>2.55898198565425</v>
      </c>
      <c r="FD13" s="131">
        <v>-76.7090105765867</v>
      </c>
      <c r="FE13" s="131">
        <v>0</v>
      </c>
      <c r="FF13" s="131">
        <v>1901.98697728356</v>
      </c>
      <c r="FG13" s="131">
        <v>2.2884906083829</v>
      </c>
      <c r="FH13" s="131">
        <v>29.0831812975636</v>
      </c>
      <c r="FI13" s="131">
        <v>0</v>
      </c>
      <c r="FJ13" s="131">
        <v>1933.3586491895</v>
      </c>
      <c r="FK13" s="131">
        <v>2.17684116943158</v>
      </c>
      <c r="FL13" s="131">
        <v>67.3923606335698</v>
      </c>
      <c r="FM13" s="131">
        <v>0</v>
      </c>
      <c r="FN13" s="131">
        <v>2002.9278509925</v>
      </c>
      <c r="FO13" s="131">
        <v>2.20841351449481</v>
      </c>
      <c r="FP13" s="131">
        <v>-7.7960398847844</v>
      </c>
      <c r="FQ13" s="131">
        <v>0</v>
      </c>
      <c r="FR13" s="131">
        <v>1997.34022462221</v>
      </c>
      <c r="FS13" s="131">
        <v>2.10713389688552</v>
      </c>
      <c r="FT13" s="131">
        <v>-0.388270250022726</v>
      </c>
      <c r="FU13" s="131">
        <v>0</v>
      </c>
      <c r="FV13" s="131">
        <v>1999.05908826908</v>
      </c>
      <c r="FW13" s="131">
        <v>2.03299047269719</v>
      </c>
      <c r="FX13" s="131">
        <v>-20.8780098015587</v>
      </c>
      <c r="FY13" s="131">
        <v>0</v>
      </c>
      <c r="FZ13" s="132">
        <v>1980.21406894021</v>
      </c>
    </row>
    <row r="14" spans="1:182">
      <c r="A14" s="122" t="s">
        <v>182</v>
      </c>
      <c r="B14" s="123">
        <v>10119.4812149366</v>
      </c>
      <c r="C14" s="124">
        <v>-748.310874695618</v>
      </c>
      <c r="D14" s="124">
        <v>-79.6620625443021</v>
      </c>
      <c r="E14" s="124">
        <v>1.2949999999977</v>
      </c>
      <c r="F14" s="125">
        <v>9292.80327769664</v>
      </c>
      <c r="G14" s="124">
        <v>41.0462530869313</v>
      </c>
      <c r="H14" s="124">
        <v>335.169742681939</v>
      </c>
      <c r="I14" s="124">
        <v>-2.54526999999738</v>
      </c>
      <c r="J14" s="125">
        <v>9666.47400346552</v>
      </c>
      <c r="K14" s="124">
        <v>-731.019999999998</v>
      </c>
      <c r="L14" s="124">
        <v>-360.616394916818</v>
      </c>
      <c r="M14" s="124">
        <v>0.602999999999879</v>
      </c>
      <c r="N14" s="125">
        <v>8575.4406085487</v>
      </c>
      <c r="O14" s="124">
        <v>-587.248300000004</v>
      </c>
      <c r="P14" s="124">
        <v>-65.565071554222</v>
      </c>
      <c r="Q14" s="124">
        <v>50.1520000000013</v>
      </c>
      <c r="R14" s="125">
        <v>7972.77923699448</v>
      </c>
      <c r="S14" s="124">
        <v>-164.976955417542</v>
      </c>
      <c r="T14" s="124">
        <v>-109.715755885834</v>
      </c>
      <c r="U14" s="124">
        <v>-0.453</v>
      </c>
      <c r="V14" s="125">
        <v>7697.6335256911</v>
      </c>
      <c r="W14" s="124">
        <v>-167.05236047792</v>
      </c>
      <c r="X14" s="124">
        <v>136.579518925031</v>
      </c>
      <c r="Y14" s="124">
        <v>-0.062</v>
      </c>
      <c r="Z14" s="125">
        <v>7667.09868413821</v>
      </c>
      <c r="AA14" s="124">
        <v>-176.261409701497</v>
      </c>
      <c r="AB14" s="124">
        <v>71.3707300367102</v>
      </c>
      <c r="AC14" s="124">
        <v>-0.070000000000675</v>
      </c>
      <c r="AD14" s="125">
        <v>7562.13800447342</v>
      </c>
      <c r="AE14" s="124">
        <v>-540.980237606543</v>
      </c>
      <c r="AF14" s="124">
        <v>135.053497641863</v>
      </c>
      <c r="AG14" s="124">
        <v>-2.9499999999992</v>
      </c>
      <c r="AH14" s="125">
        <v>7153.26126450874</v>
      </c>
      <c r="AI14" s="124">
        <v>-566.45985893057</v>
      </c>
      <c r="AJ14" s="124">
        <v>68.4130848254086</v>
      </c>
      <c r="AK14" s="124">
        <v>7.06100000000141</v>
      </c>
      <c r="AL14" s="125">
        <v>6662.27549040358</v>
      </c>
      <c r="AM14" s="124">
        <v>-603.633654780991</v>
      </c>
      <c r="AN14" s="124">
        <v>109.419586061463</v>
      </c>
      <c r="AO14" s="124">
        <v>0.0210000000033946</v>
      </c>
      <c r="AP14" s="125">
        <v>6168.08242168406</v>
      </c>
      <c r="AQ14" s="124">
        <v>82.054110200153</v>
      </c>
      <c r="AR14" s="124">
        <v>9.01639374261484</v>
      </c>
      <c r="AS14" s="124">
        <v>29.8500000000015</v>
      </c>
      <c r="AT14" s="125">
        <v>6289.00292562683</v>
      </c>
      <c r="AU14" s="124">
        <v>143.850307436809</v>
      </c>
      <c r="AV14" s="124">
        <v>82.5407490723813</v>
      </c>
      <c r="AW14" s="124">
        <v>-13.5200000000019</v>
      </c>
      <c r="AX14" s="125">
        <v>6501.87398213602</v>
      </c>
      <c r="AY14" s="124">
        <v>-520.654841506279</v>
      </c>
      <c r="AZ14" s="124">
        <v>-39.1048065429218</v>
      </c>
      <c r="BA14" s="124">
        <v>-8.315</v>
      </c>
      <c r="BB14" s="125">
        <v>5933.79933408682</v>
      </c>
      <c r="BC14" s="124">
        <v>198.486750056957</v>
      </c>
      <c r="BD14" s="124">
        <v>-52.3114142449195</v>
      </c>
      <c r="BE14" s="124">
        <v>-12.712</v>
      </c>
      <c r="BF14" s="125">
        <v>6067.26266989885</v>
      </c>
      <c r="BG14" s="124">
        <v>-228.996001804085</v>
      </c>
      <c r="BH14" s="124">
        <v>-78.0517605672271</v>
      </c>
      <c r="BI14" s="124">
        <v>-10.09</v>
      </c>
      <c r="BJ14" s="125">
        <v>5750.12490752754</v>
      </c>
      <c r="BK14" s="124">
        <v>101.402289498698</v>
      </c>
      <c r="BL14" s="124">
        <v>-96.2972221050852</v>
      </c>
      <c r="BM14" s="124">
        <v>-3.203</v>
      </c>
      <c r="BN14" s="125">
        <v>5752.02697492115</v>
      </c>
      <c r="BO14" s="124">
        <v>-427.696968883379</v>
      </c>
      <c r="BP14" s="124">
        <v>-76.3550596200025</v>
      </c>
      <c r="BQ14" s="124">
        <v>0.561</v>
      </c>
      <c r="BR14" s="125">
        <v>5248.53594641777</v>
      </c>
      <c r="BS14" s="124">
        <v>-162.046027754074</v>
      </c>
      <c r="BT14" s="124">
        <v>25.2542788789797</v>
      </c>
      <c r="BU14" s="124">
        <v>0.937636216522638</v>
      </c>
      <c r="BV14" s="125">
        <v>5112.6818337592</v>
      </c>
      <c r="BW14" s="124">
        <v>-500.894298739317</v>
      </c>
      <c r="BX14" s="124">
        <v>-21.9363088914039</v>
      </c>
      <c r="BY14" s="124">
        <v>0.352240279295968</v>
      </c>
      <c r="BZ14" s="125">
        <v>4590.20346640777</v>
      </c>
      <c r="CA14" s="124">
        <v>254.125368731565</v>
      </c>
      <c r="CB14" s="124">
        <v>-26.9798413058645</v>
      </c>
      <c r="CC14" s="124">
        <v>0.777</v>
      </c>
      <c r="CD14" s="125">
        <v>4818.12599383348</v>
      </c>
      <c r="CE14" s="124">
        <v>123.966507888624</v>
      </c>
      <c r="CF14" s="124">
        <v>-295.612373272762</v>
      </c>
      <c r="CG14" s="124">
        <v>2.7301157201682</v>
      </c>
      <c r="CH14" s="125">
        <v>4649.21024416951</v>
      </c>
      <c r="CI14" s="124">
        <v>235.15721252127</v>
      </c>
      <c r="CJ14" s="124">
        <v>185.297340530346</v>
      </c>
      <c r="CK14" s="124">
        <v>-1.61201</v>
      </c>
      <c r="CL14" s="125">
        <v>5068.05278722112</v>
      </c>
      <c r="CM14" s="124">
        <v>237.007064516652</v>
      </c>
      <c r="CN14" s="124">
        <v>-191.154934196572</v>
      </c>
      <c r="CO14" s="124">
        <v>-60.433</v>
      </c>
      <c r="CP14" s="125">
        <v>5053.4719175412</v>
      </c>
      <c r="CQ14" s="124">
        <v>-357.37364285281</v>
      </c>
      <c r="CR14" s="124">
        <v>141.545594270176</v>
      </c>
      <c r="CS14" s="124">
        <v>-0.215</v>
      </c>
      <c r="CT14" s="125">
        <v>4837.42886895857</v>
      </c>
      <c r="CU14" s="126">
        <v>39.5868431162154</v>
      </c>
      <c r="CV14" s="126">
        <v>103.373724619408</v>
      </c>
      <c r="CW14" s="126">
        <v>-1.63199999999659</v>
      </c>
      <c r="CX14" s="127">
        <v>4978.7574366942</v>
      </c>
      <c r="CY14" s="126">
        <v>1083.54219321443</v>
      </c>
      <c r="CZ14" s="126">
        <v>-78.03622087125</v>
      </c>
      <c r="DA14" s="126">
        <v>-9.127</v>
      </c>
      <c r="DB14" s="127">
        <v>5975.13640903737</v>
      </c>
      <c r="DC14" s="126">
        <v>-237.674066487188</v>
      </c>
      <c r="DD14" s="126">
        <v>-1.14119304240014</v>
      </c>
      <c r="DE14" s="126">
        <v>-1.253</v>
      </c>
      <c r="DF14" s="127">
        <v>5735.06814950778</v>
      </c>
      <c r="DG14" s="126">
        <v>-230.188527311147</v>
      </c>
      <c r="DH14" s="126">
        <v>-10.0200686663215</v>
      </c>
      <c r="DI14" s="126">
        <v>-1.04</v>
      </c>
      <c r="DJ14" s="127">
        <v>5493.81955353031</v>
      </c>
      <c r="DK14" s="126">
        <v>2045.49431344933</v>
      </c>
      <c r="DL14" s="126">
        <v>33.7010051243828</v>
      </c>
      <c r="DM14" s="126">
        <v>652.276440000003</v>
      </c>
      <c r="DN14" s="127">
        <v>8225.29131210403</v>
      </c>
      <c r="DO14" s="126">
        <v>107.100829112249</v>
      </c>
      <c r="DP14" s="126">
        <v>1345.87559241241</v>
      </c>
      <c r="DQ14" s="126">
        <v>-2.66809000000005</v>
      </c>
      <c r="DR14" s="127">
        <v>9675.59964362868</v>
      </c>
      <c r="DS14" s="126">
        <v>-1205.37813316658</v>
      </c>
      <c r="DT14" s="126">
        <v>-461.16951404791</v>
      </c>
      <c r="DU14" s="126">
        <v>-2.719</v>
      </c>
      <c r="DV14" s="127">
        <v>8006.3329964142</v>
      </c>
      <c r="DW14" s="126">
        <v>1895.51846183281</v>
      </c>
      <c r="DX14" s="126">
        <v>-221.753291780078</v>
      </c>
      <c r="DY14" s="126">
        <v>-4.678</v>
      </c>
      <c r="DZ14" s="127">
        <v>9675.42016646693</v>
      </c>
      <c r="EA14" s="126">
        <v>837.085306960236</v>
      </c>
      <c r="EB14" s="126">
        <v>80.4144579347916</v>
      </c>
      <c r="EC14" s="126">
        <v>23.7622400000034</v>
      </c>
      <c r="ED14" s="127">
        <v>10616.682171362</v>
      </c>
      <c r="EE14" s="126">
        <v>-426.182442082779</v>
      </c>
      <c r="EF14" s="126">
        <v>-13.9910480615552</v>
      </c>
      <c r="EG14" s="126">
        <v>-13.923</v>
      </c>
      <c r="EH14" s="127">
        <v>10162.5856812176</v>
      </c>
      <c r="EI14" s="126">
        <v>788.105040377393</v>
      </c>
      <c r="EJ14" s="126">
        <v>-305.676252500519</v>
      </c>
      <c r="EK14" s="126">
        <v>-13.895</v>
      </c>
      <c r="EL14" s="127">
        <v>10631.1194690945</v>
      </c>
      <c r="EM14" s="126">
        <v>789.781655807147</v>
      </c>
      <c r="EN14" s="126">
        <v>-202.51796047583</v>
      </c>
      <c r="EO14" s="126">
        <v>-16.131</v>
      </c>
      <c r="EP14" s="127">
        <v>11202.2521644258</v>
      </c>
      <c r="EQ14" s="126">
        <v>1304.53098377222</v>
      </c>
      <c r="ER14" s="126">
        <v>36.3808959155062</v>
      </c>
      <c r="ES14" s="126">
        <v>-12.35144</v>
      </c>
      <c r="ET14" s="127">
        <v>12530.8126041135</v>
      </c>
      <c r="EU14" s="126">
        <v>1803.99374579091</v>
      </c>
      <c r="EV14" s="126">
        <v>-5.55238103374814</v>
      </c>
      <c r="EW14" s="126">
        <v>-6.182</v>
      </c>
      <c r="EX14" s="127">
        <v>14323.0719688707</v>
      </c>
      <c r="EY14" s="126">
        <v>732.592673293038</v>
      </c>
      <c r="EZ14" s="126">
        <v>-318.74508884715</v>
      </c>
      <c r="FA14" s="126">
        <v>-11.98916</v>
      </c>
      <c r="FB14" s="127">
        <v>14724.9303933166</v>
      </c>
      <c r="FC14" s="126">
        <v>-1009.41892162292</v>
      </c>
      <c r="FD14" s="126">
        <v>-554.080122407916</v>
      </c>
      <c r="FE14" s="126">
        <v>-41.038</v>
      </c>
      <c r="FF14" s="127">
        <v>13120.3933492858</v>
      </c>
      <c r="FG14" s="126">
        <v>1199.42372327084</v>
      </c>
      <c r="FH14" s="126">
        <v>261.707770827584</v>
      </c>
      <c r="FI14" s="126">
        <v>-11.50306</v>
      </c>
      <c r="FJ14" s="127">
        <v>14570.0217833842</v>
      </c>
      <c r="FK14" s="126">
        <v>857.820124284577</v>
      </c>
      <c r="FL14" s="126">
        <v>217.085341114257</v>
      </c>
      <c r="FM14" s="126">
        <v>-10.76997</v>
      </c>
      <c r="FN14" s="127">
        <v>15634.157278783</v>
      </c>
      <c r="FO14" s="126">
        <v>325.892897719432</v>
      </c>
      <c r="FP14" s="126">
        <v>-167.163883300105</v>
      </c>
      <c r="FQ14" s="126">
        <v>184.44547</v>
      </c>
      <c r="FR14" s="127">
        <v>15977.3317632023</v>
      </c>
      <c r="FS14" s="126">
        <v>2064.25366399283</v>
      </c>
      <c r="FT14" s="126">
        <v>257.029740170374</v>
      </c>
      <c r="FU14" s="126">
        <v>-11.205</v>
      </c>
      <c r="FV14" s="127">
        <v>18287.4101673655</v>
      </c>
      <c r="FW14" s="126">
        <v>281.314793351851</v>
      </c>
      <c r="FX14" s="126">
        <v>584.628664340931</v>
      </c>
      <c r="FY14" s="126">
        <v>-1.21348</v>
      </c>
      <c r="FZ14" s="128">
        <v>19152.1401450583</v>
      </c>
    </row>
    <row r="15" spans="1:182">
      <c r="A15" s="91" t="s">
        <v>164</v>
      </c>
      <c r="B15" s="129">
        <v>1467.555</v>
      </c>
      <c r="C15" s="130">
        <v>-621.099999999998</v>
      </c>
      <c r="D15" s="130">
        <v>-9.63400000000003</v>
      </c>
      <c r="E15" s="130">
        <v>0.685999999997698</v>
      </c>
      <c r="F15" s="130">
        <v>837.507</v>
      </c>
      <c r="G15" s="130">
        <v>-30.1410000000021</v>
      </c>
      <c r="H15" s="130">
        <v>-0.657729999999988</v>
      </c>
      <c r="I15" s="130">
        <v>-4.29026999999738</v>
      </c>
      <c r="J15" s="130">
        <v>802.418000000001</v>
      </c>
      <c r="K15" s="130">
        <v>72.0660000000019</v>
      </c>
      <c r="L15" s="130">
        <v>-98.622</v>
      </c>
      <c r="M15" s="130">
        <v>-0.371000000000121</v>
      </c>
      <c r="N15" s="130">
        <v>775.491000000002</v>
      </c>
      <c r="O15" s="130">
        <v>41.2619999999963</v>
      </c>
      <c r="P15" s="130">
        <v>-50.502</v>
      </c>
      <c r="Q15" s="130">
        <v>-1.86999999999867</v>
      </c>
      <c r="R15" s="130">
        <v>764.381</v>
      </c>
      <c r="S15" s="130">
        <v>13.652999999999</v>
      </c>
      <c r="T15" s="130">
        <v>-11.62</v>
      </c>
      <c r="U15" s="130">
        <v>-0.295</v>
      </c>
      <c r="V15" s="130">
        <v>766.118999999999</v>
      </c>
      <c r="W15" s="130">
        <v>4.49844411830988</v>
      </c>
      <c r="X15" s="130">
        <v>-19.4854441183111</v>
      </c>
      <c r="Y15" s="130">
        <v>-0.042</v>
      </c>
      <c r="Z15" s="130">
        <v>751.089999999998</v>
      </c>
      <c r="AA15" s="130">
        <v>-19.9350000000026</v>
      </c>
      <c r="AB15" s="130">
        <v>8.94799999999998</v>
      </c>
      <c r="AC15" s="130">
        <v>-0.188000000000675</v>
      </c>
      <c r="AD15" s="130">
        <v>739.914999999994</v>
      </c>
      <c r="AE15" s="130">
        <v>-202.823000000002</v>
      </c>
      <c r="AF15" s="130">
        <v>47.456</v>
      </c>
      <c r="AG15" s="130">
        <v>-1.2579999999992</v>
      </c>
      <c r="AH15" s="130">
        <v>583.289999999993</v>
      </c>
      <c r="AI15" s="130">
        <v>86.138</v>
      </c>
      <c r="AJ15" s="130">
        <v>-30.008</v>
      </c>
      <c r="AK15" s="130">
        <v>7.23800000000144</v>
      </c>
      <c r="AL15" s="130">
        <v>646.657999999994</v>
      </c>
      <c r="AM15" s="130">
        <v>24.8549999999975</v>
      </c>
      <c r="AN15" s="130">
        <v>-8.86</v>
      </c>
      <c r="AO15" s="130">
        <v>0.0190000000034032</v>
      </c>
      <c r="AP15" s="130">
        <v>662.671999999995</v>
      </c>
      <c r="AQ15" s="130">
        <v>90.7739999999966</v>
      </c>
      <c r="AR15" s="130">
        <v>-12.5210152125335</v>
      </c>
      <c r="AS15" s="130">
        <v>30.1003076302493</v>
      </c>
      <c r="AT15" s="130">
        <v>771.025292417708</v>
      </c>
      <c r="AU15" s="130">
        <v>-69.7532943372947</v>
      </c>
      <c r="AV15" s="130">
        <v>16.7487553574295</v>
      </c>
      <c r="AW15" s="130">
        <v>-16.4550000000019</v>
      </c>
      <c r="AX15" s="130">
        <v>701.565753437841</v>
      </c>
      <c r="AY15" s="130">
        <v>5.59172968733</v>
      </c>
      <c r="AZ15" s="130">
        <v>14.1470522648517</v>
      </c>
      <c r="BA15" s="130">
        <v>-6.521</v>
      </c>
      <c r="BB15" s="130">
        <v>714.783535390022</v>
      </c>
      <c r="BC15" s="130">
        <v>168.539146123794</v>
      </c>
      <c r="BD15" s="130">
        <v>-23.3366815138291</v>
      </c>
      <c r="BE15" s="130">
        <v>-2.438</v>
      </c>
      <c r="BF15" s="130">
        <v>857.547999999988</v>
      </c>
      <c r="BG15" s="130">
        <v>117.897999999997</v>
      </c>
      <c r="BH15" s="130">
        <v>-16.238</v>
      </c>
      <c r="BI15" s="130">
        <v>-4.187</v>
      </c>
      <c r="BJ15" s="130">
        <v>955.020999999985</v>
      </c>
      <c r="BK15" s="130">
        <v>70.5859999999933</v>
      </c>
      <c r="BL15" s="130">
        <v>-24.259</v>
      </c>
      <c r="BM15" s="130">
        <v>-4.293</v>
      </c>
      <c r="BN15" s="130">
        <v>997.054999999978</v>
      </c>
      <c r="BO15" s="130">
        <v>239.295000000003</v>
      </c>
      <c r="BP15" s="130">
        <v>-27.641</v>
      </c>
      <c r="BQ15" s="130">
        <v>-0.58</v>
      </c>
      <c r="BR15" s="130">
        <v>1208.12899999998</v>
      </c>
      <c r="BS15" s="130">
        <v>-23.5469999999891</v>
      </c>
      <c r="BT15" s="130">
        <v>4.332</v>
      </c>
      <c r="BU15" s="130">
        <v>-0.854</v>
      </c>
      <c r="BV15" s="130">
        <v>1188.05999999999</v>
      </c>
      <c r="BW15" s="130">
        <v>-224.518999999999</v>
      </c>
      <c r="BX15" s="130">
        <v>-28.432</v>
      </c>
      <c r="BY15" s="130">
        <v>-0.166</v>
      </c>
      <c r="BZ15" s="130">
        <v>934.942999999993</v>
      </c>
      <c r="CA15" s="130">
        <v>149.327000000001</v>
      </c>
      <c r="CB15" s="130">
        <v>13.864</v>
      </c>
      <c r="CC15" s="130">
        <v>-0.475</v>
      </c>
      <c r="CD15" s="130">
        <v>1097.65899999999</v>
      </c>
      <c r="CE15" s="130">
        <v>-88.9619999999978</v>
      </c>
      <c r="CF15" s="130">
        <v>-69.573</v>
      </c>
      <c r="CG15" s="130">
        <v>3.4</v>
      </c>
      <c r="CH15" s="130">
        <v>942.523999999997</v>
      </c>
      <c r="CI15" s="130">
        <v>188.52</v>
      </c>
      <c r="CJ15" s="130">
        <v>57.751</v>
      </c>
      <c r="CK15" s="130">
        <v>-1.233</v>
      </c>
      <c r="CL15" s="130">
        <v>1187.562</v>
      </c>
      <c r="CM15" s="130">
        <v>385.510000000002</v>
      </c>
      <c r="CN15" s="130">
        <v>-139.963</v>
      </c>
      <c r="CO15" s="130">
        <v>-59.679</v>
      </c>
      <c r="CP15" s="130">
        <v>1373.43</v>
      </c>
      <c r="CQ15" s="130">
        <v>-80.6310000000008</v>
      </c>
      <c r="CR15" s="130">
        <v>19.1808</v>
      </c>
      <c r="CS15" s="130">
        <v>0.434</v>
      </c>
      <c r="CT15" s="130">
        <v>1312.4138</v>
      </c>
      <c r="CU15" s="131">
        <v>268.675</v>
      </c>
      <c r="CV15" s="131">
        <v>-11.568</v>
      </c>
      <c r="CW15" s="131">
        <v>-6.80099999999659</v>
      </c>
      <c r="CX15" s="131">
        <v>1562.7198</v>
      </c>
      <c r="CY15" s="131">
        <v>649.425999999991</v>
      </c>
      <c r="CZ15" s="131">
        <v>0.937000000000003</v>
      </c>
      <c r="DA15" s="131">
        <v>-8.345</v>
      </c>
      <c r="DB15" s="131">
        <v>2204.73779999999</v>
      </c>
      <c r="DC15" s="131">
        <v>-237.155999999999</v>
      </c>
      <c r="DD15" s="131">
        <v>7.2322</v>
      </c>
      <c r="DE15" s="131">
        <v>0.224</v>
      </c>
      <c r="DF15" s="131">
        <v>1975.03799999999</v>
      </c>
      <c r="DG15" s="131">
        <v>-125.378000000002</v>
      </c>
      <c r="DH15" s="131">
        <v>-11.218</v>
      </c>
      <c r="DI15" s="131">
        <v>-0.732</v>
      </c>
      <c r="DJ15" s="131">
        <v>1837.70999999999</v>
      </c>
      <c r="DK15" s="131">
        <v>45.4603099999999</v>
      </c>
      <c r="DL15" s="131">
        <v>123.73127</v>
      </c>
      <c r="DM15" s="131">
        <v>652.558440000003</v>
      </c>
      <c r="DN15" s="131">
        <v>2659.46002</v>
      </c>
      <c r="DO15" s="131">
        <v>401.83690000001</v>
      </c>
      <c r="DP15" s="131">
        <v>349.58727</v>
      </c>
      <c r="DQ15" s="131">
        <v>-1.82609000000005</v>
      </c>
      <c r="DR15" s="131">
        <v>3409.05810000001</v>
      </c>
      <c r="DS15" s="131">
        <v>908.914160216053</v>
      </c>
      <c r="DT15" s="131">
        <v>-117.98269</v>
      </c>
      <c r="DU15" s="131">
        <v>-0.904</v>
      </c>
      <c r="DV15" s="131">
        <v>4199.08557021606</v>
      </c>
      <c r="DW15" s="131">
        <v>1808.13969978396</v>
      </c>
      <c r="DX15" s="131">
        <v>-347.03533</v>
      </c>
      <c r="DY15" s="131">
        <v>-1.896</v>
      </c>
      <c r="DZ15" s="131">
        <v>5658.29394000002</v>
      </c>
      <c r="EA15" s="131">
        <v>272.478736121806</v>
      </c>
      <c r="EB15" s="131">
        <v>40.9342338781889</v>
      </c>
      <c r="EC15" s="131">
        <v>32.4896700000034</v>
      </c>
      <c r="ED15" s="131">
        <v>6004.19658000002</v>
      </c>
      <c r="EE15" s="131">
        <v>-761.928018167485</v>
      </c>
      <c r="EF15" s="131">
        <v>-13.6562718325013</v>
      </c>
      <c r="EG15" s="131">
        <v>-4.005</v>
      </c>
      <c r="EH15" s="131">
        <v>5224.60729000003</v>
      </c>
      <c r="EI15" s="131">
        <v>251.054866506667</v>
      </c>
      <c r="EJ15" s="131">
        <v>-142.518168626462</v>
      </c>
      <c r="EK15" s="131">
        <v>-3.177</v>
      </c>
      <c r="EL15" s="131">
        <v>5329.96698788024</v>
      </c>
      <c r="EM15" s="131">
        <v>1266.6644333346</v>
      </c>
      <c r="EN15" s="131">
        <v>-291.250621214735</v>
      </c>
      <c r="EO15" s="131">
        <v>28.03</v>
      </c>
      <c r="EP15" s="131">
        <v>6333.4108000001</v>
      </c>
      <c r="EQ15" s="131">
        <v>594.749637723188</v>
      </c>
      <c r="ER15" s="131">
        <v>-0.321467723161811</v>
      </c>
      <c r="ES15" s="131">
        <v>-4.28244</v>
      </c>
      <c r="ET15" s="131">
        <v>6923.55653000013</v>
      </c>
      <c r="EU15" s="131">
        <v>1059.94912555812</v>
      </c>
      <c r="EV15" s="131">
        <v>-19.9338455580953</v>
      </c>
      <c r="EW15" s="131">
        <v>-1.955</v>
      </c>
      <c r="EX15" s="131">
        <v>7961.61681000015</v>
      </c>
      <c r="EY15" s="131">
        <v>514.913636331228</v>
      </c>
      <c r="EZ15" s="131">
        <v>-86.0665713312188</v>
      </c>
      <c r="FA15" s="131">
        <v>-6.24216</v>
      </c>
      <c r="FB15" s="131">
        <v>8384.22171500016</v>
      </c>
      <c r="FC15" s="131">
        <v>-1207.39785859782</v>
      </c>
      <c r="FD15" s="131">
        <v>-509.360427865912</v>
      </c>
      <c r="FE15" s="131">
        <v>-33.918</v>
      </c>
      <c r="FF15" s="131">
        <v>6633.54542853643</v>
      </c>
      <c r="FG15" s="131">
        <v>1183.58708394519</v>
      </c>
      <c r="FH15" s="131">
        <v>18.5959075185576</v>
      </c>
      <c r="FI15" s="131">
        <v>-5.49506</v>
      </c>
      <c r="FJ15" s="131">
        <v>7830.23336000018</v>
      </c>
      <c r="FK15" s="131">
        <v>724.137651879817</v>
      </c>
      <c r="FL15" s="131">
        <v>-628.406801879836</v>
      </c>
      <c r="FM15" s="131">
        <v>-3.77897</v>
      </c>
      <c r="FN15" s="131">
        <v>7922.18524000016</v>
      </c>
      <c r="FO15" s="131">
        <v>-306.053823382533</v>
      </c>
      <c r="FP15" s="131">
        <v>-356.401366795911</v>
      </c>
      <c r="FQ15" s="131">
        <v>188.30147</v>
      </c>
      <c r="FR15" s="131">
        <v>7448.03151982171</v>
      </c>
      <c r="FS15" s="131">
        <v>374.855940136344</v>
      </c>
      <c r="FT15" s="131">
        <v>108.387810965907</v>
      </c>
      <c r="FU15" s="131">
        <v>-4.371</v>
      </c>
      <c r="FV15" s="131">
        <v>7926.90427092396</v>
      </c>
      <c r="FW15" s="131">
        <v>510.152192811818</v>
      </c>
      <c r="FX15" s="131">
        <v>609.257335171111</v>
      </c>
      <c r="FY15" s="131">
        <v>6.36052</v>
      </c>
      <c r="FZ15" s="132">
        <v>9052.67431890689</v>
      </c>
    </row>
    <row r="16" spans="1:182">
      <c r="A16" s="91" t="s">
        <v>166</v>
      </c>
      <c r="B16" s="129">
        <v>8651.92621493657</v>
      </c>
      <c r="C16" s="130">
        <v>-127.210874695621</v>
      </c>
      <c r="D16" s="130">
        <v>-70.0280625443021</v>
      </c>
      <c r="E16" s="130">
        <v>0.609</v>
      </c>
      <c r="F16" s="130">
        <v>8455.29627769664</v>
      </c>
      <c r="G16" s="130">
        <v>71.1872530869334</v>
      </c>
      <c r="H16" s="130">
        <v>335.827472681939</v>
      </c>
      <c r="I16" s="130">
        <v>1.745</v>
      </c>
      <c r="J16" s="130">
        <v>8864.05600346552</v>
      </c>
      <c r="K16" s="130">
        <v>-803.086</v>
      </c>
      <c r="L16" s="130">
        <v>-261.994394916818</v>
      </c>
      <c r="M16" s="130">
        <v>0.974</v>
      </c>
      <c r="N16" s="130">
        <v>7799.9496085487</v>
      </c>
      <c r="O16" s="130">
        <v>-628.5103</v>
      </c>
      <c r="P16" s="130">
        <v>-15.063071554222</v>
      </c>
      <c r="Q16" s="130">
        <v>52.022</v>
      </c>
      <c r="R16" s="130">
        <v>7208.39823699448</v>
      </c>
      <c r="S16" s="130">
        <v>-178.629955417541</v>
      </c>
      <c r="T16" s="130">
        <v>-98.095755885834</v>
      </c>
      <c r="U16" s="130">
        <v>-0.158</v>
      </c>
      <c r="V16" s="130">
        <v>6931.5145256911</v>
      </c>
      <c r="W16" s="130">
        <v>-171.55080459623</v>
      </c>
      <c r="X16" s="130">
        <v>156.064963043342</v>
      </c>
      <c r="Y16" s="130">
        <v>-0.02</v>
      </c>
      <c r="Z16" s="130">
        <v>6916.00868413821</v>
      </c>
      <c r="AA16" s="130">
        <v>-156.326409701494</v>
      </c>
      <c r="AB16" s="130">
        <v>62.4227300367102</v>
      </c>
      <c r="AC16" s="130">
        <v>0.118</v>
      </c>
      <c r="AD16" s="130">
        <v>6822.22300447343</v>
      </c>
      <c r="AE16" s="130">
        <v>-338.15723760654</v>
      </c>
      <c r="AF16" s="130">
        <v>87.5974976418631</v>
      </c>
      <c r="AG16" s="130">
        <v>-1.692</v>
      </c>
      <c r="AH16" s="130">
        <v>6569.97126450875</v>
      </c>
      <c r="AI16" s="130">
        <v>-652.59785893057</v>
      </c>
      <c r="AJ16" s="130">
        <v>98.4210848254086</v>
      </c>
      <c r="AK16" s="130">
        <v>-0.177000000000034</v>
      </c>
      <c r="AL16" s="130">
        <v>6015.61749040359</v>
      </c>
      <c r="AM16" s="130">
        <v>-628.488654780989</v>
      </c>
      <c r="AN16" s="130">
        <v>118.279586061463</v>
      </c>
      <c r="AO16" s="130">
        <v>0.0019999999999914</v>
      </c>
      <c r="AP16" s="130">
        <v>5505.41042168406</v>
      </c>
      <c r="AQ16" s="130">
        <v>-8.71988979984363</v>
      </c>
      <c r="AR16" s="130">
        <v>21.5374089551483</v>
      </c>
      <c r="AS16" s="130">
        <v>-0.250307630247811</v>
      </c>
      <c r="AT16" s="130">
        <v>5517.97763320912</v>
      </c>
      <c r="AU16" s="130">
        <v>213.603601774104</v>
      </c>
      <c r="AV16" s="130">
        <v>65.7919937149519</v>
      </c>
      <c r="AW16" s="130">
        <v>2.935</v>
      </c>
      <c r="AX16" s="130">
        <v>5800.30822869818</v>
      </c>
      <c r="AY16" s="130">
        <v>-526.246571193609</v>
      </c>
      <c r="AZ16" s="130">
        <v>-53.2518588077735</v>
      </c>
      <c r="BA16" s="130">
        <v>-1.794</v>
      </c>
      <c r="BB16" s="130">
        <v>5219.01579869679</v>
      </c>
      <c r="BC16" s="130">
        <v>29.9476039331622</v>
      </c>
      <c r="BD16" s="130">
        <v>-28.9747327310904</v>
      </c>
      <c r="BE16" s="130">
        <v>-10.274</v>
      </c>
      <c r="BF16" s="130">
        <v>5209.71466989887</v>
      </c>
      <c r="BG16" s="130">
        <v>-346.894001804082</v>
      </c>
      <c r="BH16" s="130">
        <v>-61.8137605672271</v>
      </c>
      <c r="BI16" s="130">
        <v>-5.903</v>
      </c>
      <c r="BJ16" s="130">
        <v>4795.10390752755</v>
      </c>
      <c r="BK16" s="130">
        <v>30.8162894987049</v>
      </c>
      <c r="BL16" s="130">
        <v>-72.0382221050852</v>
      </c>
      <c r="BM16" s="130">
        <v>1.09</v>
      </c>
      <c r="BN16" s="130">
        <v>4754.97197492117</v>
      </c>
      <c r="BO16" s="130">
        <v>-666.991968883382</v>
      </c>
      <c r="BP16" s="130">
        <v>-48.7140596200025</v>
      </c>
      <c r="BQ16" s="130">
        <v>1.141</v>
      </c>
      <c r="BR16" s="130">
        <v>4040.40694641779</v>
      </c>
      <c r="BS16" s="130">
        <v>-138.499027754085</v>
      </c>
      <c r="BT16" s="130">
        <v>20.9222788789797</v>
      </c>
      <c r="BU16" s="130">
        <v>1.79163621652264</v>
      </c>
      <c r="BV16" s="130">
        <v>3924.62183375921</v>
      </c>
      <c r="BW16" s="130">
        <v>-276.375298739318</v>
      </c>
      <c r="BX16" s="130">
        <v>6.49569110859609</v>
      </c>
      <c r="BY16" s="130">
        <v>0.518240279295968</v>
      </c>
      <c r="BZ16" s="130">
        <v>3655.26046640778</v>
      </c>
      <c r="CA16" s="130">
        <v>104.798368731564</v>
      </c>
      <c r="CB16" s="130">
        <v>-40.8438413058645</v>
      </c>
      <c r="CC16" s="130">
        <v>1.252</v>
      </c>
      <c r="CD16" s="130">
        <v>3720.46699383348</v>
      </c>
      <c r="CE16" s="130">
        <v>212.928507888622</v>
      </c>
      <c r="CF16" s="130">
        <v>-226.039373272762</v>
      </c>
      <c r="CG16" s="130">
        <v>-0.669884279831804</v>
      </c>
      <c r="CH16" s="130">
        <v>3706.68624416951</v>
      </c>
      <c r="CI16" s="130">
        <v>46.6372125212704</v>
      </c>
      <c r="CJ16" s="130">
        <v>127.546340530346</v>
      </c>
      <c r="CK16" s="130">
        <v>-0.379010000000003</v>
      </c>
      <c r="CL16" s="130">
        <v>3880.49078722113</v>
      </c>
      <c r="CM16" s="130">
        <v>-148.50293548335</v>
      </c>
      <c r="CN16" s="130">
        <v>-51.1919341965717</v>
      </c>
      <c r="CO16" s="130">
        <v>-0.754</v>
      </c>
      <c r="CP16" s="130">
        <v>3680.0419175412</v>
      </c>
      <c r="CQ16" s="130">
        <v>-276.742642852809</v>
      </c>
      <c r="CR16" s="130">
        <v>122.364794270176</v>
      </c>
      <c r="CS16" s="130">
        <v>-0.649</v>
      </c>
      <c r="CT16" s="130">
        <v>3525.01506895857</v>
      </c>
      <c r="CU16" s="131">
        <v>-229.088156883785</v>
      </c>
      <c r="CV16" s="131">
        <v>114.941724619408</v>
      </c>
      <c r="CW16" s="131">
        <v>5.169</v>
      </c>
      <c r="CX16" s="131">
        <v>3416.03763669419</v>
      </c>
      <c r="CY16" s="131">
        <v>434.116193214435</v>
      </c>
      <c r="CZ16" s="131">
        <v>-78.97322087125</v>
      </c>
      <c r="DA16" s="131">
        <v>-0.782</v>
      </c>
      <c r="DB16" s="131">
        <v>3770.39860903738</v>
      </c>
      <c r="DC16" s="131">
        <v>-0.518066487189017</v>
      </c>
      <c r="DD16" s="131">
        <v>-8.37339304240014</v>
      </c>
      <c r="DE16" s="131">
        <v>-1.477</v>
      </c>
      <c r="DF16" s="131">
        <v>3760.03014950779</v>
      </c>
      <c r="DG16" s="131">
        <v>-104.810527311145</v>
      </c>
      <c r="DH16" s="131">
        <v>1.19793133367849</v>
      </c>
      <c r="DI16" s="131">
        <v>-0.308</v>
      </c>
      <c r="DJ16" s="131">
        <v>3656.10955353032</v>
      </c>
      <c r="DK16" s="131">
        <v>2000.03400344933</v>
      </c>
      <c r="DL16" s="131">
        <v>-90.0302648756175</v>
      </c>
      <c r="DM16" s="131">
        <v>-0.282</v>
      </c>
      <c r="DN16" s="131">
        <v>5565.83129210403</v>
      </c>
      <c r="DO16" s="131">
        <v>-294.73607088776</v>
      </c>
      <c r="DP16" s="131">
        <v>996.288322412409</v>
      </c>
      <c r="DQ16" s="131">
        <v>-0.842</v>
      </c>
      <c r="DR16" s="131">
        <v>6266.54154362868</v>
      </c>
      <c r="DS16" s="131">
        <v>-2114.29229338263</v>
      </c>
      <c r="DT16" s="131">
        <v>-343.18682404791</v>
      </c>
      <c r="DU16" s="131">
        <v>-1.815</v>
      </c>
      <c r="DV16" s="131">
        <v>3807.24742619814</v>
      </c>
      <c r="DW16" s="131">
        <v>87.3787620488476</v>
      </c>
      <c r="DX16" s="131">
        <v>125.282038219921</v>
      </c>
      <c r="DY16" s="131">
        <v>-2.782</v>
      </c>
      <c r="DZ16" s="131">
        <v>4017.12622646691</v>
      </c>
      <c r="EA16" s="131">
        <v>564.60657083843</v>
      </c>
      <c r="EB16" s="131">
        <v>39.4802240566027</v>
      </c>
      <c r="EC16" s="131">
        <v>-8.72743</v>
      </c>
      <c r="ED16" s="131">
        <v>4612.48559136194</v>
      </c>
      <c r="EE16" s="131">
        <v>335.745576084706</v>
      </c>
      <c r="EF16" s="131">
        <v>-0.334776229053878</v>
      </c>
      <c r="EG16" s="131">
        <v>-9.918</v>
      </c>
      <c r="EH16" s="131">
        <v>4937.97839121759</v>
      </c>
      <c r="EI16" s="131">
        <v>537.050173870726</v>
      </c>
      <c r="EJ16" s="131">
        <v>-163.158083874057</v>
      </c>
      <c r="EK16" s="131">
        <v>-10.718</v>
      </c>
      <c r="EL16" s="131">
        <v>5301.15248121426</v>
      </c>
      <c r="EM16" s="131">
        <v>-476.882777527454</v>
      </c>
      <c r="EN16" s="131">
        <v>88.7326607389052</v>
      </c>
      <c r="EO16" s="131">
        <v>-44.161</v>
      </c>
      <c r="EP16" s="131">
        <v>4868.84136442571</v>
      </c>
      <c r="EQ16" s="131">
        <v>709.781346049035</v>
      </c>
      <c r="ER16" s="131">
        <v>36.702363638668</v>
      </c>
      <c r="ES16" s="131">
        <v>-8.069</v>
      </c>
      <c r="ET16" s="131">
        <v>5607.25607411342</v>
      </c>
      <c r="EU16" s="131">
        <v>744.044620232788</v>
      </c>
      <c r="EV16" s="131">
        <v>14.3814645243471</v>
      </c>
      <c r="EW16" s="131">
        <v>-4.227</v>
      </c>
      <c r="EX16" s="131">
        <v>6361.45515887055</v>
      </c>
      <c r="EY16" s="131">
        <v>217.67903696181</v>
      </c>
      <c r="EZ16" s="131">
        <v>-232.678517515931</v>
      </c>
      <c r="FA16" s="131">
        <v>-5.747</v>
      </c>
      <c r="FB16" s="131">
        <v>6340.70867831643</v>
      </c>
      <c r="FC16" s="131">
        <v>197.978936974901</v>
      </c>
      <c r="FD16" s="131">
        <v>-44.719694542004</v>
      </c>
      <c r="FE16" s="131">
        <v>-7.12</v>
      </c>
      <c r="FF16" s="131">
        <v>6486.84792074933</v>
      </c>
      <c r="FG16" s="131">
        <v>15.836639325645</v>
      </c>
      <c r="FH16" s="131">
        <v>243.111863309027</v>
      </c>
      <c r="FI16" s="131">
        <v>-6.008</v>
      </c>
      <c r="FJ16" s="131">
        <v>6739.788423384</v>
      </c>
      <c r="FK16" s="131">
        <v>133.682472404761</v>
      </c>
      <c r="FL16" s="131">
        <v>845.492142994093</v>
      </c>
      <c r="FM16" s="131">
        <v>-6.991</v>
      </c>
      <c r="FN16" s="131">
        <v>7711.97203878285</v>
      </c>
      <c r="FO16" s="131">
        <v>631.946721101966</v>
      </c>
      <c r="FP16" s="131">
        <v>189.237483495806</v>
      </c>
      <c r="FQ16" s="131">
        <v>-3.856</v>
      </c>
      <c r="FR16" s="131">
        <v>8529.30024338062</v>
      </c>
      <c r="FS16" s="131">
        <v>1689.39772385649</v>
      </c>
      <c r="FT16" s="131">
        <v>148.641929204467</v>
      </c>
      <c r="FU16" s="131">
        <v>-6.834</v>
      </c>
      <c r="FV16" s="131">
        <v>10360.5058964416</v>
      </c>
      <c r="FW16" s="131">
        <v>-228.837399459968</v>
      </c>
      <c r="FX16" s="131">
        <v>-24.6286708301799</v>
      </c>
      <c r="FY16" s="131">
        <v>-7.574</v>
      </c>
      <c r="FZ16" s="132">
        <v>10099.4658261514</v>
      </c>
    </row>
    <row r="17" spans="1:182">
      <c r="A17" s="122" t="s">
        <v>186</v>
      </c>
      <c r="B17" s="123">
        <v>59572.81981023</v>
      </c>
      <c r="C17" s="124">
        <v>-1976.41284616148</v>
      </c>
      <c r="D17" s="124">
        <v>-504.762565546827</v>
      </c>
      <c r="E17" s="124">
        <v>-15173.08579</v>
      </c>
      <c r="F17" s="125">
        <v>41918.5586085217</v>
      </c>
      <c r="G17" s="124">
        <v>-935.863658718781</v>
      </c>
      <c r="H17" s="124">
        <v>604.480315218411</v>
      </c>
      <c r="I17" s="124">
        <v>-454.050928989999</v>
      </c>
      <c r="J17" s="125">
        <v>41133.1243360314</v>
      </c>
      <c r="K17" s="124">
        <v>-475.695993698816</v>
      </c>
      <c r="L17" s="124">
        <v>-1229.03490757817</v>
      </c>
      <c r="M17" s="124">
        <v>-248.232480005581</v>
      </c>
      <c r="N17" s="125">
        <v>39180.1609547488</v>
      </c>
      <c r="O17" s="124">
        <v>-2406.11352650309</v>
      </c>
      <c r="P17" s="124">
        <v>186.395646879528</v>
      </c>
      <c r="Q17" s="124">
        <v>-402.136789985979</v>
      </c>
      <c r="R17" s="125">
        <v>36558.3062851393</v>
      </c>
      <c r="S17" s="124">
        <v>-108.985148678558</v>
      </c>
      <c r="T17" s="124">
        <v>-60.4039739709099</v>
      </c>
      <c r="U17" s="124">
        <v>84.9021399999976</v>
      </c>
      <c r="V17" s="125">
        <v>36473.8193024898</v>
      </c>
      <c r="W17" s="124">
        <v>2200.64062784504</v>
      </c>
      <c r="X17" s="124">
        <v>484.891792085519</v>
      </c>
      <c r="Y17" s="124">
        <v>-56.5710536542637</v>
      </c>
      <c r="Z17" s="125">
        <v>39102.7806687661</v>
      </c>
      <c r="AA17" s="124">
        <v>247.635105200347</v>
      </c>
      <c r="AB17" s="124">
        <v>327.798358629892</v>
      </c>
      <c r="AC17" s="124">
        <v>-149.589994960362</v>
      </c>
      <c r="AD17" s="125">
        <v>39528.624137636</v>
      </c>
      <c r="AE17" s="124">
        <v>-315.462736946552</v>
      </c>
      <c r="AF17" s="124">
        <v>-224.816768391783</v>
      </c>
      <c r="AG17" s="124">
        <v>-149.530434809991</v>
      </c>
      <c r="AH17" s="125">
        <v>38838.8141974876</v>
      </c>
      <c r="AI17" s="124">
        <v>379.48603079778</v>
      </c>
      <c r="AJ17" s="124">
        <v>240.813345022769</v>
      </c>
      <c r="AK17" s="124">
        <v>621.834169999992</v>
      </c>
      <c r="AL17" s="125">
        <v>40080.9477433082</v>
      </c>
      <c r="AM17" s="124">
        <v>2117.79554834135</v>
      </c>
      <c r="AN17" s="124">
        <v>100.516065062434</v>
      </c>
      <c r="AO17" s="124">
        <v>-136.186323939053</v>
      </c>
      <c r="AP17" s="125">
        <v>42163.0730327729</v>
      </c>
      <c r="AQ17" s="124">
        <v>1839.19371335466</v>
      </c>
      <c r="AR17" s="124">
        <v>7.83931396981512</v>
      </c>
      <c r="AS17" s="124">
        <v>-700.104443034297</v>
      </c>
      <c r="AT17" s="125">
        <v>43310.0016170631</v>
      </c>
      <c r="AU17" s="124">
        <v>-21.4525779802599</v>
      </c>
      <c r="AV17" s="124">
        <v>273.199873640628</v>
      </c>
      <c r="AW17" s="124">
        <v>52.6140442805373</v>
      </c>
      <c r="AX17" s="125">
        <v>43614.362957004</v>
      </c>
      <c r="AY17" s="124">
        <v>27.1853433612648</v>
      </c>
      <c r="AZ17" s="124">
        <v>-207.908845132916</v>
      </c>
      <c r="BA17" s="124">
        <v>-230.643102999999</v>
      </c>
      <c r="BB17" s="125">
        <v>43202.9963522323</v>
      </c>
      <c r="BC17" s="124">
        <v>192.708050407428</v>
      </c>
      <c r="BD17" s="124">
        <v>-621.376713132269</v>
      </c>
      <c r="BE17" s="124">
        <v>109.717138331594</v>
      </c>
      <c r="BF17" s="125">
        <v>42884.0448278391</v>
      </c>
      <c r="BG17" s="124">
        <v>-1408.66092684421</v>
      </c>
      <c r="BH17" s="124">
        <v>127.065306171077</v>
      </c>
      <c r="BI17" s="124">
        <v>-296.444097719256</v>
      </c>
      <c r="BJ17" s="125">
        <v>41306.0051094467</v>
      </c>
      <c r="BK17" s="124">
        <v>-1280.51479387233</v>
      </c>
      <c r="BL17" s="124">
        <v>-414.513781534496</v>
      </c>
      <c r="BM17" s="124">
        <v>50.7023416721907</v>
      </c>
      <c r="BN17" s="125">
        <v>39661.6788757121</v>
      </c>
      <c r="BO17" s="124">
        <v>-900.694815249267</v>
      </c>
      <c r="BP17" s="124">
        <v>558.795799788695</v>
      </c>
      <c r="BQ17" s="124">
        <v>-299.444822626556</v>
      </c>
      <c r="BR17" s="125">
        <v>39020.3350376249</v>
      </c>
      <c r="BS17" s="124">
        <v>226.751167491061</v>
      </c>
      <c r="BT17" s="124">
        <v>636.319779486453</v>
      </c>
      <c r="BU17" s="124">
        <v>-221.560152329275</v>
      </c>
      <c r="BV17" s="125">
        <v>39661.8458322732</v>
      </c>
      <c r="BW17" s="124">
        <v>1075.16953058592</v>
      </c>
      <c r="BX17" s="124">
        <v>395.634399520056</v>
      </c>
      <c r="BY17" s="124">
        <v>-119.620400423975</v>
      </c>
      <c r="BZ17" s="125">
        <v>41013.0293619552</v>
      </c>
      <c r="CA17" s="124">
        <v>589.097130367017</v>
      </c>
      <c r="CB17" s="124">
        <v>-555.799567203192</v>
      </c>
      <c r="CC17" s="124">
        <v>-5.78014973258847</v>
      </c>
      <c r="CD17" s="125">
        <v>41040.5467753864</v>
      </c>
      <c r="CE17" s="124">
        <v>-74.6723505165205</v>
      </c>
      <c r="CF17" s="124">
        <v>-2160.14713084107</v>
      </c>
      <c r="CG17" s="124">
        <v>-1400.91680942455</v>
      </c>
      <c r="CH17" s="125">
        <v>37404.8104846043</v>
      </c>
      <c r="CI17" s="124">
        <v>446.750052095811</v>
      </c>
      <c r="CJ17" s="124">
        <v>1939.62912195981</v>
      </c>
      <c r="CK17" s="124">
        <v>-53.4517541428399</v>
      </c>
      <c r="CL17" s="125">
        <v>39737.737904517</v>
      </c>
      <c r="CM17" s="124">
        <v>480.292136019606</v>
      </c>
      <c r="CN17" s="124">
        <v>627.900885633775</v>
      </c>
      <c r="CO17" s="124">
        <v>-144.91084420854</v>
      </c>
      <c r="CP17" s="125">
        <v>40701.0200819619</v>
      </c>
      <c r="CQ17" s="124">
        <v>380.798634905208</v>
      </c>
      <c r="CR17" s="124">
        <v>379.788675564145</v>
      </c>
      <c r="CS17" s="124">
        <v>-73.5802430257236</v>
      </c>
      <c r="CT17" s="125">
        <v>41388.0271494055</v>
      </c>
      <c r="CU17" s="126">
        <v>368.152141073778</v>
      </c>
      <c r="CV17" s="126">
        <v>-215.037856815971</v>
      </c>
      <c r="CW17" s="126">
        <v>-128.885426481933</v>
      </c>
      <c r="CX17" s="127">
        <v>41412.2560071814</v>
      </c>
      <c r="CY17" s="126">
        <v>1003.17472321869</v>
      </c>
      <c r="CZ17" s="126">
        <v>352.565444952484</v>
      </c>
      <c r="DA17" s="126">
        <v>-105.861895265924</v>
      </c>
      <c r="DB17" s="127">
        <v>42662.1342800866</v>
      </c>
      <c r="DC17" s="126">
        <v>610.9348672073</v>
      </c>
      <c r="DD17" s="126">
        <v>-234.778304609841</v>
      </c>
      <c r="DE17" s="126">
        <v>-129.907707276604</v>
      </c>
      <c r="DF17" s="127">
        <v>42908.3831354075</v>
      </c>
      <c r="DG17" s="126">
        <v>1411.58330912205</v>
      </c>
      <c r="DH17" s="126">
        <v>-270.017437205676</v>
      </c>
      <c r="DI17" s="126">
        <v>-36.552784750019</v>
      </c>
      <c r="DJ17" s="127">
        <v>44013.3962225738</v>
      </c>
      <c r="DK17" s="126">
        <v>-861.868410906807</v>
      </c>
      <c r="DL17" s="126">
        <v>-2510.04460167119</v>
      </c>
      <c r="DM17" s="126">
        <v>-97.5177681645972</v>
      </c>
      <c r="DN17" s="127">
        <v>40543.9654418312</v>
      </c>
      <c r="DO17" s="126">
        <v>2241.12598619817</v>
      </c>
      <c r="DP17" s="126">
        <v>513.570561319553</v>
      </c>
      <c r="DQ17" s="126">
        <v>292.849121880867</v>
      </c>
      <c r="DR17" s="127">
        <v>43591.5111112298</v>
      </c>
      <c r="DS17" s="126">
        <v>1596.89531406893</v>
      </c>
      <c r="DT17" s="126">
        <v>-1113.66656239335</v>
      </c>
      <c r="DU17" s="126">
        <v>-322.5665574937</v>
      </c>
      <c r="DV17" s="127">
        <v>43752.1733054117</v>
      </c>
      <c r="DW17" s="126">
        <v>-416.657567162282</v>
      </c>
      <c r="DX17" s="126">
        <v>-7.86552565993561</v>
      </c>
      <c r="DY17" s="126">
        <v>-1100.34836590458</v>
      </c>
      <c r="DZ17" s="127">
        <v>42227.3018466849</v>
      </c>
      <c r="EA17" s="126">
        <v>873.652275419601</v>
      </c>
      <c r="EB17" s="126">
        <v>-110.90063057953</v>
      </c>
      <c r="EC17" s="126">
        <v>275.450551376636</v>
      </c>
      <c r="ED17" s="127">
        <v>43265.5040429016</v>
      </c>
      <c r="EE17" s="126">
        <v>1135.82241941943</v>
      </c>
      <c r="EF17" s="126">
        <v>-539.920617510923</v>
      </c>
      <c r="EG17" s="126">
        <v>-92.7916197446567</v>
      </c>
      <c r="EH17" s="127">
        <v>43768.6142250655</v>
      </c>
      <c r="EI17" s="126">
        <v>2124.97651219503</v>
      </c>
      <c r="EJ17" s="126">
        <v>-630.046870886692</v>
      </c>
      <c r="EK17" s="126">
        <v>-258.993959539214</v>
      </c>
      <c r="EL17" s="127">
        <v>45004.5499068346</v>
      </c>
      <c r="EM17" s="126">
        <v>-777.045783449529</v>
      </c>
      <c r="EN17" s="126">
        <v>718.928039915523</v>
      </c>
      <c r="EO17" s="126">
        <v>517.030604611929</v>
      </c>
      <c r="EP17" s="127">
        <v>45463.4627679125</v>
      </c>
      <c r="EQ17" s="126">
        <v>-282.777451605325</v>
      </c>
      <c r="ER17" s="126">
        <v>-39.2454812427182</v>
      </c>
      <c r="ES17" s="126">
        <v>30.7160460573339</v>
      </c>
      <c r="ET17" s="127">
        <v>45172.1558811218</v>
      </c>
      <c r="EU17" s="126">
        <v>649.304423009921</v>
      </c>
      <c r="EV17" s="126">
        <v>43.2300201222829</v>
      </c>
      <c r="EW17" s="126">
        <v>33.8731443848273</v>
      </c>
      <c r="EX17" s="127">
        <v>45898.5634686389</v>
      </c>
      <c r="EY17" s="126">
        <v>-47.9492514843102</v>
      </c>
      <c r="EZ17" s="126">
        <v>-110.487070048167</v>
      </c>
      <c r="FA17" s="126">
        <v>-38.650826333782</v>
      </c>
      <c r="FB17" s="127">
        <v>45701.4763207726</v>
      </c>
      <c r="FC17" s="126">
        <v>553.668642997011</v>
      </c>
      <c r="FD17" s="126">
        <v>-1379.78747373358</v>
      </c>
      <c r="FE17" s="126">
        <v>297.359805354743</v>
      </c>
      <c r="FF17" s="127">
        <v>45172.7172953908</v>
      </c>
      <c r="FG17" s="126">
        <v>1927.38062789781</v>
      </c>
      <c r="FH17" s="126">
        <v>846.288791996045</v>
      </c>
      <c r="FI17" s="126">
        <v>263.895704938091</v>
      </c>
      <c r="FJ17" s="127">
        <v>48210.2824202227</v>
      </c>
      <c r="FK17" s="126">
        <v>1571.14115811316</v>
      </c>
      <c r="FL17" s="126">
        <v>650.377955038213</v>
      </c>
      <c r="FM17" s="126">
        <v>-281.141972603863</v>
      </c>
      <c r="FN17" s="127">
        <v>50150.6595607702</v>
      </c>
      <c r="FO17" s="126">
        <v>1060.37446597665</v>
      </c>
      <c r="FP17" s="126">
        <v>-182.23211922763</v>
      </c>
      <c r="FQ17" s="126">
        <v>-357.153121588187</v>
      </c>
      <c r="FR17" s="127">
        <v>50671.6487859311</v>
      </c>
      <c r="FS17" s="126">
        <v>3064.72937732662</v>
      </c>
      <c r="FT17" s="126">
        <v>1068.97419780636</v>
      </c>
      <c r="FU17" s="126">
        <v>257.494788885061</v>
      </c>
      <c r="FV17" s="127">
        <v>55062.8471499491</v>
      </c>
      <c r="FW17" s="126">
        <v>2594.43896453208</v>
      </c>
      <c r="FX17" s="126">
        <v>-371.947476313977</v>
      </c>
      <c r="FY17" s="126">
        <v>39.1037976235813</v>
      </c>
      <c r="FZ17" s="128">
        <v>57324.4424357908</v>
      </c>
    </row>
    <row r="18" spans="1:182">
      <c r="A18" s="91" t="s">
        <v>164</v>
      </c>
      <c r="B18" s="129">
        <v>8029.41249</v>
      </c>
      <c r="C18" s="130">
        <v>-492.27879</v>
      </c>
      <c r="D18" s="130">
        <v>-15.29674</v>
      </c>
      <c r="E18" s="130">
        <v>-312.450809999999</v>
      </c>
      <c r="F18" s="130">
        <v>7209.38615</v>
      </c>
      <c r="G18" s="130">
        <v>-272.56073</v>
      </c>
      <c r="H18" s="130">
        <v>8.20555</v>
      </c>
      <c r="I18" s="130">
        <v>13.2251699999989</v>
      </c>
      <c r="J18" s="130">
        <v>6958.25614</v>
      </c>
      <c r="K18" s="130">
        <v>-750.9685</v>
      </c>
      <c r="L18" s="130">
        <v>-61.74089</v>
      </c>
      <c r="M18" s="130">
        <v>-587.7711</v>
      </c>
      <c r="N18" s="130">
        <v>5557.77565</v>
      </c>
      <c r="O18" s="130">
        <v>57.1196000000006</v>
      </c>
      <c r="P18" s="130">
        <v>-66.59636</v>
      </c>
      <c r="Q18" s="130">
        <v>-149.954220000001</v>
      </c>
      <c r="R18" s="130">
        <v>5398.34467</v>
      </c>
      <c r="S18" s="130">
        <v>8.82189000000027</v>
      </c>
      <c r="T18" s="130">
        <v>-3.22219</v>
      </c>
      <c r="U18" s="130">
        <v>-58.3022600000004</v>
      </c>
      <c r="V18" s="130">
        <v>5345.64211</v>
      </c>
      <c r="W18" s="130">
        <v>141.37839</v>
      </c>
      <c r="X18" s="130">
        <v>8.6576</v>
      </c>
      <c r="Y18" s="130">
        <v>-105.865550000001</v>
      </c>
      <c r="Z18" s="130">
        <v>5389.81255</v>
      </c>
      <c r="AA18" s="130">
        <v>504.546024809999</v>
      </c>
      <c r="AB18" s="130">
        <v>0.43014</v>
      </c>
      <c r="AC18" s="130">
        <v>-96.0237900000097</v>
      </c>
      <c r="AD18" s="130">
        <v>5798.76492480999</v>
      </c>
      <c r="AE18" s="130">
        <v>-156.17486</v>
      </c>
      <c r="AF18" s="130">
        <v>4.87614</v>
      </c>
      <c r="AG18" s="130">
        <v>73.3818851900098</v>
      </c>
      <c r="AH18" s="130">
        <v>5720.84809</v>
      </c>
      <c r="AI18" s="130">
        <v>48.1887536900102</v>
      </c>
      <c r="AJ18" s="130">
        <v>11.61659</v>
      </c>
      <c r="AK18" s="130">
        <v>-13.5352700000104</v>
      </c>
      <c r="AL18" s="130">
        <v>5767.11816369</v>
      </c>
      <c r="AM18" s="130">
        <v>184.20863718945</v>
      </c>
      <c r="AN18" s="130">
        <v>9.50111</v>
      </c>
      <c r="AO18" s="130">
        <v>-37.6119694899996</v>
      </c>
      <c r="AP18" s="130">
        <v>5923.21594138945</v>
      </c>
      <c r="AQ18" s="130">
        <v>342.274037997531</v>
      </c>
      <c r="AR18" s="130">
        <v>-74.430839999</v>
      </c>
      <c r="AS18" s="130">
        <v>60.2326290799995</v>
      </c>
      <c r="AT18" s="130">
        <v>6251.29176846798</v>
      </c>
      <c r="AU18" s="130">
        <v>227.726348</v>
      </c>
      <c r="AV18" s="130">
        <v>-11.031280001</v>
      </c>
      <c r="AW18" s="130">
        <v>-121.433416466981</v>
      </c>
      <c r="AX18" s="130">
        <v>6346.55342</v>
      </c>
      <c r="AY18" s="130">
        <v>-133.353254</v>
      </c>
      <c r="AZ18" s="130">
        <v>45.85375</v>
      </c>
      <c r="BA18" s="130">
        <v>-73.3931029999999</v>
      </c>
      <c r="BB18" s="130">
        <v>6185.660813</v>
      </c>
      <c r="BC18" s="130">
        <v>358.184189</v>
      </c>
      <c r="BD18" s="130">
        <v>-60.60628</v>
      </c>
      <c r="BE18" s="130">
        <v>29.11032</v>
      </c>
      <c r="BF18" s="130">
        <v>6512.349042</v>
      </c>
      <c r="BG18" s="130">
        <v>565.130246999999</v>
      </c>
      <c r="BH18" s="130">
        <v>-53.429899</v>
      </c>
      <c r="BI18" s="130">
        <v>-131.55901</v>
      </c>
      <c r="BJ18" s="130">
        <v>6892.49038</v>
      </c>
      <c r="BK18" s="130">
        <v>111.90018455285</v>
      </c>
      <c r="BL18" s="130">
        <v>-57.66951</v>
      </c>
      <c r="BM18" s="130">
        <v>-97.4694900000007</v>
      </c>
      <c r="BN18" s="130">
        <v>6849.25156455285</v>
      </c>
      <c r="BO18" s="130">
        <v>-134.65127</v>
      </c>
      <c r="BP18" s="130">
        <v>6.14635</v>
      </c>
      <c r="BQ18" s="130">
        <v>-204.913294552854</v>
      </c>
      <c r="BR18" s="130">
        <v>6515.83334999999</v>
      </c>
      <c r="BS18" s="130">
        <v>411.63296</v>
      </c>
      <c r="BT18" s="130">
        <v>14.64117</v>
      </c>
      <c r="BU18" s="130">
        <v>-132.457230000001</v>
      </c>
      <c r="BV18" s="130">
        <v>6809.65024999999</v>
      </c>
      <c r="BW18" s="130">
        <v>399.405852</v>
      </c>
      <c r="BX18" s="130">
        <v>-5.40647</v>
      </c>
      <c r="BY18" s="130">
        <v>-87.9935419999999</v>
      </c>
      <c r="BZ18" s="130">
        <v>7115.65608999999</v>
      </c>
      <c r="CA18" s="130">
        <v>221.20671</v>
      </c>
      <c r="CB18" s="130">
        <v>26.09733</v>
      </c>
      <c r="CC18" s="130">
        <v>-84.06908</v>
      </c>
      <c r="CD18" s="130">
        <v>7278.89104999999</v>
      </c>
      <c r="CE18" s="130">
        <v>18.7050382977101</v>
      </c>
      <c r="CF18" s="130">
        <v>-167.26478</v>
      </c>
      <c r="CG18" s="130">
        <v>-214.803579999999</v>
      </c>
      <c r="CH18" s="130">
        <v>6915.5277282977</v>
      </c>
      <c r="CI18" s="130">
        <v>388.059295000001</v>
      </c>
      <c r="CJ18" s="130">
        <v>67.73591</v>
      </c>
      <c r="CK18" s="130">
        <v>-29.1906372977</v>
      </c>
      <c r="CL18" s="130">
        <v>7342.132296</v>
      </c>
      <c r="CM18" s="130">
        <v>241.5198797</v>
      </c>
      <c r="CN18" s="130">
        <v>-52.30128</v>
      </c>
      <c r="CO18" s="130">
        <v>-91.2485299999996</v>
      </c>
      <c r="CP18" s="130">
        <v>7440.1023657</v>
      </c>
      <c r="CQ18" s="130">
        <v>-229.5536119</v>
      </c>
      <c r="CR18" s="130">
        <v>21.91822</v>
      </c>
      <c r="CS18" s="130">
        <v>83.4947603000002</v>
      </c>
      <c r="CT18" s="130">
        <v>7315.9617341</v>
      </c>
      <c r="CU18" s="131">
        <v>702.372053549231</v>
      </c>
      <c r="CV18" s="131">
        <v>-20.27851</v>
      </c>
      <c r="CW18" s="131">
        <v>22.2117830907701</v>
      </c>
      <c r="CX18" s="131">
        <v>8020.26706074</v>
      </c>
      <c r="CY18" s="131">
        <v>783.276686000001</v>
      </c>
      <c r="CZ18" s="131">
        <v>-4.92485</v>
      </c>
      <c r="DA18" s="131">
        <v>-9.85795074000013</v>
      </c>
      <c r="DB18" s="131">
        <v>8788.760946</v>
      </c>
      <c r="DC18" s="131">
        <v>-148.688917913989</v>
      </c>
      <c r="DD18" s="131">
        <v>-12.795964</v>
      </c>
      <c r="DE18" s="131">
        <v>-36.1842900000005</v>
      </c>
      <c r="DF18" s="131">
        <v>8591.09177408601</v>
      </c>
      <c r="DG18" s="131">
        <v>1151.50670891399</v>
      </c>
      <c r="DH18" s="131">
        <v>-10.360537</v>
      </c>
      <c r="DI18" s="131">
        <v>-79.2627819999999</v>
      </c>
      <c r="DJ18" s="131">
        <v>9652.975164</v>
      </c>
      <c r="DK18" s="131">
        <v>-851.565112</v>
      </c>
      <c r="DL18" s="131">
        <v>-52.700679</v>
      </c>
      <c r="DM18" s="131">
        <v>-220.463453</v>
      </c>
      <c r="DN18" s="131">
        <v>8528.24592</v>
      </c>
      <c r="DO18" s="131">
        <v>1786.28770703387</v>
      </c>
      <c r="DP18" s="131">
        <v>171.36937</v>
      </c>
      <c r="DQ18" s="131">
        <v>-50.6002459999995</v>
      </c>
      <c r="DR18" s="131">
        <v>10435.3027510339</v>
      </c>
      <c r="DS18" s="131">
        <v>1228.2800625</v>
      </c>
      <c r="DT18" s="131">
        <v>-114.39016</v>
      </c>
      <c r="DU18" s="131">
        <v>-438.418830033866</v>
      </c>
      <c r="DV18" s="131">
        <v>11110.7738235</v>
      </c>
      <c r="DW18" s="131">
        <v>337.458074</v>
      </c>
      <c r="DX18" s="131">
        <v>-124.5613</v>
      </c>
      <c r="DY18" s="131">
        <v>-932.525989500001</v>
      </c>
      <c r="DZ18" s="131">
        <v>10391.144608</v>
      </c>
      <c r="EA18" s="131">
        <v>585.83736534</v>
      </c>
      <c r="EB18" s="131">
        <v>-7.623905</v>
      </c>
      <c r="EC18" s="131">
        <v>-31.4765825</v>
      </c>
      <c r="ED18" s="131">
        <v>10937.88148584</v>
      </c>
      <c r="EE18" s="131">
        <v>950.808079179997</v>
      </c>
      <c r="EF18" s="131">
        <v>-83.653672</v>
      </c>
      <c r="EG18" s="131">
        <v>-3.10641384000114</v>
      </c>
      <c r="EH18" s="131">
        <v>11801.92947918</v>
      </c>
      <c r="EI18" s="131">
        <v>931.84220669</v>
      </c>
      <c r="EJ18" s="131">
        <v>-154.25652</v>
      </c>
      <c r="EK18" s="131">
        <v>16.1611815300029</v>
      </c>
      <c r="EL18" s="131">
        <v>12595.6763474</v>
      </c>
      <c r="EM18" s="131">
        <v>-11.4697331953987</v>
      </c>
      <c r="EN18" s="131">
        <v>59.4664</v>
      </c>
      <c r="EO18" s="131">
        <v>20.3428627398988</v>
      </c>
      <c r="EP18" s="131">
        <v>12664.0158769445</v>
      </c>
      <c r="EQ18" s="131">
        <v>-661.434581999999</v>
      </c>
      <c r="ER18" s="131">
        <v>56.64221</v>
      </c>
      <c r="ES18" s="131">
        <v>-136.2172394145</v>
      </c>
      <c r="ET18" s="131">
        <v>11923.00626553</v>
      </c>
      <c r="EU18" s="131">
        <v>548.178741000001</v>
      </c>
      <c r="EV18" s="131">
        <v>-15.32197</v>
      </c>
      <c r="EW18" s="131">
        <v>-22.4049955299998</v>
      </c>
      <c r="EX18" s="131">
        <v>12433.458041</v>
      </c>
      <c r="EY18" s="131">
        <v>51.3519499999979</v>
      </c>
      <c r="EZ18" s="131">
        <v>-27.36948</v>
      </c>
      <c r="FA18" s="131">
        <v>-45.8009410000001</v>
      </c>
      <c r="FB18" s="131">
        <v>12411.63957</v>
      </c>
      <c r="FC18" s="131">
        <v>-110.69185</v>
      </c>
      <c r="FD18" s="131">
        <v>-169.25037</v>
      </c>
      <c r="FE18" s="131">
        <v>-48.1198300000001</v>
      </c>
      <c r="FF18" s="131">
        <v>12083.57752</v>
      </c>
      <c r="FG18" s="131">
        <v>1209.4129</v>
      </c>
      <c r="FH18" s="131">
        <v>186.31141</v>
      </c>
      <c r="FI18" s="131">
        <v>-156.837799999989</v>
      </c>
      <c r="FJ18" s="131">
        <v>13322.46403</v>
      </c>
      <c r="FK18" s="131">
        <v>909.45956899</v>
      </c>
      <c r="FL18" s="131">
        <v>73.46335</v>
      </c>
      <c r="FM18" s="131">
        <v>-169.097739999999</v>
      </c>
      <c r="FN18" s="131">
        <v>14136.28920899</v>
      </c>
      <c r="FO18" s="131">
        <v>-767.801422</v>
      </c>
      <c r="FP18" s="131">
        <v>-64.47778</v>
      </c>
      <c r="FQ18" s="131">
        <v>-138.5384719899</v>
      </c>
      <c r="FR18" s="131">
        <v>13165.4715350001</v>
      </c>
      <c r="FS18" s="131">
        <v>-302.504298</v>
      </c>
      <c r="FT18" s="131">
        <v>177.45934</v>
      </c>
      <c r="FU18" s="131">
        <v>7.0120620000013</v>
      </c>
      <c r="FV18" s="131">
        <v>13047.4386390001</v>
      </c>
      <c r="FW18" s="131">
        <v>658.6416908</v>
      </c>
      <c r="FX18" s="131">
        <v>-31.25702</v>
      </c>
      <c r="FY18" s="131">
        <v>319.682695540001</v>
      </c>
      <c r="FZ18" s="132">
        <v>13994.5060053401</v>
      </c>
    </row>
    <row r="19" spans="1:182">
      <c r="A19" s="91" t="s">
        <v>166</v>
      </c>
      <c r="B19" s="129">
        <v>51543.40732023</v>
      </c>
      <c r="C19" s="130">
        <v>-1484.13405616148</v>
      </c>
      <c r="D19" s="130">
        <v>-489.465825546827</v>
      </c>
      <c r="E19" s="130">
        <v>-14860.63498</v>
      </c>
      <c r="F19" s="130">
        <v>34709.1724585217</v>
      </c>
      <c r="G19" s="130">
        <v>-663.302928718782</v>
      </c>
      <c r="H19" s="130">
        <v>596.274765218411</v>
      </c>
      <c r="I19" s="130">
        <v>-467.276098989998</v>
      </c>
      <c r="J19" s="130">
        <v>34174.8681960314</v>
      </c>
      <c r="K19" s="130">
        <v>275.272506301184</v>
      </c>
      <c r="L19" s="130">
        <v>-1167.29401757817</v>
      </c>
      <c r="M19" s="130">
        <v>339.538619994419</v>
      </c>
      <c r="N19" s="130">
        <v>33622.3853047488</v>
      </c>
      <c r="O19" s="130">
        <v>-2463.23312650309</v>
      </c>
      <c r="P19" s="130">
        <v>252.992006879528</v>
      </c>
      <c r="Q19" s="130">
        <v>-252.182569985978</v>
      </c>
      <c r="R19" s="130">
        <v>31159.9616151393</v>
      </c>
      <c r="S19" s="130">
        <v>-117.807038678558</v>
      </c>
      <c r="T19" s="130">
        <v>-57.1817839709099</v>
      </c>
      <c r="U19" s="130">
        <v>143.204399999998</v>
      </c>
      <c r="V19" s="130">
        <v>31128.1771924898</v>
      </c>
      <c r="W19" s="130">
        <v>2059.26223784504</v>
      </c>
      <c r="X19" s="130">
        <v>476.234192085519</v>
      </c>
      <c r="Y19" s="130">
        <v>49.294496345737</v>
      </c>
      <c r="Z19" s="130">
        <v>33712.9681187661</v>
      </c>
      <c r="AA19" s="130">
        <v>-256.910919609653</v>
      </c>
      <c r="AB19" s="130">
        <v>327.368218629892</v>
      </c>
      <c r="AC19" s="130">
        <v>-53.5662049603519</v>
      </c>
      <c r="AD19" s="130">
        <v>33729.859212826</v>
      </c>
      <c r="AE19" s="130">
        <v>-159.287876946552</v>
      </c>
      <c r="AF19" s="130">
        <v>-229.692908391783</v>
      </c>
      <c r="AG19" s="130">
        <v>-222.912320000001</v>
      </c>
      <c r="AH19" s="130">
        <v>33117.9661074876</v>
      </c>
      <c r="AI19" s="130">
        <v>331.29727710777</v>
      </c>
      <c r="AJ19" s="130">
        <v>229.196755022769</v>
      </c>
      <c r="AK19" s="130">
        <v>635.369440000003</v>
      </c>
      <c r="AL19" s="130">
        <v>34313.8295796182</v>
      </c>
      <c r="AM19" s="130">
        <v>1933.5869111519</v>
      </c>
      <c r="AN19" s="130">
        <v>91.0149550624345</v>
      </c>
      <c r="AO19" s="130">
        <v>-98.5743544490533</v>
      </c>
      <c r="AP19" s="130">
        <v>36239.8570913835</v>
      </c>
      <c r="AQ19" s="130">
        <v>1496.91967535713</v>
      </c>
      <c r="AR19" s="130">
        <v>82.2701539688151</v>
      </c>
      <c r="AS19" s="130">
        <v>-760.337072114296</v>
      </c>
      <c r="AT19" s="130">
        <v>37058.7098485951</v>
      </c>
      <c r="AU19" s="130">
        <v>-249.17892598026</v>
      </c>
      <c r="AV19" s="130">
        <v>284.231153641628</v>
      </c>
      <c r="AW19" s="130">
        <v>174.047460747518</v>
      </c>
      <c r="AX19" s="130">
        <v>37267.809537004</v>
      </c>
      <c r="AY19" s="130">
        <v>160.538597361265</v>
      </c>
      <c r="AZ19" s="130">
        <v>-253.762595132916</v>
      </c>
      <c r="BA19" s="130">
        <v>-157.249999999999</v>
      </c>
      <c r="BB19" s="130">
        <v>37017.3355392323</v>
      </c>
      <c r="BC19" s="130">
        <v>-165.476138592572</v>
      </c>
      <c r="BD19" s="130">
        <v>-560.770433132269</v>
      </c>
      <c r="BE19" s="130">
        <v>80.6068183315943</v>
      </c>
      <c r="BF19" s="130">
        <v>36371.6957858391</v>
      </c>
      <c r="BG19" s="130">
        <v>-1973.79117384421</v>
      </c>
      <c r="BH19" s="130">
        <v>180.495205171077</v>
      </c>
      <c r="BI19" s="130">
        <v>-164.885087719256</v>
      </c>
      <c r="BJ19" s="130">
        <v>34413.5147294467</v>
      </c>
      <c r="BK19" s="130">
        <v>-1392.41497842518</v>
      </c>
      <c r="BL19" s="130">
        <v>-356.844271534496</v>
      </c>
      <c r="BM19" s="130">
        <v>148.171831672191</v>
      </c>
      <c r="BN19" s="130">
        <v>32812.4273111592</v>
      </c>
      <c r="BO19" s="130">
        <v>-766.043545249268</v>
      </c>
      <c r="BP19" s="130">
        <v>552.649449788695</v>
      </c>
      <c r="BQ19" s="130">
        <v>-94.5315280737022</v>
      </c>
      <c r="BR19" s="130">
        <v>32504.5016876249</v>
      </c>
      <c r="BS19" s="130">
        <v>-184.881792508938</v>
      </c>
      <c r="BT19" s="130">
        <v>621.678609486453</v>
      </c>
      <c r="BU19" s="130">
        <v>-89.1029223292741</v>
      </c>
      <c r="BV19" s="130">
        <v>32852.1955822732</v>
      </c>
      <c r="BW19" s="130">
        <v>675.763678585916</v>
      </c>
      <c r="BX19" s="130">
        <v>401.040869520056</v>
      </c>
      <c r="BY19" s="130">
        <v>-31.626858423975</v>
      </c>
      <c r="BZ19" s="130">
        <v>33897.3732719552</v>
      </c>
      <c r="CA19" s="130">
        <v>367.890420367017</v>
      </c>
      <c r="CB19" s="130">
        <v>-581.896897203192</v>
      </c>
      <c r="CC19" s="130">
        <v>78.2889302674115</v>
      </c>
      <c r="CD19" s="130">
        <v>33761.6557253864</v>
      </c>
      <c r="CE19" s="130">
        <v>-93.3773888142306</v>
      </c>
      <c r="CF19" s="130">
        <v>-1992.88235084107</v>
      </c>
      <c r="CG19" s="130">
        <v>-1186.11322942456</v>
      </c>
      <c r="CH19" s="130">
        <v>30489.2827563066</v>
      </c>
      <c r="CI19" s="130">
        <v>58.6907570958098</v>
      </c>
      <c r="CJ19" s="130">
        <v>1871.89321195981</v>
      </c>
      <c r="CK19" s="130">
        <v>-24.26111684514</v>
      </c>
      <c r="CL19" s="130">
        <v>32395.605608517</v>
      </c>
      <c r="CM19" s="130">
        <v>238.772256319606</v>
      </c>
      <c r="CN19" s="130">
        <v>680.202165633775</v>
      </c>
      <c r="CO19" s="130">
        <v>-53.6623142085401</v>
      </c>
      <c r="CP19" s="130">
        <v>33260.9177162619</v>
      </c>
      <c r="CQ19" s="130">
        <v>610.352246805208</v>
      </c>
      <c r="CR19" s="130">
        <v>357.870455564145</v>
      </c>
      <c r="CS19" s="130">
        <v>-157.075003325724</v>
      </c>
      <c r="CT19" s="130">
        <v>34072.0654153055</v>
      </c>
      <c r="CU19" s="131">
        <v>-334.219912475453</v>
      </c>
      <c r="CV19" s="131">
        <v>-194.759346815971</v>
      </c>
      <c r="CW19" s="131">
        <v>-151.097209572703</v>
      </c>
      <c r="CX19" s="131">
        <v>33391.9889464414</v>
      </c>
      <c r="CY19" s="131">
        <v>219.898037218684</v>
      </c>
      <c r="CZ19" s="131">
        <v>357.490294952484</v>
      </c>
      <c r="DA19" s="131">
        <v>-96.003944525924</v>
      </c>
      <c r="DB19" s="131">
        <v>33873.3733340866</v>
      </c>
      <c r="DC19" s="131">
        <v>759.623785121289</v>
      </c>
      <c r="DD19" s="131">
        <v>-221.982340609841</v>
      </c>
      <c r="DE19" s="131">
        <v>-93.7234172766035</v>
      </c>
      <c r="DF19" s="131">
        <v>34317.2913613215</v>
      </c>
      <c r="DG19" s="131">
        <v>260.076600208057</v>
      </c>
      <c r="DH19" s="131">
        <v>-259.656900205676</v>
      </c>
      <c r="DI19" s="131">
        <v>42.709997249981</v>
      </c>
      <c r="DJ19" s="131">
        <v>34360.4210585738</v>
      </c>
      <c r="DK19" s="131">
        <v>-10.3032989068071</v>
      </c>
      <c r="DL19" s="131">
        <v>-2457.34392267119</v>
      </c>
      <c r="DM19" s="131">
        <v>122.945684835403</v>
      </c>
      <c r="DN19" s="131">
        <v>32015.7195218312</v>
      </c>
      <c r="DO19" s="131">
        <v>454.838279164297</v>
      </c>
      <c r="DP19" s="131">
        <v>342.201191319553</v>
      </c>
      <c r="DQ19" s="131">
        <v>343.449367880867</v>
      </c>
      <c r="DR19" s="131">
        <v>33156.208360196</v>
      </c>
      <c r="DS19" s="131">
        <v>368.615251568931</v>
      </c>
      <c r="DT19" s="131">
        <v>-999.276402393347</v>
      </c>
      <c r="DU19" s="131">
        <v>115.852272540166</v>
      </c>
      <c r="DV19" s="131">
        <v>32641.3994819117</v>
      </c>
      <c r="DW19" s="131">
        <v>-754.115641162282</v>
      </c>
      <c r="DX19" s="131">
        <v>116.695774340064</v>
      </c>
      <c r="DY19" s="131">
        <v>-167.82237640458</v>
      </c>
      <c r="DZ19" s="131">
        <v>31836.1572386849</v>
      </c>
      <c r="EA19" s="131">
        <v>287.814910079601</v>
      </c>
      <c r="EB19" s="131">
        <v>-103.27672557953</v>
      </c>
      <c r="EC19" s="131">
        <v>306.927133876636</v>
      </c>
      <c r="ED19" s="131">
        <v>32327.6225570616</v>
      </c>
      <c r="EE19" s="131">
        <v>185.014340239432</v>
      </c>
      <c r="EF19" s="131">
        <v>-456.266945510923</v>
      </c>
      <c r="EG19" s="131">
        <v>-89.6852059046556</v>
      </c>
      <c r="EH19" s="131">
        <v>31966.6847458855</v>
      </c>
      <c r="EI19" s="131">
        <v>1193.13430550503</v>
      </c>
      <c r="EJ19" s="131">
        <v>-475.790350886692</v>
      </c>
      <c r="EK19" s="131">
        <v>-275.155141069217</v>
      </c>
      <c r="EL19" s="131">
        <v>32408.8735594346</v>
      </c>
      <c r="EM19" s="131">
        <v>-765.57605025413</v>
      </c>
      <c r="EN19" s="131">
        <v>659.461639915523</v>
      </c>
      <c r="EO19" s="131">
        <v>496.68774187203</v>
      </c>
      <c r="EP19" s="131">
        <v>32799.446890968</v>
      </c>
      <c r="EQ19" s="131">
        <v>378.657130394675</v>
      </c>
      <c r="ER19" s="131">
        <v>-95.8876912427182</v>
      </c>
      <c r="ES19" s="131">
        <v>166.933285471834</v>
      </c>
      <c r="ET19" s="131">
        <v>33249.1496155918</v>
      </c>
      <c r="EU19" s="131">
        <v>101.125682009921</v>
      </c>
      <c r="EV19" s="131">
        <v>58.5519901222829</v>
      </c>
      <c r="EW19" s="131">
        <v>56.2781399148271</v>
      </c>
      <c r="EX19" s="131">
        <v>33465.1054276388</v>
      </c>
      <c r="EY19" s="131">
        <v>-99.3012014843081</v>
      </c>
      <c r="EZ19" s="131">
        <v>-83.1175900481667</v>
      </c>
      <c r="FA19" s="131">
        <v>7.15011466621811</v>
      </c>
      <c r="FB19" s="131">
        <v>33289.8367507726</v>
      </c>
      <c r="FC19" s="131">
        <v>664.360492997011</v>
      </c>
      <c r="FD19" s="131">
        <v>-1210.53710373358</v>
      </c>
      <c r="FE19" s="131">
        <v>345.479635354743</v>
      </c>
      <c r="FF19" s="131">
        <v>33089.1397753908</v>
      </c>
      <c r="FG19" s="131">
        <v>717.967727897806</v>
      </c>
      <c r="FH19" s="131">
        <v>659.977381996045</v>
      </c>
      <c r="FI19" s="131">
        <v>420.73350493808</v>
      </c>
      <c r="FJ19" s="131">
        <v>34887.8183902227</v>
      </c>
      <c r="FK19" s="131">
        <v>661.681589123157</v>
      </c>
      <c r="FL19" s="131">
        <v>576.914605038213</v>
      </c>
      <c r="FM19" s="131">
        <v>-112.044232603864</v>
      </c>
      <c r="FN19" s="131">
        <v>36014.3703517802</v>
      </c>
      <c r="FO19" s="131">
        <v>1828.17588797665</v>
      </c>
      <c r="FP19" s="131">
        <v>-117.75433922763</v>
      </c>
      <c r="FQ19" s="131">
        <v>-218.614649598287</v>
      </c>
      <c r="FR19" s="131">
        <v>37506.1772509309</v>
      </c>
      <c r="FS19" s="131">
        <v>3367.23367532661</v>
      </c>
      <c r="FT19" s="131">
        <v>891.514857806361</v>
      </c>
      <c r="FU19" s="131">
        <v>250.48272688506</v>
      </c>
      <c r="FV19" s="131">
        <v>42015.408510949</v>
      </c>
      <c r="FW19" s="131">
        <v>1935.79727373208</v>
      </c>
      <c r="FX19" s="131">
        <v>-340.690456313977</v>
      </c>
      <c r="FY19" s="131">
        <v>-280.57889791642</v>
      </c>
      <c r="FZ19" s="132">
        <v>43329.9364304507</v>
      </c>
    </row>
    <row r="20" spans="1:182">
      <c r="A20" s="133" t="s">
        <v>191</v>
      </c>
      <c r="B20" s="134">
        <v>3464.1606248215</v>
      </c>
      <c r="C20" s="135">
        <v>-88.59344</v>
      </c>
      <c r="D20" s="135">
        <v>-112.148797158152</v>
      </c>
      <c r="E20" s="135">
        <v>54.1076599999997</v>
      </c>
      <c r="F20" s="136">
        <v>3317.52604766335</v>
      </c>
      <c r="G20" s="135">
        <v>-383.259449118192</v>
      </c>
      <c r="H20" s="135">
        <v>72.1530993342133</v>
      </c>
      <c r="I20" s="135">
        <v>-417.74965899</v>
      </c>
      <c r="J20" s="136">
        <v>2588.67003888937</v>
      </c>
      <c r="K20" s="135">
        <v>-20.8872046311339</v>
      </c>
      <c r="L20" s="135">
        <v>-141.459149725596</v>
      </c>
      <c r="M20" s="135">
        <v>13.6902199935552</v>
      </c>
      <c r="N20" s="136">
        <v>2440.01390452619</v>
      </c>
      <c r="O20" s="135">
        <v>162.68774</v>
      </c>
      <c r="P20" s="135">
        <v>-5.1307494572411</v>
      </c>
      <c r="Q20" s="135">
        <v>14.1281100044299</v>
      </c>
      <c r="R20" s="136">
        <v>2611.69900507338</v>
      </c>
      <c r="S20" s="135">
        <v>19.4468109516672</v>
      </c>
      <c r="T20" s="135">
        <v>-49.5480341770757</v>
      </c>
      <c r="U20" s="135">
        <v>6.12803999999989</v>
      </c>
      <c r="V20" s="136">
        <v>2587.72582184797</v>
      </c>
      <c r="W20" s="135">
        <v>-33.3027564482112</v>
      </c>
      <c r="X20" s="135">
        <v>107.60533460024</v>
      </c>
      <c r="Y20" s="135">
        <v>9.0371399999999</v>
      </c>
      <c r="Z20" s="136">
        <v>2671.06554</v>
      </c>
      <c r="AA20" s="135">
        <v>246.17073</v>
      </c>
      <c r="AB20" s="135">
        <v>58.15587</v>
      </c>
      <c r="AC20" s="135">
        <v>-53.3106900000001</v>
      </c>
      <c r="AD20" s="136">
        <v>2922.08145</v>
      </c>
      <c r="AE20" s="135">
        <v>-256.255543063681</v>
      </c>
      <c r="AF20" s="135">
        <v>-49.0106939853096</v>
      </c>
      <c r="AG20" s="135">
        <v>19.4968900000001</v>
      </c>
      <c r="AH20" s="136">
        <v>2636.31210295101</v>
      </c>
      <c r="AI20" s="135">
        <v>45.9105551144278</v>
      </c>
      <c r="AJ20" s="135">
        <v>88.340898905601</v>
      </c>
      <c r="AK20" s="135">
        <v>7.40968</v>
      </c>
      <c r="AL20" s="136">
        <v>2777.97323697104</v>
      </c>
      <c r="AM20" s="135">
        <v>-80.9241271704475</v>
      </c>
      <c r="AN20" s="135">
        <v>67.1217429926314</v>
      </c>
      <c r="AO20" s="135">
        <v>15.8446834596558</v>
      </c>
      <c r="AP20" s="136">
        <v>2780.01553625288</v>
      </c>
      <c r="AQ20" s="135">
        <v>110.330851935378</v>
      </c>
      <c r="AR20" s="135">
        <v>20.9221652397055</v>
      </c>
      <c r="AS20" s="135">
        <v>-20.4284321142942</v>
      </c>
      <c r="AT20" s="136">
        <v>2890.84012131367</v>
      </c>
      <c r="AU20" s="135">
        <v>-102.092905175035</v>
      </c>
      <c r="AV20" s="135">
        <v>11.654343203797</v>
      </c>
      <c r="AW20" s="135">
        <v>15.6487035840617</v>
      </c>
      <c r="AX20" s="136">
        <v>2816.05026292649</v>
      </c>
      <c r="AY20" s="135">
        <v>21.7136747193587</v>
      </c>
      <c r="AZ20" s="135">
        <v>37.3565365417995</v>
      </c>
      <c r="BA20" s="135">
        <v>33.15143</v>
      </c>
      <c r="BB20" s="136">
        <v>2908.27190418765</v>
      </c>
      <c r="BC20" s="135">
        <v>84.1783249371273</v>
      </c>
      <c r="BD20" s="135">
        <v>-108.844834817262</v>
      </c>
      <c r="BE20" s="135">
        <v>19.1827672342015</v>
      </c>
      <c r="BF20" s="136">
        <v>2902.78816154172</v>
      </c>
      <c r="BG20" s="135">
        <v>-514.780699899642</v>
      </c>
      <c r="BH20" s="135">
        <v>-8.01292348493534</v>
      </c>
      <c r="BI20" s="135">
        <v>14.2034407366662</v>
      </c>
      <c r="BJ20" s="136">
        <v>2394.1979788938</v>
      </c>
      <c r="BK20" s="135">
        <v>-162.708017046483</v>
      </c>
      <c r="BL20" s="135">
        <v>-43.7070288490709</v>
      </c>
      <c r="BM20" s="135">
        <v>23.4446002728914</v>
      </c>
      <c r="BN20" s="136">
        <v>2211.22753327114</v>
      </c>
      <c r="BO20" s="135">
        <v>-874.757185433649</v>
      </c>
      <c r="BP20" s="135">
        <v>69.1643403344657</v>
      </c>
      <c r="BQ20" s="135">
        <v>-32.5657380905786</v>
      </c>
      <c r="BR20" s="136">
        <v>1373.06895008138</v>
      </c>
      <c r="BS20" s="135">
        <v>-110.57267411844</v>
      </c>
      <c r="BT20" s="135">
        <v>5.32609996852828</v>
      </c>
      <c r="BU20" s="135">
        <v>78.0297077534498</v>
      </c>
      <c r="BV20" s="136">
        <v>1345.85208368492</v>
      </c>
      <c r="BW20" s="135">
        <v>-64.0757366613661</v>
      </c>
      <c r="BX20" s="135">
        <v>-16.1787915702821</v>
      </c>
      <c r="BY20" s="135">
        <v>-33.753747972267</v>
      </c>
      <c r="BZ20" s="136">
        <v>1231.843807481</v>
      </c>
      <c r="CA20" s="135">
        <v>-7.44891924553495</v>
      </c>
      <c r="CB20" s="135">
        <v>19.7331745095981</v>
      </c>
      <c r="CC20" s="135">
        <v>199.734239935367</v>
      </c>
      <c r="CD20" s="136">
        <v>1443.86230268043</v>
      </c>
      <c r="CE20" s="135">
        <v>-61.1337509547241</v>
      </c>
      <c r="CF20" s="135">
        <v>-135.926968552295</v>
      </c>
      <c r="CG20" s="135">
        <v>-23.0842944914501</v>
      </c>
      <c r="CH20" s="136">
        <v>1223.71728868196</v>
      </c>
      <c r="CI20" s="135">
        <v>-8.94618589255109</v>
      </c>
      <c r="CJ20" s="135">
        <v>67.3956582790541</v>
      </c>
      <c r="CK20" s="135">
        <v>14.1794293887633</v>
      </c>
      <c r="CL20" s="136">
        <v>1296.34619045723</v>
      </c>
      <c r="CM20" s="135">
        <v>-79.4864873549247</v>
      </c>
      <c r="CN20" s="135">
        <v>-45.8495014763886</v>
      </c>
      <c r="CO20" s="135">
        <v>31.0380235874985</v>
      </c>
      <c r="CP20" s="136">
        <v>1202.04822521341</v>
      </c>
      <c r="CQ20" s="135">
        <v>8.93136037494438</v>
      </c>
      <c r="CR20" s="135">
        <v>16.8615025373905</v>
      </c>
      <c r="CS20" s="135">
        <v>19.3534267475669</v>
      </c>
      <c r="CT20" s="136">
        <v>1247.19451487332</v>
      </c>
      <c r="CU20" s="137">
        <v>-106.446395099667</v>
      </c>
      <c r="CV20" s="137">
        <v>11.2819241209926</v>
      </c>
      <c r="CW20" s="137">
        <v>198.959070048849</v>
      </c>
      <c r="CX20" s="138">
        <v>1350.98911394349</v>
      </c>
      <c r="CY20" s="137">
        <v>-34.8081873890085</v>
      </c>
      <c r="CZ20" s="137">
        <v>10.8182811753873</v>
      </c>
      <c r="DA20" s="137">
        <v>54.8008346000001</v>
      </c>
      <c r="DB20" s="138">
        <v>1381.80004232987</v>
      </c>
      <c r="DC20" s="137">
        <v>-71.0815280077957</v>
      </c>
      <c r="DD20" s="137">
        <v>-3.68119836154847</v>
      </c>
      <c r="DE20" s="137">
        <v>42.1122118541313</v>
      </c>
      <c r="DF20" s="138">
        <v>1349.14952781466</v>
      </c>
      <c r="DG20" s="137">
        <v>1097.84391390848</v>
      </c>
      <c r="DH20" s="137">
        <v>-16.5915354242889</v>
      </c>
      <c r="DI20" s="137">
        <v>68.1077137</v>
      </c>
      <c r="DJ20" s="138">
        <v>2498.50961999885</v>
      </c>
      <c r="DK20" s="137">
        <v>-988.56501583473</v>
      </c>
      <c r="DL20" s="137">
        <v>-54.1807525074461</v>
      </c>
      <c r="DM20" s="137">
        <v>81.3641374446146</v>
      </c>
      <c r="DN20" s="138">
        <v>1537.12798910128</v>
      </c>
      <c r="DO20" s="137">
        <v>555.942435298582</v>
      </c>
      <c r="DP20" s="137">
        <v>44.5525694117689</v>
      </c>
      <c r="DQ20" s="137">
        <v>32.7628374999998</v>
      </c>
      <c r="DR20" s="138">
        <v>2170.38583131164</v>
      </c>
      <c r="DS20" s="137">
        <v>666.790194860204</v>
      </c>
      <c r="DT20" s="137">
        <v>-4.03164965248547</v>
      </c>
      <c r="DU20" s="137">
        <v>18.9501381370036</v>
      </c>
      <c r="DV20" s="138">
        <v>2852.09451465636</v>
      </c>
      <c r="DW20" s="137">
        <v>-879.105479529796</v>
      </c>
      <c r="DX20" s="137">
        <v>-98.4316572843726</v>
      </c>
      <c r="DY20" s="137">
        <v>-13.0830765278905</v>
      </c>
      <c r="DZ20" s="138">
        <v>1861.4743013143</v>
      </c>
      <c r="EA20" s="137">
        <v>-145.882553336658</v>
      </c>
      <c r="EB20" s="137">
        <v>8.14603557832603</v>
      </c>
      <c r="EC20" s="137">
        <v>211.735517982251</v>
      </c>
      <c r="ED20" s="138">
        <v>1935.47330153822</v>
      </c>
      <c r="EE20" s="137">
        <v>448.973721397305</v>
      </c>
      <c r="EF20" s="137">
        <v>-232.151436080062</v>
      </c>
      <c r="EG20" s="137">
        <v>39.0398795439462</v>
      </c>
      <c r="EH20" s="138">
        <v>2191.33546639941</v>
      </c>
      <c r="EI20" s="137">
        <v>35.6536274596617</v>
      </c>
      <c r="EJ20" s="137">
        <v>-59.5365354061287</v>
      </c>
      <c r="EK20" s="137">
        <v>181.120105913939</v>
      </c>
      <c r="EL20" s="138">
        <v>2348.57266436688</v>
      </c>
      <c r="EM20" s="137">
        <v>373.186542744549</v>
      </c>
      <c r="EN20" s="137">
        <v>-163.611738891803</v>
      </c>
      <c r="EO20" s="137">
        <v>328.582356165858</v>
      </c>
      <c r="EP20" s="138">
        <v>2886.72982438548</v>
      </c>
      <c r="EQ20" s="137">
        <v>150.492184662535</v>
      </c>
      <c r="ER20" s="137">
        <v>58.6832597348956</v>
      </c>
      <c r="ES20" s="137">
        <v>110.278379621636</v>
      </c>
      <c r="ET20" s="138">
        <v>3206.18364840455</v>
      </c>
      <c r="EU20" s="137">
        <v>37.8426319329531</v>
      </c>
      <c r="EV20" s="137">
        <v>-11.2744466367615</v>
      </c>
      <c r="EW20" s="137">
        <v>124.12879178</v>
      </c>
      <c r="EX20" s="138">
        <v>3356.88062548074</v>
      </c>
      <c r="EY20" s="137">
        <v>159.985497484046</v>
      </c>
      <c r="EZ20" s="137">
        <v>-247.836445203812</v>
      </c>
      <c r="FA20" s="137">
        <v>-21.6724579944304</v>
      </c>
      <c r="FB20" s="138">
        <v>3247.35721976654</v>
      </c>
      <c r="FC20" s="137">
        <v>243.280708807316</v>
      </c>
      <c r="FD20" s="137">
        <v>-64.6248626771739</v>
      </c>
      <c r="FE20" s="137">
        <v>160.188618134193</v>
      </c>
      <c r="FF20" s="138">
        <v>3586.20168403088</v>
      </c>
      <c r="FG20" s="137">
        <v>1131.31706551876</v>
      </c>
      <c r="FH20" s="137">
        <v>72.271859556556</v>
      </c>
      <c r="FI20" s="137">
        <v>177.829472798783</v>
      </c>
      <c r="FJ20" s="138">
        <v>4967.62008190497</v>
      </c>
      <c r="FK20" s="137">
        <v>696.670635228045</v>
      </c>
      <c r="FL20" s="137">
        <v>-13.3204772857299</v>
      </c>
      <c r="FM20" s="137">
        <v>-163.089193012094</v>
      </c>
      <c r="FN20" s="138">
        <v>5487.8810468352</v>
      </c>
      <c r="FO20" s="137">
        <v>-191.897158151304</v>
      </c>
      <c r="FP20" s="137">
        <v>-97.9258500920259</v>
      </c>
      <c r="FQ20" s="137">
        <v>-357.723015019766</v>
      </c>
      <c r="FR20" s="138">
        <v>4840.3350235721</v>
      </c>
      <c r="FS20" s="137">
        <v>1059.20348793716</v>
      </c>
      <c r="FT20" s="137">
        <v>257.03860190002</v>
      </c>
      <c r="FU20" s="137">
        <v>469.145911797905</v>
      </c>
      <c r="FV20" s="138">
        <v>6625.72302520719</v>
      </c>
      <c r="FW20" s="137">
        <v>1342.49122083482</v>
      </c>
      <c r="FX20" s="137">
        <v>-48.3186736629693</v>
      </c>
      <c r="FY20" s="137">
        <v>180.466423444331</v>
      </c>
      <c r="FZ20" s="139">
        <v>8100.36199582336</v>
      </c>
    </row>
    <row r="21" spans="1:182">
      <c r="A21" s="91" t="s">
        <v>164</v>
      </c>
      <c r="B21" s="140">
        <v>68.07842</v>
      </c>
      <c r="C21" s="141">
        <v>-8.49567000000002</v>
      </c>
      <c r="D21" s="141">
        <v>-0.85587</v>
      </c>
      <c r="E21" s="141">
        <v>20.229</v>
      </c>
      <c r="F21" s="141">
        <v>78.95588</v>
      </c>
      <c r="G21" s="141">
        <v>61.05853</v>
      </c>
      <c r="H21" s="141">
        <v>0.28457</v>
      </c>
      <c r="I21" s="141">
        <v>30.04057</v>
      </c>
      <c r="J21" s="141">
        <v>170.33955</v>
      </c>
      <c r="K21" s="141">
        <v>-21.27501</v>
      </c>
      <c r="L21" s="141">
        <v>-5.48456</v>
      </c>
      <c r="M21" s="141">
        <v>-61.41098</v>
      </c>
      <c r="N21" s="141">
        <v>82.169</v>
      </c>
      <c r="O21" s="141">
        <v>-34.85484</v>
      </c>
      <c r="P21" s="141">
        <v>-1.33822</v>
      </c>
      <c r="Q21" s="141">
        <v>11.36984</v>
      </c>
      <c r="R21" s="141">
        <v>57.34578</v>
      </c>
      <c r="S21" s="141">
        <v>23.37238</v>
      </c>
      <c r="T21" s="141">
        <v>1.40002</v>
      </c>
      <c r="U21" s="141">
        <v>6.92928</v>
      </c>
      <c r="V21" s="141">
        <v>89.04746</v>
      </c>
      <c r="W21" s="141">
        <v>-1.58750999999999</v>
      </c>
      <c r="X21" s="141">
        <v>0.25665</v>
      </c>
      <c r="Y21" s="141">
        <v>9.34008</v>
      </c>
      <c r="Z21" s="141">
        <v>97.05668</v>
      </c>
      <c r="AA21" s="141">
        <v>202.63561</v>
      </c>
      <c r="AB21" s="141">
        <v>0.18708</v>
      </c>
      <c r="AC21" s="141">
        <v>14.36042</v>
      </c>
      <c r="AD21" s="141">
        <v>314.23979</v>
      </c>
      <c r="AE21" s="141">
        <v>-258.88072</v>
      </c>
      <c r="AF21" s="141">
        <v>0.69747</v>
      </c>
      <c r="AG21" s="141">
        <v>20.5729299999999</v>
      </c>
      <c r="AH21" s="141">
        <v>76.6294699999999</v>
      </c>
      <c r="AI21" s="141">
        <v>-20.19613</v>
      </c>
      <c r="AJ21" s="141">
        <v>17.74602</v>
      </c>
      <c r="AK21" s="141">
        <v>9.03644</v>
      </c>
      <c r="AL21" s="141">
        <v>83.2157999999999</v>
      </c>
      <c r="AM21" s="141">
        <v>-11.00275</v>
      </c>
      <c r="AN21" s="141">
        <v>0.57498</v>
      </c>
      <c r="AO21" s="141">
        <v>17.81914</v>
      </c>
      <c r="AP21" s="141">
        <v>90.6071699999999</v>
      </c>
      <c r="AQ21" s="141">
        <v>59.08189</v>
      </c>
      <c r="AR21" s="141">
        <v>-3.400979999</v>
      </c>
      <c r="AS21" s="141">
        <v>20.28985</v>
      </c>
      <c r="AT21" s="141">
        <v>166.577930001</v>
      </c>
      <c r="AU21" s="141">
        <v>-116.72774</v>
      </c>
      <c r="AV21" s="141">
        <v>-6.257300001</v>
      </c>
      <c r="AW21" s="141">
        <v>26.43247</v>
      </c>
      <c r="AX21" s="141">
        <v>70.0253599999999</v>
      </c>
      <c r="AY21" s="141">
        <v>-26.34389</v>
      </c>
      <c r="AZ21" s="141">
        <v>18.33175</v>
      </c>
      <c r="BA21" s="141">
        <v>10.23042</v>
      </c>
      <c r="BB21" s="141">
        <v>72.2436399999999</v>
      </c>
      <c r="BC21" s="141">
        <v>23.77091</v>
      </c>
      <c r="BD21" s="141">
        <v>-1.37755</v>
      </c>
      <c r="BE21" s="141">
        <v>22.58806</v>
      </c>
      <c r="BF21" s="141">
        <v>117.22506</v>
      </c>
      <c r="BG21" s="141">
        <v>-29.4243</v>
      </c>
      <c r="BH21" s="141">
        <v>-0.36241</v>
      </c>
      <c r="BI21" s="141">
        <v>23.053</v>
      </c>
      <c r="BJ21" s="141">
        <v>110.49135</v>
      </c>
      <c r="BK21" s="141">
        <v>-70.20932</v>
      </c>
      <c r="BL21" s="141">
        <v>-1.13646</v>
      </c>
      <c r="BM21" s="141">
        <v>25.4294</v>
      </c>
      <c r="BN21" s="141">
        <v>64.5749699999999</v>
      </c>
      <c r="BO21" s="141">
        <v>-24.30302</v>
      </c>
      <c r="BP21" s="141">
        <v>-0.08095</v>
      </c>
      <c r="BQ21" s="141">
        <v>8.53245</v>
      </c>
      <c r="BR21" s="141">
        <v>48.7234499999999</v>
      </c>
      <c r="BS21" s="141">
        <v>11.98935</v>
      </c>
      <c r="BT21" s="141">
        <v>0.31641</v>
      </c>
      <c r="BU21" s="141">
        <v>96.69782</v>
      </c>
      <c r="BV21" s="141">
        <v>157.72703</v>
      </c>
      <c r="BW21" s="141">
        <v>-62.75308</v>
      </c>
      <c r="BX21" s="141">
        <v>-0.81693</v>
      </c>
      <c r="BY21" s="141">
        <v>-30.88675</v>
      </c>
      <c r="BZ21" s="141">
        <v>63.27027</v>
      </c>
      <c r="CA21" s="141">
        <v>-47.6421</v>
      </c>
      <c r="CB21" s="141">
        <v>0.63118</v>
      </c>
      <c r="CC21" s="141">
        <v>63.91981</v>
      </c>
      <c r="CD21" s="141">
        <v>80.17916</v>
      </c>
      <c r="CE21" s="141">
        <v>0.588780000000014</v>
      </c>
      <c r="CF21" s="141">
        <v>4.74466</v>
      </c>
      <c r="CG21" s="141">
        <v>26.5879</v>
      </c>
      <c r="CH21" s="141">
        <v>112.1005</v>
      </c>
      <c r="CI21" s="141">
        <v>5.04945000000001</v>
      </c>
      <c r="CJ21" s="141">
        <v>-0.7145</v>
      </c>
      <c r="CK21" s="141">
        <v>-0.349119999999996</v>
      </c>
      <c r="CL21" s="141">
        <v>116.08633</v>
      </c>
      <c r="CM21" s="141">
        <v>-48.01808</v>
      </c>
      <c r="CN21" s="141">
        <v>1.14588</v>
      </c>
      <c r="CO21" s="141">
        <v>-9.02346</v>
      </c>
      <c r="CP21" s="141">
        <v>60.19067</v>
      </c>
      <c r="CQ21" s="141">
        <v>-42.24935</v>
      </c>
      <c r="CR21" s="141">
        <v>0.62961</v>
      </c>
      <c r="CS21" s="141">
        <v>19.59355</v>
      </c>
      <c r="CT21" s="141">
        <v>38.16448</v>
      </c>
      <c r="CU21" s="142">
        <v>32.25784</v>
      </c>
      <c r="CV21" s="142">
        <v>-0.41105</v>
      </c>
      <c r="CW21" s="142">
        <v>26.82966</v>
      </c>
      <c r="CX21" s="142">
        <v>96.84093</v>
      </c>
      <c r="CY21" s="142">
        <v>-31.3406200000001</v>
      </c>
      <c r="CZ21" s="142">
        <v>0.44241</v>
      </c>
      <c r="DA21" s="142">
        <v>50.38742</v>
      </c>
      <c r="DB21" s="142">
        <v>116.33014</v>
      </c>
      <c r="DC21" s="142">
        <v>-43.89872</v>
      </c>
      <c r="DD21" s="142">
        <v>-0.01009</v>
      </c>
      <c r="DE21" s="142">
        <v>42.24045</v>
      </c>
      <c r="DF21" s="142">
        <v>114.66178</v>
      </c>
      <c r="DG21" s="142">
        <v>998.43972</v>
      </c>
      <c r="DH21" s="142">
        <v>-1.3504</v>
      </c>
      <c r="DI21" s="142">
        <v>24.02281</v>
      </c>
      <c r="DJ21" s="142">
        <v>1135.77391</v>
      </c>
      <c r="DK21" s="142">
        <v>-1013.64817</v>
      </c>
      <c r="DL21" s="142">
        <v>-5.88555</v>
      </c>
      <c r="DM21" s="142">
        <v>46.7522499999999</v>
      </c>
      <c r="DN21" s="142">
        <v>162.99244</v>
      </c>
      <c r="DO21" s="142">
        <v>421.38329</v>
      </c>
      <c r="DP21" s="142">
        <v>5.36726</v>
      </c>
      <c r="DQ21" s="142">
        <v>28.00029</v>
      </c>
      <c r="DR21" s="142">
        <v>617.74328</v>
      </c>
      <c r="DS21" s="142">
        <v>676.37485</v>
      </c>
      <c r="DT21" s="142">
        <v>23.96277</v>
      </c>
      <c r="DU21" s="142">
        <v>23.80174</v>
      </c>
      <c r="DV21" s="142">
        <v>1341.88264</v>
      </c>
      <c r="DW21" s="142">
        <v>-867.29069</v>
      </c>
      <c r="DX21" s="142">
        <v>-89.91244</v>
      </c>
      <c r="DY21" s="142">
        <v>19.3231899999999</v>
      </c>
      <c r="DZ21" s="142">
        <v>404.0027</v>
      </c>
      <c r="EA21" s="142">
        <v>-200.625058</v>
      </c>
      <c r="EB21" s="142">
        <v>13.04162</v>
      </c>
      <c r="EC21" s="142">
        <v>-15.90679</v>
      </c>
      <c r="ED21" s="142">
        <v>200.512472</v>
      </c>
      <c r="EE21" s="142">
        <v>113.16129</v>
      </c>
      <c r="EF21" s="142">
        <v>-9.55261</v>
      </c>
      <c r="EG21" s="142">
        <v>16.488978</v>
      </c>
      <c r="EH21" s="142">
        <v>320.61013</v>
      </c>
      <c r="EI21" s="142">
        <v>-128.10802</v>
      </c>
      <c r="EJ21" s="142">
        <v>-21.39624</v>
      </c>
      <c r="EK21" s="142">
        <v>15.22441</v>
      </c>
      <c r="EL21" s="142">
        <v>186.33028</v>
      </c>
      <c r="EM21" s="142">
        <v>99.8966700000001</v>
      </c>
      <c r="EN21" s="142">
        <v>5.92135</v>
      </c>
      <c r="EO21" s="142">
        <v>107.2477</v>
      </c>
      <c r="EP21" s="142">
        <v>399.396</v>
      </c>
      <c r="EQ21" s="142">
        <v>-18.25724</v>
      </c>
      <c r="ER21" s="142">
        <v>10.16877</v>
      </c>
      <c r="ES21" s="142">
        <v>18.27125</v>
      </c>
      <c r="ET21" s="142">
        <v>409.57878</v>
      </c>
      <c r="EU21" s="142">
        <v>47.766482</v>
      </c>
      <c r="EV21" s="142">
        <v>-8.27087</v>
      </c>
      <c r="EW21" s="142">
        <v>24.6608</v>
      </c>
      <c r="EX21" s="142">
        <v>473.735192</v>
      </c>
      <c r="EY21" s="142">
        <v>8.72617000000002</v>
      </c>
      <c r="EZ21" s="142">
        <v>-1.393</v>
      </c>
      <c r="FA21" s="142">
        <v>0.884787999999958</v>
      </c>
      <c r="FB21" s="142">
        <v>481.95315</v>
      </c>
      <c r="FC21" s="142">
        <v>22.45856</v>
      </c>
      <c r="FD21" s="142">
        <v>-5.38372</v>
      </c>
      <c r="FE21" s="142">
        <v>6.11151</v>
      </c>
      <c r="FF21" s="142">
        <v>505.1395</v>
      </c>
      <c r="FG21" s="142">
        <v>544.44134</v>
      </c>
      <c r="FH21" s="142">
        <v>14.43743</v>
      </c>
      <c r="FI21" s="142">
        <v>-184.98459</v>
      </c>
      <c r="FJ21" s="142">
        <v>879.03368</v>
      </c>
      <c r="FK21" s="142">
        <v>-62.88706</v>
      </c>
      <c r="FL21" s="142">
        <v>5.46522</v>
      </c>
      <c r="FM21" s="142">
        <v>-3.85655000000001</v>
      </c>
      <c r="FN21" s="142">
        <v>817.75529</v>
      </c>
      <c r="FO21" s="142">
        <v>-470.66458</v>
      </c>
      <c r="FP21" s="142">
        <v>-2.82985</v>
      </c>
      <c r="FQ21" s="142">
        <v>6.90954</v>
      </c>
      <c r="FR21" s="142">
        <v>351.1704</v>
      </c>
      <c r="FS21" s="142">
        <v>44.8632100000002</v>
      </c>
      <c r="FT21" s="142">
        <v>6.8758</v>
      </c>
      <c r="FU21" s="142">
        <v>308.44603</v>
      </c>
      <c r="FV21" s="142">
        <v>711.355440000001</v>
      </c>
      <c r="FW21" s="142">
        <v>433.941710000001</v>
      </c>
      <c r="FX21" s="142">
        <v>9.9645</v>
      </c>
      <c r="FY21" s="142">
        <v>157.8541</v>
      </c>
      <c r="FZ21" s="143">
        <v>1313.11575</v>
      </c>
    </row>
    <row r="22" spans="1:182">
      <c r="A22" s="91" t="s">
        <v>166</v>
      </c>
      <c r="B22" s="140">
        <v>3396.0822048215</v>
      </c>
      <c r="C22" s="141">
        <v>-80.09777</v>
      </c>
      <c r="D22" s="141">
        <v>-111.292927158152</v>
      </c>
      <c r="E22" s="141">
        <v>33.8786599999997</v>
      </c>
      <c r="F22" s="141">
        <v>3238.57016766335</v>
      </c>
      <c r="G22" s="141">
        <v>-444.317979118192</v>
      </c>
      <c r="H22" s="141">
        <v>71.8685293342133</v>
      </c>
      <c r="I22" s="141">
        <v>-447.79022899</v>
      </c>
      <c r="J22" s="141">
        <v>2418.33048888937</v>
      </c>
      <c r="K22" s="141">
        <v>0.38780536886614</v>
      </c>
      <c r="L22" s="141">
        <v>-135.974589725596</v>
      </c>
      <c r="M22" s="141">
        <v>75.1011999935552</v>
      </c>
      <c r="N22" s="141">
        <v>2357.84490452619</v>
      </c>
      <c r="O22" s="141">
        <v>197.54258</v>
      </c>
      <c r="P22" s="141">
        <v>-3.7925294572411</v>
      </c>
      <c r="Q22" s="141">
        <v>2.75827000442987</v>
      </c>
      <c r="R22" s="141">
        <v>2554.35322507338</v>
      </c>
      <c r="S22" s="141">
        <v>-3.92556904833284</v>
      </c>
      <c r="T22" s="141">
        <v>-50.9480541770757</v>
      </c>
      <c r="U22" s="141">
        <v>-0.801240000000108</v>
      </c>
      <c r="V22" s="141">
        <v>2498.67836184797</v>
      </c>
      <c r="W22" s="141">
        <v>-31.7152464482112</v>
      </c>
      <c r="X22" s="141">
        <v>107.34868460024</v>
      </c>
      <c r="Y22" s="141">
        <v>-0.302940000000095</v>
      </c>
      <c r="Z22" s="141">
        <v>2574.00886</v>
      </c>
      <c r="AA22" s="141">
        <v>43.53512</v>
      </c>
      <c r="AB22" s="141">
        <v>57.96879</v>
      </c>
      <c r="AC22" s="141">
        <v>-67.6711100000001</v>
      </c>
      <c r="AD22" s="141">
        <v>2607.84166</v>
      </c>
      <c r="AE22" s="141">
        <v>2.62517693631922</v>
      </c>
      <c r="AF22" s="141">
        <v>-49.7081639853096</v>
      </c>
      <c r="AG22" s="141">
        <v>-1.07603999999986</v>
      </c>
      <c r="AH22" s="141">
        <v>2559.68263295101</v>
      </c>
      <c r="AI22" s="141">
        <v>66.1066851144278</v>
      </c>
      <c r="AJ22" s="141">
        <v>70.594878905601</v>
      </c>
      <c r="AK22" s="141">
        <v>-1.62676</v>
      </c>
      <c r="AL22" s="141">
        <v>2694.75743697104</v>
      </c>
      <c r="AM22" s="141">
        <v>-69.9213771704475</v>
      </c>
      <c r="AN22" s="141">
        <v>66.5467629926314</v>
      </c>
      <c r="AO22" s="141">
        <v>-1.97445654034421</v>
      </c>
      <c r="AP22" s="141">
        <v>2689.40836625288</v>
      </c>
      <c r="AQ22" s="141">
        <v>51.248961935378</v>
      </c>
      <c r="AR22" s="141">
        <v>24.3231452387055</v>
      </c>
      <c r="AS22" s="141">
        <v>-40.7182821142942</v>
      </c>
      <c r="AT22" s="141">
        <v>2724.26219131267</v>
      </c>
      <c r="AU22" s="141">
        <v>14.634834824965</v>
      </c>
      <c r="AV22" s="141">
        <v>17.911643204797</v>
      </c>
      <c r="AW22" s="141">
        <v>-10.7837664159383</v>
      </c>
      <c r="AX22" s="141">
        <v>2746.02490292649</v>
      </c>
      <c r="AY22" s="141">
        <v>48.0575647193587</v>
      </c>
      <c r="AZ22" s="141">
        <v>19.0247865417995</v>
      </c>
      <c r="BA22" s="141">
        <v>22.92101</v>
      </c>
      <c r="BB22" s="141">
        <v>2836.02826418765</v>
      </c>
      <c r="BC22" s="141">
        <v>60.4074149371273</v>
      </c>
      <c r="BD22" s="141">
        <v>-107.467284817262</v>
      </c>
      <c r="BE22" s="141">
        <v>-3.40529276579851</v>
      </c>
      <c r="BF22" s="141">
        <v>2785.56310154172</v>
      </c>
      <c r="BG22" s="141">
        <v>-485.356399899642</v>
      </c>
      <c r="BH22" s="141">
        <v>-7.65051348493534</v>
      </c>
      <c r="BI22" s="141">
        <v>-8.84955926333377</v>
      </c>
      <c r="BJ22" s="141">
        <v>2283.7066288938</v>
      </c>
      <c r="BK22" s="141">
        <v>-92.4986970464825</v>
      </c>
      <c r="BL22" s="141">
        <v>-42.5705688490709</v>
      </c>
      <c r="BM22" s="141">
        <v>-1.98479972710864</v>
      </c>
      <c r="BN22" s="141">
        <v>2146.65256327114</v>
      </c>
      <c r="BO22" s="141">
        <v>-850.454165433649</v>
      </c>
      <c r="BP22" s="141">
        <v>69.2452903344657</v>
      </c>
      <c r="BQ22" s="141">
        <v>-41.0981880905786</v>
      </c>
      <c r="BR22" s="141">
        <v>1324.34550008138</v>
      </c>
      <c r="BS22" s="141">
        <v>-122.56202411844</v>
      </c>
      <c r="BT22" s="141">
        <v>5.00968996852828</v>
      </c>
      <c r="BU22" s="141">
        <v>-18.6681122465502</v>
      </c>
      <c r="BV22" s="141">
        <v>1188.12505368492</v>
      </c>
      <c r="BW22" s="141">
        <v>-1.32265666136607</v>
      </c>
      <c r="BX22" s="141">
        <v>-15.3618615702821</v>
      </c>
      <c r="BY22" s="141">
        <v>-2.86699797226703</v>
      </c>
      <c r="BZ22" s="141">
        <v>1168.573537481</v>
      </c>
      <c r="CA22" s="141">
        <v>40.193180754465</v>
      </c>
      <c r="CB22" s="141">
        <v>19.1019945095981</v>
      </c>
      <c r="CC22" s="141">
        <v>135.814429935367</v>
      </c>
      <c r="CD22" s="141">
        <v>1363.68314268043</v>
      </c>
      <c r="CE22" s="141">
        <v>-61.7225309547241</v>
      </c>
      <c r="CF22" s="141">
        <v>-140.671628552295</v>
      </c>
      <c r="CG22" s="141">
        <v>-49.6721944914501</v>
      </c>
      <c r="CH22" s="141">
        <v>1111.61678868196</v>
      </c>
      <c r="CI22" s="141">
        <v>-13.9956358925511</v>
      </c>
      <c r="CJ22" s="141">
        <v>68.1101582790541</v>
      </c>
      <c r="CK22" s="141">
        <v>14.5285493887633</v>
      </c>
      <c r="CL22" s="141">
        <v>1180.25986045723</v>
      </c>
      <c r="CM22" s="141">
        <v>-31.4684073549247</v>
      </c>
      <c r="CN22" s="141">
        <v>-46.9953814763886</v>
      </c>
      <c r="CO22" s="141">
        <v>40.0614835874985</v>
      </c>
      <c r="CP22" s="141">
        <v>1141.85755521342</v>
      </c>
      <c r="CQ22" s="141">
        <v>51.1807103749444</v>
      </c>
      <c r="CR22" s="141">
        <v>16.2318925373906</v>
      </c>
      <c r="CS22" s="141">
        <v>-0.240123252433087</v>
      </c>
      <c r="CT22" s="141">
        <v>1209.03003487332</v>
      </c>
      <c r="CU22" s="142">
        <v>-138.704235099667</v>
      </c>
      <c r="CV22" s="142">
        <v>11.6929741209926</v>
      </c>
      <c r="CW22" s="142">
        <v>172.129410048849</v>
      </c>
      <c r="CX22" s="142">
        <v>1254.14818394349</v>
      </c>
      <c r="CY22" s="142">
        <v>-3.46756738900842</v>
      </c>
      <c r="CZ22" s="142">
        <v>10.3758711753873</v>
      </c>
      <c r="DA22" s="142">
        <v>4.41341460000007</v>
      </c>
      <c r="DB22" s="142">
        <v>1265.46990232987</v>
      </c>
      <c r="DC22" s="142">
        <v>-27.1828080077957</v>
      </c>
      <c r="DD22" s="142">
        <v>-3.67110836154847</v>
      </c>
      <c r="DE22" s="142">
        <v>-0.128238145868693</v>
      </c>
      <c r="DF22" s="142">
        <v>1234.48774781466</v>
      </c>
      <c r="DG22" s="142">
        <v>99.4041939084772</v>
      </c>
      <c r="DH22" s="142">
        <v>-15.2411354242889</v>
      </c>
      <c r="DI22" s="142">
        <v>44.0849037</v>
      </c>
      <c r="DJ22" s="142">
        <v>1362.73570999885</v>
      </c>
      <c r="DK22" s="142">
        <v>25.0831541652702</v>
      </c>
      <c r="DL22" s="142">
        <v>-48.2952025074461</v>
      </c>
      <c r="DM22" s="142">
        <v>34.6118874446147</v>
      </c>
      <c r="DN22" s="142">
        <v>1374.13554910129</v>
      </c>
      <c r="DO22" s="142">
        <v>134.559145298582</v>
      </c>
      <c r="DP22" s="142">
        <v>39.1853094117689</v>
      </c>
      <c r="DQ22" s="142">
        <v>4.7625474999998</v>
      </c>
      <c r="DR22" s="142">
        <v>1552.64255131164</v>
      </c>
      <c r="DS22" s="142">
        <v>-9.58465513979573</v>
      </c>
      <c r="DT22" s="142">
        <v>-27.9944196524855</v>
      </c>
      <c r="DU22" s="142">
        <v>-4.85160186299636</v>
      </c>
      <c r="DV22" s="142">
        <v>1510.21187465636</v>
      </c>
      <c r="DW22" s="142">
        <v>-11.8147895297964</v>
      </c>
      <c r="DX22" s="142">
        <v>-8.51921728437262</v>
      </c>
      <c r="DY22" s="142">
        <v>-32.4062665278904</v>
      </c>
      <c r="DZ22" s="142">
        <v>1457.4716013143</v>
      </c>
      <c r="EA22" s="142">
        <v>54.7425046633422</v>
      </c>
      <c r="EB22" s="142">
        <v>-4.89558442167397</v>
      </c>
      <c r="EC22" s="142">
        <v>227.642307982251</v>
      </c>
      <c r="ED22" s="142">
        <v>1734.96082953822</v>
      </c>
      <c r="EE22" s="142">
        <v>335.812431397305</v>
      </c>
      <c r="EF22" s="142">
        <v>-222.598826080062</v>
      </c>
      <c r="EG22" s="142">
        <v>22.5509015439462</v>
      </c>
      <c r="EH22" s="142">
        <v>1870.72533639941</v>
      </c>
      <c r="EI22" s="142">
        <v>163.761647459662</v>
      </c>
      <c r="EJ22" s="142">
        <v>-38.1402954061287</v>
      </c>
      <c r="EK22" s="142">
        <v>165.895695913939</v>
      </c>
      <c r="EL22" s="142">
        <v>2162.24238436688</v>
      </c>
      <c r="EM22" s="142">
        <v>273.289872744549</v>
      </c>
      <c r="EN22" s="142">
        <v>-169.533088891803</v>
      </c>
      <c r="EO22" s="142">
        <v>221.334656165858</v>
      </c>
      <c r="EP22" s="142">
        <v>2487.33382438548</v>
      </c>
      <c r="EQ22" s="142">
        <v>168.749424662535</v>
      </c>
      <c r="ER22" s="142">
        <v>48.5144897348956</v>
      </c>
      <c r="ES22" s="142">
        <v>92.0071296216358</v>
      </c>
      <c r="ET22" s="142">
        <v>2796.60486840455</v>
      </c>
      <c r="EU22" s="142">
        <v>-9.92385006704694</v>
      </c>
      <c r="EV22" s="142">
        <v>-3.00357663676148</v>
      </c>
      <c r="EW22" s="142">
        <v>99.4679917800001</v>
      </c>
      <c r="EX22" s="142">
        <v>2883.14543348074</v>
      </c>
      <c r="EY22" s="142">
        <v>151.259327484046</v>
      </c>
      <c r="EZ22" s="142">
        <v>-246.443445203812</v>
      </c>
      <c r="FA22" s="142">
        <v>-22.5572459944304</v>
      </c>
      <c r="FB22" s="142">
        <v>2765.40406976654</v>
      </c>
      <c r="FC22" s="142">
        <v>220.822148807315</v>
      </c>
      <c r="FD22" s="142">
        <v>-59.2411426771739</v>
      </c>
      <c r="FE22" s="142">
        <v>154.077108134193</v>
      </c>
      <c r="FF22" s="142">
        <v>3081.06218403088</v>
      </c>
      <c r="FG22" s="142">
        <v>586.875725518757</v>
      </c>
      <c r="FH22" s="142">
        <v>57.834429556556</v>
      </c>
      <c r="FI22" s="142">
        <v>362.814062798783</v>
      </c>
      <c r="FJ22" s="142">
        <v>4088.58640190497</v>
      </c>
      <c r="FK22" s="142">
        <v>759.557695228045</v>
      </c>
      <c r="FL22" s="142">
        <v>-18.7856972857299</v>
      </c>
      <c r="FM22" s="142">
        <v>-159.232643012094</v>
      </c>
      <c r="FN22" s="142">
        <v>4670.1257568352</v>
      </c>
      <c r="FO22" s="142">
        <v>278.767421848696</v>
      </c>
      <c r="FP22" s="142">
        <v>-95.0960000920259</v>
      </c>
      <c r="FQ22" s="142">
        <v>-364.632555019766</v>
      </c>
      <c r="FR22" s="142">
        <v>4489.1646235721</v>
      </c>
      <c r="FS22" s="142">
        <v>1014.34027793716</v>
      </c>
      <c r="FT22" s="142">
        <v>250.16280190002</v>
      </c>
      <c r="FU22" s="142">
        <v>160.699881797905</v>
      </c>
      <c r="FV22" s="142">
        <v>5914.36758520719</v>
      </c>
      <c r="FW22" s="142">
        <v>908.549510834816</v>
      </c>
      <c r="FX22" s="142">
        <v>-58.2831736629693</v>
      </c>
      <c r="FY22" s="142">
        <v>22.6123234443309</v>
      </c>
      <c r="FZ22" s="143">
        <v>6787.24624582336</v>
      </c>
    </row>
    <row r="23" ht="29" spans="1:182">
      <c r="A23" s="144" t="s">
        <v>193</v>
      </c>
      <c r="B23" s="145">
        <v>56108.6591854085</v>
      </c>
      <c r="C23" s="135">
        <v>-1887.81940616148</v>
      </c>
      <c r="D23" s="135">
        <v>-392.613768388675</v>
      </c>
      <c r="E23" s="135">
        <v>-15227.19345</v>
      </c>
      <c r="F23" s="146">
        <v>38601.0325608584</v>
      </c>
      <c r="G23" s="135">
        <v>-552.604209600589</v>
      </c>
      <c r="H23" s="135">
        <v>532.327215884198</v>
      </c>
      <c r="I23" s="135">
        <v>-36.3012699999967</v>
      </c>
      <c r="J23" s="146">
        <v>38544.454297142</v>
      </c>
      <c r="K23" s="135">
        <v>-454.808789067682</v>
      </c>
      <c r="L23" s="135">
        <v>-1087.57575785258</v>
      </c>
      <c r="M23" s="135">
        <v>-261.922699999142</v>
      </c>
      <c r="N23" s="146">
        <v>36740.1470502226</v>
      </c>
      <c r="O23" s="135">
        <v>-2568.80126650309</v>
      </c>
      <c r="P23" s="135">
        <v>191.526396336769</v>
      </c>
      <c r="Q23" s="135">
        <v>-416.264899990408</v>
      </c>
      <c r="R23" s="146">
        <v>33946.6072800659</v>
      </c>
      <c r="S23" s="135">
        <v>-128.431959630224</v>
      </c>
      <c r="T23" s="135">
        <v>-10.8559397938341</v>
      </c>
      <c r="U23" s="135">
        <v>78.7741000000008</v>
      </c>
      <c r="V23" s="146">
        <v>33886.0934806418</v>
      </c>
      <c r="W23" s="135">
        <v>2233.94338429325</v>
      </c>
      <c r="X23" s="135">
        <v>377.28645748528</v>
      </c>
      <c r="Y23" s="135">
        <v>-65.6081936542637</v>
      </c>
      <c r="Z23" s="146">
        <v>36431.7151287661</v>
      </c>
      <c r="AA23" s="135">
        <v>1.46437520034692</v>
      </c>
      <c r="AB23" s="135">
        <v>269.642488629892</v>
      </c>
      <c r="AC23" s="135">
        <v>-96.2793049603659</v>
      </c>
      <c r="AD23" s="146">
        <v>36606.5426876359</v>
      </c>
      <c r="AE23" s="135">
        <v>-59.2071938828692</v>
      </c>
      <c r="AF23" s="135">
        <v>-175.806074406473</v>
      </c>
      <c r="AG23" s="135">
        <v>-169.027324809991</v>
      </c>
      <c r="AH23" s="146">
        <v>36202.5020945366</v>
      </c>
      <c r="AI23" s="135">
        <v>333.575475683353</v>
      </c>
      <c r="AJ23" s="135">
        <v>152.472446117168</v>
      </c>
      <c r="AK23" s="135">
        <v>614.424489999991</v>
      </c>
      <c r="AL23" s="146">
        <v>37302.9745063371</v>
      </c>
      <c r="AM23" s="135">
        <v>2198.71967551179</v>
      </c>
      <c r="AN23" s="135">
        <v>33.3943220698031</v>
      </c>
      <c r="AO23" s="135">
        <v>-152.03100739871</v>
      </c>
      <c r="AP23" s="146">
        <v>39383.05749652</v>
      </c>
      <c r="AQ23" s="135">
        <v>1728.86286141928</v>
      </c>
      <c r="AR23" s="135">
        <v>-13.0828512698904</v>
      </c>
      <c r="AS23" s="135">
        <v>-679.676010919999</v>
      </c>
      <c r="AT23" s="146">
        <v>40419.1614957494</v>
      </c>
      <c r="AU23" s="135">
        <v>80.6403271947743</v>
      </c>
      <c r="AV23" s="135">
        <v>261.545530436831</v>
      </c>
      <c r="AW23" s="135">
        <v>36.9653406964757</v>
      </c>
      <c r="AX23" s="146">
        <v>40798.3126940775</v>
      </c>
      <c r="AY23" s="135">
        <v>5.47166864190672</v>
      </c>
      <c r="AZ23" s="135">
        <v>-245.265381674715</v>
      </c>
      <c r="BA23" s="135">
        <v>-263.794533000009</v>
      </c>
      <c r="BB23" s="146">
        <v>40294.7244480447</v>
      </c>
      <c r="BC23" s="135">
        <v>108.529725470301</v>
      </c>
      <c r="BD23" s="135">
        <v>-512.531878315007</v>
      </c>
      <c r="BE23" s="135">
        <v>90.5343710973894</v>
      </c>
      <c r="BF23" s="146">
        <v>39981.2566662974</v>
      </c>
      <c r="BG23" s="135">
        <v>-893.880226944568</v>
      </c>
      <c r="BH23" s="135">
        <v>135.078229656012</v>
      </c>
      <c r="BI23" s="135">
        <v>-310.647538455922</v>
      </c>
      <c r="BJ23" s="146">
        <v>38911.8071305529</v>
      </c>
      <c r="BK23" s="135">
        <v>-1117.80677682585</v>
      </c>
      <c r="BL23" s="135">
        <v>-370.806752685425</v>
      </c>
      <c r="BM23" s="135">
        <v>27.2577413992993</v>
      </c>
      <c r="BN23" s="146">
        <v>37450.4513424409</v>
      </c>
      <c r="BO23" s="135">
        <v>-25.9376298156201</v>
      </c>
      <c r="BP23" s="135">
        <v>489.63145945423</v>
      </c>
      <c r="BQ23" s="135">
        <v>-266.879084535985</v>
      </c>
      <c r="BR23" s="146">
        <v>37647.2660875435</v>
      </c>
      <c r="BS23" s="135">
        <v>337.323841609501</v>
      </c>
      <c r="BT23" s="135">
        <v>630.993679517925</v>
      </c>
      <c r="BU23" s="135">
        <v>-299.58986008272</v>
      </c>
      <c r="BV23" s="146">
        <v>38315.9937485882</v>
      </c>
      <c r="BW23" s="135">
        <v>1139.24526724728</v>
      </c>
      <c r="BX23" s="135">
        <v>411.813191090338</v>
      </c>
      <c r="BY23" s="135">
        <v>-85.8666524517047</v>
      </c>
      <c r="BZ23" s="146">
        <v>39781.1855544741</v>
      </c>
      <c r="CA23" s="135">
        <v>596.546049612552</v>
      </c>
      <c r="CB23" s="135">
        <v>-575.53274171279</v>
      </c>
      <c r="CC23" s="135">
        <v>-205.514389667957</v>
      </c>
      <c r="CD23" s="146">
        <v>39596.6844727059</v>
      </c>
      <c r="CE23" s="135">
        <v>-13.5385995617954</v>
      </c>
      <c r="CF23" s="135">
        <v>-2024.22016228878</v>
      </c>
      <c r="CG23" s="135">
        <v>-1377.83251493311</v>
      </c>
      <c r="CH23" s="146">
        <v>36181.0931959223</v>
      </c>
      <c r="CI23" s="135">
        <v>455.696237988361</v>
      </c>
      <c r="CJ23" s="135">
        <v>1872.23346368076</v>
      </c>
      <c r="CK23" s="135">
        <v>-67.6311835316032</v>
      </c>
      <c r="CL23" s="146">
        <v>38441.3917140598</v>
      </c>
      <c r="CM23" s="135">
        <v>559.778623374532</v>
      </c>
      <c r="CN23" s="135">
        <v>673.750387110163</v>
      </c>
      <c r="CO23" s="135">
        <v>-175.948867796039</v>
      </c>
      <c r="CP23" s="146">
        <v>39498.9718567484</v>
      </c>
      <c r="CQ23" s="135">
        <v>371.867274530263</v>
      </c>
      <c r="CR23" s="135">
        <v>362.927173026755</v>
      </c>
      <c r="CS23" s="135">
        <v>-92.9336697732858</v>
      </c>
      <c r="CT23" s="146">
        <v>40140.8326345322</v>
      </c>
      <c r="CU23" s="137">
        <v>474.598536173443</v>
      </c>
      <c r="CV23" s="137">
        <v>-226.319780936963</v>
      </c>
      <c r="CW23" s="137">
        <v>-327.844496530785</v>
      </c>
      <c r="CX23" s="147">
        <v>40061.2668932379</v>
      </c>
      <c r="CY23" s="137">
        <v>1037.98291060769</v>
      </c>
      <c r="CZ23" s="137">
        <v>341.747163777097</v>
      </c>
      <c r="DA23" s="137">
        <v>-160.662729865923</v>
      </c>
      <c r="DB23" s="147">
        <v>41280.3342377567</v>
      </c>
      <c r="DC23" s="137">
        <v>682.016395215095</v>
      </c>
      <c r="DD23" s="137">
        <v>-231.097106248293</v>
      </c>
      <c r="DE23" s="137">
        <v>-172.019919130745</v>
      </c>
      <c r="DF23" s="147">
        <v>41559.2336075928</v>
      </c>
      <c r="DG23" s="137">
        <v>313.73939521357</v>
      </c>
      <c r="DH23" s="137">
        <v>-253.425901781387</v>
      </c>
      <c r="DI23" s="137">
        <v>-104.660498450013</v>
      </c>
      <c r="DJ23" s="147">
        <v>41514.886602575</v>
      </c>
      <c r="DK23" s="137">
        <v>126.696604927924</v>
      </c>
      <c r="DL23" s="137">
        <v>-2455.86384916374</v>
      </c>
      <c r="DM23" s="137">
        <v>-178.881905609209</v>
      </c>
      <c r="DN23" s="147">
        <v>39006.8374527299</v>
      </c>
      <c r="DO23" s="137">
        <v>1685.18355089959</v>
      </c>
      <c r="DP23" s="137">
        <v>469.017991907784</v>
      </c>
      <c r="DQ23" s="137">
        <v>260.086284380871</v>
      </c>
      <c r="DR23" s="147">
        <v>41421.1252799182</v>
      </c>
      <c r="DS23" s="137">
        <v>930.105119208729</v>
      </c>
      <c r="DT23" s="137">
        <v>-1109.63491274086</v>
      </c>
      <c r="DU23" s="137">
        <v>-341.516695630701</v>
      </c>
      <c r="DV23" s="147">
        <v>40900.0787907553</v>
      </c>
      <c r="DW23" s="137">
        <v>462.447912367514</v>
      </c>
      <c r="DX23" s="137">
        <v>90.566131624437</v>
      </c>
      <c r="DY23" s="137">
        <v>-1087.26528937668</v>
      </c>
      <c r="DZ23" s="147">
        <v>40365.8275453706</v>
      </c>
      <c r="EA23" s="137">
        <v>1019.53482875626</v>
      </c>
      <c r="EB23" s="137">
        <v>-119.046666157856</v>
      </c>
      <c r="EC23" s="137">
        <v>63.7150333943888</v>
      </c>
      <c r="ED23" s="147">
        <v>41330.0307413634</v>
      </c>
      <c r="EE23" s="137">
        <v>686.848698022127</v>
      </c>
      <c r="EF23" s="137">
        <v>-307.769181430861</v>
      </c>
      <c r="EG23" s="137">
        <v>-131.831499288597</v>
      </c>
      <c r="EH23" s="147">
        <v>41577.2787586661</v>
      </c>
      <c r="EI23" s="137">
        <v>2089.32288473537</v>
      </c>
      <c r="EJ23" s="137">
        <v>-570.510335480564</v>
      </c>
      <c r="EK23" s="137">
        <v>-440.114065453159</v>
      </c>
      <c r="EL23" s="147">
        <v>42655.9772424677</v>
      </c>
      <c r="EM23" s="137">
        <v>-1150.23232619408</v>
      </c>
      <c r="EN23" s="137">
        <v>882.539778807327</v>
      </c>
      <c r="EO23" s="137">
        <v>188.44824844607</v>
      </c>
      <c r="EP23" s="147">
        <v>42576.732943527</v>
      </c>
      <c r="EQ23" s="137">
        <v>-433.269636267861</v>
      </c>
      <c r="ER23" s="137">
        <v>-97.9287409776138</v>
      </c>
      <c r="ES23" s="137">
        <v>-79.562333564308</v>
      </c>
      <c r="ET23" s="147">
        <v>41965.9722327173</v>
      </c>
      <c r="EU23" s="137">
        <v>611.461791076966</v>
      </c>
      <c r="EV23" s="137">
        <v>54.5044667590443</v>
      </c>
      <c r="EW23" s="137">
        <v>-90.255647395176</v>
      </c>
      <c r="EX23" s="147">
        <v>42541.6828431581</v>
      </c>
      <c r="EY23" s="137">
        <v>-207.934748968358</v>
      </c>
      <c r="EZ23" s="137">
        <v>137.349375155646</v>
      </c>
      <c r="FA23" s="137">
        <v>-16.9783683393528</v>
      </c>
      <c r="FB23" s="147">
        <v>42454.119101006</v>
      </c>
      <c r="FC23" s="137">
        <v>310.387934189692</v>
      </c>
      <c r="FD23" s="137">
        <v>-1315.1626110564</v>
      </c>
      <c r="FE23" s="137">
        <v>137.171187220545</v>
      </c>
      <c r="FF23" s="147">
        <v>41586.5156113599</v>
      </c>
      <c r="FG23" s="137">
        <v>796.063562379049</v>
      </c>
      <c r="FH23" s="137">
        <v>774.016932439489</v>
      </c>
      <c r="FI23" s="137">
        <v>86.0662321393096</v>
      </c>
      <c r="FJ23" s="147">
        <v>43242.6623383177</v>
      </c>
      <c r="FK23" s="137">
        <v>874.470522885112</v>
      </c>
      <c r="FL23" s="137">
        <v>663.698432323943</v>
      </c>
      <c r="FM23" s="137">
        <v>-118.052779591769</v>
      </c>
      <c r="FN23" s="147">
        <v>44662.778513935</v>
      </c>
      <c r="FO23" s="137">
        <v>1252.27162412796</v>
      </c>
      <c r="FP23" s="137">
        <v>-84.3062691356039</v>
      </c>
      <c r="FQ23" s="137">
        <v>0.569893431585456</v>
      </c>
      <c r="FR23" s="147">
        <v>45831.3137623589</v>
      </c>
      <c r="FS23" s="137">
        <v>2005.52588938945</v>
      </c>
      <c r="FT23" s="137">
        <v>811.93559590634</v>
      </c>
      <c r="FU23" s="137">
        <v>-211.651122912847</v>
      </c>
      <c r="FV23" s="147">
        <v>48437.1241247419</v>
      </c>
      <c r="FW23" s="137">
        <v>1251.94774369726</v>
      </c>
      <c r="FX23" s="137">
        <v>-323.628802651008</v>
      </c>
      <c r="FY23" s="137">
        <v>-141.362625820752</v>
      </c>
      <c r="FZ23" s="148">
        <v>49224.0804399674</v>
      </c>
    </row>
    <row r="24" spans="1:182">
      <c r="A24" s="91" t="s">
        <v>164</v>
      </c>
      <c r="B24" s="140">
        <v>7961.33407</v>
      </c>
      <c r="C24" s="141">
        <v>-483.783120000001</v>
      </c>
      <c r="D24" s="141">
        <v>-14.44087</v>
      </c>
      <c r="E24" s="141">
        <v>-332.67981</v>
      </c>
      <c r="F24" s="141">
        <v>7130.43027</v>
      </c>
      <c r="G24" s="141">
        <v>-333.619259999999</v>
      </c>
      <c r="H24" s="141">
        <v>7.92098</v>
      </c>
      <c r="I24" s="141">
        <v>-16.8154000000002</v>
      </c>
      <c r="J24" s="141">
        <v>6787.91659</v>
      </c>
      <c r="K24" s="141">
        <v>-729.69349</v>
      </c>
      <c r="L24" s="141">
        <v>-56.25633</v>
      </c>
      <c r="M24" s="141">
        <v>-526.360119999999</v>
      </c>
      <c r="N24" s="141">
        <v>5475.60665</v>
      </c>
      <c r="O24" s="141">
        <v>91.97444</v>
      </c>
      <c r="P24" s="141">
        <v>-65.25814</v>
      </c>
      <c r="Q24" s="141">
        <v>-161.324060000001</v>
      </c>
      <c r="R24" s="141">
        <v>5340.99889</v>
      </c>
      <c r="S24" s="141">
        <v>-14.5504899999987</v>
      </c>
      <c r="T24" s="141">
        <v>-4.62221</v>
      </c>
      <c r="U24" s="141">
        <v>-65.2315400000004</v>
      </c>
      <c r="V24" s="141">
        <v>5256.59465</v>
      </c>
      <c r="W24" s="141">
        <v>142.9659</v>
      </c>
      <c r="X24" s="141">
        <v>8.40095</v>
      </c>
      <c r="Y24" s="141">
        <v>-115.20563</v>
      </c>
      <c r="Z24" s="141">
        <v>5292.75587</v>
      </c>
      <c r="AA24" s="141">
        <v>301.91041481</v>
      </c>
      <c r="AB24" s="141">
        <v>0.24306</v>
      </c>
      <c r="AC24" s="141">
        <v>-110.38421000001</v>
      </c>
      <c r="AD24" s="141">
        <v>5484.52513480999</v>
      </c>
      <c r="AE24" s="141">
        <v>102.705860000002</v>
      </c>
      <c r="AF24" s="141">
        <v>4.17867</v>
      </c>
      <c r="AG24" s="141">
        <v>52.8089551900098</v>
      </c>
      <c r="AH24" s="141">
        <v>5644.21862</v>
      </c>
      <c r="AI24" s="141">
        <v>68.3848836900106</v>
      </c>
      <c r="AJ24" s="141">
        <v>-6.12943</v>
      </c>
      <c r="AK24" s="141">
        <v>-22.5717100000101</v>
      </c>
      <c r="AL24" s="141">
        <v>5683.90236369</v>
      </c>
      <c r="AM24" s="141">
        <v>195.211387189449</v>
      </c>
      <c r="AN24" s="141">
        <v>8.92613</v>
      </c>
      <c r="AO24" s="141">
        <v>-55.4311094900005</v>
      </c>
      <c r="AP24" s="141">
        <v>5832.60877138945</v>
      </c>
      <c r="AQ24" s="141">
        <v>283.192147997531</v>
      </c>
      <c r="AR24" s="141">
        <v>-71.02986</v>
      </c>
      <c r="AS24" s="141">
        <v>39.9427790799993</v>
      </c>
      <c r="AT24" s="141">
        <v>6084.71383846698</v>
      </c>
      <c r="AU24" s="141">
        <v>344.454088</v>
      </c>
      <c r="AV24" s="141">
        <v>-4.77398</v>
      </c>
      <c r="AW24" s="141">
        <v>-147.865886466981</v>
      </c>
      <c r="AX24" s="141">
        <v>6276.52806</v>
      </c>
      <c r="AY24" s="141">
        <v>-107.009364</v>
      </c>
      <c r="AZ24" s="141">
        <v>27.522</v>
      </c>
      <c r="BA24" s="141">
        <v>-83.6235230000098</v>
      </c>
      <c r="BB24" s="141">
        <v>6113.41717299999</v>
      </c>
      <c r="BC24" s="141">
        <v>334.413278999999</v>
      </c>
      <c r="BD24" s="141">
        <v>-59.22873</v>
      </c>
      <c r="BE24" s="141">
        <v>6.52225999999997</v>
      </c>
      <c r="BF24" s="141">
        <v>6395.12398199999</v>
      </c>
      <c r="BG24" s="141">
        <v>594.554547</v>
      </c>
      <c r="BH24" s="141">
        <v>-53.067489</v>
      </c>
      <c r="BI24" s="141">
        <v>-154.61201</v>
      </c>
      <c r="BJ24" s="141">
        <v>6781.99902999999</v>
      </c>
      <c r="BK24" s="141">
        <v>182.10950455285</v>
      </c>
      <c r="BL24" s="141">
        <v>-56.53305</v>
      </c>
      <c r="BM24" s="141">
        <v>-122.898890000001</v>
      </c>
      <c r="BN24" s="141">
        <v>6784.67659455284</v>
      </c>
      <c r="BO24" s="141">
        <v>-110.348250000002</v>
      </c>
      <c r="BP24" s="141">
        <v>6.2273</v>
      </c>
      <c r="BQ24" s="141">
        <v>-213.445744552865</v>
      </c>
      <c r="BR24" s="141">
        <v>6467.10989999997</v>
      </c>
      <c r="BS24" s="141">
        <v>399.64361</v>
      </c>
      <c r="BT24" s="141">
        <v>14.32476</v>
      </c>
      <c r="BU24" s="141">
        <v>-229.155050000001</v>
      </c>
      <c r="BV24" s="141">
        <v>6651.92321999997</v>
      </c>
      <c r="BW24" s="141">
        <v>462.158932</v>
      </c>
      <c r="BX24" s="141">
        <v>-4.58954</v>
      </c>
      <c r="BY24" s="141">
        <v>-57.1067920000008</v>
      </c>
      <c r="BZ24" s="141">
        <v>7052.38581999997</v>
      </c>
      <c r="CA24" s="141">
        <v>268.84881</v>
      </c>
      <c r="CB24" s="141">
        <v>25.46615</v>
      </c>
      <c r="CC24" s="141">
        <v>-147.98889</v>
      </c>
      <c r="CD24" s="141">
        <v>7198.71188999997</v>
      </c>
      <c r="CE24" s="141">
        <v>18.1162582977113</v>
      </c>
      <c r="CF24" s="141">
        <v>-172.00944</v>
      </c>
      <c r="CG24" s="141">
        <v>-241.39148</v>
      </c>
      <c r="CH24" s="141">
        <v>6803.42722829769</v>
      </c>
      <c r="CI24" s="141">
        <v>383.009845</v>
      </c>
      <c r="CJ24" s="141">
        <v>68.45041</v>
      </c>
      <c r="CK24" s="141">
        <v>-28.8415172977001</v>
      </c>
      <c r="CL24" s="141">
        <v>7226.04596599999</v>
      </c>
      <c r="CM24" s="141">
        <v>289.537959700001</v>
      </c>
      <c r="CN24" s="141">
        <v>-53.44716</v>
      </c>
      <c r="CO24" s="141">
        <v>-82.2250700000005</v>
      </c>
      <c r="CP24" s="141">
        <v>7379.91169569999</v>
      </c>
      <c r="CQ24" s="141">
        <v>-187.3042619</v>
      </c>
      <c r="CR24" s="141">
        <v>21.28861</v>
      </c>
      <c r="CS24" s="141">
        <v>63.9012102999993</v>
      </c>
      <c r="CT24" s="141">
        <v>7277.79725409999</v>
      </c>
      <c r="CU24" s="142">
        <v>670.11421354923</v>
      </c>
      <c r="CV24" s="142">
        <v>-19.86746</v>
      </c>
      <c r="CW24" s="142">
        <v>-4.61787690923057</v>
      </c>
      <c r="CX24" s="142">
        <v>7923.42613073998</v>
      </c>
      <c r="CY24" s="142">
        <v>814.617306</v>
      </c>
      <c r="CZ24" s="142">
        <v>-5.36726</v>
      </c>
      <c r="DA24" s="142">
        <v>-60.2453707400002</v>
      </c>
      <c r="DB24" s="142">
        <v>8672.43080599998</v>
      </c>
      <c r="DC24" s="142">
        <v>-104.790197913991</v>
      </c>
      <c r="DD24" s="142">
        <v>-12.785874</v>
      </c>
      <c r="DE24" s="142">
        <v>-78.4247399999996</v>
      </c>
      <c r="DF24" s="142">
        <v>8476.42999408599</v>
      </c>
      <c r="DG24" s="142">
        <v>153.066988913991</v>
      </c>
      <c r="DH24" s="142">
        <v>-9.010137</v>
      </c>
      <c r="DI24" s="142">
        <v>-103.285592</v>
      </c>
      <c r="DJ24" s="142">
        <v>8517.20125399998</v>
      </c>
      <c r="DK24" s="142">
        <v>162.083058000001</v>
      </c>
      <c r="DL24" s="142">
        <v>-46.815129</v>
      </c>
      <c r="DM24" s="142">
        <v>-267.215703</v>
      </c>
      <c r="DN24" s="142">
        <v>8365.25347999998</v>
      </c>
      <c r="DO24" s="142">
        <v>1364.90441703387</v>
      </c>
      <c r="DP24" s="142">
        <v>166.00211</v>
      </c>
      <c r="DQ24" s="142">
        <v>-78.6005360000005</v>
      </c>
      <c r="DR24" s="142">
        <v>9817.55947103386</v>
      </c>
      <c r="DS24" s="142">
        <v>551.905212500002</v>
      </c>
      <c r="DT24" s="142">
        <v>-138.35293</v>
      </c>
      <c r="DU24" s="142">
        <v>-462.220570033865</v>
      </c>
      <c r="DV24" s="142">
        <v>9768.89118349999</v>
      </c>
      <c r="DW24" s="142">
        <v>1204.748764</v>
      </c>
      <c r="DX24" s="142">
        <v>-34.64886</v>
      </c>
      <c r="DY24" s="142">
        <v>-951.849179500001</v>
      </c>
      <c r="DZ24" s="142">
        <v>9987.14190799999</v>
      </c>
      <c r="EA24" s="142">
        <v>786.46242334</v>
      </c>
      <c r="EB24" s="142">
        <v>-20.665525</v>
      </c>
      <c r="EC24" s="142">
        <v>-15.5697924999987</v>
      </c>
      <c r="ED24" s="142">
        <v>10737.36901384</v>
      </c>
      <c r="EE24" s="142">
        <v>837.64678918</v>
      </c>
      <c r="EF24" s="142">
        <v>-74.101062</v>
      </c>
      <c r="EG24" s="142">
        <v>-19.5953918400004</v>
      </c>
      <c r="EH24" s="142">
        <v>11481.31934918</v>
      </c>
      <c r="EI24" s="142">
        <v>1059.95022669</v>
      </c>
      <c r="EJ24" s="142">
        <v>-132.86028</v>
      </c>
      <c r="EK24" s="142">
        <v>0.936771530001026</v>
      </c>
      <c r="EL24" s="142">
        <v>12409.3460674</v>
      </c>
      <c r="EM24" s="142">
        <v>-111.366403195399</v>
      </c>
      <c r="EN24" s="142">
        <v>53.54505</v>
      </c>
      <c r="EO24" s="142">
        <v>-86.9048372601012</v>
      </c>
      <c r="EP24" s="142">
        <v>12264.6198769445</v>
      </c>
      <c r="EQ24" s="142">
        <v>-643.177342000001</v>
      </c>
      <c r="ER24" s="142">
        <v>46.47344</v>
      </c>
      <c r="ES24" s="142">
        <v>-154.488489414501</v>
      </c>
      <c r="ET24" s="142">
        <v>11513.42748553</v>
      </c>
      <c r="EU24" s="142">
        <v>500.412258999999</v>
      </c>
      <c r="EV24" s="142">
        <v>-7.0511</v>
      </c>
      <c r="EW24" s="142">
        <v>-47.06579553</v>
      </c>
      <c r="EX24" s="142">
        <v>11959.722849</v>
      </c>
      <c r="EY24" s="142">
        <v>42.6257799999967</v>
      </c>
      <c r="EZ24" s="142">
        <v>-25.97648</v>
      </c>
      <c r="FA24" s="142">
        <v>-46.6857290000001</v>
      </c>
      <c r="FB24" s="142">
        <v>11929.68642</v>
      </c>
      <c r="FC24" s="142">
        <v>-133.150410000004</v>
      </c>
      <c r="FD24" s="142">
        <v>-163.86665</v>
      </c>
      <c r="FE24" s="142">
        <v>-54.2313400000012</v>
      </c>
      <c r="FF24" s="142">
        <v>11578.43802</v>
      </c>
      <c r="FG24" s="142">
        <v>664.97156</v>
      </c>
      <c r="FH24" s="142">
        <v>171.87398</v>
      </c>
      <c r="FI24" s="142">
        <v>28.1467900000103</v>
      </c>
      <c r="FJ24" s="142">
        <v>12443.43035</v>
      </c>
      <c r="FK24" s="142">
        <v>972.346628990001</v>
      </c>
      <c r="FL24" s="142">
        <v>67.99813</v>
      </c>
      <c r="FM24" s="142">
        <v>-165.241189999999</v>
      </c>
      <c r="FN24" s="142">
        <v>13318.53391899</v>
      </c>
      <c r="FO24" s="142">
        <v>-297.136842</v>
      </c>
      <c r="FP24" s="142">
        <v>-61.64793</v>
      </c>
      <c r="FQ24" s="142">
        <v>-145.448011989901</v>
      </c>
      <c r="FR24" s="142">
        <v>12814.3011350001</v>
      </c>
      <c r="FS24" s="142">
        <v>-347.367507999999</v>
      </c>
      <c r="FT24" s="142">
        <v>170.58354</v>
      </c>
      <c r="FU24" s="142">
        <v>-301.433968000001</v>
      </c>
      <c r="FV24" s="142">
        <v>12336.0831990001</v>
      </c>
      <c r="FW24" s="142">
        <v>224.6999808</v>
      </c>
      <c r="FX24" s="142">
        <v>-41.22152</v>
      </c>
      <c r="FY24" s="142">
        <v>161.828595539999</v>
      </c>
      <c r="FZ24" s="143">
        <v>12681.3902553401</v>
      </c>
    </row>
    <row r="25" spans="1:182">
      <c r="A25" s="91" t="s">
        <v>166</v>
      </c>
      <c r="B25" s="140">
        <v>48147.3251154085</v>
      </c>
      <c r="C25" s="141">
        <v>-1404.03628616148</v>
      </c>
      <c r="D25" s="141">
        <v>-378.172898388675</v>
      </c>
      <c r="E25" s="141">
        <v>-14894.51364</v>
      </c>
      <c r="F25" s="141">
        <v>31470.6022908584</v>
      </c>
      <c r="G25" s="141">
        <v>-218.98494960059</v>
      </c>
      <c r="H25" s="141">
        <v>524.406235884198</v>
      </c>
      <c r="I25" s="141">
        <v>-19.4858699999965</v>
      </c>
      <c r="J25" s="141">
        <v>31756.537707142</v>
      </c>
      <c r="K25" s="141">
        <v>274.884700932318</v>
      </c>
      <c r="L25" s="141">
        <v>-1031.31942785258</v>
      </c>
      <c r="M25" s="141">
        <v>264.437420000857</v>
      </c>
      <c r="N25" s="141">
        <v>31264.5404002226</v>
      </c>
      <c r="O25" s="141">
        <v>-2660.77570650309</v>
      </c>
      <c r="P25" s="141">
        <v>256.784536336769</v>
      </c>
      <c r="Q25" s="141">
        <v>-254.940839990407</v>
      </c>
      <c r="R25" s="141">
        <v>28605.6083900659</v>
      </c>
      <c r="S25" s="141">
        <v>-113.881469630225</v>
      </c>
      <c r="T25" s="141">
        <v>-6.23372979383415</v>
      </c>
      <c r="U25" s="141">
        <v>144.005640000001</v>
      </c>
      <c r="V25" s="141">
        <v>28629.4988306418</v>
      </c>
      <c r="W25" s="141">
        <v>2090.97748429325</v>
      </c>
      <c r="X25" s="141">
        <v>368.88550748528</v>
      </c>
      <c r="Y25" s="141">
        <v>49.5974363457362</v>
      </c>
      <c r="Z25" s="141">
        <v>31138.9592587661</v>
      </c>
      <c r="AA25" s="141">
        <v>-300.446039609653</v>
      </c>
      <c r="AB25" s="141">
        <v>269.399428629892</v>
      </c>
      <c r="AC25" s="141">
        <v>14.1049050396444</v>
      </c>
      <c r="AD25" s="141">
        <v>31122.017552826</v>
      </c>
      <c r="AE25" s="141">
        <v>-161.913053882871</v>
      </c>
      <c r="AF25" s="141">
        <v>-179.984744406473</v>
      </c>
      <c r="AG25" s="141">
        <v>-221.836280000001</v>
      </c>
      <c r="AH25" s="141">
        <v>30558.2834745366</v>
      </c>
      <c r="AI25" s="141">
        <v>265.190591993342</v>
      </c>
      <c r="AJ25" s="141">
        <v>158.601876117168</v>
      </c>
      <c r="AK25" s="141">
        <v>636.996200000001</v>
      </c>
      <c r="AL25" s="141">
        <v>31619.0721426471</v>
      </c>
      <c r="AM25" s="141">
        <v>2003.50828832234</v>
      </c>
      <c r="AN25" s="141">
        <v>24.4681920698031</v>
      </c>
      <c r="AO25" s="141">
        <v>-96.5998979087097</v>
      </c>
      <c r="AP25" s="141">
        <v>33550.4487251306</v>
      </c>
      <c r="AQ25" s="141">
        <v>1445.67071342175</v>
      </c>
      <c r="AR25" s="141">
        <v>57.9470087301096</v>
      </c>
      <c r="AS25" s="141">
        <v>-719.618789999998</v>
      </c>
      <c r="AT25" s="141">
        <v>34334.4476572824</v>
      </c>
      <c r="AU25" s="141">
        <v>-263.813760805225</v>
      </c>
      <c r="AV25" s="141">
        <v>266.319510436831</v>
      </c>
      <c r="AW25" s="141">
        <v>184.831227163456</v>
      </c>
      <c r="AX25" s="141">
        <v>34521.7846340775</v>
      </c>
      <c r="AY25" s="141">
        <v>112.481032641906</v>
      </c>
      <c r="AZ25" s="141">
        <v>-272.787381674715</v>
      </c>
      <c r="BA25" s="141">
        <v>-180.171009999999</v>
      </c>
      <c r="BB25" s="141">
        <v>34181.3072750447</v>
      </c>
      <c r="BC25" s="141">
        <v>-225.883553529698</v>
      </c>
      <c r="BD25" s="141">
        <v>-453.303148315007</v>
      </c>
      <c r="BE25" s="141">
        <v>84.0121110973894</v>
      </c>
      <c r="BF25" s="141">
        <v>33586.1326842974</v>
      </c>
      <c r="BG25" s="141">
        <v>-1488.43477394457</v>
      </c>
      <c r="BH25" s="141">
        <v>188.145718656012</v>
      </c>
      <c r="BI25" s="141">
        <v>-156.035528455922</v>
      </c>
      <c r="BJ25" s="141">
        <v>32129.8081005529</v>
      </c>
      <c r="BK25" s="141">
        <v>-1299.9162813787</v>
      </c>
      <c r="BL25" s="141">
        <v>-314.273702685425</v>
      </c>
      <c r="BM25" s="141">
        <v>150.1566313993</v>
      </c>
      <c r="BN25" s="141">
        <v>30665.7747478881</v>
      </c>
      <c r="BO25" s="141">
        <v>84.4106201843817</v>
      </c>
      <c r="BP25" s="141">
        <v>483.40415945423</v>
      </c>
      <c r="BQ25" s="141">
        <v>-53.4333399831207</v>
      </c>
      <c r="BR25" s="141">
        <v>31180.1561875435</v>
      </c>
      <c r="BS25" s="141">
        <v>-62.3197683904989</v>
      </c>
      <c r="BT25" s="141">
        <v>616.668919517925</v>
      </c>
      <c r="BU25" s="141">
        <v>-70.4348100827194</v>
      </c>
      <c r="BV25" s="141">
        <v>31664.0705285883</v>
      </c>
      <c r="BW25" s="141">
        <v>677.086335247281</v>
      </c>
      <c r="BX25" s="141">
        <v>416.402731090338</v>
      </c>
      <c r="BY25" s="141">
        <v>-28.7598604517039</v>
      </c>
      <c r="BZ25" s="141">
        <v>32728.7997344742</v>
      </c>
      <c r="CA25" s="141">
        <v>327.697239612552</v>
      </c>
      <c r="CB25" s="141">
        <v>-600.99889171279</v>
      </c>
      <c r="CC25" s="141">
        <v>-57.5254996679571</v>
      </c>
      <c r="CD25" s="141">
        <v>32397.972582706</v>
      </c>
      <c r="CE25" s="141">
        <v>-31.6548578595067</v>
      </c>
      <c r="CF25" s="141">
        <v>-1852.21072228878</v>
      </c>
      <c r="CG25" s="141">
        <v>-1136.44103493311</v>
      </c>
      <c r="CH25" s="141">
        <v>29377.6659676246</v>
      </c>
      <c r="CI25" s="141">
        <v>72.6863929883614</v>
      </c>
      <c r="CJ25" s="141">
        <v>1803.78305368076</v>
      </c>
      <c r="CK25" s="141">
        <v>-38.7896662339031</v>
      </c>
      <c r="CL25" s="141">
        <v>31215.3457480598</v>
      </c>
      <c r="CM25" s="141">
        <v>270.240663674531</v>
      </c>
      <c r="CN25" s="141">
        <v>727.197547110163</v>
      </c>
      <c r="CO25" s="141">
        <v>-93.7237977960386</v>
      </c>
      <c r="CP25" s="141">
        <v>32119.0601610485</v>
      </c>
      <c r="CQ25" s="141">
        <v>559.171536430263</v>
      </c>
      <c r="CR25" s="141">
        <v>341.638563026755</v>
      </c>
      <c r="CS25" s="141">
        <v>-156.834880073285</v>
      </c>
      <c r="CT25" s="141">
        <v>32863.0353804322</v>
      </c>
      <c r="CU25" s="142">
        <v>-195.515677375787</v>
      </c>
      <c r="CV25" s="142">
        <v>-206.452320936963</v>
      </c>
      <c r="CW25" s="142">
        <v>-323.226619621554</v>
      </c>
      <c r="CX25" s="142">
        <v>32137.8407624979</v>
      </c>
      <c r="CY25" s="142">
        <v>223.365604607693</v>
      </c>
      <c r="CZ25" s="142">
        <v>347.114423777097</v>
      </c>
      <c r="DA25" s="142">
        <v>-100.417359125923</v>
      </c>
      <c r="DB25" s="142">
        <v>32607.9034317567</v>
      </c>
      <c r="DC25" s="142">
        <v>786.806593129085</v>
      </c>
      <c r="DD25" s="142">
        <v>-218.311232248293</v>
      </c>
      <c r="DE25" s="142">
        <v>-93.5951791307458</v>
      </c>
      <c r="DF25" s="142">
        <v>33082.8036135068</v>
      </c>
      <c r="DG25" s="142">
        <v>160.67240629958</v>
      </c>
      <c r="DH25" s="142">
        <v>-244.415764781387</v>
      </c>
      <c r="DI25" s="142">
        <v>-1.37490645001281</v>
      </c>
      <c r="DJ25" s="142">
        <v>32997.685348575</v>
      </c>
      <c r="DK25" s="142">
        <v>-35.3864530720773</v>
      </c>
      <c r="DL25" s="142">
        <v>-2409.04872016374</v>
      </c>
      <c r="DM25" s="142">
        <v>88.3337973907905</v>
      </c>
      <c r="DN25" s="142">
        <v>30641.5839727299</v>
      </c>
      <c r="DO25" s="142">
        <v>320.279133865715</v>
      </c>
      <c r="DP25" s="142">
        <v>303.015881907784</v>
      </c>
      <c r="DQ25" s="142">
        <v>338.686820380872</v>
      </c>
      <c r="DR25" s="142">
        <v>31603.5658088843</v>
      </c>
      <c r="DS25" s="142">
        <v>378.199906708727</v>
      </c>
      <c r="DT25" s="142">
        <v>-971.281982740862</v>
      </c>
      <c r="DU25" s="142">
        <v>120.703874403163</v>
      </c>
      <c r="DV25" s="142">
        <v>31131.1876072553</v>
      </c>
      <c r="DW25" s="142">
        <v>-742.300851632486</v>
      </c>
      <c r="DX25" s="142">
        <v>125.214991624437</v>
      </c>
      <c r="DY25" s="142">
        <v>-135.416109876683</v>
      </c>
      <c r="DZ25" s="142">
        <v>30378.6856373706</v>
      </c>
      <c r="EA25" s="142">
        <v>233.072405416259</v>
      </c>
      <c r="EB25" s="142">
        <v>-98.3811411578556</v>
      </c>
      <c r="EC25" s="142">
        <v>79.2848258943875</v>
      </c>
      <c r="ED25" s="142">
        <v>30592.6617275234</v>
      </c>
      <c r="EE25" s="142">
        <v>-150.798091157873</v>
      </c>
      <c r="EF25" s="142">
        <v>-233.668119430861</v>
      </c>
      <c r="EG25" s="142">
        <v>-112.236107448597</v>
      </c>
      <c r="EH25" s="142">
        <v>30095.9594094861</v>
      </c>
      <c r="EI25" s="142">
        <v>1029.37265804537</v>
      </c>
      <c r="EJ25" s="142">
        <v>-437.650055480563</v>
      </c>
      <c r="EK25" s="142">
        <v>-441.05083698316</v>
      </c>
      <c r="EL25" s="142">
        <v>30246.6311750677</v>
      </c>
      <c r="EM25" s="142">
        <v>-1038.86592299868</v>
      </c>
      <c r="EN25" s="142">
        <v>828.994728807327</v>
      </c>
      <c r="EO25" s="142">
        <v>275.353085706171</v>
      </c>
      <c r="EP25" s="142">
        <v>30312.1130665825</v>
      </c>
      <c r="EQ25" s="142">
        <v>209.90770573214</v>
      </c>
      <c r="ER25" s="142">
        <v>-144.402180977614</v>
      </c>
      <c r="ES25" s="142">
        <v>74.9261558501925</v>
      </c>
      <c r="ET25" s="142">
        <v>30452.5447471873</v>
      </c>
      <c r="EU25" s="142">
        <v>111.049532076968</v>
      </c>
      <c r="EV25" s="142">
        <v>61.5555667590443</v>
      </c>
      <c r="EW25" s="142">
        <v>-43.1898518651759</v>
      </c>
      <c r="EX25" s="142">
        <v>30581.9599941581</v>
      </c>
      <c r="EY25" s="142">
        <v>-250.560528968354</v>
      </c>
      <c r="EZ25" s="142">
        <v>163.325855155646</v>
      </c>
      <c r="FA25" s="142">
        <v>29.7073606606473</v>
      </c>
      <c r="FB25" s="142">
        <v>30524.432681006</v>
      </c>
      <c r="FC25" s="142">
        <v>443.538344189695</v>
      </c>
      <c r="FD25" s="142">
        <v>-1151.2959610564</v>
      </c>
      <c r="FE25" s="142">
        <v>191.402527220546</v>
      </c>
      <c r="FF25" s="142">
        <v>30008.0775913599</v>
      </c>
      <c r="FG25" s="142">
        <v>131.092002379049</v>
      </c>
      <c r="FH25" s="142">
        <v>602.142952439489</v>
      </c>
      <c r="FI25" s="142">
        <v>57.9194421392993</v>
      </c>
      <c r="FJ25" s="142">
        <v>30799.2319883177</v>
      </c>
      <c r="FK25" s="142">
        <v>-97.8761061048885</v>
      </c>
      <c r="FL25" s="142">
        <v>595.700302323943</v>
      </c>
      <c r="FM25" s="142">
        <v>47.1884104082299</v>
      </c>
      <c r="FN25" s="142">
        <v>31344.244594945</v>
      </c>
      <c r="FO25" s="142">
        <v>1549.40846612796</v>
      </c>
      <c r="FP25" s="142">
        <v>-22.6583391356039</v>
      </c>
      <c r="FQ25" s="142">
        <v>146.017905421486</v>
      </c>
      <c r="FR25" s="142">
        <v>33017.0126273588</v>
      </c>
      <c r="FS25" s="142">
        <v>2352.89339738945</v>
      </c>
      <c r="FT25" s="142">
        <v>641.35205590634</v>
      </c>
      <c r="FU25" s="142">
        <v>89.7828450871539</v>
      </c>
      <c r="FV25" s="142">
        <v>36101.0409257418</v>
      </c>
      <c r="FW25" s="142">
        <v>1027.24776289726</v>
      </c>
      <c r="FX25" s="142">
        <v>-282.407282651008</v>
      </c>
      <c r="FY25" s="142">
        <v>-303.191221360751</v>
      </c>
      <c r="FZ25" s="143">
        <v>36542.6901846273</v>
      </c>
    </row>
    <row r="26" ht="29" spans="1:182">
      <c r="A26" s="149" t="s">
        <v>195</v>
      </c>
      <c r="B26" s="150">
        <v>79134.82949</v>
      </c>
      <c r="C26" s="151">
        <v>1075.66675</v>
      </c>
      <c r="D26" s="151">
        <v>-113.68867</v>
      </c>
      <c r="E26" s="151">
        <v>14891.28204</v>
      </c>
      <c r="F26" s="152">
        <v>94988.08961</v>
      </c>
      <c r="G26" s="151">
        <v>1601.89934</v>
      </c>
      <c r="H26" s="151">
        <v>-45.12666</v>
      </c>
      <c r="I26" s="151">
        <v>151.634679999991</v>
      </c>
      <c r="J26" s="152">
        <v>96696.49697</v>
      </c>
      <c r="K26" s="151">
        <v>743.84463</v>
      </c>
      <c r="L26" s="151">
        <v>-971.8143</v>
      </c>
      <c r="M26" s="151">
        <v>-134.878009999984</v>
      </c>
      <c r="N26" s="152">
        <v>96333.64929</v>
      </c>
      <c r="O26" s="151">
        <v>1177.62701</v>
      </c>
      <c r="P26" s="151">
        <v>-784.87625</v>
      </c>
      <c r="Q26" s="151">
        <v>-462.889879999985</v>
      </c>
      <c r="R26" s="152">
        <v>96263.51017</v>
      </c>
      <c r="S26" s="151">
        <v>637.049020000001</v>
      </c>
      <c r="T26" s="151">
        <v>-18.06884</v>
      </c>
      <c r="U26" s="151">
        <v>52.095869999992</v>
      </c>
      <c r="V26" s="152">
        <v>96934.58622</v>
      </c>
      <c r="W26" s="151">
        <v>2568.84646</v>
      </c>
      <c r="X26" s="151">
        <v>10.25297</v>
      </c>
      <c r="Y26" s="151">
        <v>-9.98292999999421</v>
      </c>
      <c r="Z26" s="152">
        <v>99503.70272</v>
      </c>
      <c r="AA26" s="151">
        <v>4826.62046996</v>
      </c>
      <c r="AB26" s="151">
        <v>42.16221</v>
      </c>
      <c r="AC26" s="151">
        <v>-52.3845600000071</v>
      </c>
      <c r="AD26" s="152">
        <v>104320.10083996</v>
      </c>
      <c r="AE26" s="151">
        <v>149.43226</v>
      </c>
      <c r="AF26" s="151">
        <v>-26.53977</v>
      </c>
      <c r="AG26" s="151">
        <v>245.049230040007</v>
      </c>
      <c r="AH26" s="152">
        <v>104688.04256</v>
      </c>
      <c r="AI26" s="151">
        <v>371.09978</v>
      </c>
      <c r="AJ26" s="151">
        <v>213.56176</v>
      </c>
      <c r="AK26" s="151">
        <v>-13.8008600000016</v>
      </c>
      <c r="AL26" s="152">
        <v>105258.90324</v>
      </c>
      <c r="AM26" s="151">
        <v>941.05737</v>
      </c>
      <c r="AN26" s="151">
        <v>-23.27378</v>
      </c>
      <c r="AO26" s="151">
        <v>23.4506299999916</v>
      </c>
      <c r="AP26" s="152">
        <v>106200.13746</v>
      </c>
      <c r="AQ26" s="151">
        <v>-554.983768253525</v>
      </c>
      <c r="AR26" s="151">
        <v>-164.14431</v>
      </c>
      <c r="AS26" s="151">
        <v>584.697109999997</v>
      </c>
      <c r="AT26" s="152">
        <v>106065.706491746</v>
      </c>
      <c r="AU26" s="151">
        <v>-1747.85934</v>
      </c>
      <c r="AV26" s="151">
        <v>104.89656</v>
      </c>
      <c r="AW26" s="151">
        <v>-50.0554317464815</v>
      </c>
      <c r="AX26" s="152">
        <v>104372.68828</v>
      </c>
      <c r="AY26" s="151">
        <v>-75.4566599999999</v>
      </c>
      <c r="AZ26" s="151">
        <v>102.91036</v>
      </c>
      <c r="BA26" s="151">
        <v>1181.58853999999</v>
      </c>
      <c r="BB26" s="152">
        <v>105581.73052</v>
      </c>
      <c r="BC26" s="151">
        <v>-514.54146</v>
      </c>
      <c r="BD26" s="151">
        <v>-324.09227</v>
      </c>
      <c r="BE26" s="151">
        <v>106.226819999988</v>
      </c>
      <c r="BF26" s="152">
        <v>104849.32361</v>
      </c>
      <c r="BG26" s="151">
        <v>-372.93597</v>
      </c>
      <c r="BH26" s="151">
        <v>-265.1965</v>
      </c>
      <c r="BI26" s="151">
        <v>-49.5445899999946</v>
      </c>
      <c r="BJ26" s="152">
        <v>104161.64655</v>
      </c>
      <c r="BK26" s="151">
        <v>-1332.51332989792</v>
      </c>
      <c r="BL26" s="151">
        <v>-188.732610706507</v>
      </c>
      <c r="BM26" s="151">
        <v>-47.9993858123081</v>
      </c>
      <c r="BN26" s="152">
        <v>102592.401223583</v>
      </c>
      <c r="BO26" s="151">
        <v>-39.5326199999998</v>
      </c>
      <c r="BP26" s="151">
        <v>21.7430734096824</v>
      </c>
      <c r="BQ26" s="151">
        <v>967.759933007004</v>
      </c>
      <c r="BR26" s="152">
        <v>103542.37161</v>
      </c>
      <c r="BS26" s="151">
        <v>-575.30605</v>
      </c>
      <c r="BT26" s="151">
        <v>46.64639</v>
      </c>
      <c r="BU26" s="151">
        <v>-42.4010500000055</v>
      </c>
      <c r="BV26" s="152">
        <v>102971.3109</v>
      </c>
      <c r="BW26" s="151">
        <v>-1409.40092</v>
      </c>
      <c r="BX26" s="151">
        <v>-149.44356</v>
      </c>
      <c r="BY26" s="151">
        <v>-114.725750000001</v>
      </c>
      <c r="BZ26" s="152">
        <v>101297.74067</v>
      </c>
      <c r="CA26" s="151">
        <v>-741.303</v>
      </c>
      <c r="CB26" s="151">
        <v>142.17728</v>
      </c>
      <c r="CC26" s="151">
        <v>-321.772059999992</v>
      </c>
      <c r="CD26" s="152">
        <v>100376.84289</v>
      </c>
      <c r="CE26" s="151">
        <v>667.57815</v>
      </c>
      <c r="CF26" s="151">
        <v>-653.18709</v>
      </c>
      <c r="CG26" s="151">
        <v>643.239689999991</v>
      </c>
      <c r="CH26" s="152">
        <v>101034.47364</v>
      </c>
      <c r="CI26" s="151">
        <v>1742.77514</v>
      </c>
      <c r="CJ26" s="151">
        <v>394.80038</v>
      </c>
      <c r="CK26" s="151">
        <v>-52.4767599999984</v>
      </c>
      <c r="CL26" s="152">
        <v>103119.5724</v>
      </c>
      <c r="CM26" s="151">
        <v>-97.866353909999</v>
      </c>
      <c r="CN26" s="151">
        <v>-254.394605</v>
      </c>
      <c r="CO26" s="151">
        <v>84.0746800000007</v>
      </c>
      <c r="CP26" s="152">
        <v>102851.38612109</v>
      </c>
      <c r="CQ26" s="151">
        <v>-380.2717848</v>
      </c>
      <c r="CR26" s="151">
        <v>198.541585</v>
      </c>
      <c r="CS26" s="151">
        <v>-129.447481290008</v>
      </c>
      <c r="CT26" s="152">
        <v>102540.20844</v>
      </c>
      <c r="CU26" s="153">
        <v>-1282.24031</v>
      </c>
      <c r="CV26" s="153">
        <v>-69.21502</v>
      </c>
      <c r="CW26" s="153">
        <v>67.755360000003</v>
      </c>
      <c r="CX26" s="154">
        <v>101256.50847</v>
      </c>
      <c r="CY26" s="153">
        <v>-810.45259</v>
      </c>
      <c r="CZ26" s="153">
        <v>73.36355</v>
      </c>
      <c r="DA26" s="153">
        <v>-70.3871999999837</v>
      </c>
      <c r="DB26" s="154">
        <v>100449.03223</v>
      </c>
      <c r="DC26" s="153">
        <v>-2273.60502</v>
      </c>
      <c r="DD26" s="153">
        <v>-14.98537</v>
      </c>
      <c r="DE26" s="153">
        <v>-30.1732100000031</v>
      </c>
      <c r="DF26" s="154">
        <v>98130.2686299999</v>
      </c>
      <c r="DG26" s="153">
        <v>-1477.89955</v>
      </c>
      <c r="DH26" s="153">
        <v>-73.73823</v>
      </c>
      <c r="DI26" s="153">
        <v>-349.862929999996</v>
      </c>
      <c r="DJ26" s="154">
        <v>96228.76792</v>
      </c>
      <c r="DK26" s="153">
        <v>-1524.629933</v>
      </c>
      <c r="DL26" s="153">
        <v>-274.047095</v>
      </c>
      <c r="DM26" s="153">
        <v>24.8468900000019</v>
      </c>
      <c r="DN26" s="154">
        <v>94454.937782</v>
      </c>
      <c r="DO26" s="153">
        <v>-476.193343</v>
      </c>
      <c r="DP26" s="153">
        <v>625.136066</v>
      </c>
      <c r="DQ26" s="153">
        <v>-216.373569999987</v>
      </c>
      <c r="DR26" s="154">
        <v>94387.506935</v>
      </c>
      <c r="DS26" s="153">
        <v>824.891793</v>
      </c>
      <c r="DT26" s="153">
        <v>-365.521292</v>
      </c>
      <c r="DU26" s="153">
        <v>-491.910139999995</v>
      </c>
      <c r="DV26" s="154">
        <v>94354.967296</v>
      </c>
      <c r="DW26" s="153">
        <v>-357.986631</v>
      </c>
      <c r="DX26" s="153">
        <v>-153.956313</v>
      </c>
      <c r="DY26" s="153">
        <v>-163.267020000005</v>
      </c>
      <c r="DZ26" s="154">
        <v>93679.757332</v>
      </c>
      <c r="EA26" s="153">
        <v>-332.72377</v>
      </c>
      <c r="EB26" s="153">
        <v>-28.20733</v>
      </c>
      <c r="EC26" s="153">
        <v>537.91222999999</v>
      </c>
      <c r="ED26" s="154">
        <v>93856.738462</v>
      </c>
      <c r="EE26" s="153">
        <v>573.565168000001</v>
      </c>
      <c r="EF26" s="153">
        <v>-145.056565</v>
      </c>
      <c r="EG26" s="153">
        <v>-165.104194000002</v>
      </c>
      <c r="EH26" s="154">
        <v>94120.142871</v>
      </c>
      <c r="EI26" s="153">
        <v>-728.579663308301</v>
      </c>
      <c r="EJ26" s="153">
        <v>-261.53594</v>
      </c>
      <c r="EK26" s="153">
        <v>335.878071861585</v>
      </c>
      <c r="EL26" s="154">
        <v>93465.9053395533</v>
      </c>
      <c r="EM26" s="153">
        <v>-6.32173999999964</v>
      </c>
      <c r="EN26" s="153">
        <v>230.84256</v>
      </c>
      <c r="EO26" s="153">
        <v>-686.659971853291</v>
      </c>
      <c r="EP26" s="154">
        <v>93003.7661877</v>
      </c>
      <c r="EQ26" s="153">
        <v>76.1201978446789</v>
      </c>
      <c r="ER26" s="153">
        <v>-30.77472</v>
      </c>
      <c r="ES26" s="153">
        <v>-120.388109999991</v>
      </c>
      <c r="ET26" s="154">
        <v>92928.7235555447</v>
      </c>
      <c r="EU26" s="153">
        <v>841.94120412</v>
      </c>
      <c r="EV26" s="153">
        <v>28.90447</v>
      </c>
      <c r="EW26" s="153">
        <v>-87.3705210045957</v>
      </c>
      <c r="EX26" s="154">
        <v>93712.1987086601</v>
      </c>
      <c r="EY26" s="153">
        <v>-1229.06033196</v>
      </c>
      <c r="EZ26" s="153">
        <v>-98.47986</v>
      </c>
      <c r="FA26" s="153">
        <v>-308.391289729995</v>
      </c>
      <c r="FB26" s="154">
        <v>92076.2672269701</v>
      </c>
      <c r="FC26" s="153">
        <v>-359.781484</v>
      </c>
      <c r="FD26" s="153">
        <v>-396.031122</v>
      </c>
      <c r="FE26" s="153">
        <v>-179.530868039987</v>
      </c>
      <c r="FF26" s="154">
        <v>91140.9237529301</v>
      </c>
      <c r="FG26" s="153">
        <v>1423.83648</v>
      </c>
      <c r="FH26" s="153">
        <v>445.88232</v>
      </c>
      <c r="FI26" s="153">
        <v>-492.552344000009</v>
      </c>
      <c r="FJ26" s="154">
        <v>92518.0902089301</v>
      </c>
      <c r="FK26" s="153">
        <v>-625.36815</v>
      </c>
      <c r="FL26" s="153">
        <v>210.06024</v>
      </c>
      <c r="FM26" s="153">
        <v>-22.0054500000002</v>
      </c>
      <c r="FN26" s="154">
        <v>92080.7768489301</v>
      </c>
      <c r="FO26" s="153">
        <v>-2622.5155</v>
      </c>
      <c r="FP26" s="153">
        <v>-194.01203</v>
      </c>
      <c r="FQ26" s="153">
        <v>-556.455450000001</v>
      </c>
      <c r="FR26" s="154">
        <v>88707.7938689301</v>
      </c>
      <c r="FS26" s="153">
        <v>867.175561180155</v>
      </c>
      <c r="FT26" s="153">
        <v>246.74359</v>
      </c>
      <c r="FU26" s="153">
        <v>75.6629146359975</v>
      </c>
      <c r="FV26" s="154">
        <v>89897.3759347462</v>
      </c>
      <c r="FW26" s="153">
        <v>-2545.42753</v>
      </c>
      <c r="FX26" s="153">
        <v>-41.00383</v>
      </c>
      <c r="FY26" s="153">
        <v>67.4319652538373</v>
      </c>
      <c r="FZ26" s="155">
        <v>87378.3765400001</v>
      </c>
    </row>
    <row r="27" s="98" customFormat="1" ht="9" customHeight="1" spans="1:182">
      <c r="A27" s="156"/>
      <c r="B27" s="157"/>
      <c r="C27" s="157"/>
      <c r="D27" s="157"/>
      <c r="E27" s="157"/>
      <c r="F27" s="157"/>
      <c r="G27" s="157"/>
      <c r="H27" s="157"/>
      <c r="I27" s="157"/>
      <c r="J27" s="157"/>
      <c r="K27" s="157"/>
      <c r="L27" s="157"/>
      <c r="M27" s="157"/>
      <c r="N27" s="157"/>
      <c r="O27" s="157"/>
      <c r="P27" s="157"/>
      <c r="Q27" s="157"/>
      <c r="R27" s="157"/>
      <c r="S27" s="157"/>
      <c r="T27" s="157"/>
      <c r="U27" s="157"/>
      <c r="V27" s="157"/>
      <c r="W27" s="157"/>
      <c r="X27" s="157"/>
      <c r="Y27" s="157"/>
      <c r="Z27" s="157"/>
      <c r="AA27" s="157"/>
      <c r="AB27" s="157"/>
      <c r="AC27" s="157"/>
      <c r="AD27" s="157"/>
      <c r="AE27" s="157"/>
      <c r="AF27" s="157"/>
      <c r="AG27" s="157"/>
      <c r="AH27" s="157"/>
      <c r="AI27" s="157"/>
      <c r="AJ27" s="157"/>
      <c r="AK27" s="157"/>
      <c r="AL27" s="157"/>
      <c r="AM27" s="157"/>
      <c r="AN27" s="157"/>
      <c r="AO27" s="157"/>
      <c r="AP27" s="157"/>
      <c r="AQ27" s="157"/>
      <c r="AR27" s="157"/>
      <c r="AS27" s="157"/>
      <c r="AT27" s="157"/>
      <c r="AU27" s="157"/>
      <c r="AV27" s="157"/>
      <c r="AW27" s="157"/>
      <c r="AX27" s="157"/>
      <c r="AY27" s="157"/>
      <c r="AZ27" s="157"/>
      <c r="BA27" s="157"/>
      <c r="BB27" s="157"/>
      <c r="BC27" s="157"/>
      <c r="BD27" s="157"/>
      <c r="BE27" s="157"/>
      <c r="BF27" s="157"/>
      <c r="BG27" s="157"/>
      <c r="BH27" s="157"/>
      <c r="BI27" s="157"/>
      <c r="BJ27" s="157"/>
      <c r="BK27" s="157"/>
      <c r="BL27" s="157"/>
      <c r="BM27" s="157"/>
      <c r="BN27" s="157"/>
      <c r="BO27" s="157"/>
      <c r="BP27" s="157"/>
      <c r="BQ27" s="157"/>
      <c r="BR27" s="157"/>
      <c r="BS27" s="157"/>
      <c r="BT27" s="157"/>
      <c r="BU27" s="157"/>
      <c r="BV27" s="157"/>
      <c r="BW27" s="157"/>
      <c r="BX27" s="157"/>
      <c r="BY27" s="157"/>
      <c r="BZ27" s="157"/>
      <c r="CA27" s="157"/>
      <c r="CB27" s="157"/>
      <c r="CC27" s="157"/>
      <c r="CD27" s="157"/>
      <c r="CE27" s="158"/>
      <c r="CF27" s="158"/>
      <c r="CG27" s="158"/>
      <c r="CH27" s="158"/>
      <c r="CU27" s="158"/>
      <c r="CV27" s="158"/>
      <c r="CW27" s="158"/>
      <c r="CX27" s="158"/>
      <c r="CY27" s="158"/>
      <c r="CZ27" s="158"/>
      <c r="DA27" s="158"/>
      <c r="DB27" s="158"/>
      <c r="DC27" s="158"/>
      <c r="DD27" s="158"/>
      <c r="DE27" s="158"/>
      <c r="DF27" s="158"/>
      <c r="DG27" s="158"/>
      <c r="DH27" s="158"/>
      <c r="DI27" s="158"/>
      <c r="DJ27" s="158"/>
      <c r="DK27" s="158"/>
      <c r="DL27" s="158"/>
      <c r="DM27" s="158"/>
      <c r="DN27" s="158"/>
      <c r="DO27" s="158"/>
      <c r="DP27" s="158"/>
      <c r="DQ27" s="158"/>
      <c r="DR27" s="158"/>
      <c r="DS27" s="158"/>
      <c r="DT27" s="158"/>
      <c r="DU27" s="158"/>
      <c r="DV27" s="158"/>
      <c r="DW27" s="158"/>
      <c r="DX27" s="158"/>
      <c r="DY27" s="158"/>
      <c r="DZ27" s="158"/>
      <c r="EA27" s="158"/>
      <c r="EB27" s="158"/>
      <c r="EC27" s="158"/>
      <c r="ED27" s="158"/>
      <c r="EE27" s="158"/>
      <c r="EF27" s="158"/>
      <c r="EG27" s="158"/>
      <c r="EH27" s="158"/>
      <c r="EI27" s="158"/>
      <c r="EJ27" s="158"/>
      <c r="EK27" s="158"/>
      <c r="EL27" s="158"/>
      <c r="EM27" s="158"/>
      <c r="EN27" s="158"/>
      <c r="EO27" s="158"/>
      <c r="EP27" s="158"/>
      <c r="EQ27" s="158"/>
      <c r="ER27" s="158"/>
      <c r="ES27" s="158"/>
      <c r="ET27" s="158"/>
      <c r="EU27" s="158"/>
      <c r="EV27" s="158"/>
      <c r="EW27" s="158"/>
      <c r="EX27" s="158"/>
      <c r="EY27" s="158"/>
      <c r="EZ27" s="158"/>
      <c r="FA27" s="158"/>
      <c r="FB27" s="158"/>
      <c r="FC27" s="158"/>
      <c r="FD27" s="158"/>
      <c r="FE27" s="158"/>
      <c r="FF27" s="158"/>
      <c r="FG27" s="158"/>
      <c r="FH27" s="158"/>
      <c r="FI27" s="158"/>
      <c r="FJ27" s="158"/>
      <c r="FK27" s="158"/>
      <c r="FL27" s="158"/>
      <c r="FM27" s="158"/>
      <c r="FN27" s="158"/>
      <c r="FO27" s="158"/>
      <c r="FP27" s="158"/>
      <c r="FQ27" s="158"/>
      <c r="FR27" s="158"/>
      <c r="FS27" s="158"/>
      <c r="FT27" s="158"/>
      <c r="FU27" s="158"/>
      <c r="FV27" s="158"/>
      <c r="FW27" s="158"/>
      <c r="FX27" s="158"/>
      <c r="FY27" s="158"/>
      <c r="FZ27" s="158"/>
    </row>
    <row r="28" ht="14.25" customHeight="1" spans="1:182">
      <c r="A28" s="159" t="s">
        <v>408</v>
      </c>
      <c r="B28" s="159"/>
      <c r="C28" s="159"/>
      <c r="D28" s="159"/>
      <c r="E28" s="159"/>
      <c r="F28" s="159"/>
      <c r="G28" s="159"/>
      <c r="H28" s="159"/>
      <c r="I28" s="159"/>
      <c r="J28" s="159"/>
      <c r="K28" s="159"/>
      <c r="L28" s="159"/>
      <c r="M28" s="159"/>
      <c r="N28" s="159"/>
      <c r="O28" s="159"/>
      <c r="P28" s="159"/>
      <c r="Q28" s="159"/>
      <c r="R28" s="159"/>
      <c r="S28" s="159"/>
      <c r="T28" s="159"/>
      <c r="U28" s="159"/>
      <c r="V28" s="159"/>
      <c r="W28" s="159"/>
      <c r="X28" s="159"/>
      <c r="Y28" s="159"/>
      <c r="Z28" s="159"/>
      <c r="AA28" s="159"/>
      <c r="AB28" s="159"/>
      <c r="AC28" s="159"/>
      <c r="AD28" s="159"/>
      <c r="AE28" s="159"/>
      <c r="AF28" s="159"/>
      <c r="AG28" s="159"/>
      <c r="AH28" s="159"/>
      <c r="AI28" s="159"/>
      <c r="AJ28" s="159"/>
      <c r="AK28" s="159"/>
      <c r="AL28" s="159"/>
      <c r="AM28" s="159"/>
      <c r="AN28" s="159"/>
      <c r="AO28" s="159"/>
      <c r="AP28" s="159"/>
      <c r="AQ28" s="159"/>
      <c r="AR28" s="159"/>
      <c r="AS28" s="159"/>
      <c r="AT28" s="159"/>
      <c r="AU28" s="159"/>
      <c r="AV28" s="159"/>
      <c r="AW28" s="159"/>
      <c r="AX28" s="159"/>
      <c r="AY28" s="159"/>
      <c r="AZ28" s="159"/>
      <c r="BA28" s="159"/>
      <c r="BB28" s="159"/>
      <c r="BC28" s="159"/>
      <c r="BD28" s="159"/>
      <c r="BE28" s="159"/>
      <c r="BF28" s="159"/>
      <c r="BG28" s="159"/>
      <c r="BH28" s="159"/>
      <c r="BI28" s="159"/>
      <c r="BJ28" s="159"/>
    </row>
    <row r="29" ht="16.5" customHeight="1" spans="1:182">
      <c r="A29" s="160" t="s">
        <v>409</v>
      </c>
      <c r="B29" s="160"/>
      <c r="C29" s="160"/>
      <c r="D29" s="160"/>
      <c r="E29" s="160"/>
      <c r="F29" s="160"/>
      <c r="G29" s="160"/>
      <c r="H29" s="160"/>
      <c r="I29" s="160"/>
      <c r="J29" s="160"/>
      <c r="K29" s="160"/>
      <c r="L29" s="160"/>
      <c r="M29" s="160"/>
      <c r="N29" s="160"/>
      <c r="O29" s="160"/>
      <c r="P29" s="160"/>
      <c r="Q29" s="160"/>
      <c r="R29" s="160"/>
      <c r="S29" s="160"/>
      <c r="T29" s="160"/>
      <c r="U29" s="160"/>
      <c r="V29" s="160"/>
      <c r="W29" s="160"/>
      <c r="X29" s="160"/>
      <c r="Y29" s="160"/>
      <c r="Z29" s="160"/>
      <c r="AA29" s="160"/>
      <c r="AB29" s="160"/>
      <c r="AC29" s="160"/>
      <c r="AD29" s="160"/>
      <c r="AE29" s="160"/>
      <c r="AF29" s="160"/>
      <c r="AG29" s="160"/>
      <c r="AH29" s="160"/>
      <c r="AI29" s="160"/>
      <c r="AJ29" s="160"/>
      <c r="AK29" s="160"/>
      <c r="AL29" s="160"/>
      <c r="AM29" s="160"/>
      <c r="AN29" s="160"/>
      <c r="AO29" s="160"/>
      <c r="AP29" s="160"/>
      <c r="AQ29" s="160"/>
      <c r="AR29" s="160"/>
      <c r="AS29" s="160"/>
      <c r="AT29" s="160"/>
      <c r="AU29" s="160"/>
      <c r="AV29" s="160"/>
      <c r="AW29" s="160"/>
      <c r="AX29" s="160"/>
      <c r="AY29" s="160"/>
      <c r="AZ29" s="160"/>
      <c r="BA29" s="160"/>
      <c r="BB29" s="160"/>
      <c r="BC29" s="160"/>
      <c r="BD29" s="160"/>
      <c r="BE29" s="160"/>
      <c r="BF29" s="160"/>
      <c r="BG29" s="160"/>
      <c r="BH29" s="160"/>
      <c r="BI29" s="160"/>
      <c r="BJ29" s="160"/>
      <c r="BK29" s="160"/>
      <c r="BL29" s="160"/>
      <c r="BM29" s="160"/>
      <c r="BN29" s="160"/>
      <c r="BO29" s="160"/>
      <c r="BP29" s="160"/>
      <c r="BQ29" s="160"/>
      <c r="BR29" s="160"/>
      <c r="BS29" s="160"/>
      <c r="BT29" s="160"/>
      <c r="BU29" s="160"/>
      <c r="BV29" s="160"/>
      <c r="BW29" s="160"/>
      <c r="BX29" s="160"/>
      <c r="BY29" s="160"/>
      <c r="BZ29" s="160"/>
      <c r="CA29" s="160"/>
      <c r="CB29" s="160"/>
      <c r="CC29" s="160"/>
      <c r="CD29" s="160"/>
    </row>
  </sheetData>
  <mergeCells count="94">
    <mergeCell ref="C3:E3"/>
    <mergeCell ref="G3:I3"/>
    <mergeCell ref="K3:M3"/>
    <mergeCell ref="O3:Q3"/>
    <mergeCell ref="S3:U3"/>
    <mergeCell ref="W3:Y3"/>
    <mergeCell ref="AA3:AC3"/>
    <mergeCell ref="AE3:AG3"/>
    <mergeCell ref="AI3:AK3"/>
    <mergeCell ref="AM3:AO3"/>
    <mergeCell ref="AQ3:AS3"/>
    <mergeCell ref="AU3:AW3"/>
    <mergeCell ref="AY3:BA3"/>
    <mergeCell ref="BC3:BE3"/>
    <mergeCell ref="BG3:BI3"/>
    <mergeCell ref="BK3:BM3"/>
    <mergeCell ref="BO3:BQ3"/>
    <mergeCell ref="BS3:BU3"/>
    <mergeCell ref="BW3:BY3"/>
    <mergeCell ref="CA3:CC3"/>
    <mergeCell ref="CE3:CG3"/>
    <mergeCell ref="CI3:CK3"/>
    <mergeCell ref="CM3:CO3"/>
    <mergeCell ref="CQ3:CS3"/>
    <mergeCell ref="CU3:CW3"/>
    <mergeCell ref="CY3:DA3"/>
    <mergeCell ref="DC3:DE3"/>
    <mergeCell ref="DG3:DI3"/>
    <mergeCell ref="DK3:DM3"/>
    <mergeCell ref="DO3:DQ3"/>
    <mergeCell ref="DS3:DU3"/>
    <mergeCell ref="DW3:DY3"/>
    <mergeCell ref="EA3:EC3"/>
    <mergeCell ref="EE3:EG3"/>
    <mergeCell ref="EI3:EK3"/>
    <mergeCell ref="EM3:EO3"/>
    <mergeCell ref="EQ3:ES3"/>
    <mergeCell ref="EU3:EW3"/>
    <mergeCell ref="EY3:FA3"/>
    <mergeCell ref="FC3:FE3"/>
    <mergeCell ref="FG3:FI3"/>
    <mergeCell ref="FK3:FM3"/>
    <mergeCell ref="FO3:FQ3"/>
    <mergeCell ref="FS3:FU3"/>
    <mergeCell ref="FW3:FY3"/>
    <mergeCell ref="A28:BJ28"/>
    <mergeCell ref="A29:CD29"/>
    <mergeCell ref="A3:A4"/>
    <mergeCell ref="B3:B4"/>
    <mergeCell ref="F3:F4"/>
    <mergeCell ref="J3:J4"/>
    <mergeCell ref="N3:N4"/>
    <mergeCell ref="R3:R4"/>
    <mergeCell ref="V3:V4"/>
    <mergeCell ref="Z3:Z4"/>
    <mergeCell ref="AD3:AD4"/>
    <mergeCell ref="AH3:AH4"/>
    <mergeCell ref="AL3:AL4"/>
    <mergeCell ref="AP3:AP4"/>
    <mergeCell ref="AT3:AT4"/>
    <mergeCell ref="AX3:AX4"/>
    <mergeCell ref="BB3:BB4"/>
    <mergeCell ref="BF3:BF4"/>
    <mergeCell ref="BJ3:BJ4"/>
    <mergeCell ref="BN3:BN4"/>
    <mergeCell ref="BR3:BR4"/>
    <mergeCell ref="BV3:BV4"/>
    <mergeCell ref="BZ3:BZ4"/>
    <mergeCell ref="CD3:CD4"/>
    <mergeCell ref="CH3:CH4"/>
    <mergeCell ref="CL3:CL4"/>
    <mergeCell ref="CP3:CP4"/>
    <mergeCell ref="CT3:CT4"/>
    <mergeCell ref="CX3:CX4"/>
    <mergeCell ref="DB3:DB4"/>
    <mergeCell ref="DF3:DF4"/>
    <mergeCell ref="DJ3:DJ4"/>
    <mergeCell ref="DN3:DN4"/>
    <mergeCell ref="DR3:DR4"/>
    <mergeCell ref="DV3:DV4"/>
    <mergeCell ref="DZ3:DZ4"/>
    <mergeCell ref="ED3:ED4"/>
    <mergeCell ref="EH3:EH4"/>
    <mergeCell ref="EL3:EL4"/>
    <mergeCell ref="EP3:EP4"/>
    <mergeCell ref="ET3:ET4"/>
    <mergeCell ref="EX3:EX4"/>
    <mergeCell ref="FB3:FB4"/>
    <mergeCell ref="FF3:FF4"/>
    <mergeCell ref="FJ3:FJ4"/>
    <mergeCell ref="FN3:FN4"/>
    <mergeCell ref="FR3:FR4"/>
    <mergeCell ref="FV3:FV4"/>
    <mergeCell ref="FZ3:FZ4"/>
  </mergeCells>
  <pageMargins left="0.118110236220472" right="0.118110236220472" top="0.748031496062992" bottom="0.748031496062992" header="0.31496062992126" footer="0.31496062992126"/>
  <pageSetup paperSize="9" orientation="landscape"/>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H68"/>
  <sheetViews>
    <sheetView showGridLines="0" zoomScale="85" zoomScaleNormal="85" zoomScaleSheetLayoutView="85" workbookViewId="0">
      <pane xSplit="1" ySplit="4" topLeftCell="AW5" activePane="bottomRight" state="frozen"/>
      <selection/>
      <selection pane="topRight"/>
      <selection pane="bottomLeft"/>
      <selection pane="bottomRight" activeCell="A1" sqref="A1"/>
    </sheetView>
  </sheetViews>
  <sheetFormatPr defaultColWidth="9" defaultRowHeight="14.4"/>
  <cols>
    <col min="1" max="1" width="37.5703125" style="53" customWidth="1"/>
    <col min="2" max="2" width="9.2890625" style="53" customWidth="1" outlineLevel="1"/>
    <col min="3" max="3" width="12.7109375" style="53" customWidth="1" outlineLevel="1"/>
    <col min="4" max="4" width="10.5703125" style="54" customWidth="1"/>
    <col min="5" max="5" width="9.7109375" style="54" hidden="1" customWidth="1" outlineLevel="1"/>
    <col min="6" max="6" width="12.859375" style="54" hidden="1" customWidth="1" outlineLevel="1"/>
    <col min="7" max="7" width="11" style="54" customWidth="1" collapsed="1"/>
    <col min="8" max="8" width="9.4296875" style="54" hidden="1" customWidth="1" outlineLevel="1"/>
    <col min="9" max="9" width="12.5703125" style="54" hidden="1" customWidth="1" outlineLevel="1"/>
    <col min="10" max="10" width="11" style="54" customWidth="1" collapsed="1"/>
    <col min="11" max="11" width="9.4296875" style="54" hidden="1" customWidth="1" outlineLevel="1"/>
    <col min="12" max="12" width="12.5703125" style="54" hidden="1" customWidth="1" outlineLevel="1"/>
    <col min="13" max="13" width="11" style="54" customWidth="1" collapsed="1"/>
    <col min="14" max="14" width="9.4296875" style="54" hidden="1" customWidth="1" outlineLevel="1"/>
    <col min="15" max="15" width="12.5703125" style="54" hidden="1" customWidth="1" outlineLevel="1"/>
    <col min="16" max="16" width="11" style="54" customWidth="1" collapsed="1"/>
    <col min="17" max="17" width="9.5703125" style="54" hidden="1" customWidth="1" outlineLevel="1"/>
    <col min="18" max="18" width="12.7109375" style="54" hidden="1" customWidth="1" outlineLevel="1"/>
    <col min="19" max="19" width="11" style="54" customWidth="1" collapsed="1"/>
    <col min="20" max="20" width="9.4296875" style="54" hidden="1" customWidth="1" outlineLevel="1"/>
    <col min="21" max="21" width="13" style="54" hidden="1" customWidth="1" outlineLevel="1"/>
    <col min="22" max="22" width="10.7109375" style="54" customWidth="1" collapsed="1"/>
    <col min="23" max="23" width="9.859375" style="54" hidden="1" customWidth="1" outlineLevel="1"/>
    <col min="24" max="24" width="13.140625" style="54" hidden="1" customWidth="1" outlineLevel="1"/>
    <col min="25" max="25" width="11.140625" style="54" customWidth="1" collapsed="1"/>
    <col min="26" max="26" width="9.859375" style="54" hidden="1" customWidth="1" outlineLevel="1"/>
    <col min="27" max="27" width="13.2890625" style="54" hidden="1" customWidth="1" outlineLevel="1"/>
    <col min="28" max="28" width="11.140625" style="54" customWidth="1" collapsed="1"/>
    <col min="29" max="29" width="9.859375" style="54" hidden="1" customWidth="1" outlineLevel="1"/>
    <col min="30" max="30" width="12.5703125" style="54" hidden="1" customWidth="1" outlineLevel="1"/>
    <col min="31" max="31" width="11.5703125" style="54" customWidth="1" collapsed="1"/>
    <col min="32" max="32" width="10.140625" style="54" hidden="1" customWidth="1" outlineLevel="1"/>
    <col min="33" max="33" width="13.5703125" style="54" hidden="1" customWidth="1" outlineLevel="1"/>
    <col min="34" max="34" width="10.5703125" style="54" customWidth="1" collapsed="1"/>
    <col min="35" max="35" width="10.140625" style="54" hidden="1" customWidth="1" outlineLevel="1"/>
    <col min="36" max="36" width="13.5703125" style="54" hidden="1" customWidth="1" outlineLevel="1"/>
    <col min="37" max="37" width="10.5703125" style="54" customWidth="1" collapsed="1"/>
    <col min="38" max="38" width="9.5703125" style="54" hidden="1" customWidth="1" outlineLevel="1"/>
    <col min="39" max="39" width="12.7109375" style="54" hidden="1" customWidth="1" outlineLevel="1"/>
    <col min="40" max="40" width="11.2890625" style="54" customWidth="1" collapsed="1"/>
    <col min="41" max="41" width="9.859375" style="54" hidden="1" customWidth="1" outlineLevel="1"/>
    <col min="42" max="42" width="13.7109375" style="54" hidden="1" customWidth="1" outlineLevel="1"/>
    <col min="43" max="43" width="11.5703125" style="54" customWidth="1" collapsed="1"/>
    <col min="44" max="44" width="9.859375" style="54" hidden="1" customWidth="1" outlineLevel="1"/>
    <col min="45" max="45" width="13.7109375" style="54" hidden="1" customWidth="1" outlineLevel="1"/>
    <col min="46" max="46" width="11.5703125" style="54" customWidth="1" collapsed="1"/>
    <col min="47" max="47" width="9.859375" style="54" hidden="1" customWidth="1" outlineLevel="1"/>
    <col min="48" max="48" width="13.7109375" style="54" hidden="1" customWidth="1" outlineLevel="1"/>
    <col min="49" max="49" width="11.5703125" style="54" customWidth="1" collapsed="1"/>
    <col min="50" max="50" width="9.4296875" style="54" hidden="1" customWidth="1" outlineLevel="1"/>
    <col min="51" max="51" width="13.7109375" style="54" hidden="1" customWidth="1" outlineLevel="1"/>
    <col min="52" max="52" width="10.859375" style="54" customWidth="1" collapsed="1"/>
    <col min="53" max="53" width="9.4296875" style="54" hidden="1" customWidth="1" outlineLevel="1"/>
    <col min="54" max="54" width="13.7109375" style="54" hidden="1" customWidth="1" outlineLevel="1"/>
    <col min="55" max="55" width="10.859375" style="54" customWidth="1" collapsed="1"/>
    <col min="56" max="56" width="9.4296875" style="54" hidden="1" customWidth="1" outlineLevel="1"/>
    <col min="57" max="57" width="13.7109375" style="54" hidden="1" customWidth="1" outlineLevel="1"/>
    <col min="58" max="58" width="10.859375" style="54" customWidth="1" collapsed="1"/>
    <col min="59" max="59" width="9.4296875" style="54" hidden="1" customWidth="1" outlineLevel="1"/>
    <col min="60" max="60" width="13.7109375" style="54" hidden="1" customWidth="1" outlineLevel="1"/>
    <col min="61" max="61" width="10.859375" style="54" customWidth="1" collapsed="1"/>
    <col min="62" max="62" width="9.4296875" style="54" hidden="1" customWidth="1" outlineLevel="1"/>
    <col min="63" max="63" width="13.7109375" style="54" hidden="1" customWidth="1" outlineLevel="1"/>
    <col min="64" max="64" width="10.859375" style="54" customWidth="1" collapsed="1"/>
    <col min="65" max="65" width="9.4296875" style="54" hidden="1" customWidth="1" outlineLevel="1"/>
    <col min="66" max="66" width="13.7109375" style="54" hidden="1" customWidth="1" outlineLevel="1"/>
    <col min="67" max="67" width="10.859375" style="54" customWidth="1" collapsed="1"/>
    <col min="68" max="68" width="9.4296875" style="54" hidden="1" customWidth="1" outlineLevel="1"/>
    <col min="69" max="69" width="13.7109375" style="54" hidden="1" customWidth="1" outlineLevel="1"/>
    <col min="70" max="70" width="10.859375" style="54" customWidth="1" collapsed="1"/>
    <col min="71" max="71" width="9.4296875" style="54" hidden="1" customWidth="1" outlineLevel="1"/>
    <col min="72" max="72" width="13.7109375" style="54" hidden="1" customWidth="1" outlineLevel="1"/>
    <col min="73" max="73" width="10.859375" style="54" customWidth="1" collapsed="1"/>
    <col min="74" max="74" width="9.4296875" style="54" hidden="1" customWidth="1" outlineLevel="1"/>
    <col min="75" max="75" width="13.7109375" style="54" hidden="1" customWidth="1" outlineLevel="1"/>
    <col min="76" max="76" width="10.859375" style="54" customWidth="1" collapsed="1"/>
    <col min="77" max="77" width="9.4296875" style="54" hidden="1" customWidth="1" outlineLevel="1"/>
    <col min="78" max="78" width="13.7109375" style="54" hidden="1" customWidth="1" outlineLevel="1"/>
    <col min="79" max="79" width="10.859375" style="54" customWidth="1" collapsed="1"/>
    <col min="80" max="80" width="9.4296875" style="54" hidden="1" customWidth="1" outlineLevel="1"/>
    <col min="81" max="81" width="13.7109375" style="54" hidden="1" customWidth="1" outlineLevel="1"/>
    <col min="82" max="82" width="10.859375" style="54" customWidth="1" collapsed="1"/>
    <col min="83" max="83" width="9.4296875" style="54" hidden="1" customWidth="1" outlineLevel="1"/>
    <col min="84" max="84" width="13.7109375" style="54" hidden="1" customWidth="1" outlineLevel="1"/>
    <col min="85" max="85" width="10.859375" style="54" customWidth="1" collapsed="1"/>
    <col min="86" max="86" width="9.4296875" style="54" hidden="1" customWidth="1" outlineLevel="1"/>
    <col min="87" max="87" width="13.7109375" style="54" hidden="1" customWidth="1" outlineLevel="1"/>
    <col min="88" max="88" width="10.859375" style="54" customWidth="1" collapsed="1"/>
    <col min="89" max="89" width="9.4296875" style="54" hidden="1" customWidth="1" outlineLevel="1"/>
    <col min="90" max="90" width="13.7109375" style="54" hidden="1" customWidth="1" outlineLevel="1"/>
    <col min="91" max="91" width="10.859375" style="54" customWidth="1" collapsed="1"/>
    <col min="92" max="92" width="9.4296875" style="54" hidden="1" customWidth="1" outlineLevel="1"/>
    <col min="93" max="93" width="13.7109375" style="54" hidden="1" customWidth="1" outlineLevel="1"/>
    <col min="94" max="94" width="10.859375" style="54" customWidth="1" collapsed="1"/>
    <col min="95" max="95" width="9.4296875" style="54" hidden="1" customWidth="1" outlineLevel="1"/>
    <col min="96" max="96" width="13.7109375" style="54" hidden="1" customWidth="1" outlineLevel="1"/>
    <col min="97" max="97" width="10.859375" style="54" customWidth="1" collapsed="1"/>
    <col min="98" max="98" width="9.4296875" style="54" hidden="1" customWidth="1" outlineLevel="1"/>
    <col min="99" max="99" width="13.7109375" style="54" hidden="1" customWidth="1" outlineLevel="1"/>
    <col min="100" max="100" width="10.859375" style="54" customWidth="1" collapsed="1"/>
    <col min="101" max="101" width="9.4296875" style="54" hidden="1" customWidth="1" outlineLevel="1"/>
    <col min="102" max="102" width="13.7109375" style="54" hidden="1" customWidth="1" outlineLevel="1"/>
    <col min="103" max="103" width="10.859375" style="54" customWidth="1" collapsed="1"/>
    <col min="104" max="104" width="9.4296875" style="54" hidden="1" customWidth="1" outlineLevel="1"/>
    <col min="105" max="105" width="13.7109375" style="54" hidden="1" customWidth="1" outlineLevel="1"/>
    <col min="106" max="106" width="10.859375" style="54" customWidth="1" collapsed="1"/>
    <col min="107" max="107" width="9.4296875" style="54" hidden="1" customWidth="1" outlineLevel="1"/>
    <col min="108" max="108" width="13.7109375" style="54" hidden="1" customWidth="1" outlineLevel="1"/>
    <col min="109" max="109" width="10.859375" style="54" customWidth="1" collapsed="1"/>
    <col min="110" max="110" width="9.4296875" style="54" customWidth="1"/>
    <col min="111" max="111" width="13.7109375" style="54" customWidth="1"/>
    <col min="112" max="112" width="10.859375" style="54" customWidth="1"/>
    <col min="113" max="256" width="9.140625" style="54"/>
    <col min="257" max="257" width="37.5703125" style="54" customWidth="1"/>
    <col min="258" max="259" width="9" style="54" hidden="1" customWidth="1"/>
    <col min="260" max="260" width="10.5703125" style="54" customWidth="1"/>
    <col min="261" max="262" width="9" style="54" hidden="1" customWidth="1"/>
    <col min="263" max="263" width="11" style="54" customWidth="1"/>
    <col min="264" max="265" width="9" style="54" hidden="1" customWidth="1"/>
    <col min="266" max="266" width="11" style="54" customWidth="1"/>
    <col min="267" max="268" width="9" style="54" hidden="1" customWidth="1"/>
    <col min="269" max="269" width="11" style="54" customWidth="1"/>
    <col min="270" max="271" width="9" style="54" hidden="1" customWidth="1"/>
    <col min="272" max="272" width="11" style="54" customWidth="1"/>
    <col min="273" max="274" width="9" style="54" hidden="1" customWidth="1"/>
    <col min="275" max="275" width="11" style="54" customWidth="1"/>
    <col min="276" max="277" width="9" style="54" hidden="1" customWidth="1"/>
    <col min="278" max="278" width="10.7109375" style="54" customWidth="1"/>
    <col min="279" max="280" width="9" style="54" hidden="1" customWidth="1"/>
    <col min="281" max="281" width="11.140625" style="54" customWidth="1"/>
    <col min="282" max="283" width="9" style="54" hidden="1" customWidth="1"/>
    <col min="284" max="284" width="11.140625" style="54" customWidth="1"/>
    <col min="285" max="286" width="9" style="54" hidden="1" customWidth="1"/>
    <col min="287" max="287" width="11.5703125" style="54" customWidth="1"/>
    <col min="288" max="289" width="9" style="54" hidden="1" customWidth="1"/>
    <col min="290" max="290" width="10.5703125" style="54" customWidth="1"/>
    <col min="291" max="291" width="10.140625" style="54" customWidth="1"/>
    <col min="292" max="292" width="13.5703125" style="54" customWidth="1"/>
    <col min="293" max="293" width="10.5703125" style="54" customWidth="1"/>
    <col min="294" max="512" width="9.140625" style="54"/>
    <col min="513" max="513" width="37.5703125" style="54" customWidth="1"/>
    <col min="514" max="515" width="9" style="54" hidden="1" customWidth="1"/>
    <col min="516" max="516" width="10.5703125" style="54" customWidth="1"/>
    <col min="517" max="518" width="9" style="54" hidden="1" customWidth="1"/>
    <col min="519" max="519" width="11" style="54" customWidth="1"/>
    <col min="520" max="521" width="9" style="54" hidden="1" customWidth="1"/>
    <col min="522" max="522" width="11" style="54" customWidth="1"/>
    <col min="523" max="524" width="9" style="54" hidden="1" customWidth="1"/>
    <col min="525" max="525" width="11" style="54" customWidth="1"/>
    <col min="526" max="527" width="9" style="54" hidden="1" customWidth="1"/>
    <col min="528" max="528" width="11" style="54" customWidth="1"/>
    <col min="529" max="530" width="9" style="54" hidden="1" customWidth="1"/>
    <col min="531" max="531" width="11" style="54" customWidth="1"/>
    <col min="532" max="533" width="9" style="54" hidden="1" customWidth="1"/>
    <col min="534" max="534" width="10.7109375" style="54" customWidth="1"/>
    <col min="535" max="536" width="9" style="54" hidden="1" customWidth="1"/>
    <col min="537" max="537" width="11.140625" style="54" customWidth="1"/>
    <col min="538" max="539" width="9" style="54" hidden="1" customWidth="1"/>
    <col min="540" max="540" width="11.140625" style="54" customWidth="1"/>
    <col min="541" max="542" width="9" style="54" hidden="1" customWidth="1"/>
    <col min="543" max="543" width="11.5703125" style="54" customWidth="1"/>
    <col min="544" max="545" width="9" style="54" hidden="1" customWidth="1"/>
    <col min="546" max="546" width="10.5703125" style="54" customWidth="1"/>
    <col min="547" max="547" width="10.140625" style="54" customWidth="1"/>
    <col min="548" max="548" width="13.5703125" style="54" customWidth="1"/>
    <col min="549" max="549" width="10.5703125" style="54" customWidth="1"/>
    <col min="550" max="768" width="9.140625" style="54"/>
    <col min="769" max="769" width="37.5703125" style="54" customWidth="1"/>
    <col min="770" max="771" width="9" style="54" hidden="1" customWidth="1"/>
    <col min="772" max="772" width="10.5703125" style="54" customWidth="1"/>
    <col min="773" max="774" width="9" style="54" hidden="1" customWidth="1"/>
    <col min="775" max="775" width="11" style="54" customWidth="1"/>
    <col min="776" max="777" width="9" style="54" hidden="1" customWidth="1"/>
    <col min="778" max="778" width="11" style="54" customWidth="1"/>
    <col min="779" max="780" width="9" style="54" hidden="1" customWidth="1"/>
    <col min="781" max="781" width="11" style="54" customWidth="1"/>
    <col min="782" max="783" width="9" style="54" hidden="1" customWidth="1"/>
    <col min="784" max="784" width="11" style="54" customWidth="1"/>
    <col min="785" max="786" width="9" style="54" hidden="1" customWidth="1"/>
    <col min="787" max="787" width="11" style="54" customWidth="1"/>
    <col min="788" max="789" width="9" style="54" hidden="1" customWidth="1"/>
    <col min="790" max="790" width="10.7109375" style="54" customWidth="1"/>
    <col min="791" max="792" width="9" style="54" hidden="1" customWidth="1"/>
    <col min="793" max="793" width="11.140625" style="54" customWidth="1"/>
    <col min="794" max="795" width="9" style="54" hidden="1" customWidth="1"/>
    <col min="796" max="796" width="11.140625" style="54" customWidth="1"/>
    <col min="797" max="798" width="9" style="54" hidden="1" customWidth="1"/>
    <col min="799" max="799" width="11.5703125" style="54" customWidth="1"/>
    <col min="800" max="801" width="9" style="54" hidden="1" customWidth="1"/>
    <col min="802" max="802" width="10.5703125" style="54" customWidth="1"/>
    <col min="803" max="803" width="10.140625" style="54" customWidth="1"/>
    <col min="804" max="804" width="13.5703125" style="54" customWidth="1"/>
    <col min="805" max="805" width="10.5703125" style="54" customWidth="1"/>
    <col min="806" max="1024" width="9.140625" style="54"/>
    <col min="1025" max="1025" width="37.5703125" style="54" customWidth="1"/>
    <col min="1026" max="1027" width="9" style="54" hidden="1" customWidth="1"/>
    <col min="1028" max="1028" width="10.5703125" style="54" customWidth="1"/>
    <col min="1029" max="1030" width="9" style="54" hidden="1" customWidth="1"/>
    <col min="1031" max="1031" width="11" style="54" customWidth="1"/>
    <col min="1032" max="1033" width="9" style="54" hidden="1" customWidth="1"/>
    <col min="1034" max="1034" width="11" style="54" customWidth="1"/>
    <col min="1035" max="1036" width="9" style="54" hidden="1" customWidth="1"/>
    <col min="1037" max="1037" width="11" style="54" customWidth="1"/>
    <col min="1038" max="1039" width="9" style="54" hidden="1" customWidth="1"/>
    <col min="1040" max="1040" width="11" style="54" customWidth="1"/>
    <col min="1041" max="1042" width="9" style="54" hidden="1" customWidth="1"/>
    <col min="1043" max="1043" width="11" style="54" customWidth="1"/>
    <col min="1044" max="1045" width="9" style="54" hidden="1" customWidth="1"/>
    <col min="1046" max="1046" width="10.7109375" style="54" customWidth="1"/>
    <col min="1047" max="1048" width="9" style="54" hidden="1" customWidth="1"/>
    <col min="1049" max="1049" width="11.140625" style="54" customWidth="1"/>
    <col min="1050" max="1051" width="9" style="54" hidden="1" customWidth="1"/>
    <col min="1052" max="1052" width="11.140625" style="54" customWidth="1"/>
    <col min="1053" max="1054" width="9" style="54" hidden="1" customWidth="1"/>
    <col min="1055" max="1055" width="11.5703125" style="54" customWidth="1"/>
    <col min="1056" max="1057" width="9" style="54" hidden="1" customWidth="1"/>
    <col min="1058" max="1058" width="10.5703125" style="54" customWidth="1"/>
    <col min="1059" max="1059" width="10.140625" style="54" customWidth="1"/>
    <col min="1060" max="1060" width="13.5703125" style="54" customWidth="1"/>
    <col min="1061" max="1061" width="10.5703125" style="54" customWidth="1"/>
    <col min="1062" max="1280" width="9.140625" style="54"/>
    <col min="1281" max="1281" width="37.5703125" style="54" customWidth="1"/>
    <col min="1282" max="1283" width="9" style="54" hidden="1" customWidth="1"/>
    <col min="1284" max="1284" width="10.5703125" style="54" customWidth="1"/>
    <col min="1285" max="1286" width="9" style="54" hidden="1" customWidth="1"/>
    <col min="1287" max="1287" width="11" style="54" customWidth="1"/>
    <col min="1288" max="1289" width="9" style="54" hidden="1" customWidth="1"/>
    <col min="1290" max="1290" width="11" style="54" customWidth="1"/>
    <col min="1291" max="1292" width="9" style="54" hidden="1" customWidth="1"/>
    <col min="1293" max="1293" width="11" style="54" customWidth="1"/>
    <col min="1294" max="1295" width="9" style="54" hidden="1" customWidth="1"/>
    <col min="1296" max="1296" width="11" style="54" customWidth="1"/>
    <col min="1297" max="1298" width="9" style="54" hidden="1" customWidth="1"/>
    <col min="1299" max="1299" width="11" style="54" customWidth="1"/>
    <col min="1300" max="1301" width="9" style="54" hidden="1" customWidth="1"/>
    <col min="1302" max="1302" width="10.7109375" style="54" customWidth="1"/>
    <col min="1303" max="1304" width="9" style="54" hidden="1" customWidth="1"/>
    <col min="1305" max="1305" width="11.140625" style="54" customWidth="1"/>
    <col min="1306" max="1307" width="9" style="54" hidden="1" customWidth="1"/>
    <col min="1308" max="1308" width="11.140625" style="54" customWidth="1"/>
    <col min="1309" max="1310" width="9" style="54" hidden="1" customWidth="1"/>
    <col min="1311" max="1311" width="11.5703125" style="54" customWidth="1"/>
    <col min="1312" max="1313" width="9" style="54" hidden="1" customWidth="1"/>
    <col min="1314" max="1314" width="10.5703125" style="54" customWidth="1"/>
    <col min="1315" max="1315" width="10.140625" style="54" customWidth="1"/>
    <col min="1316" max="1316" width="13.5703125" style="54" customWidth="1"/>
    <col min="1317" max="1317" width="10.5703125" style="54" customWidth="1"/>
    <col min="1318" max="1536" width="9.140625" style="54"/>
    <col min="1537" max="1537" width="37.5703125" style="54" customWidth="1"/>
    <col min="1538" max="1539" width="9" style="54" hidden="1" customWidth="1"/>
    <col min="1540" max="1540" width="10.5703125" style="54" customWidth="1"/>
    <col min="1541" max="1542" width="9" style="54" hidden="1" customWidth="1"/>
    <col min="1543" max="1543" width="11" style="54" customWidth="1"/>
    <col min="1544" max="1545" width="9" style="54" hidden="1" customWidth="1"/>
    <col min="1546" max="1546" width="11" style="54" customWidth="1"/>
    <col min="1547" max="1548" width="9" style="54" hidden="1" customWidth="1"/>
    <col min="1549" max="1549" width="11" style="54" customWidth="1"/>
    <col min="1550" max="1551" width="9" style="54" hidden="1" customWidth="1"/>
    <col min="1552" max="1552" width="11" style="54" customWidth="1"/>
    <col min="1553" max="1554" width="9" style="54" hidden="1" customWidth="1"/>
    <col min="1555" max="1555" width="11" style="54" customWidth="1"/>
    <col min="1556" max="1557" width="9" style="54" hidden="1" customWidth="1"/>
    <col min="1558" max="1558" width="10.7109375" style="54" customWidth="1"/>
    <col min="1559" max="1560" width="9" style="54" hidden="1" customWidth="1"/>
    <col min="1561" max="1561" width="11.140625" style="54" customWidth="1"/>
    <col min="1562" max="1563" width="9" style="54" hidden="1" customWidth="1"/>
    <col min="1564" max="1564" width="11.140625" style="54" customWidth="1"/>
    <col min="1565" max="1566" width="9" style="54" hidden="1" customWidth="1"/>
    <col min="1567" max="1567" width="11.5703125" style="54" customWidth="1"/>
    <col min="1568" max="1569" width="9" style="54" hidden="1" customWidth="1"/>
    <col min="1570" max="1570" width="10.5703125" style="54" customWidth="1"/>
    <col min="1571" max="1571" width="10.140625" style="54" customWidth="1"/>
    <col min="1572" max="1572" width="13.5703125" style="54" customWidth="1"/>
    <col min="1573" max="1573" width="10.5703125" style="54" customWidth="1"/>
    <col min="1574" max="1792" width="9.140625" style="54"/>
    <col min="1793" max="1793" width="37.5703125" style="54" customWidth="1"/>
    <col min="1794" max="1795" width="9" style="54" hidden="1" customWidth="1"/>
    <col min="1796" max="1796" width="10.5703125" style="54" customWidth="1"/>
    <col min="1797" max="1798" width="9" style="54" hidden="1" customWidth="1"/>
    <col min="1799" max="1799" width="11" style="54" customWidth="1"/>
    <col min="1800" max="1801" width="9" style="54" hidden="1" customWidth="1"/>
    <col min="1802" max="1802" width="11" style="54" customWidth="1"/>
    <col min="1803" max="1804" width="9" style="54" hidden="1" customWidth="1"/>
    <col min="1805" max="1805" width="11" style="54" customWidth="1"/>
    <col min="1806" max="1807" width="9" style="54" hidden="1" customWidth="1"/>
    <col min="1808" max="1808" width="11" style="54" customWidth="1"/>
    <col min="1809" max="1810" width="9" style="54" hidden="1" customWidth="1"/>
    <col min="1811" max="1811" width="11" style="54" customWidth="1"/>
    <col min="1812" max="1813" width="9" style="54" hidden="1" customWidth="1"/>
    <col min="1814" max="1814" width="10.7109375" style="54" customWidth="1"/>
    <col min="1815" max="1816" width="9" style="54" hidden="1" customWidth="1"/>
    <col min="1817" max="1817" width="11.140625" style="54" customWidth="1"/>
    <col min="1818" max="1819" width="9" style="54" hidden="1" customWidth="1"/>
    <col min="1820" max="1820" width="11.140625" style="54" customWidth="1"/>
    <col min="1821" max="1822" width="9" style="54" hidden="1" customWidth="1"/>
    <col min="1823" max="1823" width="11.5703125" style="54" customWidth="1"/>
    <col min="1824" max="1825" width="9" style="54" hidden="1" customWidth="1"/>
    <col min="1826" max="1826" width="10.5703125" style="54" customWidth="1"/>
    <col min="1827" max="1827" width="10.140625" style="54" customWidth="1"/>
    <col min="1828" max="1828" width="13.5703125" style="54" customWidth="1"/>
    <col min="1829" max="1829" width="10.5703125" style="54" customWidth="1"/>
    <col min="1830" max="2048" width="9.140625" style="54"/>
    <col min="2049" max="2049" width="37.5703125" style="54" customWidth="1"/>
    <col min="2050" max="2051" width="9" style="54" hidden="1" customWidth="1"/>
    <col min="2052" max="2052" width="10.5703125" style="54" customWidth="1"/>
    <col min="2053" max="2054" width="9" style="54" hidden="1" customWidth="1"/>
    <col min="2055" max="2055" width="11" style="54" customWidth="1"/>
    <col min="2056" max="2057" width="9" style="54" hidden="1" customWidth="1"/>
    <col min="2058" max="2058" width="11" style="54" customWidth="1"/>
    <col min="2059" max="2060" width="9" style="54" hidden="1" customWidth="1"/>
    <col min="2061" max="2061" width="11" style="54" customWidth="1"/>
    <col min="2062" max="2063" width="9" style="54" hidden="1" customWidth="1"/>
    <col min="2064" max="2064" width="11" style="54" customWidth="1"/>
    <col min="2065" max="2066" width="9" style="54" hidden="1" customWidth="1"/>
    <col min="2067" max="2067" width="11" style="54" customWidth="1"/>
    <col min="2068" max="2069" width="9" style="54" hidden="1" customWidth="1"/>
    <col min="2070" max="2070" width="10.7109375" style="54" customWidth="1"/>
    <col min="2071" max="2072" width="9" style="54" hidden="1" customWidth="1"/>
    <col min="2073" max="2073" width="11.140625" style="54" customWidth="1"/>
    <col min="2074" max="2075" width="9" style="54" hidden="1" customWidth="1"/>
    <col min="2076" max="2076" width="11.140625" style="54" customWidth="1"/>
    <col min="2077" max="2078" width="9" style="54" hidden="1" customWidth="1"/>
    <col min="2079" max="2079" width="11.5703125" style="54" customWidth="1"/>
    <col min="2080" max="2081" width="9" style="54" hidden="1" customWidth="1"/>
    <col min="2082" max="2082" width="10.5703125" style="54" customWidth="1"/>
    <col min="2083" max="2083" width="10.140625" style="54" customWidth="1"/>
    <col min="2084" max="2084" width="13.5703125" style="54" customWidth="1"/>
    <col min="2085" max="2085" width="10.5703125" style="54" customWidth="1"/>
    <col min="2086" max="2304" width="9.140625" style="54"/>
    <col min="2305" max="2305" width="37.5703125" style="54" customWidth="1"/>
    <col min="2306" max="2307" width="9" style="54" hidden="1" customWidth="1"/>
    <col min="2308" max="2308" width="10.5703125" style="54" customWidth="1"/>
    <col min="2309" max="2310" width="9" style="54" hidden="1" customWidth="1"/>
    <col min="2311" max="2311" width="11" style="54" customWidth="1"/>
    <col min="2312" max="2313" width="9" style="54" hidden="1" customWidth="1"/>
    <col min="2314" max="2314" width="11" style="54" customWidth="1"/>
    <col min="2315" max="2316" width="9" style="54" hidden="1" customWidth="1"/>
    <col min="2317" max="2317" width="11" style="54" customWidth="1"/>
    <col min="2318" max="2319" width="9" style="54" hidden="1" customWidth="1"/>
    <col min="2320" max="2320" width="11" style="54" customWidth="1"/>
    <col min="2321" max="2322" width="9" style="54" hidden="1" customWidth="1"/>
    <col min="2323" max="2323" width="11" style="54" customWidth="1"/>
    <col min="2324" max="2325" width="9" style="54" hidden="1" customWidth="1"/>
    <col min="2326" max="2326" width="10.7109375" style="54" customWidth="1"/>
    <col min="2327" max="2328" width="9" style="54" hidden="1" customWidth="1"/>
    <col min="2329" max="2329" width="11.140625" style="54" customWidth="1"/>
    <col min="2330" max="2331" width="9" style="54" hidden="1" customWidth="1"/>
    <col min="2332" max="2332" width="11.140625" style="54" customWidth="1"/>
    <col min="2333" max="2334" width="9" style="54" hidden="1" customWidth="1"/>
    <col min="2335" max="2335" width="11.5703125" style="54" customWidth="1"/>
    <col min="2336" max="2337" width="9" style="54" hidden="1" customWidth="1"/>
    <col min="2338" max="2338" width="10.5703125" style="54" customWidth="1"/>
    <col min="2339" max="2339" width="10.140625" style="54" customWidth="1"/>
    <col min="2340" max="2340" width="13.5703125" style="54" customWidth="1"/>
    <col min="2341" max="2341" width="10.5703125" style="54" customWidth="1"/>
    <col min="2342" max="2560" width="9.140625" style="54"/>
    <col min="2561" max="2561" width="37.5703125" style="54" customWidth="1"/>
    <col min="2562" max="2563" width="9" style="54" hidden="1" customWidth="1"/>
    <col min="2564" max="2564" width="10.5703125" style="54" customWidth="1"/>
    <col min="2565" max="2566" width="9" style="54" hidden="1" customWidth="1"/>
    <col min="2567" max="2567" width="11" style="54" customWidth="1"/>
    <col min="2568" max="2569" width="9" style="54" hidden="1" customWidth="1"/>
    <col min="2570" max="2570" width="11" style="54" customWidth="1"/>
    <col min="2571" max="2572" width="9" style="54" hidden="1" customWidth="1"/>
    <col min="2573" max="2573" width="11" style="54" customWidth="1"/>
    <col min="2574" max="2575" width="9" style="54" hidden="1" customWidth="1"/>
    <col min="2576" max="2576" width="11" style="54" customWidth="1"/>
    <col min="2577" max="2578" width="9" style="54" hidden="1" customWidth="1"/>
    <col min="2579" max="2579" width="11" style="54" customWidth="1"/>
    <col min="2580" max="2581" width="9" style="54" hidden="1" customWidth="1"/>
    <col min="2582" max="2582" width="10.7109375" style="54" customWidth="1"/>
    <col min="2583" max="2584" width="9" style="54" hidden="1" customWidth="1"/>
    <col min="2585" max="2585" width="11.140625" style="54" customWidth="1"/>
    <col min="2586" max="2587" width="9" style="54" hidden="1" customWidth="1"/>
    <col min="2588" max="2588" width="11.140625" style="54" customWidth="1"/>
    <col min="2589" max="2590" width="9" style="54" hidden="1" customWidth="1"/>
    <col min="2591" max="2591" width="11.5703125" style="54" customWidth="1"/>
    <col min="2592" max="2593" width="9" style="54" hidden="1" customWidth="1"/>
    <col min="2594" max="2594" width="10.5703125" style="54" customWidth="1"/>
    <col min="2595" max="2595" width="10.140625" style="54" customWidth="1"/>
    <col min="2596" max="2596" width="13.5703125" style="54" customWidth="1"/>
    <col min="2597" max="2597" width="10.5703125" style="54" customWidth="1"/>
    <col min="2598" max="2816" width="9.140625" style="54"/>
    <col min="2817" max="2817" width="37.5703125" style="54" customWidth="1"/>
    <col min="2818" max="2819" width="9" style="54" hidden="1" customWidth="1"/>
    <col min="2820" max="2820" width="10.5703125" style="54" customWidth="1"/>
    <col min="2821" max="2822" width="9" style="54" hidden="1" customWidth="1"/>
    <col min="2823" max="2823" width="11" style="54" customWidth="1"/>
    <col min="2824" max="2825" width="9" style="54" hidden="1" customWidth="1"/>
    <col min="2826" max="2826" width="11" style="54" customWidth="1"/>
    <col min="2827" max="2828" width="9" style="54" hidden="1" customWidth="1"/>
    <col min="2829" max="2829" width="11" style="54" customWidth="1"/>
    <col min="2830" max="2831" width="9" style="54" hidden="1" customWidth="1"/>
    <col min="2832" max="2832" width="11" style="54" customWidth="1"/>
    <col min="2833" max="2834" width="9" style="54" hidden="1" customWidth="1"/>
    <col min="2835" max="2835" width="11" style="54" customWidth="1"/>
    <col min="2836" max="2837" width="9" style="54" hidden="1" customWidth="1"/>
    <col min="2838" max="2838" width="10.7109375" style="54" customWidth="1"/>
    <col min="2839" max="2840" width="9" style="54" hidden="1" customWidth="1"/>
    <col min="2841" max="2841" width="11.140625" style="54" customWidth="1"/>
    <col min="2842" max="2843" width="9" style="54" hidden="1" customWidth="1"/>
    <col min="2844" max="2844" width="11.140625" style="54" customWidth="1"/>
    <col min="2845" max="2846" width="9" style="54" hidden="1" customWidth="1"/>
    <col min="2847" max="2847" width="11.5703125" style="54" customWidth="1"/>
    <col min="2848" max="2849" width="9" style="54" hidden="1" customWidth="1"/>
    <col min="2850" max="2850" width="10.5703125" style="54" customWidth="1"/>
    <col min="2851" max="2851" width="10.140625" style="54" customWidth="1"/>
    <col min="2852" max="2852" width="13.5703125" style="54" customWidth="1"/>
    <col min="2853" max="2853" width="10.5703125" style="54" customWidth="1"/>
    <col min="2854" max="3072" width="9.140625" style="54"/>
    <col min="3073" max="3073" width="37.5703125" style="54" customWidth="1"/>
    <col min="3074" max="3075" width="9" style="54" hidden="1" customWidth="1"/>
    <col min="3076" max="3076" width="10.5703125" style="54" customWidth="1"/>
    <col min="3077" max="3078" width="9" style="54" hidden="1" customWidth="1"/>
    <col min="3079" max="3079" width="11" style="54" customWidth="1"/>
    <col min="3080" max="3081" width="9" style="54" hidden="1" customWidth="1"/>
    <col min="3082" max="3082" width="11" style="54" customWidth="1"/>
    <col min="3083" max="3084" width="9" style="54" hidden="1" customWidth="1"/>
    <col min="3085" max="3085" width="11" style="54" customWidth="1"/>
    <col min="3086" max="3087" width="9" style="54" hidden="1" customWidth="1"/>
    <col min="3088" max="3088" width="11" style="54" customWidth="1"/>
    <col min="3089" max="3090" width="9" style="54" hidden="1" customWidth="1"/>
    <col min="3091" max="3091" width="11" style="54" customWidth="1"/>
    <col min="3092" max="3093" width="9" style="54" hidden="1" customWidth="1"/>
    <col min="3094" max="3094" width="10.7109375" style="54" customWidth="1"/>
    <col min="3095" max="3096" width="9" style="54" hidden="1" customWidth="1"/>
    <col min="3097" max="3097" width="11.140625" style="54" customWidth="1"/>
    <col min="3098" max="3099" width="9" style="54" hidden="1" customWidth="1"/>
    <col min="3100" max="3100" width="11.140625" style="54" customWidth="1"/>
    <col min="3101" max="3102" width="9" style="54" hidden="1" customWidth="1"/>
    <col min="3103" max="3103" width="11.5703125" style="54" customWidth="1"/>
    <col min="3104" max="3105" width="9" style="54" hidden="1" customWidth="1"/>
    <col min="3106" max="3106" width="10.5703125" style="54" customWidth="1"/>
    <col min="3107" max="3107" width="10.140625" style="54" customWidth="1"/>
    <col min="3108" max="3108" width="13.5703125" style="54" customWidth="1"/>
    <col min="3109" max="3109" width="10.5703125" style="54" customWidth="1"/>
    <col min="3110" max="3328" width="9.140625" style="54"/>
    <col min="3329" max="3329" width="37.5703125" style="54" customWidth="1"/>
    <col min="3330" max="3331" width="9" style="54" hidden="1" customWidth="1"/>
    <col min="3332" max="3332" width="10.5703125" style="54" customWidth="1"/>
    <col min="3333" max="3334" width="9" style="54" hidden="1" customWidth="1"/>
    <col min="3335" max="3335" width="11" style="54" customWidth="1"/>
    <col min="3336" max="3337" width="9" style="54" hidden="1" customWidth="1"/>
    <col min="3338" max="3338" width="11" style="54" customWidth="1"/>
    <col min="3339" max="3340" width="9" style="54" hidden="1" customWidth="1"/>
    <col min="3341" max="3341" width="11" style="54" customWidth="1"/>
    <col min="3342" max="3343" width="9" style="54" hidden="1" customWidth="1"/>
    <col min="3344" max="3344" width="11" style="54" customWidth="1"/>
    <col min="3345" max="3346" width="9" style="54" hidden="1" customWidth="1"/>
    <col min="3347" max="3347" width="11" style="54" customWidth="1"/>
    <col min="3348" max="3349" width="9" style="54" hidden="1" customWidth="1"/>
    <col min="3350" max="3350" width="10.7109375" style="54" customWidth="1"/>
    <col min="3351" max="3352" width="9" style="54" hidden="1" customWidth="1"/>
    <col min="3353" max="3353" width="11.140625" style="54" customWidth="1"/>
    <col min="3354" max="3355" width="9" style="54" hidden="1" customWidth="1"/>
    <col min="3356" max="3356" width="11.140625" style="54" customWidth="1"/>
    <col min="3357" max="3358" width="9" style="54" hidden="1" customWidth="1"/>
    <col min="3359" max="3359" width="11.5703125" style="54" customWidth="1"/>
    <col min="3360" max="3361" width="9" style="54" hidden="1" customWidth="1"/>
    <col min="3362" max="3362" width="10.5703125" style="54" customWidth="1"/>
    <col min="3363" max="3363" width="10.140625" style="54" customWidth="1"/>
    <col min="3364" max="3364" width="13.5703125" style="54" customWidth="1"/>
    <col min="3365" max="3365" width="10.5703125" style="54" customWidth="1"/>
    <col min="3366" max="3584" width="9.140625" style="54"/>
    <col min="3585" max="3585" width="37.5703125" style="54" customWidth="1"/>
    <col min="3586" max="3587" width="9" style="54" hidden="1" customWidth="1"/>
    <col min="3588" max="3588" width="10.5703125" style="54" customWidth="1"/>
    <col min="3589" max="3590" width="9" style="54" hidden="1" customWidth="1"/>
    <col min="3591" max="3591" width="11" style="54" customWidth="1"/>
    <col min="3592" max="3593" width="9" style="54" hidden="1" customWidth="1"/>
    <col min="3594" max="3594" width="11" style="54" customWidth="1"/>
    <col min="3595" max="3596" width="9" style="54" hidden="1" customWidth="1"/>
    <col min="3597" max="3597" width="11" style="54" customWidth="1"/>
    <col min="3598" max="3599" width="9" style="54" hidden="1" customWidth="1"/>
    <col min="3600" max="3600" width="11" style="54" customWidth="1"/>
    <col min="3601" max="3602" width="9" style="54" hidden="1" customWidth="1"/>
    <col min="3603" max="3603" width="11" style="54" customWidth="1"/>
    <col min="3604" max="3605" width="9" style="54" hidden="1" customWidth="1"/>
    <col min="3606" max="3606" width="10.7109375" style="54" customWidth="1"/>
    <col min="3607" max="3608" width="9" style="54" hidden="1" customWidth="1"/>
    <col min="3609" max="3609" width="11.140625" style="54" customWidth="1"/>
    <col min="3610" max="3611" width="9" style="54" hidden="1" customWidth="1"/>
    <col min="3612" max="3612" width="11.140625" style="54" customWidth="1"/>
    <col min="3613" max="3614" width="9" style="54" hidden="1" customWidth="1"/>
    <col min="3615" max="3615" width="11.5703125" style="54" customWidth="1"/>
    <col min="3616" max="3617" width="9" style="54" hidden="1" customWidth="1"/>
    <col min="3618" max="3618" width="10.5703125" style="54" customWidth="1"/>
    <col min="3619" max="3619" width="10.140625" style="54" customWidth="1"/>
    <col min="3620" max="3620" width="13.5703125" style="54" customWidth="1"/>
    <col min="3621" max="3621" width="10.5703125" style="54" customWidth="1"/>
    <col min="3622" max="3840" width="9.140625" style="54"/>
    <col min="3841" max="3841" width="37.5703125" style="54" customWidth="1"/>
    <col min="3842" max="3843" width="9" style="54" hidden="1" customWidth="1"/>
    <col min="3844" max="3844" width="10.5703125" style="54" customWidth="1"/>
    <col min="3845" max="3846" width="9" style="54" hidden="1" customWidth="1"/>
    <col min="3847" max="3847" width="11" style="54" customWidth="1"/>
    <col min="3848" max="3849" width="9" style="54" hidden="1" customWidth="1"/>
    <col min="3850" max="3850" width="11" style="54" customWidth="1"/>
    <col min="3851" max="3852" width="9" style="54" hidden="1" customWidth="1"/>
    <col min="3853" max="3853" width="11" style="54" customWidth="1"/>
    <col min="3854" max="3855" width="9" style="54" hidden="1" customWidth="1"/>
    <col min="3856" max="3856" width="11" style="54" customWidth="1"/>
    <col min="3857" max="3858" width="9" style="54" hidden="1" customWidth="1"/>
    <col min="3859" max="3859" width="11" style="54" customWidth="1"/>
    <col min="3860" max="3861" width="9" style="54" hidden="1" customWidth="1"/>
    <col min="3862" max="3862" width="10.7109375" style="54" customWidth="1"/>
    <col min="3863" max="3864" width="9" style="54" hidden="1" customWidth="1"/>
    <col min="3865" max="3865" width="11.140625" style="54" customWidth="1"/>
    <col min="3866" max="3867" width="9" style="54" hidden="1" customWidth="1"/>
    <col min="3868" max="3868" width="11.140625" style="54" customWidth="1"/>
    <col min="3869" max="3870" width="9" style="54" hidden="1" customWidth="1"/>
    <col min="3871" max="3871" width="11.5703125" style="54" customWidth="1"/>
    <col min="3872" max="3873" width="9" style="54" hidden="1" customWidth="1"/>
    <col min="3874" max="3874" width="10.5703125" style="54" customWidth="1"/>
    <col min="3875" max="3875" width="10.140625" style="54" customWidth="1"/>
    <col min="3876" max="3876" width="13.5703125" style="54" customWidth="1"/>
    <col min="3877" max="3877" width="10.5703125" style="54" customWidth="1"/>
    <col min="3878" max="4096" width="9.140625" style="54"/>
    <col min="4097" max="4097" width="37.5703125" style="54" customWidth="1"/>
    <col min="4098" max="4099" width="9" style="54" hidden="1" customWidth="1"/>
    <col min="4100" max="4100" width="10.5703125" style="54" customWidth="1"/>
    <col min="4101" max="4102" width="9" style="54" hidden="1" customWidth="1"/>
    <col min="4103" max="4103" width="11" style="54" customWidth="1"/>
    <col min="4104" max="4105" width="9" style="54" hidden="1" customWidth="1"/>
    <col min="4106" max="4106" width="11" style="54" customWidth="1"/>
    <col min="4107" max="4108" width="9" style="54" hidden="1" customWidth="1"/>
    <col min="4109" max="4109" width="11" style="54" customWidth="1"/>
    <col min="4110" max="4111" width="9" style="54" hidden="1" customWidth="1"/>
    <col min="4112" max="4112" width="11" style="54" customWidth="1"/>
    <col min="4113" max="4114" width="9" style="54" hidden="1" customWidth="1"/>
    <col min="4115" max="4115" width="11" style="54" customWidth="1"/>
    <col min="4116" max="4117" width="9" style="54" hidden="1" customWidth="1"/>
    <col min="4118" max="4118" width="10.7109375" style="54" customWidth="1"/>
    <col min="4119" max="4120" width="9" style="54" hidden="1" customWidth="1"/>
    <col min="4121" max="4121" width="11.140625" style="54" customWidth="1"/>
    <col min="4122" max="4123" width="9" style="54" hidden="1" customWidth="1"/>
    <col min="4124" max="4124" width="11.140625" style="54" customWidth="1"/>
    <col min="4125" max="4126" width="9" style="54" hidden="1" customWidth="1"/>
    <col min="4127" max="4127" width="11.5703125" style="54" customWidth="1"/>
    <col min="4128" max="4129" width="9" style="54" hidden="1" customWidth="1"/>
    <col min="4130" max="4130" width="10.5703125" style="54" customWidth="1"/>
    <col min="4131" max="4131" width="10.140625" style="54" customWidth="1"/>
    <col min="4132" max="4132" width="13.5703125" style="54" customWidth="1"/>
    <col min="4133" max="4133" width="10.5703125" style="54" customWidth="1"/>
    <col min="4134" max="4352" width="9.140625" style="54"/>
    <col min="4353" max="4353" width="37.5703125" style="54" customWidth="1"/>
    <col min="4354" max="4355" width="9" style="54" hidden="1" customWidth="1"/>
    <col min="4356" max="4356" width="10.5703125" style="54" customWidth="1"/>
    <col min="4357" max="4358" width="9" style="54" hidden="1" customWidth="1"/>
    <col min="4359" max="4359" width="11" style="54" customWidth="1"/>
    <col min="4360" max="4361" width="9" style="54" hidden="1" customWidth="1"/>
    <col min="4362" max="4362" width="11" style="54" customWidth="1"/>
    <col min="4363" max="4364" width="9" style="54" hidden="1" customWidth="1"/>
    <col min="4365" max="4365" width="11" style="54" customWidth="1"/>
    <col min="4366" max="4367" width="9" style="54" hidden="1" customWidth="1"/>
    <col min="4368" max="4368" width="11" style="54" customWidth="1"/>
    <col min="4369" max="4370" width="9" style="54" hidden="1" customWidth="1"/>
    <col min="4371" max="4371" width="11" style="54" customWidth="1"/>
    <col min="4372" max="4373" width="9" style="54" hidden="1" customWidth="1"/>
    <col min="4374" max="4374" width="10.7109375" style="54" customWidth="1"/>
    <col min="4375" max="4376" width="9" style="54" hidden="1" customWidth="1"/>
    <col min="4377" max="4377" width="11.140625" style="54" customWidth="1"/>
    <col min="4378" max="4379" width="9" style="54" hidden="1" customWidth="1"/>
    <col min="4380" max="4380" width="11.140625" style="54" customWidth="1"/>
    <col min="4381" max="4382" width="9" style="54" hidden="1" customWidth="1"/>
    <col min="4383" max="4383" width="11.5703125" style="54" customWidth="1"/>
    <col min="4384" max="4385" width="9" style="54" hidden="1" customWidth="1"/>
    <col min="4386" max="4386" width="10.5703125" style="54" customWidth="1"/>
    <col min="4387" max="4387" width="10.140625" style="54" customWidth="1"/>
    <col min="4388" max="4388" width="13.5703125" style="54" customWidth="1"/>
    <col min="4389" max="4389" width="10.5703125" style="54" customWidth="1"/>
    <col min="4390" max="4608" width="9.140625" style="54"/>
    <col min="4609" max="4609" width="37.5703125" style="54" customWidth="1"/>
    <col min="4610" max="4611" width="9" style="54" hidden="1" customWidth="1"/>
    <col min="4612" max="4612" width="10.5703125" style="54" customWidth="1"/>
    <col min="4613" max="4614" width="9" style="54" hidden="1" customWidth="1"/>
    <col min="4615" max="4615" width="11" style="54" customWidth="1"/>
    <col min="4616" max="4617" width="9" style="54" hidden="1" customWidth="1"/>
    <col min="4618" max="4618" width="11" style="54" customWidth="1"/>
    <col min="4619" max="4620" width="9" style="54" hidden="1" customWidth="1"/>
    <col min="4621" max="4621" width="11" style="54" customWidth="1"/>
    <col min="4622" max="4623" width="9" style="54" hidden="1" customWidth="1"/>
    <col min="4624" max="4624" width="11" style="54" customWidth="1"/>
    <col min="4625" max="4626" width="9" style="54" hidden="1" customWidth="1"/>
    <col min="4627" max="4627" width="11" style="54" customWidth="1"/>
    <col min="4628" max="4629" width="9" style="54" hidden="1" customWidth="1"/>
    <col min="4630" max="4630" width="10.7109375" style="54" customWidth="1"/>
    <col min="4631" max="4632" width="9" style="54" hidden="1" customWidth="1"/>
    <col min="4633" max="4633" width="11.140625" style="54" customWidth="1"/>
    <col min="4634" max="4635" width="9" style="54" hidden="1" customWidth="1"/>
    <col min="4636" max="4636" width="11.140625" style="54" customWidth="1"/>
    <col min="4637" max="4638" width="9" style="54" hidden="1" customWidth="1"/>
    <col min="4639" max="4639" width="11.5703125" style="54" customWidth="1"/>
    <col min="4640" max="4641" width="9" style="54" hidden="1" customWidth="1"/>
    <col min="4642" max="4642" width="10.5703125" style="54" customWidth="1"/>
    <col min="4643" max="4643" width="10.140625" style="54" customWidth="1"/>
    <col min="4644" max="4644" width="13.5703125" style="54" customWidth="1"/>
    <col min="4645" max="4645" width="10.5703125" style="54" customWidth="1"/>
    <col min="4646" max="4864" width="9.140625" style="54"/>
    <col min="4865" max="4865" width="37.5703125" style="54" customWidth="1"/>
    <col min="4866" max="4867" width="9" style="54" hidden="1" customWidth="1"/>
    <col min="4868" max="4868" width="10.5703125" style="54" customWidth="1"/>
    <col min="4869" max="4870" width="9" style="54" hidden="1" customWidth="1"/>
    <col min="4871" max="4871" width="11" style="54" customWidth="1"/>
    <col min="4872" max="4873" width="9" style="54" hidden="1" customWidth="1"/>
    <col min="4874" max="4874" width="11" style="54" customWidth="1"/>
    <col min="4875" max="4876" width="9" style="54" hidden="1" customWidth="1"/>
    <col min="4877" max="4877" width="11" style="54" customWidth="1"/>
    <col min="4878" max="4879" width="9" style="54" hidden="1" customWidth="1"/>
    <col min="4880" max="4880" width="11" style="54" customWidth="1"/>
    <col min="4881" max="4882" width="9" style="54" hidden="1" customWidth="1"/>
    <col min="4883" max="4883" width="11" style="54" customWidth="1"/>
    <col min="4884" max="4885" width="9" style="54" hidden="1" customWidth="1"/>
    <col min="4886" max="4886" width="10.7109375" style="54" customWidth="1"/>
    <col min="4887" max="4888" width="9" style="54" hidden="1" customWidth="1"/>
    <col min="4889" max="4889" width="11.140625" style="54" customWidth="1"/>
    <col min="4890" max="4891" width="9" style="54" hidden="1" customWidth="1"/>
    <col min="4892" max="4892" width="11.140625" style="54" customWidth="1"/>
    <col min="4893" max="4894" width="9" style="54" hidden="1" customWidth="1"/>
    <col min="4895" max="4895" width="11.5703125" style="54" customWidth="1"/>
    <col min="4896" max="4897" width="9" style="54" hidden="1" customWidth="1"/>
    <col min="4898" max="4898" width="10.5703125" style="54" customWidth="1"/>
    <col min="4899" max="4899" width="10.140625" style="54" customWidth="1"/>
    <col min="4900" max="4900" width="13.5703125" style="54" customWidth="1"/>
    <col min="4901" max="4901" width="10.5703125" style="54" customWidth="1"/>
    <col min="4902" max="5120" width="9.140625" style="54"/>
    <col min="5121" max="5121" width="37.5703125" style="54" customWidth="1"/>
    <col min="5122" max="5123" width="9" style="54" hidden="1" customWidth="1"/>
    <col min="5124" max="5124" width="10.5703125" style="54" customWidth="1"/>
    <col min="5125" max="5126" width="9" style="54" hidden="1" customWidth="1"/>
    <col min="5127" max="5127" width="11" style="54" customWidth="1"/>
    <col min="5128" max="5129" width="9" style="54" hidden="1" customWidth="1"/>
    <col min="5130" max="5130" width="11" style="54" customWidth="1"/>
    <col min="5131" max="5132" width="9" style="54" hidden="1" customWidth="1"/>
    <col min="5133" max="5133" width="11" style="54" customWidth="1"/>
    <col min="5134" max="5135" width="9" style="54" hidden="1" customWidth="1"/>
    <col min="5136" max="5136" width="11" style="54" customWidth="1"/>
    <col min="5137" max="5138" width="9" style="54" hidden="1" customWidth="1"/>
    <col min="5139" max="5139" width="11" style="54" customWidth="1"/>
    <col min="5140" max="5141" width="9" style="54" hidden="1" customWidth="1"/>
    <col min="5142" max="5142" width="10.7109375" style="54" customWidth="1"/>
    <col min="5143" max="5144" width="9" style="54" hidden="1" customWidth="1"/>
    <col min="5145" max="5145" width="11.140625" style="54" customWidth="1"/>
    <col min="5146" max="5147" width="9" style="54" hidden="1" customWidth="1"/>
    <col min="5148" max="5148" width="11.140625" style="54" customWidth="1"/>
    <col min="5149" max="5150" width="9" style="54" hidden="1" customWidth="1"/>
    <col min="5151" max="5151" width="11.5703125" style="54" customWidth="1"/>
    <col min="5152" max="5153" width="9" style="54" hidden="1" customWidth="1"/>
    <col min="5154" max="5154" width="10.5703125" style="54" customWidth="1"/>
    <col min="5155" max="5155" width="10.140625" style="54" customWidth="1"/>
    <col min="5156" max="5156" width="13.5703125" style="54" customWidth="1"/>
    <col min="5157" max="5157" width="10.5703125" style="54" customWidth="1"/>
    <col min="5158" max="5376" width="9.140625" style="54"/>
    <col min="5377" max="5377" width="37.5703125" style="54" customWidth="1"/>
    <col min="5378" max="5379" width="9" style="54" hidden="1" customWidth="1"/>
    <col min="5380" max="5380" width="10.5703125" style="54" customWidth="1"/>
    <col min="5381" max="5382" width="9" style="54" hidden="1" customWidth="1"/>
    <col min="5383" max="5383" width="11" style="54" customWidth="1"/>
    <col min="5384" max="5385" width="9" style="54" hidden="1" customWidth="1"/>
    <col min="5386" max="5386" width="11" style="54" customWidth="1"/>
    <col min="5387" max="5388" width="9" style="54" hidden="1" customWidth="1"/>
    <col min="5389" max="5389" width="11" style="54" customWidth="1"/>
    <col min="5390" max="5391" width="9" style="54" hidden="1" customWidth="1"/>
    <col min="5392" max="5392" width="11" style="54" customWidth="1"/>
    <col min="5393" max="5394" width="9" style="54" hidden="1" customWidth="1"/>
    <col min="5395" max="5395" width="11" style="54" customWidth="1"/>
    <col min="5396" max="5397" width="9" style="54" hidden="1" customWidth="1"/>
    <col min="5398" max="5398" width="10.7109375" style="54" customWidth="1"/>
    <col min="5399" max="5400" width="9" style="54" hidden="1" customWidth="1"/>
    <col min="5401" max="5401" width="11.140625" style="54" customWidth="1"/>
    <col min="5402" max="5403" width="9" style="54" hidden="1" customWidth="1"/>
    <col min="5404" max="5404" width="11.140625" style="54" customWidth="1"/>
    <col min="5405" max="5406" width="9" style="54" hidden="1" customWidth="1"/>
    <col min="5407" max="5407" width="11.5703125" style="54" customWidth="1"/>
    <col min="5408" max="5409" width="9" style="54" hidden="1" customWidth="1"/>
    <col min="5410" max="5410" width="10.5703125" style="54" customWidth="1"/>
    <col min="5411" max="5411" width="10.140625" style="54" customWidth="1"/>
    <col min="5412" max="5412" width="13.5703125" style="54" customWidth="1"/>
    <col min="5413" max="5413" width="10.5703125" style="54" customWidth="1"/>
    <col min="5414" max="5632" width="9.140625" style="54"/>
    <col min="5633" max="5633" width="37.5703125" style="54" customWidth="1"/>
    <col min="5634" max="5635" width="9" style="54" hidden="1" customWidth="1"/>
    <col min="5636" max="5636" width="10.5703125" style="54" customWidth="1"/>
    <col min="5637" max="5638" width="9" style="54" hidden="1" customWidth="1"/>
    <col min="5639" max="5639" width="11" style="54" customWidth="1"/>
    <col min="5640" max="5641" width="9" style="54" hidden="1" customWidth="1"/>
    <col min="5642" max="5642" width="11" style="54" customWidth="1"/>
    <col min="5643" max="5644" width="9" style="54" hidden="1" customWidth="1"/>
    <col min="5645" max="5645" width="11" style="54" customWidth="1"/>
    <col min="5646" max="5647" width="9" style="54" hidden="1" customWidth="1"/>
    <col min="5648" max="5648" width="11" style="54" customWidth="1"/>
    <col min="5649" max="5650" width="9" style="54" hidden="1" customWidth="1"/>
    <col min="5651" max="5651" width="11" style="54" customWidth="1"/>
    <col min="5652" max="5653" width="9" style="54" hidden="1" customWidth="1"/>
    <col min="5654" max="5654" width="10.7109375" style="54" customWidth="1"/>
    <col min="5655" max="5656" width="9" style="54" hidden="1" customWidth="1"/>
    <col min="5657" max="5657" width="11.140625" style="54" customWidth="1"/>
    <col min="5658" max="5659" width="9" style="54" hidden="1" customWidth="1"/>
    <col min="5660" max="5660" width="11.140625" style="54" customWidth="1"/>
    <col min="5661" max="5662" width="9" style="54" hidden="1" customWidth="1"/>
    <col min="5663" max="5663" width="11.5703125" style="54" customWidth="1"/>
    <col min="5664" max="5665" width="9" style="54" hidden="1" customWidth="1"/>
    <col min="5666" max="5666" width="10.5703125" style="54" customWidth="1"/>
    <col min="5667" max="5667" width="10.140625" style="54" customWidth="1"/>
    <col min="5668" max="5668" width="13.5703125" style="54" customWidth="1"/>
    <col min="5669" max="5669" width="10.5703125" style="54" customWidth="1"/>
    <col min="5670" max="5888" width="9.140625" style="54"/>
    <col min="5889" max="5889" width="37.5703125" style="54" customWidth="1"/>
    <col min="5890" max="5891" width="9" style="54" hidden="1" customWidth="1"/>
    <col min="5892" max="5892" width="10.5703125" style="54" customWidth="1"/>
    <col min="5893" max="5894" width="9" style="54" hidden="1" customWidth="1"/>
    <col min="5895" max="5895" width="11" style="54" customWidth="1"/>
    <col min="5896" max="5897" width="9" style="54" hidden="1" customWidth="1"/>
    <col min="5898" max="5898" width="11" style="54" customWidth="1"/>
    <col min="5899" max="5900" width="9" style="54" hidden="1" customWidth="1"/>
    <col min="5901" max="5901" width="11" style="54" customWidth="1"/>
    <col min="5902" max="5903" width="9" style="54" hidden="1" customWidth="1"/>
    <col min="5904" max="5904" width="11" style="54" customWidth="1"/>
    <col min="5905" max="5906" width="9" style="54" hidden="1" customWidth="1"/>
    <col min="5907" max="5907" width="11" style="54" customWidth="1"/>
    <col min="5908" max="5909" width="9" style="54" hidden="1" customWidth="1"/>
    <col min="5910" max="5910" width="10.7109375" style="54" customWidth="1"/>
    <col min="5911" max="5912" width="9" style="54" hidden="1" customWidth="1"/>
    <col min="5913" max="5913" width="11.140625" style="54" customWidth="1"/>
    <col min="5914" max="5915" width="9" style="54" hidden="1" customWidth="1"/>
    <col min="5916" max="5916" width="11.140625" style="54" customWidth="1"/>
    <col min="5917" max="5918" width="9" style="54" hidden="1" customWidth="1"/>
    <col min="5919" max="5919" width="11.5703125" style="54" customWidth="1"/>
    <col min="5920" max="5921" width="9" style="54" hidden="1" customWidth="1"/>
    <col min="5922" max="5922" width="10.5703125" style="54" customWidth="1"/>
    <col min="5923" max="5923" width="10.140625" style="54" customWidth="1"/>
    <col min="5924" max="5924" width="13.5703125" style="54" customWidth="1"/>
    <col min="5925" max="5925" width="10.5703125" style="54" customWidth="1"/>
    <col min="5926" max="6144" width="9.140625" style="54"/>
    <col min="6145" max="6145" width="37.5703125" style="54" customWidth="1"/>
    <col min="6146" max="6147" width="9" style="54" hidden="1" customWidth="1"/>
    <col min="6148" max="6148" width="10.5703125" style="54" customWidth="1"/>
    <col min="6149" max="6150" width="9" style="54" hidden="1" customWidth="1"/>
    <col min="6151" max="6151" width="11" style="54" customWidth="1"/>
    <col min="6152" max="6153" width="9" style="54" hidden="1" customWidth="1"/>
    <col min="6154" max="6154" width="11" style="54" customWidth="1"/>
    <col min="6155" max="6156" width="9" style="54" hidden="1" customWidth="1"/>
    <col min="6157" max="6157" width="11" style="54" customWidth="1"/>
    <col min="6158" max="6159" width="9" style="54" hidden="1" customWidth="1"/>
    <col min="6160" max="6160" width="11" style="54" customWidth="1"/>
    <col min="6161" max="6162" width="9" style="54" hidden="1" customWidth="1"/>
    <col min="6163" max="6163" width="11" style="54" customWidth="1"/>
    <col min="6164" max="6165" width="9" style="54" hidden="1" customWidth="1"/>
    <col min="6166" max="6166" width="10.7109375" style="54" customWidth="1"/>
    <col min="6167" max="6168" width="9" style="54" hidden="1" customWidth="1"/>
    <col min="6169" max="6169" width="11.140625" style="54" customWidth="1"/>
    <col min="6170" max="6171" width="9" style="54" hidden="1" customWidth="1"/>
    <col min="6172" max="6172" width="11.140625" style="54" customWidth="1"/>
    <col min="6173" max="6174" width="9" style="54" hidden="1" customWidth="1"/>
    <col min="6175" max="6175" width="11.5703125" style="54" customWidth="1"/>
    <col min="6176" max="6177" width="9" style="54" hidden="1" customWidth="1"/>
    <col min="6178" max="6178" width="10.5703125" style="54" customWidth="1"/>
    <col min="6179" max="6179" width="10.140625" style="54" customWidth="1"/>
    <col min="6180" max="6180" width="13.5703125" style="54" customWidth="1"/>
    <col min="6181" max="6181" width="10.5703125" style="54" customWidth="1"/>
    <col min="6182" max="6400" width="9.140625" style="54"/>
    <col min="6401" max="6401" width="37.5703125" style="54" customWidth="1"/>
    <col min="6402" max="6403" width="9" style="54" hidden="1" customWidth="1"/>
    <col min="6404" max="6404" width="10.5703125" style="54" customWidth="1"/>
    <col min="6405" max="6406" width="9" style="54" hidden="1" customWidth="1"/>
    <col min="6407" max="6407" width="11" style="54" customWidth="1"/>
    <col min="6408" max="6409" width="9" style="54" hidden="1" customWidth="1"/>
    <col min="6410" max="6410" width="11" style="54" customWidth="1"/>
    <col min="6411" max="6412" width="9" style="54" hidden="1" customWidth="1"/>
    <col min="6413" max="6413" width="11" style="54" customWidth="1"/>
    <col min="6414" max="6415" width="9" style="54" hidden="1" customWidth="1"/>
    <col min="6416" max="6416" width="11" style="54" customWidth="1"/>
    <col min="6417" max="6418" width="9" style="54" hidden="1" customWidth="1"/>
    <col min="6419" max="6419" width="11" style="54" customWidth="1"/>
    <col min="6420" max="6421" width="9" style="54" hidden="1" customWidth="1"/>
    <col min="6422" max="6422" width="10.7109375" style="54" customWidth="1"/>
    <col min="6423" max="6424" width="9" style="54" hidden="1" customWidth="1"/>
    <col min="6425" max="6425" width="11.140625" style="54" customWidth="1"/>
    <col min="6426" max="6427" width="9" style="54" hidden="1" customWidth="1"/>
    <col min="6428" max="6428" width="11.140625" style="54" customWidth="1"/>
    <col min="6429" max="6430" width="9" style="54" hidden="1" customWidth="1"/>
    <col min="6431" max="6431" width="11.5703125" style="54" customWidth="1"/>
    <col min="6432" max="6433" width="9" style="54" hidden="1" customWidth="1"/>
    <col min="6434" max="6434" width="10.5703125" style="54" customWidth="1"/>
    <col min="6435" max="6435" width="10.140625" style="54" customWidth="1"/>
    <col min="6436" max="6436" width="13.5703125" style="54" customWidth="1"/>
    <col min="6437" max="6437" width="10.5703125" style="54" customWidth="1"/>
    <col min="6438" max="6656" width="9.140625" style="54"/>
    <col min="6657" max="6657" width="37.5703125" style="54" customWidth="1"/>
    <col min="6658" max="6659" width="9" style="54" hidden="1" customWidth="1"/>
    <col min="6660" max="6660" width="10.5703125" style="54" customWidth="1"/>
    <col min="6661" max="6662" width="9" style="54" hidden="1" customWidth="1"/>
    <col min="6663" max="6663" width="11" style="54" customWidth="1"/>
    <col min="6664" max="6665" width="9" style="54" hidden="1" customWidth="1"/>
    <col min="6666" max="6666" width="11" style="54" customWidth="1"/>
    <col min="6667" max="6668" width="9" style="54" hidden="1" customWidth="1"/>
    <col min="6669" max="6669" width="11" style="54" customWidth="1"/>
    <col min="6670" max="6671" width="9" style="54" hidden="1" customWidth="1"/>
    <col min="6672" max="6672" width="11" style="54" customWidth="1"/>
    <col min="6673" max="6674" width="9" style="54" hidden="1" customWidth="1"/>
    <col min="6675" max="6675" width="11" style="54" customWidth="1"/>
    <col min="6676" max="6677" width="9" style="54" hidden="1" customWidth="1"/>
    <col min="6678" max="6678" width="10.7109375" style="54" customWidth="1"/>
    <col min="6679" max="6680" width="9" style="54" hidden="1" customWidth="1"/>
    <col min="6681" max="6681" width="11.140625" style="54" customWidth="1"/>
    <col min="6682" max="6683" width="9" style="54" hidden="1" customWidth="1"/>
    <col min="6684" max="6684" width="11.140625" style="54" customWidth="1"/>
    <col min="6685" max="6686" width="9" style="54" hidden="1" customWidth="1"/>
    <col min="6687" max="6687" width="11.5703125" style="54" customWidth="1"/>
    <col min="6688" max="6689" width="9" style="54" hidden="1" customWidth="1"/>
    <col min="6690" max="6690" width="10.5703125" style="54" customWidth="1"/>
    <col min="6691" max="6691" width="10.140625" style="54" customWidth="1"/>
    <col min="6692" max="6692" width="13.5703125" style="54" customWidth="1"/>
    <col min="6693" max="6693" width="10.5703125" style="54" customWidth="1"/>
    <col min="6694" max="6912" width="9.140625" style="54"/>
    <col min="6913" max="6913" width="37.5703125" style="54" customWidth="1"/>
    <col min="6914" max="6915" width="9" style="54" hidden="1" customWidth="1"/>
    <col min="6916" max="6916" width="10.5703125" style="54" customWidth="1"/>
    <col min="6917" max="6918" width="9" style="54" hidden="1" customWidth="1"/>
    <col min="6919" max="6919" width="11" style="54" customWidth="1"/>
    <col min="6920" max="6921" width="9" style="54" hidden="1" customWidth="1"/>
    <col min="6922" max="6922" width="11" style="54" customWidth="1"/>
    <col min="6923" max="6924" width="9" style="54" hidden="1" customWidth="1"/>
    <col min="6925" max="6925" width="11" style="54" customWidth="1"/>
    <col min="6926" max="6927" width="9" style="54" hidden="1" customWidth="1"/>
    <col min="6928" max="6928" width="11" style="54" customWidth="1"/>
    <col min="6929" max="6930" width="9" style="54" hidden="1" customWidth="1"/>
    <col min="6931" max="6931" width="11" style="54" customWidth="1"/>
    <col min="6932" max="6933" width="9" style="54" hidden="1" customWidth="1"/>
    <col min="6934" max="6934" width="10.7109375" style="54" customWidth="1"/>
    <col min="6935" max="6936" width="9" style="54" hidden="1" customWidth="1"/>
    <col min="6937" max="6937" width="11.140625" style="54" customWidth="1"/>
    <col min="6938" max="6939" width="9" style="54" hidden="1" customWidth="1"/>
    <col min="6940" max="6940" width="11.140625" style="54" customWidth="1"/>
    <col min="6941" max="6942" width="9" style="54" hidden="1" customWidth="1"/>
    <col min="6943" max="6943" width="11.5703125" style="54" customWidth="1"/>
    <col min="6944" max="6945" width="9" style="54" hidden="1" customWidth="1"/>
    <col min="6946" max="6946" width="10.5703125" style="54" customWidth="1"/>
    <col min="6947" max="6947" width="10.140625" style="54" customWidth="1"/>
    <col min="6948" max="6948" width="13.5703125" style="54" customWidth="1"/>
    <col min="6949" max="6949" width="10.5703125" style="54" customWidth="1"/>
    <col min="6950" max="7168" width="9.140625" style="54"/>
    <col min="7169" max="7169" width="37.5703125" style="54" customWidth="1"/>
    <col min="7170" max="7171" width="9" style="54" hidden="1" customWidth="1"/>
    <col min="7172" max="7172" width="10.5703125" style="54" customWidth="1"/>
    <col min="7173" max="7174" width="9" style="54" hidden="1" customWidth="1"/>
    <col min="7175" max="7175" width="11" style="54" customWidth="1"/>
    <col min="7176" max="7177" width="9" style="54" hidden="1" customWidth="1"/>
    <col min="7178" max="7178" width="11" style="54" customWidth="1"/>
    <col min="7179" max="7180" width="9" style="54" hidden="1" customWidth="1"/>
    <col min="7181" max="7181" width="11" style="54" customWidth="1"/>
    <col min="7182" max="7183" width="9" style="54" hidden="1" customWidth="1"/>
    <col min="7184" max="7184" width="11" style="54" customWidth="1"/>
    <col min="7185" max="7186" width="9" style="54" hidden="1" customWidth="1"/>
    <col min="7187" max="7187" width="11" style="54" customWidth="1"/>
    <col min="7188" max="7189" width="9" style="54" hidden="1" customWidth="1"/>
    <col min="7190" max="7190" width="10.7109375" style="54" customWidth="1"/>
    <col min="7191" max="7192" width="9" style="54" hidden="1" customWidth="1"/>
    <col min="7193" max="7193" width="11.140625" style="54" customWidth="1"/>
    <col min="7194" max="7195" width="9" style="54" hidden="1" customWidth="1"/>
    <col min="7196" max="7196" width="11.140625" style="54" customWidth="1"/>
    <col min="7197" max="7198" width="9" style="54" hidden="1" customWidth="1"/>
    <col min="7199" max="7199" width="11.5703125" style="54" customWidth="1"/>
    <col min="7200" max="7201" width="9" style="54" hidden="1" customWidth="1"/>
    <col min="7202" max="7202" width="10.5703125" style="54" customWidth="1"/>
    <col min="7203" max="7203" width="10.140625" style="54" customWidth="1"/>
    <col min="7204" max="7204" width="13.5703125" style="54" customWidth="1"/>
    <col min="7205" max="7205" width="10.5703125" style="54" customWidth="1"/>
    <col min="7206" max="7424" width="9.140625" style="54"/>
    <col min="7425" max="7425" width="37.5703125" style="54" customWidth="1"/>
    <col min="7426" max="7427" width="9" style="54" hidden="1" customWidth="1"/>
    <col min="7428" max="7428" width="10.5703125" style="54" customWidth="1"/>
    <col min="7429" max="7430" width="9" style="54" hidden="1" customWidth="1"/>
    <col min="7431" max="7431" width="11" style="54" customWidth="1"/>
    <col min="7432" max="7433" width="9" style="54" hidden="1" customWidth="1"/>
    <col min="7434" max="7434" width="11" style="54" customWidth="1"/>
    <col min="7435" max="7436" width="9" style="54" hidden="1" customWidth="1"/>
    <col min="7437" max="7437" width="11" style="54" customWidth="1"/>
    <col min="7438" max="7439" width="9" style="54" hidden="1" customWidth="1"/>
    <col min="7440" max="7440" width="11" style="54" customWidth="1"/>
    <col min="7441" max="7442" width="9" style="54" hidden="1" customWidth="1"/>
    <col min="7443" max="7443" width="11" style="54" customWidth="1"/>
    <col min="7444" max="7445" width="9" style="54" hidden="1" customWidth="1"/>
    <col min="7446" max="7446" width="10.7109375" style="54" customWidth="1"/>
    <col min="7447" max="7448" width="9" style="54" hidden="1" customWidth="1"/>
    <col min="7449" max="7449" width="11.140625" style="54" customWidth="1"/>
    <col min="7450" max="7451" width="9" style="54" hidden="1" customWidth="1"/>
    <col min="7452" max="7452" width="11.140625" style="54" customWidth="1"/>
    <col min="7453" max="7454" width="9" style="54" hidden="1" customWidth="1"/>
    <col min="7455" max="7455" width="11.5703125" style="54" customWidth="1"/>
    <col min="7456" max="7457" width="9" style="54" hidden="1" customWidth="1"/>
    <col min="7458" max="7458" width="10.5703125" style="54" customWidth="1"/>
    <col min="7459" max="7459" width="10.140625" style="54" customWidth="1"/>
    <col min="7460" max="7460" width="13.5703125" style="54" customWidth="1"/>
    <col min="7461" max="7461" width="10.5703125" style="54" customWidth="1"/>
    <col min="7462" max="7680" width="9.140625" style="54"/>
    <col min="7681" max="7681" width="37.5703125" style="54" customWidth="1"/>
    <col min="7682" max="7683" width="9" style="54" hidden="1" customWidth="1"/>
    <col min="7684" max="7684" width="10.5703125" style="54" customWidth="1"/>
    <col min="7685" max="7686" width="9" style="54" hidden="1" customWidth="1"/>
    <col min="7687" max="7687" width="11" style="54" customWidth="1"/>
    <col min="7688" max="7689" width="9" style="54" hidden="1" customWidth="1"/>
    <col min="7690" max="7690" width="11" style="54" customWidth="1"/>
    <col min="7691" max="7692" width="9" style="54" hidden="1" customWidth="1"/>
    <col min="7693" max="7693" width="11" style="54" customWidth="1"/>
    <col min="7694" max="7695" width="9" style="54" hidden="1" customWidth="1"/>
    <col min="7696" max="7696" width="11" style="54" customWidth="1"/>
    <col min="7697" max="7698" width="9" style="54" hidden="1" customWidth="1"/>
    <col min="7699" max="7699" width="11" style="54" customWidth="1"/>
    <col min="7700" max="7701" width="9" style="54" hidden="1" customWidth="1"/>
    <col min="7702" max="7702" width="10.7109375" style="54" customWidth="1"/>
    <col min="7703" max="7704" width="9" style="54" hidden="1" customWidth="1"/>
    <col min="7705" max="7705" width="11.140625" style="54" customWidth="1"/>
    <col min="7706" max="7707" width="9" style="54" hidden="1" customWidth="1"/>
    <col min="7708" max="7708" width="11.140625" style="54" customWidth="1"/>
    <col min="7709" max="7710" width="9" style="54" hidden="1" customWidth="1"/>
    <col min="7711" max="7711" width="11.5703125" style="54" customWidth="1"/>
    <col min="7712" max="7713" width="9" style="54" hidden="1" customWidth="1"/>
    <col min="7714" max="7714" width="10.5703125" style="54" customWidth="1"/>
    <col min="7715" max="7715" width="10.140625" style="54" customWidth="1"/>
    <col min="7716" max="7716" width="13.5703125" style="54" customWidth="1"/>
    <col min="7717" max="7717" width="10.5703125" style="54" customWidth="1"/>
    <col min="7718" max="7936" width="9.140625" style="54"/>
    <col min="7937" max="7937" width="37.5703125" style="54" customWidth="1"/>
    <col min="7938" max="7939" width="9" style="54" hidden="1" customWidth="1"/>
    <col min="7940" max="7940" width="10.5703125" style="54" customWidth="1"/>
    <col min="7941" max="7942" width="9" style="54" hidden="1" customWidth="1"/>
    <col min="7943" max="7943" width="11" style="54" customWidth="1"/>
    <col min="7944" max="7945" width="9" style="54" hidden="1" customWidth="1"/>
    <col min="7946" max="7946" width="11" style="54" customWidth="1"/>
    <col min="7947" max="7948" width="9" style="54" hidden="1" customWidth="1"/>
    <col min="7949" max="7949" width="11" style="54" customWidth="1"/>
    <col min="7950" max="7951" width="9" style="54" hidden="1" customWidth="1"/>
    <col min="7952" max="7952" width="11" style="54" customWidth="1"/>
    <col min="7953" max="7954" width="9" style="54" hidden="1" customWidth="1"/>
    <col min="7955" max="7955" width="11" style="54" customWidth="1"/>
    <col min="7956" max="7957" width="9" style="54" hidden="1" customWidth="1"/>
    <col min="7958" max="7958" width="10.7109375" style="54" customWidth="1"/>
    <col min="7959" max="7960" width="9" style="54" hidden="1" customWidth="1"/>
    <col min="7961" max="7961" width="11.140625" style="54" customWidth="1"/>
    <col min="7962" max="7963" width="9" style="54" hidden="1" customWidth="1"/>
    <col min="7964" max="7964" width="11.140625" style="54" customWidth="1"/>
    <col min="7965" max="7966" width="9" style="54" hidden="1" customWidth="1"/>
    <col min="7967" max="7967" width="11.5703125" style="54" customWidth="1"/>
    <col min="7968" max="7969" width="9" style="54" hidden="1" customWidth="1"/>
    <col min="7970" max="7970" width="10.5703125" style="54" customWidth="1"/>
    <col min="7971" max="7971" width="10.140625" style="54" customWidth="1"/>
    <col min="7972" max="7972" width="13.5703125" style="54" customWidth="1"/>
    <col min="7973" max="7973" width="10.5703125" style="54" customWidth="1"/>
    <col min="7974" max="8192" width="9.140625" style="54"/>
    <col min="8193" max="8193" width="37.5703125" style="54" customWidth="1"/>
    <col min="8194" max="8195" width="9" style="54" hidden="1" customWidth="1"/>
    <col min="8196" max="8196" width="10.5703125" style="54" customWidth="1"/>
    <col min="8197" max="8198" width="9" style="54" hidden="1" customWidth="1"/>
    <col min="8199" max="8199" width="11" style="54" customWidth="1"/>
    <col min="8200" max="8201" width="9" style="54" hidden="1" customWidth="1"/>
    <col min="8202" max="8202" width="11" style="54" customWidth="1"/>
    <col min="8203" max="8204" width="9" style="54" hidden="1" customWidth="1"/>
    <col min="8205" max="8205" width="11" style="54" customWidth="1"/>
    <col min="8206" max="8207" width="9" style="54" hidden="1" customWidth="1"/>
    <col min="8208" max="8208" width="11" style="54" customWidth="1"/>
    <col min="8209" max="8210" width="9" style="54" hidden="1" customWidth="1"/>
    <col min="8211" max="8211" width="11" style="54" customWidth="1"/>
    <col min="8212" max="8213" width="9" style="54" hidden="1" customWidth="1"/>
    <col min="8214" max="8214" width="10.7109375" style="54" customWidth="1"/>
    <col min="8215" max="8216" width="9" style="54" hidden="1" customWidth="1"/>
    <col min="8217" max="8217" width="11.140625" style="54" customWidth="1"/>
    <col min="8218" max="8219" width="9" style="54" hidden="1" customWidth="1"/>
    <col min="8220" max="8220" width="11.140625" style="54" customWidth="1"/>
    <col min="8221" max="8222" width="9" style="54" hidden="1" customWidth="1"/>
    <col min="8223" max="8223" width="11.5703125" style="54" customWidth="1"/>
    <col min="8224" max="8225" width="9" style="54" hidden="1" customWidth="1"/>
    <col min="8226" max="8226" width="10.5703125" style="54" customWidth="1"/>
    <col min="8227" max="8227" width="10.140625" style="54" customWidth="1"/>
    <col min="8228" max="8228" width="13.5703125" style="54" customWidth="1"/>
    <col min="8229" max="8229" width="10.5703125" style="54" customWidth="1"/>
    <col min="8230" max="8448" width="9.140625" style="54"/>
    <col min="8449" max="8449" width="37.5703125" style="54" customWidth="1"/>
    <col min="8450" max="8451" width="9" style="54" hidden="1" customWidth="1"/>
    <col min="8452" max="8452" width="10.5703125" style="54" customWidth="1"/>
    <col min="8453" max="8454" width="9" style="54" hidden="1" customWidth="1"/>
    <col min="8455" max="8455" width="11" style="54" customWidth="1"/>
    <col min="8456" max="8457" width="9" style="54" hidden="1" customWidth="1"/>
    <col min="8458" max="8458" width="11" style="54" customWidth="1"/>
    <col min="8459" max="8460" width="9" style="54" hidden="1" customWidth="1"/>
    <col min="8461" max="8461" width="11" style="54" customWidth="1"/>
    <col min="8462" max="8463" width="9" style="54" hidden="1" customWidth="1"/>
    <col min="8464" max="8464" width="11" style="54" customWidth="1"/>
    <col min="8465" max="8466" width="9" style="54" hidden="1" customWidth="1"/>
    <col min="8467" max="8467" width="11" style="54" customWidth="1"/>
    <col min="8468" max="8469" width="9" style="54" hidden="1" customWidth="1"/>
    <col min="8470" max="8470" width="10.7109375" style="54" customWidth="1"/>
    <col min="8471" max="8472" width="9" style="54" hidden="1" customWidth="1"/>
    <col min="8473" max="8473" width="11.140625" style="54" customWidth="1"/>
    <col min="8474" max="8475" width="9" style="54" hidden="1" customWidth="1"/>
    <col min="8476" max="8476" width="11.140625" style="54" customWidth="1"/>
    <col min="8477" max="8478" width="9" style="54" hidden="1" customWidth="1"/>
    <col min="8479" max="8479" width="11.5703125" style="54" customWidth="1"/>
    <col min="8480" max="8481" width="9" style="54" hidden="1" customWidth="1"/>
    <col min="8482" max="8482" width="10.5703125" style="54" customWidth="1"/>
    <col min="8483" max="8483" width="10.140625" style="54" customWidth="1"/>
    <col min="8484" max="8484" width="13.5703125" style="54" customWidth="1"/>
    <col min="8485" max="8485" width="10.5703125" style="54" customWidth="1"/>
    <col min="8486" max="8704" width="9.140625" style="54"/>
    <col min="8705" max="8705" width="37.5703125" style="54" customWidth="1"/>
    <col min="8706" max="8707" width="9" style="54" hidden="1" customWidth="1"/>
    <col min="8708" max="8708" width="10.5703125" style="54" customWidth="1"/>
    <col min="8709" max="8710" width="9" style="54" hidden="1" customWidth="1"/>
    <col min="8711" max="8711" width="11" style="54" customWidth="1"/>
    <col min="8712" max="8713" width="9" style="54" hidden="1" customWidth="1"/>
    <col min="8714" max="8714" width="11" style="54" customWidth="1"/>
    <col min="8715" max="8716" width="9" style="54" hidden="1" customWidth="1"/>
    <col min="8717" max="8717" width="11" style="54" customWidth="1"/>
    <col min="8718" max="8719" width="9" style="54" hidden="1" customWidth="1"/>
    <col min="8720" max="8720" width="11" style="54" customWidth="1"/>
    <col min="8721" max="8722" width="9" style="54" hidden="1" customWidth="1"/>
    <col min="8723" max="8723" width="11" style="54" customWidth="1"/>
    <col min="8724" max="8725" width="9" style="54" hidden="1" customWidth="1"/>
    <col min="8726" max="8726" width="10.7109375" style="54" customWidth="1"/>
    <col min="8727" max="8728" width="9" style="54" hidden="1" customWidth="1"/>
    <col min="8729" max="8729" width="11.140625" style="54" customWidth="1"/>
    <col min="8730" max="8731" width="9" style="54" hidden="1" customWidth="1"/>
    <col min="8732" max="8732" width="11.140625" style="54" customWidth="1"/>
    <col min="8733" max="8734" width="9" style="54" hidden="1" customWidth="1"/>
    <col min="8735" max="8735" width="11.5703125" style="54" customWidth="1"/>
    <col min="8736" max="8737" width="9" style="54" hidden="1" customWidth="1"/>
    <col min="8738" max="8738" width="10.5703125" style="54" customWidth="1"/>
    <col min="8739" max="8739" width="10.140625" style="54" customWidth="1"/>
    <col min="8740" max="8740" width="13.5703125" style="54" customWidth="1"/>
    <col min="8741" max="8741" width="10.5703125" style="54" customWidth="1"/>
    <col min="8742" max="8960" width="9.140625" style="54"/>
    <col min="8961" max="8961" width="37.5703125" style="54" customWidth="1"/>
    <col min="8962" max="8963" width="9" style="54" hidden="1" customWidth="1"/>
    <col min="8964" max="8964" width="10.5703125" style="54" customWidth="1"/>
    <col min="8965" max="8966" width="9" style="54" hidden="1" customWidth="1"/>
    <col min="8967" max="8967" width="11" style="54" customWidth="1"/>
    <col min="8968" max="8969" width="9" style="54" hidden="1" customWidth="1"/>
    <col min="8970" max="8970" width="11" style="54" customWidth="1"/>
    <col min="8971" max="8972" width="9" style="54" hidden="1" customWidth="1"/>
    <col min="8973" max="8973" width="11" style="54" customWidth="1"/>
    <col min="8974" max="8975" width="9" style="54" hidden="1" customWidth="1"/>
    <col min="8976" max="8976" width="11" style="54" customWidth="1"/>
    <col min="8977" max="8978" width="9" style="54" hidden="1" customWidth="1"/>
    <col min="8979" max="8979" width="11" style="54" customWidth="1"/>
    <col min="8980" max="8981" width="9" style="54" hidden="1" customWidth="1"/>
    <col min="8982" max="8982" width="10.7109375" style="54" customWidth="1"/>
    <col min="8983" max="8984" width="9" style="54" hidden="1" customWidth="1"/>
    <col min="8985" max="8985" width="11.140625" style="54" customWidth="1"/>
    <col min="8986" max="8987" width="9" style="54" hidden="1" customWidth="1"/>
    <col min="8988" max="8988" width="11.140625" style="54" customWidth="1"/>
    <col min="8989" max="8990" width="9" style="54" hidden="1" customWidth="1"/>
    <col min="8991" max="8991" width="11.5703125" style="54" customWidth="1"/>
    <col min="8992" max="8993" width="9" style="54" hidden="1" customWidth="1"/>
    <col min="8994" max="8994" width="10.5703125" style="54" customWidth="1"/>
    <col min="8995" max="8995" width="10.140625" style="54" customWidth="1"/>
    <col min="8996" max="8996" width="13.5703125" style="54" customWidth="1"/>
    <col min="8997" max="8997" width="10.5703125" style="54" customWidth="1"/>
    <col min="8998" max="9216" width="9.140625" style="54"/>
    <col min="9217" max="9217" width="37.5703125" style="54" customWidth="1"/>
    <col min="9218" max="9219" width="9" style="54" hidden="1" customWidth="1"/>
    <col min="9220" max="9220" width="10.5703125" style="54" customWidth="1"/>
    <col min="9221" max="9222" width="9" style="54" hidden="1" customWidth="1"/>
    <col min="9223" max="9223" width="11" style="54" customWidth="1"/>
    <col min="9224" max="9225" width="9" style="54" hidden="1" customWidth="1"/>
    <col min="9226" max="9226" width="11" style="54" customWidth="1"/>
    <col min="9227" max="9228" width="9" style="54" hidden="1" customWidth="1"/>
    <col min="9229" max="9229" width="11" style="54" customWidth="1"/>
    <col min="9230" max="9231" width="9" style="54" hidden="1" customWidth="1"/>
    <col min="9232" max="9232" width="11" style="54" customWidth="1"/>
    <col min="9233" max="9234" width="9" style="54" hidden="1" customWidth="1"/>
    <col min="9235" max="9235" width="11" style="54" customWidth="1"/>
    <col min="9236" max="9237" width="9" style="54" hidden="1" customWidth="1"/>
    <col min="9238" max="9238" width="10.7109375" style="54" customWidth="1"/>
    <col min="9239" max="9240" width="9" style="54" hidden="1" customWidth="1"/>
    <col min="9241" max="9241" width="11.140625" style="54" customWidth="1"/>
    <col min="9242" max="9243" width="9" style="54" hidden="1" customWidth="1"/>
    <col min="9244" max="9244" width="11.140625" style="54" customWidth="1"/>
    <col min="9245" max="9246" width="9" style="54" hidden="1" customWidth="1"/>
    <col min="9247" max="9247" width="11.5703125" style="54" customWidth="1"/>
    <col min="9248" max="9249" width="9" style="54" hidden="1" customWidth="1"/>
    <col min="9250" max="9250" width="10.5703125" style="54" customWidth="1"/>
    <col min="9251" max="9251" width="10.140625" style="54" customWidth="1"/>
    <col min="9252" max="9252" width="13.5703125" style="54" customWidth="1"/>
    <col min="9253" max="9253" width="10.5703125" style="54" customWidth="1"/>
    <col min="9254" max="9472" width="9.140625" style="54"/>
    <col min="9473" max="9473" width="37.5703125" style="54" customWidth="1"/>
    <col min="9474" max="9475" width="9" style="54" hidden="1" customWidth="1"/>
    <col min="9476" max="9476" width="10.5703125" style="54" customWidth="1"/>
    <col min="9477" max="9478" width="9" style="54" hidden="1" customWidth="1"/>
    <col min="9479" max="9479" width="11" style="54" customWidth="1"/>
    <col min="9480" max="9481" width="9" style="54" hidden="1" customWidth="1"/>
    <col min="9482" max="9482" width="11" style="54" customWidth="1"/>
    <col min="9483" max="9484" width="9" style="54" hidden="1" customWidth="1"/>
    <col min="9485" max="9485" width="11" style="54" customWidth="1"/>
    <col min="9486" max="9487" width="9" style="54" hidden="1" customWidth="1"/>
    <col min="9488" max="9488" width="11" style="54" customWidth="1"/>
    <col min="9489" max="9490" width="9" style="54" hidden="1" customWidth="1"/>
    <col min="9491" max="9491" width="11" style="54" customWidth="1"/>
    <col min="9492" max="9493" width="9" style="54" hidden="1" customWidth="1"/>
    <col min="9494" max="9494" width="10.7109375" style="54" customWidth="1"/>
    <col min="9495" max="9496" width="9" style="54" hidden="1" customWidth="1"/>
    <col min="9497" max="9497" width="11.140625" style="54" customWidth="1"/>
    <col min="9498" max="9499" width="9" style="54" hidden="1" customWidth="1"/>
    <col min="9500" max="9500" width="11.140625" style="54" customWidth="1"/>
    <col min="9501" max="9502" width="9" style="54" hidden="1" customWidth="1"/>
    <col min="9503" max="9503" width="11.5703125" style="54" customWidth="1"/>
    <col min="9504" max="9505" width="9" style="54" hidden="1" customWidth="1"/>
    <col min="9506" max="9506" width="10.5703125" style="54" customWidth="1"/>
    <col min="9507" max="9507" width="10.140625" style="54" customWidth="1"/>
    <col min="9508" max="9508" width="13.5703125" style="54" customWidth="1"/>
    <col min="9509" max="9509" width="10.5703125" style="54" customWidth="1"/>
    <col min="9510" max="9728" width="9.140625" style="54"/>
    <col min="9729" max="9729" width="37.5703125" style="54" customWidth="1"/>
    <col min="9730" max="9731" width="9" style="54" hidden="1" customWidth="1"/>
    <col min="9732" max="9732" width="10.5703125" style="54" customWidth="1"/>
    <col min="9733" max="9734" width="9" style="54" hidden="1" customWidth="1"/>
    <col min="9735" max="9735" width="11" style="54" customWidth="1"/>
    <col min="9736" max="9737" width="9" style="54" hidden="1" customWidth="1"/>
    <col min="9738" max="9738" width="11" style="54" customWidth="1"/>
    <col min="9739" max="9740" width="9" style="54" hidden="1" customWidth="1"/>
    <col min="9741" max="9741" width="11" style="54" customWidth="1"/>
    <col min="9742" max="9743" width="9" style="54" hidden="1" customWidth="1"/>
    <col min="9744" max="9744" width="11" style="54" customWidth="1"/>
    <col min="9745" max="9746" width="9" style="54" hidden="1" customWidth="1"/>
    <col min="9747" max="9747" width="11" style="54" customWidth="1"/>
    <col min="9748" max="9749" width="9" style="54" hidden="1" customWidth="1"/>
    <col min="9750" max="9750" width="10.7109375" style="54" customWidth="1"/>
    <col min="9751" max="9752" width="9" style="54" hidden="1" customWidth="1"/>
    <col min="9753" max="9753" width="11.140625" style="54" customWidth="1"/>
    <col min="9754" max="9755" width="9" style="54" hidden="1" customWidth="1"/>
    <col min="9756" max="9756" width="11.140625" style="54" customWidth="1"/>
    <col min="9757" max="9758" width="9" style="54" hidden="1" customWidth="1"/>
    <col min="9759" max="9759" width="11.5703125" style="54" customWidth="1"/>
    <col min="9760" max="9761" width="9" style="54" hidden="1" customWidth="1"/>
    <col min="9762" max="9762" width="10.5703125" style="54" customWidth="1"/>
    <col min="9763" max="9763" width="10.140625" style="54" customWidth="1"/>
    <col min="9764" max="9764" width="13.5703125" style="54" customWidth="1"/>
    <col min="9765" max="9765" width="10.5703125" style="54" customWidth="1"/>
    <col min="9766" max="9984" width="9.140625" style="54"/>
    <col min="9985" max="9985" width="37.5703125" style="54" customWidth="1"/>
    <col min="9986" max="9987" width="9" style="54" hidden="1" customWidth="1"/>
    <col min="9988" max="9988" width="10.5703125" style="54" customWidth="1"/>
    <col min="9989" max="9990" width="9" style="54" hidden="1" customWidth="1"/>
    <col min="9991" max="9991" width="11" style="54" customWidth="1"/>
    <col min="9992" max="9993" width="9" style="54" hidden="1" customWidth="1"/>
    <col min="9994" max="9994" width="11" style="54" customWidth="1"/>
    <col min="9995" max="9996" width="9" style="54" hidden="1" customWidth="1"/>
    <col min="9997" max="9997" width="11" style="54" customWidth="1"/>
    <col min="9998" max="9999" width="9" style="54" hidden="1" customWidth="1"/>
    <col min="10000" max="10000" width="11" style="54" customWidth="1"/>
    <col min="10001" max="10002" width="9" style="54" hidden="1" customWidth="1"/>
    <col min="10003" max="10003" width="11" style="54" customWidth="1"/>
    <col min="10004" max="10005" width="9" style="54" hidden="1" customWidth="1"/>
    <col min="10006" max="10006" width="10.7109375" style="54" customWidth="1"/>
    <col min="10007" max="10008" width="9" style="54" hidden="1" customWidth="1"/>
    <col min="10009" max="10009" width="11.140625" style="54" customWidth="1"/>
    <col min="10010" max="10011" width="9" style="54" hidden="1" customWidth="1"/>
    <col min="10012" max="10012" width="11.140625" style="54" customWidth="1"/>
    <col min="10013" max="10014" width="9" style="54" hidden="1" customWidth="1"/>
    <col min="10015" max="10015" width="11.5703125" style="54" customWidth="1"/>
    <col min="10016" max="10017" width="9" style="54" hidden="1" customWidth="1"/>
    <col min="10018" max="10018" width="10.5703125" style="54" customWidth="1"/>
    <col min="10019" max="10019" width="10.140625" style="54" customWidth="1"/>
    <col min="10020" max="10020" width="13.5703125" style="54" customWidth="1"/>
    <col min="10021" max="10021" width="10.5703125" style="54" customWidth="1"/>
    <col min="10022" max="10240" width="9.140625" style="54"/>
    <col min="10241" max="10241" width="37.5703125" style="54" customWidth="1"/>
    <col min="10242" max="10243" width="9" style="54" hidden="1" customWidth="1"/>
    <col min="10244" max="10244" width="10.5703125" style="54" customWidth="1"/>
    <col min="10245" max="10246" width="9" style="54" hidden="1" customWidth="1"/>
    <col min="10247" max="10247" width="11" style="54" customWidth="1"/>
    <col min="10248" max="10249" width="9" style="54" hidden="1" customWidth="1"/>
    <col min="10250" max="10250" width="11" style="54" customWidth="1"/>
    <col min="10251" max="10252" width="9" style="54" hidden="1" customWidth="1"/>
    <col min="10253" max="10253" width="11" style="54" customWidth="1"/>
    <col min="10254" max="10255" width="9" style="54" hidden="1" customWidth="1"/>
    <col min="10256" max="10256" width="11" style="54" customWidth="1"/>
    <col min="10257" max="10258" width="9" style="54" hidden="1" customWidth="1"/>
    <col min="10259" max="10259" width="11" style="54" customWidth="1"/>
    <col min="10260" max="10261" width="9" style="54" hidden="1" customWidth="1"/>
    <col min="10262" max="10262" width="10.7109375" style="54" customWidth="1"/>
    <col min="10263" max="10264" width="9" style="54" hidden="1" customWidth="1"/>
    <col min="10265" max="10265" width="11.140625" style="54" customWidth="1"/>
    <col min="10266" max="10267" width="9" style="54" hidden="1" customWidth="1"/>
    <col min="10268" max="10268" width="11.140625" style="54" customWidth="1"/>
    <col min="10269" max="10270" width="9" style="54" hidden="1" customWidth="1"/>
    <col min="10271" max="10271" width="11.5703125" style="54" customWidth="1"/>
    <col min="10272" max="10273" width="9" style="54" hidden="1" customWidth="1"/>
    <col min="10274" max="10274" width="10.5703125" style="54" customWidth="1"/>
    <col min="10275" max="10275" width="10.140625" style="54" customWidth="1"/>
    <col min="10276" max="10276" width="13.5703125" style="54" customWidth="1"/>
    <col min="10277" max="10277" width="10.5703125" style="54" customWidth="1"/>
    <col min="10278" max="10496" width="9.140625" style="54"/>
    <col min="10497" max="10497" width="37.5703125" style="54" customWidth="1"/>
    <col min="10498" max="10499" width="9" style="54" hidden="1" customWidth="1"/>
    <col min="10500" max="10500" width="10.5703125" style="54" customWidth="1"/>
    <col min="10501" max="10502" width="9" style="54" hidden="1" customWidth="1"/>
    <col min="10503" max="10503" width="11" style="54" customWidth="1"/>
    <col min="10504" max="10505" width="9" style="54" hidden="1" customWidth="1"/>
    <col min="10506" max="10506" width="11" style="54" customWidth="1"/>
    <col min="10507" max="10508" width="9" style="54" hidden="1" customWidth="1"/>
    <col min="10509" max="10509" width="11" style="54" customWidth="1"/>
    <col min="10510" max="10511" width="9" style="54" hidden="1" customWidth="1"/>
    <col min="10512" max="10512" width="11" style="54" customWidth="1"/>
    <col min="10513" max="10514" width="9" style="54" hidden="1" customWidth="1"/>
    <col min="10515" max="10515" width="11" style="54" customWidth="1"/>
    <col min="10516" max="10517" width="9" style="54" hidden="1" customWidth="1"/>
    <col min="10518" max="10518" width="10.7109375" style="54" customWidth="1"/>
    <col min="10519" max="10520" width="9" style="54" hidden="1" customWidth="1"/>
    <col min="10521" max="10521" width="11.140625" style="54" customWidth="1"/>
    <col min="10522" max="10523" width="9" style="54" hidden="1" customWidth="1"/>
    <col min="10524" max="10524" width="11.140625" style="54" customWidth="1"/>
    <col min="10525" max="10526" width="9" style="54" hidden="1" customWidth="1"/>
    <col min="10527" max="10527" width="11.5703125" style="54" customWidth="1"/>
    <col min="10528" max="10529" width="9" style="54" hidden="1" customWidth="1"/>
    <col min="10530" max="10530" width="10.5703125" style="54" customWidth="1"/>
    <col min="10531" max="10531" width="10.140625" style="54" customWidth="1"/>
    <col min="10532" max="10532" width="13.5703125" style="54" customWidth="1"/>
    <col min="10533" max="10533" width="10.5703125" style="54" customWidth="1"/>
    <col min="10534" max="10752" width="9.140625" style="54"/>
    <col min="10753" max="10753" width="37.5703125" style="54" customWidth="1"/>
    <col min="10754" max="10755" width="9" style="54" hidden="1" customWidth="1"/>
    <col min="10756" max="10756" width="10.5703125" style="54" customWidth="1"/>
    <col min="10757" max="10758" width="9" style="54" hidden="1" customWidth="1"/>
    <col min="10759" max="10759" width="11" style="54" customWidth="1"/>
    <col min="10760" max="10761" width="9" style="54" hidden="1" customWidth="1"/>
    <col min="10762" max="10762" width="11" style="54" customWidth="1"/>
    <col min="10763" max="10764" width="9" style="54" hidden="1" customWidth="1"/>
    <col min="10765" max="10765" width="11" style="54" customWidth="1"/>
    <col min="10766" max="10767" width="9" style="54" hidden="1" customWidth="1"/>
    <col min="10768" max="10768" width="11" style="54" customWidth="1"/>
    <col min="10769" max="10770" width="9" style="54" hidden="1" customWidth="1"/>
    <col min="10771" max="10771" width="11" style="54" customWidth="1"/>
    <col min="10772" max="10773" width="9" style="54" hidden="1" customWidth="1"/>
    <col min="10774" max="10774" width="10.7109375" style="54" customWidth="1"/>
    <col min="10775" max="10776" width="9" style="54" hidden="1" customWidth="1"/>
    <col min="10777" max="10777" width="11.140625" style="54" customWidth="1"/>
    <col min="10778" max="10779" width="9" style="54" hidden="1" customWidth="1"/>
    <col min="10780" max="10780" width="11.140625" style="54" customWidth="1"/>
    <col min="10781" max="10782" width="9" style="54" hidden="1" customWidth="1"/>
    <col min="10783" max="10783" width="11.5703125" style="54" customWidth="1"/>
    <col min="10784" max="10785" width="9" style="54" hidden="1" customWidth="1"/>
    <col min="10786" max="10786" width="10.5703125" style="54" customWidth="1"/>
    <col min="10787" max="10787" width="10.140625" style="54" customWidth="1"/>
    <col min="10788" max="10788" width="13.5703125" style="54" customWidth="1"/>
    <col min="10789" max="10789" width="10.5703125" style="54" customWidth="1"/>
    <col min="10790" max="11008" width="9.140625" style="54"/>
    <col min="11009" max="11009" width="37.5703125" style="54" customWidth="1"/>
    <col min="11010" max="11011" width="9" style="54" hidden="1" customWidth="1"/>
    <col min="11012" max="11012" width="10.5703125" style="54" customWidth="1"/>
    <col min="11013" max="11014" width="9" style="54" hidden="1" customWidth="1"/>
    <col min="11015" max="11015" width="11" style="54" customWidth="1"/>
    <col min="11016" max="11017" width="9" style="54" hidden="1" customWidth="1"/>
    <col min="11018" max="11018" width="11" style="54" customWidth="1"/>
    <col min="11019" max="11020" width="9" style="54" hidden="1" customWidth="1"/>
    <col min="11021" max="11021" width="11" style="54" customWidth="1"/>
    <col min="11022" max="11023" width="9" style="54" hidden="1" customWidth="1"/>
    <col min="11024" max="11024" width="11" style="54" customWidth="1"/>
    <col min="11025" max="11026" width="9" style="54" hidden="1" customWidth="1"/>
    <col min="11027" max="11027" width="11" style="54" customWidth="1"/>
    <col min="11028" max="11029" width="9" style="54" hidden="1" customWidth="1"/>
    <col min="11030" max="11030" width="10.7109375" style="54" customWidth="1"/>
    <col min="11031" max="11032" width="9" style="54" hidden="1" customWidth="1"/>
    <col min="11033" max="11033" width="11.140625" style="54" customWidth="1"/>
    <col min="11034" max="11035" width="9" style="54" hidden="1" customWidth="1"/>
    <col min="11036" max="11036" width="11.140625" style="54" customWidth="1"/>
    <col min="11037" max="11038" width="9" style="54" hidden="1" customWidth="1"/>
    <col min="11039" max="11039" width="11.5703125" style="54" customWidth="1"/>
    <col min="11040" max="11041" width="9" style="54" hidden="1" customWidth="1"/>
    <col min="11042" max="11042" width="10.5703125" style="54" customWidth="1"/>
    <col min="11043" max="11043" width="10.140625" style="54" customWidth="1"/>
    <col min="11044" max="11044" width="13.5703125" style="54" customWidth="1"/>
    <col min="11045" max="11045" width="10.5703125" style="54" customWidth="1"/>
    <col min="11046" max="11264" width="9.140625" style="54"/>
    <col min="11265" max="11265" width="37.5703125" style="54" customWidth="1"/>
    <col min="11266" max="11267" width="9" style="54" hidden="1" customWidth="1"/>
    <col min="11268" max="11268" width="10.5703125" style="54" customWidth="1"/>
    <col min="11269" max="11270" width="9" style="54" hidden="1" customWidth="1"/>
    <col min="11271" max="11271" width="11" style="54" customWidth="1"/>
    <col min="11272" max="11273" width="9" style="54" hidden="1" customWidth="1"/>
    <col min="11274" max="11274" width="11" style="54" customWidth="1"/>
    <col min="11275" max="11276" width="9" style="54" hidden="1" customWidth="1"/>
    <col min="11277" max="11277" width="11" style="54" customWidth="1"/>
    <col min="11278" max="11279" width="9" style="54" hidden="1" customWidth="1"/>
    <col min="11280" max="11280" width="11" style="54" customWidth="1"/>
    <col min="11281" max="11282" width="9" style="54" hidden="1" customWidth="1"/>
    <col min="11283" max="11283" width="11" style="54" customWidth="1"/>
    <col min="11284" max="11285" width="9" style="54" hidden="1" customWidth="1"/>
    <col min="11286" max="11286" width="10.7109375" style="54" customWidth="1"/>
    <col min="11287" max="11288" width="9" style="54" hidden="1" customWidth="1"/>
    <col min="11289" max="11289" width="11.140625" style="54" customWidth="1"/>
    <col min="11290" max="11291" width="9" style="54" hidden="1" customWidth="1"/>
    <col min="11292" max="11292" width="11.140625" style="54" customWidth="1"/>
    <col min="11293" max="11294" width="9" style="54" hidden="1" customWidth="1"/>
    <col min="11295" max="11295" width="11.5703125" style="54" customWidth="1"/>
    <col min="11296" max="11297" width="9" style="54" hidden="1" customWidth="1"/>
    <col min="11298" max="11298" width="10.5703125" style="54" customWidth="1"/>
    <col min="11299" max="11299" width="10.140625" style="54" customWidth="1"/>
    <col min="11300" max="11300" width="13.5703125" style="54" customWidth="1"/>
    <col min="11301" max="11301" width="10.5703125" style="54" customWidth="1"/>
    <col min="11302" max="11520" width="9.140625" style="54"/>
    <col min="11521" max="11521" width="37.5703125" style="54" customWidth="1"/>
    <col min="11522" max="11523" width="9" style="54" hidden="1" customWidth="1"/>
    <col min="11524" max="11524" width="10.5703125" style="54" customWidth="1"/>
    <col min="11525" max="11526" width="9" style="54" hidden="1" customWidth="1"/>
    <col min="11527" max="11527" width="11" style="54" customWidth="1"/>
    <col min="11528" max="11529" width="9" style="54" hidden="1" customWidth="1"/>
    <col min="11530" max="11530" width="11" style="54" customWidth="1"/>
    <col min="11531" max="11532" width="9" style="54" hidden="1" customWidth="1"/>
    <col min="11533" max="11533" width="11" style="54" customWidth="1"/>
    <col min="11534" max="11535" width="9" style="54" hidden="1" customWidth="1"/>
    <col min="11536" max="11536" width="11" style="54" customWidth="1"/>
    <col min="11537" max="11538" width="9" style="54" hidden="1" customWidth="1"/>
    <col min="11539" max="11539" width="11" style="54" customWidth="1"/>
    <col min="11540" max="11541" width="9" style="54" hidden="1" customWidth="1"/>
    <col min="11542" max="11542" width="10.7109375" style="54" customWidth="1"/>
    <col min="11543" max="11544" width="9" style="54" hidden="1" customWidth="1"/>
    <col min="11545" max="11545" width="11.140625" style="54" customWidth="1"/>
    <col min="11546" max="11547" width="9" style="54" hidden="1" customWidth="1"/>
    <col min="11548" max="11548" width="11.140625" style="54" customWidth="1"/>
    <col min="11549" max="11550" width="9" style="54" hidden="1" customWidth="1"/>
    <col min="11551" max="11551" width="11.5703125" style="54" customWidth="1"/>
    <col min="11552" max="11553" width="9" style="54" hidden="1" customWidth="1"/>
    <col min="11554" max="11554" width="10.5703125" style="54" customWidth="1"/>
    <col min="11555" max="11555" width="10.140625" style="54" customWidth="1"/>
    <col min="11556" max="11556" width="13.5703125" style="54" customWidth="1"/>
    <col min="11557" max="11557" width="10.5703125" style="54" customWidth="1"/>
    <col min="11558" max="11776" width="9.140625" style="54"/>
    <col min="11777" max="11777" width="37.5703125" style="54" customWidth="1"/>
    <col min="11778" max="11779" width="9" style="54" hidden="1" customWidth="1"/>
    <col min="11780" max="11780" width="10.5703125" style="54" customWidth="1"/>
    <col min="11781" max="11782" width="9" style="54" hidden="1" customWidth="1"/>
    <col min="11783" max="11783" width="11" style="54" customWidth="1"/>
    <col min="11784" max="11785" width="9" style="54" hidden="1" customWidth="1"/>
    <col min="11786" max="11786" width="11" style="54" customWidth="1"/>
    <col min="11787" max="11788" width="9" style="54" hidden="1" customWidth="1"/>
    <col min="11789" max="11789" width="11" style="54" customWidth="1"/>
    <col min="11790" max="11791" width="9" style="54" hidden="1" customWidth="1"/>
    <col min="11792" max="11792" width="11" style="54" customWidth="1"/>
    <col min="11793" max="11794" width="9" style="54" hidden="1" customWidth="1"/>
    <col min="11795" max="11795" width="11" style="54" customWidth="1"/>
    <col min="11796" max="11797" width="9" style="54" hidden="1" customWidth="1"/>
    <col min="11798" max="11798" width="10.7109375" style="54" customWidth="1"/>
    <col min="11799" max="11800" width="9" style="54" hidden="1" customWidth="1"/>
    <col min="11801" max="11801" width="11.140625" style="54" customWidth="1"/>
    <col min="11802" max="11803" width="9" style="54" hidden="1" customWidth="1"/>
    <col min="11804" max="11804" width="11.140625" style="54" customWidth="1"/>
    <col min="11805" max="11806" width="9" style="54" hidden="1" customWidth="1"/>
    <col min="11807" max="11807" width="11.5703125" style="54" customWidth="1"/>
    <col min="11808" max="11809" width="9" style="54" hidden="1" customWidth="1"/>
    <col min="11810" max="11810" width="10.5703125" style="54" customWidth="1"/>
    <col min="11811" max="11811" width="10.140625" style="54" customWidth="1"/>
    <col min="11812" max="11812" width="13.5703125" style="54" customWidth="1"/>
    <col min="11813" max="11813" width="10.5703125" style="54" customWidth="1"/>
    <col min="11814" max="12032" width="9.140625" style="54"/>
    <col min="12033" max="12033" width="37.5703125" style="54" customWidth="1"/>
    <col min="12034" max="12035" width="9" style="54" hidden="1" customWidth="1"/>
    <col min="12036" max="12036" width="10.5703125" style="54" customWidth="1"/>
    <col min="12037" max="12038" width="9" style="54" hidden="1" customWidth="1"/>
    <col min="12039" max="12039" width="11" style="54" customWidth="1"/>
    <col min="12040" max="12041" width="9" style="54" hidden="1" customWidth="1"/>
    <col min="12042" max="12042" width="11" style="54" customWidth="1"/>
    <col min="12043" max="12044" width="9" style="54" hidden="1" customWidth="1"/>
    <col min="12045" max="12045" width="11" style="54" customWidth="1"/>
    <col min="12046" max="12047" width="9" style="54" hidden="1" customWidth="1"/>
    <col min="12048" max="12048" width="11" style="54" customWidth="1"/>
    <col min="12049" max="12050" width="9" style="54" hidden="1" customWidth="1"/>
    <col min="12051" max="12051" width="11" style="54" customWidth="1"/>
    <col min="12052" max="12053" width="9" style="54" hidden="1" customWidth="1"/>
    <col min="12054" max="12054" width="10.7109375" style="54" customWidth="1"/>
    <col min="12055" max="12056" width="9" style="54" hidden="1" customWidth="1"/>
    <col min="12057" max="12057" width="11.140625" style="54" customWidth="1"/>
    <col min="12058" max="12059" width="9" style="54" hidden="1" customWidth="1"/>
    <col min="12060" max="12060" width="11.140625" style="54" customWidth="1"/>
    <col min="12061" max="12062" width="9" style="54" hidden="1" customWidth="1"/>
    <col min="12063" max="12063" width="11.5703125" style="54" customWidth="1"/>
    <col min="12064" max="12065" width="9" style="54" hidden="1" customWidth="1"/>
    <col min="12066" max="12066" width="10.5703125" style="54" customWidth="1"/>
    <col min="12067" max="12067" width="10.140625" style="54" customWidth="1"/>
    <col min="12068" max="12068" width="13.5703125" style="54" customWidth="1"/>
    <col min="12069" max="12069" width="10.5703125" style="54" customWidth="1"/>
    <col min="12070" max="12288" width="9.140625" style="54"/>
    <col min="12289" max="12289" width="37.5703125" style="54" customWidth="1"/>
    <col min="12290" max="12291" width="9" style="54" hidden="1" customWidth="1"/>
    <col min="12292" max="12292" width="10.5703125" style="54" customWidth="1"/>
    <col min="12293" max="12294" width="9" style="54" hidden="1" customWidth="1"/>
    <col min="12295" max="12295" width="11" style="54" customWidth="1"/>
    <col min="12296" max="12297" width="9" style="54" hidden="1" customWidth="1"/>
    <col min="12298" max="12298" width="11" style="54" customWidth="1"/>
    <col min="12299" max="12300" width="9" style="54" hidden="1" customWidth="1"/>
    <col min="12301" max="12301" width="11" style="54" customWidth="1"/>
    <col min="12302" max="12303" width="9" style="54" hidden="1" customWidth="1"/>
    <col min="12304" max="12304" width="11" style="54" customWidth="1"/>
    <col min="12305" max="12306" width="9" style="54" hidden="1" customWidth="1"/>
    <col min="12307" max="12307" width="11" style="54" customWidth="1"/>
    <col min="12308" max="12309" width="9" style="54" hidden="1" customWidth="1"/>
    <col min="12310" max="12310" width="10.7109375" style="54" customWidth="1"/>
    <col min="12311" max="12312" width="9" style="54" hidden="1" customWidth="1"/>
    <col min="12313" max="12313" width="11.140625" style="54" customWidth="1"/>
    <col min="12314" max="12315" width="9" style="54" hidden="1" customWidth="1"/>
    <col min="12316" max="12316" width="11.140625" style="54" customWidth="1"/>
    <col min="12317" max="12318" width="9" style="54" hidden="1" customWidth="1"/>
    <col min="12319" max="12319" width="11.5703125" style="54" customWidth="1"/>
    <col min="12320" max="12321" width="9" style="54" hidden="1" customWidth="1"/>
    <col min="12322" max="12322" width="10.5703125" style="54" customWidth="1"/>
    <col min="12323" max="12323" width="10.140625" style="54" customWidth="1"/>
    <col min="12324" max="12324" width="13.5703125" style="54" customWidth="1"/>
    <col min="12325" max="12325" width="10.5703125" style="54" customWidth="1"/>
    <col min="12326" max="12544" width="9.140625" style="54"/>
    <col min="12545" max="12545" width="37.5703125" style="54" customWidth="1"/>
    <col min="12546" max="12547" width="9" style="54" hidden="1" customWidth="1"/>
    <col min="12548" max="12548" width="10.5703125" style="54" customWidth="1"/>
    <col min="12549" max="12550" width="9" style="54" hidden="1" customWidth="1"/>
    <col min="12551" max="12551" width="11" style="54" customWidth="1"/>
    <col min="12552" max="12553" width="9" style="54" hidden="1" customWidth="1"/>
    <col min="12554" max="12554" width="11" style="54" customWidth="1"/>
    <col min="12555" max="12556" width="9" style="54" hidden="1" customWidth="1"/>
    <col min="12557" max="12557" width="11" style="54" customWidth="1"/>
    <col min="12558" max="12559" width="9" style="54" hidden="1" customWidth="1"/>
    <col min="12560" max="12560" width="11" style="54" customWidth="1"/>
    <col min="12561" max="12562" width="9" style="54" hidden="1" customWidth="1"/>
    <col min="12563" max="12563" width="11" style="54" customWidth="1"/>
    <col min="12564" max="12565" width="9" style="54" hidden="1" customWidth="1"/>
    <col min="12566" max="12566" width="10.7109375" style="54" customWidth="1"/>
    <col min="12567" max="12568" width="9" style="54" hidden="1" customWidth="1"/>
    <col min="12569" max="12569" width="11.140625" style="54" customWidth="1"/>
    <col min="12570" max="12571" width="9" style="54" hidden="1" customWidth="1"/>
    <col min="12572" max="12572" width="11.140625" style="54" customWidth="1"/>
    <col min="12573" max="12574" width="9" style="54" hidden="1" customWidth="1"/>
    <col min="12575" max="12575" width="11.5703125" style="54" customWidth="1"/>
    <col min="12576" max="12577" width="9" style="54" hidden="1" customWidth="1"/>
    <col min="12578" max="12578" width="10.5703125" style="54" customWidth="1"/>
    <col min="12579" max="12579" width="10.140625" style="54" customWidth="1"/>
    <col min="12580" max="12580" width="13.5703125" style="54" customWidth="1"/>
    <col min="12581" max="12581" width="10.5703125" style="54" customWidth="1"/>
    <col min="12582" max="12800" width="9.140625" style="54"/>
    <col min="12801" max="12801" width="37.5703125" style="54" customWidth="1"/>
    <col min="12802" max="12803" width="9" style="54" hidden="1" customWidth="1"/>
    <col min="12804" max="12804" width="10.5703125" style="54" customWidth="1"/>
    <col min="12805" max="12806" width="9" style="54" hidden="1" customWidth="1"/>
    <col min="12807" max="12807" width="11" style="54" customWidth="1"/>
    <col min="12808" max="12809" width="9" style="54" hidden="1" customWidth="1"/>
    <col min="12810" max="12810" width="11" style="54" customWidth="1"/>
    <col min="12811" max="12812" width="9" style="54" hidden="1" customWidth="1"/>
    <col min="12813" max="12813" width="11" style="54" customWidth="1"/>
    <col min="12814" max="12815" width="9" style="54" hidden="1" customWidth="1"/>
    <col min="12816" max="12816" width="11" style="54" customWidth="1"/>
    <col min="12817" max="12818" width="9" style="54" hidden="1" customWidth="1"/>
    <col min="12819" max="12819" width="11" style="54" customWidth="1"/>
    <col min="12820" max="12821" width="9" style="54" hidden="1" customWidth="1"/>
    <col min="12822" max="12822" width="10.7109375" style="54" customWidth="1"/>
    <col min="12823" max="12824" width="9" style="54" hidden="1" customWidth="1"/>
    <col min="12825" max="12825" width="11.140625" style="54" customWidth="1"/>
    <col min="12826" max="12827" width="9" style="54" hidden="1" customWidth="1"/>
    <col min="12828" max="12828" width="11.140625" style="54" customWidth="1"/>
    <col min="12829" max="12830" width="9" style="54" hidden="1" customWidth="1"/>
    <col min="12831" max="12831" width="11.5703125" style="54" customWidth="1"/>
    <col min="12832" max="12833" width="9" style="54" hidden="1" customWidth="1"/>
    <col min="12834" max="12834" width="10.5703125" style="54" customWidth="1"/>
    <col min="12835" max="12835" width="10.140625" style="54" customWidth="1"/>
    <col min="12836" max="12836" width="13.5703125" style="54" customWidth="1"/>
    <col min="12837" max="12837" width="10.5703125" style="54" customWidth="1"/>
    <col min="12838" max="13056" width="9.140625" style="54"/>
    <col min="13057" max="13057" width="37.5703125" style="54" customWidth="1"/>
    <col min="13058" max="13059" width="9" style="54" hidden="1" customWidth="1"/>
    <col min="13060" max="13060" width="10.5703125" style="54" customWidth="1"/>
    <col min="13061" max="13062" width="9" style="54" hidden="1" customWidth="1"/>
    <col min="13063" max="13063" width="11" style="54" customWidth="1"/>
    <col min="13064" max="13065" width="9" style="54" hidden="1" customWidth="1"/>
    <col min="13066" max="13066" width="11" style="54" customWidth="1"/>
    <col min="13067" max="13068" width="9" style="54" hidden="1" customWidth="1"/>
    <col min="13069" max="13069" width="11" style="54" customWidth="1"/>
    <col min="13070" max="13071" width="9" style="54" hidden="1" customWidth="1"/>
    <col min="13072" max="13072" width="11" style="54" customWidth="1"/>
    <col min="13073" max="13074" width="9" style="54" hidden="1" customWidth="1"/>
    <col min="13075" max="13075" width="11" style="54" customWidth="1"/>
    <col min="13076" max="13077" width="9" style="54" hidden="1" customWidth="1"/>
    <col min="13078" max="13078" width="10.7109375" style="54" customWidth="1"/>
    <col min="13079" max="13080" width="9" style="54" hidden="1" customWidth="1"/>
    <col min="13081" max="13081" width="11.140625" style="54" customWidth="1"/>
    <col min="13082" max="13083" width="9" style="54" hidden="1" customWidth="1"/>
    <col min="13084" max="13084" width="11.140625" style="54" customWidth="1"/>
    <col min="13085" max="13086" width="9" style="54" hidden="1" customWidth="1"/>
    <col min="13087" max="13087" width="11.5703125" style="54" customWidth="1"/>
    <col min="13088" max="13089" width="9" style="54" hidden="1" customWidth="1"/>
    <col min="13090" max="13090" width="10.5703125" style="54" customWidth="1"/>
    <col min="13091" max="13091" width="10.140625" style="54" customWidth="1"/>
    <col min="13092" max="13092" width="13.5703125" style="54" customWidth="1"/>
    <col min="13093" max="13093" width="10.5703125" style="54" customWidth="1"/>
    <col min="13094" max="13312" width="9.140625" style="54"/>
    <col min="13313" max="13313" width="37.5703125" style="54" customWidth="1"/>
    <col min="13314" max="13315" width="9" style="54" hidden="1" customWidth="1"/>
    <col min="13316" max="13316" width="10.5703125" style="54" customWidth="1"/>
    <col min="13317" max="13318" width="9" style="54" hidden="1" customWidth="1"/>
    <col min="13319" max="13319" width="11" style="54" customWidth="1"/>
    <col min="13320" max="13321" width="9" style="54" hidden="1" customWidth="1"/>
    <col min="13322" max="13322" width="11" style="54" customWidth="1"/>
    <col min="13323" max="13324" width="9" style="54" hidden="1" customWidth="1"/>
    <col min="13325" max="13325" width="11" style="54" customWidth="1"/>
    <col min="13326" max="13327" width="9" style="54" hidden="1" customWidth="1"/>
    <col min="13328" max="13328" width="11" style="54" customWidth="1"/>
    <col min="13329" max="13330" width="9" style="54" hidden="1" customWidth="1"/>
    <col min="13331" max="13331" width="11" style="54" customWidth="1"/>
    <col min="13332" max="13333" width="9" style="54" hidden="1" customWidth="1"/>
    <col min="13334" max="13334" width="10.7109375" style="54" customWidth="1"/>
    <col min="13335" max="13336" width="9" style="54" hidden="1" customWidth="1"/>
    <col min="13337" max="13337" width="11.140625" style="54" customWidth="1"/>
    <col min="13338" max="13339" width="9" style="54" hidden="1" customWidth="1"/>
    <col min="13340" max="13340" width="11.140625" style="54" customWidth="1"/>
    <col min="13341" max="13342" width="9" style="54" hidden="1" customWidth="1"/>
    <col min="13343" max="13343" width="11.5703125" style="54" customWidth="1"/>
    <col min="13344" max="13345" width="9" style="54" hidden="1" customWidth="1"/>
    <col min="13346" max="13346" width="10.5703125" style="54" customWidth="1"/>
    <col min="13347" max="13347" width="10.140625" style="54" customWidth="1"/>
    <col min="13348" max="13348" width="13.5703125" style="54" customWidth="1"/>
    <col min="13349" max="13349" width="10.5703125" style="54" customWidth="1"/>
    <col min="13350" max="13568" width="9.140625" style="54"/>
    <col min="13569" max="13569" width="37.5703125" style="54" customWidth="1"/>
    <col min="13570" max="13571" width="9" style="54" hidden="1" customWidth="1"/>
    <col min="13572" max="13572" width="10.5703125" style="54" customWidth="1"/>
    <col min="13573" max="13574" width="9" style="54" hidden="1" customWidth="1"/>
    <col min="13575" max="13575" width="11" style="54" customWidth="1"/>
    <col min="13576" max="13577" width="9" style="54" hidden="1" customWidth="1"/>
    <col min="13578" max="13578" width="11" style="54" customWidth="1"/>
    <col min="13579" max="13580" width="9" style="54" hidden="1" customWidth="1"/>
    <col min="13581" max="13581" width="11" style="54" customWidth="1"/>
    <col min="13582" max="13583" width="9" style="54" hidden="1" customWidth="1"/>
    <col min="13584" max="13584" width="11" style="54" customWidth="1"/>
    <col min="13585" max="13586" width="9" style="54" hidden="1" customWidth="1"/>
    <col min="13587" max="13587" width="11" style="54" customWidth="1"/>
    <col min="13588" max="13589" width="9" style="54" hidden="1" customWidth="1"/>
    <col min="13590" max="13590" width="10.7109375" style="54" customWidth="1"/>
    <col min="13591" max="13592" width="9" style="54" hidden="1" customWidth="1"/>
    <col min="13593" max="13593" width="11.140625" style="54" customWidth="1"/>
    <col min="13594" max="13595" width="9" style="54" hidden="1" customWidth="1"/>
    <col min="13596" max="13596" width="11.140625" style="54" customWidth="1"/>
    <col min="13597" max="13598" width="9" style="54" hidden="1" customWidth="1"/>
    <col min="13599" max="13599" width="11.5703125" style="54" customWidth="1"/>
    <col min="13600" max="13601" width="9" style="54" hidden="1" customWidth="1"/>
    <col min="13602" max="13602" width="10.5703125" style="54" customWidth="1"/>
    <col min="13603" max="13603" width="10.140625" style="54" customWidth="1"/>
    <col min="13604" max="13604" width="13.5703125" style="54" customWidth="1"/>
    <col min="13605" max="13605" width="10.5703125" style="54" customWidth="1"/>
    <col min="13606" max="13824" width="9.140625" style="54"/>
    <col min="13825" max="13825" width="37.5703125" style="54" customWidth="1"/>
    <col min="13826" max="13827" width="9" style="54" hidden="1" customWidth="1"/>
    <col min="13828" max="13828" width="10.5703125" style="54" customWidth="1"/>
    <col min="13829" max="13830" width="9" style="54" hidden="1" customWidth="1"/>
    <col min="13831" max="13831" width="11" style="54" customWidth="1"/>
    <col min="13832" max="13833" width="9" style="54" hidden="1" customWidth="1"/>
    <col min="13834" max="13834" width="11" style="54" customWidth="1"/>
    <col min="13835" max="13836" width="9" style="54" hidden="1" customWidth="1"/>
    <col min="13837" max="13837" width="11" style="54" customWidth="1"/>
    <col min="13838" max="13839" width="9" style="54" hidden="1" customWidth="1"/>
    <col min="13840" max="13840" width="11" style="54" customWidth="1"/>
    <col min="13841" max="13842" width="9" style="54" hidden="1" customWidth="1"/>
    <col min="13843" max="13843" width="11" style="54" customWidth="1"/>
    <col min="13844" max="13845" width="9" style="54" hidden="1" customWidth="1"/>
    <col min="13846" max="13846" width="10.7109375" style="54" customWidth="1"/>
    <col min="13847" max="13848" width="9" style="54" hidden="1" customWidth="1"/>
    <col min="13849" max="13849" width="11.140625" style="54" customWidth="1"/>
    <col min="13850" max="13851" width="9" style="54" hidden="1" customWidth="1"/>
    <col min="13852" max="13852" width="11.140625" style="54" customWidth="1"/>
    <col min="13853" max="13854" width="9" style="54" hidden="1" customWidth="1"/>
    <col min="13855" max="13855" width="11.5703125" style="54" customWidth="1"/>
    <col min="13856" max="13857" width="9" style="54" hidden="1" customWidth="1"/>
    <col min="13858" max="13858" width="10.5703125" style="54" customWidth="1"/>
    <col min="13859" max="13859" width="10.140625" style="54" customWidth="1"/>
    <col min="13860" max="13860" width="13.5703125" style="54" customWidth="1"/>
    <col min="13861" max="13861" width="10.5703125" style="54" customWidth="1"/>
    <col min="13862" max="14080" width="9.140625" style="54"/>
    <col min="14081" max="14081" width="37.5703125" style="54" customWidth="1"/>
    <col min="14082" max="14083" width="9" style="54" hidden="1" customWidth="1"/>
    <col min="14084" max="14084" width="10.5703125" style="54" customWidth="1"/>
    <col min="14085" max="14086" width="9" style="54" hidden="1" customWidth="1"/>
    <col min="14087" max="14087" width="11" style="54" customWidth="1"/>
    <col min="14088" max="14089" width="9" style="54" hidden="1" customWidth="1"/>
    <col min="14090" max="14090" width="11" style="54" customWidth="1"/>
    <col min="14091" max="14092" width="9" style="54" hidden="1" customWidth="1"/>
    <col min="14093" max="14093" width="11" style="54" customWidth="1"/>
    <col min="14094" max="14095" width="9" style="54" hidden="1" customWidth="1"/>
    <col min="14096" max="14096" width="11" style="54" customWidth="1"/>
    <col min="14097" max="14098" width="9" style="54" hidden="1" customWidth="1"/>
    <col min="14099" max="14099" width="11" style="54" customWidth="1"/>
    <col min="14100" max="14101" width="9" style="54" hidden="1" customWidth="1"/>
    <col min="14102" max="14102" width="10.7109375" style="54" customWidth="1"/>
    <col min="14103" max="14104" width="9" style="54" hidden="1" customWidth="1"/>
    <col min="14105" max="14105" width="11.140625" style="54" customWidth="1"/>
    <col min="14106" max="14107" width="9" style="54" hidden="1" customWidth="1"/>
    <col min="14108" max="14108" width="11.140625" style="54" customWidth="1"/>
    <col min="14109" max="14110" width="9" style="54" hidden="1" customWidth="1"/>
    <col min="14111" max="14111" width="11.5703125" style="54" customWidth="1"/>
    <col min="14112" max="14113" width="9" style="54" hidden="1" customWidth="1"/>
    <col min="14114" max="14114" width="10.5703125" style="54" customWidth="1"/>
    <col min="14115" max="14115" width="10.140625" style="54" customWidth="1"/>
    <col min="14116" max="14116" width="13.5703125" style="54" customWidth="1"/>
    <col min="14117" max="14117" width="10.5703125" style="54" customWidth="1"/>
    <col min="14118" max="14336" width="9.140625" style="54"/>
    <col min="14337" max="14337" width="37.5703125" style="54" customWidth="1"/>
    <col min="14338" max="14339" width="9" style="54" hidden="1" customWidth="1"/>
    <col min="14340" max="14340" width="10.5703125" style="54" customWidth="1"/>
    <col min="14341" max="14342" width="9" style="54" hidden="1" customWidth="1"/>
    <col min="14343" max="14343" width="11" style="54" customWidth="1"/>
    <col min="14344" max="14345" width="9" style="54" hidden="1" customWidth="1"/>
    <col min="14346" max="14346" width="11" style="54" customWidth="1"/>
    <col min="14347" max="14348" width="9" style="54" hidden="1" customWidth="1"/>
    <col min="14349" max="14349" width="11" style="54" customWidth="1"/>
    <col min="14350" max="14351" width="9" style="54" hidden="1" customWidth="1"/>
    <col min="14352" max="14352" width="11" style="54" customWidth="1"/>
    <col min="14353" max="14354" width="9" style="54" hidden="1" customWidth="1"/>
    <col min="14355" max="14355" width="11" style="54" customWidth="1"/>
    <col min="14356" max="14357" width="9" style="54" hidden="1" customWidth="1"/>
    <col min="14358" max="14358" width="10.7109375" style="54" customWidth="1"/>
    <col min="14359" max="14360" width="9" style="54" hidden="1" customWidth="1"/>
    <col min="14361" max="14361" width="11.140625" style="54" customWidth="1"/>
    <col min="14362" max="14363" width="9" style="54" hidden="1" customWidth="1"/>
    <col min="14364" max="14364" width="11.140625" style="54" customWidth="1"/>
    <col min="14365" max="14366" width="9" style="54" hidden="1" customWidth="1"/>
    <col min="14367" max="14367" width="11.5703125" style="54" customWidth="1"/>
    <col min="14368" max="14369" width="9" style="54" hidden="1" customWidth="1"/>
    <col min="14370" max="14370" width="10.5703125" style="54" customWidth="1"/>
    <col min="14371" max="14371" width="10.140625" style="54" customWidth="1"/>
    <col min="14372" max="14372" width="13.5703125" style="54" customWidth="1"/>
    <col min="14373" max="14373" width="10.5703125" style="54" customWidth="1"/>
    <col min="14374" max="14592" width="9.140625" style="54"/>
    <col min="14593" max="14593" width="37.5703125" style="54" customWidth="1"/>
    <col min="14594" max="14595" width="9" style="54" hidden="1" customWidth="1"/>
    <col min="14596" max="14596" width="10.5703125" style="54" customWidth="1"/>
    <col min="14597" max="14598" width="9" style="54" hidden="1" customWidth="1"/>
    <col min="14599" max="14599" width="11" style="54" customWidth="1"/>
    <col min="14600" max="14601" width="9" style="54" hidden="1" customWidth="1"/>
    <col min="14602" max="14602" width="11" style="54" customWidth="1"/>
    <col min="14603" max="14604" width="9" style="54" hidden="1" customWidth="1"/>
    <col min="14605" max="14605" width="11" style="54" customWidth="1"/>
    <col min="14606" max="14607" width="9" style="54" hidden="1" customWidth="1"/>
    <col min="14608" max="14608" width="11" style="54" customWidth="1"/>
    <col min="14609" max="14610" width="9" style="54" hidden="1" customWidth="1"/>
    <col min="14611" max="14611" width="11" style="54" customWidth="1"/>
    <col min="14612" max="14613" width="9" style="54" hidden="1" customWidth="1"/>
    <col min="14614" max="14614" width="10.7109375" style="54" customWidth="1"/>
    <col min="14615" max="14616" width="9" style="54" hidden="1" customWidth="1"/>
    <col min="14617" max="14617" width="11.140625" style="54" customWidth="1"/>
    <col min="14618" max="14619" width="9" style="54" hidden="1" customWidth="1"/>
    <col min="14620" max="14620" width="11.140625" style="54" customWidth="1"/>
    <col min="14621" max="14622" width="9" style="54" hidden="1" customWidth="1"/>
    <col min="14623" max="14623" width="11.5703125" style="54" customWidth="1"/>
    <col min="14624" max="14625" width="9" style="54" hidden="1" customWidth="1"/>
    <col min="14626" max="14626" width="10.5703125" style="54" customWidth="1"/>
    <col min="14627" max="14627" width="10.140625" style="54" customWidth="1"/>
    <col min="14628" max="14628" width="13.5703125" style="54" customWidth="1"/>
    <col min="14629" max="14629" width="10.5703125" style="54" customWidth="1"/>
    <col min="14630" max="14848" width="9.140625" style="54"/>
    <col min="14849" max="14849" width="37.5703125" style="54" customWidth="1"/>
    <col min="14850" max="14851" width="9" style="54" hidden="1" customWidth="1"/>
    <col min="14852" max="14852" width="10.5703125" style="54" customWidth="1"/>
    <col min="14853" max="14854" width="9" style="54" hidden="1" customWidth="1"/>
    <col min="14855" max="14855" width="11" style="54" customWidth="1"/>
    <col min="14856" max="14857" width="9" style="54" hidden="1" customWidth="1"/>
    <col min="14858" max="14858" width="11" style="54" customWidth="1"/>
    <col min="14859" max="14860" width="9" style="54" hidden="1" customWidth="1"/>
    <col min="14861" max="14861" width="11" style="54" customWidth="1"/>
    <col min="14862" max="14863" width="9" style="54" hidden="1" customWidth="1"/>
    <col min="14864" max="14864" width="11" style="54" customWidth="1"/>
    <col min="14865" max="14866" width="9" style="54" hidden="1" customWidth="1"/>
    <col min="14867" max="14867" width="11" style="54" customWidth="1"/>
    <col min="14868" max="14869" width="9" style="54" hidden="1" customWidth="1"/>
    <col min="14870" max="14870" width="10.7109375" style="54" customWidth="1"/>
    <col min="14871" max="14872" width="9" style="54" hidden="1" customWidth="1"/>
    <col min="14873" max="14873" width="11.140625" style="54" customWidth="1"/>
    <col min="14874" max="14875" width="9" style="54" hidden="1" customWidth="1"/>
    <col min="14876" max="14876" width="11.140625" style="54" customWidth="1"/>
    <col min="14877" max="14878" width="9" style="54" hidden="1" customWidth="1"/>
    <col min="14879" max="14879" width="11.5703125" style="54" customWidth="1"/>
    <col min="14880" max="14881" width="9" style="54" hidden="1" customWidth="1"/>
    <col min="14882" max="14882" width="10.5703125" style="54" customWidth="1"/>
    <col min="14883" max="14883" width="10.140625" style="54" customWidth="1"/>
    <col min="14884" max="14884" width="13.5703125" style="54" customWidth="1"/>
    <col min="14885" max="14885" width="10.5703125" style="54" customWidth="1"/>
    <col min="14886" max="15104" width="9.140625" style="54"/>
    <col min="15105" max="15105" width="37.5703125" style="54" customWidth="1"/>
    <col min="15106" max="15107" width="9" style="54" hidden="1" customWidth="1"/>
    <col min="15108" max="15108" width="10.5703125" style="54" customWidth="1"/>
    <col min="15109" max="15110" width="9" style="54" hidden="1" customWidth="1"/>
    <col min="15111" max="15111" width="11" style="54" customWidth="1"/>
    <col min="15112" max="15113" width="9" style="54" hidden="1" customWidth="1"/>
    <col min="15114" max="15114" width="11" style="54" customWidth="1"/>
    <col min="15115" max="15116" width="9" style="54" hidden="1" customWidth="1"/>
    <col min="15117" max="15117" width="11" style="54" customWidth="1"/>
    <col min="15118" max="15119" width="9" style="54" hidden="1" customWidth="1"/>
    <col min="15120" max="15120" width="11" style="54" customWidth="1"/>
    <col min="15121" max="15122" width="9" style="54" hidden="1" customWidth="1"/>
    <col min="15123" max="15123" width="11" style="54" customWidth="1"/>
    <col min="15124" max="15125" width="9" style="54" hidden="1" customWidth="1"/>
    <col min="15126" max="15126" width="10.7109375" style="54" customWidth="1"/>
    <col min="15127" max="15128" width="9" style="54" hidden="1" customWidth="1"/>
    <col min="15129" max="15129" width="11.140625" style="54" customWidth="1"/>
    <col min="15130" max="15131" width="9" style="54" hidden="1" customWidth="1"/>
    <col min="15132" max="15132" width="11.140625" style="54" customWidth="1"/>
    <col min="15133" max="15134" width="9" style="54" hidden="1" customWidth="1"/>
    <col min="15135" max="15135" width="11.5703125" style="54" customWidth="1"/>
    <col min="15136" max="15137" width="9" style="54" hidden="1" customWidth="1"/>
    <col min="15138" max="15138" width="10.5703125" style="54" customWidth="1"/>
    <col min="15139" max="15139" width="10.140625" style="54" customWidth="1"/>
    <col min="15140" max="15140" width="13.5703125" style="54" customWidth="1"/>
    <col min="15141" max="15141" width="10.5703125" style="54" customWidth="1"/>
    <col min="15142" max="15360" width="9.140625" style="54"/>
    <col min="15361" max="15361" width="37.5703125" style="54" customWidth="1"/>
    <col min="15362" max="15363" width="9" style="54" hidden="1" customWidth="1"/>
    <col min="15364" max="15364" width="10.5703125" style="54" customWidth="1"/>
    <col min="15365" max="15366" width="9" style="54" hidden="1" customWidth="1"/>
    <col min="15367" max="15367" width="11" style="54" customWidth="1"/>
    <col min="15368" max="15369" width="9" style="54" hidden="1" customWidth="1"/>
    <col min="15370" max="15370" width="11" style="54" customWidth="1"/>
    <col min="15371" max="15372" width="9" style="54" hidden="1" customWidth="1"/>
    <col min="15373" max="15373" width="11" style="54" customWidth="1"/>
    <col min="15374" max="15375" width="9" style="54" hidden="1" customWidth="1"/>
    <col min="15376" max="15376" width="11" style="54" customWidth="1"/>
    <col min="15377" max="15378" width="9" style="54" hidden="1" customWidth="1"/>
    <col min="15379" max="15379" width="11" style="54" customWidth="1"/>
    <col min="15380" max="15381" width="9" style="54" hidden="1" customWidth="1"/>
    <col min="15382" max="15382" width="10.7109375" style="54" customWidth="1"/>
    <col min="15383" max="15384" width="9" style="54" hidden="1" customWidth="1"/>
    <col min="15385" max="15385" width="11.140625" style="54" customWidth="1"/>
    <col min="15386" max="15387" width="9" style="54" hidden="1" customWidth="1"/>
    <col min="15388" max="15388" width="11.140625" style="54" customWidth="1"/>
    <col min="15389" max="15390" width="9" style="54" hidden="1" customWidth="1"/>
    <col min="15391" max="15391" width="11.5703125" style="54" customWidth="1"/>
    <col min="15392" max="15393" width="9" style="54" hidden="1" customWidth="1"/>
    <col min="15394" max="15394" width="10.5703125" style="54" customWidth="1"/>
    <col min="15395" max="15395" width="10.140625" style="54" customWidth="1"/>
    <col min="15396" max="15396" width="13.5703125" style="54" customWidth="1"/>
    <col min="15397" max="15397" width="10.5703125" style="54" customWidth="1"/>
    <col min="15398" max="15616" width="9.140625" style="54"/>
    <col min="15617" max="15617" width="37.5703125" style="54" customWidth="1"/>
    <col min="15618" max="15619" width="9" style="54" hidden="1" customWidth="1"/>
    <col min="15620" max="15620" width="10.5703125" style="54" customWidth="1"/>
    <col min="15621" max="15622" width="9" style="54" hidden="1" customWidth="1"/>
    <col min="15623" max="15623" width="11" style="54" customWidth="1"/>
    <col min="15624" max="15625" width="9" style="54" hidden="1" customWidth="1"/>
    <col min="15626" max="15626" width="11" style="54" customWidth="1"/>
    <col min="15627" max="15628" width="9" style="54" hidden="1" customWidth="1"/>
    <col min="15629" max="15629" width="11" style="54" customWidth="1"/>
    <col min="15630" max="15631" width="9" style="54" hidden="1" customWidth="1"/>
    <col min="15632" max="15632" width="11" style="54" customWidth="1"/>
    <col min="15633" max="15634" width="9" style="54" hidden="1" customWidth="1"/>
    <col min="15635" max="15635" width="11" style="54" customWidth="1"/>
    <col min="15636" max="15637" width="9" style="54" hidden="1" customWidth="1"/>
    <col min="15638" max="15638" width="10.7109375" style="54" customWidth="1"/>
    <col min="15639" max="15640" width="9" style="54" hidden="1" customWidth="1"/>
    <col min="15641" max="15641" width="11.140625" style="54" customWidth="1"/>
    <col min="15642" max="15643" width="9" style="54" hidden="1" customWidth="1"/>
    <col min="15644" max="15644" width="11.140625" style="54" customWidth="1"/>
    <col min="15645" max="15646" width="9" style="54" hidden="1" customWidth="1"/>
    <col min="15647" max="15647" width="11.5703125" style="54" customWidth="1"/>
    <col min="15648" max="15649" width="9" style="54" hidden="1" customWidth="1"/>
    <col min="15650" max="15650" width="10.5703125" style="54" customWidth="1"/>
    <col min="15651" max="15651" width="10.140625" style="54" customWidth="1"/>
    <col min="15652" max="15652" width="13.5703125" style="54" customWidth="1"/>
    <col min="15653" max="15653" width="10.5703125" style="54" customWidth="1"/>
    <col min="15654" max="15872" width="9.140625" style="54"/>
    <col min="15873" max="15873" width="37.5703125" style="54" customWidth="1"/>
    <col min="15874" max="15875" width="9" style="54" hidden="1" customWidth="1"/>
    <col min="15876" max="15876" width="10.5703125" style="54" customWidth="1"/>
    <col min="15877" max="15878" width="9" style="54" hidden="1" customWidth="1"/>
    <col min="15879" max="15879" width="11" style="54" customWidth="1"/>
    <col min="15880" max="15881" width="9" style="54" hidden="1" customWidth="1"/>
    <col min="15882" max="15882" width="11" style="54" customWidth="1"/>
    <col min="15883" max="15884" width="9" style="54" hidden="1" customWidth="1"/>
    <col min="15885" max="15885" width="11" style="54" customWidth="1"/>
    <col min="15886" max="15887" width="9" style="54" hidden="1" customWidth="1"/>
    <col min="15888" max="15888" width="11" style="54" customWidth="1"/>
    <col min="15889" max="15890" width="9" style="54" hidden="1" customWidth="1"/>
    <col min="15891" max="15891" width="11" style="54" customWidth="1"/>
    <col min="15892" max="15893" width="9" style="54" hidden="1" customWidth="1"/>
    <col min="15894" max="15894" width="10.7109375" style="54" customWidth="1"/>
    <col min="15895" max="15896" width="9" style="54" hidden="1" customWidth="1"/>
    <col min="15897" max="15897" width="11.140625" style="54" customWidth="1"/>
    <col min="15898" max="15899" width="9" style="54" hidden="1" customWidth="1"/>
    <col min="15900" max="15900" width="11.140625" style="54" customWidth="1"/>
    <col min="15901" max="15902" width="9" style="54" hidden="1" customWidth="1"/>
    <col min="15903" max="15903" width="11.5703125" style="54" customWidth="1"/>
    <col min="15904" max="15905" width="9" style="54" hidden="1" customWidth="1"/>
    <col min="15906" max="15906" width="10.5703125" style="54" customWidth="1"/>
    <col min="15907" max="15907" width="10.140625" style="54" customWidth="1"/>
    <col min="15908" max="15908" width="13.5703125" style="54" customWidth="1"/>
    <col min="15909" max="15909" width="10.5703125" style="54" customWidth="1"/>
    <col min="15910" max="16128" width="9.140625" style="54"/>
    <col min="16129" max="16129" width="37.5703125" style="54" customWidth="1"/>
    <col min="16130" max="16131" width="9" style="54" hidden="1" customWidth="1"/>
    <col min="16132" max="16132" width="10.5703125" style="54" customWidth="1"/>
    <col min="16133" max="16134" width="9" style="54" hidden="1" customWidth="1"/>
    <col min="16135" max="16135" width="11" style="54" customWidth="1"/>
    <col min="16136" max="16137" width="9" style="54" hidden="1" customWidth="1"/>
    <col min="16138" max="16138" width="11" style="54" customWidth="1"/>
    <col min="16139" max="16140" width="9" style="54" hidden="1" customWidth="1"/>
    <col min="16141" max="16141" width="11" style="54" customWidth="1"/>
    <col min="16142" max="16143" width="9" style="54" hidden="1" customWidth="1"/>
    <col min="16144" max="16144" width="11" style="54" customWidth="1"/>
    <col min="16145" max="16146" width="9" style="54" hidden="1" customWidth="1"/>
    <col min="16147" max="16147" width="11" style="54" customWidth="1"/>
    <col min="16148" max="16149" width="9" style="54" hidden="1" customWidth="1"/>
    <col min="16150" max="16150" width="10.7109375" style="54" customWidth="1"/>
    <col min="16151" max="16152" width="9" style="54" hidden="1" customWidth="1"/>
    <col min="16153" max="16153" width="11.140625" style="54" customWidth="1"/>
    <col min="16154" max="16155" width="9" style="54" hidden="1" customWidth="1"/>
    <col min="16156" max="16156" width="11.140625" style="54" customWidth="1"/>
    <col min="16157" max="16158" width="9" style="54" hidden="1" customWidth="1"/>
    <col min="16159" max="16159" width="11.5703125" style="54" customWidth="1"/>
    <col min="16160" max="16161" width="9" style="54" hidden="1" customWidth="1"/>
    <col min="16162" max="16162" width="10.5703125" style="54" customWidth="1"/>
    <col min="16163" max="16163" width="10.140625" style="54" customWidth="1"/>
    <col min="16164" max="16164" width="13.5703125" style="54" customWidth="1"/>
    <col min="16165" max="16165" width="10.5703125" style="54" customWidth="1"/>
    <col min="16166" max="16384" width="9.140625" style="54"/>
  </cols>
  <sheetData>
    <row r="1" ht="17.6" spans="1:112">
      <c r="A1" s="55" t="s">
        <v>410</v>
      </c>
      <c r="B1" s="55"/>
      <c r="C1" s="55"/>
    </row>
    <row r="2" ht="15" spans="1:112">
      <c r="A2" s="18" t="s">
        <v>411</v>
      </c>
      <c r="B2" s="56"/>
      <c r="C2" s="56"/>
    </row>
    <row r="3" ht="24" customHeight="1" spans="1:112">
      <c r="A3" s="57" t="s">
        <v>412</v>
      </c>
      <c r="B3" s="359" t="s">
        <v>125</v>
      </c>
      <c r="C3" s="59"/>
      <c r="D3" s="60"/>
      <c r="E3" s="359" t="s">
        <v>126</v>
      </c>
      <c r="F3" s="59"/>
      <c r="G3" s="60"/>
      <c r="H3" s="359" t="s">
        <v>127</v>
      </c>
      <c r="I3" s="59"/>
      <c r="J3" s="60"/>
      <c r="K3" s="359" t="s">
        <v>128</v>
      </c>
      <c r="L3" s="59"/>
      <c r="M3" s="60"/>
      <c r="N3" s="359" t="s">
        <v>129</v>
      </c>
      <c r="O3" s="59"/>
      <c r="P3" s="60"/>
      <c r="Q3" s="359" t="s">
        <v>130</v>
      </c>
      <c r="R3" s="59"/>
      <c r="S3" s="60"/>
      <c r="T3" s="359" t="s">
        <v>131</v>
      </c>
      <c r="U3" s="59"/>
      <c r="V3" s="60"/>
      <c r="W3" s="359" t="s">
        <v>132</v>
      </c>
      <c r="X3" s="59"/>
      <c r="Y3" s="60"/>
      <c r="Z3" s="359" t="s">
        <v>133</v>
      </c>
      <c r="AA3" s="59"/>
      <c r="AB3" s="60"/>
      <c r="AC3" s="359" t="s">
        <v>134</v>
      </c>
      <c r="AD3" s="59"/>
      <c r="AE3" s="60"/>
      <c r="AF3" s="359" t="s">
        <v>135</v>
      </c>
      <c r="AG3" s="59"/>
      <c r="AH3" s="60"/>
      <c r="AI3" s="359" t="s">
        <v>136</v>
      </c>
      <c r="AJ3" s="59"/>
      <c r="AK3" s="60"/>
      <c r="AL3" s="359" t="s">
        <v>137</v>
      </c>
      <c r="AM3" s="59"/>
      <c r="AN3" s="60"/>
      <c r="AO3" s="359" t="s">
        <v>138</v>
      </c>
      <c r="AP3" s="59"/>
      <c r="AQ3" s="60"/>
      <c r="AR3" s="359" t="s">
        <v>139</v>
      </c>
      <c r="AS3" s="59"/>
      <c r="AT3" s="60"/>
      <c r="AU3" s="359" t="s">
        <v>140</v>
      </c>
      <c r="AV3" s="59"/>
      <c r="AW3" s="60"/>
      <c r="AX3" s="359" t="s">
        <v>141</v>
      </c>
      <c r="AY3" s="59"/>
      <c r="AZ3" s="60"/>
      <c r="BA3" s="359" t="s">
        <v>142</v>
      </c>
      <c r="BB3" s="59"/>
      <c r="BC3" s="60"/>
      <c r="BD3" s="359" t="s">
        <v>143</v>
      </c>
      <c r="BE3" s="59"/>
      <c r="BF3" s="60"/>
      <c r="BG3" s="359" t="s">
        <v>144</v>
      </c>
      <c r="BH3" s="59"/>
      <c r="BI3" s="60"/>
      <c r="BJ3" s="359" t="s">
        <v>145</v>
      </c>
      <c r="BK3" s="59"/>
      <c r="BL3" s="60"/>
      <c r="BM3" s="359" t="s">
        <v>146</v>
      </c>
      <c r="BN3" s="59"/>
      <c r="BO3" s="60"/>
      <c r="BP3" s="359" t="s">
        <v>147</v>
      </c>
      <c r="BQ3" s="59"/>
      <c r="BR3" s="60"/>
      <c r="BS3" s="359" t="s">
        <v>148</v>
      </c>
      <c r="BT3" s="59"/>
      <c r="BU3" s="60"/>
      <c r="BV3" s="359" t="s">
        <v>149</v>
      </c>
      <c r="BW3" s="59"/>
      <c r="BX3" s="60"/>
      <c r="BY3" s="359" t="s">
        <v>150</v>
      </c>
      <c r="BZ3" s="59"/>
      <c r="CA3" s="60"/>
      <c r="CB3" s="359" t="s">
        <v>151</v>
      </c>
      <c r="CC3" s="59"/>
      <c r="CD3" s="60"/>
      <c r="CE3" s="359" t="s">
        <v>152</v>
      </c>
      <c r="CF3" s="59"/>
      <c r="CG3" s="60"/>
      <c r="CH3" s="359" t="s">
        <v>153</v>
      </c>
      <c r="CI3" s="59"/>
      <c r="CJ3" s="60"/>
      <c r="CK3" s="359" t="s">
        <v>154</v>
      </c>
      <c r="CL3" s="59"/>
      <c r="CM3" s="60"/>
      <c r="CN3" s="359" t="s">
        <v>155</v>
      </c>
      <c r="CO3" s="59"/>
      <c r="CP3" s="60"/>
      <c r="CQ3" s="359" t="s">
        <v>156</v>
      </c>
      <c r="CR3" s="59"/>
      <c r="CS3" s="60"/>
      <c r="CT3" s="359" t="s">
        <v>157</v>
      </c>
      <c r="CU3" s="59"/>
      <c r="CV3" s="60"/>
      <c r="CW3" s="359" t="s">
        <v>158</v>
      </c>
      <c r="CX3" s="59"/>
      <c r="CY3" s="60"/>
      <c r="CZ3" s="359" t="s">
        <v>159</v>
      </c>
      <c r="DA3" s="59"/>
      <c r="DB3" s="60"/>
      <c r="DC3" s="359" t="s">
        <v>160</v>
      </c>
      <c r="DD3" s="59"/>
      <c r="DE3" s="60"/>
      <c r="DF3" s="359" t="s">
        <v>161</v>
      </c>
      <c r="DG3" s="59"/>
      <c r="DH3" s="60"/>
    </row>
    <row r="4" ht="44" spans="1:112">
      <c r="A4" s="57" t="s">
        <v>413</v>
      </c>
      <c r="B4" s="61" t="s">
        <v>414</v>
      </c>
      <c r="C4" s="62" t="s">
        <v>415</v>
      </c>
      <c r="D4" s="63" t="s">
        <v>416</v>
      </c>
      <c r="E4" s="61" t="s">
        <v>414</v>
      </c>
      <c r="F4" s="62" t="s">
        <v>415</v>
      </c>
      <c r="G4" s="63" t="s">
        <v>416</v>
      </c>
      <c r="H4" s="61" t="s">
        <v>414</v>
      </c>
      <c r="I4" s="62" t="s">
        <v>415</v>
      </c>
      <c r="J4" s="63" t="s">
        <v>416</v>
      </c>
      <c r="K4" s="61" t="s">
        <v>414</v>
      </c>
      <c r="L4" s="62" t="s">
        <v>415</v>
      </c>
      <c r="M4" s="63" t="s">
        <v>416</v>
      </c>
      <c r="N4" s="61" t="s">
        <v>414</v>
      </c>
      <c r="O4" s="62" t="s">
        <v>415</v>
      </c>
      <c r="P4" s="63" t="s">
        <v>416</v>
      </c>
      <c r="Q4" s="61" t="s">
        <v>414</v>
      </c>
      <c r="R4" s="62" t="s">
        <v>415</v>
      </c>
      <c r="S4" s="63" t="s">
        <v>416</v>
      </c>
      <c r="T4" s="61" t="s">
        <v>414</v>
      </c>
      <c r="U4" s="62" t="s">
        <v>415</v>
      </c>
      <c r="V4" s="63" t="s">
        <v>416</v>
      </c>
      <c r="W4" s="61" t="s">
        <v>414</v>
      </c>
      <c r="X4" s="62" t="s">
        <v>415</v>
      </c>
      <c r="Y4" s="63" t="s">
        <v>416</v>
      </c>
      <c r="Z4" s="61" t="s">
        <v>414</v>
      </c>
      <c r="AA4" s="62" t="s">
        <v>415</v>
      </c>
      <c r="AB4" s="63" t="s">
        <v>416</v>
      </c>
      <c r="AC4" s="61" t="s">
        <v>414</v>
      </c>
      <c r="AD4" s="62" t="s">
        <v>415</v>
      </c>
      <c r="AE4" s="63" t="s">
        <v>416</v>
      </c>
      <c r="AF4" s="61" t="s">
        <v>414</v>
      </c>
      <c r="AG4" s="62" t="s">
        <v>415</v>
      </c>
      <c r="AH4" s="63" t="s">
        <v>416</v>
      </c>
      <c r="AI4" s="61" t="s">
        <v>414</v>
      </c>
      <c r="AJ4" s="62" t="s">
        <v>415</v>
      </c>
      <c r="AK4" s="63" t="s">
        <v>416</v>
      </c>
      <c r="AL4" s="61" t="s">
        <v>414</v>
      </c>
      <c r="AM4" s="62" t="s">
        <v>415</v>
      </c>
      <c r="AN4" s="63" t="s">
        <v>416</v>
      </c>
      <c r="AO4" s="61" t="s">
        <v>414</v>
      </c>
      <c r="AP4" s="62" t="s">
        <v>415</v>
      </c>
      <c r="AQ4" s="63" t="s">
        <v>416</v>
      </c>
      <c r="AR4" s="61" t="s">
        <v>414</v>
      </c>
      <c r="AS4" s="62" t="s">
        <v>415</v>
      </c>
      <c r="AT4" s="63" t="s">
        <v>416</v>
      </c>
      <c r="AU4" s="61" t="s">
        <v>414</v>
      </c>
      <c r="AV4" s="62" t="s">
        <v>415</v>
      </c>
      <c r="AW4" s="63" t="s">
        <v>416</v>
      </c>
      <c r="AX4" s="61" t="s">
        <v>414</v>
      </c>
      <c r="AY4" s="62" t="s">
        <v>415</v>
      </c>
      <c r="AZ4" s="63" t="s">
        <v>416</v>
      </c>
      <c r="BA4" s="61" t="s">
        <v>414</v>
      </c>
      <c r="BB4" s="62" t="s">
        <v>415</v>
      </c>
      <c r="BC4" s="63" t="s">
        <v>416</v>
      </c>
      <c r="BD4" s="61" t="s">
        <v>414</v>
      </c>
      <c r="BE4" s="62" t="s">
        <v>415</v>
      </c>
      <c r="BF4" s="63" t="s">
        <v>416</v>
      </c>
      <c r="BG4" s="61" t="s">
        <v>414</v>
      </c>
      <c r="BH4" s="62" t="s">
        <v>415</v>
      </c>
      <c r="BI4" s="63" t="s">
        <v>416</v>
      </c>
      <c r="BJ4" s="61" t="s">
        <v>414</v>
      </c>
      <c r="BK4" s="62" t="s">
        <v>415</v>
      </c>
      <c r="BL4" s="63" t="s">
        <v>416</v>
      </c>
      <c r="BM4" s="61" t="s">
        <v>414</v>
      </c>
      <c r="BN4" s="62" t="s">
        <v>415</v>
      </c>
      <c r="BO4" s="63" t="s">
        <v>416</v>
      </c>
      <c r="BP4" s="61" t="s">
        <v>414</v>
      </c>
      <c r="BQ4" s="62" t="s">
        <v>415</v>
      </c>
      <c r="BR4" s="63" t="s">
        <v>416</v>
      </c>
      <c r="BS4" s="61" t="s">
        <v>414</v>
      </c>
      <c r="BT4" s="62" t="s">
        <v>415</v>
      </c>
      <c r="BU4" s="63" t="s">
        <v>416</v>
      </c>
      <c r="BV4" s="61" t="s">
        <v>414</v>
      </c>
      <c r="BW4" s="62" t="s">
        <v>415</v>
      </c>
      <c r="BX4" s="63" t="s">
        <v>416</v>
      </c>
      <c r="BY4" s="61" t="s">
        <v>414</v>
      </c>
      <c r="BZ4" s="62" t="s">
        <v>415</v>
      </c>
      <c r="CA4" s="63" t="s">
        <v>416</v>
      </c>
      <c r="CB4" s="61" t="s">
        <v>414</v>
      </c>
      <c r="CC4" s="62" t="s">
        <v>415</v>
      </c>
      <c r="CD4" s="63" t="s">
        <v>416</v>
      </c>
      <c r="CE4" s="61" t="s">
        <v>414</v>
      </c>
      <c r="CF4" s="62" t="s">
        <v>415</v>
      </c>
      <c r="CG4" s="63" t="s">
        <v>416</v>
      </c>
      <c r="CH4" s="61" t="s">
        <v>414</v>
      </c>
      <c r="CI4" s="62" t="s">
        <v>415</v>
      </c>
      <c r="CJ4" s="63" t="s">
        <v>416</v>
      </c>
      <c r="CK4" s="61" t="s">
        <v>414</v>
      </c>
      <c r="CL4" s="62" t="s">
        <v>415</v>
      </c>
      <c r="CM4" s="63" t="s">
        <v>416</v>
      </c>
      <c r="CN4" s="61" t="s">
        <v>414</v>
      </c>
      <c r="CO4" s="62" t="s">
        <v>415</v>
      </c>
      <c r="CP4" s="63" t="s">
        <v>416</v>
      </c>
      <c r="CQ4" s="61" t="s">
        <v>414</v>
      </c>
      <c r="CR4" s="62" t="s">
        <v>415</v>
      </c>
      <c r="CS4" s="63" t="s">
        <v>416</v>
      </c>
      <c r="CT4" s="61" t="s">
        <v>414</v>
      </c>
      <c r="CU4" s="62" t="s">
        <v>415</v>
      </c>
      <c r="CV4" s="63" t="s">
        <v>416</v>
      </c>
      <c r="CW4" s="61" t="s">
        <v>414</v>
      </c>
      <c r="CX4" s="62" t="s">
        <v>415</v>
      </c>
      <c r="CY4" s="63" t="s">
        <v>416</v>
      </c>
      <c r="CZ4" s="61" t="s">
        <v>414</v>
      </c>
      <c r="DA4" s="62" t="s">
        <v>415</v>
      </c>
      <c r="DB4" s="63" t="s">
        <v>416</v>
      </c>
      <c r="DC4" s="61" t="s">
        <v>414</v>
      </c>
      <c r="DD4" s="62" t="s">
        <v>415</v>
      </c>
      <c r="DE4" s="63" t="s">
        <v>416</v>
      </c>
      <c r="DF4" s="61" t="s">
        <v>414</v>
      </c>
      <c r="DG4" s="62" t="s">
        <v>415</v>
      </c>
      <c r="DH4" s="63" t="s">
        <v>416</v>
      </c>
    </row>
    <row r="5" ht="15" spans="1:112">
      <c r="A5" s="64" t="s">
        <v>417</v>
      </c>
      <c r="B5" s="65">
        <v>165292.701039195</v>
      </c>
      <c r="C5" s="66">
        <v>123279.687502917</v>
      </c>
      <c r="D5" s="67">
        <v>42013.0135362785</v>
      </c>
      <c r="E5" s="65">
        <v>167774.327133275</v>
      </c>
      <c r="F5" s="66">
        <v>125191.482501132</v>
      </c>
      <c r="G5" s="67">
        <v>42582.8446321427</v>
      </c>
      <c r="H5" s="65">
        <v>168847.749779521</v>
      </c>
      <c r="I5" s="66">
        <v>123416.090317911</v>
      </c>
      <c r="J5" s="67">
        <v>45431.6594616095</v>
      </c>
      <c r="K5" s="65">
        <v>167482.716087954</v>
      </c>
      <c r="L5" s="66">
        <v>120090.505691818</v>
      </c>
      <c r="M5" s="67">
        <v>47392.2103961362</v>
      </c>
      <c r="N5" s="65">
        <v>167755.597133481</v>
      </c>
      <c r="O5" s="66">
        <v>119445.009692328</v>
      </c>
      <c r="P5" s="67">
        <v>48310.587441153</v>
      </c>
      <c r="Q5" s="65">
        <v>165679.600387896</v>
      </c>
      <c r="R5" s="66">
        <v>116982.995061778</v>
      </c>
      <c r="S5" s="67">
        <v>48696.6053261187</v>
      </c>
      <c r="T5" s="65">
        <v>162643.826450331</v>
      </c>
      <c r="U5" s="66">
        <v>112071.71755182</v>
      </c>
      <c r="V5" s="67">
        <v>50572.1088985111</v>
      </c>
      <c r="W5" s="65">
        <v>160331.29182238</v>
      </c>
      <c r="X5" s="66">
        <v>110490.830511742</v>
      </c>
      <c r="Y5" s="67">
        <v>49840.4613106378</v>
      </c>
      <c r="Z5" s="65">
        <v>160238.815531205</v>
      </c>
      <c r="AA5" s="66">
        <v>109230.509257563</v>
      </c>
      <c r="AB5" s="67">
        <v>51008.306273642</v>
      </c>
      <c r="AC5" s="65">
        <v>160393.969127219</v>
      </c>
      <c r="AD5" s="66">
        <v>108343.212937892</v>
      </c>
      <c r="AE5" s="67">
        <v>52050.7561893274</v>
      </c>
      <c r="AF5" s="65">
        <v>160328.624129354</v>
      </c>
      <c r="AG5" s="66">
        <v>107274.392607362</v>
      </c>
      <c r="AH5" s="67">
        <v>53054.2315219917</v>
      </c>
      <c r="AI5" s="65">
        <v>159544.217230192</v>
      </c>
      <c r="AJ5" s="66">
        <v>106888.43089791</v>
      </c>
      <c r="AK5" s="67">
        <v>52655.7863322822</v>
      </c>
      <c r="AL5" s="65">
        <v>155466.741676505</v>
      </c>
      <c r="AM5" s="66">
        <v>102664.467676118</v>
      </c>
      <c r="AN5" s="67">
        <v>52802.2740003864</v>
      </c>
      <c r="AO5" s="65">
        <v>160585.792336852</v>
      </c>
      <c r="AP5" s="66">
        <v>102263.1702599</v>
      </c>
      <c r="AQ5" s="67">
        <v>58322.6220769517</v>
      </c>
      <c r="AR5" s="65">
        <v>161706.536328173</v>
      </c>
      <c r="AS5" s="66">
        <v>98802.4833087686</v>
      </c>
      <c r="AT5" s="67">
        <v>62904.053019404</v>
      </c>
      <c r="AU5" s="65">
        <v>163980.074825441</v>
      </c>
      <c r="AV5" s="66">
        <v>97640.1461087514</v>
      </c>
      <c r="AW5" s="67">
        <v>66339.9287166897</v>
      </c>
      <c r="AX5" s="65">
        <v>163955.094815505</v>
      </c>
      <c r="AY5" s="66">
        <v>97812.1157478157</v>
      </c>
      <c r="AZ5" s="67">
        <v>66142.9790676888</v>
      </c>
      <c r="BA5" s="65">
        <v>166483.080061958</v>
      </c>
      <c r="BB5" s="66">
        <v>100253.384162784</v>
      </c>
      <c r="BC5" s="67">
        <v>66229.6958991747</v>
      </c>
      <c r="BD5" s="65">
        <v>165761.723503482</v>
      </c>
      <c r="BE5" s="66">
        <v>100248.133561174</v>
      </c>
      <c r="BF5" s="67">
        <v>65513.589942308</v>
      </c>
      <c r="BG5" s="65">
        <v>164131.074503214</v>
      </c>
      <c r="BH5" s="66">
        <v>99951.3062674643</v>
      </c>
      <c r="BI5" s="67">
        <v>64179.7682357493</v>
      </c>
      <c r="BJ5" s="65">
        <v>159896.77288415</v>
      </c>
      <c r="BK5" s="66">
        <v>101436.133561444</v>
      </c>
      <c r="BL5" s="67">
        <v>58460.6393227057</v>
      </c>
      <c r="BM5" s="65">
        <v>164152.245453574</v>
      </c>
      <c r="BN5" s="66">
        <v>104421.553456589</v>
      </c>
      <c r="BO5" s="67">
        <v>59730.691996985</v>
      </c>
      <c r="BP5" s="65">
        <v>161096.19650189</v>
      </c>
      <c r="BQ5" s="66">
        <v>109346.689325954</v>
      </c>
      <c r="BR5" s="67">
        <v>51749.5071759363</v>
      </c>
      <c r="BS5" s="65">
        <v>161144.273332499</v>
      </c>
      <c r="BT5" s="66">
        <v>111299.676990884</v>
      </c>
      <c r="BU5" s="67">
        <v>49844.5963416147</v>
      </c>
      <c r="BV5" s="65">
        <v>162813.96888748</v>
      </c>
      <c r="BW5" s="66">
        <v>116268.201999494</v>
      </c>
      <c r="BX5" s="67">
        <v>46545.7668879856</v>
      </c>
      <c r="BY5" s="65">
        <v>162802.617326411</v>
      </c>
      <c r="BZ5" s="66">
        <v>117905.186141728</v>
      </c>
      <c r="CA5" s="67">
        <v>44897.4311846837</v>
      </c>
      <c r="CB5" s="65">
        <v>163809.495202615</v>
      </c>
      <c r="CC5" s="66">
        <v>116113.679918615</v>
      </c>
      <c r="CD5" s="67">
        <v>47695.8152839998</v>
      </c>
      <c r="CE5" s="65">
        <v>163711.964049239</v>
      </c>
      <c r="CF5" s="66">
        <v>120938.57603586</v>
      </c>
      <c r="CG5" s="67">
        <v>42773.3880133789</v>
      </c>
      <c r="CH5" s="65">
        <v>163952.92616366</v>
      </c>
      <c r="CI5" s="66">
        <v>122092.689456963</v>
      </c>
      <c r="CJ5" s="67">
        <v>41860.2367066966</v>
      </c>
      <c r="CK5" s="65">
        <v>166853.095507313</v>
      </c>
      <c r="CL5" s="66">
        <v>126591.096458892</v>
      </c>
      <c r="CM5" s="67">
        <v>40261.9990484213</v>
      </c>
      <c r="CN5" s="65">
        <v>166367.064362084</v>
      </c>
      <c r="CO5" s="66">
        <v>130663.250129217</v>
      </c>
      <c r="CP5" s="67">
        <v>35703.814232867</v>
      </c>
      <c r="CQ5" s="65">
        <v>164677.496974072</v>
      </c>
      <c r="CR5" s="66">
        <v>125500.55977541</v>
      </c>
      <c r="CS5" s="67">
        <v>39176.9371986612</v>
      </c>
      <c r="CT5" s="65">
        <v>170037.800782238</v>
      </c>
      <c r="CU5" s="66">
        <v>134898.273162987</v>
      </c>
      <c r="CV5" s="67">
        <v>35139.5276192518</v>
      </c>
      <c r="CW5" s="65">
        <v>172547.082968168</v>
      </c>
      <c r="CX5" s="66">
        <v>134513.352638335</v>
      </c>
      <c r="CY5" s="67">
        <v>38033.7303298326</v>
      </c>
      <c r="CZ5" s="65">
        <v>171558.262372511</v>
      </c>
      <c r="DA5" s="66">
        <v>130943.834574699</v>
      </c>
      <c r="DB5" s="67">
        <v>40614.4277978117</v>
      </c>
      <c r="DC5" s="65">
        <v>181841.590363621</v>
      </c>
      <c r="DD5" s="66">
        <v>128591.782097859</v>
      </c>
      <c r="DE5" s="67">
        <v>53249.8082657621</v>
      </c>
      <c r="DF5" s="65">
        <v>182778.238991064</v>
      </c>
      <c r="DG5" s="66">
        <v>129399.447452313</v>
      </c>
      <c r="DH5" s="67">
        <v>53378.7915387511</v>
      </c>
    </row>
    <row r="6" spans="1:112">
      <c r="A6" s="68" t="s">
        <v>164</v>
      </c>
      <c r="B6" s="69">
        <v>7052.31743736049</v>
      </c>
      <c r="C6" s="70">
        <v>49679.8369170361</v>
      </c>
      <c r="D6" s="71">
        <v>-42627.5194796756</v>
      </c>
      <c r="E6" s="69">
        <v>7193.66026326943</v>
      </c>
      <c r="F6" s="70">
        <v>48829.5152152557</v>
      </c>
      <c r="G6" s="71">
        <v>-41635.8549519863</v>
      </c>
      <c r="H6" s="69">
        <v>7407.53210467502</v>
      </c>
      <c r="I6" s="70">
        <v>45504.223662068</v>
      </c>
      <c r="J6" s="71">
        <v>-38096.6915573929</v>
      </c>
      <c r="K6" s="69">
        <v>7489.18189883237</v>
      </c>
      <c r="L6" s="70">
        <v>42929.3872994513</v>
      </c>
      <c r="M6" s="71">
        <v>-35440.2054006189</v>
      </c>
      <c r="N6" s="72">
        <v>8306.19701601408</v>
      </c>
      <c r="O6" s="73">
        <v>42932.9368414147</v>
      </c>
      <c r="P6" s="74">
        <v>-34626.7398254006</v>
      </c>
      <c r="Q6" s="72">
        <v>8085.95978698249</v>
      </c>
      <c r="R6" s="73">
        <v>43063.8968460846</v>
      </c>
      <c r="S6" s="74">
        <v>-34977.9370591021</v>
      </c>
      <c r="T6" s="72">
        <v>8157.06212583412</v>
      </c>
      <c r="U6" s="73">
        <v>39751.5101640281</v>
      </c>
      <c r="V6" s="74">
        <v>-31594.448038194</v>
      </c>
      <c r="W6" s="72">
        <v>8150.45614393518</v>
      </c>
      <c r="X6" s="73">
        <v>40532.0598867685</v>
      </c>
      <c r="Y6" s="74">
        <v>-32381.6037428333</v>
      </c>
      <c r="Z6" s="72">
        <v>8197.30644608414</v>
      </c>
      <c r="AA6" s="73">
        <v>42509.8497229955</v>
      </c>
      <c r="AB6" s="74">
        <v>-34312.5432769114</v>
      </c>
      <c r="AC6" s="72">
        <v>8290.64158921021</v>
      </c>
      <c r="AD6" s="73">
        <v>40843.2353200229</v>
      </c>
      <c r="AE6" s="74">
        <v>-32552.5937308127</v>
      </c>
      <c r="AF6" s="72">
        <v>8225.30254147415</v>
      </c>
      <c r="AG6" s="73">
        <v>40663.2390152755</v>
      </c>
      <c r="AH6" s="74">
        <v>-32437.9364738013</v>
      </c>
      <c r="AI6" s="72">
        <v>8801.18626551141</v>
      </c>
      <c r="AJ6" s="73">
        <v>36030.8031396043</v>
      </c>
      <c r="AK6" s="74">
        <v>-27229.6168740929</v>
      </c>
      <c r="AL6" s="72">
        <v>8347.72526042673</v>
      </c>
      <c r="AM6" s="73">
        <v>33962.3743319937</v>
      </c>
      <c r="AN6" s="74">
        <v>-25614.6490715669</v>
      </c>
      <c r="AO6" s="72">
        <v>8894.16427048047</v>
      </c>
      <c r="AP6" s="73">
        <v>33908.5356515217</v>
      </c>
      <c r="AQ6" s="74">
        <v>-25014.3713810412</v>
      </c>
      <c r="AR6" s="72">
        <v>9151.28295574494</v>
      </c>
      <c r="AS6" s="73">
        <v>28578.5806815246</v>
      </c>
      <c r="AT6" s="74">
        <v>-19427.2977257797</v>
      </c>
      <c r="AU6" s="72">
        <v>9481.01462858172</v>
      </c>
      <c r="AV6" s="73">
        <v>23495.7148637904</v>
      </c>
      <c r="AW6" s="74">
        <v>-14014.7002352087</v>
      </c>
      <c r="AX6" s="72">
        <v>10955.2115281965</v>
      </c>
      <c r="AY6" s="73">
        <v>27630.1820538553</v>
      </c>
      <c r="AZ6" s="74">
        <v>-16674.9705256589</v>
      </c>
      <c r="BA6" s="72">
        <v>12243.7711575455</v>
      </c>
      <c r="BB6" s="73">
        <v>30066.8000225412</v>
      </c>
      <c r="BC6" s="74">
        <v>-17823.0288649957</v>
      </c>
      <c r="BD6" s="72">
        <v>11585.0025369502</v>
      </c>
      <c r="BE6" s="73">
        <v>29774.5052313451</v>
      </c>
      <c r="BF6" s="74">
        <v>-18189.5026943949</v>
      </c>
      <c r="BG6" s="72">
        <v>12009.6203005308</v>
      </c>
      <c r="BH6" s="73">
        <v>25944.2011208285</v>
      </c>
      <c r="BI6" s="74">
        <v>-13934.5808202976</v>
      </c>
      <c r="BJ6" s="72">
        <v>11720.0568387047</v>
      </c>
      <c r="BK6" s="73">
        <v>32467.6223253241</v>
      </c>
      <c r="BL6" s="74">
        <v>-20747.5654866194</v>
      </c>
      <c r="BM6" s="72">
        <v>14150.4051857195</v>
      </c>
      <c r="BN6" s="73">
        <v>36414.4502555479</v>
      </c>
      <c r="BO6" s="74">
        <v>-22264.0450698284</v>
      </c>
      <c r="BP6" s="72">
        <v>15527.7599709323</v>
      </c>
      <c r="BQ6" s="73">
        <v>41556.6959544308</v>
      </c>
      <c r="BR6" s="74">
        <v>-26028.9359834985</v>
      </c>
      <c r="BS6" s="72">
        <v>16335.6893989344</v>
      </c>
      <c r="BT6" s="73">
        <v>41917.3789256848</v>
      </c>
      <c r="BU6" s="74">
        <v>-25581.6895267504</v>
      </c>
      <c r="BV6" s="72">
        <v>17256.952992826</v>
      </c>
      <c r="BW6" s="73">
        <v>43726.3032555517</v>
      </c>
      <c r="BX6" s="74">
        <v>-26469.3502627257</v>
      </c>
      <c r="BY6" s="72">
        <v>17200.649349562</v>
      </c>
      <c r="BZ6" s="73">
        <v>44484.5826473405</v>
      </c>
      <c r="CA6" s="74">
        <v>-27283.9332977785</v>
      </c>
      <c r="CB6" s="72">
        <v>18225.458534215</v>
      </c>
      <c r="CC6" s="73">
        <v>43413.2653499271</v>
      </c>
      <c r="CD6" s="74">
        <v>-25187.8068157121</v>
      </c>
      <c r="CE6" s="72">
        <v>19389.5541498898</v>
      </c>
      <c r="CF6" s="73">
        <v>45630.6228675727</v>
      </c>
      <c r="CG6" s="74">
        <v>-26241.0687176829</v>
      </c>
      <c r="CH6" s="72">
        <v>19132.2997837552</v>
      </c>
      <c r="CI6" s="73">
        <v>44264.5164589756</v>
      </c>
      <c r="CJ6" s="74">
        <v>-25132.2166752204</v>
      </c>
      <c r="CK6" s="72">
        <v>20633.7183844039</v>
      </c>
      <c r="CL6" s="73">
        <v>45533.2917435896</v>
      </c>
      <c r="CM6" s="74">
        <v>-24899.5733591857</v>
      </c>
      <c r="CN6" s="72">
        <v>21269.0289676695</v>
      </c>
      <c r="CO6" s="73">
        <v>41983.9973350559</v>
      </c>
      <c r="CP6" s="74">
        <v>-20714.9683673864</v>
      </c>
      <c r="CQ6" s="72">
        <v>19468.7367090683</v>
      </c>
      <c r="CR6" s="73">
        <v>38213.2868152383</v>
      </c>
      <c r="CS6" s="74">
        <v>-18744.55010617</v>
      </c>
      <c r="CT6" s="72">
        <v>21617.7067600226</v>
      </c>
      <c r="CU6" s="73">
        <v>43817.6460039485</v>
      </c>
      <c r="CV6" s="74">
        <v>-22199.9392439259</v>
      </c>
      <c r="CW6" s="72">
        <v>22418.9675685976</v>
      </c>
      <c r="CX6" s="73">
        <v>42309.5992825962</v>
      </c>
      <c r="CY6" s="74">
        <v>-19890.6317139986</v>
      </c>
      <c r="CZ6" s="72">
        <v>20927.8879005766</v>
      </c>
      <c r="DA6" s="73">
        <v>42055.5416501994</v>
      </c>
      <c r="DB6" s="74">
        <v>-21127.6537496228</v>
      </c>
      <c r="DC6" s="72">
        <v>21688.3220196985</v>
      </c>
      <c r="DD6" s="73">
        <v>40895.9510256064</v>
      </c>
      <c r="DE6" s="74">
        <v>-19207.6290059078</v>
      </c>
      <c r="DF6" s="72">
        <v>23576.2133932767</v>
      </c>
      <c r="DG6" s="73">
        <v>43940.3593967476</v>
      </c>
      <c r="DH6" s="74">
        <v>-20364.1460034709</v>
      </c>
    </row>
    <row r="7" spans="1:112">
      <c r="A7" s="75" t="s">
        <v>166</v>
      </c>
      <c r="B7" s="69">
        <v>158240.383601835</v>
      </c>
      <c r="C7" s="70">
        <v>73599.8505858807</v>
      </c>
      <c r="D7" s="71">
        <v>84640.533015954</v>
      </c>
      <c r="E7" s="69">
        <v>160580.666870005</v>
      </c>
      <c r="F7" s="70">
        <v>76361.9672858762</v>
      </c>
      <c r="G7" s="71">
        <v>84218.699584129</v>
      </c>
      <c r="H7" s="69">
        <v>161440.217674846</v>
      </c>
      <c r="I7" s="70">
        <v>77911.8666558433</v>
      </c>
      <c r="J7" s="71">
        <v>83528.3510190025</v>
      </c>
      <c r="K7" s="69">
        <v>159993.534189121</v>
      </c>
      <c r="L7" s="70">
        <v>77161.1183923663</v>
      </c>
      <c r="M7" s="71">
        <v>82832.4157967551</v>
      </c>
      <c r="N7" s="69">
        <v>159449.400117467</v>
      </c>
      <c r="O7" s="70">
        <v>76512.0728509134</v>
      </c>
      <c r="P7" s="71">
        <v>82937.3272665536</v>
      </c>
      <c r="Q7" s="69">
        <v>157593.640600914</v>
      </c>
      <c r="R7" s="70">
        <v>73919.098215693</v>
      </c>
      <c r="S7" s="71">
        <v>83674.5423852208</v>
      </c>
      <c r="T7" s="69">
        <v>154486.764324497</v>
      </c>
      <c r="U7" s="70">
        <v>72320.2073877918</v>
      </c>
      <c r="V7" s="71">
        <v>82166.5569367051</v>
      </c>
      <c r="W7" s="69">
        <v>152180.835678445</v>
      </c>
      <c r="X7" s="70">
        <v>69958.7706249737</v>
      </c>
      <c r="Y7" s="71">
        <v>82222.0650534711</v>
      </c>
      <c r="Z7" s="69">
        <v>152041.509085121</v>
      </c>
      <c r="AA7" s="70">
        <v>66720.6595345674</v>
      </c>
      <c r="AB7" s="71">
        <v>85320.8495505534</v>
      </c>
      <c r="AC7" s="69">
        <v>152103.327538009</v>
      </c>
      <c r="AD7" s="70">
        <v>67499.9776178689</v>
      </c>
      <c r="AE7" s="71">
        <v>84603.3499201401</v>
      </c>
      <c r="AF7" s="69">
        <v>152103.32158788</v>
      </c>
      <c r="AG7" s="70">
        <v>66611.1535920869</v>
      </c>
      <c r="AH7" s="71">
        <v>85492.167995793</v>
      </c>
      <c r="AI7" s="69">
        <v>150743.030964681</v>
      </c>
      <c r="AJ7" s="70">
        <v>70857.6277583057</v>
      </c>
      <c r="AK7" s="71">
        <v>79885.403206375</v>
      </c>
      <c r="AL7" s="69">
        <v>147119.016416078</v>
      </c>
      <c r="AM7" s="70">
        <v>68702.0933441247</v>
      </c>
      <c r="AN7" s="71">
        <v>78416.9230719534</v>
      </c>
      <c r="AO7" s="69">
        <v>151691.628066372</v>
      </c>
      <c r="AP7" s="70">
        <v>68354.6346083788</v>
      </c>
      <c r="AQ7" s="71">
        <v>83336.9934579929</v>
      </c>
      <c r="AR7" s="69">
        <v>152555.253372428</v>
      </c>
      <c r="AS7" s="70">
        <v>70223.902627244</v>
      </c>
      <c r="AT7" s="71">
        <v>82331.3507451836</v>
      </c>
      <c r="AU7" s="69">
        <v>154499.060196859</v>
      </c>
      <c r="AV7" s="70">
        <v>74144.431244961</v>
      </c>
      <c r="AW7" s="71">
        <v>80354.6289518984</v>
      </c>
      <c r="AX7" s="69">
        <v>152999.883287308</v>
      </c>
      <c r="AY7" s="70">
        <v>70181.9336939604</v>
      </c>
      <c r="AZ7" s="71">
        <v>82817.9495933477</v>
      </c>
      <c r="BA7" s="69">
        <v>154239.308904413</v>
      </c>
      <c r="BB7" s="70">
        <v>70186.5841402424</v>
      </c>
      <c r="BC7" s="71">
        <v>84052.7247641704</v>
      </c>
      <c r="BD7" s="69">
        <v>154176.720966532</v>
      </c>
      <c r="BE7" s="70">
        <v>70473.628329829</v>
      </c>
      <c r="BF7" s="71">
        <v>83703.0926367029</v>
      </c>
      <c r="BG7" s="69">
        <v>152121.454202683</v>
      </c>
      <c r="BH7" s="70">
        <v>74007.1051466358</v>
      </c>
      <c r="BI7" s="71">
        <v>78114.349056047</v>
      </c>
      <c r="BJ7" s="69">
        <v>148176.716045446</v>
      </c>
      <c r="BK7" s="70">
        <v>68968.5112361204</v>
      </c>
      <c r="BL7" s="71">
        <v>79208.2048093251</v>
      </c>
      <c r="BM7" s="69">
        <v>150001.840267854</v>
      </c>
      <c r="BN7" s="70">
        <v>68007.103201041</v>
      </c>
      <c r="BO7" s="71">
        <v>81994.7370668135</v>
      </c>
      <c r="BP7" s="69">
        <v>145568.436530958</v>
      </c>
      <c r="BQ7" s="70">
        <v>67789.9933715229</v>
      </c>
      <c r="BR7" s="71">
        <v>77778.4431594348</v>
      </c>
      <c r="BS7" s="69">
        <v>144808.583933564</v>
      </c>
      <c r="BT7" s="70">
        <v>69382.2980651991</v>
      </c>
      <c r="BU7" s="71">
        <v>75426.2858683651</v>
      </c>
      <c r="BV7" s="69">
        <v>145557.015894654</v>
      </c>
      <c r="BW7" s="70">
        <v>72541.8987439428</v>
      </c>
      <c r="BX7" s="71">
        <v>73015.1171507113</v>
      </c>
      <c r="BY7" s="69">
        <v>145601.967976849</v>
      </c>
      <c r="BZ7" s="70">
        <v>73420.6034943872</v>
      </c>
      <c r="CA7" s="71">
        <v>72181.3644824621</v>
      </c>
      <c r="CB7" s="69">
        <v>145584.0366684</v>
      </c>
      <c r="CC7" s="70">
        <v>72700.4145686882</v>
      </c>
      <c r="CD7" s="71">
        <v>72883.622099712</v>
      </c>
      <c r="CE7" s="69">
        <v>144322.409899349</v>
      </c>
      <c r="CF7" s="70">
        <v>75307.9531682875</v>
      </c>
      <c r="CG7" s="71">
        <v>69014.4567310618</v>
      </c>
      <c r="CH7" s="69">
        <v>144820.626379905</v>
      </c>
      <c r="CI7" s="70">
        <v>77828.1729979876</v>
      </c>
      <c r="CJ7" s="71">
        <v>66992.453381917</v>
      </c>
      <c r="CK7" s="69">
        <v>146219.377122909</v>
      </c>
      <c r="CL7" s="70">
        <v>81057.8047153022</v>
      </c>
      <c r="CM7" s="71">
        <v>65161.572407607</v>
      </c>
      <c r="CN7" s="69">
        <v>145098.035394415</v>
      </c>
      <c r="CO7" s="70">
        <v>88679.2527941615</v>
      </c>
      <c r="CP7" s="71">
        <v>56418.7826002534</v>
      </c>
      <c r="CQ7" s="69">
        <v>145208.760265003</v>
      </c>
      <c r="CR7" s="70">
        <v>87287.2729601722</v>
      </c>
      <c r="CS7" s="71">
        <v>57921.4873048312</v>
      </c>
      <c r="CT7" s="69">
        <v>148420.094022216</v>
      </c>
      <c r="CU7" s="70">
        <v>91080.6271590381</v>
      </c>
      <c r="CV7" s="71">
        <v>57339.4668631777</v>
      </c>
      <c r="CW7" s="69">
        <v>150128.11539957</v>
      </c>
      <c r="CX7" s="70">
        <v>92203.7533557388</v>
      </c>
      <c r="CY7" s="71">
        <v>57924.3620438312</v>
      </c>
      <c r="CZ7" s="69">
        <v>150630.374471934</v>
      </c>
      <c r="DA7" s="70">
        <v>88888.2929244998</v>
      </c>
      <c r="DB7" s="71">
        <v>61742.0815474344</v>
      </c>
      <c r="DC7" s="69">
        <v>160153.268343923</v>
      </c>
      <c r="DD7" s="70">
        <v>87695.8310722528</v>
      </c>
      <c r="DE7" s="71">
        <v>72457.43727167</v>
      </c>
      <c r="DF7" s="69">
        <v>159202.025597788</v>
      </c>
      <c r="DG7" s="70">
        <v>85459.0880555656</v>
      </c>
      <c r="DH7" s="71">
        <v>73742.937542222</v>
      </c>
    </row>
    <row r="8" s="52" customFormat="1" ht="15" spans="1:112">
      <c r="A8" s="76" t="s">
        <v>168</v>
      </c>
      <c r="B8" s="77">
        <v>12170.192362692</v>
      </c>
      <c r="C8" s="78">
        <v>53095.0007587299</v>
      </c>
      <c r="D8" s="79">
        <v>-40924.8083960379</v>
      </c>
      <c r="E8" s="77">
        <v>12145.1843177229</v>
      </c>
      <c r="F8" s="78">
        <v>51777.3098685999</v>
      </c>
      <c r="G8" s="79">
        <v>-39632.125550877</v>
      </c>
      <c r="H8" s="77">
        <v>12313.3006657318</v>
      </c>
      <c r="I8" s="78">
        <v>46228.21817902</v>
      </c>
      <c r="J8" s="79">
        <v>-33914.9175132882</v>
      </c>
      <c r="K8" s="77">
        <v>12067.4755305913</v>
      </c>
      <c r="L8" s="78">
        <v>46777.9590718989</v>
      </c>
      <c r="M8" s="79">
        <v>-34710.4835413076</v>
      </c>
      <c r="N8" s="77">
        <v>11137.8899806308</v>
      </c>
      <c r="O8" s="78">
        <v>47149.5770863416</v>
      </c>
      <c r="P8" s="79">
        <v>-36011.6871057107</v>
      </c>
      <c r="Q8" s="77">
        <v>10690.3995377038</v>
      </c>
      <c r="R8" s="78">
        <v>46807.78247463</v>
      </c>
      <c r="S8" s="79">
        <v>-36117.3829369262</v>
      </c>
      <c r="T8" s="77">
        <v>10651.4719545011</v>
      </c>
      <c r="U8" s="78">
        <v>44743.93968777</v>
      </c>
      <c r="V8" s="79">
        <v>-34092.4677332689</v>
      </c>
      <c r="W8" s="77">
        <v>11554.7883757119</v>
      </c>
      <c r="X8" s="78">
        <v>47927.88927797</v>
      </c>
      <c r="Y8" s="79">
        <v>-36373.100902258</v>
      </c>
      <c r="Z8" s="77">
        <v>11488.7836306026</v>
      </c>
      <c r="AA8" s="78">
        <v>49482.61670183</v>
      </c>
      <c r="AB8" s="79">
        <v>-37993.8330712274</v>
      </c>
      <c r="AC8" s="77">
        <v>11888.7189522916</v>
      </c>
      <c r="AD8" s="78">
        <v>48822.35738845</v>
      </c>
      <c r="AE8" s="79">
        <v>-36933.6384361584</v>
      </c>
      <c r="AF8" s="77">
        <v>12793.6127849887</v>
      </c>
      <c r="AG8" s="78">
        <v>47682.9836142249</v>
      </c>
      <c r="AH8" s="79">
        <v>-34889.3708292362</v>
      </c>
      <c r="AI8" s="77">
        <v>12417.6004208112</v>
      </c>
      <c r="AJ8" s="78">
        <v>48531.98371855</v>
      </c>
      <c r="AK8" s="79">
        <v>-36114.3832977388</v>
      </c>
      <c r="AL8" s="77">
        <v>11428.3621170358</v>
      </c>
      <c r="AM8" s="78">
        <v>46682.3161331599</v>
      </c>
      <c r="AN8" s="79">
        <v>-35253.9540161242</v>
      </c>
      <c r="AO8" s="77">
        <v>11834.5200314614</v>
      </c>
      <c r="AP8" s="78">
        <v>44309.43371674</v>
      </c>
      <c r="AQ8" s="79">
        <v>-32474.9136852786</v>
      </c>
      <c r="AR8" s="77">
        <v>12295.0627084248</v>
      </c>
      <c r="AS8" s="78">
        <v>42666.95207866</v>
      </c>
      <c r="AT8" s="79">
        <v>-30371.8893702352</v>
      </c>
      <c r="AU8" s="77">
        <v>13885.0411239955</v>
      </c>
      <c r="AV8" s="78">
        <v>42179.27920626</v>
      </c>
      <c r="AW8" s="79">
        <v>-28294.2380822645</v>
      </c>
      <c r="AX8" s="77">
        <v>14471.5814384709</v>
      </c>
      <c r="AY8" s="78">
        <v>39951.21178242</v>
      </c>
      <c r="AZ8" s="79">
        <v>-25479.6303439491</v>
      </c>
      <c r="BA8" s="77">
        <v>15682.0864717818</v>
      </c>
      <c r="BB8" s="78">
        <v>38883.5722094699</v>
      </c>
      <c r="BC8" s="79">
        <v>-23201.4857376881</v>
      </c>
      <c r="BD8" s="77">
        <v>15936.661556976</v>
      </c>
      <c r="BE8" s="78">
        <v>38083.57790479</v>
      </c>
      <c r="BF8" s="79">
        <v>-22146.916347814</v>
      </c>
      <c r="BG8" s="77">
        <v>15859.3242384243</v>
      </c>
      <c r="BH8" s="78">
        <v>37604.76380181</v>
      </c>
      <c r="BI8" s="79">
        <v>-21745.4395633858</v>
      </c>
      <c r="BJ8" s="77">
        <v>14153.2440769724</v>
      </c>
      <c r="BK8" s="78">
        <v>35820.19456944</v>
      </c>
      <c r="BL8" s="79">
        <v>-21666.9504924676</v>
      </c>
      <c r="BM8" s="77">
        <v>14283.3134880646</v>
      </c>
      <c r="BN8" s="78">
        <v>37530.53011973</v>
      </c>
      <c r="BO8" s="79">
        <v>-23247.2166316655</v>
      </c>
      <c r="BP8" s="77">
        <v>12939.0952184738</v>
      </c>
      <c r="BQ8" s="78">
        <v>38065.57651531</v>
      </c>
      <c r="BR8" s="79">
        <v>-25126.4812968362</v>
      </c>
      <c r="BS8" s="77">
        <v>13389.9916694499</v>
      </c>
      <c r="BT8" s="78">
        <v>40648.54589067</v>
      </c>
      <c r="BU8" s="79">
        <v>-27258.5542212201</v>
      </c>
      <c r="BV8" s="77">
        <v>12857.1489491679</v>
      </c>
      <c r="BW8" s="78">
        <v>42099.1797661</v>
      </c>
      <c r="BX8" s="79">
        <v>-29242.0308169321</v>
      </c>
      <c r="BY8" s="77">
        <v>12686.1814895929</v>
      </c>
      <c r="BZ8" s="78">
        <v>42609.9054445278</v>
      </c>
      <c r="CA8" s="79">
        <v>-29923.7239549349</v>
      </c>
      <c r="CB8" s="77">
        <v>12610.2910872024</v>
      </c>
      <c r="CC8" s="78">
        <v>41136.4290555479</v>
      </c>
      <c r="CD8" s="79">
        <v>-28526.1379683455</v>
      </c>
      <c r="CE8" s="77">
        <v>11809.4132146755</v>
      </c>
      <c r="CF8" s="78">
        <v>39971.47202076</v>
      </c>
      <c r="CG8" s="79">
        <v>-28162.0588060844</v>
      </c>
      <c r="CH8" s="77">
        <v>11227.0582993311</v>
      </c>
      <c r="CI8" s="78">
        <v>38919.96355937</v>
      </c>
      <c r="CJ8" s="79">
        <v>-27692.9052600389</v>
      </c>
      <c r="CK8" s="77">
        <v>10883.2709686834</v>
      </c>
      <c r="CL8" s="78">
        <v>39474.43856283</v>
      </c>
      <c r="CM8" s="79">
        <v>-28591.1675941466</v>
      </c>
      <c r="CN8" s="77">
        <v>11660.3781465017</v>
      </c>
      <c r="CO8" s="78">
        <v>39041.15269272</v>
      </c>
      <c r="CP8" s="79">
        <v>-27380.7745462183</v>
      </c>
      <c r="CQ8" s="77">
        <v>12773.4974302044</v>
      </c>
      <c r="CR8" s="78">
        <v>35372.6527009299</v>
      </c>
      <c r="CS8" s="79">
        <v>-22599.1552707255</v>
      </c>
      <c r="CT8" s="77">
        <v>12526.6650757526</v>
      </c>
      <c r="CU8" s="78">
        <v>38353.54027878</v>
      </c>
      <c r="CV8" s="79">
        <v>-25826.8752030274</v>
      </c>
      <c r="CW8" s="77">
        <v>12475.6358704591</v>
      </c>
      <c r="CX8" s="78">
        <v>38581.2888391599</v>
      </c>
      <c r="CY8" s="79">
        <v>-26105.6529687009</v>
      </c>
      <c r="CZ8" s="77">
        <v>14035.643509905</v>
      </c>
      <c r="DA8" s="78">
        <v>39153.75149837</v>
      </c>
      <c r="DB8" s="79">
        <v>-25118.1079884651</v>
      </c>
      <c r="DC8" s="77">
        <v>15999.5247587659</v>
      </c>
      <c r="DD8" s="78">
        <v>39253.88018283</v>
      </c>
      <c r="DE8" s="79">
        <v>-23254.3554240642</v>
      </c>
      <c r="DF8" s="77">
        <v>16541.4885421242</v>
      </c>
      <c r="DG8" s="78">
        <v>39032.5379399574</v>
      </c>
      <c r="DH8" s="79">
        <v>-22491.0493978331</v>
      </c>
    </row>
    <row r="9" s="52" customFormat="1" spans="1:112">
      <c r="A9" s="68" t="s">
        <v>164</v>
      </c>
      <c r="B9" s="72">
        <v>11.59805665</v>
      </c>
      <c r="C9" s="73">
        <v>14192.1297204</v>
      </c>
      <c r="D9" s="74">
        <v>-14180.53166375</v>
      </c>
      <c r="E9" s="72">
        <v>14.0301087</v>
      </c>
      <c r="F9" s="73">
        <v>11953.21496609</v>
      </c>
      <c r="G9" s="74">
        <v>-11939.18485739</v>
      </c>
      <c r="H9" s="72">
        <v>16.91580817</v>
      </c>
      <c r="I9" s="73">
        <v>6307.66409673</v>
      </c>
      <c r="J9" s="74">
        <v>-6290.74828856</v>
      </c>
      <c r="K9" s="72">
        <v>19.30957556</v>
      </c>
      <c r="L9" s="73">
        <v>7038.95740791881</v>
      </c>
      <c r="M9" s="74">
        <v>-7019.64783235881</v>
      </c>
      <c r="N9" s="72">
        <v>17.58746169</v>
      </c>
      <c r="O9" s="73">
        <v>7130.68760434162</v>
      </c>
      <c r="P9" s="74">
        <v>-7113.10014265162</v>
      </c>
      <c r="Q9" s="72">
        <v>21.54847121</v>
      </c>
      <c r="R9" s="73">
        <v>8131.63999105</v>
      </c>
      <c r="S9" s="74">
        <v>-8110.09151984</v>
      </c>
      <c r="T9" s="72">
        <v>23.05844553</v>
      </c>
      <c r="U9" s="73">
        <v>6916.22410414</v>
      </c>
      <c r="V9" s="74">
        <v>-6893.16565861</v>
      </c>
      <c r="W9" s="72">
        <v>17.90861252</v>
      </c>
      <c r="X9" s="73">
        <v>10665.38220313</v>
      </c>
      <c r="Y9" s="74">
        <v>-10647.47359061</v>
      </c>
      <c r="Z9" s="72">
        <v>17.77379652</v>
      </c>
      <c r="AA9" s="73">
        <v>14387.61301406</v>
      </c>
      <c r="AB9" s="74">
        <v>-14369.83921754</v>
      </c>
      <c r="AC9" s="72">
        <v>17.441581748</v>
      </c>
      <c r="AD9" s="73">
        <v>13510.78877567</v>
      </c>
      <c r="AE9" s="74">
        <v>-13493.347193922</v>
      </c>
      <c r="AF9" s="72">
        <v>15.606122908</v>
      </c>
      <c r="AG9" s="73">
        <v>12685.974727775</v>
      </c>
      <c r="AH9" s="74">
        <v>-12670.368604867</v>
      </c>
      <c r="AI9" s="72">
        <v>14.9291881167827</v>
      </c>
      <c r="AJ9" s="73">
        <v>9569.41214949</v>
      </c>
      <c r="AK9" s="74">
        <v>-9554.48296137322</v>
      </c>
      <c r="AL9" s="72">
        <v>16.9179687267827</v>
      </c>
      <c r="AM9" s="73">
        <v>9729.37792111</v>
      </c>
      <c r="AN9" s="74">
        <v>-9712.45995238322</v>
      </c>
      <c r="AO9" s="72">
        <v>18.888595084708</v>
      </c>
      <c r="AP9" s="73">
        <v>8693.92000564</v>
      </c>
      <c r="AQ9" s="74">
        <v>-8675.03141055529</v>
      </c>
      <c r="AR9" s="72">
        <v>22.039426284708</v>
      </c>
      <c r="AS9" s="73">
        <v>6218.3218226</v>
      </c>
      <c r="AT9" s="74">
        <v>-6196.28239631529</v>
      </c>
      <c r="AU9" s="72">
        <v>24.61343745</v>
      </c>
      <c r="AV9" s="73">
        <v>2807.02553767</v>
      </c>
      <c r="AW9" s="74">
        <v>-2782.41210022</v>
      </c>
      <c r="AX9" s="72">
        <v>29.4555812971242</v>
      </c>
      <c r="AY9" s="73">
        <v>5150.24316193</v>
      </c>
      <c r="AZ9" s="74">
        <v>-5120.78758063288</v>
      </c>
      <c r="BA9" s="72">
        <v>32.2461658871242</v>
      </c>
      <c r="BB9" s="73">
        <v>4842.55163682</v>
      </c>
      <c r="BC9" s="74">
        <v>-4810.30547093288</v>
      </c>
      <c r="BD9" s="72">
        <v>28.99473358</v>
      </c>
      <c r="BE9" s="73">
        <v>6641.60742499</v>
      </c>
      <c r="BF9" s="74">
        <v>-6612.61269141</v>
      </c>
      <c r="BG9" s="72">
        <v>24.3014089634538</v>
      </c>
      <c r="BH9" s="73">
        <v>6296.40857339</v>
      </c>
      <c r="BI9" s="74">
        <v>-6272.10716442654</v>
      </c>
      <c r="BJ9" s="72">
        <v>30.4117848334538</v>
      </c>
      <c r="BK9" s="73">
        <v>7308.65871302</v>
      </c>
      <c r="BL9" s="74">
        <v>-7278.24692818655</v>
      </c>
      <c r="BM9" s="72">
        <v>35.6591433434538</v>
      </c>
      <c r="BN9" s="73">
        <v>10214.46258813</v>
      </c>
      <c r="BO9" s="74">
        <v>-10178.8034447865</v>
      </c>
      <c r="BP9" s="72">
        <v>35.0890920346048</v>
      </c>
      <c r="BQ9" s="73">
        <v>9439.06099545</v>
      </c>
      <c r="BR9" s="74">
        <v>-9403.97190341539</v>
      </c>
      <c r="BS9" s="72">
        <v>55.36529737</v>
      </c>
      <c r="BT9" s="73">
        <v>10077.8519038</v>
      </c>
      <c r="BU9" s="74">
        <v>-10022.48660643</v>
      </c>
      <c r="BV9" s="72">
        <v>59.57999421</v>
      </c>
      <c r="BW9" s="73">
        <v>10186.16505346</v>
      </c>
      <c r="BX9" s="74">
        <v>-10126.58505925</v>
      </c>
      <c r="BY9" s="72">
        <v>54.3645033700359</v>
      </c>
      <c r="BZ9" s="73">
        <v>11048.0087755479</v>
      </c>
      <c r="CA9" s="74">
        <v>-10993.6442721778</v>
      </c>
      <c r="CB9" s="72">
        <v>114.652146859984</v>
      </c>
      <c r="CC9" s="73">
        <v>9851.89652517785</v>
      </c>
      <c r="CD9" s="74">
        <v>-9737.24437831787</v>
      </c>
      <c r="CE9" s="72">
        <v>115.772715529932</v>
      </c>
      <c r="CF9" s="73">
        <v>8565.11564776</v>
      </c>
      <c r="CG9" s="74">
        <v>-8449.34293223007</v>
      </c>
      <c r="CH9" s="72">
        <v>121.679585020077</v>
      </c>
      <c r="CI9" s="73">
        <v>8021.53165339</v>
      </c>
      <c r="CJ9" s="74">
        <v>-7899.85206836992</v>
      </c>
      <c r="CK9" s="72">
        <v>120.490245020109</v>
      </c>
      <c r="CL9" s="73">
        <v>9327.75524766</v>
      </c>
      <c r="CM9" s="74">
        <v>-9207.26500263989</v>
      </c>
      <c r="CN9" s="72">
        <v>245.292404021229</v>
      </c>
      <c r="CO9" s="73">
        <v>6776.15944085</v>
      </c>
      <c r="CP9" s="74">
        <v>-6530.86703682877</v>
      </c>
      <c r="CQ9" s="72">
        <v>183.635581555644</v>
      </c>
      <c r="CR9" s="73">
        <v>4849.35008464</v>
      </c>
      <c r="CS9" s="74">
        <v>-4665.71450308436</v>
      </c>
      <c r="CT9" s="72">
        <v>185.626715264033</v>
      </c>
      <c r="CU9" s="73">
        <v>7083.88691862</v>
      </c>
      <c r="CV9" s="74">
        <v>-6898.26020335597</v>
      </c>
      <c r="CW9" s="72">
        <v>157.567551375591</v>
      </c>
      <c r="CX9" s="73">
        <v>7355.23254749</v>
      </c>
      <c r="CY9" s="74">
        <v>-7197.66499611441</v>
      </c>
      <c r="CZ9" s="72">
        <v>145.880615835486</v>
      </c>
      <c r="DA9" s="73">
        <v>7454.10094458</v>
      </c>
      <c r="DB9" s="74">
        <v>-7308.22032874451</v>
      </c>
      <c r="DC9" s="72">
        <v>118.605835249923</v>
      </c>
      <c r="DD9" s="73">
        <v>7466.44986051</v>
      </c>
      <c r="DE9" s="74">
        <v>-7347.84402526008</v>
      </c>
      <c r="DF9" s="72">
        <v>127.455799879988</v>
      </c>
      <c r="DG9" s="73">
        <v>8384.76364404</v>
      </c>
      <c r="DH9" s="74">
        <v>-8257.30784416001</v>
      </c>
    </row>
    <row r="10" s="52" customFormat="1" spans="1:112">
      <c r="A10" s="80" t="s">
        <v>171</v>
      </c>
      <c r="B10" s="81">
        <v>0</v>
      </c>
      <c r="C10" s="82">
        <v>1496.0792405</v>
      </c>
      <c r="D10" s="83">
        <v>-1496.0792405</v>
      </c>
      <c r="E10" s="81">
        <v>0</v>
      </c>
      <c r="F10" s="82">
        <v>1015.05171102</v>
      </c>
      <c r="G10" s="83">
        <v>-1015.05171102</v>
      </c>
      <c r="H10" s="81">
        <v>0</v>
      </c>
      <c r="I10" s="82">
        <v>2207.86000237</v>
      </c>
      <c r="J10" s="83">
        <v>-2207.86000237</v>
      </c>
      <c r="K10" s="81">
        <v>0</v>
      </c>
      <c r="L10" s="82">
        <v>1732.09506031881</v>
      </c>
      <c r="M10" s="83">
        <v>-1732.09506031881</v>
      </c>
      <c r="N10" s="81">
        <v>0</v>
      </c>
      <c r="O10" s="82">
        <v>2406.90666564162</v>
      </c>
      <c r="P10" s="83">
        <v>-2406.90666564162</v>
      </c>
      <c r="Q10" s="81">
        <v>0</v>
      </c>
      <c r="R10" s="82">
        <v>2781.5959473</v>
      </c>
      <c r="S10" s="83">
        <v>-2781.5959473</v>
      </c>
      <c r="T10" s="81">
        <v>0</v>
      </c>
      <c r="U10" s="82">
        <v>3018.00343954</v>
      </c>
      <c r="V10" s="83">
        <v>-3018.00343954</v>
      </c>
      <c r="W10" s="81">
        <v>0</v>
      </c>
      <c r="X10" s="82">
        <v>4342.86049213</v>
      </c>
      <c r="Y10" s="83">
        <v>-4342.86049213</v>
      </c>
      <c r="Z10" s="81">
        <v>0</v>
      </c>
      <c r="AA10" s="82">
        <v>4701.13758306</v>
      </c>
      <c r="AB10" s="83">
        <v>-4701.13758306</v>
      </c>
      <c r="AC10" s="81">
        <v>0</v>
      </c>
      <c r="AD10" s="82">
        <v>3641.47445867</v>
      </c>
      <c r="AE10" s="83">
        <v>-3641.47445867</v>
      </c>
      <c r="AF10" s="81">
        <v>0</v>
      </c>
      <c r="AG10" s="82">
        <v>3451.36269477497</v>
      </c>
      <c r="AH10" s="83">
        <v>-3451.36269477497</v>
      </c>
      <c r="AI10" s="81">
        <v>0</v>
      </c>
      <c r="AJ10" s="82">
        <v>2425.24554449</v>
      </c>
      <c r="AK10" s="83">
        <v>-2425.24554449</v>
      </c>
      <c r="AL10" s="81">
        <v>0</v>
      </c>
      <c r="AM10" s="82">
        <v>2409.50251111</v>
      </c>
      <c r="AN10" s="83">
        <v>-2409.50251111</v>
      </c>
      <c r="AO10" s="81">
        <v>0</v>
      </c>
      <c r="AP10" s="82">
        <v>1876.96841964</v>
      </c>
      <c r="AQ10" s="83">
        <v>-1876.96841964</v>
      </c>
      <c r="AR10" s="81">
        <v>0</v>
      </c>
      <c r="AS10" s="82">
        <v>3265.8733736</v>
      </c>
      <c r="AT10" s="83">
        <v>-3265.8733736</v>
      </c>
      <c r="AU10" s="81">
        <v>0</v>
      </c>
      <c r="AV10" s="82">
        <v>2555.55526967</v>
      </c>
      <c r="AW10" s="83">
        <v>-2555.55526967</v>
      </c>
      <c r="AX10" s="81">
        <v>0</v>
      </c>
      <c r="AY10" s="82">
        <v>3049.31187193</v>
      </c>
      <c r="AZ10" s="83">
        <v>-3049.31187193</v>
      </c>
      <c r="BA10" s="81">
        <v>0</v>
      </c>
      <c r="BB10" s="82">
        <v>4543.20379682</v>
      </c>
      <c r="BC10" s="83">
        <v>-4543.20379682</v>
      </c>
      <c r="BD10" s="81">
        <v>0</v>
      </c>
      <c r="BE10" s="82">
        <v>4682.79423799</v>
      </c>
      <c r="BF10" s="83">
        <v>-4682.79423799</v>
      </c>
      <c r="BG10" s="81">
        <v>0</v>
      </c>
      <c r="BH10" s="82">
        <v>2910.41881145</v>
      </c>
      <c r="BI10" s="83">
        <v>-2910.41881145</v>
      </c>
      <c r="BJ10" s="81">
        <v>0</v>
      </c>
      <c r="BK10" s="82">
        <v>2807.86034189</v>
      </c>
      <c r="BL10" s="83">
        <v>-2807.86034189</v>
      </c>
      <c r="BM10" s="81">
        <v>0</v>
      </c>
      <c r="BN10" s="82">
        <v>2669.70477686</v>
      </c>
      <c r="BO10" s="83">
        <v>-2669.70477686</v>
      </c>
      <c r="BP10" s="81">
        <v>0</v>
      </c>
      <c r="BQ10" s="82">
        <v>1186.12465649</v>
      </c>
      <c r="BR10" s="83">
        <v>-1186.12465649</v>
      </c>
      <c r="BS10" s="81">
        <v>0</v>
      </c>
      <c r="BT10" s="82">
        <v>1775.77205966</v>
      </c>
      <c r="BU10" s="83">
        <v>-1775.77205966</v>
      </c>
      <c r="BV10" s="81">
        <v>0</v>
      </c>
      <c r="BW10" s="82">
        <v>1584.45864057</v>
      </c>
      <c r="BX10" s="83">
        <v>-1584.45864057</v>
      </c>
      <c r="BY10" s="81">
        <v>0</v>
      </c>
      <c r="BZ10" s="82">
        <v>1502.05993347785</v>
      </c>
      <c r="CA10" s="83">
        <v>-1502.05993347785</v>
      </c>
      <c r="CB10" s="81">
        <v>0</v>
      </c>
      <c r="CC10" s="82">
        <v>1492.09270764785</v>
      </c>
      <c r="CD10" s="83">
        <v>-1492.09270764785</v>
      </c>
      <c r="CE10" s="81">
        <v>0</v>
      </c>
      <c r="CF10" s="82">
        <v>1206.66194132</v>
      </c>
      <c r="CG10" s="83">
        <v>-1206.66194132</v>
      </c>
      <c r="CH10" s="81">
        <v>0</v>
      </c>
      <c r="CI10" s="82">
        <v>1361.64809713</v>
      </c>
      <c r="CJ10" s="83">
        <v>-1361.64809713</v>
      </c>
      <c r="CK10" s="81">
        <v>0</v>
      </c>
      <c r="CL10" s="82">
        <v>2624.90818424</v>
      </c>
      <c r="CM10" s="83">
        <v>-2624.90818424</v>
      </c>
      <c r="CN10" s="81">
        <v>0</v>
      </c>
      <c r="CO10" s="82">
        <v>2730.78332826</v>
      </c>
      <c r="CP10" s="83">
        <v>-2730.78332826</v>
      </c>
      <c r="CQ10" s="81">
        <v>0</v>
      </c>
      <c r="CR10" s="82">
        <v>2119.91759419</v>
      </c>
      <c r="CS10" s="83">
        <v>-2119.91759419</v>
      </c>
      <c r="CT10" s="81">
        <v>0</v>
      </c>
      <c r="CU10" s="82">
        <v>2888.08045383</v>
      </c>
      <c r="CV10" s="83">
        <v>-2888.08045383</v>
      </c>
      <c r="CW10" s="81">
        <v>0</v>
      </c>
      <c r="CX10" s="82">
        <v>3039.63877538</v>
      </c>
      <c r="CY10" s="83">
        <v>-3039.63877538</v>
      </c>
      <c r="CZ10" s="81">
        <v>0</v>
      </c>
      <c r="DA10" s="82">
        <v>2869.75382123</v>
      </c>
      <c r="DB10" s="83">
        <v>-2869.75382123</v>
      </c>
      <c r="DC10" s="81">
        <v>0</v>
      </c>
      <c r="DD10" s="82">
        <v>3130.17049854</v>
      </c>
      <c r="DE10" s="83">
        <v>-3130.17049854</v>
      </c>
      <c r="DF10" s="81">
        <v>0</v>
      </c>
      <c r="DG10" s="82">
        <v>3045.46408421</v>
      </c>
      <c r="DH10" s="83">
        <v>-3045.46408421</v>
      </c>
    </row>
    <row r="11" s="52" customFormat="1" spans="1:112">
      <c r="A11" s="80" t="s">
        <v>418</v>
      </c>
      <c r="B11" s="81">
        <v>0</v>
      </c>
      <c r="C11" s="82">
        <v>12617.2953499</v>
      </c>
      <c r="D11" s="83">
        <v>-12617.2953499</v>
      </c>
      <c r="E11" s="81">
        <v>0</v>
      </c>
      <c r="F11" s="82">
        <v>10755.73922507</v>
      </c>
      <c r="G11" s="83">
        <v>-10755.73922507</v>
      </c>
      <c r="H11" s="81">
        <v>0</v>
      </c>
      <c r="I11" s="82">
        <v>3919.74586436</v>
      </c>
      <c r="J11" s="83">
        <v>-3919.74586436</v>
      </c>
      <c r="K11" s="81">
        <v>0</v>
      </c>
      <c r="L11" s="82">
        <v>5238.1754076</v>
      </c>
      <c r="M11" s="83">
        <v>-5238.1754076</v>
      </c>
      <c r="N11" s="81">
        <v>0</v>
      </c>
      <c r="O11" s="82">
        <v>4647.8005587</v>
      </c>
      <c r="P11" s="83">
        <v>-4647.8005587</v>
      </c>
      <c r="Q11" s="81">
        <v>0</v>
      </c>
      <c r="R11" s="82">
        <v>5286.09707375</v>
      </c>
      <c r="S11" s="83">
        <v>-5286.09707375</v>
      </c>
      <c r="T11" s="81">
        <v>0</v>
      </c>
      <c r="U11" s="82">
        <v>3837.3794246</v>
      </c>
      <c r="V11" s="83">
        <v>-3837.3794246</v>
      </c>
      <c r="W11" s="81">
        <v>0</v>
      </c>
      <c r="X11" s="82">
        <v>6272.122711</v>
      </c>
      <c r="Y11" s="83">
        <v>-6272.122711</v>
      </c>
      <c r="Z11" s="81">
        <v>0</v>
      </c>
      <c r="AA11" s="82">
        <v>9611.664791</v>
      </c>
      <c r="AB11" s="83">
        <v>-9611.664791</v>
      </c>
      <c r="AC11" s="81">
        <v>0</v>
      </c>
      <c r="AD11" s="82">
        <v>9794.951577</v>
      </c>
      <c r="AE11" s="83">
        <v>-9794.951577</v>
      </c>
      <c r="AF11" s="81">
        <v>0</v>
      </c>
      <c r="AG11" s="82">
        <v>9170.161293</v>
      </c>
      <c r="AH11" s="83">
        <v>-9170.161293</v>
      </c>
      <c r="AI11" s="81">
        <v>0</v>
      </c>
      <c r="AJ11" s="82">
        <v>7082.430365</v>
      </c>
      <c r="AK11" s="83">
        <v>-7082.430365</v>
      </c>
      <c r="AL11" s="81">
        <v>0</v>
      </c>
      <c r="AM11" s="82">
        <v>7260.87817</v>
      </c>
      <c r="AN11" s="83">
        <v>-7260.87817</v>
      </c>
      <c r="AO11" s="81">
        <v>0</v>
      </c>
      <c r="AP11" s="82">
        <v>6762.429346</v>
      </c>
      <c r="AQ11" s="83">
        <v>-6762.429346</v>
      </c>
      <c r="AR11" s="81">
        <v>0</v>
      </c>
      <c r="AS11" s="82">
        <v>2898.891309</v>
      </c>
      <c r="AT11" s="83">
        <v>-2898.891309</v>
      </c>
      <c r="AU11" s="81">
        <v>0</v>
      </c>
      <c r="AV11" s="82">
        <v>199.918128</v>
      </c>
      <c r="AW11" s="83">
        <v>-199.918128</v>
      </c>
      <c r="AX11" s="81">
        <v>0</v>
      </c>
      <c r="AY11" s="82">
        <v>2049.94675</v>
      </c>
      <c r="AZ11" s="83">
        <v>-2049.94675</v>
      </c>
      <c r="BA11" s="81">
        <v>0</v>
      </c>
      <c r="BB11" s="82">
        <v>249.9835</v>
      </c>
      <c r="BC11" s="83">
        <v>-249.9835</v>
      </c>
      <c r="BD11" s="81">
        <v>0</v>
      </c>
      <c r="BE11" s="82">
        <v>1909.655247</v>
      </c>
      <c r="BF11" s="83">
        <v>-1909.655247</v>
      </c>
      <c r="BG11" s="81">
        <v>0</v>
      </c>
      <c r="BH11" s="82">
        <v>3338.71525194</v>
      </c>
      <c r="BI11" s="83">
        <v>-3338.71525194</v>
      </c>
      <c r="BJ11" s="81">
        <v>0</v>
      </c>
      <c r="BK11" s="82">
        <v>4352.18236113</v>
      </c>
      <c r="BL11" s="83">
        <v>-4352.18236113</v>
      </c>
      <c r="BM11" s="81">
        <v>0</v>
      </c>
      <c r="BN11" s="82">
        <v>7391.25367127</v>
      </c>
      <c r="BO11" s="83">
        <v>-7391.25367127</v>
      </c>
      <c r="BP11" s="81">
        <v>0</v>
      </c>
      <c r="BQ11" s="82">
        <v>8108.60164896</v>
      </c>
      <c r="BR11" s="83">
        <v>-8108.60164896</v>
      </c>
      <c r="BS11" s="81">
        <v>0</v>
      </c>
      <c r="BT11" s="82">
        <v>8157.05220414</v>
      </c>
      <c r="BU11" s="83">
        <v>-8157.05220414</v>
      </c>
      <c r="BV11" s="81">
        <v>0</v>
      </c>
      <c r="BW11" s="82">
        <v>8483.87061289</v>
      </c>
      <c r="BX11" s="83">
        <v>-8483.87061289</v>
      </c>
      <c r="BY11" s="81">
        <v>0</v>
      </c>
      <c r="BZ11" s="82">
        <v>9387.36697207</v>
      </c>
      <c r="CA11" s="83">
        <v>-9387.36697207</v>
      </c>
      <c r="CB11" s="81">
        <v>0</v>
      </c>
      <c r="CC11" s="82">
        <v>8195.17673753</v>
      </c>
      <c r="CD11" s="83">
        <v>-8195.17673753</v>
      </c>
      <c r="CE11" s="81">
        <v>0</v>
      </c>
      <c r="CF11" s="82">
        <v>7200.82084644</v>
      </c>
      <c r="CG11" s="83">
        <v>-7200.82084644</v>
      </c>
      <c r="CH11" s="81">
        <v>0</v>
      </c>
      <c r="CI11" s="82">
        <v>6499.70901626</v>
      </c>
      <c r="CJ11" s="83">
        <v>-6499.70901626</v>
      </c>
      <c r="CK11" s="81">
        <v>0</v>
      </c>
      <c r="CL11" s="82">
        <v>6537.92143342</v>
      </c>
      <c r="CM11" s="83">
        <v>-6537.92143342</v>
      </c>
      <c r="CN11" s="81">
        <v>0</v>
      </c>
      <c r="CO11" s="82">
        <v>3890.07425259</v>
      </c>
      <c r="CP11" s="83">
        <v>-3890.07425259</v>
      </c>
      <c r="CQ11" s="81">
        <v>0</v>
      </c>
      <c r="CR11" s="82">
        <v>2568.87246045</v>
      </c>
      <c r="CS11" s="83">
        <v>-2568.87246045</v>
      </c>
      <c r="CT11" s="81">
        <v>0</v>
      </c>
      <c r="CU11" s="82">
        <v>4035.78661479</v>
      </c>
      <c r="CV11" s="83">
        <v>-4035.78661479</v>
      </c>
      <c r="CW11" s="81">
        <v>0</v>
      </c>
      <c r="CX11" s="82">
        <v>4159.74955211</v>
      </c>
      <c r="CY11" s="83">
        <v>-4159.74955211</v>
      </c>
      <c r="CZ11" s="81">
        <v>0</v>
      </c>
      <c r="DA11" s="82">
        <v>4426.81240335</v>
      </c>
      <c r="DB11" s="83">
        <v>-4426.81240335</v>
      </c>
      <c r="DC11" s="81">
        <v>0</v>
      </c>
      <c r="DD11" s="82">
        <v>4118.47282197</v>
      </c>
      <c r="DE11" s="83">
        <v>-4118.47282197</v>
      </c>
      <c r="DF11" s="81">
        <v>0</v>
      </c>
      <c r="DG11" s="82">
        <v>5188.18074983</v>
      </c>
      <c r="DH11" s="83">
        <v>-5188.18074983</v>
      </c>
    </row>
    <row r="12" s="52" customFormat="1" spans="1:112">
      <c r="A12" s="80" t="s">
        <v>173</v>
      </c>
      <c r="B12" s="81">
        <v>0</v>
      </c>
      <c r="C12" s="82">
        <v>0</v>
      </c>
      <c r="D12" s="83">
        <v>0</v>
      </c>
      <c r="E12" s="81">
        <v>0</v>
      </c>
      <c r="F12" s="82">
        <v>0</v>
      </c>
      <c r="G12" s="83">
        <v>0</v>
      </c>
      <c r="H12" s="81">
        <v>0</v>
      </c>
      <c r="I12" s="82">
        <v>0</v>
      </c>
      <c r="J12" s="83">
        <v>0</v>
      </c>
      <c r="K12" s="81">
        <v>0</v>
      </c>
      <c r="L12" s="82">
        <v>0</v>
      </c>
      <c r="M12" s="83">
        <v>0</v>
      </c>
      <c r="N12" s="81">
        <v>0</v>
      </c>
      <c r="O12" s="82">
        <v>0</v>
      </c>
      <c r="P12" s="83">
        <v>0</v>
      </c>
      <c r="Q12" s="81">
        <v>0</v>
      </c>
      <c r="R12" s="82">
        <v>0</v>
      </c>
      <c r="S12" s="83">
        <v>0</v>
      </c>
      <c r="T12" s="81">
        <v>0</v>
      </c>
      <c r="U12" s="82">
        <v>0</v>
      </c>
      <c r="V12" s="83">
        <v>0</v>
      </c>
      <c r="W12" s="81">
        <v>0</v>
      </c>
      <c r="X12" s="82">
        <v>0</v>
      </c>
      <c r="Y12" s="83">
        <v>0</v>
      </c>
      <c r="Z12" s="81">
        <v>0</v>
      </c>
      <c r="AA12" s="82">
        <v>0</v>
      </c>
      <c r="AB12" s="83">
        <v>0</v>
      </c>
      <c r="AC12" s="81">
        <v>0</v>
      </c>
      <c r="AD12" s="82">
        <v>0</v>
      </c>
      <c r="AE12" s="83">
        <v>0</v>
      </c>
      <c r="AF12" s="81">
        <v>0</v>
      </c>
      <c r="AG12" s="82">
        <v>0</v>
      </c>
      <c r="AH12" s="83">
        <v>0</v>
      </c>
      <c r="AI12" s="81">
        <v>0</v>
      </c>
      <c r="AJ12" s="82">
        <v>0</v>
      </c>
      <c r="AK12" s="83">
        <v>0</v>
      </c>
      <c r="AL12" s="81">
        <v>0</v>
      </c>
      <c r="AM12" s="82">
        <v>0</v>
      </c>
      <c r="AN12" s="83">
        <v>0</v>
      </c>
      <c r="AO12" s="81">
        <v>0</v>
      </c>
      <c r="AP12" s="82">
        <v>0</v>
      </c>
      <c r="AQ12" s="83">
        <v>0</v>
      </c>
      <c r="AR12" s="81">
        <v>0</v>
      </c>
      <c r="AS12" s="82">
        <v>0</v>
      </c>
      <c r="AT12" s="83">
        <v>0</v>
      </c>
      <c r="AU12" s="81">
        <v>0</v>
      </c>
      <c r="AV12" s="82">
        <v>0</v>
      </c>
      <c r="AW12" s="83">
        <v>0</v>
      </c>
      <c r="AX12" s="81">
        <v>0</v>
      </c>
      <c r="AY12" s="82">
        <v>0</v>
      </c>
      <c r="AZ12" s="83">
        <v>0</v>
      </c>
      <c r="BA12" s="81">
        <v>0</v>
      </c>
      <c r="BB12" s="82">
        <v>0</v>
      </c>
      <c r="BC12" s="83">
        <v>0</v>
      </c>
      <c r="BD12" s="81">
        <v>0</v>
      </c>
      <c r="BE12" s="82">
        <v>0</v>
      </c>
      <c r="BF12" s="83">
        <v>0</v>
      </c>
      <c r="BG12" s="81">
        <v>0</v>
      </c>
      <c r="BH12" s="82">
        <v>0</v>
      </c>
      <c r="BI12" s="83">
        <v>0</v>
      </c>
      <c r="BJ12" s="81">
        <v>0</v>
      </c>
      <c r="BK12" s="82">
        <v>0</v>
      </c>
      <c r="BL12" s="83">
        <v>0</v>
      </c>
      <c r="BM12" s="81">
        <v>0</v>
      </c>
      <c r="BN12" s="82">
        <v>0</v>
      </c>
      <c r="BO12" s="83">
        <v>0</v>
      </c>
      <c r="BP12" s="81">
        <v>0</v>
      </c>
      <c r="BQ12" s="82">
        <v>0</v>
      </c>
      <c r="BR12" s="83">
        <v>0</v>
      </c>
      <c r="BS12" s="81">
        <v>0</v>
      </c>
      <c r="BT12" s="82">
        <v>0</v>
      </c>
      <c r="BU12" s="83">
        <v>0</v>
      </c>
      <c r="BV12" s="81">
        <v>0</v>
      </c>
      <c r="BW12" s="82">
        <v>0</v>
      </c>
      <c r="BX12" s="83">
        <v>0</v>
      </c>
      <c r="BY12" s="81">
        <v>0</v>
      </c>
      <c r="BZ12" s="82">
        <v>0</v>
      </c>
      <c r="CA12" s="83">
        <v>0</v>
      </c>
      <c r="CB12" s="81">
        <v>0</v>
      </c>
      <c r="CC12" s="82">
        <v>0</v>
      </c>
      <c r="CD12" s="83">
        <v>0</v>
      </c>
      <c r="CE12" s="81">
        <v>0</v>
      </c>
      <c r="CF12" s="82">
        <v>0</v>
      </c>
      <c r="CG12" s="83">
        <v>0</v>
      </c>
      <c r="CH12" s="81">
        <v>0</v>
      </c>
      <c r="CI12" s="82">
        <v>0</v>
      </c>
      <c r="CJ12" s="83">
        <v>0</v>
      </c>
      <c r="CK12" s="81">
        <v>0</v>
      </c>
      <c r="CL12" s="82">
        <v>0</v>
      </c>
      <c r="CM12" s="83">
        <v>0</v>
      </c>
      <c r="CN12" s="81">
        <v>0</v>
      </c>
      <c r="CO12" s="82">
        <v>0</v>
      </c>
      <c r="CP12" s="83">
        <v>0</v>
      </c>
      <c r="CQ12" s="81">
        <v>0</v>
      </c>
      <c r="CR12" s="82">
        <v>0</v>
      </c>
      <c r="CS12" s="83">
        <v>0</v>
      </c>
      <c r="CT12" s="81">
        <v>0</v>
      </c>
      <c r="CU12" s="82">
        <v>0</v>
      </c>
      <c r="CV12" s="83">
        <v>0</v>
      </c>
      <c r="CW12" s="81">
        <v>0</v>
      </c>
      <c r="CX12" s="82">
        <v>0</v>
      </c>
      <c r="CY12" s="83">
        <v>0</v>
      </c>
      <c r="CZ12" s="81">
        <v>0</v>
      </c>
      <c r="DA12" s="82">
        <v>0</v>
      </c>
      <c r="DB12" s="83">
        <v>0</v>
      </c>
      <c r="DC12" s="81">
        <v>0</v>
      </c>
      <c r="DD12" s="82">
        <v>0</v>
      </c>
      <c r="DE12" s="83">
        <v>0</v>
      </c>
      <c r="DF12" s="81">
        <v>0</v>
      </c>
      <c r="DG12" s="82">
        <v>0</v>
      </c>
      <c r="DH12" s="83">
        <v>0</v>
      </c>
    </row>
    <row r="13" s="52" customFormat="1" spans="1:112">
      <c r="A13" s="80" t="s">
        <v>174</v>
      </c>
      <c r="B13" s="81">
        <v>11.59805665</v>
      </c>
      <c r="C13" s="82">
        <v>78.46513</v>
      </c>
      <c r="D13" s="83">
        <v>-66.86707335</v>
      </c>
      <c r="E13" s="81">
        <v>14.0301087</v>
      </c>
      <c r="F13" s="82">
        <v>182.13403</v>
      </c>
      <c r="G13" s="83">
        <v>-168.1039213</v>
      </c>
      <c r="H13" s="81">
        <v>16.91580817</v>
      </c>
      <c r="I13" s="82">
        <v>179.76823</v>
      </c>
      <c r="J13" s="83">
        <v>-162.85242183</v>
      </c>
      <c r="K13" s="81">
        <v>19.30957556</v>
      </c>
      <c r="L13" s="82">
        <v>68.39694</v>
      </c>
      <c r="M13" s="83">
        <v>-49.08736444</v>
      </c>
      <c r="N13" s="81">
        <v>17.58746169</v>
      </c>
      <c r="O13" s="82">
        <v>75.69038</v>
      </c>
      <c r="P13" s="83">
        <v>-58.10291831</v>
      </c>
      <c r="Q13" s="81">
        <v>21.54847121</v>
      </c>
      <c r="R13" s="82">
        <v>63.65697</v>
      </c>
      <c r="S13" s="83">
        <v>-42.10849879</v>
      </c>
      <c r="T13" s="81">
        <v>23.05844553</v>
      </c>
      <c r="U13" s="82">
        <v>60.55124</v>
      </c>
      <c r="V13" s="83">
        <v>-37.49279447</v>
      </c>
      <c r="W13" s="81">
        <v>17.90861252</v>
      </c>
      <c r="X13" s="82">
        <v>50.109</v>
      </c>
      <c r="Y13" s="83">
        <v>-32.20038748</v>
      </c>
      <c r="Z13" s="81">
        <v>17.77379652</v>
      </c>
      <c r="AA13" s="82">
        <v>74.52064</v>
      </c>
      <c r="AB13" s="83">
        <v>-56.74684348</v>
      </c>
      <c r="AC13" s="81">
        <v>17.441581748</v>
      </c>
      <c r="AD13" s="82">
        <v>74.07274</v>
      </c>
      <c r="AE13" s="83">
        <v>-56.631158252</v>
      </c>
      <c r="AF13" s="81">
        <v>15.606122908</v>
      </c>
      <c r="AG13" s="82">
        <v>64.16074</v>
      </c>
      <c r="AH13" s="83">
        <v>-48.554617092</v>
      </c>
      <c r="AI13" s="81">
        <v>14.9291881167827</v>
      </c>
      <c r="AJ13" s="82">
        <v>61.44624</v>
      </c>
      <c r="AK13" s="83">
        <v>-46.5170518832173</v>
      </c>
      <c r="AL13" s="81">
        <v>16.9179687267827</v>
      </c>
      <c r="AM13" s="82">
        <v>58.70724</v>
      </c>
      <c r="AN13" s="83">
        <v>-41.7892712732173</v>
      </c>
      <c r="AO13" s="81">
        <v>18.888595084708</v>
      </c>
      <c r="AP13" s="82">
        <v>54.52224</v>
      </c>
      <c r="AQ13" s="83">
        <v>-35.633644915292</v>
      </c>
      <c r="AR13" s="81">
        <v>22.039426284708</v>
      </c>
      <c r="AS13" s="82">
        <v>53.55714</v>
      </c>
      <c r="AT13" s="83">
        <v>-31.517713715292</v>
      </c>
      <c r="AU13" s="81">
        <v>24.61343745</v>
      </c>
      <c r="AV13" s="82">
        <v>51.55214</v>
      </c>
      <c r="AW13" s="83">
        <v>-26.93870255</v>
      </c>
      <c r="AX13" s="81">
        <v>29.4555812971242</v>
      </c>
      <c r="AY13" s="82">
        <v>50.98454</v>
      </c>
      <c r="AZ13" s="83">
        <v>-21.5289587028758</v>
      </c>
      <c r="BA13" s="81">
        <v>32.2461658871242</v>
      </c>
      <c r="BB13" s="82">
        <v>49.36434</v>
      </c>
      <c r="BC13" s="83">
        <v>-17.1181741128758</v>
      </c>
      <c r="BD13" s="81">
        <v>28.99473358</v>
      </c>
      <c r="BE13" s="82">
        <v>49.15794</v>
      </c>
      <c r="BF13" s="83">
        <v>-20.16320642</v>
      </c>
      <c r="BG13" s="81">
        <v>24.3014089634538</v>
      </c>
      <c r="BH13" s="82">
        <v>47.27451</v>
      </c>
      <c r="BI13" s="83">
        <v>-22.9731010365462</v>
      </c>
      <c r="BJ13" s="81">
        <v>30.2870848334538</v>
      </c>
      <c r="BK13" s="82">
        <v>148.61601</v>
      </c>
      <c r="BL13" s="83">
        <v>-118.328925166546</v>
      </c>
      <c r="BM13" s="81">
        <v>35.6069033434538</v>
      </c>
      <c r="BN13" s="82">
        <v>153.50414</v>
      </c>
      <c r="BO13" s="83">
        <v>-117.897236656546</v>
      </c>
      <c r="BP13" s="81">
        <v>34.8963620346048</v>
      </c>
      <c r="BQ13" s="82">
        <v>144.33469</v>
      </c>
      <c r="BR13" s="83">
        <v>-109.438327965395</v>
      </c>
      <c r="BS13" s="81">
        <v>55.12605737</v>
      </c>
      <c r="BT13" s="82">
        <v>145.02764</v>
      </c>
      <c r="BU13" s="83">
        <v>-89.90158263</v>
      </c>
      <c r="BV13" s="81">
        <v>59.43440421</v>
      </c>
      <c r="BW13" s="82">
        <v>117.8358</v>
      </c>
      <c r="BX13" s="83">
        <v>-58.40139579</v>
      </c>
      <c r="BY13" s="81">
        <v>54.3638933700359</v>
      </c>
      <c r="BZ13" s="82">
        <v>158.58187</v>
      </c>
      <c r="CA13" s="83">
        <v>-104.217976629964</v>
      </c>
      <c r="CB13" s="81">
        <v>49.5011468599844</v>
      </c>
      <c r="CC13" s="82">
        <v>164.62708</v>
      </c>
      <c r="CD13" s="83">
        <v>-115.125933140016</v>
      </c>
      <c r="CE13" s="81">
        <v>50.6217155299324</v>
      </c>
      <c r="CF13" s="82">
        <v>157.63286</v>
      </c>
      <c r="CG13" s="83">
        <v>-107.011144470068</v>
      </c>
      <c r="CH13" s="81">
        <v>56.5285850200771</v>
      </c>
      <c r="CI13" s="82">
        <v>160.17454</v>
      </c>
      <c r="CJ13" s="83">
        <v>-103.645954979923</v>
      </c>
      <c r="CK13" s="81">
        <v>55.3392450201094</v>
      </c>
      <c r="CL13" s="82">
        <v>164.92563</v>
      </c>
      <c r="CM13" s="83">
        <v>-109.586384979891</v>
      </c>
      <c r="CN13" s="81">
        <v>131.289404021229</v>
      </c>
      <c r="CO13" s="82">
        <v>155.30186</v>
      </c>
      <c r="CP13" s="83">
        <v>-24.0124559787714</v>
      </c>
      <c r="CQ13" s="81">
        <v>69.7725815556439</v>
      </c>
      <c r="CR13" s="82">
        <v>160.56003</v>
      </c>
      <c r="CS13" s="83">
        <v>-90.7874484443561</v>
      </c>
      <c r="CT13" s="81">
        <v>71.7637152640331</v>
      </c>
      <c r="CU13" s="82">
        <v>160.01985</v>
      </c>
      <c r="CV13" s="83">
        <v>-88.2561347359669</v>
      </c>
      <c r="CW13" s="81">
        <v>43.7045513755907</v>
      </c>
      <c r="CX13" s="82">
        <v>155.84422</v>
      </c>
      <c r="CY13" s="83">
        <v>-112.139668624409</v>
      </c>
      <c r="CZ13" s="81">
        <v>63.6486158354858</v>
      </c>
      <c r="DA13" s="82">
        <v>157.53472</v>
      </c>
      <c r="DB13" s="83">
        <v>-93.8861041645142</v>
      </c>
      <c r="DC13" s="81">
        <v>39.0308352499232</v>
      </c>
      <c r="DD13" s="82">
        <v>217.80654</v>
      </c>
      <c r="DE13" s="83">
        <v>-178.775704750077</v>
      </c>
      <c r="DF13" s="81">
        <v>47.880799879988</v>
      </c>
      <c r="DG13" s="82">
        <v>127.92381</v>
      </c>
      <c r="DH13" s="83">
        <v>-80.043010120012</v>
      </c>
    </row>
    <row r="14" s="52" customFormat="1" spans="1:112">
      <c r="A14" s="80" t="s">
        <v>419</v>
      </c>
      <c r="B14" s="81">
        <v>0</v>
      </c>
      <c r="C14" s="82">
        <v>0.29</v>
      </c>
      <c r="D14" s="83">
        <v>-0.29</v>
      </c>
      <c r="E14" s="81">
        <v>0</v>
      </c>
      <c r="F14" s="82">
        <v>0.29</v>
      </c>
      <c r="G14" s="83">
        <v>-0.29</v>
      </c>
      <c r="H14" s="81">
        <v>0</v>
      </c>
      <c r="I14" s="82">
        <v>0.29</v>
      </c>
      <c r="J14" s="83">
        <v>-0.29</v>
      </c>
      <c r="K14" s="81">
        <v>0</v>
      </c>
      <c r="L14" s="82">
        <v>0.29</v>
      </c>
      <c r="M14" s="83">
        <v>-0.29</v>
      </c>
      <c r="N14" s="81">
        <v>0</v>
      </c>
      <c r="O14" s="82">
        <v>0.29</v>
      </c>
      <c r="P14" s="83">
        <v>-0.29</v>
      </c>
      <c r="Q14" s="81">
        <v>0</v>
      </c>
      <c r="R14" s="82">
        <v>0.29</v>
      </c>
      <c r="S14" s="83">
        <v>-0.29</v>
      </c>
      <c r="T14" s="81">
        <v>0</v>
      </c>
      <c r="U14" s="82">
        <v>0.29</v>
      </c>
      <c r="V14" s="83">
        <v>-0.29</v>
      </c>
      <c r="W14" s="81">
        <v>0</v>
      </c>
      <c r="X14" s="82">
        <v>0.29</v>
      </c>
      <c r="Y14" s="83">
        <v>-0.29</v>
      </c>
      <c r="Z14" s="81">
        <v>0</v>
      </c>
      <c r="AA14" s="82">
        <v>0.29</v>
      </c>
      <c r="AB14" s="83">
        <v>-0.29</v>
      </c>
      <c r="AC14" s="81">
        <v>0</v>
      </c>
      <c r="AD14" s="82">
        <v>0.29</v>
      </c>
      <c r="AE14" s="83">
        <v>-0.29</v>
      </c>
      <c r="AF14" s="81">
        <v>0</v>
      </c>
      <c r="AG14" s="82">
        <v>0.29</v>
      </c>
      <c r="AH14" s="83">
        <v>-0.29</v>
      </c>
      <c r="AI14" s="81">
        <v>0</v>
      </c>
      <c r="AJ14" s="82">
        <v>0.29</v>
      </c>
      <c r="AK14" s="83">
        <v>-0.29</v>
      </c>
      <c r="AL14" s="81">
        <v>0</v>
      </c>
      <c r="AM14" s="82">
        <v>0.29</v>
      </c>
      <c r="AN14" s="83">
        <v>-0.29</v>
      </c>
      <c r="AO14" s="81">
        <v>0</v>
      </c>
      <c r="AP14" s="82">
        <v>0</v>
      </c>
      <c r="AQ14" s="83">
        <v>0</v>
      </c>
      <c r="AR14" s="81">
        <v>0</v>
      </c>
      <c r="AS14" s="82">
        <v>0</v>
      </c>
      <c r="AT14" s="83">
        <v>0</v>
      </c>
      <c r="AU14" s="81">
        <v>0</v>
      </c>
      <c r="AV14" s="82">
        <v>0</v>
      </c>
      <c r="AW14" s="83">
        <v>0</v>
      </c>
      <c r="AX14" s="81">
        <v>0</v>
      </c>
      <c r="AY14" s="82">
        <v>0</v>
      </c>
      <c r="AZ14" s="83">
        <v>0</v>
      </c>
      <c r="BA14" s="81">
        <v>0</v>
      </c>
      <c r="BB14" s="82">
        <v>0</v>
      </c>
      <c r="BC14" s="83">
        <v>0</v>
      </c>
      <c r="BD14" s="81">
        <v>0</v>
      </c>
      <c r="BE14" s="82">
        <v>0</v>
      </c>
      <c r="BF14" s="83">
        <v>0</v>
      </c>
      <c r="BG14" s="81">
        <v>0</v>
      </c>
      <c r="BH14" s="82">
        <v>0</v>
      </c>
      <c r="BI14" s="83">
        <v>0</v>
      </c>
      <c r="BJ14" s="81">
        <v>0.1247</v>
      </c>
      <c r="BK14" s="82">
        <v>0</v>
      </c>
      <c r="BL14" s="83">
        <v>0.1247</v>
      </c>
      <c r="BM14" s="81">
        <v>0.05224</v>
      </c>
      <c r="BN14" s="82">
        <v>0</v>
      </c>
      <c r="BO14" s="83">
        <v>0.05224</v>
      </c>
      <c r="BP14" s="81">
        <v>0.19273</v>
      </c>
      <c r="BQ14" s="82">
        <v>0</v>
      </c>
      <c r="BR14" s="83">
        <v>0.19273</v>
      </c>
      <c r="BS14" s="81">
        <v>0.23924</v>
      </c>
      <c r="BT14" s="82">
        <v>0</v>
      </c>
      <c r="BU14" s="83">
        <v>0.23924</v>
      </c>
      <c r="BV14" s="81">
        <v>0.14559</v>
      </c>
      <c r="BW14" s="82">
        <v>0</v>
      </c>
      <c r="BX14" s="83">
        <v>0.14559</v>
      </c>
      <c r="BY14" s="81">
        <v>0.00061</v>
      </c>
      <c r="BZ14" s="82">
        <v>0</v>
      </c>
      <c r="CA14" s="83">
        <v>0.00061</v>
      </c>
      <c r="CB14" s="81">
        <v>65.151</v>
      </c>
      <c r="CC14" s="82">
        <v>0</v>
      </c>
      <c r="CD14" s="83">
        <v>65.151</v>
      </c>
      <c r="CE14" s="81">
        <v>65.151</v>
      </c>
      <c r="CF14" s="82">
        <v>0</v>
      </c>
      <c r="CG14" s="83">
        <v>65.151</v>
      </c>
      <c r="CH14" s="81">
        <v>65.151</v>
      </c>
      <c r="CI14" s="82">
        <v>0</v>
      </c>
      <c r="CJ14" s="83">
        <v>65.151</v>
      </c>
      <c r="CK14" s="81">
        <v>65.151</v>
      </c>
      <c r="CL14" s="82">
        <v>0</v>
      </c>
      <c r="CM14" s="83">
        <v>65.151</v>
      </c>
      <c r="CN14" s="81">
        <v>114.003</v>
      </c>
      <c r="CO14" s="82">
        <v>0</v>
      </c>
      <c r="CP14" s="83">
        <v>114.003</v>
      </c>
      <c r="CQ14" s="81">
        <v>113.863</v>
      </c>
      <c r="CR14" s="82">
        <v>0</v>
      </c>
      <c r="CS14" s="83">
        <v>113.863</v>
      </c>
      <c r="CT14" s="81">
        <v>113.863</v>
      </c>
      <c r="CU14" s="82">
        <v>0</v>
      </c>
      <c r="CV14" s="83">
        <v>113.863</v>
      </c>
      <c r="CW14" s="81">
        <v>113.863</v>
      </c>
      <c r="CX14" s="82">
        <v>0</v>
      </c>
      <c r="CY14" s="83">
        <v>113.863</v>
      </c>
      <c r="CZ14" s="81">
        <v>82.232</v>
      </c>
      <c r="DA14" s="82">
        <v>0</v>
      </c>
      <c r="DB14" s="83">
        <v>82.232</v>
      </c>
      <c r="DC14" s="81">
        <v>79.575</v>
      </c>
      <c r="DD14" s="82">
        <v>0</v>
      </c>
      <c r="DE14" s="83">
        <v>79.575</v>
      </c>
      <c r="DF14" s="81">
        <v>79.575</v>
      </c>
      <c r="DG14" s="82">
        <v>23.195</v>
      </c>
      <c r="DH14" s="83">
        <v>56.38</v>
      </c>
    </row>
    <row r="15" s="52" customFormat="1" spans="1:112">
      <c r="A15" s="75" t="s">
        <v>166</v>
      </c>
      <c r="B15" s="72">
        <v>12158.594306042</v>
      </c>
      <c r="C15" s="73">
        <v>38902.8710383299</v>
      </c>
      <c r="D15" s="74">
        <v>-26744.2767322879</v>
      </c>
      <c r="E15" s="72">
        <v>12131.1542090229</v>
      </c>
      <c r="F15" s="73">
        <v>39824.0949025099</v>
      </c>
      <c r="G15" s="74">
        <v>-27692.9406934871</v>
      </c>
      <c r="H15" s="72">
        <v>12296.3848575618</v>
      </c>
      <c r="I15" s="73">
        <v>39920.55408229</v>
      </c>
      <c r="J15" s="74">
        <v>-27624.1692247282</v>
      </c>
      <c r="K15" s="72">
        <v>12048.1659550313</v>
      </c>
      <c r="L15" s="73">
        <v>39739.0016639801</v>
      </c>
      <c r="M15" s="74">
        <v>-27690.8357089488</v>
      </c>
      <c r="N15" s="72">
        <v>11120.3025189408</v>
      </c>
      <c r="O15" s="73">
        <v>40018.889482</v>
      </c>
      <c r="P15" s="74">
        <v>-28898.5869630591</v>
      </c>
      <c r="Q15" s="72">
        <v>10668.8510664938</v>
      </c>
      <c r="R15" s="73">
        <v>38676.14248358</v>
      </c>
      <c r="S15" s="74">
        <v>-28007.2914170862</v>
      </c>
      <c r="T15" s="72">
        <v>10628.4135089711</v>
      </c>
      <c r="U15" s="73">
        <v>37827.71558363</v>
      </c>
      <c r="V15" s="74">
        <v>-27199.3020746589</v>
      </c>
      <c r="W15" s="72">
        <v>11536.8797631919</v>
      </c>
      <c r="X15" s="73">
        <v>37262.50707484</v>
      </c>
      <c r="Y15" s="74">
        <v>-25725.627311648</v>
      </c>
      <c r="Z15" s="72">
        <v>11471.0098340826</v>
      </c>
      <c r="AA15" s="73">
        <v>35095.00368777</v>
      </c>
      <c r="AB15" s="74">
        <v>-23623.9938536874</v>
      </c>
      <c r="AC15" s="72">
        <v>11871.2773705436</v>
      </c>
      <c r="AD15" s="73">
        <v>35311.56861278</v>
      </c>
      <c r="AE15" s="74">
        <v>-23440.2912422364</v>
      </c>
      <c r="AF15" s="72">
        <v>12778.0066620807</v>
      </c>
      <c r="AG15" s="73">
        <v>34997.0088864499</v>
      </c>
      <c r="AH15" s="74">
        <v>-22219.0022243692</v>
      </c>
      <c r="AI15" s="72">
        <v>12402.6712326945</v>
      </c>
      <c r="AJ15" s="73">
        <v>38962.57156906</v>
      </c>
      <c r="AK15" s="74">
        <v>-26559.9003363656</v>
      </c>
      <c r="AL15" s="72">
        <v>11411.444148309</v>
      </c>
      <c r="AM15" s="73">
        <v>36952.9382120499</v>
      </c>
      <c r="AN15" s="74">
        <v>-25541.494063741</v>
      </c>
      <c r="AO15" s="72">
        <v>11815.6314363766</v>
      </c>
      <c r="AP15" s="73">
        <v>35615.5137111</v>
      </c>
      <c r="AQ15" s="74">
        <v>-23799.8822747233</v>
      </c>
      <c r="AR15" s="72">
        <v>12273.0232821401</v>
      </c>
      <c r="AS15" s="73">
        <v>36448.63025606</v>
      </c>
      <c r="AT15" s="74">
        <v>-24175.6069739199</v>
      </c>
      <c r="AU15" s="72">
        <v>13860.4276865455</v>
      </c>
      <c r="AV15" s="73">
        <v>39372.25366859</v>
      </c>
      <c r="AW15" s="74">
        <v>-25511.8259820445</v>
      </c>
      <c r="AX15" s="72">
        <v>14442.1258571738</v>
      </c>
      <c r="AY15" s="73">
        <v>34800.96862049</v>
      </c>
      <c r="AZ15" s="74">
        <v>-20358.8427633162</v>
      </c>
      <c r="BA15" s="72">
        <v>15649.8403058947</v>
      </c>
      <c r="BB15" s="73">
        <v>34041.0205726499</v>
      </c>
      <c r="BC15" s="74">
        <v>-18391.1802667552</v>
      </c>
      <c r="BD15" s="72">
        <v>15907.666823396</v>
      </c>
      <c r="BE15" s="73">
        <v>31441.9704798</v>
      </c>
      <c r="BF15" s="74">
        <v>-15534.303656404</v>
      </c>
      <c r="BG15" s="72">
        <v>15835.0228294608</v>
      </c>
      <c r="BH15" s="73">
        <v>31308.35522842</v>
      </c>
      <c r="BI15" s="74">
        <v>-15473.3323989592</v>
      </c>
      <c r="BJ15" s="72">
        <v>14122.8322921389</v>
      </c>
      <c r="BK15" s="73">
        <v>28511.53585642</v>
      </c>
      <c r="BL15" s="74">
        <v>-14388.7035642811</v>
      </c>
      <c r="BM15" s="72">
        <v>14247.6543447211</v>
      </c>
      <c r="BN15" s="73">
        <v>27316.0675316</v>
      </c>
      <c r="BO15" s="74">
        <v>-13068.4131868789</v>
      </c>
      <c r="BP15" s="72">
        <v>12904.0061264392</v>
      </c>
      <c r="BQ15" s="73">
        <v>28626.51551986</v>
      </c>
      <c r="BR15" s="74">
        <v>-15722.5093934208</v>
      </c>
      <c r="BS15" s="72">
        <v>13334.6263720799</v>
      </c>
      <c r="BT15" s="73">
        <v>30570.69398687</v>
      </c>
      <c r="BU15" s="74">
        <v>-17236.0676147901</v>
      </c>
      <c r="BV15" s="72">
        <v>12797.5689549579</v>
      </c>
      <c r="BW15" s="73">
        <v>31913.01471264</v>
      </c>
      <c r="BX15" s="74">
        <v>-19115.4457576821</v>
      </c>
      <c r="BY15" s="72">
        <v>12631.8169862228</v>
      </c>
      <c r="BZ15" s="73">
        <v>31561.89666898</v>
      </c>
      <c r="CA15" s="74">
        <v>-18930.0796827571</v>
      </c>
      <c r="CB15" s="72">
        <v>12495.6389403424</v>
      </c>
      <c r="CC15" s="73">
        <v>31284.53253037</v>
      </c>
      <c r="CD15" s="74">
        <v>-18788.8935900276</v>
      </c>
      <c r="CE15" s="72">
        <v>11693.6404991456</v>
      </c>
      <c r="CF15" s="73">
        <v>31406.356373</v>
      </c>
      <c r="CG15" s="74">
        <v>-19712.7158738544</v>
      </c>
      <c r="CH15" s="72">
        <v>11105.378714311</v>
      </c>
      <c r="CI15" s="73">
        <v>30898.43190598</v>
      </c>
      <c r="CJ15" s="74">
        <v>-19793.053191669</v>
      </c>
      <c r="CK15" s="72">
        <v>10762.7807236633</v>
      </c>
      <c r="CL15" s="73">
        <v>30146.68331517</v>
      </c>
      <c r="CM15" s="74">
        <v>-19383.9025915067</v>
      </c>
      <c r="CN15" s="72">
        <v>11415.0857424804</v>
      </c>
      <c r="CO15" s="73">
        <v>32264.99325187</v>
      </c>
      <c r="CP15" s="74">
        <v>-20849.9075093896</v>
      </c>
      <c r="CQ15" s="72">
        <v>12589.8618486488</v>
      </c>
      <c r="CR15" s="73">
        <v>30523.3026162899</v>
      </c>
      <c r="CS15" s="74">
        <v>-17933.4407676411</v>
      </c>
      <c r="CT15" s="72">
        <v>12341.0383604886</v>
      </c>
      <c r="CU15" s="73">
        <v>31269.65336016</v>
      </c>
      <c r="CV15" s="74">
        <v>-18928.6149996715</v>
      </c>
      <c r="CW15" s="72">
        <v>12318.0683190835</v>
      </c>
      <c r="CX15" s="73">
        <v>31226.0562916699</v>
      </c>
      <c r="CY15" s="74">
        <v>-18907.9879725864</v>
      </c>
      <c r="CZ15" s="72">
        <v>13889.7628940695</v>
      </c>
      <c r="DA15" s="73">
        <v>31699.65055379</v>
      </c>
      <c r="DB15" s="74">
        <v>-17809.8876597205</v>
      </c>
      <c r="DC15" s="72">
        <v>15880.918923516</v>
      </c>
      <c r="DD15" s="73">
        <v>31787.43032232</v>
      </c>
      <c r="DE15" s="74">
        <v>-15906.5113988041</v>
      </c>
      <c r="DF15" s="72">
        <v>16414.0327422442</v>
      </c>
      <c r="DG15" s="73">
        <v>30647.7742959174</v>
      </c>
      <c r="DH15" s="74">
        <v>-14233.7415536731</v>
      </c>
    </row>
    <row r="16" spans="1:112">
      <c r="A16" s="84" t="s">
        <v>177</v>
      </c>
      <c r="B16" s="81">
        <v>0</v>
      </c>
      <c r="C16" s="82">
        <v>0</v>
      </c>
      <c r="D16" s="83">
        <v>0</v>
      </c>
      <c r="E16" s="81">
        <v>0</v>
      </c>
      <c r="F16" s="82">
        <v>0</v>
      </c>
      <c r="G16" s="83">
        <v>0</v>
      </c>
      <c r="H16" s="81">
        <v>0</v>
      </c>
      <c r="I16" s="82">
        <v>0</v>
      </c>
      <c r="J16" s="83">
        <v>0</v>
      </c>
      <c r="K16" s="81">
        <v>0</v>
      </c>
      <c r="L16" s="82">
        <v>0</v>
      </c>
      <c r="M16" s="83">
        <v>0</v>
      </c>
      <c r="N16" s="81">
        <v>0</v>
      </c>
      <c r="O16" s="82">
        <v>0</v>
      </c>
      <c r="P16" s="83">
        <v>0</v>
      </c>
      <c r="Q16" s="81">
        <v>0</v>
      </c>
      <c r="R16" s="82">
        <v>0</v>
      </c>
      <c r="S16" s="83">
        <v>0</v>
      </c>
      <c r="T16" s="81">
        <v>0</v>
      </c>
      <c r="U16" s="82">
        <v>0</v>
      </c>
      <c r="V16" s="83">
        <v>0</v>
      </c>
      <c r="W16" s="81">
        <v>0</v>
      </c>
      <c r="X16" s="82">
        <v>0</v>
      </c>
      <c r="Y16" s="83">
        <v>0</v>
      </c>
      <c r="Z16" s="81">
        <v>0</v>
      </c>
      <c r="AA16" s="82">
        <v>0</v>
      </c>
      <c r="AB16" s="83">
        <v>0</v>
      </c>
      <c r="AC16" s="81">
        <v>0</v>
      </c>
      <c r="AD16" s="82">
        <v>0</v>
      </c>
      <c r="AE16" s="83">
        <v>0</v>
      </c>
      <c r="AF16" s="81">
        <v>0</v>
      </c>
      <c r="AG16" s="82">
        <v>0</v>
      </c>
      <c r="AH16" s="83">
        <v>0</v>
      </c>
      <c r="AI16" s="81">
        <v>0</v>
      </c>
      <c r="AJ16" s="82">
        <v>0</v>
      </c>
      <c r="AK16" s="83">
        <v>0</v>
      </c>
      <c r="AL16" s="81">
        <v>0</v>
      </c>
      <c r="AM16" s="82">
        <v>0</v>
      </c>
      <c r="AN16" s="83">
        <v>0</v>
      </c>
      <c r="AO16" s="81">
        <v>0</v>
      </c>
      <c r="AP16" s="82">
        <v>0</v>
      </c>
      <c r="AQ16" s="83">
        <v>0</v>
      </c>
      <c r="AR16" s="81">
        <v>0</v>
      </c>
      <c r="AS16" s="82">
        <v>0</v>
      </c>
      <c r="AT16" s="83">
        <v>0</v>
      </c>
      <c r="AU16" s="81">
        <v>0</v>
      </c>
      <c r="AV16" s="82">
        <v>0</v>
      </c>
      <c r="AW16" s="83">
        <v>0</v>
      </c>
      <c r="AX16" s="81">
        <v>0</v>
      </c>
      <c r="AY16" s="82">
        <v>0</v>
      </c>
      <c r="AZ16" s="83">
        <v>0</v>
      </c>
      <c r="BA16" s="81">
        <v>0</v>
      </c>
      <c r="BB16" s="82">
        <v>0</v>
      </c>
      <c r="BC16" s="83">
        <v>0</v>
      </c>
      <c r="BD16" s="81">
        <v>0</v>
      </c>
      <c r="BE16" s="82">
        <v>0</v>
      </c>
      <c r="BF16" s="83">
        <v>0</v>
      </c>
      <c r="BG16" s="81">
        <v>0</v>
      </c>
      <c r="BH16" s="82">
        <v>0</v>
      </c>
      <c r="BI16" s="83">
        <v>0</v>
      </c>
      <c r="BJ16" s="81">
        <v>0</v>
      </c>
      <c r="BK16" s="82">
        <v>0</v>
      </c>
      <c r="BL16" s="83">
        <v>0</v>
      </c>
      <c r="BM16" s="81">
        <v>0</v>
      </c>
      <c r="BN16" s="82">
        <v>0</v>
      </c>
      <c r="BO16" s="83">
        <v>0</v>
      </c>
      <c r="BP16" s="81">
        <v>0</v>
      </c>
      <c r="BQ16" s="82">
        <v>0</v>
      </c>
      <c r="BR16" s="83">
        <v>0</v>
      </c>
      <c r="BS16" s="81">
        <v>0</v>
      </c>
      <c r="BT16" s="82">
        <v>0</v>
      </c>
      <c r="BU16" s="83">
        <v>0</v>
      </c>
      <c r="BV16" s="81">
        <v>0</v>
      </c>
      <c r="BW16" s="82">
        <v>0</v>
      </c>
      <c r="BX16" s="83">
        <v>0</v>
      </c>
      <c r="BY16" s="81">
        <v>0</v>
      </c>
      <c r="BZ16" s="82">
        <v>0</v>
      </c>
      <c r="CA16" s="83">
        <v>0</v>
      </c>
      <c r="CB16" s="81">
        <v>0</v>
      </c>
      <c r="CC16" s="82">
        <v>0</v>
      </c>
      <c r="CD16" s="83">
        <v>0</v>
      </c>
      <c r="CE16" s="81">
        <v>0</v>
      </c>
      <c r="CF16" s="82">
        <v>0</v>
      </c>
      <c r="CG16" s="83">
        <v>0</v>
      </c>
      <c r="CH16" s="81">
        <v>0</v>
      </c>
      <c r="CI16" s="82">
        <v>0</v>
      </c>
      <c r="CJ16" s="83">
        <v>0</v>
      </c>
      <c r="CK16" s="81">
        <v>0</v>
      </c>
      <c r="CL16" s="82">
        <v>0</v>
      </c>
      <c r="CM16" s="83">
        <v>0</v>
      </c>
      <c r="CN16" s="81">
        <v>0</v>
      </c>
      <c r="CO16" s="82">
        <v>0</v>
      </c>
      <c r="CP16" s="83">
        <v>0</v>
      </c>
      <c r="CQ16" s="81">
        <v>0</v>
      </c>
      <c r="CR16" s="82">
        <v>0</v>
      </c>
      <c r="CS16" s="83">
        <v>0</v>
      </c>
      <c r="CT16" s="81">
        <v>0</v>
      </c>
      <c r="CU16" s="82">
        <v>0</v>
      </c>
      <c r="CV16" s="83">
        <v>0</v>
      </c>
      <c r="CW16" s="81">
        <v>0</v>
      </c>
      <c r="CX16" s="82">
        <v>0</v>
      </c>
      <c r="CY16" s="83">
        <v>0</v>
      </c>
      <c r="CZ16" s="81">
        <v>0</v>
      </c>
      <c r="DA16" s="82">
        <v>0</v>
      </c>
      <c r="DB16" s="83">
        <v>0</v>
      </c>
      <c r="DC16" s="81">
        <v>0</v>
      </c>
      <c r="DD16" s="82">
        <v>0</v>
      </c>
      <c r="DE16" s="83">
        <v>0</v>
      </c>
      <c r="DF16" s="81">
        <v>0</v>
      </c>
      <c r="DG16" s="82">
        <v>0</v>
      </c>
      <c r="DH16" s="83">
        <v>0</v>
      </c>
    </row>
    <row r="17" spans="1:112">
      <c r="A17" s="84" t="s">
        <v>171</v>
      </c>
      <c r="B17" s="81">
        <v>0</v>
      </c>
      <c r="C17" s="82">
        <v>0</v>
      </c>
      <c r="D17" s="83">
        <v>0</v>
      </c>
      <c r="E17" s="81">
        <v>0</v>
      </c>
      <c r="F17" s="82">
        <v>0</v>
      </c>
      <c r="G17" s="83">
        <v>0</v>
      </c>
      <c r="H17" s="81">
        <v>0</v>
      </c>
      <c r="I17" s="82">
        <v>0</v>
      </c>
      <c r="J17" s="83">
        <v>0</v>
      </c>
      <c r="K17" s="81">
        <v>0</v>
      </c>
      <c r="L17" s="82">
        <v>0</v>
      </c>
      <c r="M17" s="83">
        <v>0</v>
      </c>
      <c r="N17" s="81">
        <v>0</v>
      </c>
      <c r="O17" s="82">
        <v>0</v>
      </c>
      <c r="P17" s="83">
        <v>0</v>
      </c>
      <c r="Q17" s="81">
        <v>0</v>
      </c>
      <c r="R17" s="82">
        <v>0</v>
      </c>
      <c r="S17" s="83">
        <v>0</v>
      </c>
      <c r="T17" s="81">
        <v>0</v>
      </c>
      <c r="U17" s="82">
        <v>0</v>
      </c>
      <c r="V17" s="83">
        <v>0</v>
      </c>
      <c r="W17" s="81">
        <v>0</v>
      </c>
      <c r="X17" s="82">
        <v>0</v>
      </c>
      <c r="Y17" s="83">
        <v>0</v>
      </c>
      <c r="Z17" s="81">
        <v>0</v>
      </c>
      <c r="AA17" s="82">
        <v>0</v>
      </c>
      <c r="AB17" s="83">
        <v>0</v>
      </c>
      <c r="AC17" s="81">
        <v>0</v>
      </c>
      <c r="AD17" s="82">
        <v>0</v>
      </c>
      <c r="AE17" s="83">
        <v>0</v>
      </c>
      <c r="AF17" s="81">
        <v>0</v>
      </c>
      <c r="AG17" s="82">
        <v>0</v>
      </c>
      <c r="AH17" s="83">
        <v>0</v>
      </c>
      <c r="AI17" s="81">
        <v>0</v>
      </c>
      <c r="AJ17" s="82">
        <v>0</v>
      </c>
      <c r="AK17" s="83">
        <v>0</v>
      </c>
      <c r="AL17" s="81">
        <v>0</v>
      </c>
      <c r="AM17" s="82">
        <v>0</v>
      </c>
      <c r="AN17" s="83">
        <v>0</v>
      </c>
      <c r="AO17" s="81">
        <v>0</v>
      </c>
      <c r="AP17" s="82">
        <v>0</v>
      </c>
      <c r="AQ17" s="83">
        <v>0</v>
      </c>
      <c r="AR17" s="81">
        <v>0</v>
      </c>
      <c r="AS17" s="82">
        <v>0</v>
      </c>
      <c r="AT17" s="83">
        <v>0</v>
      </c>
      <c r="AU17" s="81">
        <v>0</v>
      </c>
      <c r="AV17" s="82">
        <v>0</v>
      </c>
      <c r="AW17" s="83">
        <v>0</v>
      </c>
      <c r="AX17" s="81">
        <v>0</v>
      </c>
      <c r="AY17" s="82">
        <v>0</v>
      </c>
      <c r="AZ17" s="83">
        <v>0</v>
      </c>
      <c r="BA17" s="81">
        <v>0</v>
      </c>
      <c r="BB17" s="82">
        <v>0</v>
      </c>
      <c r="BC17" s="83">
        <v>0</v>
      </c>
      <c r="BD17" s="81">
        <v>0</v>
      </c>
      <c r="BE17" s="82">
        <v>0</v>
      </c>
      <c r="BF17" s="83">
        <v>0</v>
      </c>
      <c r="BG17" s="81">
        <v>0</v>
      </c>
      <c r="BH17" s="82">
        <v>0</v>
      </c>
      <c r="BI17" s="83">
        <v>0</v>
      </c>
      <c r="BJ17" s="81">
        <v>0</v>
      </c>
      <c r="BK17" s="82">
        <v>0</v>
      </c>
      <c r="BL17" s="83">
        <v>0</v>
      </c>
      <c r="BM17" s="81">
        <v>0</v>
      </c>
      <c r="BN17" s="82">
        <v>0</v>
      </c>
      <c r="BO17" s="83">
        <v>0</v>
      </c>
      <c r="BP17" s="81">
        <v>0</v>
      </c>
      <c r="BQ17" s="82">
        <v>0</v>
      </c>
      <c r="BR17" s="83">
        <v>0</v>
      </c>
      <c r="BS17" s="81">
        <v>0</v>
      </c>
      <c r="BT17" s="82">
        <v>0</v>
      </c>
      <c r="BU17" s="83">
        <v>0</v>
      </c>
      <c r="BV17" s="81">
        <v>0</v>
      </c>
      <c r="BW17" s="82">
        <v>0</v>
      </c>
      <c r="BX17" s="83">
        <v>0</v>
      </c>
      <c r="BY17" s="81">
        <v>0</v>
      </c>
      <c r="BZ17" s="82">
        <v>0</v>
      </c>
      <c r="CA17" s="83">
        <v>0</v>
      </c>
      <c r="CB17" s="81">
        <v>0</v>
      </c>
      <c r="CC17" s="82">
        <v>0</v>
      </c>
      <c r="CD17" s="83">
        <v>0</v>
      </c>
      <c r="CE17" s="81">
        <v>0</v>
      </c>
      <c r="CF17" s="82">
        <v>0</v>
      </c>
      <c r="CG17" s="83">
        <v>0</v>
      </c>
      <c r="CH17" s="81">
        <v>0</v>
      </c>
      <c r="CI17" s="82">
        <v>0</v>
      </c>
      <c r="CJ17" s="83">
        <v>0</v>
      </c>
      <c r="CK17" s="81">
        <v>0</v>
      </c>
      <c r="CL17" s="82">
        <v>0</v>
      </c>
      <c r="CM17" s="83">
        <v>0</v>
      </c>
      <c r="CN17" s="81">
        <v>0</v>
      </c>
      <c r="CO17" s="82">
        <v>0</v>
      </c>
      <c r="CP17" s="83">
        <v>0</v>
      </c>
      <c r="CQ17" s="81">
        <v>0</v>
      </c>
      <c r="CR17" s="82">
        <v>0</v>
      </c>
      <c r="CS17" s="83">
        <v>0</v>
      </c>
      <c r="CT17" s="81">
        <v>0</v>
      </c>
      <c r="CU17" s="82">
        <v>0</v>
      </c>
      <c r="CV17" s="83">
        <v>0</v>
      </c>
      <c r="CW17" s="81">
        <v>0</v>
      </c>
      <c r="CX17" s="82">
        <v>0</v>
      </c>
      <c r="CY17" s="83">
        <v>0</v>
      </c>
      <c r="CZ17" s="81">
        <v>0</v>
      </c>
      <c r="DA17" s="82">
        <v>0</v>
      </c>
      <c r="DB17" s="83">
        <v>0</v>
      </c>
      <c r="DC17" s="81">
        <v>0</v>
      </c>
      <c r="DD17" s="82">
        <v>0</v>
      </c>
      <c r="DE17" s="83">
        <v>0</v>
      </c>
      <c r="DF17" s="81">
        <v>0</v>
      </c>
      <c r="DG17" s="82">
        <v>0</v>
      </c>
      <c r="DH17" s="83">
        <v>0</v>
      </c>
    </row>
    <row r="18" spans="1:112">
      <c r="A18" s="84" t="s">
        <v>418</v>
      </c>
      <c r="B18" s="81">
        <v>4836.939306042</v>
      </c>
      <c r="C18" s="82">
        <v>38849.3940383299</v>
      </c>
      <c r="D18" s="83">
        <v>-34012.4547322879</v>
      </c>
      <c r="E18" s="81">
        <v>4862.37720902288</v>
      </c>
      <c r="F18" s="82">
        <v>39772.8719025099</v>
      </c>
      <c r="G18" s="83">
        <v>-34910.4946934871</v>
      </c>
      <c r="H18" s="81">
        <v>5062.54965756183</v>
      </c>
      <c r="I18" s="82">
        <v>39873.79208229</v>
      </c>
      <c r="J18" s="83">
        <v>-34811.2424247282</v>
      </c>
      <c r="K18" s="81">
        <v>4799.68895503133</v>
      </c>
      <c r="L18" s="82">
        <v>39693.7826639801</v>
      </c>
      <c r="M18" s="83">
        <v>-34894.0937089488</v>
      </c>
      <c r="N18" s="81">
        <v>3935.66451894084</v>
      </c>
      <c r="O18" s="82">
        <v>39970.152482</v>
      </c>
      <c r="P18" s="83">
        <v>-36034.4879630591</v>
      </c>
      <c r="Q18" s="81">
        <v>3576.35706649375</v>
      </c>
      <c r="R18" s="82">
        <v>38628.97348358</v>
      </c>
      <c r="S18" s="83">
        <v>-35052.6164170862</v>
      </c>
      <c r="T18" s="81">
        <v>3620.40050897114</v>
      </c>
      <c r="U18" s="82">
        <v>37780.52128363</v>
      </c>
      <c r="V18" s="83">
        <v>-34160.1207746589</v>
      </c>
      <c r="W18" s="81">
        <v>4554.28376319195</v>
      </c>
      <c r="X18" s="82">
        <v>37223.44477484</v>
      </c>
      <c r="Y18" s="83">
        <v>-32669.161011648</v>
      </c>
      <c r="Z18" s="81">
        <v>4832.86283408263</v>
      </c>
      <c r="AA18" s="82">
        <v>35071.30490777</v>
      </c>
      <c r="AB18" s="83">
        <v>-30238.4420736874</v>
      </c>
      <c r="AC18" s="81">
        <v>5250.10137054361</v>
      </c>
      <c r="AD18" s="82">
        <v>35291.24548278</v>
      </c>
      <c r="AE18" s="83">
        <v>-30041.1441122364</v>
      </c>
      <c r="AF18" s="81">
        <v>6466.86866208072</v>
      </c>
      <c r="AG18" s="82">
        <v>34978.0682864499</v>
      </c>
      <c r="AH18" s="83">
        <v>-28511.1996243692</v>
      </c>
      <c r="AI18" s="81">
        <v>6133.39723269445</v>
      </c>
      <c r="AJ18" s="82">
        <v>38945.26317906</v>
      </c>
      <c r="AK18" s="83">
        <v>-32811.8659463656</v>
      </c>
      <c r="AL18" s="81">
        <v>5479.40814830897</v>
      </c>
      <c r="AM18" s="82">
        <v>36937.4659120499</v>
      </c>
      <c r="AN18" s="83">
        <v>-31458.057763741</v>
      </c>
      <c r="AO18" s="81">
        <v>5941.88143637665</v>
      </c>
      <c r="AP18" s="82">
        <v>35601.7208311</v>
      </c>
      <c r="AQ18" s="83">
        <v>-29659.8393947233</v>
      </c>
      <c r="AR18" s="81">
        <v>6728.71028214007</v>
      </c>
      <c r="AS18" s="82">
        <v>36436.39625606</v>
      </c>
      <c r="AT18" s="83">
        <v>-29707.6859739199</v>
      </c>
      <c r="AU18" s="81">
        <v>7202.66668654554</v>
      </c>
      <c r="AV18" s="82">
        <v>39361.7296685901</v>
      </c>
      <c r="AW18" s="83">
        <v>-32159.0629820445</v>
      </c>
      <c r="AX18" s="81">
        <v>7108.69385717381</v>
      </c>
      <c r="AY18" s="82">
        <v>34792.01962049</v>
      </c>
      <c r="AZ18" s="83">
        <v>-27683.3257633162</v>
      </c>
      <c r="BA18" s="81">
        <v>8361.37530589471</v>
      </c>
      <c r="BB18" s="82">
        <v>34033.8125726499</v>
      </c>
      <c r="BC18" s="83">
        <v>-25672.4372667552</v>
      </c>
      <c r="BD18" s="81">
        <v>8739.02582339599</v>
      </c>
      <c r="BE18" s="82">
        <v>31436.3524798</v>
      </c>
      <c r="BF18" s="83">
        <v>-22697.326656404</v>
      </c>
      <c r="BG18" s="81">
        <v>8748.73268946081</v>
      </c>
      <c r="BH18" s="82">
        <v>31303.80122842</v>
      </c>
      <c r="BI18" s="83">
        <v>-22555.0685389592</v>
      </c>
      <c r="BJ18" s="81">
        <v>7187.69529213894</v>
      </c>
      <c r="BK18" s="82">
        <v>28507.30118642</v>
      </c>
      <c r="BL18" s="83">
        <v>-21319.6058942811</v>
      </c>
      <c r="BM18" s="81">
        <v>7527.40534472111</v>
      </c>
      <c r="BN18" s="82">
        <v>27312.0195316</v>
      </c>
      <c r="BO18" s="83">
        <v>-19784.6141868789</v>
      </c>
      <c r="BP18" s="81">
        <v>6417.28936385215</v>
      </c>
      <c r="BQ18" s="82">
        <v>28622.99051986</v>
      </c>
      <c r="BR18" s="83">
        <v>-22205.7011560078</v>
      </c>
      <c r="BS18" s="81">
        <v>6336.21979724287</v>
      </c>
      <c r="BT18" s="82">
        <v>30567.16898687</v>
      </c>
      <c r="BU18" s="83">
        <v>-24230.9491896271</v>
      </c>
      <c r="BV18" s="81">
        <v>5843.98920074915</v>
      </c>
      <c r="BW18" s="82">
        <v>31910.03071264</v>
      </c>
      <c r="BX18" s="83">
        <v>-26066.0415118909</v>
      </c>
      <c r="BY18" s="81">
        <v>5765.53494511138</v>
      </c>
      <c r="BZ18" s="82">
        <v>31558.91266898</v>
      </c>
      <c r="CA18" s="83">
        <v>-25793.3777238686</v>
      </c>
      <c r="CB18" s="81">
        <v>5909.32940263448</v>
      </c>
      <c r="CC18" s="82">
        <v>31282.10753037</v>
      </c>
      <c r="CD18" s="83">
        <v>-25372.7781277355</v>
      </c>
      <c r="CE18" s="81">
        <v>5135.17583729637</v>
      </c>
      <c r="CF18" s="82">
        <v>31403.931373</v>
      </c>
      <c r="CG18" s="83">
        <v>-26268.7555357036</v>
      </c>
      <c r="CH18" s="81">
        <v>4852.50027129939</v>
      </c>
      <c r="CI18" s="82">
        <v>30896.58290598</v>
      </c>
      <c r="CJ18" s="83">
        <v>-26044.0826346806</v>
      </c>
      <c r="CK18" s="81">
        <v>4618.31018914566</v>
      </c>
      <c r="CL18" s="82">
        <v>30144.83431517</v>
      </c>
      <c r="CM18" s="83">
        <v>-25526.5241260244</v>
      </c>
      <c r="CN18" s="81">
        <v>5371.27897228019</v>
      </c>
      <c r="CO18" s="82">
        <v>32263.74125187</v>
      </c>
      <c r="CP18" s="83">
        <v>-26892.4622795898</v>
      </c>
      <c r="CQ18" s="81">
        <v>5537.92372805536</v>
      </c>
      <c r="CR18" s="82">
        <v>30522.0506162899</v>
      </c>
      <c r="CS18" s="83">
        <v>-24984.1268882346</v>
      </c>
      <c r="CT18" s="81">
        <v>5458.16848476239</v>
      </c>
      <c r="CU18" s="82">
        <v>31269.01736016</v>
      </c>
      <c r="CV18" s="83">
        <v>-25810.8488753976</v>
      </c>
      <c r="CW18" s="81">
        <v>5407.2426978535</v>
      </c>
      <c r="CX18" s="82">
        <v>31225.4202916699</v>
      </c>
      <c r="CY18" s="83">
        <v>-25818.1775938164</v>
      </c>
      <c r="CZ18" s="81">
        <v>7168.82219421948</v>
      </c>
      <c r="DA18" s="82">
        <v>31699.65055379</v>
      </c>
      <c r="DB18" s="83">
        <v>-24530.8283595705</v>
      </c>
      <c r="DC18" s="81">
        <v>9311.91513423595</v>
      </c>
      <c r="DD18" s="82">
        <v>31787.43032232</v>
      </c>
      <c r="DE18" s="83">
        <v>-22475.5151880841</v>
      </c>
      <c r="DF18" s="81">
        <v>10078.120043586</v>
      </c>
      <c r="DG18" s="82">
        <v>30647.7742959174</v>
      </c>
      <c r="DH18" s="83">
        <v>-20569.6542523313</v>
      </c>
    </row>
    <row r="19" spans="1:112">
      <c r="A19" s="84" t="s">
        <v>173</v>
      </c>
      <c r="B19" s="81">
        <v>7321.655</v>
      </c>
      <c r="C19" s="82">
        <v>37.75</v>
      </c>
      <c r="D19" s="83">
        <v>7283.905</v>
      </c>
      <c r="E19" s="81">
        <v>7268.777</v>
      </c>
      <c r="F19" s="82">
        <v>35.496</v>
      </c>
      <c r="G19" s="83">
        <v>7233.281</v>
      </c>
      <c r="H19" s="81">
        <v>7233.8352</v>
      </c>
      <c r="I19" s="82">
        <v>31.035</v>
      </c>
      <c r="J19" s="83">
        <v>7202.8002</v>
      </c>
      <c r="K19" s="81">
        <v>7248.477</v>
      </c>
      <c r="L19" s="82">
        <v>29.492</v>
      </c>
      <c r="M19" s="83">
        <v>7218.985</v>
      </c>
      <c r="N19" s="81">
        <v>7184.638</v>
      </c>
      <c r="O19" s="82">
        <v>28.001</v>
      </c>
      <c r="P19" s="83">
        <v>7156.637</v>
      </c>
      <c r="Q19" s="81">
        <v>7092.494</v>
      </c>
      <c r="R19" s="82">
        <v>26.433</v>
      </c>
      <c r="S19" s="83">
        <v>7066.061</v>
      </c>
      <c r="T19" s="81">
        <v>7008.013</v>
      </c>
      <c r="U19" s="82">
        <v>24.9293</v>
      </c>
      <c r="V19" s="83">
        <v>6983.0837</v>
      </c>
      <c r="W19" s="81">
        <v>6982.596</v>
      </c>
      <c r="X19" s="82">
        <v>23.3353</v>
      </c>
      <c r="Y19" s="83">
        <v>6959.2607</v>
      </c>
      <c r="Z19" s="81">
        <v>6638.147</v>
      </c>
      <c r="AA19" s="82">
        <v>21.8183</v>
      </c>
      <c r="AB19" s="83">
        <v>6616.3287</v>
      </c>
      <c r="AC19" s="81">
        <v>6621.176</v>
      </c>
      <c r="AD19" s="82">
        <v>20.196</v>
      </c>
      <c r="AE19" s="83">
        <v>6600.98</v>
      </c>
      <c r="AF19" s="81">
        <v>6311.138</v>
      </c>
      <c r="AG19" s="82">
        <v>18.666</v>
      </c>
      <c r="AH19" s="83">
        <v>6292.472</v>
      </c>
      <c r="AI19" s="81">
        <v>6269.274</v>
      </c>
      <c r="AJ19" s="82">
        <v>17.017</v>
      </c>
      <c r="AK19" s="83">
        <v>6252.257</v>
      </c>
      <c r="AL19" s="81">
        <v>5932.036</v>
      </c>
      <c r="AM19" s="82">
        <v>15.4723</v>
      </c>
      <c r="AN19" s="83">
        <v>5916.5637</v>
      </c>
      <c r="AO19" s="81">
        <v>5873.75</v>
      </c>
      <c r="AP19" s="82">
        <v>13.79288</v>
      </c>
      <c r="AQ19" s="83">
        <v>5859.95712</v>
      </c>
      <c r="AR19" s="81">
        <v>5544.313</v>
      </c>
      <c r="AS19" s="82">
        <v>12.234</v>
      </c>
      <c r="AT19" s="83">
        <v>5532.079</v>
      </c>
      <c r="AU19" s="81">
        <v>6657.761</v>
      </c>
      <c r="AV19" s="82">
        <v>10.524</v>
      </c>
      <c r="AW19" s="83">
        <v>6647.237</v>
      </c>
      <c r="AX19" s="81">
        <v>7333.432</v>
      </c>
      <c r="AY19" s="82">
        <v>8.949</v>
      </c>
      <c r="AZ19" s="83">
        <v>7324.483</v>
      </c>
      <c r="BA19" s="81">
        <v>7288.465</v>
      </c>
      <c r="BB19" s="82">
        <v>7.208</v>
      </c>
      <c r="BC19" s="83">
        <v>7281.257</v>
      </c>
      <c r="BD19" s="81">
        <v>7168.641</v>
      </c>
      <c r="BE19" s="82">
        <v>5.618</v>
      </c>
      <c r="BF19" s="83">
        <v>7163.023</v>
      </c>
      <c r="BG19" s="81">
        <v>7086.29014</v>
      </c>
      <c r="BH19" s="82">
        <v>4.554</v>
      </c>
      <c r="BI19" s="83">
        <v>7081.73614</v>
      </c>
      <c r="BJ19" s="81">
        <v>6935.137</v>
      </c>
      <c r="BK19" s="82">
        <v>4.048</v>
      </c>
      <c r="BL19" s="83">
        <v>6931.089</v>
      </c>
      <c r="BM19" s="81">
        <v>6720.249</v>
      </c>
      <c r="BN19" s="82">
        <v>4.048</v>
      </c>
      <c r="BO19" s="83">
        <v>6716.201</v>
      </c>
      <c r="BP19" s="81">
        <v>6486.71676258704</v>
      </c>
      <c r="BQ19" s="82">
        <v>3.525</v>
      </c>
      <c r="BR19" s="83">
        <v>6483.19176258704</v>
      </c>
      <c r="BS19" s="81">
        <v>6998.406574837</v>
      </c>
      <c r="BT19" s="82">
        <v>3.525</v>
      </c>
      <c r="BU19" s="83">
        <v>6994.881574837</v>
      </c>
      <c r="BV19" s="81">
        <v>6953.5797542088</v>
      </c>
      <c r="BW19" s="82">
        <v>2.984</v>
      </c>
      <c r="BX19" s="83">
        <v>6950.5957542088</v>
      </c>
      <c r="BY19" s="81">
        <v>6866.28204111147</v>
      </c>
      <c r="BZ19" s="82">
        <v>2.984</v>
      </c>
      <c r="CA19" s="83">
        <v>6863.29804111147</v>
      </c>
      <c r="CB19" s="81">
        <v>6586.30953770789</v>
      </c>
      <c r="CC19" s="82">
        <v>2.425</v>
      </c>
      <c r="CD19" s="83">
        <v>6583.88453770789</v>
      </c>
      <c r="CE19" s="81">
        <v>6558.46466184923</v>
      </c>
      <c r="CF19" s="82">
        <v>2.425</v>
      </c>
      <c r="CG19" s="83">
        <v>6556.03966184923</v>
      </c>
      <c r="CH19" s="81">
        <v>6252.87844301162</v>
      </c>
      <c r="CI19" s="82">
        <v>1.849</v>
      </c>
      <c r="CJ19" s="83">
        <v>6251.02944301162</v>
      </c>
      <c r="CK19" s="81">
        <v>6144.47053451764</v>
      </c>
      <c r="CL19" s="82">
        <v>1.849</v>
      </c>
      <c r="CM19" s="83">
        <v>6142.62153451764</v>
      </c>
      <c r="CN19" s="81">
        <v>6043.80677020026</v>
      </c>
      <c r="CO19" s="82">
        <v>1.252</v>
      </c>
      <c r="CP19" s="83">
        <v>6042.55477020026</v>
      </c>
      <c r="CQ19" s="81">
        <v>7051.93812059342</v>
      </c>
      <c r="CR19" s="82">
        <v>1.252</v>
      </c>
      <c r="CS19" s="83">
        <v>7050.68612059342</v>
      </c>
      <c r="CT19" s="81">
        <v>6882.86987572618</v>
      </c>
      <c r="CU19" s="82">
        <v>0.636</v>
      </c>
      <c r="CV19" s="83">
        <v>6882.23387572618</v>
      </c>
      <c r="CW19" s="81">
        <v>6910.82562123</v>
      </c>
      <c r="CX19" s="82">
        <v>0.636</v>
      </c>
      <c r="CY19" s="83">
        <v>6910.18962123</v>
      </c>
      <c r="CZ19" s="81">
        <v>6720.94069985</v>
      </c>
      <c r="DA19" s="82">
        <v>0</v>
      </c>
      <c r="DB19" s="83">
        <v>6720.94069985</v>
      </c>
      <c r="DC19" s="81">
        <v>6569.00378928</v>
      </c>
      <c r="DD19" s="82">
        <v>0</v>
      </c>
      <c r="DE19" s="83">
        <v>6569.00378928</v>
      </c>
      <c r="DF19" s="81">
        <v>6335.91269865822</v>
      </c>
      <c r="DG19" s="82">
        <v>0</v>
      </c>
      <c r="DH19" s="83">
        <v>6335.91269865822</v>
      </c>
    </row>
    <row r="20" spans="1:112">
      <c r="A20" s="84" t="s">
        <v>174</v>
      </c>
      <c r="B20" s="81">
        <v>0</v>
      </c>
      <c r="C20" s="82">
        <v>15.727</v>
      </c>
      <c r="D20" s="83">
        <v>-15.727</v>
      </c>
      <c r="E20" s="81">
        <v>0</v>
      </c>
      <c r="F20" s="82">
        <v>15.727</v>
      </c>
      <c r="G20" s="83">
        <v>-15.727</v>
      </c>
      <c r="H20" s="81">
        <v>0</v>
      </c>
      <c r="I20" s="82">
        <v>15.727</v>
      </c>
      <c r="J20" s="83">
        <v>-15.727</v>
      </c>
      <c r="K20" s="81">
        <v>0</v>
      </c>
      <c r="L20" s="82">
        <v>15.727</v>
      </c>
      <c r="M20" s="83">
        <v>-15.727</v>
      </c>
      <c r="N20" s="81">
        <v>0</v>
      </c>
      <c r="O20" s="82">
        <v>20.736</v>
      </c>
      <c r="P20" s="83">
        <v>-20.736</v>
      </c>
      <c r="Q20" s="81">
        <v>0</v>
      </c>
      <c r="R20" s="82">
        <v>20.736</v>
      </c>
      <c r="S20" s="83">
        <v>-20.736</v>
      </c>
      <c r="T20" s="81">
        <v>0</v>
      </c>
      <c r="U20" s="82">
        <v>22.265</v>
      </c>
      <c r="V20" s="83">
        <v>-22.265</v>
      </c>
      <c r="W20" s="81">
        <v>0</v>
      </c>
      <c r="X20" s="82">
        <v>15.727</v>
      </c>
      <c r="Y20" s="83">
        <v>-15.727</v>
      </c>
      <c r="Z20" s="81">
        <v>0</v>
      </c>
      <c r="AA20" s="82">
        <v>1.88048</v>
      </c>
      <c r="AB20" s="83">
        <v>-1.88048</v>
      </c>
      <c r="AC20" s="81">
        <v>0</v>
      </c>
      <c r="AD20" s="82">
        <v>0.12713</v>
      </c>
      <c r="AE20" s="83">
        <v>-0.12713</v>
      </c>
      <c r="AF20" s="81">
        <v>0</v>
      </c>
      <c r="AG20" s="82">
        <v>0.2746</v>
      </c>
      <c r="AH20" s="83">
        <v>-0.2746</v>
      </c>
      <c r="AI20" s="81">
        <v>0</v>
      </c>
      <c r="AJ20" s="82">
        <v>0.29139</v>
      </c>
      <c r="AK20" s="83">
        <v>-0.29139</v>
      </c>
      <c r="AL20" s="81">
        <v>0</v>
      </c>
      <c r="AM20" s="82">
        <v>0</v>
      </c>
      <c r="AN20" s="83">
        <v>0</v>
      </c>
      <c r="AO20" s="81">
        <v>0</v>
      </c>
      <c r="AP20" s="82">
        <v>0</v>
      </c>
      <c r="AQ20" s="83">
        <v>0</v>
      </c>
      <c r="AR20" s="81">
        <v>0</v>
      </c>
      <c r="AS20" s="82">
        <v>0</v>
      </c>
      <c r="AT20" s="83">
        <v>0</v>
      </c>
      <c r="AU20" s="81">
        <v>0</v>
      </c>
      <c r="AV20" s="82">
        <v>0</v>
      </c>
      <c r="AW20" s="83">
        <v>0</v>
      </c>
      <c r="AX20" s="81">
        <v>0</v>
      </c>
      <c r="AY20" s="82">
        <v>0</v>
      </c>
      <c r="AZ20" s="83">
        <v>0</v>
      </c>
      <c r="BA20" s="81">
        <v>0</v>
      </c>
      <c r="BB20" s="82">
        <v>0</v>
      </c>
      <c r="BC20" s="83">
        <v>0</v>
      </c>
      <c r="BD20" s="81">
        <v>0</v>
      </c>
      <c r="BE20" s="82">
        <v>0</v>
      </c>
      <c r="BF20" s="83">
        <v>0</v>
      </c>
      <c r="BG20" s="81">
        <v>0</v>
      </c>
      <c r="BH20" s="82">
        <v>0</v>
      </c>
      <c r="BI20" s="83">
        <v>0</v>
      </c>
      <c r="BJ20" s="81">
        <v>0</v>
      </c>
      <c r="BK20" s="82">
        <v>0</v>
      </c>
      <c r="BL20" s="83">
        <v>0</v>
      </c>
      <c r="BM20" s="81">
        <v>0</v>
      </c>
      <c r="BN20" s="82">
        <v>0</v>
      </c>
      <c r="BO20" s="83">
        <v>0</v>
      </c>
      <c r="BP20" s="81">
        <v>0</v>
      </c>
      <c r="BQ20" s="82">
        <v>0</v>
      </c>
      <c r="BR20" s="83">
        <v>0</v>
      </c>
      <c r="BS20" s="81">
        <v>0</v>
      </c>
      <c r="BT20" s="82">
        <v>0</v>
      </c>
      <c r="BU20" s="83">
        <v>0</v>
      </c>
      <c r="BV20" s="81">
        <v>0</v>
      </c>
      <c r="BW20" s="82">
        <v>0</v>
      </c>
      <c r="BX20" s="83">
        <v>0</v>
      </c>
      <c r="BY20" s="81">
        <v>0</v>
      </c>
      <c r="BZ20" s="82">
        <v>0</v>
      </c>
      <c r="CA20" s="83">
        <v>0</v>
      </c>
      <c r="CB20" s="81">
        <v>0</v>
      </c>
      <c r="CC20" s="82">
        <v>0</v>
      </c>
      <c r="CD20" s="83">
        <v>0</v>
      </c>
      <c r="CE20" s="81">
        <v>0</v>
      </c>
      <c r="CF20" s="82">
        <v>0</v>
      </c>
      <c r="CG20" s="83">
        <v>0</v>
      </c>
      <c r="CH20" s="81">
        <v>0</v>
      </c>
      <c r="CI20" s="82">
        <v>0</v>
      </c>
      <c r="CJ20" s="83">
        <v>0</v>
      </c>
      <c r="CK20" s="81">
        <v>0</v>
      </c>
      <c r="CL20" s="82">
        <v>0</v>
      </c>
      <c r="CM20" s="83">
        <v>0</v>
      </c>
      <c r="CN20" s="81">
        <v>0</v>
      </c>
      <c r="CO20" s="82">
        <v>0</v>
      </c>
      <c r="CP20" s="83">
        <v>0</v>
      </c>
      <c r="CQ20" s="81">
        <v>0</v>
      </c>
      <c r="CR20" s="82">
        <v>0</v>
      </c>
      <c r="CS20" s="83">
        <v>0</v>
      </c>
      <c r="CT20" s="81">
        <v>0</v>
      </c>
      <c r="CU20" s="82">
        <v>0</v>
      </c>
      <c r="CV20" s="83">
        <v>0</v>
      </c>
      <c r="CW20" s="81">
        <v>0</v>
      </c>
      <c r="CX20" s="82">
        <v>0</v>
      </c>
      <c r="CY20" s="83">
        <v>0</v>
      </c>
      <c r="CZ20" s="81">
        <v>0</v>
      </c>
      <c r="DA20" s="82">
        <v>0</v>
      </c>
      <c r="DB20" s="83">
        <v>0</v>
      </c>
      <c r="DC20" s="81">
        <v>0</v>
      </c>
      <c r="DD20" s="82">
        <v>0</v>
      </c>
      <c r="DE20" s="83">
        <v>0</v>
      </c>
      <c r="DF20" s="81">
        <v>0</v>
      </c>
      <c r="DG20" s="82">
        <v>0</v>
      </c>
      <c r="DH20" s="83">
        <v>0</v>
      </c>
    </row>
    <row r="21" spans="1:112">
      <c r="A21" s="80" t="s">
        <v>419</v>
      </c>
      <c r="B21" s="81">
        <v>0</v>
      </c>
      <c r="C21" s="82">
        <v>0</v>
      </c>
      <c r="D21" s="83">
        <v>0</v>
      </c>
      <c r="E21" s="81">
        <v>0</v>
      </c>
      <c r="F21" s="82">
        <v>0</v>
      </c>
      <c r="G21" s="83">
        <v>0</v>
      </c>
      <c r="H21" s="81">
        <v>0</v>
      </c>
      <c r="I21" s="82">
        <v>0</v>
      </c>
      <c r="J21" s="83">
        <v>0</v>
      </c>
      <c r="K21" s="81">
        <v>0</v>
      </c>
      <c r="L21" s="82">
        <v>0</v>
      </c>
      <c r="M21" s="83">
        <v>0</v>
      </c>
      <c r="N21" s="81">
        <v>0</v>
      </c>
      <c r="O21" s="82">
        <v>0</v>
      </c>
      <c r="P21" s="83">
        <v>0</v>
      </c>
      <c r="Q21" s="81">
        <v>0</v>
      </c>
      <c r="R21" s="82">
        <v>0</v>
      </c>
      <c r="S21" s="83">
        <v>0</v>
      </c>
      <c r="T21" s="81">
        <v>0</v>
      </c>
      <c r="U21" s="82">
        <v>0</v>
      </c>
      <c r="V21" s="83">
        <v>0</v>
      </c>
      <c r="W21" s="81">
        <v>0</v>
      </c>
      <c r="X21" s="82">
        <v>0</v>
      </c>
      <c r="Y21" s="83">
        <v>0</v>
      </c>
      <c r="Z21" s="81">
        <v>0</v>
      </c>
      <c r="AA21" s="82">
        <v>0</v>
      </c>
      <c r="AB21" s="83">
        <v>0</v>
      </c>
      <c r="AC21" s="81">
        <v>0</v>
      </c>
      <c r="AD21" s="82">
        <v>0</v>
      </c>
      <c r="AE21" s="83">
        <v>0</v>
      </c>
      <c r="AF21" s="81">
        <v>0</v>
      </c>
      <c r="AG21" s="82">
        <v>0</v>
      </c>
      <c r="AH21" s="83">
        <v>0</v>
      </c>
      <c r="AI21" s="81">
        <v>0</v>
      </c>
      <c r="AJ21" s="82">
        <v>0</v>
      </c>
      <c r="AK21" s="83">
        <v>0</v>
      </c>
      <c r="AL21" s="81">
        <v>0</v>
      </c>
      <c r="AM21" s="82">
        <v>0</v>
      </c>
      <c r="AN21" s="83">
        <v>0</v>
      </c>
      <c r="AO21" s="81">
        <v>0</v>
      </c>
      <c r="AP21" s="82">
        <v>0</v>
      </c>
      <c r="AQ21" s="83">
        <v>0</v>
      </c>
      <c r="AR21" s="81">
        <v>0</v>
      </c>
      <c r="AS21" s="82">
        <v>0</v>
      </c>
      <c r="AT21" s="83">
        <v>0</v>
      </c>
      <c r="AU21" s="81">
        <v>0</v>
      </c>
      <c r="AV21" s="82">
        <v>0</v>
      </c>
      <c r="AW21" s="83">
        <v>0</v>
      </c>
      <c r="AX21" s="81">
        <v>0</v>
      </c>
      <c r="AY21" s="82">
        <v>0</v>
      </c>
      <c r="AZ21" s="83">
        <v>0</v>
      </c>
      <c r="BA21" s="81">
        <v>0</v>
      </c>
      <c r="BB21" s="82">
        <v>0</v>
      </c>
      <c r="BC21" s="83">
        <v>0</v>
      </c>
      <c r="BD21" s="81">
        <v>0</v>
      </c>
      <c r="BE21" s="82">
        <v>0</v>
      </c>
      <c r="BF21" s="83">
        <v>0</v>
      </c>
      <c r="BG21" s="81">
        <v>0</v>
      </c>
      <c r="BH21" s="82">
        <v>0</v>
      </c>
      <c r="BI21" s="83">
        <v>0</v>
      </c>
      <c r="BJ21" s="81">
        <v>0</v>
      </c>
      <c r="BK21" s="82">
        <v>0.18667</v>
      </c>
      <c r="BL21" s="83">
        <v>-0.18667</v>
      </c>
      <c r="BM21" s="81">
        <v>0</v>
      </c>
      <c r="BN21" s="82">
        <v>0</v>
      </c>
      <c r="BO21" s="83">
        <v>0</v>
      </c>
      <c r="BP21" s="81">
        <v>0</v>
      </c>
      <c r="BQ21" s="82">
        <v>0</v>
      </c>
      <c r="BR21" s="83">
        <v>0</v>
      </c>
      <c r="BS21" s="81">
        <v>0</v>
      </c>
      <c r="BT21" s="82">
        <v>0</v>
      </c>
      <c r="BU21" s="83">
        <v>0</v>
      </c>
      <c r="BV21" s="81">
        <v>0</v>
      </c>
      <c r="BW21" s="82">
        <v>0</v>
      </c>
      <c r="BX21" s="83">
        <v>0</v>
      </c>
      <c r="BY21" s="81">
        <v>0</v>
      </c>
      <c r="BZ21" s="82">
        <v>0</v>
      </c>
      <c r="CA21" s="83">
        <v>0</v>
      </c>
      <c r="CB21" s="81">
        <v>0</v>
      </c>
      <c r="CC21" s="82">
        <v>0</v>
      </c>
      <c r="CD21" s="83">
        <v>0</v>
      </c>
      <c r="CE21" s="81">
        <v>0</v>
      </c>
      <c r="CF21" s="82">
        <v>0</v>
      </c>
      <c r="CG21" s="83">
        <v>0</v>
      </c>
      <c r="CH21" s="81">
        <v>0</v>
      </c>
      <c r="CI21" s="82">
        <v>0</v>
      </c>
      <c r="CJ21" s="83">
        <v>0</v>
      </c>
      <c r="CK21" s="81">
        <v>0</v>
      </c>
      <c r="CL21" s="82">
        <v>0</v>
      </c>
      <c r="CM21" s="83">
        <v>0</v>
      </c>
      <c r="CN21" s="81">
        <v>0</v>
      </c>
      <c r="CO21" s="82">
        <v>0</v>
      </c>
      <c r="CP21" s="83">
        <v>0</v>
      </c>
      <c r="CQ21" s="81">
        <v>0</v>
      </c>
      <c r="CR21" s="82">
        <v>0</v>
      </c>
      <c r="CS21" s="83">
        <v>0</v>
      </c>
      <c r="CT21" s="81">
        <v>0</v>
      </c>
      <c r="CU21" s="82">
        <v>0</v>
      </c>
      <c r="CV21" s="83">
        <v>0</v>
      </c>
      <c r="CW21" s="81">
        <v>0</v>
      </c>
      <c r="CX21" s="82">
        <v>0</v>
      </c>
      <c r="CY21" s="83">
        <v>0</v>
      </c>
      <c r="CZ21" s="81">
        <v>0</v>
      </c>
      <c r="DA21" s="82">
        <v>0</v>
      </c>
      <c r="DB21" s="83">
        <v>0</v>
      </c>
      <c r="DC21" s="81">
        <v>0</v>
      </c>
      <c r="DD21" s="82">
        <v>0</v>
      </c>
      <c r="DE21" s="83">
        <v>0</v>
      </c>
      <c r="DF21" s="81">
        <v>0</v>
      </c>
      <c r="DG21" s="82">
        <v>0</v>
      </c>
      <c r="DH21" s="83">
        <v>0</v>
      </c>
    </row>
    <row r="22" s="52" customFormat="1" spans="1:112">
      <c r="A22" s="85" t="s">
        <v>178</v>
      </c>
      <c r="B22" s="77">
        <v>1120.38220279148</v>
      </c>
      <c r="C22" s="78">
        <v>22558.8185514736</v>
      </c>
      <c r="D22" s="79">
        <v>-21438.4363486821</v>
      </c>
      <c r="E22" s="77">
        <v>1097.84990109483</v>
      </c>
      <c r="F22" s="78">
        <v>22452.1807200979</v>
      </c>
      <c r="G22" s="79">
        <v>-21354.330819003</v>
      </c>
      <c r="H22" s="77">
        <v>869.738079352559</v>
      </c>
      <c r="I22" s="78">
        <v>23795.7648383007</v>
      </c>
      <c r="J22" s="79">
        <v>-22926.0267589482</v>
      </c>
      <c r="K22" s="77">
        <v>926.315338222423</v>
      </c>
      <c r="L22" s="78">
        <v>22112.0464529873</v>
      </c>
      <c r="M22" s="79">
        <v>-21185.7311147649</v>
      </c>
      <c r="N22" s="77">
        <v>1899.18094653111</v>
      </c>
      <c r="O22" s="78">
        <v>21176.6013224354</v>
      </c>
      <c r="P22" s="79">
        <v>-19277.4203759043</v>
      </c>
      <c r="Q22" s="77">
        <v>1188.56974245464</v>
      </c>
      <c r="R22" s="78">
        <v>20660.754628935</v>
      </c>
      <c r="S22" s="79">
        <v>-19472.1848864804</v>
      </c>
      <c r="T22" s="77">
        <v>774.577928855583</v>
      </c>
      <c r="U22" s="78">
        <v>20551.0497184554</v>
      </c>
      <c r="V22" s="79">
        <v>-19776.4717895998</v>
      </c>
      <c r="W22" s="77">
        <v>770.396372451399</v>
      </c>
      <c r="X22" s="78">
        <v>20090.4889452151</v>
      </c>
      <c r="Y22" s="79">
        <v>-19320.0925727637</v>
      </c>
      <c r="Z22" s="77">
        <v>938.789306559557</v>
      </c>
      <c r="AA22" s="78">
        <v>15621.8958141608</v>
      </c>
      <c r="AB22" s="79">
        <v>-14683.1065076013</v>
      </c>
      <c r="AC22" s="77">
        <v>759.411608895253</v>
      </c>
      <c r="AD22" s="78">
        <v>14590.6854924916</v>
      </c>
      <c r="AE22" s="79">
        <v>-13831.2738835963</v>
      </c>
      <c r="AF22" s="77">
        <v>634.037836002358</v>
      </c>
      <c r="AG22" s="78">
        <v>14352.0741613785</v>
      </c>
      <c r="AH22" s="79">
        <v>-13718.0363253761</v>
      </c>
      <c r="AI22" s="77">
        <v>891.101160160978</v>
      </c>
      <c r="AJ22" s="78">
        <v>13848.8996737781</v>
      </c>
      <c r="AK22" s="79">
        <v>-12957.7985136171</v>
      </c>
      <c r="AL22" s="77">
        <v>949.885200695225</v>
      </c>
      <c r="AM22" s="78">
        <v>13174.5975480287</v>
      </c>
      <c r="AN22" s="79">
        <v>-12224.7123473335</v>
      </c>
      <c r="AO22" s="77">
        <v>825.909203652641</v>
      </c>
      <c r="AP22" s="78">
        <v>14902.0202822432</v>
      </c>
      <c r="AQ22" s="79">
        <v>-14076.1110785906</v>
      </c>
      <c r="AR22" s="77">
        <v>805.595509154658</v>
      </c>
      <c r="AS22" s="78">
        <v>13474.9773412384</v>
      </c>
      <c r="AT22" s="79">
        <v>-12669.3818320837</v>
      </c>
      <c r="AU22" s="77">
        <v>1329.36925308143</v>
      </c>
      <c r="AV22" s="78">
        <v>13930.954687244</v>
      </c>
      <c r="AW22" s="79">
        <v>-12601.5854341625</v>
      </c>
      <c r="AX22" s="77">
        <v>1835.99147315803</v>
      </c>
      <c r="AY22" s="78">
        <v>13549.8377811152</v>
      </c>
      <c r="AZ22" s="79">
        <v>-11713.8463079572</v>
      </c>
      <c r="BA22" s="77">
        <v>1714.69068105253</v>
      </c>
      <c r="BB22" s="78">
        <v>14051.9755257179</v>
      </c>
      <c r="BC22" s="79">
        <v>-12337.2848446654</v>
      </c>
      <c r="BD22" s="77">
        <v>3051.34204159082</v>
      </c>
      <c r="BE22" s="78">
        <v>14170.6812247299</v>
      </c>
      <c r="BF22" s="79">
        <v>-11119.3391831391</v>
      </c>
      <c r="BG22" s="77">
        <v>2535.76657868516</v>
      </c>
      <c r="BH22" s="78">
        <v>11208.6095875077</v>
      </c>
      <c r="BI22" s="79">
        <v>-8672.84300882254</v>
      </c>
      <c r="BJ22" s="77">
        <v>2519.33428124251</v>
      </c>
      <c r="BK22" s="78">
        <v>12188.8312959568</v>
      </c>
      <c r="BL22" s="79">
        <v>-9669.49701471434</v>
      </c>
      <c r="BM22" s="77">
        <v>2214.31428565088</v>
      </c>
      <c r="BN22" s="78">
        <v>11115.0101826046</v>
      </c>
      <c r="BO22" s="79">
        <v>-8900.69589695368</v>
      </c>
      <c r="BP22" s="77">
        <v>2043.62769559036</v>
      </c>
      <c r="BQ22" s="78">
        <v>12427.8321470524</v>
      </c>
      <c r="BR22" s="79">
        <v>-10384.204451462</v>
      </c>
      <c r="BS22" s="77">
        <v>2171.80232789685</v>
      </c>
      <c r="BT22" s="78">
        <v>15882.3156577465</v>
      </c>
      <c r="BU22" s="79">
        <v>-13710.5133298497</v>
      </c>
      <c r="BV22" s="77">
        <v>2217.89527204847</v>
      </c>
      <c r="BW22" s="78">
        <v>16465.8146629574</v>
      </c>
      <c r="BX22" s="79">
        <v>-14247.9193909089</v>
      </c>
      <c r="BY22" s="77">
        <v>2065.09306953545</v>
      </c>
      <c r="BZ22" s="78">
        <v>16850.819955049</v>
      </c>
      <c r="CA22" s="79">
        <v>-14785.7268855135</v>
      </c>
      <c r="CB22" s="77">
        <v>2097.62940993047</v>
      </c>
      <c r="CC22" s="78">
        <v>16055.4296307477</v>
      </c>
      <c r="CD22" s="79">
        <v>-13957.8002208173</v>
      </c>
      <c r="CE22" s="77">
        <v>2233.06972452529</v>
      </c>
      <c r="CF22" s="78">
        <v>21211.923895366</v>
      </c>
      <c r="CG22" s="79">
        <v>-18978.8541708408</v>
      </c>
      <c r="CH22" s="77">
        <v>2094.17583354873</v>
      </c>
      <c r="CI22" s="78">
        <v>20371.0022132559</v>
      </c>
      <c r="CJ22" s="79">
        <v>-18276.8263797072</v>
      </c>
      <c r="CK22" s="77">
        <v>2035.99040246028</v>
      </c>
      <c r="CL22" s="78">
        <v>22467.0120123846</v>
      </c>
      <c r="CM22" s="79">
        <v>-20431.0216099243</v>
      </c>
      <c r="CN22" s="77">
        <v>2204.01228452277</v>
      </c>
      <c r="CO22" s="78">
        <v>25252.7218499368</v>
      </c>
      <c r="CP22" s="79">
        <v>-23048.7095654141</v>
      </c>
      <c r="CQ22" s="77">
        <v>2469.96515625997</v>
      </c>
      <c r="CR22" s="78">
        <v>26070.9696867216</v>
      </c>
      <c r="CS22" s="79">
        <v>-23601.0045304616</v>
      </c>
      <c r="CT22" s="77">
        <v>2212.74130394809</v>
      </c>
      <c r="CU22" s="78">
        <v>25958.4821225769</v>
      </c>
      <c r="CV22" s="79">
        <v>-23745.7408186288</v>
      </c>
      <c r="CW22" s="77">
        <v>2205.85341922465</v>
      </c>
      <c r="CX22" s="78">
        <v>23526.8679849137</v>
      </c>
      <c r="CY22" s="79">
        <v>-21321.014565689</v>
      </c>
      <c r="CZ22" s="77">
        <v>2165.84445454182</v>
      </c>
      <c r="DA22" s="78">
        <v>21490.4733881144</v>
      </c>
      <c r="DB22" s="79">
        <v>-19324.6289335726</v>
      </c>
      <c r="DC22" s="77">
        <v>2594.43236279385</v>
      </c>
      <c r="DD22" s="78">
        <v>20491.8551741341</v>
      </c>
      <c r="DE22" s="79">
        <v>-17897.4228113402</v>
      </c>
      <c r="DF22" s="77">
        <v>2381.79133809018</v>
      </c>
      <c r="DG22" s="78">
        <v>17347.6790562778</v>
      </c>
      <c r="DH22" s="79">
        <v>-14965.8877181876</v>
      </c>
    </row>
    <row r="23" s="52" customFormat="1" spans="1:112">
      <c r="A23" s="75" t="s">
        <v>164</v>
      </c>
      <c r="B23" s="72">
        <v>626.943217020491</v>
      </c>
      <c r="C23" s="73">
        <v>13478.2008862807</v>
      </c>
      <c r="D23" s="74">
        <v>-12851.2576692602</v>
      </c>
      <c r="E23" s="72">
        <v>593.742213179984</v>
      </c>
      <c r="F23" s="73">
        <v>13429.9905074757</v>
      </c>
      <c r="G23" s="74">
        <v>-12836.2482942957</v>
      </c>
      <c r="H23" s="72">
        <v>368.299235619327</v>
      </c>
      <c r="I23" s="73">
        <v>13839.308269636</v>
      </c>
      <c r="J23" s="74">
        <v>-13471.0090340167</v>
      </c>
      <c r="K23" s="72">
        <v>421.753149834526</v>
      </c>
      <c r="L23" s="73">
        <v>12405.1552898696</v>
      </c>
      <c r="M23" s="74">
        <v>-11983.4021400351</v>
      </c>
      <c r="N23" s="72">
        <v>1388.16520593405</v>
      </c>
      <c r="O23" s="73">
        <v>11876.015618658</v>
      </c>
      <c r="P23" s="74">
        <v>-10487.8504127239</v>
      </c>
      <c r="Q23" s="72">
        <v>694.514273772489</v>
      </c>
      <c r="R23" s="73">
        <v>11646.5842222791</v>
      </c>
      <c r="S23" s="74">
        <v>-10952.0699485067</v>
      </c>
      <c r="T23" s="72">
        <v>286.49230030412</v>
      </c>
      <c r="U23" s="73">
        <v>12043.8208722644</v>
      </c>
      <c r="V23" s="74">
        <v>-11757.3285719603</v>
      </c>
      <c r="W23" s="72">
        <v>286.240966862326</v>
      </c>
      <c r="X23" s="73">
        <v>11532.4131518889</v>
      </c>
      <c r="Y23" s="74">
        <v>-11246.1721850265</v>
      </c>
      <c r="Z23" s="72">
        <v>455.570299564139</v>
      </c>
      <c r="AA23" s="73">
        <v>7458.37260752069</v>
      </c>
      <c r="AB23" s="74">
        <v>-7002.80230795655</v>
      </c>
      <c r="AC23" s="72">
        <v>275.489757462209</v>
      </c>
      <c r="AD23" s="73">
        <v>6792.69468183219</v>
      </c>
      <c r="AE23" s="74">
        <v>-6517.20492436998</v>
      </c>
      <c r="AF23" s="72">
        <v>159.097328566153</v>
      </c>
      <c r="AG23" s="73">
        <v>8640.8403686965</v>
      </c>
      <c r="AH23" s="74">
        <v>-8481.74304013035</v>
      </c>
      <c r="AI23" s="72">
        <v>409.707027394625</v>
      </c>
      <c r="AJ23" s="73">
        <v>8052.9287752561</v>
      </c>
      <c r="AK23" s="74">
        <v>-7643.22174786148</v>
      </c>
      <c r="AL23" s="72">
        <v>472.755563402251</v>
      </c>
      <c r="AM23" s="73">
        <v>7669.16212531165</v>
      </c>
      <c r="AN23" s="74">
        <v>-7196.4065619094</v>
      </c>
      <c r="AO23" s="72">
        <v>345.581379395764</v>
      </c>
      <c r="AP23" s="73">
        <v>9139.85570491488</v>
      </c>
      <c r="AQ23" s="74">
        <v>-8794.27432551912</v>
      </c>
      <c r="AR23" s="72">
        <v>315.711163760229</v>
      </c>
      <c r="AS23" s="73">
        <v>7560.24154436492</v>
      </c>
      <c r="AT23" s="74">
        <v>-7244.53038060469</v>
      </c>
      <c r="AU23" s="72">
        <v>828.025657031717</v>
      </c>
      <c r="AV23" s="73">
        <v>7869.31267237931</v>
      </c>
      <c r="AW23" s="74">
        <v>-7041.2870153476</v>
      </c>
      <c r="AX23" s="72">
        <v>1342.76908615934</v>
      </c>
      <c r="AY23" s="73">
        <v>7542.08084481041</v>
      </c>
      <c r="AZ23" s="74">
        <v>-6199.31175865106</v>
      </c>
      <c r="BA23" s="72">
        <v>1218.0262456584</v>
      </c>
      <c r="BB23" s="73">
        <v>8083.79740502979</v>
      </c>
      <c r="BC23" s="74">
        <v>-6865.77115937139</v>
      </c>
      <c r="BD23" s="72">
        <v>989.8780292842</v>
      </c>
      <c r="BE23" s="73">
        <v>6821.33759654178</v>
      </c>
      <c r="BF23" s="74">
        <v>-5831.45956725758</v>
      </c>
      <c r="BG23" s="72">
        <v>494.633727567375</v>
      </c>
      <c r="BH23" s="73">
        <v>3845.44512793719</v>
      </c>
      <c r="BI23" s="74">
        <v>-3350.81140036982</v>
      </c>
      <c r="BJ23" s="72">
        <v>501.939113871195</v>
      </c>
      <c r="BK23" s="73">
        <v>4995.19562813245</v>
      </c>
      <c r="BL23" s="74">
        <v>-4493.25651426125</v>
      </c>
      <c r="BM23" s="72">
        <v>270.385191342202</v>
      </c>
      <c r="BN23" s="73">
        <v>4136.87795754384</v>
      </c>
      <c r="BO23" s="74">
        <v>-3866.49276620164</v>
      </c>
      <c r="BP23" s="72">
        <v>182.811485181605</v>
      </c>
      <c r="BQ23" s="73">
        <v>5832.41464011145</v>
      </c>
      <c r="BR23" s="74">
        <v>-5649.60315492985</v>
      </c>
      <c r="BS23" s="72">
        <v>230.885553564417</v>
      </c>
      <c r="BT23" s="73">
        <v>8999.76917965846</v>
      </c>
      <c r="BU23" s="74">
        <v>-8768.88362609405</v>
      </c>
      <c r="BV23" s="72">
        <v>255.294932775983</v>
      </c>
      <c r="BW23" s="73">
        <v>9491.59425620168</v>
      </c>
      <c r="BX23" s="74">
        <v>-9236.2993234257</v>
      </c>
      <c r="BY23" s="72">
        <v>119.748077012009</v>
      </c>
      <c r="BZ23" s="73">
        <v>9943.99884750265</v>
      </c>
      <c r="CA23" s="74">
        <v>-9824.25077049065</v>
      </c>
      <c r="CB23" s="72">
        <v>185.16305207481</v>
      </c>
      <c r="CC23" s="73">
        <v>9411.98764239273</v>
      </c>
      <c r="CD23" s="74">
        <v>-9226.82459031792</v>
      </c>
      <c r="CE23" s="72">
        <v>276.354757415343</v>
      </c>
      <c r="CF23" s="73">
        <v>12768.9758344982</v>
      </c>
      <c r="CG23" s="74">
        <v>-12492.6210770828</v>
      </c>
      <c r="CH23" s="72">
        <v>164.057403205086</v>
      </c>
      <c r="CI23" s="73">
        <v>10122.4768715884</v>
      </c>
      <c r="CJ23" s="74">
        <v>-9958.41946838335</v>
      </c>
      <c r="CK23" s="72">
        <v>118.153288383801</v>
      </c>
      <c r="CL23" s="73">
        <v>11144.6429477369</v>
      </c>
      <c r="CM23" s="74">
        <v>-11026.4896593531</v>
      </c>
      <c r="CN23" s="72">
        <v>227.875278648283</v>
      </c>
      <c r="CO23" s="73">
        <v>11631.5946546172</v>
      </c>
      <c r="CP23" s="74">
        <v>-11403.7193759689</v>
      </c>
      <c r="CQ23" s="72">
        <v>567.978178976413</v>
      </c>
      <c r="CR23" s="73">
        <v>11258.7416093782</v>
      </c>
      <c r="CS23" s="74">
        <v>-10690.7634304017</v>
      </c>
      <c r="CT23" s="72">
        <v>279.382654758589</v>
      </c>
      <c r="CU23" s="73">
        <v>10381.6165985485</v>
      </c>
      <c r="CV23" s="74">
        <v>-10102.2339437899</v>
      </c>
      <c r="CW23" s="72">
        <v>202.925568232149</v>
      </c>
      <c r="CX23" s="73">
        <v>7190.00714077874</v>
      </c>
      <c r="CY23" s="74">
        <v>-6987.08157254659</v>
      </c>
      <c r="CZ23" s="72">
        <v>168.504229919607</v>
      </c>
      <c r="DA23" s="73">
        <v>6501.57521590018</v>
      </c>
      <c r="DB23" s="74">
        <v>-6333.07098598058</v>
      </c>
      <c r="DC23" s="72">
        <v>595.373274524778</v>
      </c>
      <c r="DD23" s="73">
        <v>5436.04406992421</v>
      </c>
      <c r="DE23" s="74">
        <v>-4840.67079539944</v>
      </c>
      <c r="DF23" s="72">
        <v>401.577269149962</v>
      </c>
      <c r="DG23" s="73">
        <v>5812.75198476934</v>
      </c>
      <c r="DH23" s="74">
        <v>-5411.17471561938</v>
      </c>
    </row>
    <row r="24" spans="1:112">
      <c r="A24" s="84" t="s">
        <v>171</v>
      </c>
      <c r="B24" s="81">
        <v>16.8370456141344</v>
      </c>
      <c r="C24" s="82">
        <v>5850.91827877119</v>
      </c>
      <c r="D24" s="83">
        <v>-5834.08123315706</v>
      </c>
      <c r="E24" s="81">
        <v>18.4068134559584</v>
      </c>
      <c r="F24" s="82">
        <v>6494.69336984102</v>
      </c>
      <c r="G24" s="83">
        <v>-6476.28655638506</v>
      </c>
      <c r="H24" s="81">
        <v>15.3433685735951</v>
      </c>
      <c r="I24" s="82">
        <v>4642.99331419542</v>
      </c>
      <c r="J24" s="83">
        <v>-4627.64994562183</v>
      </c>
      <c r="K24" s="81">
        <v>10.575613865385</v>
      </c>
      <c r="L24" s="82">
        <v>4317.43302978797</v>
      </c>
      <c r="M24" s="83">
        <v>-4306.85741592259</v>
      </c>
      <c r="N24" s="81">
        <v>7.18231139774873</v>
      </c>
      <c r="O24" s="82">
        <v>3983.78001037474</v>
      </c>
      <c r="P24" s="83">
        <v>-3976.59769897699</v>
      </c>
      <c r="Q24" s="81">
        <v>4.91934506497948</v>
      </c>
      <c r="R24" s="82">
        <v>4465.02178510288</v>
      </c>
      <c r="S24" s="83">
        <v>-4460.1024400379</v>
      </c>
      <c r="T24" s="81">
        <v>5.7710656671931</v>
      </c>
      <c r="U24" s="82">
        <v>5654.20412794918</v>
      </c>
      <c r="V24" s="83">
        <v>-5648.43306228199</v>
      </c>
      <c r="W24" s="81">
        <v>6.92456811709526</v>
      </c>
      <c r="X24" s="82">
        <v>5637.82403214921</v>
      </c>
      <c r="Y24" s="83">
        <v>-5630.89946403211</v>
      </c>
      <c r="Z24" s="81">
        <v>5.54731893177455</v>
      </c>
      <c r="AA24" s="82">
        <v>3742.53839774685</v>
      </c>
      <c r="AB24" s="83">
        <v>-3736.99107881507</v>
      </c>
      <c r="AC24" s="81">
        <v>4.13014892383308</v>
      </c>
      <c r="AD24" s="82">
        <v>3310.38601613041</v>
      </c>
      <c r="AE24" s="83">
        <v>-3306.25586720658</v>
      </c>
      <c r="AF24" s="81">
        <v>4.6604370013521</v>
      </c>
      <c r="AG24" s="82">
        <v>4749.02114946078</v>
      </c>
      <c r="AH24" s="83">
        <v>-4744.36071245943</v>
      </c>
      <c r="AI24" s="81">
        <v>3.85122062967825</v>
      </c>
      <c r="AJ24" s="82">
        <v>4104.38038043755</v>
      </c>
      <c r="AK24" s="83">
        <v>-4100.52915980787</v>
      </c>
      <c r="AL24" s="81">
        <v>4.83493650501888</v>
      </c>
      <c r="AM24" s="82">
        <v>4495.02274784245</v>
      </c>
      <c r="AN24" s="83">
        <v>-4490.18781133744</v>
      </c>
      <c r="AO24" s="81">
        <v>4.44612224366153</v>
      </c>
      <c r="AP24" s="82">
        <v>4220.21919514965</v>
      </c>
      <c r="AQ24" s="83">
        <v>-4215.77307290599</v>
      </c>
      <c r="AR24" s="81">
        <v>5.38824410618498</v>
      </c>
      <c r="AS24" s="82">
        <v>3290.17880246779</v>
      </c>
      <c r="AT24" s="83">
        <v>-3284.7905583616</v>
      </c>
      <c r="AU24" s="81">
        <v>2.63006561752251</v>
      </c>
      <c r="AV24" s="82">
        <v>5631.14226527121</v>
      </c>
      <c r="AW24" s="83">
        <v>-5628.51219965369</v>
      </c>
      <c r="AX24" s="81">
        <v>4.89967951411095</v>
      </c>
      <c r="AY24" s="82">
        <v>5312.46151019138</v>
      </c>
      <c r="AZ24" s="83">
        <v>-5307.56183067727</v>
      </c>
      <c r="BA24" s="81">
        <v>72.9704787923312</v>
      </c>
      <c r="BB24" s="82">
        <v>6763.80954905633</v>
      </c>
      <c r="BC24" s="83">
        <v>-6690.839070264</v>
      </c>
      <c r="BD24" s="81">
        <v>4.28937590039464</v>
      </c>
      <c r="BE24" s="82">
        <v>5325.71565487069</v>
      </c>
      <c r="BF24" s="83">
        <v>-5321.4262789703</v>
      </c>
      <c r="BG24" s="81">
        <v>7.89651824396017</v>
      </c>
      <c r="BH24" s="82">
        <v>3353.26000491578</v>
      </c>
      <c r="BI24" s="83">
        <v>-3345.36348667182</v>
      </c>
      <c r="BJ24" s="81">
        <v>255.141512484672</v>
      </c>
      <c r="BK24" s="82">
        <v>4752.24310448788</v>
      </c>
      <c r="BL24" s="83">
        <v>-4497.10159200321</v>
      </c>
      <c r="BM24" s="81">
        <v>11.2667570916558</v>
      </c>
      <c r="BN24" s="82">
        <v>4071.85639687799</v>
      </c>
      <c r="BO24" s="83">
        <v>-4060.58963978633</v>
      </c>
      <c r="BP24" s="81">
        <v>11.1481378108831</v>
      </c>
      <c r="BQ24" s="82">
        <v>4382.0027612681</v>
      </c>
      <c r="BR24" s="83">
        <v>-4370.85462345722</v>
      </c>
      <c r="BS24" s="81">
        <v>12.8020210492413</v>
      </c>
      <c r="BT24" s="82">
        <v>4819.45370189484</v>
      </c>
      <c r="BU24" s="83">
        <v>-4806.6516808456</v>
      </c>
      <c r="BV24" s="81">
        <v>10.3885877694231</v>
      </c>
      <c r="BW24" s="82">
        <v>5259.13494802251</v>
      </c>
      <c r="BX24" s="83">
        <v>-5248.74636025309</v>
      </c>
      <c r="BY24" s="81">
        <v>13.5773306748892</v>
      </c>
      <c r="BZ24" s="82">
        <v>5390.50218547541</v>
      </c>
      <c r="CA24" s="83">
        <v>-5376.92485480053</v>
      </c>
      <c r="CB24" s="81">
        <v>13.0229689809501</v>
      </c>
      <c r="CC24" s="82">
        <v>4372.94843047154</v>
      </c>
      <c r="CD24" s="83">
        <v>-4359.92546149059</v>
      </c>
      <c r="CE24" s="81">
        <v>249.744791397784</v>
      </c>
      <c r="CF24" s="82">
        <v>6980.15512770255</v>
      </c>
      <c r="CG24" s="83">
        <v>-6730.41033630476</v>
      </c>
      <c r="CH24" s="81">
        <v>13.3725776934469</v>
      </c>
      <c r="CI24" s="82">
        <v>4335.68255444005</v>
      </c>
      <c r="CJ24" s="83">
        <v>-4322.3099767466</v>
      </c>
      <c r="CK24" s="81">
        <v>113.220141143801</v>
      </c>
      <c r="CL24" s="82">
        <v>4041.85685352652</v>
      </c>
      <c r="CM24" s="83">
        <v>-3928.63671238272</v>
      </c>
      <c r="CN24" s="81">
        <v>98.151240009358</v>
      </c>
      <c r="CO24" s="82">
        <v>3787.52911382992</v>
      </c>
      <c r="CP24" s="83">
        <v>-3689.37787382056</v>
      </c>
      <c r="CQ24" s="81">
        <v>365.412997538589</v>
      </c>
      <c r="CR24" s="82">
        <v>6711.64114305585</v>
      </c>
      <c r="CS24" s="83">
        <v>-6346.22814551726</v>
      </c>
      <c r="CT24" s="81">
        <v>96.8651341596392</v>
      </c>
      <c r="CU24" s="82">
        <v>3940.91179467304</v>
      </c>
      <c r="CV24" s="83">
        <v>-3844.0466605134</v>
      </c>
      <c r="CW24" s="81">
        <v>191.521505471684</v>
      </c>
      <c r="CX24" s="82">
        <v>1873.92971486524</v>
      </c>
      <c r="CY24" s="83">
        <v>-1682.40820939356</v>
      </c>
      <c r="CZ24" s="81">
        <v>162.203426499607</v>
      </c>
      <c r="DA24" s="82">
        <v>2777.42897893828</v>
      </c>
      <c r="DB24" s="83">
        <v>-2615.22555243868</v>
      </c>
      <c r="DC24" s="81">
        <v>294.142000256818</v>
      </c>
      <c r="DD24" s="82">
        <v>3318.77358974764</v>
      </c>
      <c r="DE24" s="83">
        <v>-3024.63158949082</v>
      </c>
      <c r="DF24" s="81">
        <v>140.884212496841</v>
      </c>
      <c r="DG24" s="82">
        <v>3410.85475556163</v>
      </c>
      <c r="DH24" s="83">
        <v>-3269.97054306479</v>
      </c>
    </row>
    <row r="25" spans="1:112">
      <c r="A25" s="84" t="s">
        <v>418</v>
      </c>
      <c r="B25" s="81">
        <v>605.968705166356</v>
      </c>
      <c r="C25" s="82">
        <v>4181.05022334004</v>
      </c>
      <c r="D25" s="83">
        <v>-3575.08151817368</v>
      </c>
      <c r="E25" s="81">
        <v>572.701062354026</v>
      </c>
      <c r="F25" s="82">
        <v>3471.51996946998</v>
      </c>
      <c r="G25" s="83">
        <v>-2898.81890711595</v>
      </c>
      <c r="H25" s="81">
        <v>350.214614845732</v>
      </c>
      <c r="I25" s="82">
        <v>5654.08922402998</v>
      </c>
      <c r="J25" s="83">
        <v>-5303.87460918425</v>
      </c>
      <c r="K25" s="81">
        <v>408.120840579141</v>
      </c>
      <c r="L25" s="82">
        <v>4485.83097687997</v>
      </c>
      <c r="M25" s="83">
        <v>-4077.71013630083</v>
      </c>
      <c r="N25" s="81">
        <v>1376.9217139363</v>
      </c>
      <c r="O25" s="82">
        <v>4200.21267602095</v>
      </c>
      <c r="P25" s="83">
        <v>-2823.29096208465</v>
      </c>
      <c r="Q25" s="81">
        <v>685.461825697509</v>
      </c>
      <c r="R25" s="82">
        <v>3699.05972675249</v>
      </c>
      <c r="S25" s="83">
        <v>-3013.59790105498</v>
      </c>
      <c r="T25" s="81">
        <v>276.306023366926</v>
      </c>
      <c r="U25" s="82">
        <v>3044.19693456832</v>
      </c>
      <c r="V25" s="83">
        <v>-2767.89091120139</v>
      </c>
      <c r="W25" s="81">
        <v>275.311696675231</v>
      </c>
      <c r="X25" s="82">
        <v>2310.56725645924</v>
      </c>
      <c r="Y25" s="83">
        <v>-2035.25555978401</v>
      </c>
      <c r="Z25" s="81">
        <v>445.758563402365</v>
      </c>
      <c r="AA25" s="82">
        <v>130.209686792732</v>
      </c>
      <c r="AB25" s="83">
        <v>315.548876609632</v>
      </c>
      <c r="AC25" s="81">
        <v>267.284043268376</v>
      </c>
      <c r="AD25" s="82">
        <v>76.6513507164744</v>
      </c>
      <c r="AE25" s="83">
        <v>190.632692551901</v>
      </c>
      <c r="AF25" s="81">
        <v>150.620529714801</v>
      </c>
      <c r="AG25" s="82">
        <v>294.168220814557</v>
      </c>
      <c r="AH25" s="83">
        <v>-143.547691099756</v>
      </c>
      <c r="AI25" s="81">
        <v>401.607725734947</v>
      </c>
      <c r="AJ25" s="82">
        <v>173.759105842233</v>
      </c>
      <c r="AK25" s="83">
        <v>227.848619892713</v>
      </c>
      <c r="AL25" s="81">
        <v>463.171428717232</v>
      </c>
      <c r="AM25" s="82">
        <v>128.232251195658</v>
      </c>
      <c r="AN25" s="83">
        <v>334.939177521575</v>
      </c>
      <c r="AO25" s="81">
        <v>335.578224632103</v>
      </c>
      <c r="AP25" s="82">
        <v>1373.52728081024</v>
      </c>
      <c r="AQ25" s="83">
        <v>-1037.94905617814</v>
      </c>
      <c r="AR25" s="81">
        <v>305.187768634044</v>
      </c>
      <c r="AS25" s="82">
        <v>1377.33460993641</v>
      </c>
      <c r="AT25" s="83">
        <v>-1072.14684130236</v>
      </c>
      <c r="AU25" s="81">
        <v>821.189420854195</v>
      </c>
      <c r="AV25" s="82">
        <v>382.810122571405</v>
      </c>
      <c r="AW25" s="83">
        <v>438.37929828279</v>
      </c>
      <c r="AX25" s="81">
        <v>1333.18302321523</v>
      </c>
      <c r="AY25" s="82">
        <v>664.569737278872</v>
      </c>
      <c r="AZ25" s="83">
        <v>668.613285936358</v>
      </c>
      <c r="BA25" s="81">
        <v>1140.33314440607</v>
      </c>
      <c r="BB25" s="82">
        <v>349.509270875459</v>
      </c>
      <c r="BC25" s="83">
        <v>790.823873530612</v>
      </c>
      <c r="BD25" s="81">
        <v>980.752704403805</v>
      </c>
      <c r="BE25" s="82">
        <v>358.164931858586</v>
      </c>
      <c r="BF25" s="83">
        <v>622.587772545219</v>
      </c>
      <c r="BG25" s="81">
        <v>483.301766083415</v>
      </c>
      <c r="BH25" s="82">
        <v>69.8337701181103</v>
      </c>
      <c r="BI25" s="83">
        <v>413.467995965304</v>
      </c>
      <c r="BJ25" s="81">
        <v>242.915826376523</v>
      </c>
      <c r="BK25" s="82">
        <v>88.9197506272651</v>
      </c>
      <c r="BL25" s="83">
        <v>153.996075749258</v>
      </c>
      <c r="BM25" s="81">
        <v>254.415412210546</v>
      </c>
      <c r="BN25" s="82">
        <v>65.0215606658587</v>
      </c>
      <c r="BO25" s="83">
        <v>189.393851544687</v>
      </c>
      <c r="BP25" s="81">
        <v>166.542006670722</v>
      </c>
      <c r="BQ25" s="82">
        <v>948.560671869103</v>
      </c>
      <c r="BR25" s="83">
        <v>-782.018665198381</v>
      </c>
      <c r="BS25" s="81">
        <v>214.428082715176</v>
      </c>
      <c r="BT25" s="82">
        <v>3273.38905389307</v>
      </c>
      <c r="BU25" s="83">
        <v>-3058.9609711779</v>
      </c>
      <c r="BV25" s="81">
        <v>240.80187874656</v>
      </c>
      <c r="BW25" s="82">
        <v>3043.56064582157</v>
      </c>
      <c r="BX25" s="83">
        <v>-2802.75876707501</v>
      </c>
      <c r="BY25" s="81">
        <v>101.92158316712</v>
      </c>
      <c r="BZ25" s="82">
        <v>3132.75041970909</v>
      </c>
      <c r="CA25" s="83">
        <v>-3030.82883654197</v>
      </c>
      <c r="CB25" s="81">
        <v>168.174377043859</v>
      </c>
      <c r="CC25" s="82">
        <v>2521.76152587679</v>
      </c>
      <c r="CD25" s="83">
        <v>-2353.58714883293</v>
      </c>
      <c r="CE25" s="81">
        <v>22.8654709875594</v>
      </c>
      <c r="CF25" s="82">
        <v>1300.89846988844</v>
      </c>
      <c r="CG25" s="83">
        <v>-1278.03299890088</v>
      </c>
      <c r="CH25" s="81">
        <v>146.519044611639</v>
      </c>
      <c r="CI25" s="82">
        <v>1293.29018560139</v>
      </c>
      <c r="CJ25" s="83">
        <v>-1146.77114098975</v>
      </c>
      <c r="CK25" s="81">
        <v>0</v>
      </c>
      <c r="CL25" s="82">
        <v>2359.381101</v>
      </c>
      <c r="CM25" s="83">
        <v>-2359.381101</v>
      </c>
      <c r="CN25" s="81">
        <v>124.880233898925</v>
      </c>
      <c r="CO25" s="82">
        <v>2969.017668</v>
      </c>
      <c r="CP25" s="83">
        <v>-2844.13743410108</v>
      </c>
      <c r="CQ25" s="81">
        <v>198.655631977824</v>
      </c>
      <c r="CR25" s="82">
        <v>980.553995916151</v>
      </c>
      <c r="CS25" s="83">
        <v>-781.898363938327</v>
      </c>
      <c r="CT25" s="81">
        <v>178.05087686895</v>
      </c>
      <c r="CU25" s="82">
        <v>1543.36287126287</v>
      </c>
      <c r="CV25" s="83">
        <v>-1365.31199439392</v>
      </c>
      <c r="CW25" s="81">
        <v>6.16577705046436</v>
      </c>
      <c r="CX25" s="82">
        <v>1442.3842925</v>
      </c>
      <c r="CY25" s="83">
        <v>-1436.21851544954</v>
      </c>
      <c r="CZ25" s="81">
        <v>0</v>
      </c>
      <c r="DA25" s="82">
        <v>67.1922130860015</v>
      </c>
      <c r="DB25" s="83">
        <v>-67.1922130860015</v>
      </c>
      <c r="DC25" s="81">
        <v>295.69847486796</v>
      </c>
      <c r="DD25" s="82">
        <v>67.2871142710225</v>
      </c>
      <c r="DE25" s="83">
        <v>228.411360596938</v>
      </c>
      <c r="DF25" s="81">
        <v>253.800497153122</v>
      </c>
      <c r="DG25" s="82">
        <v>49.360889</v>
      </c>
      <c r="DH25" s="83">
        <v>204.439608153122</v>
      </c>
    </row>
    <row r="26" spans="1:112">
      <c r="A26" s="84" t="s">
        <v>173</v>
      </c>
      <c r="B26" s="81">
        <v>0</v>
      </c>
      <c r="C26" s="82">
        <v>528.847769121888</v>
      </c>
      <c r="D26" s="83">
        <v>-528.847769121888</v>
      </c>
      <c r="E26" s="81">
        <v>0</v>
      </c>
      <c r="F26" s="82">
        <v>542.429479685698</v>
      </c>
      <c r="G26" s="83">
        <v>-542.429479685698</v>
      </c>
      <c r="H26" s="81">
        <v>0</v>
      </c>
      <c r="I26" s="82">
        <v>517.581566868226</v>
      </c>
      <c r="J26" s="83">
        <v>-517.581566868226</v>
      </c>
      <c r="K26" s="81">
        <v>0</v>
      </c>
      <c r="L26" s="82">
        <v>554.371506183703</v>
      </c>
      <c r="M26" s="83">
        <v>-554.371506183703</v>
      </c>
      <c r="N26" s="81">
        <v>0</v>
      </c>
      <c r="O26" s="82">
        <v>579.651258311677</v>
      </c>
      <c r="P26" s="83">
        <v>-579.651258311677</v>
      </c>
      <c r="Q26" s="81">
        <v>0</v>
      </c>
      <c r="R26" s="82">
        <v>542.012492506421</v>
      </c>
      <c r="S26" s="83">
        <v>-542.012492506421</v>
      </c>
      <c r="T26" s="81">
        <v>0</v>
      </c>
      <c r="U26" s="82">
        <v>562.100716562426</v>
      </c>
      <c r="V26" s="83">
        <v>-562.100716562426</v>
      </c>
      <c r="W26" s="81">
        <v>0</v>
      </c>
      <c r="X26" s="82">
        <v>579.525045279177</v>
      </c>
      <c r="Y26" s="83">
        <v>-579.525045279177</v>
      </c>
      <c r="Z26" s="81">
        <v>0</v>
      </c>
      <c r="AA26" s="82">
        <v>548.125576295758</v>
      </c>
      <c r="AB26" s="83">
        <v>-548.125576295758</v>
      </c>
      <c r="AC26" s="81">
        <v>0</v>
      </c>
      <c r="AD26" s="82">
        <v>80.4302765265025</v>
      </c>
      <c r="AE26" s="83">
        <v>-80.4302765265025</v>
      </c>
      <c r="AF26" s="81">
        <v>0</v>
      </c>
      <c r="AG26" s="82">
        <v>96.9513595891647</v>
      </c>
      <c r="AH26" s="83">
        <v>-96.9513595891647</v>
      </c>
      <c r="AI26" s="81">
        <v>0</v>
      </c>
      <c r="AJ26" s="82">
        <v>190.406702466322</v>
      </c>
      <c r="AK26" s="83">
        <v>-190.406702466322</v>
      </c>
      <c r="AL26" s="81">
        <v>0</v>
      </c>
      <c r="AM26" s="82">
        <v>148.628350171041</v>
      </c>
      <c r="AN26" s="83">
        <v>-148.628350171041</v>
      </c>
      <c r="AO26" s="81">
        <v>0</v>
      </c>
      <c r="AP26" s="82">
        <v>174.138001525289</v>
      </c>
      <c r="AQ26" s="83">
        <v>-174.138001525289</v>
      </c>
      <c r="AR26" s="81">
        <v>0</v>
      </c>
      <c r="AS26" s="82">
        <v>143.432055157126</v>
      </c>
      <c r="AT26" s="83">
        <v>-143.432055157126</v>
      </c>
      <c r="AU26" s="81">
        <v>0</v>
      </c>
      <c r="AV26" s="82">
        <v>0</v>
      </c>
      <c r="AW26" s="83">
        <v>0</v>
      </c>
      <c r="AX26" s="81">
        <v>0</v>
      </c>
      <c r="AY26" s="82">
        <v>0</v>
      </c>
      <c r="AZ26" s="83">
        <v>0</v>
      </c>
      <c r="BA26" s="81">
        <v>0</v>
      </c>
      <c r="BB26" s="82">
        <v>0</v>
      </c>
      <c r="BC26" s="83">
        <v>0</v>
      </c>
      <c r="BD26" s="81">
        <v>0</v>
      </c>
      <c r="BE26" s="82">
        <v>0</v>
      </c>
      <c r="BF26" s="83">
        <v>0</v>
      </c>
      <c r="BG26" s="81">
        <v>0</v>
      </c>
      <c r="BH26" s="82">
        <v>0</v>
      </c>
      <c r="BI26" s="83">
        <v>0</v>
      </c>
      <c r="BJ26" s="81">
        <v>0</v>
      </c>
      <c r="BK26" s="82">
        <v>0</v>
      </c>
      <c r="BL26" s="83">
        <v>0</v>
      </c>
      <c r="BM26" s="81">
        <v>0</v>
      </c>
      <c r="BN26" s="82">
        <v>0</v>
      </c>
      <c r="BO26" s="83">
        <v>0</v>
      </c>
      <c r="BP26" s="81">
        <v>0</v>
      </c>
      <c r="BQ26" s="82">
        <v>0</v>
      </c>
      <c r="BR26" s="83">
        <v>0</v>
      </c>
      <c r="BS26" s="81">
        <v>0</v>
      </c>
      <c r="BT26" s="82">
        <v>0</v>
      </c>
      <c r="BU26" s="83">
        <v>0</v>
      </c>
      <c r="BV26" s="81">
        <v>0</v>
      </c>
      <c r="BW26" s="82">
        <v>0</v>
      </c>
      <c r="BX26" s="83">
        <v>0</v>
      </c>
      <c r="BY26" s="81">
        <v>0</v>
      </c>
      <c r="BZ26" s="82">
        <v>0</v>
      </c>
      <c r="CA26" s="83">
        <v>0</v>
      </c>
      <c r="CB26" s="81">
        <v>0</v>
      </c>
      <c r="CC26" s="82">
        <v>0</v>
      </c>
      <c r="CD26" s="83">
        <v>0</v>
      </c>
      <c r="CE26" s="81">
        <v>0</v>
      </c>
      <c r="CF26" s="82">
        <v>0</v>
      </c>
      <c r="CG26" s="83">
        <v>0</v>
      </c>
      <c r="CH26" s="81">
        <v>0</v>
      </c>
      <c r="CI26" s="82">
        <v>0</v>
      </c>
      <c r="CJ26" s="83">
        <v>0</v>
      </c>
      <c r="CK26" s="81">
        <v>0</v>
      </c>
      <c r="CL26" s="82">
        <v>0</v>
      </c>
      <c r="CM26" s="83">
        <v>0</v>
      </c>
      <c r="CN26" s="81">
        <v>0</v>
      </c>
      <c r="CO26" s="82">
        <v>0</v>
      </c>
      <c r="CP26" s="83">
        <v>0</v>
      </c>
      <c r="CQ26" s="81">
        <v>0</v>
      </c>
      <c r="CR26" s="82">
        <v>0</v>
      </c>
      <c r="CS26" s="83">
        <v>0</v>
      </c>
      <c r="CT26" s="81">
        <v>0</v>
      </c>
      <c r="CU26" s="82">
        <v>0</v>
      </c>
      <c r="CV26" s="83">
        <v>0</v>
      </c>
      <c r="CW26" s="81">
        <v>0</v>
      </c>
      <c r="CX26" s="82">
        <v>0</v>
      </c>
      <c r="CY26" s="83">
        <v>0</v>
      </c>
      <c r="CZ26" s="81">
        <v>0</v>
      </c>
      <c r="DA26" s="82">
        <v>0</v>
      </c>
      <c r="DB26" s="83">
        <v>0</v>
      </c>
      <c r="DC26" s="81">
        <v>0</v>
      </c>
      <c r="DD26" s="82">
        <v>0</v>
      </c>
      <c r="DE26" s="83">
        <v>0</v>
      </c>
      <c r="DF26" s="81">
        <v>0</v>
      </c>
      <c r="DG26" s="82">
        <v>0</v>
      </c>
      <c r="DH26" s="83">
        <v>0</v>
      </c>
    </row>
    <row r="27" spans="1:112">
      <c r="A27" s="84" t="s">
        <v>174</v>
      </c>
      <c r="B27" s="81">
        <v>4.13746624</v>
      </c>
      <c r="C27" s="82">
        <v>0</v>
      </c>
      <c r="D27" s="83">
        <v>4.13746624</v>
      </c>
      <c r="E27" s="81">
        <v>2.63433737</v>
      </c>
      <c r="F27" s="82">
        <v>0</v>
      </c>
      <c r="G27" s="83">
        <v>2.63433737</v>
      </c>
      <c r="H27" s="81">
        <v>2.7412522</v>
      </c>
      <c r="I27" s="82">
        <v>0</v>
      </c>
      <c r="J27" s="83">
        <v>2.7412522</v>
      </c>
      <c r="K27" s="81">
        <v>3.05669539</v>
      </c>
      <c r="L27" s="82">
        <v>0</v>
      </c>
      <c r="M27" s="83">
        <v>3.05669539</v>
      </c>
      <c r="N27" s="81">
        <v>4.0611806</v>
      </c>
      <c r="O27" s="82">
        <v>0</v>
      </c>
      <c r="P27" s="83">
        <v>4.0611806</v>
      </c>
      <c r="Q27" s="81">
        <v>4.13310301</v>
      </c>
      <c r="R27" s="82">
        <v>0</v>
      </c>
      <c r="S27" s="83">
        <v>4.13310301</v>
      </c>
      <c r="T27" s="81">
        <v>4.41521127</v>
      </c>
      <c r="U27" s="82">
        <v>0</v>
      </c>
      <c r="V27" s="83">
        <v>4.41521127</v>
      </c>
      <c r="W27" s="81">
        <v>4.00470207</v>
      </c>
      <c r="X27" s="82">
        <v>0</v>
      </c>
      <c r="Y27" s="83">
        <v>4.00470207</v>
      </c>
      <c r="Z27" s="81">
        <v>4.26441723</v>
      </c>
      <c r="AA27" s="82">
        <v>0</v>
      </c>
      <c r="AB27" s="83">
        <v>4.26441723</v>
      </c>
      <c r="AC27" s="81">
        <v>4.07556527</v>
      </c>
      <c r="AD27" s="82">
        <v>0</v>
      </c>
      <c r="AE27" s="83">
        <v>4.07556527</v>
      </c>
      <c r="AF27" s="81">
        <v>3.81636185</v>
      </c>
      <c r="AG27" s="82">
        <v>0</v>
      </c>
      <c r="AH27" s="83">
        <v>3.81636185</v>
      </c>
      <c r="AI27" s="81">
        <v>4.24808103</v>
      </c>
      <c r="AJ27" s="82">
        <v>0</v>
      </c>
      <c r="AK27" s="83">
        <v>4.24808103</v>
      </c>
      <c r="AL27" s="81">
        <v>4.74919818</v>
      </c>
      <c r="AM27" s="82">
        <v>0</v>
      </c>
      <c r="AN27" s="83">
        <v>4.74919818</v>
      </c>
      <c r="AO27" s="81">
        <v>5.55703252</v>
      </c>
      <c r="AP27" s="82">
        <v>0</v>
      </c>
      <c r="AQ27" s="83">
        <v>5.55703252</v>
      </c>
      <c r="AR27" s="81">
        <v>5.13515102</v>
      </c>
      <c r="AS27" s="82">
        <v>0</v>
      </c>
      <c r="AT27" s="83">
        <v>5.13515102</v>
      </c>
      <c r="AU27" s="81">
        <v>4.20617056</v>
      </c>
      <c r="AV27" s="82">
        <v>0</v>
      </c>
      <c r="AW27" s="83">
        <v>4.20617056</v>
      </c>
      <c r="AX27" s="81">
        <v>4.68638343</v>
      </c>
      <c r="AY27" s="82">
        <v>0</v>
      </c>
      <c r="AZ27" s="83">
        <v>4.68638343</v>
      </c>
      <c r="BA27" s="81">
        <v>4.72262246</v>
      </c>
      <c r="BB27" s="82">
        <v>0</v>
      </c>
      <c r="BC27" s="83">
        <v>4.72262246</v>
      </c>
      <c r="BD27" s="81">
        <v>4.83594898</v>
      </c>
      <c r="BE27" s="82">
        <v>0</v>
      </c>
      <c r="BF27" s="83">
        <v>4.83594898</v>
      </c>
      <c r="BG27" s="81">
        <v>3.43544324</v>
      </c>
      <c r="BH27" s="82">
        <v>0</v>
      </c>
      <c r="BI27" s="83">
        <v>3.43544324</v>
      </c>
      <c r="BJ27" s="81">
        <v>3.88177501</v>
      </c>
      <c r="BK27" s="82">
        <v>0</v>
      </c>
      <c r="BL27" s="83">
        <v>3.88177501</v>
      </c>
      <c r="BM27" s="81">
        <v>4.70302204</v>
      </c>
      <c r="BN27" s="82">
        <v>0</v>
      </c>
      <c r="BO27" s="83">
        <v>4.70302204</v>
      </c>
      <c r="BP27" s="81">
        <v>5.1213407</v>
      </c>
      <c r="BQ27" s="82">
        <v>0</v>
      </c>
      <c r="BR27" s="83">
        <v>5.1213407</v>
      </c>
      <c r="BS27" s="81">
        <v>3.6554498</v>
      </c>
      <c r="BT27" s="82">
        <v>0</v>
      </c>
      <c r="BU27" s="83">
        <v>3.6554498</v>
      </c>
      <c r="BV27" s="81">
        <v>4.10446626</v>
      </c>
      <c r="BW27" s="82">
        <v>0</v>
      </c>
      <c r="BX27" s="83">
        <v>4.10446626</v>
      </c>
      <c r="BY27" s="81">
        <v>4.24916317</v>
      </c>
      <c r="BZ27" s="82">
        <v>0</v>
      </c>
      <c r="CA27" s="83">
        <v>4.24916317</v>
      </c>
      <c r="CB27" s="81">
        <v>3.96570605</v>
      </c>
      <c r="CC27" s="82">
        <v>0</v>
      </c>
      <c r="CD27" s="83">
        <v>3.96570605</v>
      </c>
      <c r="CE27" s="81">
        <v>3.74449503</v>
      </c>
      <c r="CF27" s="82">
        <v>0</v>
      </c>
      <c r="CG27" s="83">
        <v>3.74449503</v>
      </c>
      <c r="CH27" s="81">
        <v>4.1657809</v>
      </c>
      <c r="CI27" s="82">
        <v>0</v>
      </c>
      <c r="CJ27" s="83">
        <v>4.1657809</v>
      </c>
      <c r="CK27" s="81">
        <v>4.93314724</v>
      </c>
      <c r="CL27" s="82">
        <v>0</v>
      </c>
      <c r="CM27" s="83">
        <v>4.93314724</v>
      </c>
      <c r="CN27" s="81">
        <v>4.84380474</v>
      </c>
      <c r="CO27" s="82">
        <v>0</v>
      </c>
      <c r="CP27" s="83">
        <v>4.84380474</v>
      </c>
      <c r="CQ27" s="81">
        <v>3.90954946</v>
      </c>
      <c r="CR27" s="82">
        <v>0</v>
      </c>
      <c r="CS27" s="83">
        <v>3.90954946</v>
      </c>
      <c r="CT27" s="81">
        <v>4.46664373</v>
      </c>
      <c r="CU27" s="82">
        <v>0</v>
      </c>
      <c r="CV27" s="83">
        <v>4.46664373</v>
      </c>
      <c r="CW27" s="81">
        <v>5.23828571</v>
      </c>
      <c r="CX27" s="82">
        <v>0</v>
      </c>
      <c r="CY27" s="83">
        <v>5.23828571</v>
      </c>
      <c r="CZ27" s="81">
        <v>6.30080342</v>
      </c>
      <c r="DA27" s="82">
        <v>0</v>
      </c>
      <c r="DB27" s="83">
        <v>6.30080342</v>
      </c>
      <c r="DC27" s="81">
        <v>5.5327994</v>
      </c>
      <c r="DD27" s="82">
        <v>0</v>
      </c>
      <c r="DE27" s="83">
        <v>5.5327994</v>
      </c>
      <c r="DF27" s="81">
        <v>6.8925595</v>
      </c>
      <c r="DG27" s="82">
        <v>0</v>
      </c>
      <c r="DH27" s="83">
        <v>6.8925595</v>
      </c>
    </row>
    <row r="28" spans="1:112">
      <c r="A28" s="80" t="s">
        <v>419</v>
      </c>
      <c r="B28" s="81">
        <v>0</v>
      </c>
      <c r="C28" s="82">
        <v>2917.3846150476</v>
      </c>
      <c r="D28" s="83">
        <v>-2917.3846150476</v>
      </c>
      <c r="E28" s="81">
        <v>0</v>
      </c>
      <c r="F28" s="82">
        <v>2921.347688479</v>
      </c>
      <c r="G28" s="83">
        <v>-2921.347688479</v>
      </c>
      <c r="H28" s="81">
        <v>0</v>
      </c>
      <c r="I28" s="82">
        <v>3024.64416454235</v>
      </c>
      <c r="J28" s="83">
        <v>-3024.64416454235</v>
      </c>
      <c r="K28" s="81">
        <v>0</v>
      </c>
      <c r="L28" s="82">
        <v>3047.519777018</v>
      </c>
      <c r="M28" s="83">
        <v>-3047.519777018</v>
      </c>
      <c r="N28" s="81">
        <v>0</v>
      </c>
      <c r="O28" s="82">
        <v>3112.3716739506</v>
      </c>
      <c r="P28" s="83">
        <v>-3112.3716739506</v>
      </c>
      <c r="Q28" s="81">
        <v>0</v>
      </c>
      <c r="R28" s="82">
        <v>2940.49021791735</v>
      </c>
      <c r="S28" s="83">
        <v>-2940.49021791735</v>
      </c>
      <c r="T28" s="81">
        <v>0</v>
      </c>
      <c r="U28" s="82">
        <v>2783.3190931845</v>
      </c>
      <c r="V28" s="83">
        <v>-2783.3190931845</v>
      </c>
      <c r="W28" s="81">
        <v>0</v>
      </c>
      <c r="X28" s="82">
        <v>3004.49681800125</v>
      </c>
      <c r="Y28" s="83">
        <v>-3004.49681800125</v>
      </c>
      <c r="Z28" s="81">
        <v>0</v>
      </c>
      <c r="AA28" s="82">
        <v>3037.49894668535</v>
      </c>
      <c r="AB28" s="83">
        <v>-3037.49894668535</v>
      </c>
      <c r="AC28" s="81">
        <v>0</v>
      </c>
      <c r="AD28" s="82">
        <v>3325.2270384588</v>
      </c>
      <c r="AE28" s="83">
        <v>-3325.2270384588</v>
      </c>
      <c r="AF28" s="81">
        <v>0</v>
      </c>
      <c r="AG28" s="82">
        <v>3500.699638832</v>
      </c>
      <c r="AH28" s="83">
        <v>-3500.699638832</v>
      </c>
      <c r="AI28" s="81">
        <v>0</v>
      </c>
      <c r="AJ28" s="82">
        <v>3584.38258651</v>
      </c>
      <c r="AK28" s="83">
        <v>-3584.38258651</v>
      </c>
      <c r="AL28" s="81">
        <v>0</v>
      </c>
      <c r="AM28" s="82">
        <v>2897.2787761025</v>
      </c>
      <c r="AN28" s="83">
        <v>-2897.2787761025</v>
      </c>
      <c r="AO28" s="81">
        <v>0</v>
      </c>
      <c r="AP28" s="82">
        <v>3371.9712274297</v>
      </c>
      <c r="AQ28" s="83">
        <v>-3371.9712274297</v>
      </c>
      <c r="AR28" s="81">
        <v>0</v>
      </c>
      <c r="AS28" s="82">
        <v>2749.2960768036</v>
      </c>
      <c r="AT28" s="83">
        <v>-2749.2960768036</v>
      </c>
      <c r="AU28" s="81">
        <v>0</v>
      </c>
      <c r="AV28" s="82">
        <v>1855.3602845367</v>
      </c>
      <c r="AW28" s="83">
        <v>-1855.3602845367</v>
      </c>
      <c r="AX28" s="81">
        <v>0</v>
      </c>
      <c r="AY28" s="82">
        <v>1565.04959734015</v>
      </c>
      <c r="AZ28" s="83">
        <v>-1565.04959734015</v>
      </c>
      <c r="BA28" s="81">
        <v>0</v>
      </c>
      <c r="BB28" s="82">
        <v>970.478585098</v>
      </c>
      <c r="BC28" s="83">
        <v>-970.478585098</v>
      </c>
      <c r="BD28" s="81">
        <v>0</v>
      </c>
      <c r="BE28" s="82">
        <v>1137.4570098125</v>
      </c>
      <c r="BF28" s="83">
        <v>-1137.4570098125</v>
      </c>
      <c r="BG28" s="81">
        <v>0</v>
      </c>
      <c r="BH28" s="82">
        <v>422.3513529033</v>
      </c>
      <c r="BI28" s="83">
        <v>-422.3513529033</v>
      </c>
      <c r="BJ28" s="81">
        <v>0</v>
      </c>
      <c r="BK28" s="82">
        <v>154.0327730173</v>
      </c>
      <c r="BL28" s="83">
        <v>-154.0327730173</v>
      </c>
      <c r="BM28" s="81">
        <v>0</v>
      </c>
      <c r="BN28" s="82">
        <v>0</v>
      </c>
      <c r="BO28" s="83">
        <v>0</v>
      </c>
      <c r="BP28" s="81">
        <v>0</v>
      </c>
      <c r="BQ28" s="82">
        <v>501.85120697425</v>
      </c>
      <c r="BR28" s="83">
        <v>-501.85120697425</v>
      </c>
      <c r="BS28" s="81">
        <v>0</v>
      </c>
      <c r="BT28" s="82">
        <v>906.92642387055</v>
      </c>
      <c r="BU28" s="83">
        <v>-906.92642387055</v>
      </c>
      <c r="BV28" s="81">
        <v>0</v>
      </c>
      <c r="BW28" s="82">
        <v>1188.8986623576</v>
      </c>
      <c r="BX28" s="83">
        <v>-1188.8986623576</v>
      </c>
      <c r="BY28" s="81">
        <v>0</v>
      </c>
      <c r="BZ28" s="82">
        <v>1420.74624231815</v>
      </c>
      <c r="CA28" s="83">
        <v>-1420.74624231815</v>
      </c>
      <c r="CB28" s="81">
        <v>0</v>
      </c>
      <c r="CC28" s="82">
        <v>2517.2776860444</v>
      </c>
      <c r="CD28" s="83">
        <v>-2517.2776860444</v>
      </c>
      <c r="CE28" s="81">
        <v>0</v>
      </c>
      <c r="CF28" s="82">
        <v>4487.9222369072</v>
      </c>
      <c r="CG28" s="83">
        <v>-4487.9222369072</v>
      </c>
      <c r="CH28" s="81">
        <v>0</v>
      </c>
      <c r="CI28" s="82">
        <v>4493.504131547</v>
      </c>
      <c r="CJ28" s="83">
        <v>-4493.504131547</v>
      </c>
      <c r="CK28" s="81">
        <v>0</v>
      </c>
      <c r="CL28" s="82">
        <v>4743.4049932104</v>
      </c>
      <c r="CM28" s="83">
        <v>-4743.4049932104</v>
      </c>
      <c r="CN28" s="81">
        <v>0</v>
      </c>
      <c r="CO28" s="82">
        <v>4875.0478727873</v>
      </c>
      <c r="CP28" s="83">
        <v>-4875.0478727873</v>
      </c>
      <c r="CQ28" s="81">
        <v>0</v>
      </c>
      <c r="CR28" s="82">
        <v>3566.54647040615</v>
      </c>
      <c r="CS28" s="83">
        <v>-3566.54647040615</v>
      </c>
      <c r="CT28" s="81">
        <v>0</v>
      </c>
      <c r="CU28" s="82">
        <v>4897.3419326126</v>
      </c>
      <c r="CV28" s="83">
        <v>-4897.3419326126</v>
      </c>
      <c r="CW28" s="81">
        <v>0</v>
      </c>
      <c r="CX28" s="82">
        <v>3873.6931334135</v>
      </c>
      <c r="CY28" s="83">
        <v>-3873.6931334135</v>
      </c>
      <c r="CZ28" s="81">
        <v>0</v>
      </c>
      <c r="DA28" s="82">
        <v>3656.9540238759</v>
      </c>
      <c r="DB28" s="83">
        <v>-3656.9540238759</v>
      </c>
      <c r="DC28" s="81">
        <v>0</v>
      </c>
      <c r="DD28" s="82">
        <v>2049.98336590555</v>
      </c>
      <c r="DE28" s="83">
        <v>-2049.98336590555</v>
      </c>
      <c r="DF28" s="81">
        <v>0</v>
      </c>
      <c r="DG28" s="82">
        <v>2352.53634020771</v>
      </c>
      <c r="DH28" s="83">
        <v>-2352.53634020771</v>
      </c>
    </row>
    <row r="29" s="52" customFormat="1" spans="1:112">
      <c r="A29" s="75" t="s">
        <v>166</v>
      </c>
      <c r="B29" s="72">
        <v>493.438985770993</v>
      </c>
      <c r="C29" s="73">
        <v>9080.61766519289</v>
      </c>
      <c r="D29" s="74">
        <v>-8587.1786794219</v>
      </c>
      <c r="E29" s="72">
        <v>504.107687914842</v>
      </c>
      <c r="F29" s="73">
        <v>9022.19021262216</v>
      </c>
      <c r="G29" s="74">
        <v>-8518.08252470732</v>
      </c>
      <c r="H29" s="72">
        <v>501.438843733232</v>
      </c>
      <c r="I29" s="73">
        <v>9956.45656866474</v>
      </c>
      <c r="J29" s="74">
        <v>-9455.01772493151</v>
      </c>
      <c r="K29" s="72">
        <v>504.562188387897</v>
      </c>
      <c r="L29" s="73">
        <v>9706.89116311767</v>
      </c>
      <c r="M29" s="74">
        <v>-9202.32897472977</v>
      </c>
      <c r="N29" s="72">
        <v>511.01574059706</v>
      </c>
      <c r="O29" s="73">
        <v>9300.58570377739</v>
      </c>
      <c r="P29" s="74">
        <v>-8789.56996318033</v>
      </c>
      <c r="Q29" s="72">
        <v>494.055468682147</v>
      </c>
      <c r="R29" s="73">
        <v>9014.17040665586</v>
      </c>
      <c r="S29" s="74">
        <v>-8520.11493797372</v>
      </c>
      <c r="T29" s="72">
        <v>488.085628551463</v>
      </c>
      <c r="U29" s="73">
        <v>8507.22884619092</v>
      </c>
      <c r="V29" s="74">
        <v>-8019.14321763946</v>
      </c>
      <c r="W29" s="72">
        <v>484.155405589073</v>
      </c>
      <c r="X29" s="73">
        <v>8558.07579332619</v>
      </c>
      <c r="Y29" s="74">
        <v>-8073.92038773712</v>
      </c>
      <c r="Z29" s="72">
        <v>483.219006995417</v>
      </c>
      <c r="AA29" s="73">
        <v>8163.52320664016</v>
      </c>
      <c r="AB29" s="74">
        <v>-7680.30419964474</v>
      </c>
      <c r="AC29" s="72">
        <v>483.921851433044</v>
      </c>
      <c r="AD29" s="73">
        <v>7797.99081065936</v>
      </c>
      <c r="AE29" s="74">
        <v>-7314.06895922632</v>
      </c>
      <c r="AF29" s="72">
        <v>474.940507436204</v>
      </c>
      <c r="AG29" s="73">
        <v>5711.23379268196</v>
      </c>
      <c r="AH29" s="74">
        <v>-5236.29328524576</v>
      </c>
      <c r="AI29" s="72">
        <v>481.394132766353</v>
      </c>
      <c r="AJ29" s="73">
        <v>5795.97089852201</v>
      </c>
      <c r="AK29" s="74">
        <v>-5314.57676575566</v>
      </c>
      <c r="AL29" s="72">
        <v>477.129637292974</v>
      </c>
      <c r="AM29" s="73">
        <v>5505.43542271706</v>
      </c>
      <c r="AN29" s="74">
        <v>-5028.30578542409</v>
      </c>
      <c r="AO29" s="72">
        <v>480.327824256877</v>
      </c>
      <c r="AP29" s="73">
        <v>5762.16457732832</v>
      </c>
      <c r="AQ29" s="74">
        <v>-5281.83675307144</v>
      </c>
      <c r="AR29" s="72">
        <v>489.884345394429</v>
      </c>
      <c r="AS29" s="73">
        <v>5914.73579687343</v>
      </c>
      <c r="AT29" s="74">
        <v>-5424.851451479</v>
      </c>
      <c r="AU29" s="72">
        <v>501.343596049716</v>
      </c>
      <c r="AV29" s="73">
        <v>6061.64201486464</v>
      </c>
      <c r="AW29" s="74">
        <v>-5560.29841881492</v>
      </c>
      <c r="AX29" s="72">
        <v>493.222386998686</v>
      </c>
      <c r="AY29" s="73">
        <v>6007.75693630483</v>
      </c>
      <c r="AZ29" s="74">
        <v>-5514.53454930615</v>
      </c>
      <c r="BA29" s="72">
        <v>496.664435394124</v>
      </c>
      <c r="BB29" s="73">
        <v>5968.17812068815</v>
      </c>
      <c r="BC29" s="74">
        <v>-5471.51368529402</v>
      </c>
      <c r="BD29" s="72">
        <v>2061.46401230662</v>
      </c>
      <c r="BE29" s="73">
        <v>7349.34362818815</v>
      </c>
      <c r="BF29" s="74">
        <v>-5287.87961588153</v>
      </c>
      <c r="BG29" s="72">
        <v>2041.13285111778</v>
      </c>
      <c r="BH29" s="73">
        <v>7363.16445957051</v>
      </c>
      <c r="BI29" s="74">
        <v>-5322.03160845273</v>
      </c>
      <c r="BJ29" s="72">
        <v>2017.39516737131</v>
      </c>
      <c r="BK29" s="73">
        <v>7193.6356678244</v>
      </c>
      <c r="BL29" s="74">
        <v>-5176.24050045308</v>
      </c>
      <c r="BM29" s="72">
        <v>1943.92909430867</v>
      </c>
      <c r="BN29" s="73">
        <v>6978.13222506071</v>
      </c>
      <c r="BO29" s="74">
        <v>-5034.20313075204</v>
      </c>
      <c r="BP29" s="72">
        <v>1860.81621040875</v>
      </c>
      <c r="BQ29" s="73">
        <v>6595.41750694091</v>
      </c>
      <c r="BR29" s="74">
        <v>-4734.60129653216</v>
      </c>
      <c r="BS29" s="72">
        <v>1940.91677433244</v>
      </c>
      <c r="BT29" s="73">
        <v>6882.54647808805</v>
      </c>
      <c r="BU29" s="74">
        <v>-4941.62970375562</v>
      </c>
      <c r="BV29" s="72">
        <v>1962.60033927248</v>
      </c>
      <c r="BW29" s="73">
        <v>6974.22040675569</v>
      </c>
      <c r="BX29" s="74">
        <v>-5011.62006748321</v>
      </c>
      <c r="BY29" s="72">
        <v>1945.34499252344</v>
      </c>
      <c r="BZ29" s="73">
        <v>6906.8211075463</v>
      </c>
      <c r="CA29" s="74">
        <v>-4961.47611502286</v>
      </c>
      <c r="CB29" s="72">
        <v>1912.46635785566</v>
      </c>
      <c r="CC29" s="73">
        <v>6643.441988355</v>
      </c>
      <c r="CD29" s="74">
        <v>-4730.97563049934</v>
      </c>
      <c r="CE29" s="72">
        <v>1956.71496710995</v>
      </c>
      <c r="CF29" s="73">
        <v>8442.94806086786</v>
      </c>
      <c r="CG29" s="74">
        <v>-6486.23309375791</v>
      </c>
      <c r="CH29" s="72">
        <v>1930.11843034365</v>
      </c>
      <c r="CI29" s="73">
        <v>10248.5253416675</v>
      </c>
      <c r="CJ29" s="74">
        <v>-8318.40691132384</v>
      </c>
      <c r="CK29" s="72">
        <v>1917.83711407648</v>
      </c>
      <c r="CL29" s="73">
        <v>11322.3690646477</v>
      </c>
      <c r="CM29" s="74">
        <v>-9404.53195057119</v>
      </c>
      <c r="CN29" s="72">
        <v>1976.13700587449</v>
      </c>
      <c r="CO29" s="73">
        <v>13621.1271953196</v>
      </c>
      <c r="CP29" s="74">
        <v>-11644.9901894451</v>
      </c>
      <c r="CQ29" s="72">
        <v>1901.98697728356</v>
      </c>
      <c r="CR29" s="73">
        <v>14812.2280773434</v>
      </c>
      <c r="CS29" s="74">
        <v>-12910.2411000599</v>
      </c>
      <c r="CT29" s="72">
        <v>1933.3586491895</v>
      </c>
      <c r="CU29" s="73">
        <v>15576.8655240284</v>
      </c>
      <c r="CV29" s="74">
        <v>-13643.5068748389</v>
      </c>
      <c r="CW29" s="72">
        <v>2002.9278509925</v>
      </c>
      <c r="CX29" s="73">
        <v>16336.8608441349</v>
      </c>
      <c r="CY29" s="74">
        <v>-14333.9329931424</v>
      </c>
      <c r="CZ29" s="72">
        <v>1997.34022462221</v>
      </c>
      <c r="DA29" s="73">
        <v>14988.8981722142</v>
      </c>
      <c r="DB29" s="74">
        <v>-12991.557947592</v>
      </c>
      <c r="DC29" s="72">
        <v>1999.05908826908</v>
      </c>
      <c r="DD29" s="73">
        <v>15055.8111042099</v>
      </c>
      <c r="DE29" s="74">
        <v>-13056.7520159408</v>
      </c>
      <c r="DF29" s="72">
        <v>1980.21406894022</v>
      </c>
      <c r="DG29" s="73">
        <v>11534.9270715084</v>
      </c>
      <c r="DH29" s="74">
        <v>-9554.71300256823</v>
      </c>
    </row>
    <row r="30" spans="1:112">
      <c r="A30" s="84" t="s">
        <v>177</v>
      </c>
      <c r="B30" s="81">
        <v>472.449806710993</v>
      </c>
      <c r="C30" s="82">
        <v>743.254876150065</v>
      </c>
      <c r="D30" s="83">
        <v>-270.805069439072</v>
      </c>
      <c r="E30" s="81">
        <v>483.118508854842</v>
      </c>
      <c r="F30" s="82">
        <v>760.265283583331</v>
      </c>
      <c r="G30" s="83">
        <v>-277.146774728489</v>
      </c>
      <c r="H30" s="81">
        <v>490.449664673232</v>
      </c>
      <c r="I30" s="82">
        <v>772.185536959524</v>
      </c>
      <c r="J30" s="83">
        <v>-281.735872286292</v>
      </c>
      <c r="K30" s="81">
        <v>493.573009327897</v>
      </c>
      <c r="L30" s="82">
        <v>777.484569240574</v>
      </c>
      <c r="M30" s="83">
        <v>-283.911559912677</v>
      </c>
      <c r="N30" s="81">
        <v>505.04203788706</v>
      </c>
      <c r="O30" s="82">
        <v>796.226317263894</v>
      </c>
      <c r="P30" s="83">
        <v>-291.184279376834</v>
      </c>
      <c r="Q30" s="81">
        <v>488.081765972147</v>
      </c>
      <c r="R30" s="82">
        <v>770.019201534713</v>
      </c>
      <c r="S30" s="83">
        <v>-281.937435562566</v>
      </c>
      <c r="T30" s="81">
        <v>487.111925841463</v>
      </c>
      <c r="U30" s="82">
        <v>769.121703076872</v>
      </c>
      <c r="V30" s="83">
        <v>-282.009777235409</v>
      </c>
      <c r="W30" s="81">
        <v>483.181702879073</v>
      </c>
      <c r="X30" s="82">
        <v>763.567591677616</v>
      </c>
      <c r="Y30" s="83">
        <v>-280.385888798543</v>
      </c>
      <c r="Z30" s="81">
        <v>482.245304285417</v>
      </c>
      <c r="AA30" s="82">
        <v>762.816158860436</v>
      </c>
      <c r="AB30" s="83">
        <v>-280.570854575018</v>
      </c>
      <c r="AC30" s="81">
        <v>482.948148723044</v>
      </c>
      <c r="AD30" s="82">
        <v>764.657570239929</v>
      </c>
      <c r="AE30" s="83">
        <v>-281.709421516884</v>
      </c>
      <c r="AF30" s="81">
        <v>473.966804726204</v>
      </c>
      <c r="AG30" s="82">
        <v>751.142108798268</v>
      </c>
      <c r="AH30" s="83">
        <v>-277.175304072064</v>
      </c>
      <c r="AI30" s="81">
        <v>480.420430056353</v>
      </c>
      <c r="AJ30" s="82">
        <v>761.966242274602</v>
      </c>
      <c r="AK30" s="83">
        <v>-281.545812218249</v>
      </c>
      <c r="AL30" s="81">
        <v>476.155934582974</v>
      </c>
      <c r="AM30" s="82">
        <v>755.712714455559</v>
      </c>
      <c r="AN30" s="83">
        <v>-279.556779872585</v>
      </c>
      <c r="AO30" s="81">
        <v>479.354121546877</v>
      </c>
      <c r="AP30" s="82">
        <v>761.000731494566</v>
      </c>
      <c r="AQ30" s="83">
        <v>-281.646609947689</v>
      </c>
      <c r="AR30" s="81">
        <v>488.910642684429</v>
      </c>
      <c r="AS30" s="82">
        <v>776.220728775786</v>
      </c>
      <c r="AT30" s="83">
        <v>-287.310086091358</v>
      </c>
      <c r="AU30" s="81">
        <v>500.369893339716</v>
      </c>
      <c r="AV30" s="82">
        <v>794.474277832411</v>
      </c>
      <c r="AW30" s="83">
        <v>-294.104384492694</v>
      </c>
      <c r="AX30" s="81">
        <v>492.248684288686</v>
      </c>
      <c r="AY30" s="82">
        <v>781.642784262845</v>
      </c>
      <c r="AZ30" s="83">
        <v>-289.394099974158</v>
      </c>
      <c r="BA30" s="81">
        <v>495.690732684124</v>
      </c>
      <c r="BB30" s="82">
        <v>787.140444936012</v>
      </c>
      <c r="BC30" s="83">
        <v>-291.449712251887</v>
      </c>
      <c r="BD30" s="81">
        <v>2060.49030959662</v>
      </c>
      <c r="BE30" s="82">
        <v>2349.26579640761</v>
      </c>
      <c r="BF30" s="83">
        <v>-288.775486810993</v>
      </c>
      <c r="BG30" s="81">
        <v>2040.15914840778</v>
      </c>
      <c r="BH30" s="82">
        <v>2326.11954876545</v>
      </c>
      <c r="BI30" s="83">
        <v>-285.960400357666</v>
      </c>
      <c r="BJ30" s="81">
        <v>2016.40266467131</v>
      </c>
      <c r="BK30" s="82">
        <v>2299.07831521417</v>
      </c>
      <c r="BL30" s="83">
        <v>-282.675650542858</v>
      </c>
      <c r="BM30" s="81">
        <v>1942.93659159867</v>
      </c>
      <c r="BN30" s="82">
        <v>2215.45789675016</v>
      </c>
      <c r="BO30" s="83">
        <v>-272.521305151486</v>
      </c>
      <c r="BP30" s="81">
        <v>1859.82370770875</v>
      </c>
      <c r="BQ30" s="82">
        <v>2121.21018812985</v>
      </c>
      <c r="BR30" s="83">
        <v>-261.386480421095</v>
      </c>
      <c r="BS30" s="81">
        <v>1939.94307162244</v>
      </c>
      <c r="BT30" s="82">
        <v>2213.79721329586</v>
      </c>
      <c r="BU30" s="83">
        <v>-273.854141673425</v>
      </c>
      <c r="BV30" s="81">
        <v>1961.62663656248</v>
      </c>
      <c r="BW30" s="82">
        <v>2240.45036551203</v>
      </c>
      <c r="BX30" s="83">
        <v>-278.823728949547</v>
      </c>
      <c r="BY30" s="81">
        <v>1944.37128981344</v>
      </c>
      <c r="BZ30" s="82">
        <v>2222.9459273439</v>
      </c>
      <c r="CA30" s="83">
        <v>-278.574637530463</v>
      </c>
      <c r="CB30" s="81">
        <v>1911.49265514566</v>
      </c>
      <c r="CC30" s="82">
        <v>2187.91533026623</v>
      </c>
      <c r="CD30" s="83">
        <v>-276.422675120577</v>
      </c>
      <c r="CE30" s="81">
        <v>1955.74126439995</v>
      </c>
      <c r="CF30" s="82">
        <v>2241.35070689896</v>
      </c>
      <c r="CG30" s="83">
        <v>-285.60944249901</v>
      </c>
      <c r="CH30" s="81">
        <v>1929.14472763365</v>
      </c>
      <c r="CI30" s="82">
        <v>2213.66591090881</v>
      </c>
      <c r="CJ30" s="83">
        <v>-284.521183275169</v>
      </c>
      <c r="CK30" s="81">
        <v>1916.86341136648</v>
      </c>
      <c r="CL30" s="82">
        <v>2202.2803531387</v>
      </c>
      <c r="CM30" s="83">
        <v>-285.416941772218</v>
      </c>
      <c r="CN30" s="81">
        <v>1975.16330316449</v>
      </c>
      <c r="CO30" s="82">
        <v>2272.11730040186</v>
      </c>
      <c r="CP30" s="83">
        <v>-296.95399723737</v>
      </c>
      <c r="CQ30" s="81">
        <v>1901.01327457356</v>
      </c>
      <c r="CR30" s="82">
        <v>2189.34806561212</v>
      </c>
      <c r="CS30" s="83">
        <v>-288.334791038563</v>
      </c>
      <c r="CT30" s="81">
        <v>1932.3849464795</v>
      </c>
      <c r="CU30" s="82">
        <v>2227.79852822881</v>
      </c>
      <c r="CV30" s="83">
        <v>-295.413581749306</v>
      </c>
      <c r="CW30" s="81">
        <v>2001.9541482825</v>
      </c>
      <c r="CX30" s="82">
        <v>2310.21238330991</v>
      </c>
      <c r="CY30" s="83">
        <v>-308.258235027404</v>
      </c>
      <c r="CZ30" s="81">
        <v>1996.36652191221</v>
      </c>
      <c r="DA30" s="82">
        <v>2305.97205383703</v>
      </c>
      <c r="DB30" s="83">
        <v>-309.605531924817</v>
      </c>
      <c r="DC30" s="81">
        <v>1998.08538555908</v>
      </c>
      <c r="DD30" s="82">
        <v>2310.08508779491</v>
      </c>
      <c r="DE30" s="83">
        <v>-311.999702235832</v>
      </c>
      <c r="DF30" s="81">
        <v>1979.24036623022</v>
      </c>
      <c r="DG30" s="82">
        <v>2290.31522669528</v>
      </c>
      <c r="DH30" s="83">
        <v>-311.074860465067</v>
      </c>
    </row>
    <row r="31" spans="1:112">
      <c r="A31" s="84" t="s">
        <v>171</v>
      </c>
      <c r="B31" s="81">
        <v>20</v>
      </c>
      <c r="C31" s="82">
        <v>13.9965513199566</v>
      </c>
      <c r="D31" s="83">
        <v>6.00344868004335</v>
      </c>
      <c r="E31" s="81">
        <v>20</v>
      </c>
      <c r="F31" s="82">
        <v>13.7271602091724</v>
      </c>
      <c r="G31" s="83">
        <v>6.27283979082757</v>
      </c>
      <c r="H31" s="81">
        <v>10</v>
      </c>
      <c r="I31" s="82">
        <v>7.59660332348545</v>
      </c>
      <c r="J31" s="83">
        <v>2.40339667651455</v>
      </c>
      <c r="K31" s="81">
        <v>10</v>
      </c>
      <c r="L31" s="82">
        <v>2.85395691162399</v>
      </c>
      <c r="M31" s="83">
        <v>7.14604308837601</v>
      </c>
      <c r="N31" s="81">
        <v>5</v>
      </c>
      <c r="O31" s="82">
        <v>5.10882264930414</v>
      </c>
      <c r="P31" s="83">
        <v>-0.108822649304138</v>
      </c>
      <c r="Q31" s="81">
        <v>5</v>
      </c>
      <c r="R31" s="82">
        <v>4.80321907616981</v>
      </c>
      <c r="S31" s="83">
        <v>0.196780923830186</v>
      </c>
      <c r="T31" s="81">
        <v>0</v>
      </c>
      <c r="U31" s="82">
        <v>0</v>
      </c>
      <c r="V31" s="83">
        <v>0</v>
      </c>
      <c r="W31" s="81">
        <v>0</v>
      </c>
      <c r="X31" s="82">
        <v>0</v>
      </c>
      <c r="Y31" s="83">
        <v>0</v>
      </c>
      <c r="Z31" s="81">
        <v>0</v>
      </c>
      <c r="AA31" s="82">
        <v>0</v>
      </c>
      <c r="AB31" s="83">
        <v>0</v>
      </c>
      <c r="AC31" s="81">
        <v>0</v>
      </c>
      <c r="AD31" s="82">
        <v>0</v>
      </c>
      <c r="AE31" s="83">
        <v>0</v>
      </c>
      <c r="AF31" s="81">
        <v>0</v>
      </c>
      <c r="AG31" s="82">
        <v>0</v>
      </c>
      <c r="AH31" s="83">
        <v>0</v>
      </c>
      <c r="AI31" s="81">
        <v>0</v>
      </c>
      <c r="AJ31" s="82">
        <v>0</v>
      </c>
      <c r="AK31" s="83">
        <v>0</v>
      </c>
      <c r="AL31" s="81">
        <v>0</v>
      </c>
      <c r="AM31" s="82">
        <v>0</v>
      </c>
      <c r="AN31" s="83">
        <v>0</v>
      </c>
      <c r="AO31" s="81">
        <v>0</v>
      </c>
      <c r="AP31" s="82">
        <v>0</v>
      </c>
      <c r="AQ31" s="83">
        <v>0</v>
      </c>
      <c r="AR31" s="81">
        <v>0</v>
      </c>
      <c r="AS31" s="82">
        <v>0</v>
      </c>
      <c r="AT31" s="83">
        <v>0</v>
      </c>
      <c r="AU31" s="81">
        <v>0</v>
      </c>
      <c r="AV31" s="82">
        <v>0</v>
      </c>
      <c r="AW31" s="83">
        <v>0</v>
      </c>
      <c r="AX31" s="81">
        <v>0</v>
      </c>
      <c r="AY31" s="82">
        <v>0</v>
      </c>
      <c r="AZ31" s="83">
        <v>0</v>
      </c>
      <c r="BA31" s="81">
        <v>0</v>
      </c>
      <c r="BB31" s="82">
        <v>0</v>
      </c>
      <c r="BC31" s="83">
        <v>0</v>
      </c>
      <c r="BD31" s="81">
        <v>0</v>
      </c>
      <c r="BE31" s="82">
        <v>0</v>
      </c>
      <c r="BF31" s="83">
        <v>0</v>
      </c>
      <c r="BG31" s="81">
        <v>0</v>
      </c>
      <c r="BH31" s="82">
        <v>0</v>
      </c>
      <c r="BI31" s="83">
        <v>0</v>
      </c>
      <c r="BJ31" s="81">
        <v>0</v>
      </c>
      <c r="BK31" s="82">
        <v>0</v>
      </c>
      <c r="BL31" s="83">
        <v>0</v>
      </c>
      <c r="BM31" s="81">
        <v>0</v>
      </c>
      <c r="BN31" s="82">
        <v>0</v>
      </c>
      <c r="BO31" s="83">
        <v>0</v>
      </c>
      <c r="BP31" s="81">
        <v>0</v>
      </c>
      <c r="BQ31" s="82">
        <v>0</v>
      </c>
      <c r="BR31" s="83">
        <v>0</v>
      </c>
      <c r="BS31" s="81">
        <v>0</v>
      </c>
      <c r="BT31" s="82">
        <v>0</v>
      </c>
      <c r="BU31" s="83">
        <v>0</v>
      </c>
      <c r="BV31" s="81">
        <v>0</v>
      </c>
      <c r="BW31" s="82">
        <v>0</v>
      </c>
      <c r="BX31" s="83">
        <v>0</v>
      </c>
      <c r="BY31" s="81">
        <v>0</v>
      </c>
      <c r="BZ31" s="82">
        <v>0</v>
      </c>
      <c r="CA31" s="83">
        <v>0</v>
      </c>
      <c r="CB31" s="81">
        <v>0</v>
      </c>
      <c r="CC31" s="82">
        <v>0</v>
      </c>
      <c r="CD31" s="83">
        <v>0</v>
      </c>
      <c r="CE31" s="81">
        <v>0</v>
      </c>
      <c r="CF31" s="82">
        <v>0</v>
      </c>
      <c r="CG31" s="83">
        <v>0</v>
      </c>
      <c r="CH31" s="81">
        <v>0</v>
      </c>
      <c r="CI31" s="82">
        <v>0</v>
      </c>
      <c r="CJ31" s="83">
        <v>0</v>
      </c>
      <c r="CK31" s="81">
        <v>0</v>
      </c>
      <c r="CL31" s="82">
        <v>0</v>
      </c>
      <c r="CM31" s="83">
        <v>0</v>
      </c>
      <c r="CN31" s="81">
        <v>0</v>
      </c>
      <c r="CO31" s="82">
        <v>0</v>
      </c>
      <c r="CP31" s="83">
        <v>0</v>
      </c>
      <c r="CQ31" s="81">
        <v>0</v>
      </c>
      <c r="CR31" s="82">
        <v>0</v>
      </c>
      <c r="CS31" s="83">
        <v>0</v>
      </c>
      <c r="CT31" s="81">
        <v>0</v>
      </c>
      <c r="CU31" s="82">
        <v>0</v>
      </c>
      <c r="CV31" s="83">
        <v>0</v>
      </c>
      <c r="CW31" s="81">
        <v>0</v>
      </c>
      <c r="CX31" s="82">
        <v>0</v>
      </c>
      <c r="CY31" s="83">
        <v>0</v>
      </c>
      <c r="CZ31" s="81">
        <v>0</v>
      </c>
      <c r="DA31" s="82">
        <v>0</v>
      </c>
      <c r="DB31" s="83">
        <v>0</v>
      </c>
      <c r="DC31" s="81">
        <v>0</v>
      </c>
      <c r="DD31" s="82">
        <v>0</v>
      </c>
      <c r="DE31" s="83">
        <v>0</v>
      </c>
      <c r="DF31" s="81">
        <v>0</v>
      </c>
      <c r="DG31" s="82">
        <v>0</v>
      </c>
      <c r="DH31" s="83">
        <v>0</v>
      </c>
    </row>
    <row r="32" spans="1:112">
      <c r="A32" s="84" t="s">
        <v>418</v>
      </c>
      <c r="B32" s="81">
        <v>0</v>
      </c>
      <c r="C32" s="82">
        <v>8323.36623772287</v>
      </c>
      <c r="D32" s="83">
        <v>-8323.36623772287</v>
      </c>
      <c r="E32" s="81">
        <v>0</v>
      </c>
      <c r="F32" s="82">
        <v>8248.19776882966</v>
      </c>
      <c r="G32" s="83">
        <v>-8248.19776882966</v>
      </c>
      <c r="H32" s="81">
        <v>0</v>
      </c>
      <c r="I32" s="82">
        <v>9176.67442838174</v>
      </c>
      <c r="J32" s="83">
        <v>-9176.67442838174</v>
      </c>
      <c r="K32" s="81">
        <v>0</v>
      </c>
      <c r="L32" s="82">
        <v>8926.55263696547</v>
      </c>
      <c r="M32" s="83">
        <v>-8926.55263696547</v>
      </c>
      <c r="N32" s="81">
        <v>0</v>
      </c>
      <c r="O32" s="82">
        <v>8499.25056386419</v>
      </c>
      <c r="P32" s="83">
        <v>-8499.25056386419</v>
      </c>
      <c r="Q32" s="81">
        <v>0</v>
      </c>
      <c r="R32" s="82">
        <v>8239.34798604498</v>
      </c>
      <c r="S32" s="83">
        <v>-8239.34798604498</v>
      </c>
      <c r="T32" s="81">
        <v>0</v>
      </c>
      <c r="U32" s="82">
        <v>7738.10714311405</v>
      </c>
      <c r="V32" s="83">
        <v>-7738.10714311405</v>
      </c>
      <c r="W32" s="81">
        <v>0</v>
      </c>
      <c r="X32" s="82">
        <v>7794.50820164858</v>
      </c>
      <c r="Y32" s="83">
        <v>-7794.50820164858</v>
      </c>
      <c r="Z32" s="81">
        <v>0</v>
      </c>
      <c r="AA32" s="82">
        <v>7400.70704777973</v>
      </c>
      <c r="AB32" s="83">
        <v>-7400.70704777973</v>
      </c>
      <c r="AC32" s="81">
        <v>0</v>
      </c>
      <c r="AD32" s="82">
        <v>7033.33324041943</v>
      </c>
      <c r="AE32" s="83">
        <v>-7033.33324041943</v>
      </c>
      <c r="AF32" s="81">
        <v>0</v>
      </c>
      <c r="AG32" s="82">
        <v>4960.0916838837</v>
      </c>
      <c r="AH32" s="83">
        <v>-4960.0916838837</v>
      </c>
      <c r="AI32" s="81">
        <v>0</v>
      </c>
      <c r="AJ32" s="82">
        <v>5034.00465624741</v>
      </c>
      <c r="AK32" s="83">
        <v>-5034.00465624741</v>
      </c>
      <c r="AL32" s="81">
        <v>0</v>
      </c>
      <c r="AM32" s="82">
        <v>4749.7227082615</v>
      </c>
      <c r="AN32" s="83">
        <v>-4749.7227082615</v>
      </c>
      <c r="AO32" s="81">
        <v>0</v>
      </c>
      <c r="AP32" s="82">
        <v>5001.16384583376</v>
      </c>
      <c r="AQ32" s="83">
        <v>-5001.16384583376</v>
      </c>
      <c r="AR32" s="81">
        <v>0</v>
      </c>
      <c r="AS32" s="82">
        <v>5138.51506809764</v>
      </c>
      <c r="AT32" s="83">
        <v>-5138.51506809764</v>
      </c>
      <c r="AU32" s="81">
        <v>0</v>
      </c>
      <c r="AV32" s="82">
        <v>5267.16773703223</v>
      </c>
      <c r="AW32" s="83">
        <v>-5267.16773703223</v>
      </c>
      <c r="AX32" s="81">
        <v>0</v>
      </c>
      <c r="AY32" s="82">
        <v>5226.11415204199</v>
      </c>
      <c r="AZ32" s="83">
        <v>-5226.11415204199</v>
      </c>
      <c r="BA32" s="81">
        <v>0</v>
      </c>
      <c r="BB32" s="82">
        <v>5181.03767575214</v>
      </c>
      <c r="BC32" s="83">
        <v>-5181.03767575214</v>
      </c>
      <c r="BD32" s="81">
        <v>0</v>
      </c>
      <c r="BE32" s="82">
        <v>5000.07783178054</v>
      </c>
      <c r="BF32" s="83">
        <v>-5000.07783178054</v>
      </c>
      <c r="BG32" s="81">
        <v>0</v>
      </c>
      <c r="BH32" s="82">
        <v>5037.04491080506</v>
      </c>
      <c r="BI32" s="83">
        <v>-5037.04491080506</v>
      </c>
      <c r="BJ32" s="81">
        <v>0</v>
      </c>
      <c r="BK32" s="82">
        <v>4894.55735261023</v>
      </c>
      <c r="BL32" s="83">
        <v>-4894.55735261023</v>
      </c>
      <c r="BM32" s="81">
        <v>0</v>
      </c>
      <c r="BN32" s="82">
        <v>4762.67432831055</v>
      </c>
      <c r="BO32" s="83">
        <v>-4762.67432831055</v>
      </c>
      <c r="BP32" s="81">
        <v>0</v>
      </c>
      <c r="BQ32" s="82">
        <v>4474.20731881106</v>
      </c>
      <c r="BR32" s="83">
        <v>-4474.20731881106</v>
      </c>
      <c r="BS32" s="81">
        <v>0</v>
      </c>
      <c r="BT32" s="82">
        <v>4668.74926479219</v>
      </c>
      <c r="BU32" s="83">
        <v>-4668.74926479219</v>
      </c>
      <c r="BV32" s="81">
        <v>0</v>
      </c>
      <c r="BW32" s="82">
        <v>4733.77004124366</v>
      </c>
      <c r="BX32" s="83">
        <v>-4733.77004124366</v>
      </c>
      <c r="BY32" s="81">
        <v>0</v>
      </c>
      <c r="BZ32" s="82">
        <v>4683.8751802024</v>
      </c>
      <c r="CA32" s="83">
        <v>-4683.8751802024</v>
      </c>
      <c r="CB32" s="81">
        <v>0</v>
      </c>
      <c r="CC32" s="82">
        <v>4455.52665808876</v>
      </c>
      <c r="CD32" s="83">
        <v>-4455.52665808876</v>
      </c>
      <c r="CE32" s="81">
        <v>0</v>
      </c>
      <c r="CF32" s="82">
        <v>6201.5973539689</v>
      </c>
      <c r="CG32" s="83">
        <v>-6201.5973539689</v>
      </c>
      <c r="CH32" s="81">
        <v>0</v>
      </c>
      <c r="CI32" s="82">
        <v>8034.85943075867</v>
      </c>
      <c r="CJ32" s="83">
        <v>-8034.85943075867</v>
      </c>
      <c r="CK32" s="81">
        <v>0</v>
      </c>
      <c r="CL32" s="82">
        <v>9120.08871150897</v>
      </c>
      <c r="CM32" s="83">
        <v>-9120.08871150897</v>
      </c>
      <c r="CN32" s="81">
        <v>0</v>
      </c>
      <c r="CO32" s="82">
        <v>11349.0098949178</v>
      </c>
      <c r="CP32" s="83">
        <v>-11349.0098949178</v>
      </c>
      <c r="CQ32" s="81">
        <v>0</v>
      </c>
      <c r="CR32" s="82">
        <v>12622.8800117313</v>
      </c>
      <c r="CS32" s="83">
        <v>-12622.8800117313</v>
      </c>
      <c r="CT32" s="81">
        <v>0</v>
      </c>
      <c r="CU32" s="82">
        <v>13349.0669957996</v>
      </c>
      <c r="CV32" s="83">
        <v>-13349.0669957996</v>
      </c>
      <c r="CW32" s="81">
        <v>0</v>
      </c>
      <c r="CX32" s="82">
        <v>14026.648460825</v>
      </c>
      <c r="CY32" s="83">
        <v>-14026.648460825</v>
      </c>
      <c r="CZ32" s="81">
        <v>0</v>
      </c>
      <c r="DA32" s="82">
        <v>12682.9261183772</v>
      </c>
      <c r="DB32" s="83">
        <v>-12682.9261183772</v>
      </c>
      <c r="DC32" s="81">
        <v>0</v>
      </c>
      <c r="DD32" s="82">
        <v>12745.726016415</v>
      </c>
      <c r="DE32" s="83">
        <v>-12745.726016415</v>
      </c>
      <c r="DF32" s="81">
        <v>0</v>
      </c>
      <c r="DG32" s="82">
        <v>9244.61184481316</v>
      </c>
      <c r="DH32" s="83">
        <v>-9244.61184481316</v>
      </c>
    </row>
    <row r="33" spans="1:112">
      <c r="A33" s="84" t="s">
        <v>173</v>
      </c>
      <c r="B33" s="81">
        <v>0</v>
      </c>
      <c r="C33" s="82">
        <v>0</v>
      </c>
      <c r="D33" s="83">
        <v>0</v>
      </c>
      <c r="E33" s="81">
        <v>0</v>
      </c>
      <c r="F33" s="82">
        <v>0</v>
      </c>
      <c r="G33" s="83">
        <v>0</v>
      </c>
      <c r="H33" s="81">
        <v>0</v>
      </c>
      <c r="I33" s="82">
        <v>0</v>
      </c>
      <c r="J33" s="83">
        <v>0</v>
      </c>
      <c r="K33" s="81">
        <v>0</v>
      </c>
      <c r="L33" s="82">
        <v>0</v>
      </c>
      <c r="M33" s="83">
        <v>0</v>
      </c>
      <c r="N33" s="81">
        <v>0</v>
      </c>
      <c r="O33" s="82">
        <v>0</v>
      </c>
      <c r="P33" s="83">
        <v>0</v>
      </c>
      <c r="Q33" s="81">
        <v>0</v>
      </c>
      <c r="R33" s="82">
        <v>0</v>
      </c>
      <c r="S33" s="83">
        <v>0</v>
      </c>
      <c r="T33" s="81">
        <v>0</v>
      </c>
      <c r="U33" s="82">
        <v>0</v>
      </c>
      <c r="V33" s="83">
        <v>0</v>
      </c>
      <c r="W33" s="81">
        <v>0</v>
      </c>
      <c r="X33" s="82">
        <v>0</v>
      </c>
      <c r="Y33" s="83">
        <v>0</v>
      </c>
      <c r="Z33" s="81">
        <v>0</v>
      </c>
      <c r="AA33" s="82">
        <v>0</v>
      </c>
      <c r="AB33" s="83">
        <v>0</v>
      </c>
      <c r="AC33" s="81">
        <v>0</v>
      </c>
      <c r="AD33" s="82">
        <v>0</v>
      </c>
      <c r="AE33" s="83">
        <v>0</v>
      </c>
      <c r="AF33" s="81">
        <v>0</v>
      </c>
      <c r="AG33" s="82">
        <v>0</v>
      </c>
      <c r="AH33" s="83">
        <v>0</v>
      </c>
      <c r="AI33" s="81">
        <v>0</v>
      </c>
      <c r="AJ33" s="82">
        <v>0</v>
      </c>
      <c r="AK33" s="83">
        <v>0</v>
      </c>
      <c r="AL33" s="81">
        <v>0</v>
      </c>
      <c r="AM33" s="82">
        <v>0</v>
      </c>
      <c r="AN33" s="83">
        <v>0</v>
      </c>
      <c r="AO33" s="81">
        <v>0</v>
      </c>
      <c r="AP33" s="82">
        <v>0</v>
      </c>
      <c r="AQ33" s="83">
        <v>0</v>
      </c>
      <c r="AR33" s="81">
        <v>0</v>
      </c>
      <c r="AS33" s="82">
        <v>0</v>
      </c>
      <c r="AT33" s="83">
        <v>0</v>
      </c>
      <c r="AU33" s="81">
        <v>0</v>
      </c>
      <c r="AV33" s="82">
        <v>0</v>
      </c>
      <c r="AW33" s="83">
        <v>0</v>
      </c>
      <c r="AX33" s="81">
        <v>0</v>
      </c>
      <c r="AY33" s="82">
        <v>0</v>
      </c>
      <c r="AZ33" s="83">
        <v>0</v>
      </c>
      <c r="BA33" s="81">
        <v>0</v>
      </c>
      <c r="BB33" s="82">
        <v>0</v>
      </c>
      <c r="BC33" s="83">
        <v>0</v>
      </c>
      <c r="BD33" s="81">
        <v>0</v>
      </c>
      <c r="BE33" s="82">
        <v>0</v>
      </c>
      <c r="BF33" s="83">
        <v>0</v>
      </c>
      <c r="BG33" s="81">
        <v>0</v>
      </c>
      <c r="BH33" s="82">
        <v>0</v>
      </c>
      <c r="BI33" s="83">
        <v>0</v>
      </c>
      <c r="BJ33" s="81">
        <v>0</v>
      </c>
      <c r="BK33" s="82">
        <v>0</v>
      </c>
      <c r="BL33" s="83">
        <v>0</v>
      </c>
      <c r="BM33" s="81">
        <v>0</v>
      </c>
      <c r="BN33" s="82">
        <v>0</v>
      </c>
      <c r="BO33" s="83">
        <v>0</v>
      </c>
      <c r="BP33" s="81">
        <v>0</v>
      </c>
      <c r="BQ33" s="82">
        <v>0</v>
      </c>
      <c r="BR33" s="83">
        <v>0</v>
      </c>
      <c r="BS33" s="81">
        <v>0</v>
      </c>
      <c r="BT33" s="82">
        <v>0</v>
      </c>
      <c r="BU33" s="83">
        <v>0</v>
      </c>
      <c r="BV33" s="81">
        <v>0</v>
      </c>
      <c r="BW33" s="82">
        <v>0</v>
      </c>
      <c r="BX33" s="83">
        <v>0</v>
      </c>
      <c r="BY33" s="81">
        <v>0</v>
      </c>
      <c r="BZ33" s="82">
        <v>0</v>
      </c>
      <c r="CA33" s="83">
        <v>0</v>
      </c>
      <c r="CB33" s="81">
        <v>0</v>
      </c>
      <c r="CC33" s="82">
        <v>0</v>
      </c>
      <c r="CD33" s="83">
        <v>0</v>
      </c>
      <c r="CE33" s="81">
        <v>0</v>
      </c>
      <c r="CF33" s="82">
        <v>0</v>
      </c>
      <c r="CG33" s="83">
        <v>0</v>
      </c>
      <c r="CH33" s="81">
        <v>0</v>
      </c>
      <c r="CI33" s="82">
        <v>0</v>
      </c>
      <c r="CJ33" s="83">
        <v>0</v>
      </c>
      <c r="CK33" s="81">
        <v>0</v>
      </c>
      <c r="CL33" s="82">
        <v>0</v>
      </c>
      <c r="CM33" s="83">
        <v>0</v>
      </c>
      <c r="CN33" s="81">
        <v>0</v>
      </c>
      <c r="CO33" s="82">
        <v>0</v>
      </c>
      <c r="CP33" s="83">
        <v>0</v>
      </c>
      <c r="CQ33" s="81">
        <v>0</v>
      </c>
      <c r="CR33" s="82">
        <v>0</v>
      </c>
      <c r="CS33" s="83">
        <v>0</v>
      </c>
      <c r="CT33" s="81">
        <v>0</v>
      </c>
      <c r="CU33" s="82">
        <v>0</v>
      </c>
      <c r="CV33" s="83">
        <v>0</v>
      </c>
      <c r="CW33" s="81">
        <v>0</v>
      </c>
      <c r="CX33" s="82">
        <v>0</v>
      </c>
      <c r="CY33" s="83">
        <v>0</v>
      </c>
      <c r="CZ33" s="81">
        <v>0</v>
      </c>
      <c r="DA33" s="82">
        <v>0</v>
      </c>
      <c r="DB33" s="83">
        <v>0</v>
      </c>
      <c r="DC33" s="81">
        <v>0</v>
      </c>
      <c r="DD33" s="82">
        <v>0</v>
      </c>
      <c r="DE33" s="83">
        <v>0</v>
      </c>
      <c r="DF33" s="81">
        <v>0</v>
      </c>
      <c r="DG33" s="82">
        <v>0</v>
      </c>
      <c r="DH33" s="83">
        <v>0</v>
      </c>
    </row>
    <row r="34" spans="1:112">
      <c r="A34" s="84" t="s">
        <v>174</v>
      </c>
      <c r="B34" s="81">
        <v>0</v>
      </c>
      <c r="C34" s="82">
        <v>0</v>
      </c>
      <c r="D34" s="83">
        <v>0</v>
      </c>
      <c r="E34" s="81">
        <v>0</v>
      </c>
      <c r="F34" s="82">
        <v>0</v>
      </c>
      <c r="G34" s="83">
        <v>0</v>
      </c>
      <c r="H34" s="81">
        <v>0</v>
      </c>
      <c r="I34" s="82">
        <v>0</v>
      </c>
      <c r="J34" s="83">
        <v>0</v>
      </c>
      <c r="K34" s="81">
        <v>0</v>
      </c>
      <c r="L34" s="82">
        <v>0</v>
      </c>
      <c r="M34" s="83">
        <v>0</v>
      </c>
      <c r="N34" s="81">
        <v>0</v>
      </c>
      <c r="O34" s="82">
        <v>0</v>
      </c>
      <c r="P34" s="83">
        <v>0</v>
      </c>
      <c r="Q34" s="81">
        <v>0</v>
      </c>
      <c r="R34" s="82">
        <v>0</v>
      </c>
      <c r="S34" s="83">
        <v>0</v>
      </c>
      <c r="T34" s="81">
        <v>0</v>
      </c>
      <c r="U34" s="82">
        <v>0</v>
      </c>
      <c r="V34" s="83">
        <v>0</v>
      </c>
      <c r="W34" s="81">
        <v>0</v>
      </c>
      <c r="X34" s="82">
        <v>0</v>
      </c>
      <c r="Y34" s="83">
        <v>0</v>
      </c>
      <c r="Z34" s="81">
        <v>0</v>
      </c>
      <c r="AA34" s="82">
        <v>0</v>
      </c>
      <c r="AB34" s="83">
        <v>0</v>
      </c>
      <c r="AC34" s="81">
        <v>0</v>
      </c>
      <c r="AD34" s="82">
        <v>0</v>
      </c>
      <c r="AE34" s="83">
        <v>0</v>
      </c>
      <c r="AF34" s="81">
        <v>0</v>
      </c>
      <c r="AG34" s="82">
        <v>0</v>
      </c>
      <c r="AH34" s="83">
        <v>0</v>
      </c>
      <c r="AI34" s="81">
        <v>0</v>
      </c>
      <c r="AJ34" s="82">
        <v>0</v>
      </c>
      <c r="AK34" s="83">
        <v>0</v>
      </c>
      <c r="AL34" s="81">
        <v>0</v>
      </c>
      <c r="AM34" s="82">
        <v>0</v>
      </c>
      <c r="AN34" s="83">
        <v>0</v>
      </c>
      <c r="AO34" s="81">
        <v>0</v>
      </c>
      <c r="AP34" s="82">
        <v>0</v>
      </c>
      <c r="AQ34" s="83">
        <v>0</v>
      </c>
      <c r="AR34" s="81">
        <v>0</v>
      </c>
      <c r="AS34" s="82">
        <v>0</v>
      </c>
      <c r="AT34" s="83">
        <v>0</v>
      </c>
      <c r="AU34" s="81">
        <v>0</v>
      </c>
      <c r="AV34" s="82">
        <v>0</v>
      </c>
      <c r="AW34" s="83">
        <v>0</v>
      </c>
      <c r="AX34" s="81">
        <v>0</v>
      </c>
      <c r="AY34" s="82">
        <v>0</v>
      </c>
      <c r="AZ34" s="83">
        <v>0</v>
      </c>
      <c r="BA34" s="81">
        <v>0</v>
      </c>
      <c r="BB34" s="82">
        <v>0</v>
      </c>
      <c r="BC34" s="83">
        <v>0</v>
      </c>
      <c r="BD34" s="81">
        <v>0</v>
      </c>
      <c r="BE34" s="82">
        <v>0</v>
      </c>
      <c r="BF34" s="83">
        <v>0</v>
      </c>
      <c r="BG34" s="81">
        <v>0</v>
      </c>
      <c r="BH34" s="82">
        <v>0</v>
      </c>
      <c r="BI34" s="83">
        <v>0</v>
      </c>
      <c r="BJ34" s="81">
        <v>0</v>
      </c>
      <c r="BK34" s="82">
        <v>0</v>
      </c>
      <c r="BL34" s="83">
        <v>0</v>
      </c>
      <c r="BM34" s="81">
        <v>0</v>
      </c>
      <c r="BN34" s="82">
        <v>0</v>
      </c>
      <c r="BO34" s="83">
        <v>0</v>
      </c>
      <c r="BP34" s="81">
        <v>0</v>
      </c>
      <c r="BQ34" s="82">
        <v>0</v>
      </c>
      <c r="BR34" s="83">
        <v>0</v>
      </c>
      <c r="BS34" s="81">
        <v>0</v>
      </c>
      <c r="BT34" s="82">
        <v>0</v>
      </c>
      <c r="BU34" s="83">
        <v>0</v>
      </c>
      <c r="BV34" s="81">
        <v>0</v>
      </c>
      <c r="BW34" s="82">
        <v>0</v>
      </c>
      <c r="BX34" s="83">
        <v>0</v>
      </c>
      <c r="BY34" s="81">
        <v>0</v>
      </c>
      <c r="BZ34" s="82">
        <v>0</v>
      </c>
      <c r="CA34" s="83">
        <v>0</v>
      </c>
      <c r="CB34" s="81">
        <v>0</v>
      </c>
      <c r="CC34" s="82">
        <v>0</v>
      </c>
      <c r="CD34" s="83">
        <v>0</v>
      </c>
      <c r="CE34" s="81">
        <v>0</v>
      </c>
      <c r="CF34" s="82">
        <v>0</v>
      </c>
      <c r="CG34" s="83">
        <v>0</v>
      </c>
      <c r="CH34" s="81">
        <v>0</v>
      </c>
      <c r="CI34" s="82">
        <v>0</v>
      </c>
      <c r="CJ34" s="83">
        <v>0</v>
      </c>
      <c r="CK34" s="81">
        <v>0</v>
      </c>
      <c r="CL34" s="82">
        <v>0</v>
      </c>
      <c r="CM34" s="83">
        <v>0</v>
      </c>
      <c r="CN34" s="81">
        <v>0</v>
      </c>
      <c r="CO34" s="82">
        <v>0</v>
      </c>
      <c r="CP34" s="83">
        <v>0</v>
      </c>
      <c r="CQ34" s="81">
        <v>0</v>
      </c>
      <c r="CR34" s="82">
        <v>0</v>
      </c>
      <c r="CS34" s="83">
        <v>0</v>
      </c>
      <c r="CT34" s="81">
        <v>0</v>
      </c>
      <c r="CU34" s="82">
        <v>0</v>
      </c>
      <c r="CV34" s="83">
        <v>0</v>
      </c>
      <c r="CW34" s="81">
        <v>0</v>
      </c>
      <c r="CX34" s="82">
        <v>0</v>
      </c>
      <c r="CY34" s="83">
        <v>0</v>
      </c>
      <c r="CZ34" s="81">
        <v>0</v>
      </c>
      <c r="DA34" s="82">
        <v>0</v>
      </c>
      <c r="DB34" s="83">
        <v>0</v>
      </c>
      <c r="DC34" s="81">
        <v>0</v>
      </c>
      <c r="DD34" s="82">
        <v>0</v>
      </c>
      <c r="DE34" s="83">
        <v>0</v>
      </c>
      <c r="DF34" s="81">
        <v>0</v>
      </c>
      <c r="DG34" s="82">
        <v>0</v>
      </c>
      <c r="DH34" s="83">
        <v>0</v>
      </c>
    </row>
    <row r="35" spans="1:112">
      <c r="A35" s="80" t="s">
        <v>419</v>
      </c>
      <c r="B35" s="81">
        <v>0.98917906</v>
      </c>
      <c r="C35" s="82">
        <v>0</v>
      </c>
      <c r="D35" s="83">
        <v>0.98917906</v>
      </c>
      <c r="E35" s="81">
        <v>0.98917906</v>
      </c>
      <c r="F35" s="82">
        <v>0</v>
      </c>
      <c r="G35" s="83">
        <v>0.98917906</v>
      </c>
      <c r="H35" s="81">
        <v>0.98917906</v>
      </c>
      <c r="I35" s="82">
        <v>0</v>
      </c>
      <c r="J35" s="83">
        <v>0.98917906</v>
      </c>
      <c r="K35" s="81">
        <v>0.98917906</v>
      </c>
      <c r="L35" s="82">
        <v>0</v>
      </c>
      <c r="M35" s="83">
        <v>0.98917906</v>
      </c>
      <c r="N35" s="81">
        <v>0.97370271</v>
      </c>
      <c r="O35" s="82">
        <v>0</v>
      </c>
      <c r="P35" s="83">
        <v>0.97370271</v>
      </c>
      <c r="Q35" s="81">
        <v>0.97370271</v>
      </c>
      <c r="R35" s="82">
        <v>0</v>
      </c>
      <c r="S35" s="83">
        <v>0.97370271</v>
      </c>
      <c r="T35" s="81">
        <v>0.97370271</v>
      </c>
      <c r="U35" s="82">
        <v>0</v>
      </c>
      <c r="V35" s="83">
        <v>0.97370271</v>
      </c>
      <c r="W35" s="81">
        <v>0.97370271</v>
      </c>
      <c r="X35" s="82">
        <v>0</v>
      </c>
      <c r="Y35" s="83">
        <v>0.97370271</v>
      </c>
      <c r="Z35" s="81">
        <v>0.97370271</v>
      </c>
      <c r="AA35" s="82">
        <v>0</v>
      </c>
      <c r="AB35" s="83">
        <v>0.97370271</v>
      </c>
      <c r="AC35" s="81">
        <v>0.97370271</v>
      </c>
      <c r="AD35" s="82">
        <v>0</v>
      </c>
      <c r="AE35" s="83">
        <v>0.97370271</v>
      </c>
      <c r="AF35" s="81">
        <v>0.97370271</v>
      </c>
      <c r="AG35" s="82">
        <v>0</v>
      </c>
      <c r="AH35" s="83">
        <v>0.97370271</v>
      </c>
      <c r="AI35" s="81">
        <v>0.97370271</v>
      </c>
      <c r="AJ35" s="82">
        <v>0</v>
      </c>
      <c r="AK35" s="83">
        <v>0.97370271</v>
      </c>
      <c r="AL35" s="81">
        <v>0.97370271</v>
      </c>
      <c r="AM35" s="82">
        <v>0</v>
      </c>
      <c r="AN35" s="83">
        <v>0.97370271</v>
      </c>
      <c r="AO35" s="81">
        <v>0.97370271</v>
      </c>
      <c r="AP35" s="82">
        <v>0</v>
      </c>
      <c r="AQ35" s="83">
        <v>0.97370271</v>
      </c>
      <c r="AR35" s="81">
        <v>0.97370271</v>
      </c>
      <c r="AS35" s="82">
        <v>0</v>
      </c>
      <c r="AT35" s="83">
        <v>0.97370271</v>
      </c>
      <c r="AU35" s="81">
        <v>0.97370271</v>
      </c>
      <c r="AV35" s="82">
        <v>0</v>
      </c>
      <c r="AW35" s="83">
        <v>0.97370271</v>
      </c>
      <c r="AX35" s="81">
        <v>0.97370271</v>
      </c>
      <c r="AY35" s="82">
        <v>0</v>
      </c>
      <c r="AZ35" s="83">
        <v>0.97370271</v>
      </c>
      <c r="BA35" s="81">
        <v>0.97370271</v>
      </c>
      <c r="BB35" s="82">
        <v>0</v>
      </c>
      <c r="BC35" s="83">
        <v>0.97370271</v>
      </c>
      <c r="BD35" s="81">
        <v>0.97370271</v>
      </c>
      <c r="BE35" s="82">
        <v>0</v>
      </c>
      <c r="BF35" s="83">
        <v>0.97370271</v>
      </c>
      <c r="BG35" s="81">
        <v>0.97370271</v>
      </c>
      <c r="BH35" s="82">
        <v>0</v>
      </c>
      <c r="BI35" s="83">
        <v>0.97370271</v>
      </c>
      <c r="BJ35" s="81">
        <v>0.9925027</v>
      </c>
      <c r="BK35" s="82">
        <v>0</v>
      </c>
      <c r="BL35" s="83">
        <v>0.9925027</v>
      </c>
      <c r="BM35" s="81">
        <v>0.99250271</v>
      </c>
      <c r="BN35" s="82">
        <v>0</v>
      </c>
      <c r="BO35" s="83">
        <v>0.99250271</v>
      </c>
      <c r="BP35" s="81">
        <v>0.9925027</v>
      </c>
      <c r="BQ35" s="82">
        <v>0</v>
      </c>
      <c r="BR35" s="83">
        <v>0.9925027</v>
      </c>
      <c r="BS35" s="81">
        <v>0.97370271</v>
      </c>
      <c r="BT35" s="82">
        <v>0</v>
      </c>
      <c r="BU35" s="83">
        <v>0.97370271</v>
      </c>
      <c r="BV35" s="81">
        <v>0.97370271</v>
      </c>
      <c r="BW35" s="82">
        <v>0</v>
      </c>
      <c r="BX35" s="83">
        <v>0.97370271</v>
      </c>
      <c r="BY35" s="81">
        <v>0.97370271</v>
      </c>
      <c r="BZ35" s="82">
        <v>0</v>
      </c>
      <c r="CA35" s="83">
        <v>0.97370271</v>
      </c>
      <c r="CB35" s="81">
        <v>0.97370271</v>
      </c>
      <c r="CC35" s="82">
        <v>0</v>
      </c>
      <c r="CD35" s="83">
        <v>0.97370271</v>
      </c>
      <c r="CE35" s="81">
        <v>0.97370271</v>
      </c>
      <c r="CF35" s="82">
        <v>0</v>
      </c>
      <c r="CG35" s="83">
        <v>0.97370271</v>
      </c>
      <c r="CH35" s="81">
        <v>0.97370271</v>
      </c>
      <c r="CI35" s="82">
        <v>0</v>
      </c>
      <c r="CJ35" s="83">
        <v>0.97370271</v>
      </c>
      <c r="CK35" s="81">
        <v>0.97370271</v>
      </c>
      <c r="CL35" s="82">
        <v>0</v>
      </c>
      <c r="CM35" s="83">
        <v>0.97370271</v>
      </c>
      <c r="CN35" s="81">
        <v>0.97370271</v>
      </c>
      <c r="CO35" s="82">
        <v>0</v>
      </c>
      <c r="CP35" s="83">
        <v>0.97370271</v>
      </c>
      <c r="CQ35" s="81">
        <v>0.97370271</v>
      </c>
      <c r="CR35" s="82">
        <v>0</v>
      </c>
      <c r="CS35" s="83">
        <v>0.97370271</v>
      </c>
      <c r="CT35" s="81">
        <v>0.97370271</v>
      </c>
      <c r="CU35" s="82">
        <v>0</v>
      </c>
      <c r="CV35" s="83">
        <v>0.97370271</v>
      </c>
      <c r="CW35" s="81">
        <v>0.97370271</v>
      </c>
      <c r="CX35" s="82">
        <v>0</v>
      </c>
      <c r="CY35" s="83">
        <v>0.97370271</v>
      </c>
      <c r="CZ35" s="81">
        <v>0.97370271</v>
      </c>
      <c r="DA35" s="82">
        <v>0</v>
      </c>
      <c r="DB35" s="83">
        <v>0.97370271</v>
      </c>
      <c r="DC35" s="81">
        <v>0.97370271</v>
      </c>
      <c r="DD35" s="82">
        <v>0</v>
      </c>
      <c r="DE35" s="83">
        <v>0.97370271</v>
      </c>
      <c r="DF35" s="81">
        <v>0.97370271</v>
      </c>
      <c r="DG35" s="82">
        <v>0</v>
      </c>
      <c r="DH35" s="83">
        <v>0.97370271</v>
      </c>
    </row>
    <row r="36" s="52" customFormat="1" spans="1:112">
      <c r="A36" s="85" t="s">
        <v>182</v>
      </c>
      <c r="B36" s="77">
        <v>6662.27549040359</v>
      </c>
      <c r="C36" s="78">
        <v>5775.071</v>
      </c>
      <c r="D36" s="79">
        <v>887.204490403591</v>
      </c>
      <c r="E36" s="77">
        <v>6168.08242168406</v>
      </c>
      <c r="F36" s="78">
        <v>6122.934</v>
      </c>
      <c r="G36" s="79">
        <v>45.1484216840636</v>
      </c>
      <c r="H36" s="77">
        <v>6289.00292562684</v>
      </c>
      <c r="I36" s="78">
        <v>6808.241</v>
      </c>
      <c r="J36" s="79">
        <v>-519.238074373166</v>
      </c>
      <c r="K36" s="77">
        <v>6501.87398213602</v>
      </c>
      <c r="L36" s="78">
        <v>7067.22094719105</v>
      </c>
      <c r="M36" s="79">
        <v>-565.346965055021</v>
      </c>
      <c r="N36" s="77">
        <v>5933.79933408682</v>
      </c>
      <c r="O36" s="78">
        <v>7297.165</v>
      </c>
      <c r="P36" s="79">
        <v>-1363.36566591318</v>
      </c>
      <c r="Q36" s="77">
        <v>6067.26266989887</v>
      </c>
      <c r="R36" s="78">
        <v>6563.349</v>
      </c>
      <c r="S36" s="79">
        <v>-496.086330101135</v>
      </c>
      <c r="T36" s="77">
        <v>5750.12490752756</v>
      </c>
      <c r="U36" s="78">
        <v>6499.57056529044</v>
      </c>
      <c r="V36" s="79">
        <v>-749.445657762885</v>
      </c>
      <c r="W36" s="77">
        <v>5752.02697492118</v>
      </c>
      <c r="X36" s="78">
        <v>5843.503</v>
      </c>
      <c r="Y36" s="79">
        <v>-91.476025078824</v>
      </c>
      <c r="Z36" s="77">
        <v>5248.53594641779</v>
      </c>
      <c r="AA36" s="78">
        <v>6899.791</v>
      </c>
      <c r="AB36" s="79">
        <v>-1651.25505358221</v>
      </c>
      <c r="AC36" s="77">
        <v>5112.68183375921</v>
      </c>
      <c r="AD36" s="78">
        <v>7373.107</v>
      </c>
      <c r="AE36" s="79">
        <v>-2260.42516624079</v>
      </c>
      <c r="AF36" s="77">
        <v>4590.20346640778</v>
      </c>
      <c r="AG36" s="78">
        <v>7389.636</v>
      </c>
      <c r="AH36" s="79">
        <v>-2799.43253359222</v>
      </c>
      <c r="AI36" s="77">
        <v>4818.12599383348</v>
      </c>
      <c r="AJ36" s="78">
        <v>7828.071</v>
      </c>
      <c r="AK36" s="79">
        <v>-3009.94500616652</v>
      </c>
      <c r="AL36" s="77">
        <v>4649.21024416951</v>
      </c>
      <c r="AM36" s="78">
        <v>7046.47</v>
      </c>
      <c r="AN36" s="79">
        <v>-2397.25975583049</v>
      </c>
      <c r="AO36" s="77">
        <v>5068.05278722113</v>
      </c>
      <c r="AP36" s="78">
        <v>6312.267</v>
      </c>
      <c r="AQ36" s="79">
        <v>-1244.21421277887</v>
      </c>
      <c r="AR36" s="77">
        <v>5053.47191754121</v>
      </c>
      <c r="AS36" s="78">
        <v>6865.685</v>
      </c>
      <c r="AT36" s="79">
        <v>-1812.21308245879</v>
      </c>
      <c r="AU36" s="77">
        <v>4837.42886895857</v>
      </c>
      <c r="AV36" s="78">
        <v>6171.824</v>
      </c>
      <c r="AW36" s="79">
        <v>-1334.39513104143</v>
      </c>
      <c r="AX36" s="77">
        <v>4978.75743669419</v>
      </c>
      <c r="AY36" s="78">
        <v>6929.132</v>
      </c>
      <c r="AZ36" s="79">
        <v>-1950.37456330581</v>
      </c>
      <c r="BA36" s="77">
        <v>5975.13640903738</v>
      </c>
      <c r="BB36" s="78">
        <v>8035.653</v>
      </c>
      <c r="BC36" s="79">
        <v>-2060.51659096262</v>
      </c>
      <c r="BD36" s="77">
        <v>5735.06814950779</v>
      </c>
      <c r="BE36" s="78">
        <v>7806.856</v>
      </c>
      <c r="BF36" s="79">
        <v>-2071.78785049221</v>
      </c>
      <c r="BG36" s="77">
        <v>5493.81955353032</v>
      </c>
      <c r="BH36" s="78">
        <v>7747.489</v>
      </c>
      <c r="BI36" s="79">
        <v>-2253.66944646968</v>
      </c>
      <c r="BJ36" s="77">
        <v>8225.29131210403</v>
      </c>
      <c r="BK36" s="78">
        <v>9460.681</v>
      </c>
      <c r="BL36" s="79">
        <v>-1235.38968789597</v>
      </c>
      <c r="BM36" s="77">
        <v>9675.59964362868</v>
      </c>
      <c r="BN36" s="78">
        <v>9956.55246</v>
      </c>
      <c r="BO36" s="79">
        <v>-280.952816371318</v>
      </c>
      <c r="BP36" s="77">
        <v>8006.33299641418</v>
      </c>
      <c r="BQ36" s="78">
        <v>9716.3204</v>
      </c>
      <c r="BR36" s="79">
        <v>-1709.98740358582</v>
      </c>
      <c r="BS36" s="77">
        <v>9675.42016646691</v>
      </c>
      <c r="BT36" s="78">
        <v>9681.65702</v>
      </c>
      <c r="BU36" s="79">
        <v>-6.23685353309156</v>
      </c>
      <c r="BV36" s="77">
        <v>10616.6821713619</v>
      </c>
      <c r="BW36" s="78">
        <v>11054.91465</v>
      </c>
      <c r="BX36" s="79">
        <v>-438.232478638056</v>
      </c>
      <c r="BY36" s="77">
        <v>10162.5856812176</v>
      </c>
      <c r="BZ36" s="78">
        <v>10467.55774</v>
      </c>
      <c r="CA36" s="79">
        <v>-304.972058782405</v>
      </c>
      <c r="CB36" s="77">
        <v>10631.1194690944</v>
      </c>
      <c r="CC36" s="78">
        <v>10916.31133</v>
      </c>
      <c r="CD36" s="79">
        <v>-285.191860905576</v>
      </c>
      <c r="CE36" s="77">
        <v>11202.2521644257</v>
      </c>
      <c r="CF36" s="78">
        <v>12325.31493</v>
      </c>
      <c r="CG36" s="79">
        <v>-1123.06276557429</v>
      </c>
      <c r="CH36" s="77">
        <v>12530.8126041134</v>
      </c>
      <c r="CI36" s="78">
        <v>12315.54632</v>
      </c>
      <c r="CJ36" s="79">
        <v>215.266284113415</v>
      </c>
      <c r="CK36" s="77">
        <v>14323.0719688706</v>
      </c>
      <c r="CL36" s="78">
        <v>12005.11393</v>
      </c>
      <c r="CM36" s="79">
        <v>2317.95803887055</v>
      </c>
      <c r="CN36" s="77">
        <v>14724.9303933164</v>
      </c>
      <c r="CO36" s="78">
        <v>11472.20218</v>
      </c>
      <c r="CP36" s="79">
        <v>3252.72821331643</v>
      </c>
      <c r="CQ36" s="77">
        <v>13120.3933492856</v>
      </c>
      <c r="CR36" s="78">
        <v>11796.22562</v>
      </c>
      <c r="CS36" s="79">
        <v>1324.16772928559</v>
      </c>
      <c r="CT36" s="77">
        <v>14570.021783384</v>
      </c>
      <c r="CU36" s="78">
        <v>13531.74034</v>
      </c>
      <c r="CV36" s="79">
        <v>1038.281443384</v>
      </c>
      <c r="CW36" s="77">
        <v>15634.1572787829</v>
      </c>
      <c r="CX36" s="78">
        <v>14311.89468</v>
      </c>
      <c r="CY36" s="79">
        <v>1322.26259878285</v>
      </c>
      <c r="CZ36" s="77">
        <v>15977.3317632022</v>
      </c>
      <c r="DA36" s="78">
        <v>13246.8424</v>
      </c>
      <c r="DB36" s="79">
        <v>2730.48936320217</v>
      </c>
      <c r="DC36" s="77">
        <v>18287.4101673654</v>
      </c>
      <c r="DD36" s="78">
        <v>14808.27903</v>
      </c>
      <c r="DE36" s="79">
        <v>3479.13113736541</v>
      </c>
      <c r="DF36" s="77">
        <v>19152.1401450582</v>
      </c>
      <c r="DG36" s="78">
        <v>15226.82151</v>
      </c>
      <c r="DH36" s="79">
        <v>3925.31863505818</v>
      </c>
    </row>
    <row r="37" s="52" customFormat="1" spans="1:112">
      <c r="A37" s="75" t="s">
        <v>164</v>
      </c>
      <c r="B37" s="72">
        <v>646.658</v>
      </c>
      <c r="C37" s="73">
        <v>4339.278</v>
      </c>
      <c r="D37" s="74">
        <v>-3692.62</v>
      </c>
      <c r="E37" s="72">
        <v>662.672</v>
      </c>
      <c r="F37" s="73">
        <v>4653.92</v>
      </c>
      <c r="G37" s="74">
        <v>-3991.248</v>
      </c>
      <c r="H37" s="72">
        <v>771.025292417714</v>
      </c>
      <c r="I37" s="73">
        <v>5210.21513423606</v>
      </c>
      <c r="J37" s="74">
        <v>-4439.18984181834</v>
      </c>
      <c r="K37" s="72">
        <v>701.565753437848</v>
      </c>
      <c r="L37" s="73">
        <v>5360.70698766287</v>
      </c>
      <c r="M37" s="74">
        <v>-4659.14123422502</v>
      </c>
      <c r="N37" s="72">
        <v>714.783535390029</v>
      </c>
      <c r="O37" s="73">
        <v>5547.08631362508</v>
      </c>
      <c r="P37" s="74">
        <v>-4832.30277823505</v>
      </c>
      <c r="Q37" s="72">
        <v>857.548</v>
      </c>
      <c r="R37" s="73">
        <v>5148.57035475548</v>
      </c>
      <c r="S37" s="74">
        <v>-4291.02235475548</v>
      </c>
      <c r="T37" s="72">
        <v>955.021</v>
      </c>
      <c r="U37" s="73">
        <v>5099.42073762365</v>
      </c>
      <c r="V37" s="74">
        <v>-4144.39973762365</v>
      </c>
      <c r="W37" s="72">
        <v>997.055</v>
      </c>
      <c r="X37" s="73">
        <v>4423.12274174962</v>
      </c>
      <c r="Y37" s="74">
        <v>-3426.06774174962</v>
      </c>
      <c r="Z37" s="72">
        <v>1208.129</v>
      </c>
      <c r="AA37" s="73">
        <v>5549.12425881486</v>
      </c>
      <c r="AB37" s="74">
        <v>-4340.99525881486</v>
      </c>
      <c r="AC37" s="72">
        <v>1188.06</v>
      </c>
      <c r="AD37" s="73">
        <v>5999.49026442068</v>
      </c>
      <c r="AE37" s="74">
        <v>-4811.43026442068</v>
      </c>
      <c r="AF37" s="72">
        <v>934.943</v>
      </c>
      <c r="AG37" s="73">
        <v>5788.510095054</v>
      </c>
      <c r="AH37" s="74">
        <v>-4853.567095054</v>
      </c>
      <c r="AI37" s="72">
        <v>1097.659</v>
      </c>
      <c r="AJ37" s="73">
        <v>5745.27128335816</v>
      </c>
      <c r="AK37" s="74">
        <v>-4647.61228335816</v>
      </c>
      <c r="AL37" s="72">
        <v>942.524</v>
      </c>
      <c r="AM37" s="73">
        <v>5278.119</v>
      </c>
      <c r="AN37" s="74">
        <v>-4335.595</v>
      </c>
      <c r="AO37" s="72">
        <v>1187.562</v>
      </c>
      <c r="AP37" s="73">
        <v>4268.008</v>
      </c>
      <c r="AQ37" s="74">
        <v>-3080.446</v>
      </c>
      <c r="AR37" s="72">
        <v>1373.43</v>
      </c>
      <c r="AS37" s="73">
        <v>4777.277</v>
      </c>
      <c r="AT37" s="74">
        <v>-3403.847</v>
      </c>
      <c r="AU37" s="72">
        <v>1312.4138</v>
      </c>
      <c r="AV37" s="73">
        <v>3833.987</v>
      </c>
      <c r="AW37" s="74">
        <v>-2521.5732</v>
      </c>
      <c r="AX37" s="72">
        <v>1562.7198</v>
      </c>
      <c r="AY37" s="73">
        <v>4433.16</v>
      </c>
      <c r="AZ37" s="74">
        <v>-2870.4402</v>
      </c>
      <c r="BA37" s="72">
        <v>2204.7378</v>
      </c>
      <c r="BB37" s="73">
        <v>4990.512</v>
      </c>
      <c r="BC37" s="74">
        <v>-2785.7742</v>
      </c>
      <c r="BD37" s="72">
        <v>1975.038</v>
      </c>
      <c r="BE37" s="73">
        <v>4483.984</v>
      </c>
      <c r="BF37" s="74">
        <v>-2508.946</v>
      </c>
      <c r="BG37" s="72">
        <v>1837.71</v>
      </c>
      <c r="BH37" s="73">
        <v>4192.136</v>
      </c>
      <c r="BI37" s="74">
        <v>-2354.426</v>
      </c>
      <c r="BJ37" s="72">
        <v>2659.46002</v>
      </c>
      <c r="BK37" s="73">
        <v>6115.155</v>
      </c>
      <c r="BL37" s="74">
        <v>-3455.69498</v>
      </c>
      <c r="BM37" s="72">
        <v>3409.0581</v>
      </c>
      <c r="BN37" s="73">
        <v>6444.28546</v>
      </c>
      <c r="BO37" s="74">
        <v>-3035.22736</v>
      </c>
      <c r="BP37" s="72">
        <v>4199.08557021604</v>
      </c>
      <c r="BQ37" s="73">
        <v>5963.04717</v>
      </c>
      <c r="BR37" s="74">
        <v>-1763.96159978396</v>
      </c>
      <c r="BS37" s="72">
        <v>5658.29394</v>
      </c>
      <c r="BT37" s="73">
        <v>5430.15792563636</v>
      </c>
      <c r="BU37" s="74">
        <v>228.136014363644</v>
      </c>
      <c r="BV37" s="72">
        <v>6004.19658</v>
      </c>
      <c r="BW37" s="73">
        <v>6087.95065</v>
      </c>
      <c r="BX37" s="74">
        <v>-83.75407</v>
      </c>
      <c r="BY37" s="72">
        <v>5224.60729</v>
      </c>
      <c r="BZ37" s="73">
        <v>5433.10174</v>
      </c>
      <c r="CA37" s="74">
        <v>-208.49445</v>
      </c>
      <c r="CB37" s="72">
        <v>5329.96698788016</v>
      </c>
      <c r="CC37" s="73">
        <v>5851.78033</v>
      </c>
      <c r="CD37" s="74">
        <v>-521.813342119838</v>
      </c>
      <c r="CE37" s="72">
        <v>6333.4108</v>
      </c>
      <c r="CF37" s="73">
        <v>6884.93905</v>
      </c>
      <c r="CG37" s="74">
        <v>-551.528249999999</v>
      </c>
      <c r="CH37" s="72">
        <v>6923.55653</v>
      </c>
      <c r="CI37" s="73">
        <v>6588.91523</v>
      </c>
      <c r="CJ37" s="74">
        <v>334.641299999999</v>
      </c>
      <c r="CK37" s="72">
        <v>7961.61681</v>
      </c>
      <c r="CL37" s="73">
        <v>6214.08097493443</v>
      </c>
      <c r="CM37" s="74">
        <v>1747.53583506557</v>
      </c>
      <c r="CN37" s="72">
        <v>8384.221715</v>
      </c>
      <c r="CO37" s="73">
        <v>5542.73495</v>
      </c>
      <c r="CP37" s="74">
        <v>2841.486765</v>
      </c>
      <c r="CQ37" s="72">
        <v>6633.54542853626</v>
      </c>
      <c r="CR37" s="73">
        <v>5916.06824</v>
      </c>
      <c r="CS37" s="74">
        <v>717.477188536262</v>
      </c>
      <c r="CT37" s="72">
        <v>7830.23336</v>
      </c>
      <c r="CU37" s="73">
        <v>7354.13094</v>
      </c>
      <c r="CV37" s="74">
        <v>476.102419999999</v>
      </c>
      <c r="CW37" s="72">
        <v>7922.18524</v>
      </c>
      <c r="CX37" s="73">
        <v>7679.02834</v>
      </c>
      <c r="CY37" s="74">
        <v>243.156899999999</v>
      </c>
      <c r="CZ37" s="72">
        <v>7448.03151982155</v>
      </c>
      <c r="DA37" s="73">
        <v>5981.35903</v>
      </c>
      <c r="DB37" s="74">
        <v>1466.67248982155</v>
      </c>
      <c r="DC37" s="72">
        <v>7926.90427092382</v>
      </c>
      <c r="DD37" s="73">
        <v>7161.71752</v>
      </c>
      <c r="DE37" s="74">
        <v>765.186750923825</v>
      </c>
      <c r="DF37" s="72">
        <v>9052.67431890675</v>
      </c>
      <c r="DG37" s="73">
        <v>7771.66193</v>
      </c>
      <c r="DH37" s="74">
        <v>1281.01238890675</v>
      </c>
    </row>
    <row r="38" spans="1:112">
      <c r="A38" s="84" t="s">
        <v>171</v>
      </c>
      <c r="B38" s="81">
        <v>515.644</v>
      </c>
      <c r="C38" s="82">
        <v>3872.448</v>
      </c>
      <c r="D38" s="83">
        <v>-3356.804</v>
      </c>
      <c r="E38" s="81">
        <v>496.58</v>
      </c>
      <c r="F38" s="82">
        <v>4001.87</v>
      </c>
      <c r="G38" s="83">
        <v>-3505.29</v>
      </c>
      <c r="H38" s="81">
        <v>567.777</v>
      </c>
      <c r="I38" s="82">
        <v>4286.463</v>
      </c>
      <c r="J38" s="83">
        <v>-3718.686</v>
      </c>
      <c r="K38" s="81">
        <v>505.44</v>
      </c>
      <c r="L38" s="82">
        <v>4204.367</v>
      </c>
      <c r="M38" s="83">
        <v>-3698.927</v>
      </c>
      <c r="N38" s="81">
        <v>508.247</v>
      </c>
      <c r="O38" s="82">
        <v>4502.458</v>
      </c>
      <c r="P38" s="83">
        <v>-3994.211</v>
      </c>
      <c r="Q38" s="81">
        <v>584.905</v>
      </c>
      <c r="R38" s="82">
        <v>4280.225</v>
      </c>
      <c r="S38" s="83">
        <v>-3695.32</v>
      </c>
      <c r="T38" s="81">
        <v>614.878</v>
      </c>
      <c r="U38" s="82">
        <v>4176.765</v>
      </c>
      <c r="V38" s="83">
        <v>-3561.887</v>
      </c>
      <c r="W38" s="81">
        <v>704.199</v>
      </c>
      <c r="X38" s="82">
        <v>3474.4</v>
      </c>
      <c r="Y38" s="83">
        <v>-2770.201</v>
      </c>
      <c r="Z38" s="81">
        <v>687.752</v>
      </c>
      <c r="AA38" s="82">
        <v>4286.91</v>
      </c>
      <c r="AB38" s="83">
        <v>-3599.158</v>
      </c>
      <c r="AC38" s="81">
        <v>938.111</v>
      </c>
      <c r="AD38" s="82">
        <v>4758.96</v>
      </c>
      <c r="AE38" s="83">
        <v>-3820.849</v>
      </c>
      <c r="AF38" s="81">
        <v>687.228</v>
      </c>
      <c r="AG38" s="82">
        <v>4619.779</v>
      </c>
      <c r="AH38" s="83">
        <v>-3932.551</v>
      </c>
      <c r="AI38" s="81">
        <v>863.592</v>
      </c>
      <c r="AJ38" s="82">
        <v>4602.024</v>
      </c>
      <c r="AK38" s="83">
        <v>-3738.432</v>
      </c>
      <c r="AL38" s="81">
        <v>757.565</v>
      </c>
      <c r="AM38" s="82">
        <v>4387.996</v>
      </c>
      <c r="AN38" s="83">
        <v>-3630.431</v>
      </c>
      <c r="AO38" s="81">
        <v>916.275</v>
      </c>
      <c r="AP38" s="82">
        <v>3919.276</v>
      </c>
      <c r="AQ38" s="83">
        <v>-3003.001</v>
      </c>
      <c r="AR38" s="81">
        <v>1148.941</v>
      </c>
      <c r="AS38" s="82">
        <v>4500.331</v>
      </c>
      <c r="AT38" s="83">
        <v>-3351.39</v>
      </c>
      <c r="AU38" s="81">
        <v>1149.3548</v>
      </c>
      <c r="AV38" s="82">
        <v>3575.09</v>
      </c>
      <c r="AW38" s="83">
        <v>-2425.7352</v>
      </c>
      <c r="AX38" s="81">
        <v>1203.3578</v>
      </c>
      <c r="AY38" s="82">
        <v>4062.221</v>
      </c>
      <c r="AZ38" s="83">
        <v>-2858.8632</v>
      </c>
      <c r="BA38" s="81">
        <v>1731.7298</v>
      </c>
      <c r="BB38" s="82">
        <v>4552.166</v>
      </c>
      <c r="BC38" s="83">
        <v>-2820.4362</v>
      </c>
      <c r="BD38" s="81">
        <v>1509.5</v>
      </c>
      <c r="BE38" s="82">
        <v>3974.293</v>
      </c>
      <c r="BF38" s="83">
        <v>-2464.793</v>
      </c>
      <c r="BG38" s="81">
        <v>1612.268</v>
      </c>
      <c r="BH38" s="82">
        <v>3624.217</v>
      </c>
      <c r="BI38" s="83">
        <v>-2011.949</v>
      </c>
      <c r="BJ38" s="81">
        <v>1366.184</v>
      </c>
      <c r="BK38" s="82">
        <v>4198.831</v>
      </c>
      <c r="BL38" s="83">
        <v>-2832.647</v>
      </c>
      <c r="BM38" s="81">
        <v>1991.111</v>
      </c>
      <c r="BN38" s="82">
        <v>5134.25475</v>
      </c>
      <c r="BO38" s="83">
        <v>-3143.14375</v>
      </c>
      <c r="BP38" s="81">
        <v>3348.847</v>
      </c>
      <c r="BQ38" s="82">
        <v>5237.06679</v>
      </c>
      <c r="BR38" s="83">
        <v>-1888.21979</v>
      </c>
      <c r="BS38" s="81">
        <v>4456.55</v>
      </c>
      <c r="BT38" s="82">
        <v>4615.93341</v>
      </c>
      <c r="BU38" s="83">
        <v>-159.38341</v>
      </c>
      <c r="BV38" s="81">
        <v>4434.37446</v>
      </c>
      <c r="BW38" s="82">
        <v>4886.46687</v>
      </c>
      <c r="BX38" s="83">
        <v>-452.09241</v>
      </c>
      <c r="BY38" s="81">
        <v>4159.00255</v>
      </c>
      <c r="BZ38" s="82">
        <v>4656.31675</v>
      </c>
      <c r="CA38" s="83">
        <v>-497.3142</v>
      </c>
      <c r="CB38" s="81">
        <v>4037.90768</v>
      </c>
      <c r="CC38" s="82">
        <v>4873.58525</v>
      </c>
      <c r="CD38" s="83">
        <v>-835.67757</v>
      </c>
      <c r="CE38" s="81">
        <v>4700.68058</v>
      </c>
      <c r="CF38" s="82">
        <v>5813.34332</v>
      </c>
      <c r="CG38" s="83">
        <v>-1112.66274</v>
      </c>
      <c r="CH38" s="81">
        <v>4813.68608</v>
      </c>
      <c r="CI38" s="82">
        <v>5591.47749</v>
      </c>
      <c r="CJ38" s="83">
        <v>-777.79141</v>
      </c>
      <c r="CK38" s="81">
        <v>5261.09685</v>
      </c>
      <c r="CL38" s="82">
        <v>5279.1233</v>
      </c>
      <c r="CM38" s="83">
        <v>-18.0264499999994</v>
      </c>
      <c r="CN38" s="81">
        <v>5166.20627</v>
      </c>
      <c r="CO38" s="82">
        <v>4728.60137</v>
      </c>
      <c r="CP38" s="83">
        <v>437.604899999999</v>
      </c>
      <c r="CQ38" s="81">
        <v>5174.94427</v>
      </c>
      <c r="CR38" s="82">
        <v>4887.96957</v>
      </c>
      <c r="CS38" s="83">
        <v>286.9747</v>
      </c>
      <c r="CT38" s="81">
        <v>6302.3258</v>
      </c>
      <c r="CU38" s="82">
        <v>6242.66779</v>
      </c>
      <c r="CV38" s="83">
        <v>59.6580099999992</v>
      </c>
      <c r="CW38" s="81">
        <v>6286.40739</v>
      </c>
      <c r="CX38" s="82">
        <v>6612.66991</v>
      </c>
      <c r="CY38" s="83">
        <v>-326.262520000001</v>
      </c>
      <c r="CZ38" s="81">
        <v>5981.94369</v>
      </c>
      <c r="DA38" s="82">
        <v>5294.99657</v>
      </c>
      <c r="DB38" s="83">
        <v>686.94712</v>
      </c>
      <c r="DC38" s="81">
        <v>6376.92076</v>
      </c>
      <c r="DD38" s="82">
        <v>6112.46937</v>
      </c>
      <c r="DE38" s="83">
        <v>264.45139</v>
      </c>
      <c r="DF38" s="81">
        <v>6118.09494</v>
      </c>
      <c r="DG38" s="82">
        <v>6814.92262</v>
      </c>
      <c r="DH38" s="83">
        <v>-696.827679999999</v>
      </c>
    </row>
    <row r="39" spans="1:112">
      <c r="A39" s="84" t="s">
        <v>418</v>
      </c>
      <c r="B39" s="81">
        <v>0</v>
      </c>
      <c r="C39" s="82">
        <v>329.686</v>
      </c>
      <c r="D39" s="83">
        <v>-329.686</v>
      </c>
      <c r="E39" s="81">
        <v>0</v>
      </c>
      <c r="F39" s="82">
        <v>448.439</v>
      </c>
      <c r="G39" s="83">
        <v>-448.439</v>
      </c>
      <c r="H39" s="81">
        <v>0.0172924177144699</v>
      </c>
      <c r="I39" s="82">
        <v>608.787</v>
      </c>
      <c r="J39" s="83">
        <v>-608.769707582286</v>
      </c>
      <c r="K39" s="81">
        <v>0.0177534378479222</v>
      </c>
      <c r="L39" s="82">
        <v>1000.354</v>
      </c>
      <c r="M39" s="83">
        <v>-1000.33624656215</v>
      </c>
      <c r="N39" s="81">
        <v>0.0185353900285885</v>
      </c>
      <c r="O39" s="82">
        <v>881.104</v>
      </c>
      <c r="P39" s="83">
        <v>-881.085464609971</v>
      </c>
      <c r="Q39" s="81">
        <v>0</v>
      </c>
      <c r="R39" s="82">
        <v>687.956</v>
      </c>
      <c r="S39" s="83">
        <v>-687.956</v>
      </c>
      <c r="T39" s="81">
        <v>0</v>
      </c>
      <c r="U39" s="82">
        <v>672.643</v>
      </c>
      <c r="V39" s="83">
        <v>-672.643</v>
      </c>
      <c r="W39" s="81">
        <v>0</v>
      </c>
      <c r="X39" s="82">
        <v>723.021</v>
      </c>
      <c r="Y39" s="83">
        <v>-723.021</v>
      </c>
      <c r="Z39" s="81">
        <v>0</v>
      </c>
      <c r="AA39" s="82">
        <v>920.231</v>
      </c>
      <c r="AB39" s="83">
        <v>-920.231</v>
      </c>
      <c r="AC39" s="81">
        <v>0</v>
      </c>
      <c r="AD39" s="82">
        <v>946.372</v>
      </c>
      <c r="AE39" s="83">
        <v>-946.372</v>
      </c>
      <c r="AF39" s="81">
        <v>0</v>
      </c>
      <c r="AG39" s="82">
        <v>855.285</v>
      </c>
      <c r="AH39" s="83">
        <v>-855.285</v>
      </c>
      <c r="AI39" s="81">
        <v>0</v>
      </c>
      <c r="AJ39" s="82">
        <v>945.911</v>
      </c>
      <c r="AK39" s="83">
        <v>-945.911</v>
      </c>
      <c r="AL39" s="81">
        <v>0</v>
      </c>
      <c r="AM39" s="82">
        <v>649.967</v>
      </c>
      <c r="AN39" s="83">
        <v>-649.967</v>
      </c>
      <c r="AO39" s="81">
        <v>0</v>
      </c>
      <c r="AP39" s="82">
        <v>54.995</v>
      </c>
      <c r="AQ39" s="83">
        <v>-54.995</v>
      </c>
      <c r="AR39" s="81">
        <v>0</v>
      </c>
      <c r="AS39" s="82">
        <v>0</v>
      </c>
      <c r="AT39" s="83">
        <v>0</v>
      </c>
      <c r="AU39" s="81">
        <v>0</v>
      </c>
      <c r="AV39" s="82">
        <v>0</v>
      </c>
      <c r="AW39" s="83">
        <v>0</v>
      </c>
      <c r="AX39" s="81">
        <v>0</v>
      </c>
      <c r="AY39" s="82">
        <v>0</v>
      </c>
      <c r="AZ39" s="83">
        <v>0</v>
      </c>
      <c r="BA39" s="81">
        <v>0</v>
      </c>
      <c r="BB39" s="82">
        <v>73.994</v>
      </c>
      <c r="BC39" s="83">
        <v>-73.994</v>
      </c>
      <c r="BD39" s="81">
        <v>0</v>
      </c>
      <c r="BE39" s="82">
        <v>99.042</v>
      </c>
      <c r="BF39" s="83">
        <v>-99.042</v>
      </c>
      <c r="BG39" s="81">
        <v>0</v>
      </c>
      <c r="BH39" s="82">
        <v>186.437</v>
      </c>
      <c r="BI39" s="83">
        <v>-186.437</v>
      </c>
      <c r="BJ39" s="81">
        <v>0</v>
      </c>
      <c r="BK39" s="82">
        <v>187.57</v>
      </c>
      <c r="BL39" s="83">
        <v>-187.57</v>
      </c>
      <c r="BM39" s="81">
        <v>0</v>
      </c>
      <c r="BN39" s="82">
        <v>165.52</v>
      </c>
      <c r="BO39" s="83">
        <v>-165.52</v>
      </c>
      <c r="BP39" s="81">
        <v>0</v>
      </c>
      <c r="BQ39" s="82">
        <v>45.952</v>
      </c>
      <c r="BR39" s="83">
        <v>-45.952</v>
      </c>
      <c r="BS39" s="81">
        <v>0</v>
      </c>
      <c r="BT39" s="82">
        <v>0</v>
      </c>
      <c r="BU39" s="83">
        <v>0</v>
      </c>
      <c r="BV39" s="81">
        <v>0</v>
      </c>
      <c r="BW39" s="82">
        <v>0</v>
      </c>
      <c r="BX39" s="83">
        <v>0</v>
      </c>
      <c r="BY39" s="81">
        <v>0</v>
      </c>
      <c r="BZ39" s="82">
        <v>0</v>
      </c>
      <c r="CA39" s="83">
        <v>0</v>
      </c>
      <c r="CB39" s="81">
        <v>0</v>
      </c>
      <c r="CC39" s="82">
        <v>0</v>
      </c>
      <c r="CD39" s="83">
        <v>0</v>
      </c>
      <c r="CE39" s="81">
        <v>0</v>
      </c>
      <c r="CF39" s="82">
        <v>0</v>
      </c>
      <c r="CG39" s="83">
        <v>0</v>
      </c>
      <c r="CH39" s="81">
        <v>0</v>
      </c>
      <c r="CI39" s="82">
        <v>0</v>
      </c>
      <c r="CJ39" s="83">
        <v>0</v>
      </c>
      <c r="CK39" s="81">
        <v>0</v>
      </c>
      <c r="CL39" s="82">
        <v>0</v>
      </c>
      <c r="CM39" s="83">
        <v>0</v>
      </c>
      <c r="CN39" s="81">
        <v>0.012875</v>
      </c>
      <c r="CO39" s="82">
        <v>0</v>
      </c>
      <c r="CP39" s="83">
        <v>0.012875</v>
      </c>
      <c r="CQ39" s="81">
        <v>2.82182853626074</v>
      </c>
      <c r="CR39" s="82">
        <v>0</v>
      </c>
      <c r="CS39" s="83">
        <v>2.82182853626074</v>
      </c>
      <c r="CT39" s="81">
        <v>4.32638</v>
      </c>
      <c r="CU39" s="82">
        <v>0</v>
      </c>
      <c r="CV39" s="83">
        <v>4.32638</v>
      </c>
      <c r="CW39" s="81">
        <v>9.02348</v>
      </c>
      <c r="CX39" s="82">
        <v>13.962</v>
      </c>
      <c r="CY39" s="83">
        <v>-4.93852</v>
      </c>
      <c r="CZ39" s="81">
        <v>11.1252726988316</v>
      </c>
      <c r="DA39" s="82">
        <v>54.693</v>
      </c>
      <c r="DB39" s="83">
        <v>-43.5677273011684</v>
      </c>
      <c r="DC39" s="81">
        <v>10.1370809238234</v>
      </c>
      <c r="DD39" s="82">
        <v>162.909</v>
      </c>
      <c r="DE39" s="83">
        <v>-152.771919076177</v>
      </c>
      <c r="DF39" s="81">
        <v>30.1104989067471</v>
      </c>
      <c r="DG39" s="82">
        <v>182.579</v>
      </c>
      <c r="DH39" s="83">
        <v>-152.468501093253</v>
      </c>
    </row>
    <row r="40" spans="1:112">
      <c r="A40" s="84" t="s">
        <v>173</v>
      </c>
      <c r="B40" s="81">
        <v>85.948</v>
      </c>
      <c r="C40" s="82">
        <v>33.862</v>
      </c>
      <c r="D40" s="83">
        <v>52.086</v>
      </c>
      <c r="E40" s="81">
        <v>92.911</v>
      </c>
      <c r="F40" s="82">
        <v>23.06</v>
      </c>
      <c r="G40" s="83">
        <v>69.851</v>
      </c>
      <c r="H40" s="81">
        <v>88.155</v>
      </c>
      <c r="I40" s="82">
        <v>44.3921342360561</v>
      </c>
      <c r="J40" s="83">
        <v>43.7628657639439</v>
      </c>
      <c r="K40" s="81">
        <v>116.652</v>
      </c>
      <c r="L40" s="82">
        <v>46.6249876628652</v>
      </c>
      <c r="M40" s="83">
        <v>70.0270123371348</v>
      </c>
      <c r="N40" s="81">
        <v>110.482</v>
      </c>
      <c r="O40" s="82">
        <v>46.2003136250827</v>
      </c>
      <c r="P40" s="83">
        <v>64.2816863749173</v>
      </c>
      <c r="Q40" s="81">
        <v>160.858</v>
      </c>
      <c r="R40" s="82">
        <v>49.2143547554826</v>
      </c>
      <c r="S40" s="83">
        <v>111.643645244517</v>
      </c>
      <c r="T40" s="81">
        <v>165.559</v>
      </c>
      <c r="U40" s="82">
        <v>59.1957376236528</v>
      </c>
      <c r="V40" s="83">
        <v>106.363262376347</v>
      </c>
      <c r="W40" s="81">
        <v>132.063</v>
      </c>
      <c r="X40" s="82">
        <v>75.788741749618</v>
      </c>
      <c r="Y40" s="83">
        <v>56.274258250382</v>
      </c>
      <c r="Z40" s="81">
        <v>101.838</v>
      </c>
      <c r="AA40" s="82">
        <v>61.7312588148614</v>
      </c>
      <c r="AB40" s="83">
        <v>40.1067411851385</v>
      </c>
      <c r="AC40" s="81">
        <v>25.957</v>
      </c>
      <c r="AD40" s="82">
        <v>60.9532644206764</v>
      </c>
      <c r="AE40" s="83">
        <v>-34.9962644206764</v>
      </c>
      <c r="AF40" s="81">
        <v>33.66</v>
      </c>
      <c r="AG40" s="82">
        <v>55.3220950539962</v>
      </c>
      <c r="AH40" s="83">
        <v>-21.6620950539962</v>
      </c>
      <c r="AI40" s="81">
        <v>95.479</v>
      </c>
      <c r="AJ40" s="82">
        <v>42.0972833581642</v>
      </c>
      <c r="AK40" s="83">
        <v>53.3817166418358</v>
      </c>
      <c r="AL40" s="81">
        <v>30.741</v>
      </c>
      <c r="AM40" s="82">
        <v>99.768</v>
      </c>
      <c r="AN40" s="83">
        <v>-69.027</v>
      </c>
      <c r="AO40" s="81">
        <v>61.818</v>
      </c>
      <c r="AP40" s="82">
        <v>89.326</v>
      </c>
      <c r="AQ40" s="83">
        <v>-27.508</v>
      </c>
      <c r="AR40" s="81">
        <v>0.435</v>
      </c>
      <c r="AS40" s="82">
        <v>98.999</v>
      </c>
      <c r="AT40" s="83">
        <v>-98.564</v>
      </c>
      <c r="AU40" s="81">
        <v>23.938</v>
      </c>
      <c r="AV40" s="82">
        <v>163.53</v>
      </c>
      <c r="AW40" s="83">
        <v>-139.592</v>
      </c>
      <c r="AX40" s="81">
        <v>80.45</v>
      </c>
      <c r="AY40" s="82">
        <v>132.748</v>
      </c>
      <c r="AZ40" s="83">
        <v>-52.298</v>
      </c>
      <c r="BA40" s="81">
        <v>194.085</v>
      </c>
      <c r="BB40" s="82">
        <v>114.826</v>
      </c>
      <c r="BC40" s="83">
        <v>79.259</v>
      </c>
      <c r="BD40" s="81">
        <v>210.675</v>
      </c>
      <c r="BE40" s="82">
        <v>190.881</v>
      </c>
      <c r="BF40" s="83">
        <v>19.794</v>
      </c>
      <c r="BG40" s="81">
        <v>9.266</v>
      </c>
      <c r="BH40" s="82">
        <v>189.42</v>
      </c>
      <c r="BI40" s="83">
        <v>-180.154</v>
      </c>
      <c r="BJ40" s="81">
        <v>1022.07702</v>
      </c>
      <c r="BK40" s="82">
        <v>1392.315</v>
      </c>
      <c r="BL40" s="83">
        <v>-370.23798</v>
      </c>
      <c r="BM40" s="81">
        <v>987.31833</v>
      </c>
      <c r="BN40" s="82">
        <v>812.91638</v>
      </c>
      <c r="BO40" s="83">
        <v>174.40195</v>
      </c>
      <c r="BP40" s="81">
        <v>555.83132</v>
      </c>
      <c r="BQ40" s="82">
        <v>369.16098</v>
      </c>
      <c r="BR40" s="83">
        <v>186.67034</v>
      </c>
      <c r="BS40" s="81">
        <v>797.594</v>
      </c>
      <c r="BT40" s="82">
        <v>423.364855636356</v>
      </c>
      <c r="BU40" s="83">
        <v>374.229144363644</v>
      </c>
      <c r="BV40" s="81">
        <v>1120.2</v>
      </c>
      <c r="BW40" s="82">
        <v>800.96512</v>
      </c>
      <c r="BX40" s="83">
        <v>319.23488</v>
      </c>
      <c r="BY40" s="81">
        <v>569.724</v>
      </c>
      <c r="BZ40" s="82">
        <v>376.09963</v>
      </c>
      <c r="CA40" s="83">
        <v>193.62437</v>
      </c>
      <c r="CB40" s="81">
        <v>766.559</v>
      </c>
      <c r="CC40" s="82">
        <v>561.91126</v>
      </c>
      <c r="CD40" s="83">
        <v>204.64774</v>
      </c>
      <c r="CE40" s="81">
        <v>743.707</v>
      </c>
      <c r="CF40" s="82">
        <v>451.73473</v>
      </c>
      <c r="CG40" s="83">
        <v>291.97227</v>
      </c>
      <c r="CH40" s="81">
        <v>1108.136</v>
      </c>
      <c r="CI40" s="82">
        <v>491.82974</v>
      </c>
      <c r="CJ40" s="83">
        <v>616.30626</v>
      </c>
      <c r="CK40" s="81">
        <v>1843.54</v>
      </c>
      <c r="CL40" s="82">
        <v>483.807674934427</v>
      </c>
      <c r="CM40" s="83">
        <v>1359.73232506557</v>
      </c>
      <c r="CN40" s="81">
        <v>2287.391</v>
      </c>
      <c r="CO40" s="82">
        <v>467.52758</v>
      </c>
      <c r="CP40" s="83">
        <v>1819.86342</v>
      </c>
      <c r="CQ40" s="81">
        <v>1045.408</v>
      </c>
      <c r="CR40" s="82">
        <v>667.02867</v>
      </c>
      <c r="CS40" s="83">
        <v>378.37933</v>
      </c>
      <c r="CT40" s="81">
        <v>1040.001</v>
      </c>
      <c r="CU40" s="82">
        <v>707.42515</v>
      </c>
      <c r="CV40" s="83">
        <v>332.57585</v>
      </c>
      <c r="CW40" s="81">
        <v>841.939</v>
      </c>
      <c r="CX40" s="82">
        <v>589.94343</v>
      </c>
      <c r="CY40" s="83">
        <v>251.99557</v>
      </c>
      <c r="CZ40" s="81">
        <v>825.090327122719</v>
      </c>
      <c r="DA40" s="82">
        <v>436.25046</v>
      </c>
      <c r="DB40" s="83">
        <v>388.839867122719</v>
      </c>
      <c r="DC40" s="81">
        <v>785.032</v>
      </c>
      <c r="DD40" s="82">
        <v>372.03215</v>
      </c>
      <c r="DE40" s="83">
        <v>412.99985</v>
      </c>
      <c r="DF40" s="81">
        <v>2201.99</v>
      </c>
      <c r="DG40" s="82">
        <v>420.11431</v>
      </c>
      <c r="DH40" s="83">
        <v>1781.87569</v>
      </c>
    </row>
    <row r="41" spans="1:112">
      <c r="A41" s="84" t="s">
        <v>174</v>
      </c>
      <c r="B41" s="81">
        <v>0</v>
      </c>
      <c r="C41" s="82">
        <v>0</v>
      </c>
      <c r="D41" s="83">
        <v>0</v>
      </c>
      <c r="E41" s="81">
        <v>0</v>
      </c>
      <c r="F41" s="82">
        <v>0</v>
      </c>
      <c r="G41" s="83">
        <v>0</v>
      </c>
      <c r="H41" s="81">
        <v>0</v>
      </c>
      <c r="I41" s="82">
        <v>0</v>
      </c>
      <c r="J41" s="83">
        <v>0</v>
      </c>
      <c r="K41" s="81">
        <v>0</v>
      </c>
      <c r="L41" s="82">
        <v>0</v>
      </c>
      <c r="M41" s="83">
        <v>0</v>
      </c>
      <c r="N41" s="81">
        <v>0</v>
      </c>
      <c r="O41" s="82">
        <v>0</v>
      </c>
      <c r="P41" s="83">
        <v>0</v>
      </c>
      <c r="Q41" s="81">
        <v>0</v>
      </c>
      <c r="R41" s="82">
        <v>0</v>
      </c>
      <c r="S41" s="83">
        <v>0</v>
      </c>
      <c r="T41" s="81">
        <v>0</v>
      </c>
      <c r="U41" s="82">
        <v>0</v>
      </c>
      <c r="V41" s="83">
        <v>0</v>
      </c>
      <c r="W41" s="81">
        <v>0</v>
      </c>
      <c r="X41" s="82">
        <v>0</v>
      </c>
      <c r="Y41" s="83">
        <v>0</v>
      </c>
      <c r="Z41" s="81">
        <v>0</v>
      </c>
      <c r="AA41" s="82">
        <v>0</v>
      </c>
      <c r="AB41" s="83">
        <v>0</v>
      </c>
      <c r="AC41" s="81">
        <v>0</v>
      </c>
      <c r="AD41" s="82">
        <v>0</v>
      </c>
      <c r="AE41" s="83">
        <v>0</v>
      </c>
      <c r="AF41" s="81">
        <v>0</v>
      </c>
      <c r="AG41" s="82">
        <v>0</v>
      </c>
      <c r="AH41" s="83">
        <v>0</v>
      </c>
      <c r="AI41" s="81">
        <v>0</v>
      </c>
      <c r="AJ41" s="82">
        <v>0</v>
      </c>
      <c r="AK41" s="83">
        <v>0</v>
      </c>
      <c r="AL41" s="81">
        <v>0</v>
      </c>
      <c r="AM41" s="82">
        <v>0</v>
      </c>
      <c r="AN41" s="83">
        <v>0</v>
      </c>
      <c r="AO41" s="81">
        <v>0</v>
      </c>
      <c r="AP41" s="82">
        <v>0</v>
      </c>
      <c r="AQ41" s="83">
        <v>0</v>
      </c>
      <c r="AR41" s="81">
        <v>0</v>
      </c>
      <c r="AS41" s="82">
        <v>0</v>
      </c>
      <c r="AT41" s="83">
        <v>0</v>
      </c>
      <c r="AU41" s="81">
        <v>0</v>
      </c>
      <c r="AV41" s="82">
        <v>0</v>
      </c>
      <c r="AW41" s="83">
        <v>0</v>
      </c>
      <c r="AX41" s="81">
        <v>0</v>
      </c>
      <c r="AY41" s="82">
        <v>0</v>
      </c>
      <c r="AZ41" s="83">
        <v>0</v>
      </c>
      <c r="BA41" s="81">
        <v>0</v>
      </c>
      <c r="BB41" s="82">
        <v>0</v>
      </c>
      <c r="BC41" s="83">
        <v>0</v>
      </c>
      <c r="BD41" s="81">
        <v>0</v>
      </c>
      <c r="BE41" s="82">
        <v>0</v>
      </c>
      <c r="BF41" s="83">
        <v>0</v>
      </c>
      <c r="BG41" s="81">
        <v>0</v>
      </c>
      <c r="BH41" s="82">
        <v>0</v>
      </c>
      <c r="BI41" s="83">
        <v>0</v>
      </c>
      <c r="BJ41" s="81">
        <v>0</v>
      </c>
      <c r="BK41" s="82">
        <v>0</v>
      </c>
      <c r="BL41" s="83">
        <v>0</v>
      </c>
      <c r="BM41" s="81">
        <v>0</v>
      </c>
      <c r="BN41" s="82">
        <v>0</v>
      </c>
      <c r="BO41" s="83">
        <v>0</v>
      </c>
      <c r="BP41" s="81">
        <v>0</v>
      </c>
      <c r="BQ41" s="82">
        <v>0</v>
      </c>
      <c r="BR41" s="83">
        <v>0</v>
      </c>
      <c r="BS41" s="81">
        <v>0</v>
      </c>
      <c r="BT41" s="82">
        <v>0</v>
      </c>
      <c r="BU41" s="83">
        <v>0</v>
      </c>
      <c r="BV41" s="81">
        <v>0</v>
      </c>
      <c r="BW41" s="82">
        <v>0</v>
      </c>
      <c r="BX41" s="83">
        <v>0</v>
      </c>
      <c r="BY41" s="81">
        <v>0</v>
      </c>
      <c r="BZ41" s="82">
        <v>0</v>
      </c>
      <c r="CA41" s="83">
        <v>0</v>
      </c>
      <c r="CB41" s="81">
        <v>0</v>
      </c>
      <c r="CC41" s="82">
        <v>0</v>
      </c>
      <c r="CD41" s="83">
        <v>0</v>
      </c>
      <c r="CE41" s="81">
        <v>0</v>
      </c>
      <c r="CF41" s="82">
        <v>0</v>
      </c>
      <c r="CG41" s="83">
        <v>0</v>
      </c>
      <c r="CH41" s="81">
        <v>0</v>
      </c>
      <c r="CI41" s="82">
        <v>0</v>
      </c>
      <c r="CJ41" s="83">
        <v>0</v>
      </c>
      <c r="CK41" s="81">
        <v>0</v>
      </c>
      <c r="CL41" s="82">
        <v>0</v>
      </c>
      <c r="CM41" s="83">
        <v>0</v>
      </c>
      <c r="CN41" s="81">
        <v>0</v>
      </c>
      <c r="CO41" s="82">
        <v>0</v>
      </c>
      <c r="CP41" s="83">
        <v>0</v>
      </c>
      <c r="CQ41" s="81">
        <v>0</v>
      </c>
      <c r="CR41" s="82">
        <v>0</v>
      </c>
      <c r="CS41" s="83">
        <v>0</v>
      </c>
      <c r="CT41" s="81">
        <v>0</v>
      </c>
      <c r="CU41" s="82">
        <v>0</v>
      </c>
      <c r="CV41" s="83">
        <v>0</v>
      </c>
      <c r="CW41" s="81">
        <v>0</v>
      </c>
      <c r="CX41" s="82">
        <v>0</v>
      </c>
      <c r="CY41" s="83">
        <v>0</v>
      </c>
      <c r="CZ41" s="81">
        <v>0</v>
      </c>
      <c r="DA41" s="82">
        <v>0</v>
      </c>
      <c r="DB41" s="83">
        <v>0</v>
      </c>
      <c r="DC41" s="81">
        <v>0</v>
      </c>
      <c r="DD41" s="82">
        <v>0</v>
      </c>
      <c r="DE41" s="83">
        <v>0</v>
      </c>
      <c r="DF41" s="81">
        <v>0</v>
      </c>
      <c r="DG41" s="82">
        <v>0</v>
      </c>
      <c r="DH41" s="83">
        <v>0</v>
      </c>
    </row>
    <row r="42" spans="1:112">
      <c r="A42" s="80" t="s">
        <v>419</v>
      </c>
      <c r="B42" s="81">
        <v>45.066</v>
      </c>
      <c r="C42" s="82">
        <v>103.282</v>
      </c>
      <c r="D42" s="83">
        <v>-58.216</v>
      </c>
      <c r="E42" s="81">
        <v>73.181</v>
      </c>
      <c r="F42" s="82">
        <v>180.551</v>
      </c>
      <c r="G42" s="83">
        <v>-107.37</v>
      </c>
      <c r="H42" s="81">
        <v>115.076</v>
      </c>
      <c r="I42" s="82">
        <v>270.573</v>
      </c>
      <c r="J42" s="83">
        <v>-155.497</v>
      </c>
      <c r="K42" s="81">
        <v>79.456</v>
      </c>
      <c r="L42" s="82">
        <v>109.361</v>
      </c>
      <c r="M42" s="83">
        <v>-29.905</v>
      </c>
      <c r="N42" s="81">
        <v>96.036</v>
      </c>
      <c r="O42" s="82">
        <v>117.324</v>
      </c>
      <c r="P42" s="83">
        <v>-21.288</v>
      </c>
      <c r="Q42" s="81">
        <v>111.785</v>
      </c>
      <c r="R42" s="82">
        <v>131.175</v>
      </c>
      <c r="S42" s="83">
        <v>-19.39</v>
      </c>
      <c r="T42" s="81">
        <v>174.584</v>
      </c>
      <c r="U42" s="82">
        <v>190.817</v>
      </c>
      <c r="V42" s="83">
        <v>-16.233</v>
      </c>
      <c r="W42" s="81">
        <v>160.793</v>
      </c>
      <c r="X42" s="82">
        <v>149.913</v>
      </c>
      <c r="Y42" s="83">
        <v>10.88</v>
      </c>
      <c r="Z42" s="81">
        <v>418.539</v>
      </c>
      <c r="AA42" s="82">
        <v>280.252</v>
      </c>
      <c r="AB42" s="83">
        <v>138.287</v>
      </c>
      <c r="AC42" s="81">
        <v>223.992</v>
      </c>
      <c r="AD42" s="82">
        <v>233.205</v>
      </c>
      <c r="AE42" s="83">
        <v>-9.21300000000002</v>
      </c>
      <c r="AF42" s="81">
        <v>214.055</v>
      </c>
      <c r="AG42" s="82">
        <v>258.124</v>
      </c>
      <c r="AH42" s="83">
        <v>-44.069</v>
      </c>
      <c r="AI42" s="81">
        <v>138.588</v>
      </c>
      <c r="AJ42" s="82">
        <v>155.239</v>
      </c>
      <c r="AK42" s="83">
        <v>-16.651</v>
      </c>
      <c r="AL42" s="81">
        <v>154.218</v>
      </c>
      <c r="AM42" s="82">
        <v>140.388</v>
      </c>
      <c r="AN42" s="83">
        <v>13.83</v>
      </c>
      <c r="AO42" s="81">
        <v>209.469</v>
      </c>
      <c r="AP42" s="82">
        <v>204.411</v>
      </c>
      <c r="AQ42" s="83">
        <v>5.05799999999999</v>
      </c>
      <c r="AR42" s="81">
        <v>224.054</v>
      </c>
      <c r="AS42" s="82">
        <v>177.947</v>
      </c>
      <c r="AT42" s="83">
        <v>46.107</v>
      </c>
      <c r="AU42" s="81">
        <v>139.121</v>
      </c>
      <c r="AV42" s="82">
        <v>95.367</v>
      </c>
      <c r="AW42" s="83">
        <v>43.754</v>
      </c>
      <c r="AX42" s="81">
        <v>278.912</v>
      </c>
      <c r="AY42" s="82">
        <v>238.191</v>
      </c>
      <c r="AZ42" s="83">
        <v>40.721</v>
      </c>
      <c r="BA42" s="81">
        <v>278.923</v>
      </c>
      <c r="BB42" s="82">
        <v>249.526</v>
      </c>
      <c r="BC42" s="83">
        <v>29.397</v>
      </c>
      <c r="BD42" s="81">
        <v>254.863</v>
      </c>
      <c r="BE42" s="82">
        <v>219.768</v>
      </c>
      <c r="BF42" s="83">
        <v>35.095</v>
      </c>
      <c r="BG42" s="81">
        <v>216.176</v>
      </c>
      <c r="BH42" s="82">
        <v>192.062</v>
      </c>
      <c r="BI42" s="83">
        <v>24.114</v>
      </c>
      <c r="BJ42" s="81">
        <v>271.199</v>
      </c>
      <c r="BK42" s="82">
        <v>336.439</v>
      </c>
      <c r="BL42" s="83">
        <v>-65.24</v>
      </c>
      <c r="BM42" s="81">
        <v>430.62877</v>
      </c>
      <c r="BN42" s="82">
        <v>331.59433</v>
      </c>
      <c r="BO42" s="83">
        <v>99.03444</v>
      </c>
      <c r="BP42" s="81">
        <v>294.407250216043</v>
      </c>
      <c r="BQ42" s="82">
        <v>310.8674</v>
      </c>
      <c r="BR42" s="83">
        <v>-16.4601497839568</v>
      </c>
      <c r="BS42" s="81">
        <v>404.14994</v>
      </c>
      <c r="BT42" s="82">
        <v>390.85966</v>
      </c>
      <c r="BU42" s="83">
        <v>13.2902800000001</v>
      </c>
      <c r="BV42" s="81">
        <v>449.62212</v>
      </c>
      <c r="BW42" s="82">
        <v>400.51866</v>
      </c>
      <c r="BX42" s="83">
        <v>49.10346</v>
      </c>
      <c r="BY42" s="81">
        <v>495.88074</v>
      </c>
      <c r="BZ42" s="82">
        <v>400.68536</v>
      </c>
      <c r="CA42" s="83">
        <v>95.19538</v>
      </c>
      <c r="CB42" s="81">
        <v>525.500307880161</v>
      </c>
      <c r="CC42" s="82">
        <v>416.28382</v>
      </c>
      <c r="CD42" s="83">
        <v>109.216487880161</v>
      </c>
      <c r="CE42" s="81">
        <v>889.02322</v>
      </c>
      <c r="CF42" s="82">
        <v>619.861</v>
      </c>
      <c r="CG42" s="83">
        <v>269.16222</v>
      </c>
      <c r="CH42" s="81">
        <v>1001.73445</v>
      </c>
      <c r="CI42" s="82">
        <v>505.608</v>
      </c>
      <c r="CJ42" s="83">
        <v>496.12645</v>
      </c>
      <c r="CK42" s="81">
        <v>856.97996</v>
      </c>
      <c r="CL42" s="82">
        <v>451.15</v>
      </c>
      <c r="CM42" s="83">
        <v>405.82996</v>
      </c>
      <c r="CN42" s="81">
        <v>930.61157</v>
      </c>
      <c r="CO42" s="82">
        <v>346.606</v>
      </c>
      <c r="CP42" s="83">
        <v>584.00557</v>
      </c>
      <c r="CQ42" s="81">
        <v>410.37133</v>
      </c>
      <c r="CR42" s="82">
        <v>361.07</v>
      </c>
      <c r="CS42" s="83">
        <v>49.30133</v>
      </c>
      <c r="CT42" s="81">
        <v>483.58018</v>
      </c>
      <c r="CU42" s="82">
        <v>404.038</v>
      </c>
      <c r="CV42" s="83">
        <v>79.54218</v>
      </c>
      <c r="CW42" s="81">
        <v>784.81537</v>
      </c>
      <c r="CX42" s="82">
        <v>462.453</v>
      </c>
      <c r="CY42" s="83">
        <v>322.36237</v>
      </c>
      <c r="CZ42" s="81">
        <v>629.87223</v>
      </c>
      <c r="DA42" s="82">
        <v>195.419</v>
      </c>
      <c r="DB42" s="83">
        <v>434.45323</v>
      </c>
      <c r="DC42" s="81">
        <v>754.81443</v>
      </c>
      <c r="DD42" s="82">
        <v>514.307</v>
      </c>
      <c r="DE42" s="83">
        <v>240.50743</v>
      </c>
      <c r="DF42" s="81">
        <v>702.47888</v>
      </c>
      <c r="DG42" s="82">
        <v>354.046</v>
      </c>
      <c r="DH42" s="83">
        <v>348.43288</v>
      </c>
    </row>
    <row r="43" s="52" customFormat="1" ht="15" spans="1:112">
      <c r="A43" s="86" t="s">
        <v>166</v>
      </c>
      <c r="B43" s="87">
        <v>6015.61749040359</v>
      </c>
      <c r="C43" s="88">
        <v>1435.793</v>
      </c>
      <c r="D43" s="89">
        <v>4579.82449040359</v>
      </c>
      <c r="E43" s="87">
        <v>5505.41042168406</v>
      </c>
      <c r="F43" s="88">
        <v>1469.014</v>
      </c>
      <c r="G43" s="89">
        <v>4036.39642168406</v>
      </c>
      <c r="H43" s="87">
        <v>5517.97763320912</v>
      </c>
      <c r="I43" s="88">
        <v>1598.02586576394</v>
      </c>
      <c r="J43" s="89">
        <v>3919.95176744518</v>
      </c>
      <c r="K43" s="87">
        <v>5800.30822869818</v>
      </c>
      <c r="L43" s="88">
        <v>1706.51395952818</v>
      </c>
      <c r="M43" s="89">
        <v>4093.79426917</v>
      </c>
      <c r="N43" s="72">
        <v>5219.01579869679</v>
      </c>
      <c r="O43" s="73">
        <v>1750.07868637492</v>
      </c>
      <c r="P43" s="74">
        <v>3468.93711232188</v>
      </c>
      <c r="Q43" s="72">
        <v>5209.71466989887</v>
      </c>
      <c r="R43" s="73">
        <v>1414.77864524452</v>
      </c>
      <c r="S43" s="74">
        <v>3794.93602465435</v>
      </c>
      <c r="T43" s="72">
        <v>4795.10390752756</v>
      </c>
      <c r="U43" s="73">
        <v>1400.14982766679</v>
      </c>
      <c r="V43" s="74">
        <v>3394.95407986077</v>
      </c>
      <c r="W43" s="72">
        <v>4754.97197492118</v>
      </c>
      <c r="X43" s="73">
        <v>1420.38025825038</v>
      </c>
      <c r="Y43" s="74">
        <v>3334.59171667079</v>
      </c>
      <c r="Z43" s="72">
        <v>4040.40694641779</v>
      </c>
      <c r="AA43" s="73">
        <v>1350.66674118514</v>
      </c>
      <c r="AB43" s="74">
        <v>2689.74020523265</v>
      </c>
      <c r="AC43" s="72">
        <v>3924.62183375921</v>
      </c>
      <c r="AD43" s="73">
        <v>1373.61673557932</v>
      </c>
      <c r="AE43" s="74">
        <v>2551.00509817988</v>
      </c>
      <c r="AF43" s="72">
        <v>3655.26046640778</v>
      </c>
      <c r="AG43" s="73">
        <v>1601.125904946</v>
      </c>
      <c r="AH43" s="74">
        <v>2054.13456146178</v>
      </c>
      <c r="AI43" s="72">
        <v>3720.46699383348</v>
      </c>
      <c r="AJ43" s="73">
        <v>2082.79971664184</v>
      </c>
      <c r="AK43" s="74">
        <v>1637.66727719165</v>
      </c>
      <c r="AL43" s="72">
        <v>3706.68624416951</v>
      </c>
      <c r="AM43" s="73">
        <v>1768.351</v>
      </c>
      <c r="AN43" s="74">
        <v>1938.33524416951</v>
      </c>
      <c r="AO43" s="72">
        <v>3880.49078722113</v>
      </c>
      <c r="AP43" s="73">
        <v>2044.259</v>
      </c>
      <c r="AQ43" s="74">
        <v>1836.23178722113</v>
      </c>
      <c r="AR43" s="72">
        <v>3680.04191754121</v>
      </c>
      <c r="AS43" s="73">
        <v>2088.408</v>
      </c>
      <c r="AT43" s="74">
        <v>1591.6339175412</v>
      </c>
      <c r="AU43" s="72">
        <v>3525.01506895857</v>
      </c>
      <c r="AV43" s="73">
        <v>2337.837</v>
      </c>
      <c r="AW43" s="74">
        <v>1187.17806895857</v>
      </c>
      <c r="AX43" s="72">
        <v>3416.03763669419</v>
      </c>
      <c r="AY43" s="73">
        <v>2495.972</v>
      </c>
      <c r="AZ43" s="74">
        <v>920.065636694195</v>
      </c>
      <c r="BA43" s="72">
        <v>3770.39860903738</v>
      </c>
      <c r="BB43" s="73">
        <v>3045.141</v>
      </c>
      <c r="BC43" s="74">
        <v>725.257609037379</v>
      </c>
      <c r="BD43" s="72">
        <v>3760.03014950779</v>
      </c>
      <c r="BE43" s="73">
        <v>3322.872</v>
      </c>
      <c r="BF43" s="74">
        <v>437.15814950779</v>
      </c>
      <c r="BG43" s="72">
        <v>3656.10955353032</v>
      </c>
      <c r="BH43" s="73">
        <v>3555.353</v>
      </c>
      <c r="BI43" s="74">
        <v>100.756553530324</v>
      </c>
      <c r="BJ43" s="72">
        <v>5565.83129210403</v>
      </c>
      <c r="BK43" s="73">
        <v>3345.526</v>
      </c>
      <c r="BL43" s="74">
        <v>2220.30529210403</v>
      </c>
      <c r="BM43" s="72">
        <v>6266.54154362868</v>
      </c>
      <c r="BN43" s="73">
        <v>3512.267</v>
      </c>
      <c r="BO43" s="74">
        <v>2754.27454362868</v>
      </c>
      <c r="BP43" s="72">
        <v>3807.24742619814</v>
      </c>
      <c r="BQ43" s="73">
        <v>3753.27323</v>
      </c>
      <c r="BR43" s="74">
        <v>53.9741961981408</v>
      </c>
      <c r="BS43" s="72">
        <v>4017.12622646691</v>
      </c>
      <c r="BT43" s="73">
        <v>4251.49909436364</v>
      </c>
      <c r="BU43" s="74">
        <v>-234.372867896735</v>
      </c>
      <c r="BV43" s="72">
        <v>4612.48559136194</v>
      </c>
      <c r="BW43" s="73">
        <v>4966.964</v>
      </c>
      <c r="BX43" s="74">
        <v>-354.478408638058</v>
      </c>
      <c r="BY43" s="72">
        <v>4937.97839121759</v>
      </c>
      <c r="BZ43" s="73">
        <v>5034.456</v>
      </c>
      <c r="CA43" s="74">
        <v>-96.4776087824057</v>
      </c>
      <c r="CB43" s="72">
        <v>5301.15248121426</v>
      </c>
      <c r="CC43" s="73">
        <v>5064.531</v>
      </c>
      <c r="CD43" s="74">
        <v>236.621481214263</v>
      </c>
      <c r="CE43" s="72">
        <v>4868.84136442571</v>
      </c>
      <c r="CF43" s="73">
        <v>5440.37588</v>
      </c>
      <c r="CG43" s="74">
        <v>-571.534515574285</v>
      </c>
      <c r="CH43" s="72">
        <v>5607.25607411342</v>
      </c>
      <c r="CI43" s="73">
        <v>5726.63109</v>
      </c>
      <c r="CJ43" s="74">
        <v>-119.375015886582</v>
      </c>
      <c r="CK43" s="72">
        <v>6361.45515887055</v>
      </c>
      <c r="CL43" s="73">
        <v>5791.03295506557</v>
      </c>
      <c r="CM43" s="74">
        <v>570.422203804979</v>
      </c>
      <c r="CN43" s="72">
        <v>6340.70867831643</v>
      </c>
      <c r="CO43" s="73">
        <v>5929.46723</v>
      </c>
      <c r="CP43" s="74">
        <v>411.241448316431</v>
      </c>
      <c r="CQ43" s="72">
        <v>6486.84792074933</v>
      </c>
      <c r="CR43" s="73">
        <v>5880.15738</v>
      </c>
      <c r="CS43" s="74">
        <v>606.690540749327</v>
      </c>
      <c r="CT43" s="72">
        <v>6739.788423384</v>
      </c>
      <c r="CU43" s="73">
        <v>6177.6094</v>
      </c>
      <c r="CV43" s="74">
        <v>562.179023384</v>
      </c>
      <c r="CW43" s="72">
        <v>7711.97203878285</v>
      </c>
      <c r="CX43" s="73">
        <v>6632.86634</v>
      </c>
      <c r="CY43" s="74">
        <v>1079.10569878285</v>
      </c>
      <c r="CZ43" s="72">
        <v>8529.30024338063</v>
      </c>
      <c r="DA43" s="73">
        <v>7265.48337</v>
      </c>
      <c r="DB43" s="74">
        <v>1263.81687338063</v>
      </c>
      <c r="DC43" s="72">
        <v>10360.5058964416</v>
      </c>
      <c r="DD43" s="73">
        <v>7646.56151</v>
      </c>
      <c r="DE43" s="74">
        <v>2713.94438644158</v>
      </c>
      <c r="DF43" s="72">
        <v>10099.4658261514</v>
      </c>
      <c r="DG43" s="73">
        <v>7455.15958</v>
      </c>
      <c r="DH43" s="74">
        <v>2644.30624615144</v>
      </c>
    </row>
    <row r="44" spans="1:112">
      <c r="A44" s="84" t="s">
        <v>171</v>
      </c>
      <c r="B44" s="81">
        <v>162.2</v>
      </c>
      <c r="C44" s="82">
        <v>47.098</v>
      </c>
      <c r="D44" s="83">
        <v>115.102</v>
      </c>
      <c r="E44" s="81">
        <v>171.421</v>
      </c>
      <c r="F44" s="82">
        <v>38.349</v>
      </c>
      <c r="G44" s="83">
        <v>133.072</v>
      </c>
      <c r="H44" s="81">
        <v>184.717</v>
      </c>
      <c r="I44" s="82">
        <v>99.629</v>
      </c>
      <c r="J44" s="83">
        <v>85.088</v>
      </c>
      <c r="K44" s="81">
        <v>193.41</v>
      </c>
      <c r="L44" s="82">
        <v>162.614</v>
      </c>
      <c r="M44" s="83">
        <v>30.796</v>
      </c>
      <c r="N44" s="81">
        <v>231.572</v>
      </c>
      <c r="O44" s="82">
        <v>165.491</v>
      </c>
      <c r="P44" s="83">
        <v>66.081</v>
      </c>
      <c r="Q44" s="81">
        <v>165.942</v>
      </c>
      <c r="R44" s="82">
        <v>155.812</v>
      </c>
      <c r="S44" s="83">
        <v>10.13</v>
      </c>
      <c r="T44" s="81">
        <v>165.69</v>
      </c>
      <c r="U44" s="82">
        <v>96.55</v>
      </c>
      <c r="V44" s="83">
        <v>69.14</v>
      </c>
      <c r="W44" s="81">
        <v>306.108</v>
      </c>
      <c r="X44" s="82">
        <v>74.489</v>
      </c>
      <c r="Y44" s="83">
        <v>231.619</v>
      </c>
      <c r="Z44" s="81">
        <v>246.787</v>
      </c>
      <c r="AA44" s="82">
        <v>85.689</v>
      </c>
      <c r="AB44" s="83">
        <v>161.098</v>
      </c>
      <c r="AC44" s="81">
        <v>209.669</v>
      </c>
      <c r="AD44" s="82">
        <v>87.677</v>
      </c>
      <c r="AE44" s="83">
        <v>121.992</v>
      </c>
      <c r="AF44" s="81">
        <v>224.303</v>
      </c>
      <c r="AG44" s="82">
        <v>95.338</v>
      </c>
      <c r="AH44" s="83">
        <v>128.965</v>
      </c>
      <c r="AI44" s="81">
        <v>237.435</v>
      </c>
      <c r="AJ44" s="82">
        <v>108.974</v>
      </c>
      <c r="AK44" s="83">
        <v>128.461</v>
      </c>
      <c r="AL44" s="81">
        <v>203.164</v>
      </c>
      <c r="AM44" s="82">
        <v>228.205</v>
      </c>
      <c r="AN44" s="83">
        <v>-25.041</v>
      </c>
      <c r="AO44" s="81">
        <v>256.232</v>
      </c>
      <c r="AP44" s="82">
        <v>208.907</v>
      </c>
      <c r="AQ44" s="83">
        <v>47.325</v>
      </c>
      <c r="AR44" s="81">
        <v>188.935</v>
      </c>
      <c r="AS44" s="82">
        <v>236.776</v>
      </c>
      <c r="AT44" s="83">
        <v>-47.841</v>
      </c>
      <c r="AU44" s="81">
        <v>244.042</v>
      </c>
      <c r="AV44" s="82">
        <v>290.364</v>
      </c>
      <c r="AW44" s="83">
        <v>-46.322</v>
      </c>
      <c r="AX44" s="81">
        <v>430.629</v>
      </c>
      <c r="AY44" s="82">
        <v>292.077</v>
      </c>
      <c r="AZ44" s="83">
        <v>138.552</v>
      </c>
      <c r="BA44" s="81">
        <v>350.881</v>
      </c>
      <c r="BB44" s="82">
        <v>333.474</v>
      </c>
      <c r="BC44" s="83">
        <v>17.407</v>
      </c>
      <c r="BD44" s="81">
        <v>255.252</v>
      </c>
      <c r="BE44" s="82">
        <v>300.636</v>
      </c>
      <c r="BF44" s="83">
        <v>-45.384</v>
      </c>
      <c r="BG44" s="81">
        <v>226.176</v>
      </c>
      <c r="BH44" s="82">
        <v>294.443</v>
      </c>
      <c r="BI44" s="83">
        <v>-68.267</v>
      </c>
      <c r="BJ44" s="81">
        <v>396.678</v>
      </c>
      <c r="BK44" s="82">
        <v>290.13</v>
      </c>
      <c r="BL44" s="83">
        <v>106.548</v>
      </c>
      <c r="BM44" s="81">
        <v>459.137</v>
      </c>
      <c r="BN44" s="82">
        <v>314.438</v>
      </c>
      <c r="BO44" s="83">
        <v>144.699</v>
      </c>
      <c r="BP44" s="81">
        <v>748.949</v>
      </c>
      <c r="BQ44" s="82">
        <v>301.102</v>
      </c>
      <c r="BR44" s="83">
        <v>447.847</v>
      </c>
      <c r="BS44" s="81">
        <v>1462.594</v>
      </c>
      <c r="BT44" s="82">
        <v>360.968</v>
      </c>
      <c r="BU44" s="83">
        <v>1101.626</v>
      </c>
      <c r="BV44" s="81">
        <v>2141.26633</v>
      </c>
      <c r="BW44" s="82">
        <v>401.046</v>
      </c>
      <c r="BX44" s="83">
        <v>1740.22033</v>
      </c>
      <c r="BY44" s="81">
        <v>2685.24112</v>
      </c>
      <c r="BZ44" s="82">
        <v>442.428</v>
      </c>
      <c r="CA44" s="83">
        <v>2242.81312</v>
      </c>
      <c r="CB44" s="81">
        <v>3158.69995</v>
      </c>
      <c r="CC44" s="82">
        <v>506.97</v>
      </c>
      <c r="CD44" s="83">
        <v>2651.72995</v>
      </c>
      <c r="CE44" s="81">
        <v>2811.0182</v>
      </c>
      <c r="CF44" s="82">
        <v>545.103</v>
      </c>
      <c r="CG44" s="83">
        <v>2265.9152</v>
      </c>
      <c r="CH44" s="81">
        <v>3630.09395</v>
      </c>
      <c r="CI44" s="82">
        <v>610.444</v>
      </c>
      <c r="CJ44" s="83">
        <v>3019.64995</v>
      </c>
      <c r="CK44" s="81">
        <v>3768.77</v>
      </c>
      <c r="CL44" s="82">
        <v>531.454</v>
      </c>
      <c r="CM44" s="83">
        <v>3237.316</v>
      </c>
      <c r="CN44" s="81">
        <v>3632.489</v>
      </c>
      <c r="CO44" s="82">
        <v>539.765</v>
      </c>
      <c r="CP44" s="83">
        <v>3092.724</v>
      </c>
      <c r="CQ44" s="81">
        <v>3041.689</v>
      </c>
      <c r="CR44" s="82">
        <v>572.683</v>
      </c>
      <c r="CS44" s="83">
        <v>2469.006</v>
      </c>
      <c r="CT44" s="81">
        <v>3078.295</v>
      </c>
      <c r="CU44" s="82">
        <v>588.018</v>
      </c>
      <c r="CV44" s="83">
        <v>2490.277</v>
      </c>
      <c r="CW44" s="81">
        <v>2758.371</v>
      </c>
      <c r="CX44" s="82">
        <v>570.091</v>
      </c>
      <c r="CY44" s="83">
        <v>2188.28</v>
      </c>
      <c r="CZ44" s="81">
        <v>2683.125</v>
      </c>
      <c r="DA44" s="82">
        <v>616.339</v>
      </c>
      <c r="DB44" s="83">
        <v>2066.786</v>
      </c>
      <c r="DC44" s="81">
        <v>2767.601</v>
      </c>
      <c r="DD44" s="82">
        <v>647.76</v>
      </c>
      <c r="DE44" s="83">
        <v>2119.841</v>
      </c>
      <c r="DF44" s="81">
        <v>2712.39</v>
      </c>
      <c r="DG44" s="82">
        <v>668.821</v>
      </c>
      <c r="DH44" s="83">
        <v>2043.569</v>
      </c>
    </row>
    <row r="45" spans="1:112">
      <c r="A45" s="84" t="s">
        <v>418</v>
      </c>
      <c r="B45" s="81">
        <v>3044.05749040359</v>
      </c>
      <c r="C45" s="82">
        <v>136.289</v>
      </c>
      <c r="D45" s="83">
        <v>2907.76849040359</v>
      </c>
      <c r="E45" s="81">
        <v>2567.90842168406</v>
      </c>
      <c r="F45" s="82">
        <v>189.638</v>
      </c>
      <c r="G45" s="83">
        <v>2378.27042168406</v>
      </c>
      <c r="H45" s="81">
        <v>2532.39963320912</v>
      </c>
      <c r="I45" s="82">
        <v>298.933</v>
      </c>
      <c r="J45" s="83">
        <v>2233.46663320912</v>
      </c>
      <c r="K45" s="81">
        <v>2780.76122869818</v>
      </c>
      <c r="L45" s="82">
        <v>383.791</v>
      </c>
      <c r="M45" s="83">
        <v>2396.97022869818</v>
      </c>
      <c r="N45" s="81">
        <v>2627.55879869679</v>
      </c>
      <c r="O45" s="82">
        <v>466.72</v>
      </c>
      <c r="P45" s="83">
        <v>2160.83879869679</v>
      </c>
      <c r="Q45" s="81">
        <v>2607.03566989887</v>
      </c>
      <c r="R45" s="82">
        <v>520.216</v>
      </c>
      <c r="S45" s="83">
        <v>2086.81966989887</v>
      </c>
      <c r="T45" s="81">
        <v>2577.01490752756</v>
      </c>
      <c r="U45" s="82">
        <v>592.846</v>
      </c>
      <c r="V45" s="83">
        <v>1984.16890752756</v>
      </c>
      <c r="W45" s="81">
        <v>2441.92897492118</v>
      </c>
      <c r="X45" s="82">
        <v>616.668</v>
      </c>
      <c r="Y45" s="83">
        <v>1825.26097492118</v>
      </c>
      <c r="Z45" s="81">
        <v>2154.79184226779</v>
      </c>
      <c r="AA45" s="82">
        <v>538.252</v>
      </c>
      <c r="AB45" s="83">
        <v>1616.53984226779</v>
      </c>
      <c r="AC45" s="81">
        <v>2112.11572960921</v>
      </c>
      <c r="AD45" s="82">
        <v>588.607</v>
      </c>
      <c r="AE45" s="83">
        <v>1523.50872960921</v>
      </c>
      <c r="AF45" s="81">
        <v>2001.91436225778</v>
      </c>
      <c r="AG45" s="82">
        <v>702.865</v>
      </c>
      <c r="AH45" s="83">
        <v>1299.04936225778</v>
      </c>
      <c r="AI45" s="81">
        <v>1875.85288968348</v>
      </c>
      <c r="AJ45" s="82">
        <v>1140.542</v>
      </c>
      <c r="AK45" s="83">
        <v>735.310889683482</v>
      </c>
      <c r="AL45" s="81">
        <v>1870.77214001951</v>
      </c>
      <c r="AM45" s="82">
        <v>763.093</v>
      </c>
      <c r="AN45" s="83">
        <v>1107.67914001951</v>
      </c>
      <c r="AO45" s="81">
        <v>1841.19968307113</v>
      </c>
      <c r="AP45" s="82">
        <v>1030.236</v>
      </c>
      <c r="AQ45" s="83">
        <v>810.963683071126</v>
      </c>
      <c r="AR45" s="81">
        <v>1779.39381339121</v>
      </c>
      <c r="AS45" s="82">
        <v>1080.499</v>
      </c>
      <c r="AT45" s="83">
        <v>698.894813391205</v>
      </c>
      <c r="AU45" s="81">
        <v>1568.21096480857</v>
      </c>
      <c r="AV45" s="82">
        <v>1351.481</v>
      </c>
      <c r="AW45" s="83">
        <v>216.729964808572</v>
      </c>
      <c r="AX45" s="81">
        <v>1434.25153254419</v>
      </c>
      <c r="AY45" s="82">
        <v>1463.591</v>
      </c>
      <c r="AZ45" s="83">
        <v>-29.3394674558053</v>
      </c>
      <c r="BA45" s="81">
        <v>1859.70750488738</v>
      </c>
      <c r="BB45" s="82">
        <v>1984.618</v>
      </c>
      <c r="BC45" s="83">
        <v>-124.910495112621</v>
      </c>
      <c r="BD45" s="81">
        <v>1885.00304535779</v>
      </c>
      <c r="BE45" s="82">
        <v>2283.528</v>
      </c>
      <c r="BF45" s="83">
        <v>-398.52495464221</v>
      </c>
      <c r="BG45" s="81">
        <v>1888.76244938032</v>
      </c>
      <c r="BH45" s="82">
        <v>2456.489</v>
      </c>
      <c r="BI45" s="83">
        <v>-567.726550619677</v>
      </c>
      <c r="BJ45" s="81">
        <v>1758.05018795403</v>
      </c>
      <c r="BK45" s="82">
        <v>2275.97</v>
      </c>
      <c r="BL45" s="83">
        <v>-517.919812045968</v>
      </c>
      <c r="BM45" s="81">
        <v>1403.24743947868</v>
      </c>
      <c r="BN45" s="82">
        <v>2262.084</v>
      </c>
      <c r="BO45" s="83">
        <v>-858.83656052132</v>
      </c>
      <c r="BP45" s="81">
        <v>1361.22232204814</v>
      </c>
      <c r="BQ45" s="82">
        <v>2469.724</v>
      </c>
      <c r="BR45" s="83">
        <v>-1108.50167795186</v>
      </c>
      <c r="BS45" s="81">
        <v>752.64712231691</v>
      </c>
      <c r="BT45" s="82">
        <v>2882.537</v>
      </c>
      <c r="BU45" s="83">
        <v>-2129.88987768309</v>
      </c>
      <c r="BV45" s="81">
        <v>742.693157211942</v>
      </c>
      <c r="BW45" s="82">
        <v>3443.768</v>
      </c>
      <c r="BX45" s="83">
        <v>-2701.07484278806</v>
      </c>
      <c r="BY45" s="81">
        <v>553.596128681702</v>
      </c>
      <c r="BZ45" s="82">
        <v>3571.645</v>
      </c>
      <c r="CA45" s="83">
        <v>-3018.0488713183</v>
      </c>
      <c r="CB45" s="81">
        <v>511.736174487704</v>
      </c>
      <c r="CC45" s="82">
        <v>3559.743</v>
      </c>
      <c r="CD45" s="83">
        <v>-3048.0068255123</v>
      </c>
      <c r="CE45" s="81">
        <v>516.812060275714</v>
      </c>
      <c r="CF45" s="82">
        <v>3619.749</v>
      </c>
      <c r="CG45" s="83">
        <v>-3102.93693972429</v>
      </c>
      <c r="CH45" s="81">
        <v>510.060019963417</v>
      </c>
      <c r="CI45" s="82">
        <v>3809.099</v>
      </c>
      <c r="CJ45" s="83">
        <v>-3299.03898003658</v>
      </c>
      <c r="CK45" s="81">
        <v>1005.19205472055</v>
      </c>
      <c r="CL45" s="82">
        <v>3800.83096</v>
      </c>
      <c r="CM45" s="83">
        <v>-2795.63890527945</v>
      </c>
      <c r="CN45" s="81">
        <v>970.028574166431</v>
      </c>
      <c r="CO45" s="82">
        <v>3985.178</v>
      </c>
      <c r="CP45" s="83">
        <v>-3015.14942583357</v>
      </c>
      <c r="CQ45" s="81">
        <v>1342.03381659933</v>
      </c>
      <c r="CR45" s="82">
        <v>3916.818</v>
      </c>
      <c r="CS45" s="83">
        <v>-2574.78418340067</v>
      </c>
      <c r="CT45" s="81">
        <v>1808.580319234</v>
      </c>
      <c r="CU45" s="82">
        <v>3996.044</v>
      </c>
      <c r="CV45" s="83">
        <v>-2187.463680766</v>
      </c>
      <c r="CW45" s="81">
        <v>1950.67893463285</v>
      </c>
      <c r="CX45" s="82">
        <v>4371.226</v>
      </c>
      <c r="CY45" s="83">
        <v>-2420.54706536715</v>
      </c>
      <c r="CZ45" s="81">
        <v>2242.38513923063</v>
      </c>
      <c r="DA45" s="82">
        <v>4663.413</v>
      </c>
      <c r="DB45" s="83">
        <v>-2421.02786076937</v>
      </c>
      <c r="DC45" s="81">
        <v>3593.99379229158</v>
      </c>
      <c r="DD45" s="82">
        <v>4613</v>
      </c>
      <c r="DE45" s="83">
        <v>-1019.00620770842</v>
      </c>
      <c r="DF45" s="81">
        <v>3631.58572200144</v>
      </c>
      <c r="DG45" s="82">
        <v>4465.589</v>
      </c>
      <c r="DH45" s="83">
        <v>-834.003277998565</v>
      </c>
    </row>
    <row r="46" spans="1:112">
      <c r="A46" s="84" t="s">
        <v>173</v>
      </c>
      <c r="B46" s="81">
        <v>2809.36</v>
      </c>
      <c r="C46" s="82">
        <v>1252.406</v>
      </c>
      <c r="D46" s="83">
        <v>1556.954</v>
      </c>
      <c r="E46" s="81">
        <v>2766.081</v>
      </c>
      <c r="F46" s="82">
        <v>1241.027</v>
      </c>
      <c r="G46" s="83">
        <v>1525.054</v>
      </c>
      <c r="H46" s="81">
        <v>2800.861</v>
      </c>
      <c r="I46" s="82">
        <v>1199.46386576394</v>
      </c>
      <c r="J46" s="83">
        <v>1601.39713423606</v>
      </c>
      <c r="K46" s="81">
        <v>2826.137</v>
      </c>
      <c r="L46" s="82">
        <v>1160.10895952818</v>
      </c>
      <c r="M46" s="83">
        <v>1666.02804047182</v>
      </c>
      <c r="N46" s="81">
        <v>2359.885</v>
      </c>
      <c r="O46" s="82">
        <v>1117.86768637492</v>
      </c>
      <c r="P46" s="83">
        <v>1242.01731362508</v>
      </c>
      <c r="Q46" s="81">
        <v>2436.737</v>
      </c>
      <c r="R46" s="82">
        <v>738.750645244517</v>
      </c>
      <c r="S46" s="83">
        <v>1697.98635475548</v>
      </c>
      <c r="T46" s="81">
        <v>2052.399</v>
      </c>
      <c r="U46" s="82">
        <v>710.753827666787</v>
      </c>
      <c r="V46" s="83">
        <v>1341.64517233321</v>
      </c>
      <c r="W46" s="81">
        <v>2006.935</v>
      </c>
      <c r="X46" s="82">
        <v>729.223258250382</v>
      </c>
      <c r="Y46" s="83">
        <v>1277.71174174962</v>
      </c>
      <c r="Z46" s="81">
        <v>1638.82810415</v>
      </c>
      <c r="AA46" s="82">
        <v>726.725741185138</v>
      </c>
      <c r="AB46" s="83">
        <v>912.102362964862</v>
      </c>
      <c r="AC46" s="81">
        <v>1602.83710415</v>
      </c>
      <c r="AD46" s="82">
        <v>697.332735579324</v>
      </c>
      <c r="AE46" s="83">
        <v>905.504368570676</v>
      </c>
      <c r="AF46" s="81">
        <v>1429.04310415</v>
      </c>
      <c r="AG46" s="82">
        <v>802.922904946004</v>
      </c>
      <c r="AH46" s="83">
        <v>626.120199203996</v>
      </c>
      <c r="AI46" s="81">
        <v>1607.17910415</v>
      </c>
      <c r="AJ46" s="82">
        <v>833.283716641836</v>
      </c>
      <c r="AK46" s="83">
        <v>773.895387508164</v>
      </c>
      <c r="AL46" s="81">
        <v>1632.75010415</v>
      </c>
      <c r="AM46" s="82">
        <v>777.053</v>
      </c>
      <c r="AN46" s="83">
        <v>855.69710415</v>
      </c>
      <c r="AO46" s="81">
        <v>1783.05910415</v>
      </c>
      <c r="AP46" s="82">
        <v>805.116</v>
      </c>
      <c r="AQ46" s="83">
        <v>977.94310415</v>
      </c>
      <c r="AR46" s="81">
        <v>1711.71310415</v>
      </c>
      <c r="AS46" s="82">
        <v>771.133</v>
      </c>
      <c r="AT46" s="83">
        <v>940.58010415</v>
      </c>
      <c r="AU46" s="81">
        <v>1712.76210415</v>
      </c>
      <c r="AV46" s="82">
        <v>695.992</v>
      </c>
      <c r="AW46" s="83">
        <v>1016.77010415</v>
      </c>
      <c r="AX46" s="81">
        <v>1551.15710415</v>
      </c>
      <c r="AY46" s="82">
        <v>740.304</v>
      </c>
      <c r="AZ46" s="83">
        <v>810.85310415</v>
      </c>
      <c r="BA46" s="81">
        <v>1559.81010415</v>
      </c>
      <c r="BB46" s="82">
        <v>727.049</v>
      </c>
      <c r="BC46" s="83">
        <v>832.76110415</v>
      </c>
      <c r="BD46" s="81">
        <v>1619.77510415</v>
      </c>
      <c r="BE46" s="82">
        <v>738.708</v>
      </c>
      <c r="BF46" s="83">
        <v>881.06710415</v>
      </c>
      <c r="BG46" s="81">
        <v>1541.17110415</v>
      </c>
      <c r="BH46" s="82">
        <v>804.421</v>
      </c>
      <c r="BI46" s="83">
        <v>736.75010415</v>
      </c>
      <c r="BJ46" s="81">
        <v>3411.10310415</v>
      </c>
      <c r="BK46" s="82">
        <v>779.426</v>
      </c>
      <c r="BL46" s="83">
        <v>2631.67710415</v>
      </c>
      <c r="BM46" s="81">
        <v>4404.15710415</v>
      </c>
      <c r="BN46" s="82">
        <v>935.745</v>
      </c>
      <c r="BO46" s="83">
        <v>3468.41210415</v>
      </c>
      <c r="BP46" s="81">
        <v>1697.07610415</v>
      </c>
      <c r="BQ46" s="82">
        <v>982.44723</v>
      </c>
      <c r="BR46" s="83">
        <v>714.62887415</v>
      </c>
      <c r="BS46" s="81">
        <v>1801.88510415</v>
      </c>
      <c r="BT46" s="82">
        <v>1007.99409436364</v>
      </c>
      <c r="BU46" s="83">
        <v>793.891009786356</v>
      </c>
      <c r="BV46" s="81">
        <v>1728.52610415</v>
      </c>
      <c r="BW46" s="82">
        <v>1122.15</v>
      </c>
      <c r="BX46" s="83">
        <v>606.37610415</v>
      </c>
      <c r="BY46" s="81">
        <v>1699.14114253589</v>
      </c>
      <c r="BZ46" s="82">
        <v>1020.383</v>
      </c>
      <c r="CA46" s="83">
        <v>678.758142535892</v>
      </c>
      <c r="CB46" s="81">
        <v>1630.71635672656</v>
      </c>
      <c r="CC46" s="82">
        <v>997.818</v>
      </c>
      <c r="CD46" s="83">
        <v>632.898356726559</v>
      </c>
      <c r="CE46" s="81">
        <v>1541.01110415</v>
      </c>
      <c r="CF46" s="82">
        <v>1275.52388</v>
      </c>
      <c r="CG46" s="83">
        <v>265.48722415</v>
      </c>
      <c r="CH46" s="81">
        <v>1467.10210415</v>
      </c>
      <c r="CI46" s="82">
        <v>1307.08809</v>
      </c>
      <c r="CJ46" s="83">
        <v>160.01401415</v>
      </c>
      <c r="CK46" s="81">
        <v>1587.49310415</v>
      </c>
      <c r="CL46" s="82">
        <v>1458.74799506557</v>
      </c>
      <c r="CM46" s="83">
        <v>128.745109084427</v>
      </c>
      <c r="CN46" s="81">
        <v>1738.19110415</v>
      </c>
      <c r="CO46" s="82">
        <v>1404.52423</v>
      </c>
      <c r="CP46" s="83">
        <v>333.66687415</v>
      </c>
      <c r="CQ46" s="81">
        <v>2103.12510415</v>
      </c>
      <c r="CR46" s="82">
        <v>1390.65638</v>
      </c>
      <c r="CS46" s="83">
        <v>712.46872415</v>
      </c>
      <c r="CT46" s="81">
        <v>1852.91310415</v>
      </c>
      <c r="CU46" s="82">
        <v>1593.5474</v>
      </c>
      <c r="CV46" s="83">
        <v>259.36570415</v>
      </c>
      <c r="CW46" s="81">
        <v>3002.92210415</v>
      </c>
      <c r="CX46" s="82">
        <v>1691.54934</v>
      </c>
      <c r="CY46" s="83">
        <v>1311.37276415</v>
      </c>
      <c r="CZ46" s="81">
        <v>3603.79010415</v>
      </c>
      <c r="DA46" s="82">
        <v>1985.73137</v>
      </c>
      <c r="DB46" s="83">
        <v>1618.05873415</v>
      </c>
      <c r="DC46" s="81">
        <v>3998.91110415</v>
      </c>
      <c r="DD46" s="82">
        <v>2385.80151</v>
      </c>
      <c r="DE46" s="83">
        <v>1613.10959415</v>
      </c>
      <c r="DF46" s="81">
        <v>3755.49010415</v>
      </c>
      <c r="DG46" s="82">
        <v>2320.74958</v>
      </c>
      <c r="DH46" s="83">
        <v>1434.74052415</v>
      </c>
    </row>
    <row r="47" spans="1:112">
      <c r="A47" s="84" t="s">
        <v>174</v>
      </c>
      <c r="B47" s="81">
        <v>0</v>
      </c>
      <c r="C47" s="82">
        <v>0</v>
      </c>
      <c r="D47" s="83">
        <v>0</v>
      </c>
      <c r="E47" s="81">
        <v>0</v>
      </c>
      <c r="F47" s="82">
        <v>0</v>
      </c>
      <c r="G47" s="83">
        <v>0</v>
      </c>
      <c r="H47" s="81">
        <v>0</v>
      </c>
      <c r="I47" s="82">
        <v>0</v>
      </c>
      <c r="J47" s="83">
        <v>0</v>
      </c>
      <c r="K47" s="81">
        <v>0</v>
      </c>
      <c r="L47" s="82">
        <v>0</v>
      </c>
      <c r="M47" s="83">
        <v>0</v>
      </c>
      <c r="N47" s="81">
        <v>0</v>
      </c>
      <c r="O47" s="82">
        <v>0</v>
      </c>
      <c r="P47" s="83">
        <v>0</v>
      </c>
      <c r="Q47" s="81">
        <v>0</v>
      </c>
      <c r="R47" s="82">
        <v>0</v>
      </c>
      <c r="S47" s="83">
        <v>0</v>
      </c>
      <c r="T47" s="81">
        <v>0</v>
      </c>
      <c r="U47" s="82">
        <v>0</v>
      </c>
      <c r="V47" s="83">
        <v>0</v>
      </c>
      <c r="W47" s="81">
        <v>0</v>
      </c>
      <c r="X47" s="82">
        <v>0</v>
      </c>
      <c r="Y47" s="83">
        <v>0</v>
      </c>
      <c r="Z47" s="81">
        <v>0</v>
      </c>
      <c r="AA47" s="82">
        <v>0</v>
      </c>
      <c r="AB47" s="83">
        <v>0</v>
      </c>
      <c r="AC47" s="81">
        <v>0</v>
      </c>
      <c r="AD47" s="82">
        <v>0</v>
      </c>
      <c r="AE47" s="83">
        <v>0</v>
      </c>
      <c r="AF47" s="81">
        <v>0</v>
      </c>
      <c r="AG47" s="82">
        <v>0</v>
      </c>
      <c r="AH47" s="83">
        <v>0</v>
      </c>
      <c r="AI47" s="81">
        <v>0</v>
      </c>
      <c r="AJ47" s="82">
        <v>0</v>
      </c>
      <c r="AK47" s="83">
        <v>0</v>
      </c>
      <c r="AL47" s="81">
        <v>0</v>
      </c>
      <c r="AM47" s="82">
        <v>0</v>
      </c>
      <c r="AN47" s="83">
        <v>0</v>
      </c>
      <c r="AO47" s="81">
        <v>0</v>
      </c>
      <c r="AP47" s="82">
        <v>0</v>
      </c>
      <c r="AQ47" s="83">
        <v>0</v>
      </c>
      <c r="AR47" s="81">
        <v>0</v>
      </c>
      <c r="AS47" s="82">
        <v>0</v>
      </c>
      <c r="AT47" s="83">
        <v>0</v>
      </c>
      <c r="AU47" s="81">
        <v>0</v>
      </c>
      <c r="AV47" s="82">
        <v>0</v>
      </c>
      <c r="AW47" s="83">
        <v>0</v>
      </c>
      <c r="AX47" s="81">
        <v>0</v>
      </c>
      <c r="AY47" s="82">
        <v>0</v>
      </c>
      <c r="AZ47" s="83">
        <v>0</v>
      </c>
      <c r="BA47" s="81">
        <v>0</v>
      </c>
      <c r="BB47" s="82">
        <v>0</v>
      </c>
      <c r="BC47" s="83">
        <v>0</v>
      </c>
      <c r="BD47" s="81">
        <v>0</v>
      </c>
      <c r="BE47" s="82">
        <v>0</v>
      </c>
      <c r="BF47" s="83">
        <v>0</v>
      </c>
      <c r="BG47" s="81">
        <v>0</v>
      </c>
      <c r="BH47" s="82">
        <v>0</v>
      </c>
      <c r="BI47" s="83">
        <v>0</v>
      </c>
      <c r="BJ47" s="81">
        <v>0</v>
      </c>
      <c r="BK47" s="82">
        <v>0</v>
      </c>
      <c r="BL47" s="83">
        <v>0</v>
      </c>
      <c r="BM47" s="81">
        <v>0</v>
      </c>
      <c r="BN47" s="82">
        <v>0</v>
      </c>
      <c r="BO47" s="83">
        <v>0</v>
      </c>
      <c r="BP47" s="81">
        <v>0</v>
      </c>
      <c r="BQ47" s="82">
        <v>0</v>
      </c>
      <c r="BR47" s="83">
        <v>0</v>
      </c>
      <c r="BS47" s="81">
        <v>0</v>
      </c>
      <c r="BT47" s="82">
        <v>0</v>
      </c>
      <c r="BU47" s="83">
        <v>0</v>
      </c>
      <c r="BV47" s="81">
        <v>0</v>
      </c>
      <c r="BW47" s="82">
        <v>0</v>
      </c>
      <c r="BX47" s="83">
        <v>0</v>
      </c>
      <c r="BY47" s="81">
        <v>0</v>
      </c>
      <c r="BZ47" s="82">
        <v>0</v>
      </c>
      <c r="CA47" s="83">
        <v>0</v>
      </c>
      <c r="CB47" s="81">
        <v>0</v>
      </c>
      <c r="CC47" s="82">
        <v>0</v>
      </c>
      <c r="CD47" s="83">
        <v>0</v>
      </c>
      <c r="CE47" s="81">
        <v>0</v>
      </c>
      <c r="CF47" s="82">
        <v>0</v>
      </c>
      <c r="CG47" s="83">
        <v>0</v>
      </c>
      <c r="CH47" s="81">
        <v>0</v>
      </c>
      <c r="CI47" s="82">
        <v>0</v>
      </c>
      <c r="CJ47" s="83">
        <v>0</v>
      </c>
      <c r="CK47" s="81">
        <v>0</v>
      </c>
      <c r="CL47" s="82">
        <v>0</v>
      </c>
      <c r="CM47" s="83">
        <v>0</v>
      </c>
      <c r="CN47" s="81">
        <v>0</v>
      </c>
      <c r="CO47" s="82">
        <v>0</v>
      </c>
      <c r="CP47" s="83">
        <v>0</v>
      </c>
      <c r="CQ47" s="81">
        <v>0</v>
      </c>
      <c r="CR47" s="82">
        <v>0</v>
      </c>
      <c r="CS47" s="83">
        <v>0</v>
      </c>
      <c r="CT47" s="81">
        <v>0</v>
      </c>
      <c r="CU47" s="82">
        <v>0</v>
      </c>
      <c r="CV47" s="83">
        <v>0</v>
      </c>
      <c r="CW47" s="81">
        <v>0</v>
      </c>
      <c r="CX47" s="82">
        <v>0</v>
      </c>
      <c r="CY47" s="83">
        <v>0</v>
      </c>
      <c r="CZ47" s="81">
        <v>0</v>
      </c>
      <c r="DA47" s="82">
        <v>0</v>
      </c>
      <c r="DB47" s="83">
        <v>0</v>
      </c>
      <c r="DC47" s="81">
        <v>0</v>
      </c>
      <c r="DD47" s="82">
        <v>0</v>
      </c>
      <c r="DE47" s="83">
        <v>0</v>
      </c>
      <c r="DF47" s="81">
        <v>0</v>
      </c>
      <c r="DG47" s="82">
        <v>0</v>
      </c>
      <c r="DH47" s="83">
        <v>0</v>
      </c>
    </row>
    <row r="48" spans="1:112">
      <c r="A48" s="80" t="s">
        <v>419</v>
      </c>
      <c r="B48" s="81">
        <v>0</v>
      </c>
      <c r="C48" s="82">
        <v>0</v>
      </c>
      <c r="D48" s="83">
        <v>0</v>
      </c>
      <c r="E48" s="81">
        <v>0</v>
      </c>
      <c r="F48" s="82">
        <v>0</v>
      </c>
      <c r="G48" s="83">
        <v>0</v>
      </c>
      <c r="H48" s="81">
        <v>0</v>
      </c>
      <c r="I48" s="82">
        <v>0</v>
      </c>
      <c r="J48" s="83">
        <v>0</v>
      </c>
      <c r="K48" s="81">
        <v>0</v>
      </c>
      <c r="L48" s="82">
        <v>0</v>
      </c>
      <c r="M48" s="83">
        <v>0</v>
      </c>
      <c r="N48" s="81">
        <v>0</v>
      </c>
      <c r="O48" s="82">
        <v>0</v>
      </c>
      <c r="P48" s="83">
        <v>0</v>
      </c>
      <c r="Q48" s="81">
        <v>0</v>
      </c>
      <c r="R48" s="82">
        <v>0</v>
      </c>
      <c r="S48" s="83">
        <v>0</v>
      </c>
      <c r="T48" s="81">
        <v>0</v>
      </c>
      <c r="U48" s="82">
        <v>0</v>
      </c>
      <c r="V48" s="83">
        <v>0</v>
      </c>
      <c r="W48" s="81">
        <v>0</v>
      </c>
      <c r="X48" s="82">
        <v>0</v>
      </c>
      <c r="Y48" s="83">
        <v>0</v>
      </c>
      <c r="Z48" s="81">
        <v>0</v>
      </c>
      <c r="AA48" s="82">
        <v>0</v>
      </c>
      <c r="AB48" s="83">
        <v>0</v>
      </c>
      <c r="AC48" s="81">
        <v>0</v>
      </c>
      <c r="AD48" s="82">
        <v>0</v>
      </c>
      <c r="AE48" s="83">
        <v>0</v>
      </c>
      <c r="AF48" s="81">
        <v>0</v>
      </c>
      <c r="AG48" s="82">
        <v>0</v>
      </c>
      <c r="AH48" s="83">
        <v>0</v>
      </c>
      <c r="AI48" s="81">
        <v>0</v>
      </c>
      <c r="AJ48" s="82">
        <v>0</v>
      </c>
      <c r="AK48" s="83">
        <v>0</v>
      </c>
      <c r="AL48" s="81">
        <v>0</v>
      </c>
      <c r="AM48" s="82">
        <v>0</v>
      </c>
      <c r="AN48" s="83">
        <v>0</v>
      </c>
      <c r="AO48" s="81">
        <v>0</v>
      </c>
      <c r="AP48" s="82">
        <v>0</v>
      </c>
      <c r="AQ48" s="83">
        <v>0</v>
      </c>
      <c r="AR48" s="81">
        <v>0</v>
      </c>
      <c r="AS48" s="82">
        <v>0</v>
      </c>
      <c r="AT48" s="83">
        <v>0</v>
      </c>
      <c r="AU48" s="81">
        <v>0</v>
      </c>
      <c r="AV48" s="82">
        <v>0</v>
      </c>
      <c r="AW48" s="83">
        <v>0</v>
      </c>
      <c r="AX48" s="81">
        <v>0</v>
      </c>
      <c r="AY48" s="82">
        <v>0</v>
      </c>
      <c r="AZ48" s="83">
        <v>0</v>
      </c>
      <c r="BA48" s="81">
        <v>0</v>
      </c>
      <c r="BB48" s="82">
        <v>0</v>
      </c>
      <c r="BC48" s="83">
        <v>0</v>
      </c>
      <c r="BD48" s="81">
        <v>0</v>
      </c>
      <c r="BE48" s="82">
        <v>0</v>
      </c>
      <c r="BF48" s="83">
        <v>0</v>
      </c>
      <c r="BG48" s="81">
        <v>0</v>
      </c>
      <c r="BH48" s="82">
        <v>0</v>
      </c>
      <c r="BI48" s="83">
        <v>0</v>
      </c>
      <c r="BJ48" s="81">
        <v>0</v>
      </c>
      <c r="BK48" s="82">
        <v>0</v>
      </c>
      <c r="BL48" s="83">
        <v>0</v>
      </c>
      <c r="BM48" s="81">
        <v>0</v>
      </c>
      <c r="BN48" s="82">
        <v>0</v>
      </c>
      <c r="BO48" s="83">
        <v>0</v>
      </c>
      <c r="BP48" s="81">
        <v>0</v>
      </c>
      <c r="BQ48" s="82">
        <v>0</v>
      </c>
      <c r="BR48" s="83">
        <v>0</v>
      </c>
      <c r="BS48" s="81">
        <v>0</v>
      </c>
      <c r="BT48" s="82">
        <v>0</v>
      </c>
      <c r="BU48" s="83">
        <v>0</v>
      </c>
      <c r="BV48" s="81">
        <v>0</v>
      </c>
      <c r="BW48" s="82">
        <v>0</v>
      </c>
      <c r="BX48" s="83">
        <v>0</v>
      </c>
      <c r="BY48" s="81">
        <v>0</v>
      </c>
      <c r="BZ48" s="82">
        <v>0</v>
      </c>
      <c r="CA48" s="83">
        <v>0</v>
      </c>
      <c r="CB48" s="81">
        <v>0</v>
      </c>
      <c r="CC48" s="82">
        <v>0</v>
      </c>
      <c r="CD48" s="83">
        <v>0</v>
      </c>
      <c r="CE48" s="81">
        <v>0</v>
      </c>
      <c r="CF48" s="82">
        <v>0</v>
      </c>
      <c r="CG48" s="83">
        <v>0</v>
      </c>
      <c r="CH48" s="81">
        <v>0</v>
      </c>
      <c r="CI48" s="82">
        <v>0</v>
      </c>
      <c r="CJ48" s="83">
        <v>0</v>
      </c>
      <c r="CK48" s="81">
        <v>0</v>
      </c>
      <c r="CL48" s="82">
        <v>0</v>
      </c>
      <c r="CM48" s="83">
        <v>0</v>
      </c>
      <c r="CN48" s="81">
        <v>0</v>
      </c>
      <c r="CO48" s="82">
        <v>0</v>
      </c>
      <c r="CP48" s="83">
        <v>0</v>
      </c>
      <c r="CQ48" s="81">
        <v>0</v>
      </c>
      <c r="CR48" s="82">
        <v>0</v>
      </c>
      <c r="CS48" s="83">
        <v>0</v>
      </c>
      <c r="CT48" s="81">
        <v>0</v>
      </c>
      <c r="CU48" s="82">
        <v>0</v>
      </c>
      <c r="CV48" s="83">
        <v>0</v>
      </c>
      <c r="CW48" s="81">
        <v>0</v>
      </c>
      <c r="CX48" s="82">
        <v>0</v>
      </c>
      <c r="CY48" s="83">
        <v>0</v>
      </c>
      <c r="CZ48" s="81">
        <v>0</v>
      </c>
      <c r="DA48" s="82">
        <v>0</v>
      </c>
      <c r="DB48" s="83">
        <v>0</v>
      </c>
      <c r="DC48" s="81">
        <v>0</v>
      </c>
      <c r="DD48" s="82">
        <v>0</v>
      </c>
      <c r="DE48" s="83">
        <v>0</v>
      </c>
      <c r="DF48" s="81">
        <v>0</v>
      </c>
      <c r="DG48" s="82">
        <v>0</v>
      </c>
      <c r="DH48" s="83">
        <v>0</v>
      </c>
    </row>
    <row r="49" s="52" customFormat="1" ht="15" spans="1:112">
      <c r="A49" s="90" t="s">
        <v>186</v>
      </c>
      <c r="B49" s="77">
        <v>40080.9477433082</v>
      </c>
      <c r="C49" s="78">
        <v>33175.6742027133</v>
      </c>
      <c r="D49" s="79">
        <v>6905.27354059492</v>
      </c>
      <c r="E49" s="77">
        <v>42163.0730327729</v>
      </c>
      <c r="F49" s="78">
        <v>35467.8878624341</v>
      </c>
      <c r="G49" s="79">
        <v>6695.18517033876</v>
      </c>
      <c r="H49" s="77">
        <v>43310.0016170631</v>
      </c>
      <c r="I49" s="78">
        <v>36710.1044905905</v>
      </c>
      <c r="J49" s="79">
        <v>6599.89712647254</v>
      </c>
      <c r="K49" s="77">
        <v>43614.362957004</v>
      </c>
      <c r="L49" s="78">
        <v>35171.0309297403</v>
      </c>
      <c r="M49" s="79">
        <v>8443.33202726366</v>
      </c>
      <c r="N49" s="77">
        <v>43202.9963522323</v>
      </c>
      <c r="O49" s="78">
        <v>36941.7938935512</v>
      </c>
      <c r="P49" s="79">
        <v>6261.20245868118</v>
      </c>
      <c r="Q49" s="77">
        <v>42884.0448278391</v>
      </c>
      <c r="R49" s="78">
        <v>36533.9458882127</v>
      </c>
      <c r="S49" s="79">
        <v>6350.09893962643</v>
      </c>
      <c r="T49" s="77">
        <v>41306.0051094467</v>
      </c>
      <c r="U49" s="78">
        <v>34395.640110304</v>
      </c>
      <c r="V49" s="79">
        <v>6910.36499914269</v>
      </c>
      <c r="W49" s="77">
        <v>39661.6788757121</v>
      </c>
      <c r="X49" s="78">
        <v>31558.0931485571</v>
      </c>
      <c r="Y49" s="79">
        <v>8103.58572715495</v>
      </c>
      <c r="Z49" s="77">
        <v>39020.3350376249</v>
      </c>
      <c r="AA49" s="78">
        <v>32723.1479415721</v>
      </c>
      <c r="AB49" s="79">
        <v>6297.18709605283</v>
      </c>
      <c r="AC49" s="77">
        <v>39661.8458322732</v>
      </c>
      <c r="AD49" s="78">
        <v>32697.6555469502</v>
      </c>
      <c r="AE49" s="79">
        <v>6964.19028532294</v>
      </c>
      <c r="AF49" s="77">
        <v>41013.0293719552</v>
      </c>
      <c r="AG49" s="78">
        <v>32441.600031759</v>
      </c>
      <c r="AH49" s="79">
        <v>8571.42934019621</v>
      </c>
      <c r="AI49" s="77">
        <v>41040.5467653864</v>
      </c>
      <c r="AJ49" s="78">
        <v>31372.0066855818</v>
      </c>
      <c r="AK49" s="79">
        <v>9668.54007980461</v>
      </c>
      <c r="AL49" s="77">
        <v>37404.8104746043</v>
      </c>
      <c r="AM49" s="78">
        <v>30925.0023549297</v>
      </c>
      <c r="AN49" s="79">
        <v>6479.8081196746</v>
      </c>
      <c r="AO49" s="77">
        <v>39737.737914517</v>
      </c>
      <c r="AP49" s="78">
        <v>31353.5923217173</v>
      </c>
      <c r="AQ49" s="79">
        <v>8384.14559279976</v>
      </c>
      <c r="AR49" s="77">
        <v>40701.0200719619</v>
      </c>
      <c r="AS49" s="78">
        <v>30160.6000288702</v>
      </c>
      <c r="AT49" s="79">
        <v>10540.4200430916</v>
      </c>
      <c r="AU49" s="77">
        <v>41388.0271394055</v>
      </c>
      <c r="AV49" s="78">
        <v>29657.3777152474</v>
      </c>
      <c r="AW49" s="79">
        <v>11730.6494241581</v>
      </c>
      <c r="AX49" s="77">
        <v>41412.2559971814</v>
      </c>
      <c r="AY49" s="78">
        <v>30813.0084342805</v>
      </c>
      <c r="AZ49" s="79">
        <v>10599.2475629009</v>
      </c>
      <c r="BA49" s="77">
        <v>42662.1342700866</v>
      </c>
      <c r="BB49" s="78">
        <v>32369.9914175958</v>
      </c>
      <c r="BC49" s="79">
        <v>10292.1428524909</v>
      </c>
      <c r="BD49" s="77">
        <v>42908.3831254075</v>
      </c>
      <c r="BE49" s="78">
        <v>33023.8155816541</v>
      </c>
      <c r="BF49" s="79">
        <v>9884.56754375341</v>
      </c>
      <c r="BG49" s="77">
        <v>44013.3962125738</v>
      </c>
      <c r="BH49" s="78">
        <v>35509.2971781465</v>
      </c>
      <c r="BI49" s="79">
        <v>8504.0990344273</v>
      </c>
      <c r="BJ49" s="77">
        <v>40543.9654318312</v>
      </c>
      <c r="BK49" s="78">
        <v>35881.2194960477</v>
      </c>
      <c r="BL49" s="79">
        <v>4662.74593578357</v>
      </c>
      <c r="BM49" s="77">
        <v>43591.5111012298</v>
      </c>
      <c r="BN49" s="78">
        <v>36668.8182442543</v>
      </c>
      <c r="BO49" s="79">
        <v>6922.69285697553</v>
      </c>
      <c r="BP49" s="77">
        <v>43752.1732954117</v>
      </c>
      <c r="BQ49" s="78">
        <v>40112.2428735914</v>
      </c>
      <c r="BR49" s="79">
        <v>3639.93042182036</v>
      </c>
      <c r="BS49" s="77">
        <v>42227.3018366849</v>
      </c>
      <c r="BT49" s="78">
        <v>38879.2688024674</v>
      </c>
      <c r="BU49" s="79">
        <v>3348.03303421757</v>
      </c>
      <c r="BV49" s="77">
        <v>43265.5040329016</v>
      </c>
      <c r="BW49" s="78">
        <v>39508.302291437</v>
      </c>
      <c r="BX49" s="79">
        <v>3757.2017414646</v>
      </c>
      <c r="BY49" s="77">
        <v>43768.6142150655</v>
      </c>
      <c r="BZ49" s="78">
        <v>40730.887742151</v>
      </c>
      <c r="CA49" s="79">
        <v>3037.7264729145</v>
      </c>
      <c r="CB49" s="77">
        <v>45004.5498968346</v>
      </c>
      <c r="CC49" s="78">
        <v>39546.1485903197</v>
      </c>
      <c r="CD49" s="79">
        <v>5458.4013065149</v>
      </c>
      <c r="CE49" s="77">
        <v>45463.4627579125</v>
      </c>
      <c r="CF49" s="78">
        <v>39825.2084497341</v>
      </c>
      <c r="CG49" s="79">
        <v>5638.25430817844</v>
      </c>
      <c r="CH49" s="77">
        <v>45172.1558711218</v>
      </c>
      <c r="CI49" s="78">
        <v>42424.3434343372</v>
      </c>
      <c r="CJ49" s="79">
        <v>2747.81243678458</v>
      </c>
      <c r="CK49" s="77">
        <v>45898.5634586388</v>
      </c>
      <c r="CL49" s="78">
        <v>43762.8131936772</v>
      </c>
      <c r="CM49" s="79">
        <v>2135.75026496164</v>
      </c>
      <c r="CN49" s="77">
        <v>45701.4763107736</v>
      </c>
      <c r="CO49" s="78">
        <v>45623.2849665606</v>
      </c>
      <c r="CP49" s="79">
        <v>78.1913442130099</v>
      </c>
      <c r="CQ49" s="77">
        <v>45172.7172853918</v>
      </c>
      <c r="CR49" s="78">
        <v>44351.184965759</v>
      </c>
      <c r="CS49" s="79">
        <v>821.532319632766</v>
      </c>
      <c r="CT49" s="77">
        <v>48210.2824102237</v>
      </c>
      <c r="CU49" s="78">
        <v>48632.5155416297</v>
      </c>
      <c r="CV49" s="79">
        <v>-422.233131405985</v>
      </c>
      <c r="CW49" s="77">
        <v>50150.6595507711</v>
      </c>
      <c r="CX49" s="78">
        <v>49964.6975142615</v>
      </c>
      <c r="CY49" s="79">
        <v>185.962036509642</v>
      </c>
      <c r="CZ49" s="77">
        <v>50671.6487759319</v>
      </c>
      <c r="DA49" s="78">
        <v>49205.6554482148</v>
      </c>
      <c r="DB49" s="79">
        <v>1465.99332771711</v>
      </c>
      <c r="DC49" s="77">
        <v>55062.84713995</v>
      </c>
      <c r="DD49" s="78">
        <v>46503.092320895</v>
      </c>
      <c r="DE49" s="79">
        <v>8559.75481905497</v>
      </c>
      <c r="DF49" s="77">
        <v>57324.4424257917</v>
      </c>
      <c r="DG49" s="78">
        <v>49988.324796078</v>
      </c>
      <c r="DH49" s="79">
        <v>7336.11762971366</v>
      </c>
    </row>
    <row r="50" s="52" customFormat="1" ht="15" spans="1:112">
      <c r="A50" s="86" t="s">
        <v>164</v>
      </c>
      <c r="B50" s="72">
        <v>5767.11816369</v>
      </c>
      <c r="C50" s="73">
        <v>17670.2283103553</v>
      </c>
      <c r="D50" s="74">
        <v>-11903.1101466653</v>
      </c>
      <c r="E50" s="72">
        <v>5923.21594138945</v>
      </c>
      <c r="F50" s="73">
        <v>18792.38974169</v>
      </c>
      <c r="G50" s="74">
        <v>-12869.1738003006</v>
      </c>
      <c r="H50" s="72">
        <v>6251.29176846798</v>
      </c>
      <c r="I50" s="73">
        <v>20147.0361614659</v>
      </c>
      <c r="J50" s="74">
        <v>-13895.7443929979</v>
      </c>
      <c r="K50" s="72">
        <v>6346.55342</v>
      </c>
      <c r="L50" s="73">
        <v>18124.567614</v>
      </c>
      <c r="M50" s="74">
        <v>-11778.014194</v>
      </c>
      <c r="N50" s="72">
        <v>6185.660813</v>
      </c>
      <c r="O50" s="73">
        <v>18379.14730479</v>
      </c>
      <c r="P50" s="74">
        <v>-12193.48649179</v>
      </c>
      <c r="Q50" s="72">
        <v>6512.349042</v>
      </c>
      <c r="R50" s="73">
        <v>18137.102278</v>
      </c>
      <c r="S50" s="74">
        <v>-11624.753236</v>
      </c>
      <c r="T50" s="72">
        <v>6892.49038</v>
      </c>
      <c r="U50" s="73">
        <v>15692.04445</v>
      </c>
      <c r="V50" s="74">
        <v>-8799.55407</v>
      </c>
      <c r="W50" s="72">
        <v>6849.25156455285</v>
      </c>
      <c r="X50" s="73">
        <v>13911.14179</v>
      </c>
      <c r="Y50" s="74">
        <v>-7061.89022544715</v>
      </c>
      <c r="Z50" s="72">
        <v>6515.83335</v>
      </c>
      <c r="AA50" s="73">
        <v>15114.7398426</v>
      </c>
      <c r="AB50" s="74">
        <v>-8598.9064926</v>
      </c>
      <c r="AC50" s="72">
        <v>6809.65025</v>
      </c>
      <c r="AD50" s="73">
        <v>14540.2615981</v>
      </c>
      <c r="AE50" s="74">
        <v>-7730.6113481</v>
      </c>
      <c r="AF50" s="72">
        <v>7115.65609</v>
      </c>
      <c r="AG50" s="73">
        <v>13547.91382375</v>
      </c>
      <c r="AH50" s="74">
        <v>-6432.25773375</v>
      </c>
      <c r="AI50" s="72">
        <v>7278.89105</v>
      </c>
      <c r="AJ50" s="73">
        <v>12663.1909315</v>
      </c>
      <c r="AK50" s="74">
        <v>-5384.2998815</v>
      </c>
      <c r="AL50" s="72">
        <v>6915.5277282977</v>
      </c>
      <c r="AM50" s="73">
        <v>11285.715285572</v>
      </c>
      <c r="AN50" s="74">
        <v>-4370.1875572743</v>
      </c>
      <c r="AO50" s="72">
        <v>7342.132296</v>
      </c>
      <c r="AP50" s="73">
        <v>11806.7519409668</v>
      </c>
      <c r="AQ50" s="74">
        <v>-4464.6196449668</v>
      </c>
      <c r="AR50" s="72">
        <v>7440.1023657</v>
      </c>
      <c r="AS50" s="73">
        <v>10022.7403145597</v>
      </c>
      <c r="AT50" s="74">
        <v>-2582.63794885968</v>
      </c>
      <c r="AU50" s="72">
        <v>7315.9617341</v>
      </c>
      <c r="AV50" s="73">
        <v>8985.3896537411</v>
      </c>
      <c r="AW50" s="74">
        <v>-1669.4279196411</v>
      </c>
      <c r="AX50" s="72">
        <v>8020.26706074</v>
      </c>
      <c r="AY50" s="73">
        <v>10504.6980471149</v>
      </c>
      <c r="AZ50" s="74">
        <v>-2484.43098637491</v>
      </c>
      <c r="BA50" s="72">
        <v>8788.760946</v>
      </c>
      <c r="BB50" s="73">
        <v>12149.9389806914</v>
      </c>
      <c r="BC50" s="74">
        <v>-3361.17803469141</v>
      </c>
      <c r="BD50" s="72">
        <v>8591.09177408601</v>
      </c>
      <c r="BE50" s="73">
        <v>11827.5762098133</v>
      </c>
      <c r="BF50" s="74">
        <v>-3236.48443572728</v>
      </c>
      <c r="BG50" s="72">
        <v>9652.975164</v>
      </c>
      <c r="BH50" s="73">
        <v>11610.2114195013</v>
      </c>
      <c r="BI50" s="74">
        <v>-1957.23625550128</v>
      </c>
      <c r="BJ50" s="72">
        <v>8528.24592</v>
      </c>
      <c r="BK50" s="73">
        <v>14048.6129841717</v>
      </c>
      <c r="BL50" s="74">
        <v>-5520.36706417165</v>
      </c>
      <c r="BM50" s="72">
        <v>10435.3027510339</v>
      </c>
      <c r="BN50" s="73">
        <v>15618.8242498741</v>
      </c>
      <c r="BO50" s="74">
        <v>-5183.52149884024</v>
      </c>
      <c r="BP50" s="72">
        <v>11110.7738235</v>
      </c>
      <c r="BQ50" s="73">
        <v>20322.1731488693</v>
      </c>
      <c r="BR50" s="74">
        <v>-9211.39932536933</v>
      </c>
      <c r="BS50" s="72">
        <v>10391.144608</v>
      </c>
      <c r="BT50" s="73">
        <v>17409.59991659</v>
      </c>
      <c r="BU50" s="74">
        <v>-7018.45530859</v>
      </c>
      <c r="BV50" s="72">
        <v>10937.88148584</v>
      </c>
      <c r="BW50" s="73">
        <v>17960.59329589</v>
      </c>
      <c r="BX50" s="74">
        <v>-7022.71181005</v>
      </c>
      <c r="BY50" s="72">
        <v>11801.92947918</v>
      </c>
      <c r="BZ50" s="73">
        <v>18059.47328429</v>
      </c>
      <c r="CA50" s="74">
        <v>-6257.54380511</v>
      </c>
      <c r="CB50" s="72">
        <v>12595.6763474</v>
      </c>
      <c r="CC50" s="73">
        <v>18297.6008523565</v>
      </c>
      <c r="CD50" s="74">
        <v>-5701.9245049565</v>
      </c>
      <c r="CE50" s="72">
        <v>12664.0158769445</v>
      </c>
      <c r="CF50" s="73">
        <v>17411.5923353145</v>
      </c>
      <c r="CG50" s="74">
        <v>-4747.57645836998</v>
      </c>
      <c r="CH50" s="72">
        <v>11923.00626553</v>
      </c>
      <c r="CI50" s="73">
        <v>19531.5927039971</v>
      </c>
      <c r="CJ50" s="74">
        <v>-7608.58643846713</v>
      </c>
      <c r="CK50" s="72">
        <v>12433.458041</v>
      </c>
      <c r="CL50" s="73">
        <v>18846.8125732583</v>
      </c>
      <c r="CM50" s="74">
        <v>-6413.35453225826</v>
      </c>
      <c r="CN50" s="72">
        <v>12411.63957</v>
      </c>
      <c r="CO50" s="73">
        <v>18033.5082895887</v>
      </c>
      <c r="CP50" s="74">
        <v>-5621.8687195887</v>
      </c>
      <c r="CQ50" s="72">
        <v>12083.57752</v>
      </c>
      <c r="CR50" s="73">
        <v>16189.1268812201</v>
      </c>
      <c r="CS50" s="74">
        <v>-4105.54936122012</v>
      </c>
      <c r="CT50" s="72">
        <v>13322.46403</v>
      </c>
      <c r="CU50" s="73">
        <v>18998.01154678</v>
      </c>
      <c r="CV50" s="74">
        <v>-5675.54751678</v>
      </c>
      <c r="CW50" s="72">
        <v>14136.2892089899</v>
      </c>
      <c r="CX50" s="73">
        <v>20085.3312543275</v>
      </c>
      <c r="CY50" s="74">
        <v>-5949.04204533759</v>
      </c>
      <c r="CZ50" s="72">
        <v>13165.471535</v>
      </c>
      <c r="DA50" s="73">
        <v>22118.5064597192</v>
      </c>
      <c r="DB50" s="74">
        <v>-8953.03492471924</v>
      </c>
      <c r="DC50" s="72">
        <v>13047.438639</v>
      </c>
      <c r="DD50" s="73">
        <v>20831.7395751721</v>
      </c>
      <c r="DE50" s="74">
        <v>-7784.30093617215</v>
      </c>
      <c r="DF50" s="72">
        <v>13994.50600534</v>
      </c>
      <c r="DG50" s="73">
        <v>21971.1818379382</v>
      </c>
      <c r="DH50" s="74">
        <v>-7976.67583259823</v>
      </c>
    </row>
    <row r="51" spans="1:112">
      <c r="A51" s="84" t="s">
        <v>171</v>
      </c>
      <c r="B51" s="81">
        <v>0</v>
      </c>
      <c r="C51" s="82">
        <v>8352.62972609</v>
      </c>
      <c r="D51" s="83">
        <v>-8352.62972609</v>
      </c>
      <c r="E51" s="81">
        <v>0</v>
      </c>
      <c r="F51" s="82">
        <v>11334.91592</v>
      </c>
      <c r="G51" s="83">
        <v>-11334.91592</v>
      </c>
      <c r="H51" s="81">
        <v>0</v>
      </c>
      <c r="I51" s="82">
        <v>11529.35399</v>
      </c>
      <c r="J51" s="83">
        <v>-11529.35399</v>
      </c>
      <c r="K51" s="81">
        <v>0</v>
      </c>
      <c r="L51" s="82">
        <v>9258.42319</v>
      </c>
      <c r="M51" s="83">
        <v>-9258.42319</v>
      </c>
      <c r="N51" s="81">
        <v>0</v>
      </c>
      <c r="O51" s="82">
        <v>9725.23086</v>
      </c>
      <c r="P51" s="83">
        <v>-9725.23086</v>
      </c>
      <c r="Q51" s="81">
        <v>0</v>
      </c>
      <c r="R51" s="82">
        <v>7745.10488</v>
      </c>
      <c r="S51" s="83">
        <v>-7745.10488</v>
      </c>
      <c r="T51" s="81">
        <v>0</v>
      </c>
      <c r="U51" s="82">
        <v>6217.57541</v>
      </c>
      <c r="V51" s="83">
        <v>-6217.57541</v>
      </c>
      <c r="W51" s="81">
        <v>0</v>
      </c>
      <c r="X51" s="82">
        <v>6040.12306</v>
      </c>
      <c r="Y51" s="83">
        <v>-6040.12306</v>
      </c>
      <c r="Z51" s="81">
        <v>0</v>
      </c>
      <c r="AA51" s="82">
        <v>5463.02083</v>
      </c>
      <c r="AB51" s="83">
        <v>-5463.02083</v>
      </c>
      <c r="AC51" s="81">
        <v>0</v>
      </c>
      <c r="AD51" s="82">
        <v>5099.64254</v>
      </c>
      <c r="AE51" s="83">
        <v>-5099.64254</v>
      </c>
      <c r="AF51" s="81">
        <v>0</v>
      </c>
      <c r="AG51" s="82">
        <v>4880.6823004</v>
      </c>
      <c r="AH51" s="83">
        <v>-4880.6823004</v>
      </c>
      <c r="AI51" s="81">
        <v>0</v>
      </c>
      <c r="AJ51" s="82">
        <v>4550.89912</v>
      </c>
      <c r="AK51" s="83">
        <v>-4550.89912</v>
      </c>
      <c r="AL51" s="81">
        <v>0</v>
      </c>
      <c r="AM51" s="82">
        <v>4720.21846</v>
      </c>
      <c r="AN51" s="83">
        <v>-4720.21846</v>
      </c>
      <c r="AO51" s="81">
        <v>0</v>
      </c>
      <c r="AP51" s="82">
        <v>4636.79938</v>
      </c>
      <c r="AQ51" s="83">
        <v>-4636.79938</v>
      </c>
      <c r="AR51" s="81">
        <v>0</v>
      </c>
      <c r="AS51" s="82">
        <v>4933.37045019668</v>
      </c>
      <c r="AT51" s="83">
        <v>-4933.37045019668</v>
      </c>
      <c r="AU51" s="81">
        <v>0</v>
      </c>
      <c r="AV51" s="82">
        <v>2804.37002</v>
      </c>
      <c r="AW51" s="83">
        <v>-2804.37002</v>
      </c>
      <c r="AX51" s="81">
        <v>0</v>
      </c>
      <c r="AY51" s="82">
        <v>4383.84763</v>
      </c>
      <c r="AZ51" s="83">
        <v>-4383.84763</v>
      </c>
      <c r="BA51" s="81">
        <v>0</v>
      </c>
      <c r="BB51" s="82">
        <v>6039.80809</v>
      </c>
      <c r="BC51" s="83">
        <v>-6039.80809</v>
      </c>
      <c r="BD51" s="81">
        <v>0</v>
      </c>
      <c r="BE51" s="82">
        <v>5519.74371</v>
      </c>
      <c r="BF51" s="83">
        <v>-5519.74371</v>
      </c>
      <c r="BG51" s="81">
        <v>0</v>
      </c>
      <c r="BH51" s="82">
        <v>4629.28432</v>
      </c>
      <c r="BI51" s="83">
        <v>-4629.28432</v>
      </c>
      <c r="BJ51" s="81">
        <v>0</v>
      </c>
      <c r="BK51" s="82">
        <v>6538.74175</v>
      </c>
      <c r="BL51" s="83">
        <v>-6538.74175</v>
      </c>
      <c r="BM51" s="81">
        <v>0</v>
      </c>
      <c r="BN51" s="82">
        <v>7283.13351</v>
      </c>
      <c r="BO51" s="83">
        <v>-7283.13351</v>
      </c>
      <c r="BP51" s="81">
        <v>0</v>
      </c>
      <c r="BQ51" s="82">
        <v>11394.23736</v>
      </c>
      <c r="BR51" s="83">
        <v>-11394.23736</v>
      </c>
      <c r="BS51" s="81">
        <v>0</v>
      </c>
      <c r="BT51" s="82">
        <v>8883.17676</v>
      </c>
      <c r="BU51" s="83">
        <v>-8883.17676</v>
      </c>
      <c r="BV51" s="81">
        <v>0</v>
      </c>
      <c r="BW51" s="82">
        <v>8915.35039</v>
      </c>
      <c r="BX51" s="83">
        <v>-8915.35039</v>
      </c>
      <c r="BY51" s="81">
        <v>0</v>
      </c>
      <c r="BZ51" s="82">
        <v>8783.05523</v>
      </c>
      <c r="CA51" s="83">
        <v>-8783.05523</v>
      </c>
      <c r="CB51" s="81">
        <v>0</v>
      </c>
      <c r="CC51" s="82">
        <v>7737.19086</v>
      </c>
      <c r="CD51" s="83">
        <v>-7737.19086</v>
      </c>
      <c r="CE51" s="81">
        <v>0</v>
      </c>
      <c r="CF51" s="82">
        <v>8084.29727999999</v>
      </c>
      <c r="CG51" s="83">
        <v>-8084.29727999999</v>
      </c>
      <c r="CH51" s="81">
        <v>0</v>
      </c>
      <c r="CI51" s="82">
        <v>8695.43125527</v>
      </c>
      <c r="CJ51" s="83">
        <v>-8695.43125527</v>
      </c>
      <c r="CK51" s="81">
        <v>0</v>
      </c>
      <c r="CL51" s="82">
        <v>7576.46056319</v>
      </c>
      <c r="CM51" s="83">
        <v>-7576.46056319</v>
      </c>
      <c r="CN51" s="81">
        <v>0</v>
      </c>
      <c r="CO51" s="82">
        <v>8244.6677566</v>
      </c>
      <c r="CP51" s="83">
        <v>-8244.6677566</v>
      </c>
      <c r="CQ51" s="81">
        <v>0</v>
      </c>
      <c r="CR51" s="82">
        <v>8143.52168762</v>
      </c>
      <c r="CS51" s="83">
        <v>-8143.52168762</v>
      </c>
      <c r="CT51" s="81">
        <v>0</v>
      </c>
      <c r="CU51" s="82">
        <v>9007.88445562</v>
      </c>
      <c r="CV51" s="83">
        <v>-9007.88445562</v>
      </c>
      <c r="CW51" s="81">
        <v>0</v>
      </c>
      <c r="CX51" s="82">
        <v>9427.77550273</v>
      </c>
      <c r="CY51" s="83">
        <v>-9427.77550273</v>
      </c>
      <c r="CZ51" s="81">
        <v>0</v>
      </c>
      <c r="DA51" s="82">
        <v>8603.79794273</v>
      </c>
      <c r="DB51" s="83">
        <v>-8603.79794273</v>
      </c>
      <c r="DC51" s="81">
        <v>0</v>
      </c>
      <c r="DD51" s="82">
        <v>8620.36022454079</v>
      </c>
      <c r="DE51" s="83">
        <v>-8620.36022454079</v>
      </c>
      <c r="DF51" s="81">
        <v>0</v>
      </c>
      <c r="DG51" s="82">
        <v>9013.35859</v>
      </c>
      <c r="DH51" s="83">
        <v>-9013.35859</v>
      </c>
    </row>
    <row r="52" spans="1:112">
      <c r="A52" s="84" t="s">
        <v>418</v>
      </c>
      <c r="B52" s="81">
        <v>0</v>
      </c>
      <c r="C52" s="82">
        <v>1814.75054</v>
      </c>
      <c r="D52" s="83">
        <v>-1814.75054</v>
      </c>
      <c r="E52" s="81">
        <v>0</v>
      </c>
      <c r="F52" s="82">
        <v>1176.1442</v>
      </c>
      <c r="G52" s="83">
        <v>-1176.1442</v>
      </c>
      <c r="H52" s="81">
        <v>0</v>
      </c>
      <c r="I52" s="82">
        <v>2145.20196</v>
      </c>
      <c r="J52" s="83">
        <v>-2145.20196</v>
      </c>
      <c r="K52" s="81">
        <v>0</v>
      </c>
      <c r="L52" s="82">
        <v>2406.89261</v>
      </c>
      <c r="M52" s="83">
        <v>-2406.89261</v>
      </c>
      <c r="N52" s="81">
        <v>0</v>
      </c>
      <c r="O52" s="82">
        <v>2336.53288379</v>
      </c>
      <c r="P52" s="83">
        <v>-2336.53288379</v>
      </c>
      <c r="Q52" s="81">
        <v>0</v>
      </c>
      <c r="R52" s="82">
        <v>1358.753854</v>
      </c>
      <c r="S52" s="83">
        <v>-1358.753854</v>
      </c>
      <c r="T52" s="81">
        <v>0</v>
      </c>
      <c r="U52" s="82">
        <v>1905.13803</v>
      </c>
      <c r="V52" s="83">
        <v>-1905.13803</v>
      </c>
      <c r="W52" s="81">
        <v>0</v>
      </c>
      <c r="X52" s="82">
        <v>1841.55101</v>
      </c>
      <c r="Y52" s="83">
        <v>-1841.55101</v>
      </c>
      <c r="Z52" s="81">
        <v>0</v>
      </c>
      <c r="AA52" s="82">
        <v>3354.6342516</v>
      </c>
      <c r="AB52" s="83">
        <v>-3354.6342516</v>
      </c>
      <c r="AC52" s="81">
        <v>0</v>
      </c>
      <c r="AD52" s="82">
        <v>3509.3403871</v>
      </c>
      <c r="AE52" s="83">
        <v>-3509.3403871</v>
      </c>
      <c r="AF52" s="81">
        <v>0</v>
      </c>
      <c r="AG52" s="82">
        <v>2899.83690035</v>
      </c>
      <c r="AH52" s="83">
        <v>-2899.83690035</v>
      </c>
      <c r="AI52" s="81">
        <v>0</v>
      </c>
      <c r="AJ52" s="82">
        <v>2553.0887235</v>
      </c>
      <c r="AK52" s="83">
        <v>-2553.0887235</v>
      </c>
      <c r="AL52" s="81">
        <v>0</v>
      </c>
      <c r="AM52" s="82">
        <v>1811.088204242</v>
      </c>
      <c r="AN52" s="83">
        <v>-1811.088204242</v>
      </c>
      <c r="AO52" s="81">
        <v>0</v>
      </c>
      <c r="AP52" s="82">
        <v>2233.0601339668</v>
      </c>
      <c r="AQ52" s="83">
        <v>-2233.0601339668</v>
      </c>
      <c r="AR52" s="81">
        <v>0</v>
      </c>
      <c r="AS52" s="82">
        <v>428.717264363</v>
      </c>
      <c r="AT52" s="83">
        <v>-428.717264363</v>
      </c>
      <c r="AU52" s="81">
        <v>0</v>
      </c>
      <c r="AV52" s="82">
        <v>1540.1754222911</v>
      </c>
      <c r="AW52" s="83">
        <v>-1540.1754222911</v>
      </c>
      <c r="AX52" s="81">
        <v>0</v>
      </c>
      <c r="AY52" s="82">
        <v>252.746082114914</v>
      </c>
      <c r="AZ52" s="83">
        <v>-252.746082114914</v>
      </c>
      <c r="BA52" s="81">
        <v>0</v>
      </c>
      <c r="BB52" s="82">
        <v>1.17660269141134</v>
      </c>
      <c r="BC52" s="83">
        <v>-1.17660269141134</v>
      </c>
      <c r="BD52" s="81">
        <v>0</v>
      </c>
      <c r="BE52" s="82">
        <v>44.3360707788901</v>
      </c>
      <c r="BF52" s="83">
        <v>-44.3360707788901</v>
      </c>
      <c r="BG52" s="81">
        <v>0</v>
      </c>
      <c r="BH52" s="82">
        <v>29.4708359330714</v>
      </c>
      <c r="BI52" s="83">
        <v>-29.4708359330714</v>
      </c>
      <c r="BJ52" s="81">
        <v>0</v>
      </c>
      <c r="BK52" s="82">
        <v>4.54393117165276</v>
      </c>
      <c r="BL52" s="83">
        <v>-4.54393117165276</v>
      </c>
      <c r="BM52" s="81">
        <v>0</v>
      </c>
      <c r="BN52" s="82">
        <v>6.12275001410044</v>
      </c>
      <c r="BO52" s="83">
        <v>-6.12275001410044</v>
      </c>
      <c r="BP52" s="81">
        <v>0</v>
      </c>
      <c r="BQ52" s="82">
        <v>1.66128472</v>
      </c>
      <c r="BR52" s="83">
        <v>-1.66128472</v>
      </c>
      <c r="BS52" s="81">
        <v>0</v>
      </c>
      <c r="BT52" s="82">
        <v>616.3130188</v>
      </c>
      <c r="BU52" s="83">
        <v>-616.3130188</v>
      </c>
      <c r="BV52" s="81">
        <v>0</v>
      </c>
      <c r="BW52" s="82">
        <v>618.8821228</v>
      </c>
      <c r="BX52" s="83">
        <v>-618.8821228</v>
      </c>
      <c r="BY52" s="81">
        <v>0</v>
      </c>
      <c r="BZ52" s="82">
        <v>615.9050292</v>
      </c>
      <c r="CA52" s="83">
        <v>-615.9050292</v>
      </c>
      <c r="CB52" s="81">
        <v>0</v>
      </c>
      <c r="CC52" s="82">
        <v>2019.0220756565</v>
      </c>
      <c r="CD52" s="83">
        <v>-2019.0220756565</v>
      </c>
      <c r="CE52" s="81">
        <v>0</v>
      </c>
      <c r="CF52" s="82">
        <v>1216.94139416637</v>
      </c>
      <c r="CG52" s="83">
        <v>-1216.94139416637</v>
      </c>
      <c r="CH52" s="81">
        <v>0</v>
      </c>
      <c r="CI52" s="82">
        <v>2544.44244282714</v>
      </c>
      <c r="CJ52" s="83">
        <v>-2544.44244282714</v>
      </c>
      <c r="CK52" s="81">
        <v>0</v>
      </c>
      <c r="CL52" s="82">
        <v>1826.66376956826</v>
      </c>
      <c r="CM52" s="83">
        <v>-1826.66376956826</v>
      </c>
      <c r="CN52" s="81">
        <v>0</v>
      </c>
      <c r="CO52" s="82">
        <v>1085.0814929887</v>
      </c>
      <c r="CP52" s="83">
        <v>-1085.0814929887</v>
      </c>
      <c r="CQ52" s="81">
        <v>0</v>
      </c>
      <c r="CR52" s="82">
        <v>510.347063600107</v>
      </c>
      <c r="CS52" s="83">
        <v>-510.347063600107</v>
      </c>
      <c r="CT52" s="81">
        <v>0</v>
      </c>
      <c r="CU52" s="82">
        <v>707.56324716</v>
      </c>
      <c r="CV52" s="83">
        <v>-707.56324716</v>
      </c>
      <c r="CW52" s="81">
        <v>0</v>
      </c>
      <c r="CX52" s="82">
        <v>711.901380397486</v>
      </c>
      <c r="CY52" s="83">
        <v>-711.901380397486</v>
      </c>
      <c r="CZ52" s="81">
        <v>0</v>
      </c>
      <c r="DA52" s="82">
        <v>2818.61755362924</v>
      </c>
      <c r="DB52" s="83">
        <v>-2818.61755362924</v>
      </c>
      <c r="DC52" s="81">
        <v>0</v>
      </c>
      <c r="DD52" s="82">
        <v>2436.33271356136</v>
      </c>
      <c r="DE52" s="83">
        <v>-2436.33271356136</v>
      </c>
      <c r="DF52" s="81">
        <v>0</v>
      </c>
      <c r="DG52" s="82">
        <v>2022.26241193823</v>
      </c>
      <c r="DH52" s="83">
        <v>-2022.26241193823</v>
      </c>
    </row>
    <row r="53" spans="1:112">
      <c r="A53" s="84" t="s">
        <v>173</v>
      </c>
      <c r="B53" s="81">
        <v>387.70092</v>
      </c>
      <c r="C53" s="82">
        <v>758.21011</v>
      </c>
      <c r="D53" s="83">
        <v>-370.50919</v>
      </c>
      <c r="E53" s="81">
        <v>406.76271</v>
      </c>
      <c r="F53" s="82">
        <v>32.05054</v>
      </c>
      <c r="G53" s="83">
        <v>374.71217</v>
      </c>
      <c r="H53" s="81">
        <v>371.81269</v>
      </c>
      <c r="I53" s="82">
        <v>157.2903</v>
      </c>
      <c r="J53" s="83">
        <v>214.52239</v>
      </c>
      <c r="K53" s="81">
        <v>588.14749</v>
      </c>
      <c r="L53" s="82">
        <v>149.02252</v>
      </c>
      <c r="M53" s="83">
        <v>439.12497</v>
      </c>
      <c r="N53" s="81">
        <v>473.53857</v>
      </c>
      <c r="O53" s="82">
        <v>56.13848</v>
      </c>
      <c r="P53" s="83">
        <v>417.40009</v>
      </c>
      <c r="Q53" s="81">
        <v>501.13269</v>
      </c>
      <c r="R53" s="82">
        <v>88.06834</v>
      </c>
      <c r="S53" s="83">
        <v>413.06435</v>
      </c>
      <c r="T53" s="81">
        <v>698.90832</v>
      </c>
      <c r="U53" s="82">
        <v>91.23811</v>
      </c>
      <c r="V53" s="83">
        <v>607.67021</v>
      </c>
      <c r="W53" s="81">
        <v>616.3208</v>
      </c>
      <c r="X53" s="82">
        <v>125.62485</v>
      </c>
      <c r="Y53" s="83">
        <v>490.69595</v>
      </c>
      <c r="Z53" s="81">
        <v>626.01151</v>
      </c>
      <c r="AA53" s="82">
        <v>129.06263</v>
      </c>
      <c r="AB53" s="83">
        <v>496.94888</v>
      </c>
      <c r="AC53" s="81">
        <v>534.27922</v>
      </c>
      <c r="AD53" s="82">
        <v>127.45983</v>
      </c>
      <c r="AE53" s="83">
        <v>406.81939</v>
      </c>
      <c r="AF53" s="81">
        <v>528.94369</v>
      </c>
      <c r="AG53" s="82">
        <v>162.89868</v>
      </c>
      <c r="AH53" s="83">
        <v>366.04501</v>
      </c>
      <c r="AI53" s="81">
        <v>522.54847</v>
      </c>
      <c r="AJ53" s="82">
        <v>160.5973</v>
      </c>
      <c r="AK53" s="83">
        <v>361.95117</v>
      </c>
      <c r="AL53" s="81">
        <v>491.94796</v>
      </c>
      <c r="AM53" s="82">
        <v>205.57047</v>
      </c>
      <c r="AN53" s="83">
        <v>286.37749</v>
      </c>
      <c r="AO53" s="81">
        <v>609.99884</v>
      </c>
      <c r="AP53" s="82">
        <v>200.47378</v>
      </c>
      <c r="AQ53" s="83">
        <v>409.52506</v>
      </c>
      <c r="AR53" s="81">
        <v>471.63869</v>
      </c>
      <c r="AS53" s="82">
        <v>223.03551</v>
      </c>
      <c r="AT53" s="83">
        <v>248.60318</v>
      </c>
      <c r="AU53" s="81">
        <v>465.23868</v>
      </c>
      <c r="AV53" s="82">
        <v>151.90946</v>
      </c>
      <c r="AW53" s="83">
        <v>313.32922</v>
      </c>
      <c r="AX53" s="81">
        <v>756.7997</v>
      </c>
      <c r="AY53" s="82">
        <v>182.96702</v>
      </c>
      <c r="AZ53" s="83">
        <v>573.83268</v>
      </c>
      <c r="BA53" s="81">
        <v>774.93569</v>
      </c>
      <c r="BB53" s="82">
        <v>185.91528</v>
      </c>
      <c r="BC53" s="83">
        <v>589.02041</v>
      </c>
      <c r="BD53" s="81">
        <v>869.77095</v>
      </c>
      <c r="BE53" s="82">
        <v>292.12805</v>
      </c>
      <c r="BF53" s="83">
        <v>577.6429</v>
      </c>
      <c r="BG53" s="81">
        <v>927.90307</v>
      </c>
      <c r="BH53" s="82">
        <v>318.64626</v>
      </c>
      <c r="BI53" s="83">
        <v>609.25681</v>
      </c>
      <c r="BJ53" s="81">
        <v>867.90594</v>
      </c>
      <c r="BK53" s="82">
        <v>341.9184</v>
      </c>
      <c r="BL53" s="83">
        <v>525.98754</v>
      </c>
      <c r="BM53" s="81">
        <v>1069.31032</v>
      </c>
      <c r="BN53" s="82">
        <v>253.92686</v>
      </c>
      <c r="BO53" s="83">
        <v>815.38346</v>
      </c>
      <c r="BP53" s="81">
        <v>1581.64912</v>
      </c>
      <c r="BQ53" s="82">
        <v>208.53139</v>
      </c>
      <c r="BR53" s="83">
        <v>1373.11773</v>
      </c>
      <c r="BS53" s="81">
        <v>1180.00268</v>
      </c>
      <c r="BT53" s="82">
        <v>207.36464</v>
      </c>
      <c r="BU53" s="83">
        <v>972.63804</v>
      </c>
      <c r="BV53" s="81">
        <v>1044.8949</v>
      </c>
      <c r="BW53" s="82">
        <v>162.99852</v>
      </c>
      <c r="BX53" s="83">
        <v>881.89638</v>
      </c>
      <c r="BY53" s="81">
        <v>1050.1039</v>
      </c>
      <c r="BZ53" s="82">
        <v>204.86064</v>
      </c>
      <c r="CA53" s="83">
        <v>845.24326</v>
      </c>
      <c r="CB53" s="81">
        <v>1784.57145</v>
      </c>
      <c r="CC53" s="82">
        <v>223.73339</v>
      </c>
      <c r="CD53" s="83">
        <v>1560.83806</v>
      </c>
      <c r="CE53" s="81">
        <v>1800.13731</v>
      </c>
      <c r="CF53" s="82">
        <v>258.45161</v>
      </c>
      <c r="CG53" s="83">
        <v>1541.6857</v>
      </c>
      <c r="CH53" s="81">
        <v>1179.65771</v>
      </c>
      <c r="CI53" s="82">
        <v>243.97804</v>
      </c>
      <c r="CJ53" s="83">
        <v>935.67967</v>
      </c>
      <c r="CK53" s="81">
        <v>1389.49521</v>
      </c>
      <c r="CL53" s="82">
        <v>259.724</v>
      </c>
      <c r="CM53" s="83">
        <v>1129.77121</v>
      </c>
      <c r="CN53" s="81">
        <v>1518.16286</v>
      </c>
      <c r="CO53" s="82">
        <v>228.65497</v>
      </c>
      <c r="CP53" s="83">
        <v>1289.50789</v>
      </c>
      <c r="CQ53" s="81">
        <v>1425.3795</v>
      </c>
      <c r="CR53" s="82">
        <v>262.4255</v>
      </c>
      <c r="CS53" s="83">
        <v>1162.954</v>
      </c>
      <c r="CT53" s="81">
        <v>1309.89624</v>
      </c>
      <c r="CU53" s="82">
        <v>188.58534</v>
      </c>
      <c r="CV53" s="83">
        <v>1121.3109</v>
      </c>
      <c r="CW53" s="81">
        <v>1327.51135</v>
      </c>
      <c r="CX53" s="82">
        <v>178.7042</v>
      </c>
      <c r="CY53" s="83">
        <v>1148.80715</v>
      </c>
      <c r="CZ53" s="81">
        <v>1149.59712</v>
      </c>
      <c r="DA53" s="82">
        <v>186.73265</v>
      </c>
      <c r="DB53" s="83">
        <v>962.86447</v>
      </c>
      <c r="DC53" s="81">
        <v>1171.05236</v>
      </c>
      <c r="DD53" s="82">
        <v>322.57145</v>
      </c>
      <c r="DE53" s="83">
        <v>848.48091</v>
      </c>
      <c r="DF53" s="81">
        <v>1199.2699</v>
      </c>
      <c r="DG53" s="82">
        <v>548.63991</v>
      </c>
      <c r="DH53" s="83">
        <v>650.62999</v>
      </c>
    </row>
    <row r="54" spans="1:112">
      <c r="A54" s="84" t="s">
        <v>174</v>
      </c>
      <c r="B54" s="81">
        <v>5260.19547369</v>
      </c>
      <c r="C54" s="82">
        <v>6253.89061426534</v>
      </c>
      <c r="D54" s="83">
        <v>-993.695140575341</v>
      </c>
      <c r="E54" s="81">
        <v>5390.18223138945</v>
      </c>
      <c r="F54" s="82">
        <v>5872.72546169</v>
      </c>
      <c r="G54" s="83">
        <v>-482.54323030055</v>
      </c>
      <c r="H54" s="81">
        <v>5682.43621846698</v>
      </c>
      <c r="I54" s="82">
        <v>5934.84942146592</v>
      </c>
      <c r="J54" s="83">
        <v>-252.413202998941</v>
      </c>
      <c r="K54" s="81">
        <v>5649.17454</v>
      </c>
      <c r="L54" s="82">
        <v>5905.495394</v>
      </c>
      <c r="M54" s="83">
        <v>-256.320854000001</v>
      </c>
      <c r="N54" s="81">
        <v>5643.356543</v>
      </c>
      <c r="O54" s="82">
        <v>6201.042341</v>
      </c>
      <c r="P54" s="83">
        <v>-557.685798</v>
      </c>
      <c r="Q54" s="81">
        <v>5865.970262</v>
      </c>
      <c r="R54" s="82">
        <v>7211.970624</v>
      </c>
      <c r="S54" s="83">
        <v>-1346.000362</v>
      </c>
      <c r="T54" s="81">
        <v>6058.2189</v>
      </c>
      <c r="U54" s="82">
        <v>7321.1845</v>
      </c>
      <c r="V54" s="83">
        <v>-1262.9656</v>
      </c>
      <c r="W54" s="81">
        <v>6124.20324455285</v>
      </c>
      <c r="X54" s="82">
        <v>5761.95042</v>
      </c>
      <c r="Y54" s="83">
        <v>362.252824552851</v>
      </c>
      <c r="Z54" s="81">
        <v>5837.72036</v>
      </c>
      <c r="AA54" s="82">
        <v>6030.117741</v>
      </c>
      <c r="AB54" s="83">
        <v>-192.397381</v>
      </c>
      <c r="AC54" s="81">
        <v>6220.98062</v>
      </c>
      <c r="AD54" s="82">
        <v>5675.538301</v>
      </c>
      <c r="AE54" s="83">
        <v>545.442318999999</v>
      </c>
      <c r="AF54" s="81">
        <v>6545.49383</v>
      </c>
      <c r="AG54" s="82">
        <v>5473.307003</v>
      </c>
      <c r="AH54" s="83">
        <v>1072.186827</v>
      </c>
      <c r="AI54" s="81">
        <v>6696.44086</v>
      </c>
      <c r="AJ54" s="82">
        <v>5316.651168</v>
      </c>
      <c r="AK54" s="83">
        <v>1379.789692</v>
      </c>
      <c r="AL54" s="81">
        <v>6328.3295782977</v>
      </c>
      <c r="AM54" s="82">
        <v>4467.08538133</v>
      </c>
      <c r="AN54" s="83">
        <v>1861.2441969677</v>
      </c>
      <c r="AO54" s="81">
        <v>6643.124506</v>
      </c>
      <c r="AP54" s="82">
        <v>4639.395757</v>
      </c>
      <c r="AQ54" s="83">
        <v>2003.728749</v>
      </c>
      <c r="AR54" s="81">
        <v>6919.7644457</v>
      </c>
      <c r="AS54" s="82">
        <v>4377.69445</v>
      </c>
      <c r="AT54" s="83">
        <v>2542.0699957</v>
      </c>
      <c r="AU54" s="81">
        <v>6787.7452841</v>
      </c>
      <c r="AV54" s="82">
        <v>4370.37076145</v>
      </c>
      <c r="AW54" s="83">
        <v>2417.37452265</v>
      </c>
      <c r="AX54" s="81">
        <v>7063.07957074</v>
      </c>
      <c r="AY54" s="82">
        <v>5520.905425</v>
      </c>
      <c r="AZ54" s="83">
        <v>1542.17414574</v>
      </c>
      <c r="BA54" s="81">
        <v>7708.333156</v>
      </c>
      <c r="BB54" s="82">
        <v>5730.181928</v>
      </c>
      <c r="BC54" s="83">
        <v>1978.151228</v>
      </c>
      <c r="BD54" s="81">
        <v>7538.92746408601</v>
      </c>
      <c r="BE54" s="82">
        <v>5737.690468</v>
      </c>
      <c r="BF54" s="83">
        <v>1801.23699608601</v>
      </c>
      <c r="BG54" s="81">
        <v>7616.752624</v>
      </c>
      <c r="BH54" s="82">
        <v>6405.32727356821</v>
      </c>
      <c r="BI54" s="83">
        <v>1211.42535043179</v>
      </c>
      <c r="BJ54" s="81">
        <v>7533.30392</v>
      </c>
      <c r="BK54" s="82">
        <v>7039.971733</v>
      </c>
      <c r="BL54" s="83">
        <v>493.332187</v>
      </c>
      <c r="BM54" s="81">
        <v>8773.80286103386</v>
      </c>
      <c r="BN54" s="82">
        <v>7948.05903986</v>
      </c>
      <c r="BO54" s="83">
        <v>825.74382117386</v>
      </c>
      <c r="BP54" s="81">
        <v>8871.6029935</v>
      </c>
      <c r="BQ54" s="82">
        <v>7770.22518414933</v>
      </c>
      <c r="BR54" s="83">
        <v>1101.37780935067</v>
      </c>
      <c r="BS54" s="81">
        <v>8760.802888</v>
      </c>
      <c r="BT54" s="82">
        <v>7210.10805779</v>
      </c>
      <c r="BU54" s="83">
        <v>1550.69483021</v>
      </c>
      <c r="BV54" s="81">
        <v>9314.23870584</v>
      </c>
      <c r="BW54" s="82">
        <v>7769.28011309</v>
      </c>
      <c r="BX54" s="83">
        <v>1544.95859275</v>
      </c>
      <c r="BY54" s="81">
        <v>10119.73506918</v>
      </c>
      <c r="BZ54" s="82">
        <v>8326.90031509</v>
      </c>
      <c r="CA54" s="83">
        <v>1792.83475409</v>
      </c>
      <c r="CB54" s="81">
        <v>10250.5892474</v>
      </c>
      <c r="CC54" s="82">
        <v>8171.2690967</v>
      </c>
      <c r="CD54" s="83">
        <v>2079.3201507</v>
      </c>
      <c r="CE54" s="81">
        <v>10198.3017969445</v>
      </c>
      <c r="CF54" s="82">
        <v>7288.53644114812</v>
      </c>
      <c r="CG54" s="83">
        <v>2909.76535579638</v>
      </c>
      <c r="CH54" s="81">
        <v>10148.01238553</v>
      </c>
      <c r="CI54" s="82">
        <v>7812.4094659</v>
      </c>
      <c r="CJ54" s="83">
        <v>2335.60291963</v>
      </c>
      <c r="CK54" s="81">
        <v>10326.792169</v>
      </c>
      <c r="CL54" s="82">
        <v>8934.0893705</v>
      </c>
      <c r="CM54" s="83">
        <v>1392.7027985</v>
      </c>
      <c r="CN54" s="81">
        <v>10247.51025</v>
      </c>
      <c r="CO54" s="82">
        <v>8135.58507</v>
      </c>
      <c r="CP54" s="83">
        <v>2111.92518</v>
      </c>
      <c r="CQ54" s="81">
        <v>9880.24014999999</v>
      </c>
      <c r="CR54" s="82">
        <v>6977.64017</v>
      </c>
      <c r="CS54" s="83">
        <v>2902.59997999999</v>
      </c>
      <c r="CT54" s="81">
        <v>10748.49582</v>
      </c>
      <c r="CU54" s="82">
        <v>8331.643764</v>
      </c>
      <c r="CV54" s="83">
        <v>2416.852056</v>
      </c>
      <c r="CW54" s="81">
        <v>11603.4511389899</v>
      </c>
      <c r="CX54" s="82">
        <v>8893.4345712</v>
      </c>
      <c r="CY54" s="83">
        <v>2710.0165677899</v>
      </c>
      <c r="CZ54" s="81">
        <v>11293.076675</v>
      </c>
      <c r="DA54" s="82">
        <v>8520.9405012</v>
      </c>
      <c r="DB54" s="83">
        <v>2772.1361738</v>
      </c>
      <c r="DC54" s="81">
        <v>11037.319519</v>
      </c>
      <c r="DD54" s="82">
        <v>8372.33597491</v>
      </c>
      <c r="DE54" s="83">
        <v>2664.98354409</v>
      </c>
      <c r="DF54" s="81">
        <v>11567.41660534</v>
      </c>
      <c r="DG54" s="82">
        <v>9145.246696</v>
      </c>
      <c r="DH54" s="83">
        <v>2422.16990934</v>
      </c>
    </row>
    <row r="55" spans="1:112">
      <c r="A55" s="80" t="s">
        <v>419</v>
      </c>
      <c r="B55" s="81">
        <v>119.22177</v>
      </c>
      <c r="C55" s="82">
        <v>490.74732</v>
      </c>
      <c r="D55" s="83">
        <v>-371.52555</v>
      </c>
      <c r="E55" s="81">
        <v>126.271</v>
      </c>
      <c r="F55" s="82">
        <v>376.55362</v>
      </c>
      <c r="G55" s="83">
        <v>-250.28262</v>
      </c>
      <c r="H55" s="81">
        <v>197.042860001</v>
      </c>
      <c r="I55" s="82">
        <v>380.34049</v>
      </c>
      <c r="J55" s="83">
        <v>-183.297629999</v>
      </c>
      <c r="K55" s="81">
        <v>109.23139</v>
      </c>
      <c r="L55" s="82">
        <v>404.7339</v>
      </c>
      <c r="M55" s="83">
        <v>-295.50251</v>
      </c>
      <c r="N55" s="81">
        <v>68.7657</v>
      </c>
      <c r="O55" s="82">
        <v>60.20274</v>
      </c>
      <c r="P55" s="83">
        <v>8.56295999999999</v>
      </c>
      <c r="Q55" s="81">
        <v>145.24609</v>
      </c>
      <c r="R55" s="82">
        <v>1733.20458</v>
      </c>
      <c r="S55" s="83">
        <v>-1587.95849</v>
      </c>
      <c r="T55" s="81">
        <v>135.36316</v>
      </c>
      <c r="U55" s="82">
        <v>156.9084</v>
      </c>
      <c r="V55" s="83">
        <v>-21.54524</v>
      </c>
      <c r="W55" s="81">
        <v>108.72752</v>
      </c>
      <c r="X55" s="82">
        <v>141.89245</v>
      </c>
      <c r="Y55" s="83">
        <v>-33.16493</v>
      </c>
      <c r="Z55" s="81">
        <v>52.10148</v>
      </c>
      <c r="AA55" s="82">
        <v>137.90439</v>
      </c>
      <c r="AB55" s="83">
        <v>-85.80291</v>
      </c>
      <c r="AC55" s="81">
        <v>54.39041</v>
      </c>
      <c r="AD55" s="82">
        <v>128.28054</v>
      </c>
      <c r="AE55" s="83">
        <v>-73.89013</v>
      </c>
      <c r="AF55" s="81">
        <v>41.21857</v>
      </c>
      <c r="AG55" s="82">
        <v>131.18894</v>
      </c>
      <c r="AH55" s="83">
        <v>-89.97037</v>
      </c>
      <c r="AI55" s="81">
        <v>59.90172</v>
      </c>
      <c r="AJ55" s="82">
        <v>81.95462</v>
      </c>
      <c r="AK55" s="83">
        <v>-22.0529</v>
      </c>
      <c r="AL55" s="81">
        <v>95.25019</v>
      </c>
      <c r="AM55" s="82">
        <v>81.75277</v>
      </c>
      <c r="AN55" s="83">
        <v>13.49742</v>
      </c>
      <c r="AO55" s="81">
        <v>89.00895</v>
      </c>
      <c r="AP55" s="82">
        <v>97.02289</v>
      </c>
      <c r="AQ55" s="83">
        <v>-8.01394000000001</v>
      </c>
      <c r="AR55" s="81">
        <v>48.69923</v>
      </c>
      <c r="AS55" s="82">
        <v>59.92264</v>
      </c>
      <c r="AT55" s="83">
        <v>-11.22341</v>
      </c>
      <c r="AU55" s="81">
        <v>62.97777</v>
      </c>
      <c r="AV55" s="82">
        <v>118.56399</v>
      </c>
      <c r="AW55" s="83">
        <v>-55.58622</v>
      </c>
      <c r="AX55" s="81">
        <v>200.38779</v>
      </c>
      <c r="AY55" s="82">
        <v>164.23189</v>
      </c>
      <c r="AZ55" s="83">
        <v>36.1559</v>
      </c>
      <c r="BA55" s="81">
        <v>305.4921</v>
      </c>
      <c r="BB55" s="82">
        <v>192.85708</v>
      </c>
      <c r="BC55" s="83">
        <v>112.63502</v>
      </c>
      <c r="BD55" s="81">
        <v>182.39336</v>
      </c>
      <c r="BE55" s="82">
        <v>233.677911034403</v>
      </c>
      <c r="BF55" s="83">
        <v>-51.284551034403</v>
      </c>
      <c r="BG55" s="81">
        <v>1108.31947</v>
      </c>
      <c r="BH55" s="82">
        <v>227.48273</v>
      </c>
      <c r="BI55" s="83">
        <v>880.83674</v>
      </c>
      <c r="BJ55" s="81">
        <v>127.03606</v>
      </c>
      <c r="BK55" s="82">
        <v>123.43717</v>
      </c>
      <c r="BL55" s="83">
        <v>3.59889000000001</v>
      </c>
      <c r="BM55" s="81">
        <v>592.18957</v>
      </c>
      <c r="BN55" s="82">
        <v>127.58209</v>
      </c>
      <c r="BO55" s="83">
        <v>464.60748</v>
      </c>
      <c r="BP55" s="81">
        <v>657.52171</v>
      </c>
      <c r="BQ55" s="82">
        <v>947.51793</v>
      </c>
      <c r="BR55" s="83">
        <v>-289.99622</v>
      </c>
      <c r="BS55" s="81">
        <v>450.33904</v>
      </c>
      <c r="BT55" s="82">
        <v>492.63744</v>
      </c>
      <c r="BU55" s="83">
        <v>-42.2984</v>
      </c>
      <c r="BV55" s="81">
        <v>578.74788</v>
      </c>
      <c r="BW55" s="82">
        <v>494.08215</v>
      </c>
      <c r="BX55" s="83">
        <v>84.66573</v>
      </c>
      <c r="BY55" s="81">
        <v>632.09051</v>
      </c>
      <c r="BZ55" s="82">
        <v>128.75207</v>
      </c>
      <c r="CA55" s="83">
        <v>503.33844</v>
      </c>
      <c r="CB55" s="81">
        <v>560.51565</v>
      </c>
      <c r="CC55" s="82">
        <v>146.38543</v>
      </c>
      <c r="CD55" s="83">
        <v>414.13022</v>
      </c>
      <c r="CE55" s="81">
        <v>665.57677</v>
      </c>
      <c r="CF55" s="82">
        <v>563.36561</v>
      </c>
      <c r="CG55" s="83">
        <v>102.21116</v>
      </c>
      <c r="CH55" s="81">
        <v>595.33617</v>
      </c>
      <c r="CI55" s="82">
        <v>235.3315</v>
      </c>
      <c r="CJ55" s="83">
        <v>360.00467</v>
      </c>
      <c r="CK55" s="81">
        <v>717.170662</v>
      </c>
      <c r="CL55" s="82">
        <v>249.87487</v>
      </c>
      <c r="CM55" s="83">
        <v>467.295792</v>
      </c>
      <c r="CN55" s="81">
        <v>645.96646</v>
      </c>
      <c r="CO55" s="82">
        <v>339.519</v>
      </c>
      <c r="CP55" s="83">
        <v>306.44746</v>
      </c>
      <c r="CQ55" s="81">
        <v>777.95787</v>
      </c>
      <c r="CR55" s="82">
        <v>295.19246</v>
      </c>
      <c r="CS55" s="83">
        <v>482.76541</v>
      </c>
      <c r="CT55" s="81">
        <v>1264.07197</v>
      </c>
      <c r="CU55" s="82">
        <v>762.33474</v>
      </c>
      <c r="CV55" s="83">
        <v>501.73723</v>
      </c>
      <c r="CW55" s="81">
        <v>1205.32672</v>
      </c>
      <c r="CX55" s="82">
        <v>873.5156</v>
      </c>
      <c r="CY55" s="83">
        <v>331.81112</v>
      </c>
      <c r="CZ55" s="81">
        <v>722.79774</v>
      </c>
      <c r="DA55" s="82">
        <v>1988.41781216</v>
      </c>
      <c r="DB55" s="83">
        <v>-1265.62007216</v>
      </c>
      <c r="DC55" s="81">
        <v>839.06676</v>
      </c>
      <c r="DD55" s="82">
        <v>1080.13921216</v>
      </c>
      <c r="DE55" s="83">
        <v>-241.07245216</v>
      </c>
      <c r="DF55" s="81">
        <v>1227.8195</v>
      </c>
      <c r="DG55" s="82">
        <v>1241.67423</v>
      </c>
      <c r="DH55" s="83">
        <v>-13.85473</v>
      </c>
    </row>
    <row r="56" s="52" customFormat="1" ht="15" spans="1:112">
      <c r="A56" s="86" t="s">
        <v>166</v>
      </c>
      <c r="B56" s="72">
        <v>34313.8295796182</v>
      </c>
      <c r="C56" s="73">
        <v>15505.4458923579</v>
      </c>
      <c r="D56" s="74">
        <v>18808.3836872603</v>
      </c>
      <c r="E56" s="72">
        <v>36239.8570913835</v>
      </c>
      <c r="F56" s="73">
        <v>16675.4981207441</v>
      </c>
      <c r="G56" s="74">
        <v>19564.3589706393</v>
      </c>
      <c r="H56" s="72">
        <v>37058.7098485951</v>
      </c>
      <c r="I56" s="73">
        <v>16563.0683291246</v>
      </c>
      <c r="J56" s="74">
        <v>20495.6415194705</v>
      </c>
      <c r="K56" s="72">
        <v>37267.809537004</v>
      </c>
      <c r="L56" s="73">
        <v>17046.4633157403</v>
      </c>
      <c r="M56" s="74">
        <v>20221.3462212637</v>
      </c>
      <c r="N56" s="72">
        <v>37017.3355392323</v>
      </c>
      <c r="O56" s="73">
        <v>18562.6465887612</v>
      </c>
      <c r="P56" s="74">
        <v>18454.6889504712</v>
      </c>
      <c r="Q56" s="72">
        <v>36371.6957858391</v>
      </c>
      <c r="R56" s="73">
        <v>18396.8436102127</v>
      </c>
      <c r="S56" s="74">
        <v>17974.8521756264</v>
      </c>
      <c r="T56" s="72">
        <v>34413.5147294467</v>
      </c>
      <c r="U56" s="73">
        <v>18703.595660304</v>
      </c>
      <c r="V56" s="74">
        <v>15709.9190691427</v>
      </c>
      <c r="W56" s="72">
        <v>32812.4273111592</v>
      </c>
      <c r="X56" s="73">
        <v>17646.9513585571</v>
      </c>
      <c r="Y56" s="74">
        <v>15165.4759526021</v>
      </c>
      <c r="Z56" s="72">
        <v>32504.5016876249</v>
      </c>
      <c r="AA56" s="73">
        <v>17608.4080989721</v>
      </c>
      <c r="AB56" s="74">
        <v>14896.0935886528</v>
      </c>
      <c r="AC56" s="72">
        <v>32852.1955822732</v>
      </c>
      <c r="AD56" s="73">
        <v>18157.3939488502</v>
      </c>
      <c r="AE56" s="74">
        <v>14694.8016334229</v>
      </c>
      <c r="AF56" s="72">
        <v>33897.3732819552</v>
      </c>
      <c r="AG56" s="73">
        <v>18893.686208009</v>
      </c>
      <c r="AH56" s="74">
        <v>15003.6870739462</v>
      </c>
      <c r="AI56" s="72">
        <v>33761.6557153864</v>
      </c>
      <c r="AJ56" s="73">
        <v>18708.8157540818</v>
      </c>
      <c r="AK56" s="74">
        <v>15052.8399613046</v>
      </c>
      <c r="AL56" s="72">
        <v>30489.2827463066</v>
      </c>
      <c r="AM56" s="73">
        <v>19639.2870693577</v>
      </c>
      <c r="AN56" s="74">
        <v>10849.9956769489</v>
      </c>
      <c r="AO56" s="72">
        <v>32395.605618517</v>
      </c>
      <c r="AP56" s="73">
        <v>19546.8403807505</v>
      </c>
      <c r="AQ56" s="74">
        <v>12848.7652377666</v>
      </c>
      <c r="AR56" s="72">
        <v>33260.9177062619</v>
      </c>
      <c r="AS56" s="73">
        <v>20137.8597143106</v>
      </c>
      <c r="AT56" s="74">
        <v>13123.0579919513</v>
      </c>
      <c r="AU56" s="72">
        <v>34072.0654053055</v>
      </c>
      <c r="AV56" s="73">
        <v>20671.9880615063</v>
      </c>
      <c r="AW56" s="74">
        <v>13400.0773437992</v>
      </c>
      <c r="AX56" s="72">
        <v>33391.9889364414</v>
      </c>
      <c r="AY56" s="73">
        <v>20308.3103871656</v>
      </c>
      <c r="AZ56" s="74">
        <v>13083.6785492758</v>
      </c>
      <c r="BA56" s="72">
        <v>33873.3733240866</v>
      </c>
      <c r="BB56" s="73">
        <v>20220.0524369043</v>
      </c>
      <c r="BC56" s="74">
        <v>13653.3208871823</v>
      </c>
      <c r="BD56" s="72">
        <v>34317.2913513215</v>
      </c>
      <c r="BE56" s="73">
        <v>21196.2393718408</v>
      </c>
      <c r="BF56" s="74">
        <v>13121.0519794807</v>
      </c>
      <c r="BG56" s="72">
        <v>34360.4210485738</v>
      </c>
      <c r="BH56" s="73">
        <v>23899.0857586453</v>
      </c>
      <c r="BI56" s="74">
        <v>10461.3352899286</v>
      </c>
      <c r="BJ56" s="72">
        <v>32015.7195118312</v>
      </c>
      <c r="BK56" s="73">
        <v>21832.606511876</v>
      </c>
      <c r="BL56" s="74">
        <v>10183.1129999552</v>
      </c>
      <c r="BM56" s="72">
        <v>33156.208350196</v>
      </c>
      <c r="BN56" s="73">
        <v>21049.9939943802</v>
      </c>
      <c r="BO56" s="74">
        <v>12106.2143558158</v>
      </c>
      <c r="BP56" s="72">
        <v>32641.3994719117</v>
      </c>
      <c r="BQ56" s="73">
        <v>19790.069724722</v>
      </c>
      <c r="BR56" s="74">
        <v>12851.3297471897</v>
      </c>
      <c r="BS56" s="72">
        <v>31836.1572286849</v>
      </c>
      <c r="BT56" s="73">
        <v>21469.6688858774</v>
      </c>
      <c r="BU56" s="74">
        <v>10366.4883428076</v>
      </c>
      <c r="BV56" s="72">
        <v>32327.6225470616</v>
      </c>
      <c r="BW56" s="73">
        <v>21547.708995547</v>
      </c>
      <c r="BX56" s="74">
        <v>10779.9135515146</v>
      </c>
      <c r="BY56" s="72">
        <v>31966.6847358855</v>
      </c>
      <c r="BZ56" s="73">
        <v>22671.414457861</v>
      </c>
      <c r="CA56" s="74">
        <v>9295.27027802451</v>
      </c>
      <c r="CB56" s="72">
        <v>32408.8735494346</v>
      </c>
      <c r="CC56" s="73">
        <v>21248.5477379632</v>
      </c>
      <c r="CD56" s="74">
        <v>11160.3258114714</v>
      </c>
      <c r="CE56" s="72">
        <v>32799.446880968</v>
      </c>
      <c r="CF56" s="73">
        <v>22413.6161144196</v>
      </c>
      <c r="CG56" s="74">
        <v>10385.8307665484</v>
      </c>
      <c r="CH56" s="72">
        <v>33249.1496055918</v>
      </c>
      <c r="CI56" s="73">
        <v>22892.7507303401</v>
      </c>
      <c r="CJ56" s="74">
        <v>10356.3988752517</v>
      </c>
      <c r="CK56" s="72">
        <v>33465.1054176388</v>
      </c>
      <c r="CL56" s="73">
        <v>24916.000620419</v>
      </c>
      <c r="CM56" s="74">
        <v>8549.1047972199</v>
      </c>
      <c r="CN56" s="72">
        <v>33289.8367407736</v>
      </c>
      <c r="CO56" s="73">
        <v>27589.7766769719</v>
      </c>
      <c r="CP56" s="74">
        <v>5700.06006380171</v>
      </c>
      <c r="CQ56" s="72">
        <v>33089.1397653918</v>
      </c>
      <c r="CR56" s="73">
        <v>28162.0580845389</v>
      </c>
      <c r="CS56" s="74">
        <v>4927.08168085288</v>
      </c>
      <c r="CT56" s="72">
        <v>34887.8183802237</v>
      </c>
      <c r="CU56" s="73">
        <v>29634.5039948497</v>
      </c>
      <c r="CV56" s="74">
        <v>5253.31438537401</v>
      </c>
      <c r="CW56" s="72">
        <v>36014.3703417812</v>
      </c>
      <c r="CX56" s="73">
        <v>29879.366259934</v>
      </c>
      <c r="CY56" s="74">
        <v>6135.00408184723</v>
      </c>
      <c r="CZ56" s="72">
        <v>37506.1772409319</v>
      </c>
      <c r="DA56" s="73">
        <v>27087.1489884956</v>
      </c>
      <c r="DB56" s="74">
        <v>10419.0282524363</v>
      </c>
      <c r="DC56" s="72">
        <v>42015.40850095</v>
      </c>
      <c r="DD56" s="73">
        <v>25671.3527457229</v>
      </c>
      <c r="DE56" s="74">
        <v>16344.0557552271</v>
      </c>
      <c r="DF56" s="72">
        <v>43329.9364204517</v>
      </c>
      <c r="DG56" s="73">
        <v>28017.1429581398</v>
      </c>
      <c r="DH56" s="74">
        <v>15312.7934623119</v>
      </c>
    </row>
    <row r="57" spans="1:112">
      <c r="A57" s="84" t="s">
        <v>171</v>
      </c>
      <c r="B57" s="81">
        <v>0</v>
      </c>
      <c r="C57" s="82">
        <v>896.42824</v>
      </c>
      <c r="D57" s="83">
        <v>-896.42824</v>
      </c>
      <c r="E57" s="81">
        <v>0</v>
      </c>
      <c r="F57" s="82">
        <v>1169.28356</v>
      </c>
      <c r="G57" s="83">
        <v>-1169.28356</v>
      </c>
      <c r="H57" s="81">
        <v>0</v>
      </c>
      <c r="I57" s="82">
        <v>961.73896</v>
      </c>
      <c r="J57" s="83">
        <v>-961.73896</v>
      </c>
      <c r="K57" s="81">
        <v>0</v>
      </c>
      <c r="L57" s="82">
        <v>971.19896</v>
      </c>
      <c r="M57" s="83">
        <v>-971.19896</v>
      </c>
      <c r="N57" s="81">
        <v>0</v>
      </c>
      <c r="O57" s="82">
        <v>872.80692</v>
      </c>
      <c r="P57" s="83">
        <v>-872.80692</v>
      </c>
      <c r="Q57" s="81">
        <v>0</v>
      </c>
      <c r="R57" s="82">
        <v>848.80866</v>
      </c>
      <c r="S57" s="83">
        <v>-848.80866</v>
      </c>
      <c r="T57" s="81">
        <v>0</v>
      </c>
      <c r="U57" s="82">
        <v>1057.2705</v>
      </c>
      <c r="V57" s="83">
        <v>-1057.2705</v>
      </c>
      <c r="W57" s="81">
        <v>0</v>
      </c>
      <c r="X57" s="82">
        <v>938.01901</v>
      </c>
      <c r="Y57" s="83">
        <v>-938.01901</v>
      </c>
      <c r="Z57" s="81">
        <v>0</v>
      </c>
      <c r="AA57" s="82">
        <v>755.39262</v>
      </c>
      <c r="AB57" s="83">
        <v>-755.39262</v>
      </c>
      <c r="AC57" s="81">
        <v>0</v>
      </c>
      <c r="AD57" s="82">
        <v>978.49658</v>
      </c>
      <c r="AE57" s="83">
        <v>-978.49658</v>
      </c>
      <c r="AF57" s="81">
        <v>0</v>
      </c>
      <c r="AG57" s="82">
        <v>1035.36845</v>
      </c>
      <c r="AH57" s="83">
        <v>-1035.36845</v>
      </c>
      <c r="AI57" s="81">
        <v>0</v>
      </c>
      <c r="AJ57" s="82">
        <v>1186.28632</v>
      </c>
      <c r="AK57" s="83">
        <v>-1186.28632</v>
      </c>
      <c r="AL57" s="81">
        <v>0</v>
      </c>
      <c r="AM57" s="82">
        <v>1143.33325</v>
      </c>
      <c r="AN57" s="83">
        <v>-1143.33325</v>
      </c>
      <c r="AO57" s="81">
        <v>0</v>
      </c>
      <c r="AP57" s="82">
        <v>1256.98831</v>
      </c>
      <c r="AQ57" s="83">
        <v>-1256.98831</v>
      </c>
      <c r="AR57" s="81">
        <v>0</v>
      </c>
      <c r="AS57" s="82">
        <v>1149.59844530139</v>
      </c>
      <c r="AT57" s="83">
        <v>-1149.59844530139</v>
      </c>
      <c r="AU57" s="81">
        <v>0</v>
      </c>
      <c r="AV57" s="82">
        <v>1092.82039</v>
      </c>
      <c r="AW57" s="83">
        <v>-1092.82039</v>
      </c>
      <c r="AX57" s="81">
        <v>0</v>
      </c>
      <c r="AY57" s="82">
        <v>682.46718</v>
      </c>
      <c r="AZ57" s="83">
        <v>-682.46718</v>
      </c>
      <c r="BA57" s="81">
        <v>0</v>
      </c>
      <c r="BB57" s="82">
        <v>673.12754</v>
      </c>
      <c r="BC57" s="83">
        <v>-673.12754</v>
      </c>
      <c r="BD57" s="81">
        <v>0</v>
      </c>
      <c r="BE57" s="82">
        <v>815.03384</v>
      </c>
      <c r="BF57" s="83">
        <v>-815.03384</v>
      </c>
      <c r="BG57" s="81">
        <v>0</v>
      </c>
      <c r="BH57" s="82">
        <v>877.63861</v>
      </c>
      <c r="BI57" s="83">
        <v>-877.63861</v>
      </c>
      <c r="BJ57" s="81">
        <v>0</v>
      </c>
      <c r="BK57" s="82">
        <v>54.59544</v>
      </c>
      <c r="BL57" s="83">
        <v>-54.59544</v>
      </c>
      <c r="BM57" s="81">
        <v>0</v>
      </c>
      <c r="BN57" s="82">
        <v>53.43902</v>
      </c>
      <c r="BO57" s="83">
        <v>-53.43902</v>
      </c>
      <c r="BP57" s="81">
        <v>0</v>
      </c>
      <c r="BQ57" s="82">
        <v>46.41492</v>
      </c>
      <c r="BR57" s="83">
        <v>-46.41492</v>
      </c>
      <c r="BS57" s="81">
        <v>0</v>
      </c>
      <c r="BT57" s="82">
        <v>52.42528</v>
      </c>
      <c r="BU57" s="83">
        <v>-52.42528</v>
      </c>
      <c r="BV57" s="81">
        <v>0</v>
      </c>
      <c r="BW57" s="82">
        <v>54.515</v>
      </c>
      <c r="BX57" s="83">
        <v>-54.515</v>
      </c>
      <c r="BY57" s="81">
        <v>0</v>
      </c>
      <c r="BZ57" s="82">
        <v>53.61137</v>
      </c>
      <c r="CA57" s="83">
        <v>-53.61137</v>
      </c>
      <c r="CB57" s="81">
        <v>0</v>
      </c>
      <c r="CC57" s="82">
        <v>52.46013</v>
      </c>
      <c r="CD57" s="83">
        <v>-52.46013</v>
      </c>
      <c r="CE57" s="81">
        <v>0</v>
      </c>
      <c r="CF57" s="82">
        <v>55.99925</v>
      </c>
      <c r="CG57" s="83">
        <v>-55.99925</v>
      </c>
      <c r="CH57" s="81">
        <v>0</v>
      </c>
      <c r="CI57" s="82">
        <v>56.50221</v>
      </c>
      <c r="CJ57" s="83">
        <v>-56.50221</v>
      </c>
      <c r="CK57" s="81">
        <v>0</v>
      </c>
      <c r="CL57" s="82">
        <v>68.61503</v>
      </c>
      <c r="CM57" s="83">
        <v>-68.61503</v>
      </c>
      <c r="CN57" s="81">
        <v>0</v>
      </c>
      <c r="CO57" s="82">
        <v>69.96096</v>
      </c>
      <c r="CP57" s="83">
        <v>-69.96096</v>
      </c>
      <c r="CQ57" s="81">
        <v>0</v>
      </c>
      <c r="CR57" s="82">
        <v>67.29176</v>
      </c>
      <c r="CS57" s="83">
        <v>-67.29176</v>
      </c>
      <c r="CT57" s="81">
        <v>0</v>
      </c>
      <c r="CU57" s="82">
        <v>76.07191</v>
      </c>
      <c r="CV57" s="83">
        <v>-76.07191</v>
      </c>
      <c r="CW57" s="81">
        <v>0</v>
      </c>
      <c r="CX57" s="82">
        <v>76.48315</v>
      </c>
      <c r="CY57" s="83">
        <v>-76.48315</v>
      </c>
      <c r="CZ57" s="81">
        <v>0</v>
      </c>
      <c r="DA57" s="82">
        <v>75.91456</v>
      </c>
      <c r="DB57" s="83">
        <v>-75.91456</v>
      </c>
      <c r="DC57" s="81">
        <v>0</v>
      </c>
      <c r="DD57" s="82">
        <v>55.89386</v>
      </c>
      <c r="DE57" s="83">
        <v>-55.89386</v>
      </c>
      <c r="DF57" s="81">
        <v>0</v>
      </c>
      <c r="DG57" s="82">
        <v>57.09025</v>
      </c>
      <c r="DH57" s="83">
        <v>-57.09025</v>
      </c>
    </row>
    <row r="58" spans="1:112">
      <c r="A58" s="84" t="s">
        <v>418</v>
      </c>
      <c r="B58" s="81">
        <v>10137.4530751882</v>
      </c>
      <c r="C58" s="82">
        <v>2150.74640235792</v>
      </c>
      <c r="D58" s="83">
        <v>7986.70667283026</v>
      </c>
      <c r="E58" s="81">
        <v>12745.1001113835</v>
      </c>
      <c r="F58" s="82">
        <v>2129.62564074415</v>
      </c>
      <c r="G58" s="83">
        <v>10615.4744706393</v>
      </c>
      <c r="H58" s="81">
        <v>13120.4188485951</v>
      </c>
      <c r="I58" s="82">
        <v>2219.83533912462</v>
      </c>
      <c r="J58" s="83">
        <v>10900.5835094705</v>
      </c>
      <c r="K58" s="81">
        <v>12926.334148544</v>
      </c>
      <c r="L58" s="82">
        <v>2961.18155574033</v>
      </c>
      <c r="M58" s="83">
        <v>9965.15259280366</v>
      </c>
      <c r="N58" s="81">
        <v>12211.317216053</v>
      </c>
      <c r="O58" s="82">
        <v>4139.57943876116</v>
      </c>
      <c r="P58" s="83">
        <v>8071.73777729182</v>
      </c>
      <c r="Q58" s="81">
        <v>11791.7463062275</v>
      </c>
      <c r="R58" s="82">
        <v>4373.63470021266</v>
      </c>
      <c r="S58" s="83">
        <v>7418.11160601479</v>
      </c>
      <c r="T58" s="81">
        <v>10251.9017460166</v>
      </c>
      <c r="U58" s="82">
        <v>4543.561050304</v>
      </c>
      <c r="V58" s="83">
        <v>5708.34069571256</v>
      </c>
      <c r="W58" s="81">
        <v>10097.8118088927</v>
      </c>
      <c r="X58" s="82">
        <v>3574.89910855712</v>
      </c>
      <c r="Y58" s="83">
        <v>6522.91270033558</v>
      </c>
      <c r="Z58" s="81">
        <v>9859.95197023201</v>
      </c>
      <c r="AA58" s="82">
        <v>3721.81634897212</v>
      </c>
      <c r="AB58" s="83">
        <v>6138.13562125989</v>
      </c>
      <c r="AC58" s="81">
        <v>10113.9903959291</v>
      </c>
      <c r="AD58" s="82">
        <v>3954.28957885024</v>
      </c>
      <c r="AE58" s="83">
        <v>6159.7008170789</v>
      </c>
      <c r="AF58" s="81">
        <v>10660.5468623934</v>
      </c>
      <c r="AG58" s="82">
        <v>4956.49906800897</v>
      </c>
      <c r="AH58" s="83">
        <v>5704.04779438446</v>
      </c>
      <c r="AI58" s="81">
        <v>9491.13290213642</v>
      </c>
      <c r="AJ58" s="82">
        <v>5003.24928408181</v>
      </c>
      <c r="AK58" s="83">
        <v>4487.88361805461</v>
      </c>
      <c r="AL58" s="81">
        <v>8083.03430545385</v>
      </c>
      <c r="AM58" s="82">
        <v>5768.63418935766</v>
      </c>
      <c r="AN58" s="83">
        <v>2314.40011609619</v>
      </c>
      <c r="AO58" s="81">
        <v>9278.3394799185</v>
      </c>
      <c r="AP58" s="82">
        <v>5494.10278975048</v>
      </c>
      <c r="AQ58" s="83">
        <v>3784.23669016802</v>
      </c>
      <c r="AR58" s="81">
        <v>10235.8761984959</v>
      </c>
      <c r="AS58" s="82">
        <v>6260.83883900918</v>
      </c>
      <c r="AT58" s="83">
        <v>3975.03735948674</v>
      </c>
      <c r="AU58" s="81">
        <v>10540.2344137135</v>
      </c>
      <c r="AV58" s="82">
        <v>7083.7542615063</v>
      </c>
      <c r="AW58" s="83">
        <v>3456.48015220721</v>
      </c>
      <c r="AX58" s="81">
        <v>10391.6829349731</v>
      </c>
      <c r="AY58" s="82">
        <v>7718.72905716556</v>
      </c>
      <c r="AZ58" s="83">
        <v>2672.95387780751</v>
      </c>
      <c r="BA58" s="81">
        <v>10626.3480767125</v>
      </c>
      <c r="BB58" s="82">
        <v>7713.89464690435</v>
      </c>
      <c r="BC58" s="83">
        <v>2912.45342980813</v>
      </c>
      <c r="BD58" s="81">
        <v>10467.4453918367</v>
      </c>
      <c r="BE58" s="82">
        <v>8664.99938784078</v>
      </c>
      <c r="BF58" s="83">
        <v>1802.4460039959</v>
      </c>
      <c r="BG58" s="81">
        <v>10724.0885331069</v>
      </c>
      <c r="BH58" s="82">
        <v>11021.1432386453</v>
      </c>
      <c r="BI58" s="83">
        <v>-297.054705538379</v>
      </c>
      <c r="BJ58" s="81">
        <v>8546.91517157331</v>
      </c>
      <c r="BK58" s="82">
        <v>9843.78532187602</v>
      </c>
      <c r="BL58" s="83">
        <v>-1296.87015030271</v>
      </c>
      <c r="BM58" s="81">
        <v>7708.86992296101</v>
      </c>
      <c r="BN58" s="82">
        <v>8677.4195143802</v>
      </c>
      <c r="BO58" s="83">
        <v>-968.549591419188</v>
      </c>
      <c r="BP58" s="81">
        <v>7401.65720849473</v>
      </c>
      <c r="BQ58" s="82">
        <v>8625.92036972203</v>
      </c>
      <c r="BR58" s="83">
        <v>-1224.2631612273</v>
      </c>
      <c r="BS58" s="81">
        <v>6936.68326348393</v>
      </c>
      <c r="BT58" s="82">
        <v>11384.9214508774</v>
      </c>
      <c r="BU58" s="83">
        <v>-4448.23818739343</v>
      </c>
      <c r="BV58" s="81">
        <v>7086.36984706163</v>
      </c>
      <c r="BW58" s="82">
        <v>11058.2877755471</v>
      </c>
      <c r="BX58" s="83">
        <v>-3971.91792848542</v>
      </c>
      <c r="BY58" s="81">
        <v>6767.39205391473</v>
      </c>
      <c r="BZ58" s="82">
        <v>12020.597147861</v>
      </c>
      <c r="CA58" s="83">
        <v>-5253.20509394625</v>
      </c>
      <c r="CB58" s="81">
        <v>7046.21297238902</v>
      </c>
      <c r="CC58" s="82">
        <v>10626.8553179632</v>
      </c>
      <c r="CD58" s="83">
        <v>-3580.64234557419</v>
      </c>
      <c r="CE58" s="81">
        <v>7149.60367096803</v>
      </c>
      <c r="CF58" s="82">
        <v>12321.3835044196</v>
      </c>
      <c r="CG58" s="83">
        <v>-5171.77983345157</v>
      </c>
      <c r="CH58" s="81">
        <v>7106.11612559182</v>
      </c>
      <c r="CI58" s="82">
        <v>12592.0750603401</v>
      </c>
      <c r="CJ58" s="83">
        <v>-5485.95893474828</v>
      </c>
      <c r="CK58" s="81">
        <v>7098.37398467585</v>
      </c>
      <c r="CL58" s="82">
        <v>14797.709840419</v>
      </c>
      <c r="CM58" s="83">
        <v>-7699.33585574311</v>
      </c>
      <c r="CN58" s="81">
        <v>6590.67469820632</v>
      </c>
      <c r="CO58" s="82">
        <v>17001.6061269719</v>
      </c>
      <c r="CP58" s="83">
        <v>-10410.9314287656</v>
      </c>
      <c r="CQ58" s="81">
        <v>6633.62991876495</v>
      </c>
      <c r="CR58" s="82">
        <v>17671.0639045389</v>
      </c>
      <c r="CS58" s="83">
        <v>-11037.4339857739</v>
      </c>
      <c r="CT58" s="81">
        <v>7394.6408654568</v>
      </c>
      <c r="CU58" s="82">
        <v>18951.6201348497</v>
      </c>
      <c r="CV58" s="83">
        <v>-11556.9792693929</v>
      </c>
      <c r="CW58" s="81">
        <v>7876.8619425093</v>
      </c>
      <c r="CX58" s="82">
        <v>20008.898809934</v>
      </c>
      <c r="CY58" s="83">
        <v>-12132.0368674247</v>
      </c>
      <c r="CZ58" s="81">
        <v>8216.32091121232</v>
      </c>
      <c r="DA58" s="82">
        <v>18728.9614084956</v>
      </c>
      <c r="DB58" s="83">
        <v>-10512.6404972833</v>
      </c>
      <c r="DC58" s="81">
        <v>8882.39201056597</v>
      </c>
      <c r="DD58" s="82">
        <v>19599.6147457229</v>
      </c>
      <c r="DE58" s="83">
        <v>-10717.2227351569</v>
      </c>
      <c r="DF58" s="81">
        <v>9201.82552082673</v>
      </c>
      <c r="DG58" s="82">
        <v>21998.6379381398</v>
      </c>
      <c r="DH58" s="83">
        <v>-12796.812417313</v>
      </c>
    </row>
    <row r="59" spans="1:112">
      <c r="A59" s="84" t="s">
        <v>173</v>
      </c>
      <c r="B59" s="81">
        <v>21908.92729443</v>
      </c>
      <c r="C59" s="82">
        <v>10558.65666</v>
      </c>
      <c r="D59" s="83">
        <v>11350.27063443</v>
      </c>
      <c r="E59" s="81">
        <v>21420.52092</v>
      </c>
      <c r="F59" s="82">
        <v>11373.60669</v>
      </c>
      <c r="G59" s="83">
        <v>10046.91423</v>
      </c>
      <c r="H59" s="81">
        <v>22012.66661</v>
      </c>
      <c r="I59" s="82">
        <v>11426.84507</v>
      </c>
      <c r="J59" s="83">
        <v>10585.82154</v>
      </c>
      <c r="K59" s="81">
        <v>22258.53896</v>
      </c>
      <c r="L59" s="82">
        <v>11044.48562</v>
      </c>
      <c r="M59" s="83">
        <v>11214.05334</v>
      </c>
      <c r="N59" s="81">
        <v>22622.65811</v>
      </c>
      <c r="O59" s="82">
        <v>11442.3504</v>
      </c>
      <c r="P59" s="83">
        <v>11180.30771</v>
      </c>
      <c r="Q59" s="81">
        <v>22191.23529</v>
      </c>
      <c r="R59" s="82">
        <v>11014.36615</v>
      </c>
      <c r="S59" s="83">
        <v>11176.86914</v>
      </c>
      <c r="T59" s="81">
        <v>22078.92794</v>
      </c>
      <c r="U59" s="82">
        <v>11080.7659</v>
      </c>
      <c r="V59" s="83">
        <v>10998.16204</v>
      </c>
      <c r="W59" s="81">
        <v>20680.894822649</v>
      </c>
      <c r="X59" s="82">
        <v>11110.31506</v>
      </c>
      <c r="Y59" s="83">
        <v>9570.579762649</v>
      </c>
      <c r="Z59" s="81">
        <v>20565.189744</v>
      </c>
      <c r="AA59" s="82">
        <v>11077.77678</v>
      </c>
      <c r="AB59" s="83">
        <v>9487.412964</v>
      </c>
      <c r="AC59" s="81">
        <v>20672.686884</v>
      </c>
      <c r="AD59" s="82">
        <v>11020.35991</v>
      </c>
      <c r="AE59" s="83">
        <v>9652.326974</v>
      </c>
      <c r="AF59" s="81">
        <v>21189.94043</v>
      </c>
      <c r="AG59" s="82">
        <v>10675.11415</v>
      </c>
      <c r="AH59" s="83">
        <v>10514.82628</v>
      </c>
      <c r="AI59" s="81">
        <v>22309.856991769</v>
      </c>
      <c r="AJ59" s="82">
        <v>10449.15482</v>
      </c>
      <c r="AK59" s="83">
        <v>11860.702171769</v>
      </c>
      <c r="AL59" s="81">
        <v>20452.927823769</v>
      </c>
      <c r="AM59" s="82">
        <v>10405.53717</v>
      </c>
      <c r="AN59" s="83">
        <v>10047.390653769</v>
      </c>
      <c r="AO59" s="81">
        <v>21043.76839438</v>
      </c>
      <c r="AP59" s="82">
        <v>10511.59697</v>
      </c>
      <c r="AQ59" s="83">
        <v>10532.17142438</v>
      </c>
      <c r="AR59" s="81">
        <v>21085.70583</v>
      </c>
      <c r="AS59" s="82">
        <v>10607.96083</v>
      </c>
      <c r="AT59" s="83">
        <v>10477.745</v>
      </c>
      <c r="AU59" s="81">
        <v>21572.19247</v>
      </c>
      <c r="AV59" s="82">
        <v>10245.71075</v>
      </c>
      <c r="AW59" s="83">
        <v>11326.48172</v>
      </c>
      <c r="AX59" s="81">
        <v>21153.14625</v>
      </c>
      <c r="AY59" s="82">
        <v>10006.70089</v>
      </c>
      <c r="AZ59" s="83">
        <v>11146.44536</v>
      </c>
      <c r="BA59" s="81">
        <v>21360.2611</v>
      </c>
      <c r="BB59" s="82">
        <v>9977.21046</v>
      </c>
      <c r="BC59" s="83">
        <v>11383.05064</v>
      </c>
      <c r="BD59" s="81">
        <v>21406.65451</v>
      </c>
      <c r="BE59" s="82">
        <v>9789.901674</v>
      </c>
      <c r="BF59" s="83">
        <v>11616.752836</v>
      </c>
      <c r="BG59" s="81">
        <v>21261.45723</v>
      </c>
      <c r="BH59" s="82">
        <v>9739.24159</v>
      </c>
      <c r="BI59" s="83">
        <v>11522.21564</v>
      </c>
      <c r="BJ59" s="81">
        <v>21000.75791</v>
      </c>
      <c r="BK59" s="82">
        <v>9723.31346</v>
      </c>
      <c r="BL59" s="83">
        <v>11277.44445</v>
      </c>
      <c r="BM59" s="81">
        <v>23190.35949</v>
      </c>
      <c r="BN59" s="82">
        <v>9888.89135</v>
      </c>
      <c r="BO59" s="83">
        <v>13301.46814</v>
      </c>
      <c r="BP59" s="81">
        <v>22989.38244</v>
      </c>
      <c r="BQ59" s="82">
        <v>8585.406985</v>
      </c>
      <c r="BR59" s="83">
        <v>14403.975455</v>
      </c>
      <c r="BS59" s="81">
        <v>22803.37348</v>
      </c>
      <c r="BT59" s="82">
        <v>7619.368705</v>
      </c>
      <c r="BU59" s="83">
        <v>15184.004775</v>
      </c>
      <c r="BV59" s="81">
        <v>23034.51287</v>
      </c>
      <c r="BW59" s="82">
        <v>8034.36567</v>
      </c>
      <c r="BX59" s="83">
        <v>15000.1472</v>
      </c>
      <c r="BY59" s="81">
        <v>23175.4877</v>
      </c>
      <c r="BZ59" s="82">
        <v>7833.63442</v>
      </c>
      <c r="CA59" s="83">
        <v>15341.85328</v>
      </c>
      <c r="CB59" s="81">
        <v>23384.62578</v>
      </c>
      <c r="CC59" s="82">
        <v>7899.11095</v>
      </c>
      <c r="CD59" s="83">
        <v>15485.51483</v>
      </c>
      <c r="CE59" s="81">
        <v>23823.53988</v>
      </c>
      <c r="CF59" s="82">
        <v>7341.82678</v>
      </c>
      <c r="CG59" s="83">
        <v>16481.7131</v>
      </c>
      <c r="CH59" s="81">
        <v>24080.65495</v>
      </c>
      <c r="CI59" s="82">
        <v>7527.79129</v>
      </c>
      <c r="CJ59" s="83">
        <v>16552.86366</v>
      </c>
      <c r="CK59" s="81">
        <v>24249.830992963</v>
      </c>
      <c r="CL59" s="82">
        <v>7425.59044</v>
      </c>
      <c r="CM59" s="83">
        <v>16824.240552963</v>
      </c>
      <c r="CN59" s="81">
        <v>24616.523665221</v>
      </c>
      <c r="CO59" s="82">
        <v>7492.06704</v>
      </c>
      <c r="CP59" s="83">
        <v>17124.456625221</v>
      </c>
      <c r="CQ59" s="81">
        <v>24340.7935992719</v>
      </c>
      <c r="CR59" s="82">
        <v>7479.93166</v>
      </c>
      <c r="CS59" s="83">
        <v>16860.8619392719</v>
      </c>
      <c r="CT59" s="81">
        <v>25330.2463392719</v>
      </c>
      <c r="CU59" s="82">
        <v>7946.80928</v>
      </c>
      <c r="CV59" s="83">
        <v>17383.4370592719</v>
      </c>
      <c r="CW59" s="81">
        <v>25811.9383992719</v>
      </c>
      <c r="CX59" s="82">
        <v>7065.75778</v>
      </c>
      <c r="CY59" s="83">
        <v>18746.1806192719</v>
      </c>
      <c r="CZ59" s="81">
        <v>26885.31398</v>
      </c>
      <c r="DA59" s="82">
        <v>5376.93666</v>
      </c>
      <c r="DB59" s="83">
        <v>21508.37732</v>
      </c>
      <c r="DC59" s="81">
        <v>30735.04909</v>
      </c>
      <c r="DD59" s="82">
        <v>3299.32815</v>
      </c>
      <c r="DE59" s="83">
        <v>27435.72094</v>
      </c>
      <c r="DF59" s="81">
        <v>31550.00529</v>
      </c>
      <c r="DG59" s="82">
        <v>3402.04526</v>
      </c>
      <c r="DH59" s="83">
        <v>28147.96003</v>
      </c>
    </row>
    <row r="60" spans="1:112">
      <c r="A60" s="84" t="s">
        <v>174</v>
      </c>
      <c r="B60" s="81">
        <v>1760.17154</v>
      </c>
      <c r="C60" s="82">
        <v>1179.14529</v>
      </c>
      <c r="D60" s="83">
        <v>581.02625</v>
      </c>
      <c r="E60" s="81">
        <v>1581.47518</v>
      </c>
      <c r="F60" s="82">
        <v>1263.45128</v>
      </c>
      <c r="G60" s="83">
        <v>318.0239</v>
      </c>
      <c r="H60" s="81">
        <v>1472.04456</v>
      </c>
      <c r="I60" s="82">
        <v>1225.28221</v>
      </c>
      <c r="J60" s="83">
        <v>246.76235</v>
      </c>
      <c r="K60" s="81">
        <v>1623.46766</v>
      </c>
      <c r="L60" s="82">
        <v>1359.48634</v>
      </c>
      <c r="M60" s="83">
        <v>263.98132</v>
      </c>
      <c r="N60" s="81">
        <v>1634.26766</v>
      </c>
      <c r="O60" s="82">
        <v>1384.97552</v>
      </c>
      <c r="P60" s="83">
        <v>249.29214</v>
      </c>
      <c r="Q60" s="81">
        <v>1828.15179</v>
      </c>
      <c r="R60" s="82">
        <v>1427.61386</v>
      </c>
      <c r="S60" s="83">
        <v>400.53793</v>
      </c>
      <c r="T60" s="81">
        <v>1907.29115</v>
      </c>
      <c r="U60" s="82">
        <v>1319.49509</v>
      </c>
      <c r="V60" s="83">
        <v>587.79606</v>
      </c>
      <c r="W60" s="81">
        <v>1831.81676</v>
      </c>
      <c r="X60" s="82">
        <v>1350.84194</v>
      </c>
      <c r="Y60" s="83">
        <v>480.97482</v>
      </c>
      <c r="Z60" s="81">
        <v>1863.05155</v>
      </c>
      <c r="AA60" s="82">
        <v>1368.14462</v>
      </c>
      <c r="AB60" s="83">
        <v>494.90693</v>
      </c>
      <c r="AC60" s="81">
        <v>1836.3926</v>
      </c>
      <c r="AD60" s="82">
        <v>1477.5904</v>
      </c>
      <c r="AE60" s="83">
        <v>358.8022</v>
      </c>
      <c r="AF60" s="81">
        <v>1825.87394</v>
      </c>
      <c r="AG60" s="82">
        <v>1490.45742</v>
      </c>
      <c r="AH60" s="83">
        <v>335.41652</v>
      </c>
      <c r="AI60" s="81">
        <v>1749.21317</v>
      </c>
      <c r="AJ60" s="82">
        <v>1366.54414</v>
      </c>
      <c r="AK60" s="83">
        <v>382.66903</v>
      </c>
      <c r="AL60" s="81">
        <v>1686.6967</v>
      </c>
      <c r="AM60" s="82">
        <v>1327.13793</v>
      </c>
      <c r="AN60" s="83">
        <v>359.55877</v>
      </c>
      <c r="AO60" s="81">
        <v>1783.02027</v>
      </c>
      <c r="AP60" s="82">
        <v>1286.528771</v>
      </c>
      <c r="AQ60" s="83">
        <v>496.491499</v>
      </c>
      <c r="AR60" s="81">
        <v>1664.79756</v>
      </c>
      <c r="AS60" s="82">
        <v>1158.13652</v>
      </c>
      <c r="AT60" s="83">
        <v>506.66104</v>
      </c>
      <c r="AU60" s="81">
        <v>1689.86644</v>
      </c>
      <c r="AV60" s="82">
        <v>1326.24735</v>
      </c>
      <c r="AW60" s="83">
        <v>363.61909</v>
      </c>
      <c r="AX60" s="81">
        <v>1547.755467</v>
      </c>
      <c r="AY60" s="82">
        <v>995.0943</v>
      </c>
      <c r="AZ60" s="83">
        <v>552.661167</v>
      </c>
      <c r="BA60" s="81">
        <v>1520.98722</v>
      </c>
      <c r="BB60" s="82">
        <v>961.55408</v>
      </c>
      <c r="BC60" s="83">
        <v>559.43314</v>
      </c>
      <c r="BD60" s="81">
        <v>1952.64539</v>
      </c>
      <c r="BE60" s="82">
        <v>1045.95248</v>
      </c>
      <c r="BF60" s="83">
        <v>906.69291</v>
      </c>
      <c r="BG60" s="81">
        <v>1894.0453</v>
      </c>
      <c r="BH60" s="82">
        <v>1381.86306</v>
      </c>
      <c r="BI60" s="83">
        <v>512.18224</v>
      </c>
      <c r="BJ60" s="81">
        <v>1959.80518</v>
      </c>
      <c r="BK60" s="82">
        <v>1410.82761</v>
      </c>
      <c r="BL60" s="83">
        <v>548.97757</v>
      </c>
      <c r="BM60" s="81">
        <v>1495.46708</v>
      </c>
      <c r="BN60" s="82">
        <v>1586.20307</v>
      </c>
      <c r="BO60" s="83">
        <v>-90.7359899999999</v>
      </c>
      <c r="BP60" s="81">
        <v>1542.37011</v>
      </c>
      <c r="BQ60" s="82">
        <v>1744.9656</v>
      </c>
      <c r="BR60" s="83">
        <v>-202.59549</v>
      </c>
      <c r="BS60" s="81">
        <v>1465.43232</v>
      </c>
      <c r="BT60" s="82">
        <v>1610.00976</v>
      </c>
      <c r="BU60" s="83">
        <v>-144.57744</v>
      </c>
      <c r="BV60" s="81">
        <v>1464.08694</v>
      </c>
      <c r="BW60" s="82">
        <v>1668.04441</v>
      </c>
      <c r="BX60" s="83">
        <v>-203.95747</v>
      </c>
      <c r="BY60" s="81">
        <v>1333.40479</v>
      </c>
      <c r="BZ60" s="82">
        <v>2017.98823</v>
      </c>
      <c r="CA60" s="83">
        <v>-684.58344</v>
      </c>
      <c r="CB60" s="81">
        <v>1402.76808</v>
      </c>
      <c r="CC60" s="82">
        <v>1912.44517</v>
      </c>
      <c r="CD60" s="83">
        <v>-509.67709</v>
      </c>
      <c r="CE60" s="81">
        <v>1229.36146</v>
      </c>
      <c r="CF60" s="82">
        <v>1713.0845</v>
      </c>
      <c r="CG60" s="83">
        <v>-483.72304</v>
      </c>
      <c r="CH60" s="81">
        <v>1388.16522</v>
      </c>
      <c r="CI60" s="82">
        <v>1862.81056</v>
      </c>
      <c r="CJ60" s="83">
        <v>-474.64534</v>
      </c>
      <c r="CK60" s="81">
        <v>1437.85362</v>
      </c>
      <c r="CL60" s="82">
        <v>1754.95957</v>
      </c>
      <c r="CM60" s="83">
        <v>-317.10595</v>
      </c>
      <c r="CN60" s="81">
        <v>1436.7012</v>
      </c>
      <c r="CO60" s="82">
        <v>2172.30959</v>
      </c>
      <c r="CP60" s="83">
        <v>-735.60839</v>
      </c>
      <c r="CQ60" s="81">
        <v>1499.30895</v>
      </c>
      <c r="CR60" s="82">
        <v>2150.47376</v>
      </c>
      <c r="CS60" s="83">
        <v>-651.16481</v>
      </c>
      <c r="CT60" s="81">
        <v>1483.11937</v>
      </c>
      <c r="CU60" s="82">
        <v>1846.12429</v>
      </c>
      <c r="CV60" s="83">
        <v>-363.00492</v>
      </c>
      <c r="CW60" s="81">
        <v>1635.70598</v>
      </c>
      <c r="CX60" s="82">
        <v>1811.90345</v>
      </c>
      <c r="CY60" s="83">
        <v>-176.19747</v>
      </c>
      <c r="CZ60" s="81">
        <v>1730.92363</v>
      </c>
      <c r="DA60" s="82">
        <v>1910.10134</v>
      </c>
      <c r="DB60" s="83">
        <v>-179.17771</v>
      </c>
      <c r="DC60" s="81">
        <v>1668.025834</v>
      </c>
      <c r="DD60" s="82">
        <v>2052.59386</v>
      </c>
      <c r="DE60" s="83">
        <v>-384.568026</v>
      </c>
      <c r="DF60" s="81">
        <v>1676.87776</v>
      </c>
      <c r="DG60" s="82">
        <v>1887.40007</v>
      </c>
      <c r="DH60" s="83">
        <v>-210.52231</v>
      </c>
    </row>
    <row r="61" spans="1:112">
      <c r="A61" s="80" t="s">
        <v>419</v>
      </c>
      <c r="B61" s="81">
        <v>507.27767</v>
      </c>
      <c r="C61" s="82">
        <v>720.4693</v>
      </c>
      <c r="D61" s="83">
        <v>-213.19163</v>
      </c>
      <c r="E61" s="81">
        <v>492.76088</v>
      </c>
      <c r="F61" s="82">
        <v>739.53095</v>
      </c>
      <c r="G61" s="83">
        <v>-246.77007</v>
      </c>
      <c r="H61" s="81">
        <v>453.57983</v>
      </c>
      <c r="I61" s="82">
        <v>729.36675</v>
      </c>
      <c r="J61" s="83">
        <v>-275.78692</v>
      </c>
      <c r="K61" s="81">
        <v>459.46876846</v>
      </c>
      <c r="L61" s="82">
        <v>710.11084</v>
      </c>
      <c r="M61" s="83">
        <v>-250.64207154</v>
      </c>
      <c r="N61" s="81">
        <v>549.092553179359</v>
      </c>
      <c r="O61" s="82">
        <v>722.93431</v>
      </c>
      <c r="P61" s="83">
        <v>-173.841756820641</v>
      </c>
      <c r="Q61" s="81">
        <v>560.562399611635</v>
      </c>
      <c r="R61" s="82">
        <v>732.42024</v>
      </c>
      <c r="S61" s="83">
        <v>-171.857840388365</v>
      </c>
      <c r="T61" s="81">
        <v>175.393893430136</v>
      </c>
      <c r="U61" s="82">
        <v>702.50312</v>
      </c>
      <c r="V61" s="83">
        <v>-527.109226569864</v>
      </c>
      <c r="W61" s="81">
        <v>201.903919617516</v>
      </c>
      <c r="X61" s="82">
        <v>672.87624</v>
      </c>
      <c r="Y61" s="83">
        <v>-470.972320382484</v>
      </c>
      <c r="Z61" s="81">
        <v>216.308423392926</v>
      </c>
      <c r="AA61" s="82">
        <v>685.27773</v>
      </c>
      <c r="AB61" s="83">
        <v>-468.969306607074</v>
      </c>
      <c r="AC61" s="81">
        <v>229.125702344046</v>
      </c>
      <c r="AD61" s="82">
        <v>726.65748</v>
      </c>
      <c r="AE61" s="83">
        <v>-497.531777655954</v>
      </c>
      <c r="AF61" s="81">
        <v>221.012049561742</v>
      </c>
      <c r="AG61" s="82">
        <v>736.24712</v>
      </c>
      <c r="AH61" s="83">
        <v>-515.235070438258</v>
      </c>
      <c r="AI61" s="81">
        <v>211.452651480996</v>
      </c>
      <c r="AJ61" s="82">
        <v>703.58119</v>
      </c>
      <c r="AK61" s="83">
        <v>-492.128538519004</v>
      </c>
      <c r="AL61" s="81">
        <v>266.623917083706</v>
      </c>
      <c r="AM61" s="82">
        <v>994.64453</v>
      </c>
      <c r="AN61" s="83">
        <v>-728.020612916294</v>
      </c>
      <c r="AO61" s="81">
        <v>290.477474218545</v>
      </c>
      <c r="AP61" s="82">
        <v>997.62354</v>
      </c>
      <c r="AQ61" s="83">
        <v>-707.146065781455</v>
      </c>
      <c r="AR61" s="81">
        <v>274.538117765968</v>
      </c>
      <c r="AS61" s="82">
        <v>961.32508</v>
      </c>
      <c r="AT61" s="83">
        <v>-686.786962234032</v>
      </c>
      <c r="AU61" s="81">
        <v>269.772081592</v>
      </c>
      <c r="AV61" s="82">
        <v>923.45531</v>
      </c>
      <c r="AW61" s="83">
        <v>-653.683228408</v>
      </c>
      <c r="AX61" s="81">
        <v>299.404284468319</v>
      </c>
      <c r="AY61" s="82">
        <v>905.31896</v>
      </c>
      <c r="AZ61" s="83">
        <v>-605.914675531681</v>
      </c>
      <c r="BA61" s="81">
        <v>365.776927374157</v>
      </c>
      <c r="BB61" s="82">
        <v>894.26571</v>
      </c>
      <c r="BC61" s="83">
        <v>-528.488782625843</v>
      </c>
      <c r="BD61" s="81">
        <v>490.54605948479</v>
      </c>
      <c r="BE61" s="82">
        <v>880.35199</v>
      </c>
      <c r="BF61" s="83">
        <v>-389.80593051521</v>
      </c>
      <c r="BG61" s="81">
        <v>480.82998546696</v>
      </c>
      <c r="BH61" s="82">
        <v>879.19926</v>
      </c>
      <c r="BI61" s="83">
        <v>-398.36927453304</v>
      </c>
      <c r="BJ61" s="81">
        <v>508.241250257932</v>
      </c>
      <c r="BK61" s="82">
        <v>800.08468</v>
      </c>
      <c r="BL61" s="83">
        <v>-291.843429742068</v>
      </c>
      <c r="BM61" s="81">
        <v>761.51185723495</v>
      </c>
      <c r="BN61" s="82">
        <v>844.04104</v>
      </c>
      <c r="BO61" s="83">
        <v>-82.52918276505</v>
      </c>
      <c r="BP61" s="81">
        <v>707.989713416984</v>
      </c>
      <c r="BQ61" s="82">
        <v>787.36185</v>
      </c>
      <c r="BR61" s="83">
        <v>-79.3721365830163</v>
      </c>
      <c r="BS61" s="81">
        <v>630.668165200994</v>
      </c>
      <c r="BT61" s="82">
        <v>802.94369</v>
      </c>
      <c r="BU61" s="83">
        <v>-172.275524799006</v>
      </c>
      <c r="BV61" s="81">
        <v>742.65289</v>
      </c>
      <c r="BW61" s="82">
        <v>732.49614</v>
      </c>
      <c r="BX61" s="83">
        <v>10.15675</v>
      </c>
      <c r="BY61" s="81">
        <v>690.400191970752</v>
      </c>
      <c r="BZ61" s="82">
        <v>745.58329</v>
      </c>
      <c r="CA61" s="83">
        <v>-55.183098029248</v>
      </c>
      <c r="CB61" s="81">
        <v>575.266717045584</v>
      </c>
      <c r="CC61" s="82">
        <v>757.67617</v>
      </c>
      <c r="CD61" s="83">
        <v>-182.409452954416</v>
      </c>
      <c r="CE61" s="81">
        <v>596.94187</v>
      </c>
      <c r="CF61" s="82">
        <v>981.32208</v>
      </c>
      <c r="CG61" s="83">
        <v>-384.38021</v>
      </c>
      <c r="CH61" s="81">
        <v>674.21331</v>
      </c>
      <c r="CI61" s="82">
        <v>853.57161</v>
      </c>
      <c r="CJ61" s="83">
        <v>-179.3583</v>
      </c>
      <c r="CK61" s="81">
        <v>679.04682</v>
      </c>
      <c r="CL61" s="82">
        <v>869.12574</v>
      </c>
      <c r="CM61" s="83">
        <v>-190.07892</v>
      </c>
      <c r="CN61" s="81">
        <v>645.937177346266</v>
      </c>
      <c r="CO61" s="82">
        <v>853.83296</v>
      </c>
      <c r="CP61" s="83">
        <v>-207.895782653733</v>
      </c>
      <c r="CQ61" s="81">
        <v>615.407297354917</v>
      </c>
      <c r="CR61" s="82">
        <v>793.297</v>
      </c>
      <c r="CS61" s="83">
        <v>-177.889702645083</v>
      </c>
      <c r="CT61" s="81">
        <v>679.811805494991</v>
      </c>
      <c r="CU61" s="82">
        <v>813.87838</v>
      </c>
      <c r="CV61" s="83">
        <v>-134.066574505009</v>
      </c>
      <c r="CW61" s="81">
        <v>689.86402</v>
      </c>
      <c r="CX61" s="82">
        <v>916.32307</v>
      </c>
      <c r="CY61" s="83">
        <v>-226.45905</v>
      </c>
      <c r="CZ61" s="81">
        <v>673.618719719623</v>
      </c>
      <c r="DA61" s="82">
        <v>995.23502</v>
      </c>
      <c r="DB61" s="83">
        <v>-321.616300280377</v>
      </c>
      <c r="DC61" s="81">
        <v>729.941566384009</v>
      </c>
      <c r="DD61" s="82">
        <v>663.92213</v>
      </c>
      <c r="DE61" s="83">
        <v>66.0194363840087</v>
      </c>
      <c r="DF61" s="81">
        <v>901.227849624923</v>
      </c>
      <c r="DG61" s="82">
        <v>671.96944</v>
      </c>
      <c r="DH61" s="83">
        <v>229.258409624923</v>
      </c>
    </row>
    <row r="62" s="52" customFormat="1" ht="15" spans="1:112">
      <c r="A62" s="90" t="s">
        <v>195</v>
      </c>
      <c r="B62" s="77">
        <v>105258.90324</v>
      </c>
      <c r="C62" s="78">
        <v>8675.12299</v>
      </c>
      <c r="D62" s="79">
        <v>96583.78025</v>
      </c>
      <c r="E62" s="77">
        <v>106200.13746</v>
      </c>
      <c r="F62" s="78">
        <v>9371.17005</v>
      </c>
      <c r="G62" s="79">
        <v>96828.96741</v>
      </c>
      <c r="H62" s="77">
        <v>106065.706491746</v>
      </c>
      <c r="I62" s="78">
        <v>9873.76181</v>
      </c>
      <c r="J62" s="79">
        <v>96191.9446817465</v>
      </c>
      <c r="K62" s="77">
        <v>104372.68828</v>
      </c>
      <c r="L62" s="78">
        <v>8962.24829</v>
      </c>
      <c r="M62" s="79">
        <v>95410.43999</v>
      </c>
      <c r="N62" s="77">
        <v>105581.73052</v>
      </c>
      <c r="O62" s="78">
        <v>6879.87239</v>
      </c>
      <c r="P62" s="79">
        <v>98701.85813</v>
      </c>
      <c r="Q62" s="77">
        <v>104849.32361</v>
      </c>
      <c r="R62" s="78">
        <v>6417.16307</v>
      </c>
      <c r="S62" s="79">
        <v>98432.16054</v>
      </c>
      <c r="T62" s="77">
        <v>104161.64655</v>
      </c>
      <c r="U62" s="78">
        <v>5881.51747</v>
      </c>
      <c r="V62" s="79">
        <v>98280.12908</v>
      </c>
      <c r="W62" s="77">
        <v>102592.401223583</v>
      </c>
      <c r="X62" s="78">
        <v>5070.85614</v>
      </c>
      <c r="Y62" s="79">
        <v>97521.5450835833</v>
      </c>
      <c r="Z62" s="77">
        <v>103542.37161</v>
      </c>
      <c r="AA62" s="78">
        <v>4503.0578</v>
      </c>
      <c r="AB62" s="79">
        <v>99039.31381</v>
      </c>
      <c r="AC62" s="77">
        <v>102971.3109</v>
      </c>
      <c r="AD62" s="78">
        <v>4859.40751</v>
      </c>
      <c r="AE62" s="79">
        <v>98111.90339</v>
      </c>
      <c r="AF62" s="77">
        <v>101297.74067</v>
      </c>
      <c r="AG62" s="78">
        <v>5408.0988</v>
      </c>
      <c r="AH62" s="79">
        <v>95889.64187</v>
      </c>
      <c r="AI62" s="77">
        <v>100376.84289</v>
      </c>
      <c r="AJ62" s="78">
        <v>5307.46982</v>
      </c>
      <c r="AK62" s="79">
        <v>95069.37307</v>
      </c>
      <c r="AL62" s="77">
        <v>101034.47364</v>
      </c>
      <c r="AM62" s="78">
        <v>4836.08164</v>
      </c>
      <c r="AN62" s="79">
        <v>96198.392</v>
      </c>
      <c r="AO62" s="77">
        <v>103119.5724</v>
      </c>
      <c r="AP62" s="78">
        <v>5385.8569392</v>
      </c>
      <c r="AQ62" s="79">
        <v>97733.7154608</v>
      </c>
      <c r="AR62" s="77">
        <v>102851.38612109</v>
      </c>
      <c r="AS62" s="78">
        <v>5634.26886</v>
      </c>
      <c r="AT62" s="79">
        <v>97217.11726109</v>
      </c>
      <c r="AU62" s="77">
        <v>102540.20844</v>
      </c>
      <c r="AV62" s="78">
        <v>5700.7105</v>
      </c>
      <c r="AW62" s="79">
        <v>96839.49794</v>
      </c>
      <c r="AX62" s="77">
        <v>101256.50847</v>
      </c>
      <c r="AY62" s="78">
        <v>6568.92575</v>
      </c>
      <c r="AZ62" s="79">
        <v>94687.58272</v>
      </c>
      <c r="BA62" s="77">
        <v>100449.03223</v>
      </c>
      <c r="BB62" s="78">
        <v>6912.19201</v>
      </c>
      <c r="BC62" s="79">
        <v>93536.84022</v>
      </c>
      <c r="BD62" s="77">
        <v>98130.26863</v>
      </c>
      <c r="BE62" s="78">
        <v>7163.20285</v>
      </c>
      <c r="BF62" s="79">
        <v>90967.06578</v>
      </c>
      <c r="BG62" s="77">
        <v>96228.76792</v>
      </c>
      <c r="BH62" s="78">
        <v>7881.1467</v>
      </c>
      <c r="BI62" s="79">
        <v>88347.62122</v>
      </c>
      <c r="BJ62" s="77">
        <v>94454.937782</v>
      </c>
      <c r="BK62" s="78">
        <v>8085.2072</v>
      </c>
      <c r="BL62" s="79">
        <v>86369.730582</v>
      </c>
      <c r="BM62" s="77">
        <v>94387.506935</v>
      </c>
      <c r="BN62" s="78">
        <v>9150.64245</v>
      </c>
      <c r="BO62" s="79">
        <v>85236.864485</v>
      </c>
      <c r="BP62" s="77">
        <v>94354.967296</v>
      </c>
      <c r="BQ62" s="78">
        <v>9024.71739</v>
      </c>
      <c r="BR62" s="79">
        <v>85330.249906</v>
      </c>
      <c r="BS62" s="77">
        <v>93679.757332</v>
      </c>
      <c r="BT62" s="78">
        <v>6207.88962</v>
      </c>
      <c r="BU62" s="79">
        <v>87471.867712</v>
      </c>
      <c r="BV62" s="77">
        <v>93856.738462</v>
      </c>
      <c r="BW62" s="78">
        <v>7139.990629</v>
      </c>
      <c r="BX62" s="79">
        <v>86716.747833</v>
      </c>
      <c r="BY62" s="77">
        <v>94120.142871</v>
      </c>
      <c r="BZ62" s="78">
        <v>7246.01526</v>
      </c>
      <c r="CA62" s="79">
        <v>86874.127611</v>
      </c>
      <c r="CB62" s="77">
        <v>93465.9053395533</v>
      </c>
      <c r="CC62" s="78">
        <v>8459.361312</v>
      </c>
      <c r="CD62" s="79">
        <v>85006.5440275533</v>
      </c>
      <c r="CE62" s="77">
        <v>93003.7661877</v>
      </c>
      <c r="CF62" s="78">
        <v>7604.65674</v>
      </c>
      <c r="CG62" s="79">
        <v>85399.1094477</v>
      </c>
      <c r="CH62" s="77">
        <v>92928.7235555446</v>
      </c>
      <c r="CI62" s="78">
        <v>8061.83393</v>
      </c>
      <c r="CJ62" s="79">
        <v>84866.8896255446</v>
      </c>
      <c r="CK62" s="77">
        <v>93712.19870866</v>
      </c>
      <c r="CL62" s="78">
        <v>8881.71876</v>
      </c>
      <c r="CM62" s="79">
        <v>84830.47994866</v>
      </c>
      <c r="CN62" s="77">
        <v>92076.26722697</v>
      </c>
      <c r="CO62" s="78">
        <v>9273.88844</v>
      </c>
      <c r="CP62" s="79">
        <v>82802.37878697</v>
      </c>
      <c r="CQ62" s="77">
        <v>91140.92375293</v>
      </c>
      <c r="CR62" s="78">
        <v>7909.526802</v>
      </c>
      <c r="CS62" s="79">
        <v>83231.39695093</v>
      </c>
      <c r="CT62" s="77">
        <v>92518.09020893</v>
      </c>
      <c r="CU62" s="78">
        <v>8421.99488</v>
      </c>
      <c r="CV62" s="79">
        <v>84096.09532893</v>
      </c>
      <c r="CW62" s="77">
        <v>92080.77684893</v>
      </c>
      <c r="CX62" s="78">
        <v>8128.60362</v>
      </c>
      <c r="CY62" s="79">
        <v>83952.17322893</v>
      </c>
      <c r="CZ62" s="77">
        <v>88707.79386893</v>
      </c>
      <c r="DA62" s="78">
        <v>7847.11184</v>
      </c>
      <c r="DB62" s="79">
        <v>80860.68202893</v>
      </c>
      <c r="DC62" s="77">
        <v>89897.3759347462</v>
      </c>
      <c r="DD62" s="78">
        <v>7534.67539</v>
      </c>
      <c r="DE62" s="79">
        <v>82362.7005447462</v>
      </c>
      <c r="DF62" s="77">
        <v>87378.37654</v>
      </c>
      <c r="DG62" s="78">
        <v>7804.08415</v>
      </c>
      <c r="DH62" s="79">
        <v>79574.29239</v>
      </c>
    </row>
    <row r="63" ht="44" spans="1:112">
      <c r="A63" s="91" t="s">
        <v>420</v>
      </c>
      <c r="B63" s="81">
        <v>79034.06316</v>
      </c>
      <c r="C63" s="82">
        <v>856.19625</v>
      </c>
      <c r="D63" s="83">
        <v>78177.86691</v>
      </c>
      <c r="E63" s="81">
        <v>80260.83637</v>
      </c>
      <c r="F63" s="82">
        <v>906.55973</v>
      </c>
      <c r="G63" s="83">
        <v>79354.27664</v>
      </c>
      <c r="H63" s="81">
        <v>81568.64262</v>
      </c>
      <c r="I63" s="82">
        <v>916.17428</v>
      </c>
      <c r="J63" s="83">
        <v>80652.46834</v>
      </c>
      <c r="K63" s="81">
        <v>80428.16892</v>
      </c>
      <c r="L63" s="82">
        <v>875.35475</v>
      </c>
      <c r="M63" s="83">
        <v>79552.81417</v>
      </c>
      <c r="N63" s="81">
        <v>81493.46789</v>
      </c>
      <c r="O63" s="82">
        <v>866.56753</v>
      </c>
      <c r="P63" s="83">
        <v>80626.90036</v>
      </c>
      <c r="Q63" s="81">
        <v>81373.9931</v>
      </c>
      <c r="R63" s="82">
        <v>846.19754</v>
      </c>
      <c r="S63" s="83">
        <v>80527.79556</v>
      </c>
      <c r="T63" s="81">
        <v>81668.21379</v>
      </c>
      <c r="U63" s="82">
        <v>822.1563</v>
      </c>
      <c r="V63" s="83">
        <v>80846.05749</v>
      </c>
      <c r="W63" s="81">
        <v>81391.23471</v>
      </c>
      <c r="X63" s="82">
        <v>750.32237</v>
      </c>
      <c r="Y63" s="83">
        <v>80640.91234</v>
      </c>
      <c r="Z63" s="81">
        <v>82596.36185</v>
      </c>
      <c r="AA63" s="82">
        <v>760.07235</v>
      </c>
      <c r="AB63" s="83">
        <v>81836.2895</v>
      </c>
      <c r="AC63" s="81">
        <v>83525.80106</v>
      </c>
      <c r="AD63" s="82">
        <v>763.18499</v>
      </c>
      <c r="AE63" s="83">
        <v>82762.61607</v>
      </c>
      <c r="AF63" s="81">
        <v>83154.02709</v>
      </c>
      <c r="AG63" s="82">
        <v>699.15307</v>
      </c>
      <c r="AH63" s="83">
        <v>82454.87402</v>
      </c>
      <c r="AI63" s="81">
        <v>82230.49702</v>
      </c>
      <c r="AJ63" s="82">
        <v>738.10785</v>
      </c>
      <c r="AK63" s="83">
        <v>81492.38917</v>
      </c>
      <c r="AL63" s="81">
        <v>82204.19065</v>
      </c>
      <c r="AM63" s="82">
        <v>771.13727</v>
      </c>
      <c r="AN63" s="83">
        <v>81433.05338</v>
      </c>
      <c r="AO63" s="81">
        <v>83082.65899</v>
      </c>
      <c r="AP63" s="82">
        <v>804.21198</v>
      </c>
      <c r="AQ63" s="83">
        <v>82278.44701</v>
      </c>
      <c r="AR63" s="81">
        <v>82671.63380109</v>
      </c>
      <c r="AS63" s="82">
        <v>792.77767</v>
      </c>
      <c r="AT63" s="83">
        <v>81878.85613109</v>
      </c>
      <c r="AU63" s="81">
        <v>82432.91483</v>
      </c>
      <c r="AV63" s="82">
        <v>771.8007</v>
      </c>
      <c r="AW63" s="83">
        <v>81661.11413</v>
      </c>
      <c r="AX63" s="81">
        <v>82120.77275</v>
      </c>
      <c r="AY63" s="82">
        <v>770.12506</v>
      </c>
      <c r="AZ63" s="83">
        <v>81350.64769</v>
      </c>
      <c r="BA63" s="81">
        <v>81713.04693</v>
      </c>
      <c r="BB63" s="82">
        <v>816.99285</v>
      </c>
      <c r="BC63" s="83">
        <v>80896.05408</v>
      </c>
      <c r="BD63" s="81">
        <v>80866.93734</v>
      </c>
      <c r="BE63" s="82">
        <v>846.86481</v>
      </c>
      <c r="BF63" s="83">
        <v>80020.07253</v>
      </c>
      <c r="BG63" s="81">
        <v>79283.93285</v>
      </c>
      <c r="BH63" s="82">
        <v>810.87464</v>
      </c>
      <c r="BI63" s="83">
        <v>78473.05821</v>
      </c>
      <c r="BJ63" s="81">
        <v>77986.63851</v>
      </c>
      <c r="BK63" s="82">
        <v>807.81795</v>
      </c>
      <c r="BL63" s="83">
        <v>77178.82056</v>
      </c>
      <c r="BM63" s="81">
        <v>77978.84028</v>
      </c>
      <c r="BN63" s="82">
        <v>1006.74118</v>
      </c>
      <c r="BO63" s="83">
        <v>76972.0991</v>
      </c>
      <c r="BP63" s="81">
        <v>78328.88575</v>
      </c>
      <c r="BQ63" s="82">
        <v>867.88374</v>
      </c>
      <c r="BR63" s="83">
        <v>77461.00201</v>
      </c>
      <c r="BS63" s="81">
        <v>78093.52237</v>
      </c>
      <c r="BT63" s="82">
        <v>939.30713</v>
      </c>
      <c r="BU63" s="83">
        <v>77154.21524</v>
      </c>
      <c r="BV63" s="81">
        <v>78874.57249</v>
      </c>
      <c r="BW63" s="82">
        <v>999.33668</v>
      </c>
      <c r="BX63" s="83">
        <v>77875.23581</v>
      </c>
      <c r="BY63" s="81">
        <v>79385.537621</v>
      </c>
      <c r="BZ63" s="82">
        <v>1057.24748</v>
      </c>
      <c r="CA63" s="83">
        <v>78328.290141</v>
      </c>
      <c r="CB63" s="81">
        <v>79037.05832</v>
      </c>
      <c r="CC63" s="82">
        <v>2510.91743</v>
      </c>
      <c r="CD63" s="83">
        <v>76526.14089</v>
      </c>
      <c r="CE63" s="81">
        <v>78463.3189977</v>
      </c>
      <c r="CF63" s="82">
        <v>983.61882</v>
      </c>
      <c r="CG63" s="83">
        <v>77479.7001777</v>
      </c>
      <c r="CH63" s="81">
        <v>78594.4664055446</v>
      </c>
      <c r="CI63" s="82">
        <v>998.38967</v>
      </c>
      <c r="CJ63" s="83">
        <v>77596.0767355446</v>
      </c>
      <c r="CK63" s="81">
        <v>78995.96648866</v>
      </c>
      <c r="CL63" s="82">
        <v>1091.56737</v>
      </c>
      <c r="CM63" s="83">
        <v>77904.39911866</v>
      </c>
      <c r="CN63" s="81">
        <v>77943.19534697</v>
      </c>
      <c r="CO63" s="82">
        <v>1038.98493</v>
      </c>
      <c r="CP63" s="83">
        <v>76904.21041697</v>
      </c>
      <c r="CQ63" s="81">
        <v>76986.60047893</v>
      </c>
      <c r="CR63" s="82">
        <v>1777.51611</v>
      </c>
      <c r="CS63" s="83">
        <v>75209.08436893</v>
      </c>
      <c r="CT63" s="81">
        <v>78712.61486893</v>
      </c>
      <c r="CU63" s="82">
        <v>1863.98438</v>
      </c>
      <c r="CV63" s="83">
        <v>76848.63048893</v>
      </c>
      <c r="CW63" s="81">
        <v>77992.46589893</v>
      </c>
      <c r="CX63" s="82">
        <v>1780.18948</v>
      </c>
      <c r="CY63" s="83">
        <v>76212.27641893</v>
      </c>
      <c r="CZ63" s="81">
        <v>76958.58131893</v>
      </c>
      <c r="DA63" s="82">
        <v>1146.44494</v>
      </c>
      <c r="DB63" s="83">
        <v>75812.13637893</v>
      </c>
      <c r="DC63" s="81">
        <v>76971.28317</v>
      </c>
      <c r="DD63" s="82">
        <v>1056.6364</v>
      </c>
      <c r="DE63" s="83">
        <v>75914.64677</v>
      </c>
      <c r="DF63" s="81">
        <v>77586.09367</v>
      </c>
      <c r="DG63" s="82">
        <v>1071.23913</v>
      </c>
      <c r="DH63" s="83">
        <v>76514.85454</v>
      </c>
    </row>
    <row r="64" ht="58" spans="1:112">
      <c r="A64" s="91" t="s">
        <v>421</v>
      </c>
      <c r="B64" s="81">
        <v>7134.30571</v>
      </c>
      <c r="C64" s="82">
        <v>6554.89918</v>
      </c>
      <c r="D64" s="83">
        <v>579.406529999999</v>
      </c>
      <c r="E64" s="81">
        <v>6830.81899</v>
      </c>
      <c r="F64" s="82">
        <v>7099.20496</v>
      </c>
      <c r="G64" s="83">
        <v>-268.385969999999</v>
      </c>
      <c r="H64" s="81">
        <v>6555.30554</v>
      </c>
      <c r="I64" s="82">
        <v>7420.0218</v>
      </c>
      <c r="J64" s="83">
        <v>-864.71626</v>
      </c>
      <c r="K64" s="81">
        <v>6687.7281</v>
      </c>
      <c r="L64" s="82">
        <v>6934.66822</v>
      </c>
      <c r="M64" s="83">
        <v>-246.940119999999</v>
      </c>
      <c r="N64" s="81">
        <v>7084.60505</v>
      </c>
      <c r="O64" s="82">
        <v>4649.54703</v>
      </c>
      <c r="P64" s="83">
        <v>2435.05802</v>
      </c>
      <c r="Q64" s="81">
        <v>7130.71049</v>
      </c>
      <c r="R64" s="82">
        <v>4159.4639</v>
      </c>
      <c r="S64" s="83">
        <v>2971.24659</v>
      </c>
      <c r="T64" s="81">
        <v>6742.61616</v>
      </c>
      <c r="U64" s="82">
        <v>3490.00055</v>
      </c>
      <c r="V64" s="83">
        <v>3252.61561</v>
      </c>
      <c r="W64" s="81">
        <v>6571.89419</v>
      </c>
      <c r="X64" s="82">
        <v>3430.29187</v>
      </c>
      <c r="Y64" s="83">
        <v>3141.60232</v>
      </c>
      <c r="Z64" s="81">
        <v>6852.84594</v>
      </c>
      <c r="AA64" s="82">
        <v>2919.53263</v>
      </c>
      <c r="AB64" s="83">
        <v>3933.31331</v>
      </c>
      <c r="AC64" s="81">
        <v>6766.13021</v>
      </c>
      <c r="AD64" s="82">
        <v>2912.69656</v>
      </c>
      <c r="AE64" s="83">
        <v>3853.43365</v>
      </c>
      <c r="AF64" s="81">
        <v>6796.21137</v>
      </c>
      <c r="AG64" s="82">
        <v>3323.65245</v>
      </c>
      <c r="AH64" s="83">
        <v>3472.55892</v>
      </c>
      <c r="AI64" s="81">
        <v>6961.74952</v>
      </c>
      <c r="AJ64" s="82">
        <v>3493.51253</v>
      </c>
      <c r="AK64" s="83">
        <v>3468.23699</v>
      </c>
      <c r="AL64" s="81">
        <v>7710.78289</v>
      </c>
      <c r="AM64" s="82">
        <v>3141.33017</v>
      </c>
      <c r="AN64" s="83">
        <v>4569.45272</v>
      </c>
      <c r="AO64" s="81">
        <v>9167.45612</v>
      </c>
      <c r="AP64" s="82">
        <v>3723.12639</v>
      </c>
      <c r="AQ64" s="83">
        <v>5444.32973</v>
      </c>
      <c r="AR64" s="81">
        <v>9915.61214</v>
      </c>
      <c r="AS64" s="82">
        <v>3887.53686</v>
      </c>
      <c r="AT64" s="83">
        <v>6028.07528</v>
      </c>
      <c r="AU64" s="81">
        <v>10014.55777</v>
      </c>
      <c r="AV64" s="82">
        <v>4025.32506</v>
      </c>
      <c r="AW64" s="83">
        <v>5989.23271</v>
      </c>
      <c r="AX64" s="81">
        <v>9870.62964</v>
      </c>
      <c r="AY64" s="82">
        <v>4077.34752</v>
      </c>
      <c r="AZ64" s="83">
        <v>5793.28212</v>
      </c>
      <c r="BA64" s="81">
        <v>9994.27481</v>
      </c>
      <c r="BB64" s="82">
        <v>4122.27365</v>
      </c>
      <c r="BC64" s="83">
        <v>5872.00116</v>
      </c>
      <c r="BD64" s="81">
        <v>9241.69657</v>
      </c>
      <c r="BE64" s="82">
        <v>4624.9931</v>
      </c>
      <c r="BF64" s="83">
        <v>4616.70347</v>
      </c>
      <c r="BG64" s="81">
        <v>9275.0195</v>
      </c>
      <c r="BH64" s="82">
        <v>5209.14979</v>
      </c>
      <c r="BI64" s="83">
        <v>4065.86971</v>
      </c>
      <c r="BJ64" s="81">
        <v>9255.82248</v>
      </c>
      <c r="BK64" s="82">
        <v>4808.99054</v>
      </c>
      <c r="BL64" s="83">
        <v>4446.83194</v>
      </c>
      <c r="BM64" s="81">
        <v>9789.05474</v>
      </c>
      <c r="BN64" s="82">
        <v>5546.68184</v>
      </c>
      <c r="BO64" s="83">
        <v>4242.3729</v>
      </c>
      <c r="BP64" s="81">
        <v>9706.38087</v>
      </c>
      <c r="BQ64" s="82">
        <v>5443.31694</v>
      </c>
      <c r="BR64" s="83">
        <v>4263.06393</v>
      </c>
      <c r="BS64" s="81">
        <v>9881.61241</v>
      </c>
      <c r="BT64" s="82">
        <v>2710.25616</v>
      </c>
      <c r="BU64" s="83">
        <v>7171.35625</v>
      </c>
      <c r="BV64" s="81">
        <v>10041.74435</v>
      </c>
      <c r="BW64" s="82">
        <v>2748.488319</v>
      </c>
      <c r="BX64" s="83">
        <v>7293.256031</v>
      </c>
      <c r="BY64" s="81">
        <v>10135.69316</v>
      </c>
      <c r="BZ64" s="82">
        <v>2644.17315</v>
      </c>
      <c r="CA64" s="83">
        <v>7491.52001</v>
      </c>
      <c r="CB64" s="81">
        <v>10038.74153</v>
      </c>
      <c r="CC64" s="82">
        <v>2529.498642</v>
      </c>
      <c r="CD64" s="83">
        <v>7509.242888</v>
      </c>
      <c r="CE64" s="81">
        <v>10195.54545</v>
      </c>
      <c r="CF64" s="82">
        <v>3067.52775</v>
      </c>
      <c r="CG64" s="83">
        <v>7128.0177</v>
      </c>
      <c r="CH64" s="81">
        <v>10172.1418</v>
      </c>
      <c r="CI64" s="82">
        <v>3041.6269</v>
      </c>
      <c r="CJ64" s="83">
        <v>7130.5149</v>
      </c>
      <c r="CK64" s="81">
        <v>10317.58614</v>
      </c>
      <c r="CL64" s="82">
        <v>3206.11758</v>
      </c>
      <c r="CM64" s="83">
        <v>7111.46856</v>
      </c>
      <c r="CN64" s="81">
        <v>10166.19684</v>
      </c>
      <c r="CO64" s="82">
        <v>3096.71964</v>
      </c>
      <c r="CP64" s="83">
        <v>7069.4772</v>
      </c>
      <c r="CQ64" s="81">
        <v>10297.80895</v>
      </c>
      <c r="CR64" s="82">
        <v>3097.1321</v>
      </c>
      <c r="CS64" s="83">
        <v>7200.67685</v>
      </c>
      <c r="CT64" s="81">
        <v>10193.95842</v>
      </c>
      <c r="CU64" s="82">
        <v>2983.61877</v>
      </c>
      <c r="CV64" s="83">
        <v>7210.33965</v>
      </c>
      <c r="CW64" s="81">
        <v>10327.97167</v>
      </c>
      <c r="CX64" s="82">
        <v>3025.53786</v>
      </c>
      <c r="CY64" s="83">
        <v>7302.43381</v>
      </c>
      <c r="CZ64" s="81">
        <v>8175.24725</v>
      </c>
      <c r="DA64" s="82">
        <v>3035.80744</v>
      </c>
      <c r="DB64" s="83">
        <v>5139.43981</v>
      </c>
      <c r="DC64" s="81">
        <v>8313.66299</v>
      </c>
      <c r="DD64" s="82">
        <v>2978.00068</v>
      </c>
      <c r="DE64" s="83">
        <v>5335.66231</v>
      </c>
      <c r="DF64" s="81">
        <v>6815.34879</v>
      </c>
      <c r="DG64" s="82">
        <v>2568.97994</v>
      </c>
      <c r="DH64" s="83">
        <v>4246.36885</v>
      </c>
    </row>
    <row r="65" ht="44" spans="1:112">
      <c r="A65" s="92" t="s">
        <v>422</v>
      </c>
      <c r="B65" s="93">
        <v>19090.53437</v>
      </c>
      <c r="C65" s="94">
        <v>1264.02756</v>
      </c>
      <c r="D65" s="95">
        <v>17826.50681</v>
      </c>
      <c r="E65" s="93">
        <v>19108.4821</v>
      </c>
      <c r="F65" s="94">
        <v>1365.40536</v>
      </c>
      <c r="G65" s="95">
        <v>17743.07674</v>
      </c>
      <c r="H65" s="93">
        <v>17941.7583317465</v>
      </c>
      <c r="I65" s="94">
        <v>1537.56573</v>
      </c>
      <c r="J65" s="95">
        <v>16404.1926017465</v>
      </c>
      <c r="K65" s="93">
        <v>17256.79126</v>
      </c>
      <c r="L65" s="94">
        <v>1152.22532</v>
      </c>
      <c r="M65" s="95">
        <v>16104.56594</v>
      </c>
      <c r="N65" s="93">
        <v>17003.65758</v>
      </c>
      <c r="O65" s="94">
        <v>1363.75783</v>
      </c>
      <c r="P65" s="95">
        <v>15639.89975</v>
      </c>
      <c r="Q65" s="93">
        <v>16344.62002</v>
      </c>
      <c r="R65" s="94">
        <v>1411.50163</v>
      </c>
      <c r="S65" s="95">
        <v>14933.11839</v>
      </c>
      <c r="T65" s="93">
        <v>15750.8166</v>
      </c>
      <c r="U65" s="94">
        <v>1569.36062</v>
      </c>
      <c r="V65" s="95">
        <v>14181.45598</v>
      </c>
      <c r="W65" s="93">
        <v>14629.2723235833</v>
      </c>
      <c r="X65" s="94">
        <v>890.2419</v>
      </c>
      <c r="Y65" s="95">
        <v>13739.0304235833</v>
      </c>
      <c r="Z65" s="93">
        <v>14093.16382</v>
      </c>
      <c r="AA65" s="94">
        <v>823.45282</v>
      </c>
      <c r="AB65" s="95">
        <v>13269.711</v>
      </c>
      <c r="AC65" s="93">
        <v>12679.37963</v>
      </c>
      <c r="AD65" s="94">
        <v>1183.52596</v>
      </c>
      <c r="AE65" s="95">
        <v>11495.85367</v>
      </c>
      <c r="AF65" s="93">
        <v>11347.50221</v>
      </c>
      <c r="AG65" s="94">
        <v>1385.29328</v>
      </c>
      <c r="AH65" s="95">
        <v>9962.20893</v>
      </c>
      <c r="AI65" s="93">
        <v>11184.59635</v>
      </c>
      <c r="AJ65" s="94">
        <v>1075.84944</v>
      </c>
      <c r="AK65" s="95">
        <v>10108.74691</v>
      </c>
      <c r="AL65" s="93">
        <v>11119.5001</v>
      </c>
      <c r="AM65" s="94">
        <v>923.6142</v>
      </c>
      <c r="AN65" s="95">
        <v>10195.8859</v>
      </c>
      <c r="AO65" s="93">
        <v>10869.45729</v>
      </c>
      <c r="AP65" s="94">
        <v>858.5185692</v>
      </c>
      <c r="AQ65" s="95">
        <v>10010.9387208</v>
      </c>
      <c r="AR65" s="93">
        <v>10264.14018</v>
      </c>
      <c r="AS65" s="94">
        <v>953.95433</v>
      </c>
      <c r="AT65" s="95">
        <v>9310.18585</v>
      </c>
      <c r="AU65" s="93">
        <v>10092.73584</v>
      </c>
      <c r="AV65" s="94">
        <v>903.58474</v>
      </c>
      <c r="AW65" s="95">
        <v>9189.1511</v>
      </c>
      <c r="AX65" s="93">
        <v>9265.10608</v>
      </c>
      <c r="AY65" s="94">
        <v>1721.45317</v>
      </c>
      <c r="AZ65" s="95">
        <v>7543.65291</v>
      </c>
      <c r="BA65" s="93">
        <v>8741.71049</v>
      </c>
      <c r="BB65" s="94">
        <v>1972.92551</v>
      </c>
      <c r="BC65" s="95">
        <v>6768.78498</v>
      </c>
      <c r="BD65" s="93">
        <v>8021.63472</v>
      </c>
      <c r="BE65" s="94">
        <v>1691.34494</v>
      </c>
      <c r="BF65" s="95">
        <v>6330.28978</v>
      </c>
      <c r="BG65" s="93">
        <v>7669.81557</v>
      </c>
      <c r="BH65" s="94">
        <v>1861.12227</v>
      </c>
      <c r="BI65" s="95">
        <v>5808.6933</v>
      </c>
      <c r="BJ65" s="93">
        <v>7212.476792</v>
      </c>
      <c r="BK65" s="94">
        <v>2468.39871</v>
      </c>
      <c r="BL65" s="95">
        <v>4744.078082</v>
      </c>
      <c r="BM65" s="93">
        <v>6619.611915</v>
      </c>
      <c r="BN65" s="94">
        <v>2597.21943</v>
      </c>
      <c r="BO65" s="95">
        <v>4022.392485</v>
      </c>
      <c r="BP65" s="93">
        <v>6319.700676</v>
      </c>
      <c r="BQ65" s="94">
        <v>2713.51671</v>
      </c>
      <c r="BR65" s="95">
        <v>3606.183966</v>
      </c>
      <c r="BS65" s="93">
        <v>5704.622552</v>
      </c>
      <c r="BT65" s="94">
        <v>2558.32633</v>
      </c>
      <c r="BU65" s="95">
        <v>3146.296222</v>
      </c>
      <c r="BV65" s="93">
        <v>4940.421622</v>
      </c>
      <c r="BW65" s="94">
        <v>3392.16563</v>
      </c>
      <c r="BX65" s="95">
        <v>1548.255992</v>
      </c>
      <c r="BY65" s="93">
        <v>4598.91209</v>
      </c>
      <c r="BZ65" s="94">
        <v>3544.59463</v>
      </c>
      <c r="CA65" s="95">
        <v>1054.31746</v>
      </c>
      <c r="CB65" s="93">
        <v>4390.10548955328</v>
      </c>
      <c r="CC65" s="94">
        <v>3418.94524</v>
      </c>
      <c r="CD65" s="95">
        <v>971.160249553276</v>
      </c>
      <c r="CE65" s="93">
        <v>4344.90174</v>
      </c>
      <c r="CF65" s="94">
        <v>3553.51017</v>
      </c>
      <c r="CG65" s="95">
        <v>791.391569999998</v>
      </c>
      <c r="CH65" s="93">
        <v>4162.11535</v>
      </c>
      <c r="CI65" s="94">
        <v>4021.81736</v>
      </c>
      <c r="CJ65" s="95">
        <v>140.297989999999</v>
      </c>
      <c r="CK65" s="93">
        <v>4398.64608</v>
      </c>
      <c r="CL65" s="94">
        <v>4584.03381</v>
      </c>
      <c r="CM65" s="95">
        <v>-185.387729999999</v>
      </c>
      <c r="CN65" s="93">
        <v>3966.87504</v>
      </c>
      <c r="CO65" s="94">
        <v>5138.18387</v>
      </c>
      <c r="CP65" s="95">
        <v>-1171.30883</v>
      </c>
      <c r="CQ65" s="93">
        <v>3856.514324</v>
      </c>
      <c r="CR65" s="94">
        <v>3034.878592</v>
      </c>
      <c r="CS65" s="95">
        <v>821.635732</v>
      </c>
      <c r="CT65" s="93">
        <v>3611.51692</v>
      </c>
      <c r="CU65" s="94">
        <v>3574.39173</v>
      </c>
      <c r="CV65" s="95">
        <v>37.1251900000007</v>
      </c>
      <c r="CW65" s="93">
        <v>3760.33928</v>
      </c>
      <c r="CX65" s="94">
        <v>3322.87628</v>
      </c>
      <c r="CY65" s="95">
        <v>437.463</v>
      </c>
      <c r="CZ65" s="93">
        <v>3573.9653</v>
      </c>
      <c r="DA65" s="94">
        <v>3664.85946</v>
      </c>
      <c r="DB65" s="95">
        <v>-90.8941599999998</v>
      </c>
      <c r="DC65" s="93">
        <v>4612.42977474616</v>
      </c>
      <c r="DD65" s="94">
        <v>3500.03831</v>
      </c>
      <c r="DE65" s="95">
        <v>1112.39146474616</v>
      </c>
      <c r="DF65" s="93">
        <v>2976.93408</v>
      </c>
      <c r="DG65" s="94">
        <v>4163.86508</v>
      </c>
      <c r="DH65" s="95">
        <v>-1186.931</v>
      </c>
    </row>
    <row r="66" ht="9" customHeight="1" spans="1:112">
      <c r="A66" s="96"/>
      <c r="B66" s="82"/>
      <c r="C66" s="82"/>
      <c r="D66" s="82"/>
      <c r="E66" s="82"/>
      <c r="F66" s="82"/>
      <c r="G66" s="82"/>
      <c r="H66" s="82"/>
      <c r="I66" s="82"/>
      <c r="J66" s="82"/>
      <c r="K66" s="82"/>
      <c r="L66" s="82"/>
      <c r="M66" s="82"/>
      <c r="N66" s="82"/>
      <c r="O66" s="82"/>
      <c r="P66" s="82"/>
      <c r="Q66" s="82"/>
      <c r="R66" s="82"/>
      <c r="S66" s="82"/>
      <c r="T66" s="82"/>
      <c r="U66" s="82"/>
      <c r="V66" s="82"/>
      <c r="W66" s="82"/>
      <c r="X66" s="82"/>
      <c r="Y66" s="82"/>
      <c r="Z66" s="82"/>
      <c r="AA66" s="82"/>
      <c r="AB66" s="82"/>
      <c r="AC66" s="82"/>
      <c r="AD66" s="82"/>
      <c r="AE66" s="82"/>
      <c r="AF66" s="82"/>
      <c r="AG66" s="82"/>
      <c r="AH66" s="82"/>
      <c r="AI66" s="82"/>
      <c r="AJ66" s="82"/>
      <c r="AK66" s="82"/>
    </row>
    <row r="67" spans="1:112">
      <c r="A67" s="97" t="s">
        <v>423</v>
      </c>
      <c r="B67" s="97"/>
      <c r="C67" s="97"/>
      <c r="D67" s="97"/>
      <c r="E67" s="97"/>
      <c r="F67" s="97"/>
      <c r="G67" s="97"/>
      <c r="H67" s="97"/>
      <c r="I67" s="97"/>
      <c r="J67" s="97"/>
      <c r="K67" s="97"/>
      <c r="L67" s="97"/>
      <c r="M67" s="97"/>
      <c r="N67" s="97"/>
      <c r="O67" s="97"/>
      <c r="P67" s="97"/>
      <c r="Q67" s="97"/>
      <c r="R67" s="97"/>
      <c r="S67" s="97"/>
      <c r="T67" s="97"/>
      <c r="U67" s="97"/>
      <c r="V67" s="97"/>
      <c r="W67" s="97"/>
      <c r="X67" s="97"/>
      <c r="Y67" s="97"/>
      <c r="Z67" s="97"/>
      <c r="AA67" s="97"/>
      <c r="AB67" s="97"/>
      <c r="AC67" s="97"/>
      <c r="AD67" s="97"/>
      <c r="AE67" s="97"/>
      <c r="AF67" s="97"/>
      <c r="AG67" s="97"/>
      <c r="AH67" s="97"/>
      <c r="AI67" s="97"/>
      <c r="AJ67" s="97"/>
      <c r="AK67" s="97"/>
    </row>
    <row r="68" ht="16.8" spans="1:112">
      <c r="A68"/>
    </row>
  </sheetData>
  <mergeCells count="38">
    <mergeCell ref="B3:D3"/>
    <mergeCell ref="E3:G3"/>
    <mergeCell ref="H3:J3"/>
    <mergeCell ref="K3:M3"/>
    <mergeCell ref="N3:P3"/>
    <mergeCell ref="Q3:S3"/>
    <mergeCell ref="T3:V3"/>
    <mergeCell ref="W3:Y3"/>
    <mergeCell ref="Z3:AB3"/>
    <mergeCell ref="AC3:AE3"/>
    <mergeCell ref="AF3:AH3"/>
    <mergeCell ref="AI3:AK3"/>
    <mergeCell ref="AL3:AN3"/>
    <mergeCell ref="AO3:AQ3"/>
    <mergeCell ref="AR3:AT3"/>
    <mergeCell ref="AU3:AW3"/>
    <mergeCell ref="AX3:AZ3"/>
    <mergeCell ref="BA3:BC3"/>
    <mergeCell ref="BD3:BF3"/>
    <mergeCell ref="BG3:BI3"/>
    <mergeCell ref="BJ3:BL3"/>
    <mergeCell ref="BM3:BO3"/>
    <mergeCell ref="BP3:BR3"/>
    <mergeCell ref="BS3:BU3"/>
    <mergeCell ref="BV3:BX3"/>
    <mergeCell ref="BY3:CA3"/>
    <mergeCell ref="CB3:CD3"/>
    <mergeCell ref="CE3:CG3"/>
    <mergeCell ref="CH3:CJ3"/>
    <mergeCell ref="CK3:CM3"/>
    <mergeCell ref="CN3:CP3"/>
    <mergeCell ref="CQ3:CS3"/>
    <mergeCell ref="CT3:CV3"/>
    <mergeCell ref="CW3:CY3"/>
    <mergeCell ref="CZ3:DB3"/>
    <mergeCell ref="DC3:DE3"/>
    <mergeCell ref="DF3:DH3"/>
    <mergeCell ref="A67:AK67"/>
  </mergeCells>
  <pageMargins left="0.433070866141732" right="0.236220472440945" top="0.15748031496063" bottom="0.078740157480315" header="0.31496062992126" footer="0.31496062992126"/>
  <pageSetup paperSize="9" scale="95" fitToHeight="2" orientation="landscape"/>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F35"/>
  <sheetViews>
    <sheetView zoomScale="85" zoomScaleNormal="85" zoomScaleSheetLayoutView="90" workbookViewId="0">
      <pane xSplit="1" ySplit="3" topLeftCell="B4" activePane="bottomRight" state="frozen"/>
      <selection/>
      <selection pane="topRight"/>
      <selection pane="bottomLeft"/>
      <selection pane="bottomRight" activeCell="A1" sqref="A1"/>
    </sheetView>
  </sheetViews>
  <sheetFormatPr defaultColWidth="9" defaultRowHeight="14.4"/>
  <cols>
    <col min="1" max="1" width="31.2890625" style="13" customWidth="1"/>
    <col min="2" max="4" width="10.2890625" style="13" hidden="1" customWidth="1" outlineLevel="1"/>
    <col min="5" max="5" width="10.2890625" style="13" customWidth="1" collapsed="1"/>
    <col min="6" max="8" width="10.2890625" style="14" hidden="1" customWidth="1" outlineLevel="1"/>
    <col min="9" max="9" width="10.2890625" style="14" customWidth="1" collapsed="1"/>
    <col min="10" max="12" width="10.2890625" style="14" hidden="1" customWidth="1" outlineLevel="1"/>
    <col min="13" max="13" width="10.2890625" style="14" customWidth="1" collapsed="1"/>
    <col min="14" max="16" width="10.2890625" style="14" hidden="1" customWidth="1" outlineLevel="1"/>
    <col min="17" max="17" width="10.2890625" style="14" customWidth="1" collapsed="1"/>
    <col min="18" max="20" width="10.2890625" style="14" hidden="1" customWidth="1" outlineLevel="1"/>
    <col min="21" max="21" width="10.2890625" style="14" customWidth="1" collapsed="1"/>
    <col min="22" max="24" width="10.2890625" style="14" hidden="1" customWidth="1" outlineLevel="1"/>
    <col min="25" max="25" width="10.2890625" style="14" customWidth="1" collapsed="1"/>
    <col min="26" max="28" width="10.2890625" style="14" hidden="1" customWidth="1" outlineLevel="1"/>
    <col min="29" max="29" width="10.2890625" style="14" customWidth="1" collapsed="1"/>
    <col min="30" max="32" width="10.2890625" style="14" hidden="1" customWidth="1" outlineLevel="1"/>
    <col min="33" max="33" width="9.859375" style="15" customWidth="1" collapsed="1"/>
    <col min="34" max="36" width="10.2890625" style="15" hidden="1" customWidth="1" outlineLevel="1"/>
    <col min="37" max="37" width="10.2890625" style="15" customWidth="1" collapsed="1"/>
    <col min="38" max="40" width="10.2890625" style="15" hidden="1" customWidth="1" outlineLevel="1"/>
    <col min="41" max="41" width="10.2890625" style="15" customWidth="1" collapsed="1"/>
    <col min="42" max="44" width="10.2890625" style="15" hidden="1" customWidth="1" outlineLevel="1"/>
    <col min="45" max="45" width="10.2890625" style="15" customWidth="1" collapsed="1"/>
    <col min="46" max="48" width="10.2890625" style="15" hidden="1" customWidth="1" outlineLevel="1"/>
    <col min="49" max="49" width="10.2890625" style="15" customWidth="1" collapsed="1"/>
    <col min="50" max="52" width="10.2890625" style="15" hidden="1" customWidth="1" outlineLevel="1"/>
    <col min="53" max="53" width="10.2890625" style="15" customWidth="1" collapsed="1"/>
    <col min="54" max="58" width="10.2890625" style="15" customWidth="1"/>
    <col min="59" max="16384" width="9.140625" style="14"/>
  </cols>
  <sheetData>
    <row r="1" ht="17.6" spans="1:58">
      <c r="A1" s="16" t="s">
        <v>56</v>
      </c>
      <c r="B1" s="17"/>
      <c r="C1" s="17"/>
      <c r="D1" s="17"/>
      <c r="E1" s="17"/>
      <c r="F1" s="17"/>
      <c r="G1" s="17"/>
    </row>
    <row r="2" ht="15" spans="1:58">
      <c r="A2" s="18" t="s">
        <v>411</v>
      </c>
      <c r="B2" s="19"/>
      <c r="C2" s="19"/>
      <c r="D2" s="19"/>
      <c r="E2" s="19"/>
    </row>
    <row r="3" s="12" customFormat="1" ht="24" customHeight="1" spans="1:58">
      <c r="A3" s="20"/>
      <c r="B3" s="21" t="s">
        <v>105</v>
      </c>
      <c r="C3" s="21" t="s">
        <v>106</v>
      </c>
      <c r="D3" s="21" t="s">
        <v>107</v>
      </c>
      <c r="E3" s="21" t="s">
        <v>108</v>
      </c>
      <c r="F3" s="22" t="s">
        <v>109</v>
      </c>
      <c r="G3" s="23" t="s">
        <v>110</v>
      </c>
      <c r="H3" s="23" t="s">
        <v>111</v>
      </c>
      <c r="I3" s="23" t="s">
        <v>112</v>
      </c>
      <c r="J3" s="23" t="s">
        <v>113</v>
      </c>
      <c r="K3" s="23" t="s">
        <v>114</v>
      </c>
      <c r="L3" s="23" t="s">
        <v>115</v>
      </c>
      <c r="M3" s="23" t="s">
        <v>116</v>
      </c>
      <c r="N3" s="23" t="s">
        <v>117</v>
      </c>
      <c r="O3" s="23" t="s">
        <v>118</v>
      </c>
      <c r="P3" s="23" t="s">
        <v>119</v>
      </c>
      <c r="Q3" s="23" t="s">
        <v>120</v>
      </c>
      <c r="R3" s="23" t="s">
        <v>121</v>
      </c>
      <c r="S3" s="23" t="s">
        <v>122</v>
      </c>
      <c r="T3" s="23" t="s">
        <v>123</v>
      </c>
      <c r="U3" s="23" t="s">
        <v>124</v>
      </c>
      <c r="V3" s="23" t="s">
        <v>125</v>
      </c>
      <c r="W3" s="23" t="s">
        <v>126</v>
      </c>
      <c r="X3" s="24">
        <v>43009</v>
      </c>
      <c r="Y3" s="24">
        <v>43101</v>
      </c>
      <c r="Z3" s="24">
        <v>43191</v>
      </c>
      <c r="AA3" s="24">
        <v>43282</v>
      </c>
      <c r="AB3" s="24">
        <v>43374</v>
      </c>
      <c r="AC3" s="24">
        <v>43466</v>
      </c>
      <c r="AD3" s="24">
        <v>43556</v>
      </c>
      <c r="AE3" s="24">
        <v>43647</v>
      </c>
      <c r="AF3" s="24">
        <v>43739</v>
      </c>
      <c r="AG3" s="25">
        <v>43831</v>
      </c>
      <c r="AH3" s="26">
        <v>43922</v>
      </c>
      <c r="AI3" s="26">
        <v>44013</v>
      </c>
      <c r="AJ3" s="26">
        <v>44105</v>
      </c>
      <c r="AK3" s="26">
        <v>44197</v>
      </c>
      <c r="AL3" s="26">
        <v>44287</v>
      </c>
      <c r="AM3" s="26">
        <v>44378</v>
      </c>
      <c r="AN3" s="26">
        <v>44470</v>
      </c>
      <c r="AO3" s="26">
        <v>44562</v>
      </c>
      <c r="AP3" s="26">
        <v>44652</v>
      </c>
      <c r="AQ3" s="26">
        <v>44743</v>
      </c>
      <c r="AR3" s="26">
        <v>44835</v>
      </c>
      <c r="AS3" s="26">
        <v>44927</v>
      </c>
      <c r="AT3" s="26">
        <v>45017</v>
      </c>
      <c r="AU3" s="26">
        <v>45108</v>
      </c>
      <c r="AV3" s="26">
        <v>45200</v>
      </c>
      <c r="AW3" s="26">
        <v>45292</v>
      </c>
      <c r="AX3" s="26">
        <v>45383</v>
      </c>
      <c r="AY3" s="26">
        <v>45474</v>
      </c>
      <c r="AZ3" s="26">
        <v>45566</v>
      </c>
      <c r="BA3" s="26">
        <v>45658</v>
      </c>
      <c r="BB3" s="26">
        <v>45748</v>
      </c>
      <c r="BC3" s="26">
        <v>45839</v>
      </c>
      <c r="BD3" s="26">
        <v>45931</v>
      </c>
      <c r="BE3" s="26">
        <v>46023</v>
      </c>
      <c r="BF3" s="27">
        <v>46113</v>
      </c>
    </row>
    <row r="4" ht="29" spans="1:58">
      <c r="A4" s="28" t="s">
        <v>424</v>
      </c>
      <c r="B4" s="29">
        <v>18950.4733929922</v>
      </c>
      <c r="C4" s="29">
        <v>18277.7471737653</v>
      </c>
      <c r="D4" s="29">
        <v>18891.1306288225</v>
      </c>
      <c r="E4" s="29">
        <v>17789.5988142937</v>
      </c>
      <c r="F4" s="29">
        <v>17998.9457452194</v>
      </c>
      <c r="G4" s="29">
        <v>20698.5562519586</v>
      </c>
      <c r="H4" s="29">
        <v>19339.650906618</v>
      </c>
      <c r="I4" s="29">
        <v>18730.5507616991</v>
      </c>
      <c r="J4" s="29">
        <v>18190.9072285095</v>
      </c>
      <c r="K4" s="29">
        <v>21151.1682346985</v>
      </c>
      <c r="L4" s="29">
        <v>20938.5762748005</v>
      </c>
      <c r="M4" s="29">
        <v>22504.5921443718</v>
      </c>
      <c r="N4" s="29">
        <v>20717.1433653285</v>
      </c>
      <c r="O4" s="29">
        <v>20154.1093112955</v>
      </c>
      <c r="P4" s="29">
        <v>22571.4864169502</v>
      </c>
      <c r="Q4" s="29">
        <v>18655.6722993586</v>
      </c>
      <c r="R4" s="29">
        <v>18356.5196754796</v>
      </c>
      <c r="S4" s="29">
        <v>19136.4243305865</v>
      </c>
      <c r="T4" s="29">
        <v>19484.9553298576</v>
      </c>
      <c r="U4" s="29">
        <v>18142.2841189996</v>
      </c>
      <c r="V4" s="29">
        <v>18624.4185664053</v>
      </c>
      <c r="W4" s="29">
        <v>20748.0868091755</v>
      </c>
      <c r="X4" s="29">
        <v>21694.4410472083</v>
      </c>
      <c r="Y4" s="29">
        <v>21536.4119300313</v>
      </c>
      <c r="Z4" s="29">
        <v>21094.2984666808</v>
      </c>
      <c r="AA4" s="29">
        <v>19620.7548367358</v>
      </c>
      <c r="AB4" s="29">
        <v>17685.780314709</v>
      </c>
      <c r="AC4" s="30">
        <v>18329.4109883925</v>
      </c>
      <c r="AD4" s="29">
        <v>18253.3652042705</v>
      </c>
      <c r="AE4" s="30">
        <v>18703.4915374238</v>
      </c>
      <c r="AF4" s="30">
        <v>20239.9504128345</v>
      </c>
      <c r="AG4" s="30">
        <v>18861.9901628067</v>
      </c>
      <c r="AH4" s="31">
        <v>16856.3859256032</v>
      </c>
      <c r="AI4" s="31">
        <v>18356.9987103471</v>
      </c>
      <c r="AJ4" s="31">
        <v>20009.1679612516</v>
      </c>
      <c r="AK4" s="31">
        <v>21092.3014859218</v>
      </c>
      <c r="AL4" s="31">
        <v>21227.8113479063</v>
      </c>
      <c r="AM4" s="31">
        <v>22947.7640319006</v>
      </c>
      <c r="AN4" s="31">
        <v>23032.2269649943</v>
      </c>
      <c r="AO4" s="31">
        <v>22804.8854380314</v>
      </c>
      <c r="AP4" s="31">
        <v>18695.5764899666</v>
      </c>
      <c r="AQ4" s="31">
        <v>17853.9381421754</v>
      </c>
      <c r="AR4" s="31">
        <v>16306.7109269235</v>
      </c>
      <c r="AS4" s="31">
        <v>15199.978305097</v>
      </c>
      <c r="AT4" s="31">
        <v>14873.8541119525</v>
      </c>
      <c r="AU4" s="31">
        <v>14148.4447454065</v>
      </c>
      <c r="AV4" s="31">
        <v>14595.4528944567</v>
      </c>
      <c r="AW4" s="31">
        <v>13784.4568420077</v>
      </c>
      <c r="AX4" s="31">
        <v>13575.1951702311</v>
      </c>
      <c r="AY4" s="31">
        <v>13681.8762504776</v>
      </c>
      <c r="AZ4" s="31">
        <v>14016.8760853896</v>
      </c>
      <c r="BA4" s="31">
        <v>14675.0648023197</v>
      </c>
      <c r="BB4" s="31">
        <v>15403.7669263221</v>
      </c>
      <c r="BC4" s="31">
        <v>15809.9728313983</v>
      </c>
      <c r="BD4" s="31">
        <v>18198.6535438923</v>
      </c>
      <c r="BE4" s="31">
        <v>22654.1365043583</v>
      </c>
      <c r="BF4" s="32">
        <v>23755.4417278474</v>
      </c>
    </row>
    <row r="5" ht="15" spans="1:58">
      <c r="A5" s="33" t="s">
        <v>425</v>
      </c>
      <c r="B5" s="34">
        <v>753.857570251963</v>
      </c>
      <c r="C5" s="34">
        <v>740.814448072732</v>
      </c>
      <c r="D5" s="34">
        <v>768.923729882769</v>
      </c>
      <c r="E5" s="34">
        <v>758.717854541629</v>
      </c>
      <c r="F5" s="34">
        <v>734.126443849445</v>
      </c>
      <c r="G5" s="34">
        <v>614.119638439011</v>
      </c>
      <c r="H5" s="34">
        <v>587.105226423594</v>
      </c>
      <c r="I5" s="34">
        <v>485.745619521151</v>
      </c>
      <c r="J5" s="34">
        <v>467.971530668148</v>
      </c>
      <c r="K5" s="34">
        <v>470.504802421042</v>
      </c>
      <c r="L5" s="34">
        <v>449.312389847066</v>
      </c>
      <c r="M5" s="34">
        <v>446.944539117287</v>
      </c>
      <c r="N5" s="34">
        <v>440.739418817207</v>
      </c>
      <c r="O5" s="34">
        <v>33.8668097082902</v>
      </c>
      <c r="P5" s="34">
        <v>17.7855964151507</v>
      </c>
      <c r="Q5" s="34">
        <v>10.787473489098</v>
      </c>
      <c r="R5" s="34">
        <v>9.18774978652055</v>
      </c>
      <c r="S5" s="34">
        <v>66.1969720622295</v>
      </c>
      <c r="T5" s="34">
        <v>126.772488728645</v>
      </c>
      <c r="U5" s="34">
        <v>235.447985225549</v>
      </c>
      <c r="V5" s="34">
        <v>621.423297339579</v>
      </c>
      <c r="W5" s="34">
        <v>643.493756436766</v>
      </c>
      <c r="X5" s="34">
        <v>423.704995360384</v>
      </c>
      <c r="Y5" s="34">
        <v>482.694457369589</v>
      </c>
      <c r="Z5" s="34">
        <v>1455.7569130346</v>
      </c>
      <c r="AA5" s="34">
        <v>758.105305904976</v>
      </c>
      <c r="AB5" s="34">
        <v>348.982895156991</v>
      </c>
      <c r="AC5" s="35">
        <v>440.252254796176</v>
      </c>
      <c r="AD5" s="34">
        <v>597.32874908374</v>
      </c>
      <c r="AE5" s="35">
        <v>419.99790546428</v>
      </c>
      <c r="AF5" s="35">
        <v>295.067342587433</v>
      </c>
      <c r="AG5" s="36">
        <v>822.82266624637</v>
      </c>
      <c r="AH5" s="36">
        <v>822.100065801093</v>
      </c>
      <c r="AI5" s="36">
        <v>763.533540190797</v>
      </c>
      <c r="AJ5" s="36">
        <v>758.237109546295</v>
      </c>
      <c r="AK5" s="36">
        <v>1632.96854454715</v>
      </c>
      <c r="AL5" s="36">
        <v>2416.34232960752</v>
      </c>
      <c r="AM5" s="36">
        <v>2432.20672804612</v>
      </c>
      <c r="AN5" s="36">
        <v>2354.93547694791</v>
      </c>
      <c r="AO5" s="36">
        <v>1978.70372864125</v>
      </c>
      <c r="AP5" s="36">
        <v>1318.02694517964</v>
      </c>
      <c r="AQ5" s="36">
        <v>1358.52543163133</v>
      </c>
      <c r="AR5" s="36">
        <v>1399.54910907885</v>
      </c>
      <c r="AS5" s="36">
        <v>1496.43329053471</v>
      </c>
      <c r="AT5" s="36">
        <v>1844.64757951077</v>
      </c>
      <c r="AU5" s="36">
        <v>1873.55129428784</v>
      </c>
      <c r="AV5" s="36">
        <v>2248.18558060876</v>
      </c>
      <c r="AW5" s="36">
        <v>2213.72883258114</v>
      </c>
      <c r="AX5" s="36">
        <v>2379.78252755849</v>
      </c>
      <c r="AY5" s="36">
        <v>2433.48439741052</v>
      </c>
      <c r="AZ5" s="36">
        <v>3059.72308199327</v>
      </c>
      <c r="BA5" s="36">
        <v>3660.42796427408</v>
      </c>
      <c r="BB5" s="36">
        <v>3620.60893653028</v>
      </c>
      <c r="BC5" s="36">
        <v>3483.23064642464</v>
      </c>
      <c r="BD5" s="36">
        <v>3832.50069592386</v>
      </c>
      <c r="BE5" s="36">
        <v>5658.45866048474</v>
      </c>
      <c r="BF5" s="37">
        <v>7366.33383159379</v>
      </c>
    </row>
    <row r="6" ht="15" spans="1:58">
      <c r="A6" s="33" t="s">
        <v>426</v>
      </c>
      <c r="B6" s="34">
        <v>18196.6158227403</v>
      </c>
      <c r="C6" s="34">
        <v>17536.9327256926</v>
      </c>
      <c r="D6" s="34">
        <v>18122.2068989397</v>
      </c>
      <c r="E6" s="34">
        <v>17030.8809597521</v>
      </c>
      <c r="F6" s="34">
        <v>17264.81930137</v>
      </c>
      <c r="G6" s="34">
        <v>20084.4366135196</v>
      </c>
      <c r="H6" s="34">
        <v>18752.5456801944</v>
      </c>
      <c r="I6" s="34">
        <v>18244.805142178</v>
      </c>
      <c r="J6" s="34">
        <v>17722.9356978414</v>
      </c>
      <c r="K6" s="34">
        <v>20680.6634322775</v>
      </c>
      <c r="L6" s="34">
        <v>20489.2638849534</v>
      </c>
      <c r="M6" s="34">
        <v>22057.6476052545</v>
      </c>
      <c r="N6" s="34">
        <v>20276.4039465113</v>
      </c>
      <c r="O6" s="34">
        <v>20120.2425015872</v>
      </c>
      <c r="P6" s="34">
        <v>22553.7008205351</v>
      </c>
      <c r="Q6" s="34">
        <v>18644.8848258695</v>
      </c>
      <c r="R6" s="34">
        <v>18347.3319256931</v>
      </c>
      <c r="S6" s="34">
        <v>19070.2273585243</v>
      </c>
      <c r="T6" s="34">
        <v>19358.1828411289</v>
      </c>
      <c r="U6" s="34">
        <v>17906.8361337741</v>
      </c>
      <c r="V6" s="34">
        <v>18002.9952690657</v>
      </c>
      <c r="W6" s="34">
        <v>20104.5930527387</v>
      </c>
      <c r="X6" s="34">
        <v>21270.7360518479</v>
      </c>
      <c r="Y6" s="34">
        <v>21053.7174726617</v>
      </c>
      <c r="Z6" s="34">
        <v>19638.5415536462</v>
      </c>
      <c r="AA6" s="34">
        <v>18862.6495308308</v>
      </c>
      <c r="AB6" s="34">
        <v>17336.797419552</v>
      </c>
      <c r="AC6" s="35">
        <v>17889.1587335963</v>
      </c>
      <c r="AD6" s="34">
        <v>17656.0364551867</v>
      </c>
      <c r="AE6" s="35">
        <v>18283.4936319596</v>
      </c>
      <c r="AF6" s="35">
        <v>19944.8830702471</v>
      </c>
      <c r="AG6" s="36">
        <v>18039.1674965604</v>
      </c>
      <c r="AH6" s="36">
        <v>16034.2858598021</v>
      </c>
      <c r="AI6" s="36">
        <v>17593.4651701563</v>
      </c>
      <c r="AJ6" s="36">
        <v>19250.9308517053</v>
      </c>
      <c r="AK6" s="36">
        <v>19459.3329413747</v>
      </c>
      <c r="AL6" s="36">
        <v>18811.4690182988</v>
      </c>
      <c r="AM6" s="36">
        <v>20515.5573038545</v>
      </c>
      <c r="AN6" s="36">
        <v>20677.2914880464</v>
      </c>
      <c r="AO6" s="36">
        <v>20826.1817093902</v>
      </c>
      <c r="AP6" s="36">
        <v>17377.5495447869</v>
      </c>
      <c r="AQ6" s="36">
        <v>16495.4127105441</v>
      </c>
      <c r="AR6" s="36">
        <v>14907.1618178447</v>
      </c>
      <c r="AS6" s="36">
        <v>13703.5450145622</v>
      </c>
      <c r="AT6" s="36">
        <v>13029.2065324417</v>
      </c>
      <c r="AU6" s="36">
        <v>12274.8934511187</v>
      </c>
      <c r="AV6" s="36">
        <v>12347.267313848</v>
      </c>
      <c r="AW6" s="36">
        <v>11570.7280094266</v>
      </c>
      <c r="AX6" s="36">
        <v>11195.4126426726</v>
      </c>
      <c r="AY6" s="36">
        <v>11248.391853067</v>
      </c>
      <c r="AZ6" s="36">
        <v>10957.1530033963</v>
      </c>
      <c r="BA6" s="36">
        <v>11014.6368380456</v>
      </c>
      <c r="BB6" s="36">
        <v>11783.1579897919</v>
      </c>
      <c r="BC6" s="36">
        <v>12326.7421849736</v>
      </c>
      <c r="BD6" s="36">
        <v>14366.1528479684</v>
      </c>
      <c r="BE6" s="36">
        <v>16995.6778438735</v>
      </c>
      <c r="BF6" s="37">
        <v>16389.1078962536</v>
      </c>
    </row>
    <row r="7" ht="15" spans="1:58">
      <c r="A7" s="38" t="s">
        <v>427</v>
      </c>
      <c r="B7" s="39">
        <v>38.9660553562969</v>
      </c>
      <c r="C7" s="39">
        <v>21.2007897202516</v>
      </c>
      <c r="D7" s="39">
        <v>21.1268517282797</v>
      </c>
      <c r="E7" s="39">
        <v>14.0823935252753</v>
      </c>
      <c r="F7" s="39">
        <v>14.0730575444179</v>
      </c>
      <c r="G7" s="39">
        <v>13.9976261127596</v>
      </c>
      <c r="H7" s="39">
        <v>13.8181226402812</v>
      </c>
      <c r="I7" s="39">
        <v>14.670561812382</v>
      </c>
      <c r="J7" s="39">
        <v>0.674247418149857</v>
      </c>
      <c r="K7" s="39">
        <v>0.668809938971229</v>
      </c>
      <c r="L7" s="39">
        <v>0.723791504672897</v>
      </c>
      <c r="M7" s="39">
        <v>1887.64867981397</v>
      </c>
      <c r="N7" s="39">
        <v>1870.07685885649</v>
      </c>
      <c r="O7" s="39">
        <v>1768.87307486796</v>
      </c>
      <c r="P7" s="39">
        <v>5007.83062353223</v>
      </c>
      <c r="Q7" s="39">
        <v>5038.01106387462</v>
      </c>
      <c r="R7" s="39">
        <v>5074.17785000841</v>
      </c>
      <c r="S7" s="39">
        <v>5367.70233864085</v>
      </c>
      <c r="T7" s="39">
        <v>5330.87933122494</v>
      </c>
      <c r="U7" s="39">
        <v>4713.740969265</v>
      </c>
      <c r="V7" s="39">
        <v>4836.939306042</v>
      </c>
      <c r="W7" s="39">
        <v>4862.37720902288</v>
      </c>
      <c r="X7" s="39">
        <v>5062.54965756183</v>
      </c>
      <c r="Y7" s="39">
        <v>4799.68895503133</v>
      </c>
      <c r="Z7" s="39">
        <v>3935.66451894084</v>
      </c>
      <c r="AA7" s="39">
        <v>3576.35706649375</v>
      </c>
      <c r="AB7" s="39">
        <v>3620.40050897113</v>
      </c>
      <c r="AC7" s="40">
        <v>4554.28376319195</v>
      </c>
      <c r="AD7" s="39">
        <v>4832.86283408263</v>
      </c>
      <c r="AE7" s="40">
        <v>5250.10137054361</v>
      </c>
      <c r="AF7" s="40">
        <v>6466.86866208072</v>
      </c>
      <c r="AG7" s="41">
        <v>6133.39723269445</v>
      </c>
      <c r="AH7" s="41">
        <v>5479.40814830897</v>
      </c>
      <c r="AI7" s="41">
        <v>5941.88143637665</v>
      </c>
      <c r="AJ7" s="41">
        <v>6728.71028214007</v>
      </c>
      <c r="AK7" s="41">
        <v>7202.66668654554</v>
      </c>
      <c r="AL7" s="41">
        <v>7108.69385717381</v>
      </c>
      <c r="AM7" s="41">
        <v>8361.37530589472</v>
      </c>
      <c r="AN7" s="41">
        <v>8739.02582339599</v>
      </c>
      <c r="AO7" s="41">
        <v>8748.73268946081</v>
      </c>
      <c r="AP7" s="41">
        <v>7187.69529213894</v>
      </c>
      <c r="AQ7" s="41">
        <v>7527.40534472111</v>
      </c>
      <c r="AR7" s="41">
        <v>6417.28936385215</v>
      </c>
      <c r="AS7" s="41">
        <v>6336.21979724287</v>
      </c>
      <c r="AT7" s="41">
        <v>5843.98920074915</v>
      </c>
      <c r="AU7" s="41">
        <v>5765.53494511138</v>
      </c>
      <c r="AV7" s="41">
        <v>5909.32940263448</v>
      </c>
      <c r="AW7" s="41">
        <v>5135.17583729637</v>
      </c>
      <c r="AX7" s="41">
        <v>4852.50027129939</v>
      </c>
      <c r="AY7" s="41">
        <v>4618.31018914566</v>
      </c>
      <c r="AZ7" s="41">
        <v>5371.27897228019</v>
      </c>
      <c r="BA7" s="41">
        <v>5537.92372805536</v>
      </c>
      <c r="BB7" s="41">
        <v>5458.16848476239</v>
      </c>
      <c r="BC7" s="41">
        <v>5407.2426978535</v>
      </c>
      <c r="BD7" s="41">
        <v>7168.82219421948</v>
      </c>
      <c r="BE7" s="41">
        <v>9311.91513423595</v>
      </c>
      <c r="BF7" s="42">
        <v>10078.120043586</v>
      </c>
    </row>
    <row r="8" ht="15" spans="1:58">
      <c r="A8" s="33" t="s">
        <v>425</v>
      </c>
      <c r="B8" s="34">
        <v>38.9660553562969</v>
      </c>
      <c r="C8" s="34">
        <v>21.2007897202516</v>
      </c>
      <c r="D8" s="34">
        <v>21.1268517282797</v>
      </c>
      <c r="E8" s="34">
        <v>14.0823935252753</v>
      </c>
      <c r="F8" s="34">
        <v>14.0730575444179</v>
      </c>
      <c r="G8" s="34">
        <v>13.9976261127596</v>
      </c>
      <c r="H8" s="34">
        <v>13.8181226402812</v>
      </c>
      <c r="I8" s="34">
        <v>14.670561812382</v>
      </c>
      <c r="J8" s="34">
        <v>0.674247418149857</v>
      </c>
      <c r="K8" s="34">
        <v>0.668809938971229</v>
      </c>
      <c r="L8" s="34">
        <v>0.723791504672897</v>
      </c>
      <c r="M8" s="34">
        <v>0.691381933973129</v>
      </c>
      <c r="N8" s="34">
        <v>0.687801506490708</v>
      </c>
      <c r="O8" s="34">
        <v>0.694338597959184</v>
      </c>
      <c r="P8" s="34">
        <v>0.479569996234634</v>
      </c>
      <c r="Q8" s="34">
        <v>1.43839778141819</v>
      </c>
      <c r="R8" s="34">
        <v>0.375728928409289</v>
      </c>
      <c r="S8" s="34">
        <v>0.374118887852123</v>
      </c>
      <c r="T8" s="34">
        <v>0.383098739939188</v>
      </c>
      <c r="U8" s="34">
        <v>0</v>
      </c>
      <c r="V8" s="34">
        <v>0</v>
      </c>
      <c r="W8" s="34">
        <v>30.2475377788811</v>
      </c>
      <c r="X8" s="34">
        <v>29.7507400568598</v>
      </c>
      <c r="Y8" s="34">
        <v>29.7235684410074</v>
      </c>
      <c r="Z8" s="34">
        <v>31.9796424868839</v>
      </c>
      <c r="AA8" s="34">
        <v>29.3126583206286</v>
      </c>
      <c r="AB8" s="34">
        <v>27.6845443027515</v>
      </c>
      <c r="AC8" s="35">
        <v>49.3151444069339</v>
      </c>
      <c r="AD8" s="34">
        <v>2.21657983622777</v>
      </c>
      <c r="AE8" s="35">
        <v>2.02002822379313</v>
      </c>
      <c r="AF8" s="35">
        <v>1.8872186572257</v>
      </c>
      <c r="AG8" s="36">
        <v>2.32578060478319</v>
      </c>
      <c r="AH8" s="36">
        <v>1.71195771481225</v>
      </c>
      <c r="AI8" s="36">
        <v>10.4934914664917</v>
      </c>
      <c r="AJ8" s="36">
        <v>48.86879556056</v>
      </c>
      <c r="AK8" s="36">
        <v>178.170791174931</v>
      </c>
      <c r="AL8" s="36">
        <v>475.498550044793</v>
      </c>
      <c r="AM8" s="36">
        <v>675.317232984393</v>
      </c>
      <c r="AN8" s="36">
        <v>817.326640133204</v>
      </c>
      <c r="AO8" s="36">
        <v>866.041359238494</v>
      </c>
      <c r="AP8" s="36">
        <v>561.931662823784</v>
      </c>
      <c r="AQ8" s="36">
        <v>506.594359528418</v>
      </c>
      <c r="AR8" s="36">
        <v>476.301648127214</v>
      </c>
      <c r="AS8" s="36">
        <v>485.349363377325</v>
      </c>
      <c r="AT8" s="36">
        <v>670.345796251026</v>
      </c>
      <c r="AU8" s="36">
        <v>781.399894718294</v>
      </c>
      <c r="AV8" s="36">
        <v>818.948189571346</v>
      </c>
      <c r="AW8" s="36">
        <v>880.38225135031</v>
      </c>
      <c r="AX8" s="36">
        <v>1003.24377648566</v>
      </c>
      <c r="AY8" s="36">
        <v>1073.90989875683</v>
      </c>
      <c r="AZ8" s="36">
        <v>1736.19940015351</v>
      </c>
      <c r="BA8" s="36">
        <v>1805.99385697341</v>
      </c>
      <c r="BB8" s="36">
        <v>1754.7732337555</v>
      </c>
      <c r="BC8" s="36">
        <v>1723.18255030042</v>
      </c>
      <c r="BD8" s="36">
        <v>2032.66246319524</v>
      </c>
      <c r="BE8" s="36">
        <v>3115.37652139234</v>
      </c>
      <c r="BF8" s="37">
        <v>4275.61033312197</v>
      </c>
    </row>
    <row r="9" ht="15" spans="1:58">
      <c r="A9" s="33" t="s">
        <v>426</v>
      </c>
      <c r="B9" s="34">
        <v>0</v>
      </c>
      <c r="C9" s="34">
        <v>0</v>
      </c>
      <c r="D9" s="34">
        <v>0</v>
      </c>
      <c r="E9" s="34">
        <v>0</v>
      </c>
      <c r="F9" s="34">
        <v>0</v>
      </c>
      <c r="G9" s="34">
        <v>0</v>
      </c>
      <c r="H9" s="34">
        <v>0</v>
      </c>
      <c r="I9" s="34">
        <v>0</v>
      </c>
      <c r="J9" s="34">
        <v>0</v>
      </c>
      <c r="K9" s="34">
        <v>0</v>
      </c>
      <c r="L9" s="34">
        <v>0</v>
      </c>
      <c r="M9" s="34">
        <v>1886.95729788</v>
      </c>
      <c r="N9" s="34">
        <v>1869.38905735</v>
      </c>
      <c r="O9" s="34">
        <v>1768.17873627</v>
      </c>
      <c r="P9" s="34">
        <v>5007.351053536</v>
      </c>
      <c r="Q9" s="34">
        <v>5036.5726660932</v>
      </c>
      <c r="R9" s="34">
        <v>5073.80212108</v>
      </c>
      <c r="S9" s="34">
        <v>5367.328219753</v>
      </c>
      <c r="T9" s="34">
        <v>5330.496232485</v>
      </c>
      <c r="U9" s="34">
        <v>4713.740969265</v>
      </c>
      <c r="V9" s="34">
        <v>4836.939306042</v>
      </c>
      <c r="W9" s="34">
        <v>4832.129671244</v>
      </c>
      <c r="X9" s="34">
        <v>5032.79891750497</v>
      </c>
      <c r="Y9" s="34">
        <v>4769.96538659032</v>
      </c>
      <c r="Z9" s="34">
        <v>3903.68487645395</v>
      </c>
      <c r="AA9" s="34">
        <v>3547.04440817312</v>
      </c>
      <c r="AB9" s="34">
        <v>3592.71596466838</v>
      </c>
      <c r="AC9" s="35">
        <v>4504.96861878501</v>
      </c>
      <c r="AD9" s="34">
        <v>4830.6462542464</v>
      </c>
      <c r="AE9" s="35">
        <v>5248.08134231981</v>
      </c>
      <c r="AF9" s="35">
        <v>6464.98144342349</v>
      </c>
      <c r="AG9" s="36">
        <v>6131.07145208967</v>
      </c>
      <c r="AH9" s="36">
        <v>5477.69619059416</v>
      </c>
      <c r="AI9" s="36">
        <v>5931.38794491015</v>
      </c>
      <c r="AJ9" s="36">
        <v>6679.84148657951</v>
      </c>
      <c r="AK9" s="36">
        <v>7024.4958953706</v>
      </c>
      <c r="AL9" s="36">
        <v>6633.19530712902</v>
      </c>
      <c r="AM9" s="36">
        <v>7686.05807291032</v>
      </c>
      <c r="AN9" s="36">
        <v>7921.69918326279</v>
      </c>
      <c r="AO9" s="36">
        <v>7882.69133022232</v>
      </c>
      <c r="AP9" s="36">
        <v>6625.76362931515</v>
      </c>
      <c r="AQ9" s="36">
        <v>7020.81098519269</v>
      </c>
      <c r="AR9" s="36">
        <v>5940.98771572494</v>
      </c>
      <c r="AS9" s="36">
        <v>5850.87043386555</v>
      </c>
      <c r="AT9" s="36">
        <v>5173.64340449812</v>
      </c>
      <c r="AU9" s="36">
        <v>4984.13505039308</v>
      </c>
      <c r="AV9" s="36">
        <v>5090.38121306313</v>
      </c>
      <c r="AW9" s="36">
        <v>4254.79358594606</v>
      </c>
      <c r="AX9" s="36">
        <v>3849.25649481373</v>
      </c>
      <c r="AY9" s="36">
        <v>3544.40029038883</v>
      </c>
      <c r="AZ9" s="36">
        <v>3635.07957212668</v>
      </c>
      <c r="BA9" s="36">
        <v>3731.92987108195</v>
      </c>
      <c r="BB9" s="36">
        <v>3703.3952510069</v>
      </c>
      <c r="BC9" s="36">
        <v>3684.06014755308</v>
      </c>
      <c r="BD9" s="36">
        <v>5136.15973102424</v>
      </c>
      <c r="BE9" s="36">
        <v>6196.53861284361</v>
      </c>
      <c r="BF9" s="37">
        <v>5802.50971046405</v>
      </c>
    </row>
    <row r="10" ht="15" spans="1:58">
      <c r="A10" s="38" t="s">
        <v>178</v>
      </c>
      <c r="B10" s="39">
        <v>0</v>
      </c>
      <c r="C10" s="39">
        <v>0</v>
      </c>
      <c r="D10" s="39">
        <v>0</v>
      </c>
      <c r="E10" s="39">
        <v>0</v>
      </c>
      <c r="F10" s="39">
        <v>0</v>
      </c>
      <c r="G10" s="39">
        <v>1.31882624464227</v>
      </c>
      <c r="H10" s="39">
        <v>0</v>
      </c>
      <c r="I10" s="39">
        <v>0</v>
      </c>
      <c r="J10" s="39">
        <v>0</v>
      </c>
      <c r="K10" s="39">
        <v>0</v>
      </c>
      <c r="L10" s="39">
        <v>0</v>
      </c>
      <c r="M10" s="39">
        <v>0</v>
      </c>
      <c r="N10" s="39">
        <v>0</v>
      </c>
      <c r="O10" s="39">
        <v>0</v>
      </c>
      <c r="P10" s="39">
        <v>0</v>
      </c>
      <c r="Q10" s="39">
        <v>0</v>
      </c>
      <c r="R10" s="39">
        <v>0</v>
      </c>
      <c r="S10" s="39">
        <v>60.4215289353384</v>
      </c>
      <c r="T10" s="39">
        <v>120.834960344676</v>
      </c>
      <c r="U10" s="39">
        <v>220.781245673973</v>
      </c>
      <c r="V10" s="39">
        <v>605.968705166356</v>
      </c>
      <c r="W10" s="39">
        <v>572.701062354026</v>
      </c>
      <c r="X10" s="39">
        <v>350.214614845732</v>
      </c>
      <c r="Y10" s="39">
        <v>408.120840579141</v>
      </c>
      <c r="Z10" s="39">
        <v>1376.9217139363</v>
      </c>
      <c r="AA10" s="39">
        <v>685.461825697509</v>
      </c>
      <c r="AB10" s="39">
        <v>276.306023366927</v>
      </c>
      <c r="AC10" s="40">
        <v>275.311696675231</v>
      </c>
      <c r="AD10" s="39">
        <v>445.758563402365</v>
      </c>
      <c r="AE10" s="40">
        <v>267.284043268376</v>
      </c>
      <c r="AF10" s="40">
        <v>150.620529714801</v>
      </c>
      <c r="AG10" s="41">
        <v>401.607725734947</v>
      </c>
      <c r="AH10" s="41">
        <v>463.171428717232</v>
      </c>
      <c r="AI10" s="41">
        <v>335.578224632103</v>
      </c>
      <c r="AJ10" s="41">
        <v>305.187768634044</v>
      </c>
      <c r="AK10" s="41">
        <v>821.189420854195</v>
      </c>
      <c r="AL10" s="41">
        <v>1333.18302321523</v>
      </c>
      <c r="AM10" s="41">
        <v>1140.33314440607</v>
      </c>
      <c r="AN10" s="41">
        <v>980.752704403805</v>
      </c>
      <c r="AO10" s="41">
        <v>483.301766083415</v>
      </c>
      <c r="AP10" s="41">
        <v>242.915826376523</v>
      </c>
      <c r="AQ10" s="41">
        <v>254.415412210546</v>
      </c>
      <c r="AR10" s="41">
        <v>166.542006670722</v>
      </c>
      <c r="AS10" s="41">
        <v>214.428082715176</v>
      </c>
      <c r="AT10" s="41">
        <v>240.80187874656</v>
      </c>
      <c r="AU10" s="41">
        <v>101.92158316712</v>
      </c>
      <c r="AV10" s="41">
        <v>168.174377043859</v>
      </c>
      <c r="AW10" s="41">
        <v>22.8654709875594</v>
      </c>
      <c r="AX10" s="41">
        <v>146.519044611639</v>
      </c>
      <c r="AY10" s="41">
        <v>0</v>
      </c>
      <c r="AZ10" s="41">
        <v>124.880233898925</v>
      </c>
      <c r="BA10" s="41">
        <v>198.655631977824</v>
      </c>
      <c r="BB10" s="41">
        <v>178.05087686895</v>
      </c>
      <c r="BC10" s="41">
        <v>6.16577705046436</v>
      </c>
      <c r="BD10" s="41">
        <v>0</v>
      </c>
      <c r="BE10" s="41">
        <v>295.69847486796</v>
      </c>
      <c r="BF10" s="42">
        <v>253.800497153122</v>
      </c>
    </row>
    <row r="11" ht="15" spans="1:58">
      <c r="A11" s="33" t="s">
        <v>425</v>
      </c>
      <c r="B11" s="34">
        <v>0</v>
      </c>
      <c r="C11" s="34">
        <v>0</v>
      </c>
      <c r="D11" s="34">
        <v>0</v>
      </c>
      <c r="E11" s="34">
        <v>0</v>
      </c>
      <c r="F11" s="34">
        <v>0</v>
      </c>
      <c r="G11" s="34">
        <v>1.31882624464227</v>
      </c>
      <c r="H11" s="34">
        <v>0</v>
      </c>
      <c r="I11" s="34">
        <v>0</v>
      </c>
      <c r="J11" s="34">
        <v>0</v>
      </c>
      <c r="K11" s="34">
        <v>0</v>
      </c>
      <c r="L11" s="34">
        <v>0</v>
      </c>
      <c r="M11" s="34">
        <v>0</v>
      </c>
      <c r="N11" s="34">
        <v>0</v>
      </c>
      <c r="O11" s="34">
        <v>0</v>
      </c>
      <c r="P11" s="34">
        <v>0</v>
      </c>
      <c r="Q11" s="34">
        <v>0</v>
      </c>
      <c r="R11" s="34">
        <v>0</v>
      </c>
      <c r="S11" s="34">
        <v>60.4215289353384</v>
      </c>
      <c r="T11" s="34">
        <v>120.834960344676</v>
      </c>
      <c r="U11" s="34">
        <v>220.781245673973</v>
      </c>
      <c r="V11" s="34">
        <v>605.968705166356</v>
      </c>
      <c r="W11" s="34">
        <v>572.701062354026</v>
      </c>
      <c r="X11" s="34">
        <v>350.214614845732</v>
      </c>
      <c r="Y11" s="34">
        <v>408.120840579141</v>
      </c>
      <c r="Z11" s="34">
        <v>1376.9217139363</v>
      </c>
      <c r="AA11" s="34">
        <v>685.461825697509</v>
      </c>
      <c r="AB11" s="34">
        <v>276.306023366927</v>
      </c>
      <c r="AC11" s="35">
        <v>275.311696675231</v>
      </c>
      <c r="AD11" s="34">
        <v>445.758563402365</v>
      </c>
      <c r="AE11" s="35">
        <v>267.284043268376</v>
      </c>
      <c r="AF11" s="35">
        <v>150.620529714801</v>
      </c>
      <c r="AG11" s="36">
        <v>401.607725734947</v>
      </c>
      <c r="AH11" s="36">
        <v>463.171428717232</v>
      </c>
      <c r="AI11" s="36">
        <v>335.578224632103</v>
      </c>
      <c r="AJ11" s="36">
        <v>305.187768634044</v>
      </c>
      <c r="AK11" s="36">
        <v>821.189420854195</v>
      </c>
      <c r="AL11" s="36">
        <v>1333.18302321523</v>
      </c>
      <c r="AM11" s="36">
        <v>1140.33314440607</v>
      </c>
      <c r="AN11" s="36">
        <v>980.752704403805</v>
      </c>
      <c r="AO11" s="36">
        <v>483.301766083415</v>
      </c>
      <c r="AP11" s="36">
        <v>242.915826376523</v>
      </c>
      <c r="AQ11" s="36">
        <v>254.415412210546</v>
      </c>
      <c r="AR11" s="36">
        <v>166.542006670722</v>
      </c>
      <c r="AS11" s="36">
        <v>214.428082715176</v>
      </c>
      <c r="AT11" s="36">
        <v>240.80187874656</v>
      </c>
      <c r="AU11" s="36">
        <v>101.92158316712</v>
      </c>
      <c r="AV11" s="36">
        <v>168.174377043859</v>
      </c>
      <c r="AW11" s="36">
        <v>22.8654709875594</v>
      </c>
      <c r="AX11" s="36">
        <v>146.519044611639</v>
      </c>
      <c r="AY11" s="36">
        <v>0</v>
      </c>
      <c r="AZ11" s="36">
        <v>124.880233898925</v>
      </c>
      <c r="BA11" s="36">
        <v>198.655631977824</v>
      </c>
      <c r="BB11" s="36">
        <v>178.05087686895</v>
      </c>
      <c r="BC11" s="36">
        <v>6.16577705046436</v>
      </c>
      <c r="BD11" s="36">
        <v>0</v>
      </c>
      <c r="BE11" s="36">
        <v>295.69847486796</v>
      </c>
      <c r="BF11" s="37">
        <v>253.800497153122</v>
      </c>
    </row>
    <row r="12" ht="15" spans="1:58">
      <c r="A12" s="33" t="s">
        <v>426</v>
      </c>
      <c r="B12" s="34">
        <v>0</v>
      </c>
      <c r="C12" s="34">
        <v>0</v>
      </c>
      <c r="D12" s="34">
        <v>0</v>
      </c>
      <c r="E12" s="34">
        <v>0</v>
      </c>
      <c r="F12" s="34">
        <v>0</v>
      </c>
      <c r="G12" s="34">
        <v>0</v>
      </c>
      <c r="H12" s="34">
        <v>0</v>
      </c>
      <c r="I12" s="34">
        <v>0</v>
      </c>
      <c r="J12" s="34">
        <v>0</v>
      </c>
      <c r="K12" s="34">
        <v>0</v>
      </c>
      <c r="L12" s="34">
        <v>0</v>
      </c>
      <c r="M12" s="34">
        <v>0</v>
      </c>
      <c r="N12" s="34">
        <v>0</v>
      </c>
      <c r="O12" s="34">
        <v>0</v>
      </c>
      <c r="P12" s="34">
        <v>0</v>
      </c>
      <c r="Q12" s="34">
        <v>0</v>
      </c>
      <c r="R12" s="34">
        <v>0</v>
      </c>
      <c r="S12" s="34">
        <v>0</v>
      </c>
      <c r="T12" s="34">
        <v>0</v>
      </c>
      <c r="U12" s="34">
        <v>0</v>
      </c>
      <c r="V12" s="34">
        <v>0</v>
      </c>
      <c r="W12" s="34">
        <v>0</v>
      </c>
      <c r="X12" s="34">
        <v>0</v>
      </c>
      <c r="Y12" s="34">
        <v>0</v>
      </c>
      <c r="Z12" s="34">
        <v>0</v>
      </c>
      <c r="AA12" s="34">
        <v>0</v>
      </c>
      <c r="AB12" s="34">
        <v>0</v>
      </c>
      <c r="AC12" s="35">
        <v>0</v>
      </c>
      <c r="AD12" s="34">
        <v>0</v>
      </c>
      <c r="AE12" s="35">
        <v>0</v>
      </c>
      <c r="AF12" s="35">
        <v>0</v>
      </c>
      <c r="AG12" s="36">
        <v>0</v>
      </c>
      <c r="AH12" s="36">
        <v>0</v>
      </c>
      <c r="AI12" s="36">
        <v>0</v>
      </c>
      <c r="AJ12" s="36">
        <v>0</v>
      </c>
      <c r="AK12" s="36">
        <v>0</v>
      </c>
      <c r="AL12" s="36">
        <v>0</v>
      </c>
      <c r="AM12" s="36">
        <v>0</v>
      </c>
      <c r="AN12" s="36">
        <v>0</v>
      </c>
      <c r="AO12" s="36">
        <v>0</v>
      </c>
      <c r="AP12" s="36">
        <v>0</v>
      </c>
      <c r="AQ12" s="36">
        <v>0</v>
      </c>
      <c r="AR12" s="36">
        <v>0</v>
      </c>
      <c r="AS12" s="36">
        <v>0</v>
      </c>
      <c r="AT12" s="36">
        <v>0</v>
      </c>
      <c r="AU12" s="36">
        <v>0</v>
      </c>
      <c r="AV12" s="36">
        <v>0</v>
      </c>
      <c r="AW12" s="36">
        <v>0</v>
      </c>
      <c r="AX12" s="36">
        <v>0</v>
      </c>
      <c r="AY12" s="36">
        <v>0</v>
      </c>
      <c r="AZ12" s="36">
        <v>0</v>
      </c>
      <c r="BA12" s="36">
        <v>0</v>
      </c>
      <c r="BB12" s="36">
        <v>0</v>
      </c>
      <c r="BC12" s="36">
        <v>0</v>
      </c>
      <c r="BD12" s="36">
        <v>0</v>
      </c>
      <c r="BE12" s="36">
        <v>0</v>
      </c>
      <c r="BF12" s="37">
        <v>0</v>
      </c>
    </row>
    <row r="13" ht="15" spans="1:58">
      <c r="A13" s="38" t="s">
        <v>182</v>
      </c>
      <c r="B13" s="39">
        <v>8140.09643772185</v>
      </c>
      <c r="C13" s="39">
        <v>7603.00654847187</v>
      </c>
      <c r="D13" s="39">
        <v>7814.70724639554</v>
      </c>
      <c r="E13" s="39">
        <v>6639.75969299074</v>
      </c>
      <c r="F13" s="39">
        <v>7240.84915007725</v>
      </c>
      <c r="G13" s="39">
        <v>6271.15819206481</v>
      </c>
      <c r="H13" s="39">
        <v>6247.466455941</v>
      </c>
      <c r="I13" s="39">
        <v>5739.69499155694</v>
      </c>
      <c r="J13" s="39">
        <v>5353.81128385847</v>
      </c>
      <c r="K13" s="39">
        <v>5463.37448635793</v>
      </c>
      <c r="L13" s="39">
        <v>5508.81627296764</v>
      </c>
      <c r="M13" s="39">
        <v>4704.11190639326</v>
      </c>
      <c r="N13" s="39">
        <v>4594.0643415986</v>
      </c>
      <c r="O13" s="39">
        <v>4812.50985251613</v>
      </c>
      <c r="P13" s="39">
        <v>4589.25518710689</v>
      </c>
      <c r="Q13" s="39">
        <v>3999.88950601027</v>
      </c>
      <c r="R13" s="39">
        <v>3832.3995256911</v>
      </c>
      <c r="S13" s="39">
        <v>3793.13568413821</v>
      </c>
      <c r="T13" s="39">
        <v>3787.28200447343</v>
      </c>
      <c r="U13" s="39">
        <v>3316.18226450875</v>
      </c>
      <c r="V13" s="39">
        <v>3044.05749040359</v>
      </c>
      <c r="W13" s="39">
        <v>2567.90842168406</v>
      </c>
      <c r="X13" s="39">
        <v>2532.41692562683</v>
      </c>
      <c r="Y13" s="39">
        <v>2780.77898213602</v>
      </c>
      <c r="Z13" s="39">
        <v>2627.57733408682</v>
      </c>
      <c r="AA13" s="39">
        <v>2607.03566989887</v>
      </c>
      <c r="AB13" s="39">
        <v>2577.01490752756</v>
      </c>
      <c r="AC13" s="40">
        <v>2442.00371896493</v>
      </c>
      <c r="AD13" s="39">
        <v>2154.79184226779</v>
      </c>
      <c r="AE13" s="40">
        <v>2112.11572960921</v>
      </c>
      <c r="AF13" s="40">
        <v>2001.91436225778</v>
      </c>
      <c r="AG13" s="41">
        <v>1875.85288968348</v>
      </c>
      <c r="AH13" s="41">
        <v>1870.77204318328</v>
      </c>
      <c r="AI13" s="41">
        <v>1841.1995726022</v>
      </c>
      <c r="AJ13" s="41">
        <v>1779.39371238856</v>
      </c>
      <c r="AK13" s="41">
        <v>1568.21096480857</v>
      </c>
      <c r="AL13" s="41">
        <v>1434.25153254419</v>
      </c>
      <c r="AM13" s="41">
        <v>1859.70750488738</v>
      </c>
      <c r="AN13" s="41">
        <v>1885.00304535779</v>
      </c>
      <c r="AO13" s="41">
        <v>1888.76244938032</v>
      </c>
      <c r="AP13" s="41">
        <v>1758.0502034633</v>
      </c>
      <c r="AQ13" s="41">
        <v>1403.24745550363</v>
      </c>
      <c r="AR13" s="41">
        <v>1361.22233784199</v>
      </c>
      <c r="AS13" s="41">
        <v>752.647138465028</v>
      </c>
      <c r="AT13" s="41">
        <v>742.693178765903</v>
      </c>
      <c r="AU13" s="41">
        <v>553.596152880174</v>
      </c>
      <c r="AV13" s="41">
        <v>511.736174487704</v>
      </c>
      <c r="AW13" s="41">
        <v>516.812060275714</v>
      </c>
      <c r="AX13" s="41">
        <v>510.060019963417</v>
      </c>
      <c r="AY13" s="41">
        <v>1005.19205471603</v>
      </c>
      <c r="AZ13" s="41">
        <v>970.041449166431</v>
      </c>
      <c r="BA13" s="41">
        <v>1344.85564513559</v>
      </c>
      <c r="BB13" s="41">
        <v>1812.906699234</v>
      </c>
      <c r="BC13" s="41">
        <v>1959.70241463285</v>
      </c>
      <c r="BD13" s="41">
        <v>2253.51041192946</v>
      </c>
      <c r="BE13" s="41">
        <v>3604.13087321541</v>
      </c>
      <c r="BF13" s="42">
        <v>3661.69622090818</v>
      </c>
    </row>
    <row r="14" ht="15" spans="1:58">
      <c r="A14" s="33" t="s">
        <v>425</v>
      </c>
      <c r="B14" s="34">
        <v>79.8322750474882</v>
      </c>
      <c r="C14" s="34">
        <v>81.6302347824969</v>
      </c>
      <c r="D14" s="34">
        <v>124.591929484311</v>
      </c>
      <c r="E14" s="34">
        <v>123.721799390417</v>
      </c>
      <c r="F14" s="34">
        <v>118.567000608904</v>
      </c>
      <c r="G14" s="34">
        <v>9.76021306669726</v>
      </c>
      <c r="H14" s="34">
        <v>2.33890393022626</v>
      </c>
      <c r="I14" s="34">
        <v>2.30797756260101</v>
      </c>
      <c r="J14" s="34">
        <v>1.25788082108193</v>
      </c>
      <c r="K14" s="34">
        <v>1.16894968520958</v>
      </c>
      <c r="L14" s="34">
        <v>1.20099417940297</v>
      </c>
      <c r="M14" s="34">
        <v>0.331206953272425</v>
      </c>
      <c r="N14" s="34">
        <v>0.331318788982098</v>
      </c>
      <c r="O14" s="34">
        <v>0.547575078966884</v>
      </c>
      <c r="P14" s="34">
        <v>0.369781670125005</v>
      </c>
      <c r="Q14" s="34">
        <v>0.301690568419217</v>
      </c>
      <c r="R14" s="34">
        <v>0.285694098318466</v>
      </c>
      <c r="S14" s="34">
        <v>0.295671202955593</v>
      </c>
      <c r="T14" s="34">
        <v>0.292726818059607</v>
      </c>
      <c r="U14" s="34">
        <v>0.30053206394089</v>
      </c>
      <c r="V14" s="34">
        <v>0.312996985048275</v>
      </c>
      <c r="W14" s="34">
        <v>2.63551492040679</v>
      </c>
      <c r="X14" s="34">
        <v>2.56137186268901</v>
      </c>
      <c r="Y14" s="34">
        <v>2.58683980545125</v>
      </c>
      <c r="Z14" s="34">
        <v>2.79778055843475</v>
      </c>
      <c r="AA14" s="34">
        <v>2.49720565938474</v>
      </c>
      <c r="AB14" s="34">
        <v>2.41210147074838</v>
      </c>
      <c r="AC14" s="35">
        <v>15.4758748213176</v>
      </c>
      <c r="AD14" s="34">
        <v>16.1312556131349</v>
      </c>
      <c r="AE14" s="35">
        <v>15.4716680429771</v>
      </c>
      <c r="AF14" s="35">
        <v>15.6693418219711</v>
      </c>
      <c r="AG14" s="36">
        <v>15.4087377702218</v>
      </c>
      <c r="AH14" s="36">
        <v>13.3744839151956</v>
      </c>
      <c r="AI14" s="36">
        <v>12.5490433567337</v>
      </c>
      <c r="AJ14" s="36">
        <v>17.1995676557386</v>
      </c>
      <c r="AK14" s="36">
        <v>15.151683429079</v>
      </c>
      <c r="AL14" s="36">
        <v>15.6980233944802</v>
      </c>
      <c r="AM14" s="36">
        <v>13.5720005794693</v>
      </c>
      <c r="AN14" s="36">
        <v>24.5957798093575</v>
      </c>
      <c r="AO14" s="36">
        <v>5.66305019749919</v>
      </c>
      <c r="AP14" s="36">
        <v>1.70875632894787</v>
      </c>
      <c r="AQ14" s="36">
        <v>1.5100668145862</v>
      </c>
      <c r="AR14" s="36">
        <v>1.91831363025879</v>
      </c>
      <c r="AS14" s="36">
        <v>3.71251613373516</v>
      </c>
      <c r="AT14" s="36">
        <v>3.6123185705399</v>
      </c>
      <c r="AU14" s="36">
        <v>3.6757831827355</v>
      </c>
      <c r="AV14" s="36">
        <v>5.30958899782675</v>
      </c>
      <c r="AW14" s="36">
        <v>12.8914019688158</v>
      </c>
      <c r="AX14" s="36">
        <v>13.559688602813</v>
      </c>
      <c r="AY14" s="36">
        <v>18.4327483755859</v>
      </c>
      <c r="AZ14" s="36">
        <v>12.3562755510154</v>
      </c>
      <c r="BA14" s="36">
        <v>25.7426193847263</v>
      </c>
      <c r="BB14" s="36">
        <v>15.531481682237</v>
      </c>
      <c r="BC14" s="36">
        <v>11.2557579405688</v>
      </c>
      <c r="BD14" s="36">
        <v>12.0522470079536</v>
      </c>
      <c r="BE14" s="36">
        <v>51.6812705943793</v>
      </c>
      <c r="BF14" s="37">
        <v>66.9341603169376</v>
      </c>
    </row>
    <row r="15" ht="15" spans="1:58">
      <c r="A15" s="33" t="s">
        <v>426</v>
      </c>
      <c r="B15" s="34">
        <v>8060.26416267436</v>
      </c>
      <c r="C15" s="34">
        <v>7521.37631368937</v>
      </c>
      <c r="D15" s="34">
        <v>7690.11531691123</v>
      </c>
      <c r="E15" s="34">
        <v>6516.03789360033</v>
      </c>
      <c r="F15" s="34">
        <v>7122.28214946835</v>
      </c>
      <c r="G15" s="34">
        <v>6261.39797899812</v>
      </c>
      <c r="H15" s="34">
        <v>6245.12755201078</v>
      </c>
      <c r="I15" s="34">
        <v>5737.38701399434</v>
      </c>
      <c r="J15" s="34">
        <v>5352.55340303739</v>
      </c>
      <c r="K15" s="34">
        <v>5462.20553667273</v>
      </c>
      <c r="L15" s="34">
        <v>5507.61527878824</v>
      </c>
      <c r="M15" s="34">
        <v>4703.78069943998</v>
      </c>
      <c r="N15" s="34">
        <v>4593.73302280962</v>
      </c>
      <c r="O15" s="34">
        <v>4811.96227743717</v>
      </c>
      <c r="P15" s="34">
        <v>4588.88540543676</v>
      </c>
      <c r="Q15" s="34">
        <v>3999.58781544185</v>
      </c>
      <c r="R15" s="34">
        <v>3832.11383159278</v>
      </c>
      <c r="S15" s="34">
        <v>3792.84001293526</v>
      </c>
      <c r="T15" s="34">
        <v>3786.98927765537</v>
      </c>
      <c r="U15" s="34">
        <v>3315.88173244481</v>
      </c>
      <c r="V15" s="34">
        <v>3043.74449341854</v>
      </c>
      <c r="W15" s="34">
        <v>2565.27290676366</v>
      </c>
      <c r="X15" s="34">
        <v>2529.85555376415</v>
      </c>
      <c r="Y15" s="34">
        <v>2778.19214233057</v>
      </c>
      <c r="Z15" s="34">
        <v>2624.77955352839</v>
      </c>
      <c r="AA15" s="34">
        <v>2604.53846423948</v>
      </c>
      <c r="AB15" s="34">
        <v>2574.60280605681</v>
      </c>
      <c r="AC15" s="35">
        <v>2426.52784414361</v>
      </c>
      <c r="AD15" s="34">
        <v>2138.66058665466</v>
      </c>
      <c r="AE15" s="35">
        <v>2096.64406156623</v>
      </c>
      <c r="AF15" s="35">
        <v>1986.24502043581</v>
      </c>
      <c r="AG15" s="36">
        <v>1860.44415191326</v>
      </c>
      <c r="AH15" s="36">
        <v>1857.39755926808</v>
      </c>
      <c r="AI15" s="36">
        <v>1828.65052924547</v>
      </c>
      <c r="AJ15" s="36">
        <v>1762.19414473282</v>
      </c>
      <c r="AK15" s="36">
        <v>1553.05928137949</v>
      </c>
      <c r="AL15" s="36">
        <v>1418.55350914971</v>
      </c>
      <c r="AM15" s="36">
        <v>1846.13550430791</v>
      </c>
      <c r="AN15" s="36">
        <v>1860.40726554843</v>
      </c>
      <c r="AO15" s="36">
        <v>1883.09939918282</v>
      </c>
      <c r="AP15" s="36">
        <v>1756.34144713435</v>
      </c>
      <c r="AQ15" s="36">
        <v>1401.73738868905</v>
      </c>
      <c r="AR15" s="36">
        <v>1359.30402421173</v>
      </c>
      <c r="AS15" s="36">
        <v>748.934622331293</v>
      </c>
      <c r="AT15" s="36">
        <v>739.080860195364</v>
      </c>
      <c r="AU15" s="36">
        <v>549.920369697439</v>
      </c>
      <c r="AV15" s="36">
        <v>506.426585489877</v>
      </c>
      <c r="AW15" s="36">
        <v>503.920658306898</v>
      </c>
      <c r="AX15" s="36">
        <v>496.500331360604</v>
      </c>
      <c r="AY15" s="36">
        <v>986.759306340446</v>
      </c>
      <c r="AZ15" s="36">
        <v>957.685173615416</v>
      </c>
      <c r="BA15" s="36">
        <v>1319.11302575086</v>
      </c>
      <c r="BB15" s="36">
        <v>1797.37521755176</v>
      </c>
      <c r="BC15" s="36">
        <v>1948.44665669229</v>
      </c>
      <c r="BD15" s="36">
        <v>2241.4581649215</v>
      </c>
      <c r="BE15" s="36">
        <v>3552.44960262103</v>
      </c>
      <c r="BF15" s="37">
        <v>3594.76206059124</v>
      </c>
    </row>
    <row r="16" ht="29" spans="1:58">
      <c r="A16" s="38" t="s">
        <v>428</v>
      </c>
      <c r="B16" s="39">
        <v>10771.4108999141</v>
      </c>
      <c r="C16" s="39">
        <v>10653.5398355732</v>
      </c>
      <c r="D16" s="39">
        <v>11055.2965306987</v>
      </c>
      <c r="E16" s="39">
        <v>11135.7567277777</v>
      </c>
      <c r="F16" s="39">
        <v>10744.0235375978</v>
      </c>
      <c r="G16" s="39">
        <v>14412.0816075364</v>
      </c>
      <c r="H16" s="39">
        <v>13078.3663280367</v>
      </c>
      <c r="I16" s="39">
        <v>12976.1852083298</v>
      </c>
      <c r="J16" s="39">
        <v>12836.4216972329</v>
      </c>
      <c r="K16" s="39">
        <v>15687.1249384016</v>
      </c>
      <c r="L16" s="39">
        <v>15429.0362103282</v>
      </c>
      <c r="M16" s="39">
        <v>15912.8315581645</v>
      </c>
      <c r="N16" s="39">
        <v>14253.0021648734</v>
      </c>
      <c r="O16" s="39">
        <v>13572.7263839114</v>
      </c>
      <c r="P16" s="39">
        <v>12974.4006063111</v>
      </c>
      <c r="Q16" s="39">
        <v>9617.77172947373</v>
      </c>
      <c r="R16" s="39">
        <v>9449.94229978014</v>
      </c>
      <c r="S16" s="39">
        <v>9915.16477887208</v>
      </c>
      <c r="T16" s="39">
        <v>10245.9590338145</v>
      </c>
      <c r="U16" s="39">
        <v>9891.57963955189</v>
      </c>
      <c r="V16" s="39">
        <v>10137.4530647933</v>
      </c>
      <c r="W16" s="39">
        <v>12745.1001161145</v>
      </c>
      <c r="X16" s="39">
        <v>13749.2598491739</v>
      </c>
      <c r="Y16" s="39">
        <v>13547.8231522848</v>
      </c>
      <c r="Z16" s="39">
        <v>13154.1348997168</v>
      </c>
      <c r="AA16" s="39">
        <v>12751.9002746457</v>
      </c>
      <c r="AB16" s="39">
        <v>11212.0588748434</v>
      </c>
      <c r="AC16" s="40">
        <v>11057.8118095604</v>
      </c>
      <c r="AD16" s="39">
        <v>10819.9519645177</v>
      </c>
      <c r="AE16" s="40">
        <v>11073.9903940027</v>
      </c>
      <c r="AF16" s="40">
        <v>11620.5468587812</v>
      </c>
      <c r="AG16" s="41">
        <v>10451.1323146939</v>
      </c>
      <c r="AH16" s="41">
        <v>9043.03430539367</v>
      </c>
      <c r="AI16" s="41">
        <v>10238.3394767361</v>
      </c>
      <c r="AJ16" s="41">
        <v>11195.8761980889</v>
      </c>
      <c r="AK16" s="41">
        <v>11500.2344137135</v>
      </c>
      <c r="AL16" s="41">
        <v>11351.6829349731</v>
      </c>
      <c r="AM16" s="41">
        <v>11586.3480767125</v>
      </c>
      <c r="AN16" s="41">
        <v>11427.4453918367</v>
      </c>
      <c r="AO16" s="41">
        <v>11684.0885331069</v>
      </c>
      <c r="AP16" s="41">
        <v>9506.9151679878</v>
      </c>
      <c r="AQ16" s="41">
        <v>8668.8699297401</v>
      </c>
      <c r="AR16" s="41">
        <v>8361.65721855867</v>
      </c>
      <c r="AS16" s="41">
        <v>7896.68328667388</v>
      </c>
      <c r="AT16" s="41">
        <v>8046.3698536909</v>
      </c>
      <c r="AU16" s="41">
        <v>7727.39206424787</v>
      </c>
      <c r="AV16" s="41">
        <v>8006.21294029069</v>
      </c>
      <c r="AW16" s="41">
        <v>8109.60347344806</v>
      </c>
      <c r="AX16" s="41">
        <v>8066.11583435663</v>
      </c>
      <c r="AY16" s="41">
        <v>8058.37400661587</v>
      </c>
      <c r="AZ16" s="41">
        <v>7550.67543004402</v>
      </c>
      <c r="BA16" s="41">
        <v>7593.62979715093</v>
      </c>
      <c r="BB16" s="41">
        <v>7954.6408654568</v>
      </c>
      <c r="BC16" s="41">
        <v>8436.86194186145</v>
      </c>
      <c r="BD16" s="41">
        <v>8776.32093774335</v>
      </c>
      <c r="BE16" s="41">
        <v>9442.39202203897</v>
      </c>
      <c r="BF16" s="42">
        <v>9761.82496620004</v>
      </c>
    </row>
    <row r="17" ht="15" spans="1:58">
      <c r="A17" s="33" t="s">
        <v>425</v>
      </c>
      <c r="B17" s="34">
        <v>635.059239848177</v>
      </c>
      <c r="C17" s="34">
        <v>637.983423569984</v>
      </c>
      <c r="D17" s="34">
        <v>623.204948670178</v>
      </c>
      <c r="E17" s="34">
        <v>620.913661625936</v>
      </c>
      <c r="F17" s="34">
        <v>601.486385696124</v>
      </c>
      <c r="G17" s="34">
        <v>589.042973014912</v>
      </c>
      <c r="H17" s="34">
        <v>570.948199853086</v>
      </c>
      <c r="I17" s="34">
        <v>468.767080146168</v>
      </c>
      <c r="J17" s="34">
        <v>466.039402428917</v>
      </c>
      <c r="K17" s="34">
        <v>468.667042796861</v>
      </c>
      <c r="L17" s="34">
        <v>447.387604162991</v>
      </c>
      <c r="M17" s="34">
        <v>445.921950230041</v>
      </c>
      <c r="N17" s="34">
        <v>439.720298521734</v>
      </c>
      <c r="O17" s="34">
        <v>32.6248960313641</v>
      </c>
      <c r="P17" s="34">
        <v>16.936244748791</v>
      </c>
      <c r="Q17" s="34">
        <v>9.04738513926061</v>
      </c>
      <c r="R17" s="34">
        <v>8.52632675979279</v>
      </c>
      <c r="S17" s="34">
        <v>5.10565303608339</v>
      </c>
      <c r="T17" s="34">
        <v>5.26170282597031</v>
      </c>
      <c r="U17" s="34">
        <v>14.3662074876354</v>
      </c>
      <c r="V17" s="34">
        <v>15.1415951881745</v>
      </c>
      <c r="W17" s="34">
        <v>37.9096413834525</v>
      </c>
      <c r="X17" s="34">
        <v>41.1782685951024</v>
      </c>
      <c r="Y17" s="34">
        <v>42.2632085439894</v>
      </c>
      <c r="Z17" s="34">
        <v>44.0577760529798</v>
      </c>
      <c r="AA17" s="34">
        <v>40.833616227454</v>
      </c>
      <c r="AB17" s="34">
        <v>42.5802260165643</v>
      </c>
      <c r="AC17" s="35">
        <v>100.149538892694</v>
      </c>
      <c r="AD17" s="34">
        <v>133.222350232012</v>
      </c>
      <c r="AE17" s="35">
        <v>135.222165929133</v>
      </c>
      <c r="AF17" s="35">
        <v>126.890252393435</v>
      </c>
      <c r="AG17" s="36">
        <v>403.480422136419</v>
      </c>
      <c r="AH17" s="36">
        <v>343.842195453852</v>
      </c>
      <c r="AI17" s="36">
        <v>404.912780735469</v>
      </c>
      <c r="AJ17" s="36">
        <v>386.980977695953</v>
      </c>
      <c r="AK17" s="36">
        <v>618.456649088945</v>
      </c>
      <c r="AL17" s="36">
        <v>591.962732953014</v>
      </c>
      <c r="AM17" s="36">
        <v>602.984350076188</v>
      </c>
      <c r="AN17" s="36">
        <v>532.260352601543</v>
      </c>
      <c r="AO17" s="36">
        <v>623.697553121839</v>
      </c>
      <c r="AP17" s="36">
        <v>511.470699650382</v>
      </c>
      <c r="AQ17" s="36">
        <v>596.005593077783</v>
      </c>
      <c r="AR17" s="36">
        <v>754.787140650659</v>
      </c>
      <c r="AS17" s="36">
        <v>792.943328308473</v>
      </c>
      <c r="AT17" s="36">
        <v>929.887585942642</v>
      </c>
      <c r="AU17" s="36">
        <v>986.554033219691</v>
      </c>
      <c r="AV17" s="36">
        <v>1255.75342499573</v>
      </c>
      <c r="AW17" s="36">
        <v>1297.58970827445</v>
      </c>
      <c r="AX17" s="36">
        <v>1216.46001785837</v>
      </c>
      <c r="AY17" s="36">
        <v>1341.1417502781</v>
      </c>
      <c r="AZ17" s="36">
        <v>1186.28717238982</v>
      </c>
      <c r="BA17" s="36">
        <v>1630.03585593812</v>
      </c>
      <c r="BB17" s="36">
        <v>1672.2533442236</v>
      </c>
      <c r="BC17" s="36">
        <v>1742.62656113319</v>
      </c>
      <c r="BD17" s="36">
        <v>1787.78598572067</v>
      </c>
      <c r="BE17" s="36">
        <v>2195.70239363006</v>
      </c>
      <c r="BF17" s="37">
        <v>2769.98884100176</v>
      </c>
    </row>
    <row r="18" ht="15" spans="1:58">
      <c r="A18" s="43" t="s">
        <v>426</v>
      </c>
      <c r="B18" s="44">
        <v>10136.3516600659</v>
      </c>
      <c r="C18" s="44">
        <v>10015.5564120032</v>
      </c>
      <c r="D18" s="44">
        <v>10432.0915820285</v>
      </c>
      <c r="E18" s="44">
        <v>10514.8430661518</v>
      </c>
      <c r="F18" s="44">
        <v>10142.5371519016</v>
      </c>
      <c r="G18" s="44">
        <v>13823.0386345215</v>
      </c>
      <c r="H18" s="44">
        <v>12507.4181281836</v>
      </c>
      <c r="I18" s="44">
        <v>12507.4181281836</v>
      </c>
      <c r="J18" s="44">
        <v>12370.382294804</v>
      </c>
      <c r="K18" s="44">
        <v>15218.4578956048</v>
      </c>
      <c r="L18" s="44">
        <v>14981.6486061652</v>
      </c>
      <c r="M18" s="44">
        <v>15466.9096079345</v>
      </c>
      <c r="N18" s="44">
        <v>13813.2818663517</v>
      </c>
      <c r="O18" s="44">
        <v>13540.10148788</v>
      </c>
      <c r="P18" s="44">
        <v>12957.4643615623</v>
      </c>
      <c r="Q18" s="44">
        <v>9608.72434433447</v>
      </c>
      <c r="R18" s="44">
        <v>9441.41597302035</v>
      </c>
      <c r="S18" s="44">
        <v>9910.05912583599</v>
      </c>
      <c r="T18" s="44">
        <v>10240.6973309885</v>
      </c>
      <c r="U18" s="44">
        <v>9877.21343206426</v>
      </c>
      <c r="V18" s="44">
        <v>10122.3114696051</v>
      </c>
      <c r="W18" s="44">
        <v>12707.1904747311</v>
      </c>
      <c r="X18" s="44">
        <v>13708.0815805788</v>
      </c>
      <c r="Y18" s="44">
        <v>13505.5599437409</v>
      </c>
      <c r="Z18" s="44">
        <v>13110.0771236638</v>
      </c>
      <c r="AA18" s="44">
        <v>12711.0666584182</v>
      </c>
      <c r="AB18" s="44">
        <v>11169.4786488269</v>
      </c>
      <c r="AC18" s="45">
        <v>10957.6622706677</v>
      </c>
      <c r="AD18" s="44">
        <v>10686.7296142857</v>
      </c>
      <c r="AE18" s="45">
        <v>10938.7682280735</v>
      </c>
      <c r="AF18" s="45">
        <v>11493.6566063878</v>
      </c>
      <c r="AG18" s="46">
        <v>10047.6518925574</v>
      </c>
      <c r="AH18" s="46">
        <v>8699.19210993982</v>
      </c>
      <c r="AI18" s="46">
        <v>9833.42669600067</v>
      </c>
      <c r="AJ18" s="46">
        <v>10808.895220393</v>
      </c>
      <c r="AK18" s="46">
        <v>10881.7777646246</v>
      </c>
      <c r="AL18" s="46">
        <v>10759.7202020201</v>
      </c>
      <c r="AM18" s="46">
        <v>10983.3637266363</v>
      </c>
      <c r="AN18" s="46">
        <v>10895.1850392351</v>
      </c>
      <c r="AO18" s="46">
        <v>11060.390979985</v>
      </c>
      <c r="AP18" s="46">
        <v>8995.44446833742</v>
      </c>
      <c r="AQ18" s="46">
        <v>8072.86433666232</v>
      </c>
      <c r="AR18" s="46">
        <v>7606.87007790802</v>
      </c>
      <c r="AS18" s="46">
        <v>7103.73995836541</v>
      </c>
      <c r="AT18" s="46">
        <v>7116.48226774826</v>
      </c>
      <c r="AU18" s="46">
        <v>6740.83803102818</v>
      </c>
      <c r="AV18" s="46">
        <v>6750.45951529496</v>
      </c>
      <c r="AW18" s="46">
        <v>6812.01376517361</v>
      </c>
      <c r="AX18" s="46">
        <v>6849.65581649826</v>
      </c>
      <c r="AY18" s="46">
        <v>6717.23225633777</v>
      </c>
      <c r="AZ18" s="46">
        <v>6364.3882576542</v>
      </c>
      <c r="BA18" s="46">
        <v>5963.59394121281</v>
      </c>
      <c r="BB18" s="46">
        <v>6282.38752123321</v>
      </c>
      <c r="BC18" s="46">
        <v>6694.23538072826</v>
      </c>
      <c r="BD18" s="46">
        <v>6988.53495202268</v>
      </c>
      <c r="BE18" s="46">
        <v>7246.68962840891</v>
      </c>
      <c r="BF18" s="47">
        <v>6991.83612519827</v>
      </c>
    </row>
    <row r="19" ht="9" customHeight="1" spans="1:58">
      <c r="A19" s="48"/>
      <c r="B19" s="48"/>
      <c r="C19" s="48"/>
      <c r="D19" s="48"/>
      <c r="E19" s="48"/>
      <c r="AG19" s="36"/>
    </row>
    <row r="20" spans="1:58">
      <c r="A20" s="49" t="s">
        <v>429</v>
      </c>
      <c r="B20" s="50"/>
      <c r="C20" s="50"/>
      <c r="D20" s="50"/>
      <c r="E20" s="50"/>
    </row>
    <row r="21" spans="1:58">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row>
    <row r="22" spans="1:58">
      <c r="A22" s="51"/>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row>
    <row r="23" spans="1:58">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row>
    <row r="24" spans="1:58">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row>
    <row r="25" spans="1:58">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row>
    <row r="26" spans="1:58">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row>
    <row r="27" spans="1:58">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row>
    <row r="28" spans="1:58">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row>
    <row r="29" spans="1:58">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row>
    <row r="30" spans="1:58">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row>
    <row r="31" spans="1:58">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row>
    <row r="32" spans="1:58">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row>
    <row r="33" spans="6:58">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row>
    <row r="34" spans="6:58">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row>
    <row r="35" spans="6:58">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row>
  </sheetData>
  <pageMargins left="0.236220472440945" right="0.236220472440945" top="0.748031496062992" bottom="0.748031496062992" header="0.31496062992126" footer="0.31496062992126"/>
  <pageSetup paperSize="9" orientation="landscape"/>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178"/>
  <sheetViews>
    <sheetView workbookViewId="0">
      <selection activeCell="A1" sqref="A1:B1"/>
    </sheetView>
  </sheetViews>
  <sheetFormatPr defaultColWidth="9" defaultRowHeight="16.8" outlineLevelCol="2"/>
  <cols>
    <col min="1" max="1" width="40" style="1" customWidth="1"/>
    <col min="2" max="2" width="134.4296875" style="1" customWidth="1"/>
    <col min="3" max="43" width="6.7109375" style="1" customWidth="1"/>
    <col min="44" max="16384" width="9.140625" style="1"/>
  </cols>
  <sheetData>
    <row r="1" ht="21" customHeight="1" spans="1:3">
      <c r="A1" s="2" t="s">
        <v>430</v>
      </c>
      <c r="B1" s="2"/>
    </row>
    <row r="2" ht="11.25" customHeight="1" spans="1:3">
      <c r="A2" s="3"/>
    </row>
    <row r="3" ht="21" customHeight="1" spans="1:3">
      <c r="A3" s="4" t="s">
        <v>413</v>
      </c>
      <c r="B3" s="5" t="s">
        <v>431</v>
      </c>
    </row>
    <row r="4" ht="33" customHeight="1" spans="1:3">
      <c r="A4" s="6" t="s">
        <v>162</v>
      </c>
      <c r="B4" s="7" t="s">
        <v>432</v>
      </c>
    </row>
    <row r="5" ht="33" customHeight="1" spans="1:3">
      <c r="A5" s="6" t="s">
        <v>433</v>
      </c>
      <c r="B5" s="7" t="s">
        <v>434</v>
      </c>
    </row>
    <row r="6" ht="34" spans="1:3">
      <c r="A6" s="6" t="s">
        <v>435</v>
      </c>
      <c r="B6" s="7" t="s">
        <v>436</v>
      </c>
    </row>
    <row r="7" ht="38.25" customHeight="1" spans="1:3">
      <c r="A7" s="6" t="s">
        <v>418</v>
      </c>
      <c r="B7" s="7" t="s">
        <v>437</v>
      </c>
      <c r="C7" s="8"/>
    </row>
    <row r="8" ht="17" spans="1:3">
      <c r="A8" s="6" t="s">
        <v>438</v>
      </c>
      <c r="B8" s="7" t="s">
        <v>439</v>
      </c>
    </row>
    <row r="9" ht="49.5" customHeight="1" spans="1:3">
      <c r="A9" s="6" t="s">
        <v>440</v>
      </c>
      <c r="B9" s="7" t="s">
        <v>441</v>
      </c>
    </row>
    <row r="10" ht="29.25" customHeight="1" spans="1:3">
      <c r="A10" s="6" t="s">
        <v>442</v>
      </c>
      <c r="B10" s="7" t="s">
        <v>443</v>
      </c>
      <c r="C10" s="8"/>
    </row>
    <row r="11" spans="1:3">
      <c r="A11" s="9"/>
      <c r="B11" s="10"/>
    </row>
    <row r="12" spans="1:3">
      <c r="A12" s="9"/>
      <c r="B12" s="10"/>
    </row>
    <row r="13" spans="1:3">
      <c r="A13" s="10"/>
    </row>
    <row r="14" spans="1:3">
      <c r="A14" s="10"/>
    </row>
    <row r="15" spans="1:3">
      <c r="A15" s="10"/>
    </row>
    <row r="16" spans="1:3">
      <c r="A16" s="10"/>
    </row>
    <row r="17" spans="1:1">
      <c r="A17" s="10"/>
    </row>
    <row r="18" spans="1:1">
      <c r="A18" s="11"/>
    </row>
    <row r="19" spans="1:1">
      <c r="A19" s="11"/>
    </row>
    <row r="20" spans="1:1">
      <c r="A20" s="11"/>
    </row>
    <row r="21" spans="1:1">
      <c r="A21" s="11"/>
    </row>
    <row r="22" ht="12.75" customHeight="1" spans="1:1">
      <c r="A22" s="11"/>
    </row>
    <row r="23" spans="1:1">
      <c r="A23" s="11"/>
    </row>
    <row r="24" ht="12.75" customHeight="1" spans="1:1">
      <c r="A24" s="11"/>
    </row>
    <row r="25" spans="1:1">
      <c r="A25" s="11"/>
    </row>
    <row r="26" spans="1:1">
      <c r="A26" s="11"/>
    </row>
    <row r="27" spans="1:1">
      <c r="A27" s="11"/>
    </row>
    <row r="28" spans="1:1">
      <c r="A28" s="11"/>
    </row>
    <row r="29" spans="1:1">
      <c r="A29" s="11"/>
    </row>
    <row r="30" spans="1:1">
      <c r="A30" s="11"/>
    </row>
    <row r="31" spans="1:1">
      <c r="A31" s="11"/>
    </row>
    <row r="32" spans="1:1">
      <c r="A32" s="11"/>
    </row>
    <row r="33" spans="1:1">
      <c r="A33" s="11"/>
    </row>
    <row r="34" spans="1:1">
      <c r="A34" s="11"/>
    </row>
    <row r="35" spans="1:1">
      <c r="A35" s="11"/>
    </row>
    <row r="36" spans="1:1">
      <c r="A36" s="11"/>
    </row>
    <row r="37" spans="1:1">
      <c r="A37" s="11"/>
    </row>
    <row r="38" spans="1:1">
      <c r="A38" s="11"/>
    </row>
    <row r="39" spans="1:1">
      <c r="A39" s="11"/>
    </row>
    <row r="40" spans="1:1">
      <c r="A40" s="11"/>
    </row>
    <row r="41" spans="1:1">
      <c r="A41" s="11"/>
    </row>
    <row r="42" spans="1:1">
      <c r="A42" s="11"/>
    </row>
    <row r="43" spans="1:1">
      <c r="A43" s="11"/>
    </row>
    <row r="44" spans="1:1">
      <c r="A44" s="11"/>
    </row>
    <row r="45" spans="1:1">
      <c r="A45" s="11"/>
    </row>
    <row r="46" spans="1:1">
      <c r="A46" s="11"/>
    </row>
    <row r="47" spans="1:1">
      <c r="A47" s="11"/>
    </row>
    <row r="48" spans="1:1">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row r="91" spans="1:1">
      <c r="A91" s="11"/>
    </row>
    <row r="92" spans="1:1">
      <c r="A92" s="11"/>
    </row>
    <row r="93" spans="1:1">
      <c r="A93" s="11"/>
    </row>
    <row r="94" spans="1:1">
      <c r="A94" s="11"/>
    </row>
    <row r="95" spans="1:1">
      <c r="A95" s="11"/>
    </row>
    <row r="96" spans="1:1">
      <c r="A96" s="11"/>
    </row>
    <row r="97" spans="1:1">
      <c r="A97" s="11"/>
    </row>
    <row r="98" spans="1:1">
      <c r="A98" s="11"/>
    </row>
    <row r="99" spans="1:1">
      <c r="A99" s="11"/>
    </row>
    <row r="100" spans="1:1">
      <c r="A100" s="11"/>
    </row>
    <row r="101" spans="1:1">
      <c r="A101" s="11"/>
    </row>
    <row r="102" spans="1:1">
      <c r="A102" s="11"/>
    </row>
    <row r="103" spans="1:1">
      <c r="A103" s="11"/>
    </row>
    <row r="104" spans="1:1">
      <c r="A104" s="11"/>
    </row>
    <row r="105" spans="1:1">
      <c r="A105" s="11"/>
    </row>
    <row r="106" spans="1:1">
      <c r="A106" s="11"/>
    </row>
    <row r="107" spans="1:1">
      <c r="A107" s="11"/>
    </row>
    <row r="108" spans="1:1">
      <c r="A108" s="11"/>
    </row>
    <row r="109" spans="1:1">
      <c r="A109" s="11"/>
    </row>
    <row r="110" spans="1:1">
      <c r="A110" s="11"/>
    </row>
    <row r="111" spans="1:1">
      <c r="A111" s="11"/>
    </row>
    <row r="112" spans="1:1">
      <c r="A112" s="11"/>
    </row>
    <row r="113" spans="1:1">
      <c r="A113" s="11"/>
    </row>
    <row r="114" spans="1:1">
      <c r="A114" s="11"/>
    </row>
    <row r="115" spans="1:1">
      <c r="A115" s="11"/>
    </row>
    <row r="116" spans="1:1">
      <c r="A116" s="11"/>
    </row>
    <row r="117" spans="1:1">
      <c r="A117" s="11"/>
    </row>
    <row r="118" spans="1:1">
      <c r="A118" s="11"/>
    </row>
    <row r="119" spans="1:1">
      <c r="A119" s="11"/>
    </row>
    <row r="120" spans="1:1">
      <c r="A120" s="11"/>
    </row>
    <row r="121" spans="1:1">
      <c r="A121" s="11"/>
    </row>
    <row r="122" spans="1:1">
      <c r="A122" s="11"/>
    </row>
    <row r="123" spans="1:1">
      <c r="A123" s="11"/>
    </row>
    <row r="124" spans="1:1">
      <c r="A124" s="11"/>
    </row>
    <row r="125" spans="1:1">
      <c r="A125" s="11"/>
    </row>
    <row r="126" spans="1:1">
      <c r="A126" s="11"/>
    </row>
    <row r="127" spans="1:1">
      <c r="A127" s="11"/>
    </row>
    <row r="128" spans="1:1">
      <c r="A128" s="11"/>
    </row>
    <row r="129" spans="1:1">
      <c r="A129" s="11"/>
    </row>
    <row r="130" spans="1:1">
      <c r="A130" s="11"/>
    </row>
    <row r="131" spans="1:1">
      <c r="A131" s="11"/>
    </row>
    <row r="132" spans="1:1">
      <c r="A132" s="11"/>
    </row>
    <row r="133" spans="1:1">
      <c r="A133" s="11"/>
    </row>
    <row r="134" spans="1:1">
      <c r="A134" s="11"/>
    </row>
    <row r="135" spans="1:1">
      <c r="A135" s="11"/>
    </row>
    <row r="136" spans="1:1">
      <c r="A136" s="11"/>
    </row>
    <row r="137" spans="1:1">
      <c r="A137" s="11"/>
    </row>
    <row r="138" spans="1:1">
      <c r="A138" s="11"/>
    </row>
    <row r="139" spans="1:1">
      <c r="A139" s="11"/>
    </row>
    <row r="140" spans="1:1">
      <c r="A140" s="11"/>
    </row>
    <row r="141" spans="1:1">
      <c r="A141" s="11"/>
    </row>
    <row r="142" spans="1:1">
      <c r="A142" s="11"/>
    </row>
    <row r="143" spans="1:1">
      <c r="A143" s="11"/>
    </row>
    <row r="144" spans="1:1">
      <c r="A144" s="11"/>
    </row>
    <row r="145" spans="1:1">
      <c r="A145" s="11"/>
    </row>
    <row r="146" spans="1:1">
      <c r="A146" s="11"/>
    </row>
    <row r="147" spans="1:1">
      <c r="A147" s="11"/>
    </row>
    <row r="148" spans="1:1">
      <c r="A148" s="11"/>
    </row>
    <row r="149" spans="1:1">
      <c r="A149" s="11"/>
    </row>
    <row r="150" spans="1:1">
      <c r="A150" s="11"/>
    </row>
    <row r="151" spans="1:1">
      <c r="A151" s="11"/>
    </row>
    <row r="152" spans="1:1">
      <c r="A152" s="11"/>
    </row>
    <row r="153" spans="1:1">
      <c r="A153" s="11"/>
    </row>
    <row r="154" spans="1:1">
      <c r="A154" s="11"/>
    </row>
    <row r="155" spans="1:1">
      <c r="A155" s="11"/>
    </row>
    <row r="156" spans="1:1">
      <c r="A156" s="11"/>
    </row>
    <row r="157" spans="1:1">
      <c r="A157" s="11"/>
    </row>
    <row r="158" spans="1:1">
      <c r="A158" s="11"/>
    </row>
    <row r="159" spans="1:1">
      <c r="A159" s="11"/>
    </row>
    <row r="160" spans="1:1">
      <c r="A160" s="11"/>
    </row>
    <row r="161" spans="1:1">
      <c r="A161" s="11"/>
    </row>
    <row r="162" spans="1:1">
      <c r="A162" s="11"/>
    </row>
    <row r="163" spans="1:1">
      <c r="A163" s="11"/>
    </row>
    <row r="164" spans="1:1">
      <c r="A164" s="11"/>
    </row>
    <row r="165" spans="1:1">
      <c r="A165" s="11"/>
    </row>
    <row r="166" spans="1:1">
      <c r="A166" s="11"/>
    </row>
    <row r="167" spans="1:1">
      <c r="A167" s="11"/>
    </row>
    <row r="168" spans="1:1">
      <c r="A168" s="11"/>
    </row>
    <row r="169" spans="1:1">
      <c r="A169" s="11"/>
    </row>
    <row r="170" spans="1:1">
      <c r="A170" s="11"/>
    </row>
    <row r="171" spans="1:1">
      <c r="A171" s="11"/>
    </row>
    <row r="172" spans="1:1">
      <c r="A172" s="11"/>
    </row>
    <row r="173" spans="1:1">
      <c r="A173" s="11"/>
    </row>
    <row r="174" spans="1:1">
      <c r="A174" s="11"/>
    </row>
    <row r="175" spans="1:1">
      <c r="A175" s="11"/>
    </row>
    <row r="176" spans="1:1">
      <c r="A176" s="11"/>
    </row>
    <row r="177" spans="1:1">
      <c r="A177" s="11"/>
    </row>
    <row r="178" spans="1:1">
      <c r="A178" s="11"/>
    </row>
  </sheetData>
  <mergeCells count="1">
    <mergeCell ref="A1:B1"/>
  </mergeCells>
  <pageMargins left="0.708661417322835" right="0.708661417322835" top="0.748031496062992" bottom="0.748031496062992" header="0.31496062992126" footer="0.31496062992126"/>
  <pageSetup paperSize="9" scale="75" orientation="landscape"/>
  <headerFooter/>
</worksheet>
</file>

<file path=docProps/app.xml><?xml version="1.0" encoding="utf-8"?>
<Properties xmlns="http://schemas.openxmlformats.org/officeDocument/2006/extended-properties" xmlns:vt="http://schemas.openxmlformats.org/officeDocument/2006/docPropsVTypes">
  <Company>Hewlett-Packard Company</Company>
  <Application>Microsoft Excel</Application>
  <HeadingPairs>
    <vt:vector size="2" baseType="variant">
      <vt:variant>
        <vt:lpstr>工作表</vt:lpstr>
      </vt:variant>
      <vt:variant>
        <vt:i4>12</vt:i4>
      </vt:variant>
    </vt:vector>
  </HeadingPairs>
  <TitlesOfParts>
    <vt:vector size="12" baseType="lpstr">
      <vt:lpstr>Sheet2</vt:lpstr>
      <vt:lpstr>Final Cle</vt:lpstr>
      <vt:lpstr>Final Cleaned</vt:lpstr>
      <vt:lpstr>Metadata</vt:lpstr>
      <vt:lpstr>Content</vt:lpstr>
      <vt:lpstr>1. standard presentation</vt:lpstr>
      <vt:lpstr>2. analytical presentation</vt:lpstr>
      <vt:lpstr>3. indicators</vt:lpstr>
      <vt:lpstr>4. reconciliation</vt:lpstr>
      <vt:lpstr>5. net external debt</vt:lpstr>
      <vt:lpstr>6. bonds_location of issue</vt:lpstr>
      <vt:lpstr>7. ED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Зарина Скрипченко</dc:creator>
  <cp:lastModifiedBy>Darkhan Mashirapov</cp:lastModifiedBy>
  <dcterms:created xsi:type="dcterms:W3CDTF">2020-03-30T18:32:00Z</dcterms:created>
  <cp:lastPrinted>2026-07-10T06:19:00Z</cp:lastPrinted>
  <dcterms:modified xsi:type="dcterms:W3CDTF">2026-08-25T12:24:04Z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1033-12.1.26050.26050</vt:lpwstr>
  </property>
  <property fmtid="{D5CDD505-2E9C-101B-9397-08002B2CF9AE}" pid="3" name="CalculationRule">
    <vt:i4>0</vt:i4>
  </property>
  <property fmtid="{D5CDD505-2E9C-101B-9397-08002B2CF9AE}" pid="4" name="ICV">
    <vt:lpwstr>65A3E3C3FEF11574023C876A55E7D66F_42</vt:lpwstr>
  </property>
</Properties>
</file>