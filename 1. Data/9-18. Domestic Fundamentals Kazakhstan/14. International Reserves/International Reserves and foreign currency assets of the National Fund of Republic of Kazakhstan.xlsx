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660" windowHeight="11300"/>
  </bookViews>
  <sheets>
    <sheet name="Worksheet" sheetId="1" r:id="rId1"/>
    <sheet name="Final Clean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<sst xmlns="http://schemas.openxmlformats.org/spreadsheetml/2006/main" count="315" uniqueCount="303">
  <si>
    <t>International Reserves and foreign currency assets of the National Fund of Republic of Kazakhstan</t>
  </si>
  <si>
    <t>Gross international reserves</t>
  </si>
  <si>
    <t>Assets in CFC in International Reserves</t>
  </si>
  <si>
    <t>Monetary gold in International Reserves</t>
  </si>
  <si>
    <t>Net international reserves</t>
  </si>
  <si>
    <t>Foreign currency assets of the National Fund of Republic of Kazakhstan</t>
  </si>
  <si>
    <t>volume, million dollars</t>
  </si>
  <si>
    <t>change to the previous month,%</t>
  </si>
  <si>
    <t>change by the beginning of the year,%</t>
  </si>
  <si>
    <t>08.94</t>
  </si>
  <si>
    <t>09.94</t>
  </si>
  <si>
    <t>01.95</t>
  </si>
  <si>
    <t>02.95</t>
  </si>
  <si>
    <t>03.95</t>
  </si>
  <si>
    <t>04.95</t>
  </si>
  <si>
    <t>05.95</t>
  </si>
  <si>
    <t>06.95</t>
  </si>
  <si>
    <t>07.95</t>
  </si>
  <si>
    <t>08.95</t>
  </si>
  <si>
    <t>09.95</t>
  </si>
  <si>
    <t>01.96</t>
  </si>
  <si>
    <t>02.96</t>
  </si>
  <si>
    <t>03.96</t>
  </si>
  <si>
    <t>04.96</t>
  </si>
  <si>
    <t>05.96</t>
  </si>
  <si>
    <t>06.96</t>
  </si>
  <si>
    <t>07.96</t>
  </si>
  <si>
    <t>08.96</t>
  </si>
  <si>
    <t>09.96</t>
  </si>
  <si>
    <t>01.97</t>
  </si>
  <si>
    <t>02.97</t>
  </si>
  <si>
    <t>03.97</t>
  </si>
  <si>
    <t>04.97</t>
  </si>
  <si>
    <t>05.97</t>
  </si>
  <si>
    <t>06.97</t>
  </si>
  <si>
    <t>07.97</t>
  </si>
  <si>
    <t>08.97</t>
  </si>
  <si>
    <t>09.97</t>
  </si>
  <si>
    <t>01.98</t>
  </si>
  <si>
    <t>02.98</t>
  </si>
  <si>
    <t>03.98</t>
  </si>
  <si>
    <t>04.98</t>
  </si>
  <si>
    <t>05.98</t>
  </si>
  <si>
    <t>06.98</t>
  </si>
  <si>
    <t>07.98</t>
  </si>
  <si>
    <t>08.98</t>
  </si>
  <si>
    <t>09.98</t>
  </si>
  <si>
    <t>01.99</t>
  </si>
  <si>
    <t>02.99</t>
  </si>
  <si>
    <t>03.99</t>
  </si>
  <si>
    <t>04.99</t>
  </si>
  <si>
    <t>05.99</t>
  </si>
  <si>
    <t>06.99</t>
  </si>
  <si>
    <t>07.99</t>
  </si>
  <si>
    <t>08.99</t>
  </si>
  <si>
    <t>09.99</t>
  </si>
  <si>
    <t>01.00</t>
  </si>
  <si>
    <t>02.00</t>
  </si>
  <si>
    <t>03.00</t>
  </si>
  <si>
    <t>04.00</t>
  </si>
  <si>
    <t>05.00</t>
  </si>
  <si>
    <t>06.00</t>
  </si>
  <si>
    <t>07.00</t>
  </si>
  <si>
    <t>08.00</t>
  </si>
  <si>
    <t>09.00</t>
  </si>
  <si>
    <t>01.01</t>
  </si>
  <si>
    <t>02.01</t>
  </si>
  <si>
    <t>03.01</t>
  </si>
  <si>
    <t>04.01</t>
  </si>
  <si>
    <t>05.01</t>
  </si>
  <si>
    <t>06.01</t>
  </si>
  <si>
    <t>07.01</t>
  </si>
  <si>
    <t>08.01</t>
  </si>
  <si>
    <t>09.01</t>
  </si>
  <si>
    <t>01.02</t>
  </si>
  <si>
    <t>02.02</t>
  </si>
  <si>
    <t>03.02</t>
  </si>
  <si>
    <t>04.02</t>
  </si>
  <si>
    <t>05.02</t>
  </si>
  <si>
    <t>06.02</t>
  </si>
  <si>
    <t>07.02</t>
  </si>
  <si>
    <t>08.02</t>
  </si>
  <si>
    <t>09.02</t>
  </si>
  <si>
    <t>01.03</t>
  </si>
  <si>
    <t>02.03</t>
  </si>
  <si>
    <t>03.03</t>
  </si>
  <si>
    <t>04.03</t>
  </si>
  <si>
    <t>05.03</t>
  </si>
  <si>
    <t>06.03</t>
  </si>
  <si>
    <t>07.03</t>
  </si>
  <si>
    <t>08.03</t>
  </si>
  <si>
    <t>09.03</t>
  </si>
  <si>
    <t>01.04</t>
  </si>
  <si>
    <t>02.04</t>
  </si>
  <si>
    <t>03.04</t>
  </si>
  <si>
    <t>04.04</t>
  </si>
  <si>
    <t>05.04</t>
  </si>
  <si>
    <t>06.04</t>
  </si>
  <si>
    <t>07.04</t>
  </si>
  <si>
    <t>08.04</t>
  </si>
  <si>
    <t>09.04</t>
  </si>
  <si>
    <t>01.05</t>
  </si>
  <si>
    <t>02.05</t>
  </si>
  <si>
    <t>03.05</t>
  </si>
  <si>
    <t>04.05</t>
  </si>
  <si>
    <t>05.05</t>
  </si>
  <si>
    <t>06.05</t>
  </si>
  <si>
    <t>07.05</t>
  </si>
  <si>
    <t>08.05</t>
  </si>
  <si>
    <t>09.05</t>
  </si>
  <si>
    <t>01.06</t>
  </si>
  <si>
    <t>02.06</t>
  </si>
  <si>
    <t>03.06</t>
  </si>
  <si>
    <t>04.06</t>
  </si>
  <si>
    <t>05.06</t>
  </si>
  <si>
    <t>06.06</t>
  </si>
  <si>
    <t>07.06</t>
  </si>
  <si>
    <t>08.06</t>
  </si>
  <si>
    <t>09.06</t>
  </si>
  <si>
    <t>01.07</t>
  </si>
  <si>
    <t>02.07</t>
  </si>
  <si>
    <t>03.07</t>
  </si>
  <si>
    <t>04.07</t>
  </si>
  <si>
    <t>05.07</t>
  </si>
  <si>
    <t>06.07</t>
  </si>
  <si>
    <t>07.07</t>
  </si>
  <si>
    <t>08.07</t>
  </si>
  <si>
    <t>09.07</t>
  </si>
  <si>
    <t>01.08</t>
  </si>
  <si>
    <t>02.08</t>
  </si>
  <si>
    <t>03.08</t>
  </si>
  <si>
    <t>04.08</t>
  </si>
  <si>
    <t>05.08</t>
  </si>
  <si>
    <t>06.08</t>
  </si>
  <si>
    <t>07.08</t>
  </si>
  <si>
    <t>08.08</t>
  </si>
  <si>
    <t>09.08</t>
  </si>
  <si>
    <t>01.09</t>
  </si>
  <si>
    <t>02.09</t>
  </si>
  <si>
    <t>03.09</t>
  </si>
  <si>
    <t>04.09</t>
  </si>
  <si>
    <t>05.09</t>
  </si>
  <si>
    <t>06.09</t>
  </si>
  <si>
    <t>07.09</t>
  </si>
  <si>
    <t>08.09</t>
  </si>
  <si>
    <t>09.09</t>
  </si>
  <si>
    <t>01.10</t>
  </si>
  <si>
    <t>02.10</t>
  </si>
  <si>
    <t>03.10</t>
  </si>
  <si>
    <t>04.10</t>
  </si>
  <si>
    <t>05.10</t>
  </si>
  <si>
    <t>06.10</t>
  </si>
  <si>
    <t>07.10</t>
  </si>
  <si>
    <t>08.10</t>
  </si>
  <si>
    <t>09.10</t>
  </si>
  <si>
    <t>01.11</t>
  </si>
  <si>
    <t>02.11</t>
  </si>
  <si>
    <t>03.11</t>
  </si>
  <si>
    <t>04.11</t>
  </si>
  <si>
    <t>05.11</t>
  </si>
  <si>
    <t>06.11</t>
  </si>
  <si>
    <t>07.11</t>
  </si>
  <si>
    <t>08.11</t>
  </si>
  <si>
    <t>09.11</t>
  </si>
  <si>
    <t>01.12</t>
  </si>
  <si>
    <t>02.12</t>
  </si>
  <si>
    <t>03.12</t>
  </si>
  <si>
    <t>04.12</t>
  </si>
  <si>
    <t>05.12</t>
  </si>
  <si>
    <t>06.12</t>
  </si>
  <si>
    <t>07.12</t>
  </si>
  <si>
    <t>08.12</t>
  </si>
  <si>
    <t>09.12</t>
  </si>
  <si>
    <t>01.13</t>
  </si>
  <si>
    <t>02.13</t>
  </si>
  <si>
    <t>03.13</t>
  </si>
  <si>
    <t>04.13</t>
  </si>
  <si>
    <t>05.13</t>
  </si>
  <si>
    <t>06.13</t>
  </si>
  <si>
    <t>07.13</t>
  </si>
  <si>
    <t>08.13</t>
  </si>
  <si>
    <t>09.13</t>
  </si>
  <si>
    <t>01.14</t>
  </si>
  <si>
    <t>02.14</t>
  </si>
  <si>
    <t>03.14</t>
  </si>
  <si>
    <t>04.14</t>
  </si>
  <si>
    <t>05.14</t>
  </si>
  <si>
    <t>06.14</t>
  </si>
  <si>
    <t>07.14</t>
  </si>
  <si>
    <t>08.14</t>
  </si>
  <si>
    <t>09.14</t>
  </si>
  <si>
    <t>01.15</t>
  </si>
  <si>
    <t>02.15</t>
  </si>
  <si>
    <t>03.15</t>
  </si>
  <si>
    <t>04.15</t>
  </si>
  <si>
    <t>05.15</t>
  </si>
  <si>
    <t>06.15</t>
  </si>
  <si>
    <t>07.15</t>
  </si>
  <si>
    <t>08.15</t>
  </si>
  <si>
    <t>09.15</t>
  </si>
  <si>
    <t>01.16</t>
  </si>
  <si>
    <t>02.16</t>
  </si>
  <si>
    <t>03.16</t>
  </si>
  <si>
    <t>04.16</t>
  </si>
  <si>
    <t>05.16</t>
  </si>
  <si>
    <t>06.16</t>
  </si>
  <si>
    <t>07.16</t>
  </si>
  <si>
    <t>08.16</t>
  </si>
  <si>
    <t>09.16</t>
  </si>
  <si>
    <t>01.17</t>
  </si>
  <si>
    <t>02.17</t>
  </si>
  <si>
    <t>03.17</t>
  </si>
  <si>
    <t>04.17</t>
  </si>
  <si>
    <t>05.17</t>
  </si>
  <si>
    <t>06.17</t>
  </si>
  <si>
    <t>07.17</t>
  </si>
  <si>
    <t>08.17</t>
  </si>
  <si>
    <t>09.17</t>
  </si>
  <si>
    <t>01.18</t>
  </si>
  <si>
    <t>02.18</t>
  </si>
  <si>
    <t>03.18</t>
  </si>
  <si>
    <t>04.18</t>
  </si>
  <si>
    <t>05.18</t>
  </si>
  <si>
    <t>06.18</t>
  </si>
  <si>
    <t>07.18</t>
  </si>
  <si>
    <t>08.18</t>
  </si>
  <si>
    <t>09.18</t>
  </si>
  <si>
    <t>01.19</t>
  </si>
  <si>
    <t>02.19</t>
  </si>
  <si>
    <t>03.19</t>
  </si>
  <si>
    <t>04.19</t>
  </si>
  <si>
    <t>05.19</t>
  </si>
  <si>
    <t>06.19</t>
  </si>
  <si>
    <t>07.19</t>
  </si>
  <si>
    <t>08.19</t>
  </si>
  <si>
    <t>09.19</t>
  </si>
  <si>
    <t>01.20</t>
  </si>
  <si>
    <t>02.20</t>
  </si>
  <si>
    <t>03.20</t>
  </si>
  <si>
    <t>04.20</t>
  </si>
  <si>
    <t>05.20</t>
  </si>
  <si>
    <t>06.20</t>
  </si>
  <si>
    <t>07.20</t>
  </si>
  <si>
    <t>08.20</t>
  </si>
  <si>
    <t>09.20</t>
  </si>
  <si>
    <t>01.21</t>
  </si>
  <si>
    <t>02.21</t>
  </si>
  <si>
    <t>03.21</t>
  </si>
  <si>
    <t>04.21</t>
  </si>
  <si>
    <t>05.21</t>
  </si>
  <si>
    <t>06.21</t>
  </si>
  <si>
    <t>07.21</t>
  </si>
  <si>
    <t>08.21</t>
  </si>
  <si>
    <t>09.21</t>
  </si>
  <si>
    <t>01.22</t>
  </si>
  <si>
    <t>02.22</t>
  </si>
  <si>
    <t>03.22</t>
  </si>
  <si>
    <t>04.22</t>
  </si>
  <si>
    <t>05.22</t>
  </si>
  <si>
    <t>06.22</t>
  </si>
  <si>
    <t>07.22</t>
  </si>
  <si>
    <t>08.22</t>
  </si>
  <si>
    <t>09.22</t>
  </si>
  <si>
    <t>01.23</t>
  </si>
  <si>
    <t>02.23</t>
  </si>
  <si>
    <t>03.23</t>
  </si>
  <si>
    <t>04.23</t>
  </si>
  <si>
    <t>05.23</t>
  </si>
  <si>
    <t>06.23</t>
  </si>
  <si>
    <t>07.23</t>
  </si>
  <si>
    <t>08.23</t>
  </si>
  <si>
    <t>09.23</t>
  </si>
  <si>
    <t>01.24</t>
  </si>
  <si>
    <t>02.24</t>
  </si>
  <si>
    <t>03.24</t>
  </si>
  <si>
    <t>04.24</t>
  </si>
  <si>
    <t>05.24</t>
  </si>
  <si>
    <t>06.24</t>
  </si>
  <si>
    <t>07.24</t>
  </si>
  <si>
    <t>08.24</t>
  </si>
  <si>
    <t>09.24</t>
  </si>
  <si>
    <t>01.25</t>
  </si>
  <si>
    <t>02.25</t>
  </si>
  <si>
    <t>03.25</t>
  </si>
  <si>
    <t>04.25</t>
  </si>
  <si>
    <t>05.25</t>
  </si>
  <si>
    <t>06.25</t>
  </si>
  <si>
    <t>07.25</t>
  </si>
  <si>
    <t>08.25</t>
  </si>
  <si>
    <t>09.25</t>
  </si>
  <si>
    <t>01.26</t>
  </si>
  <si>
    <t>02.26</t>
  </si>
  <si>
    <t>03.26</t>
  </si>
  <si>
    <t>04.26</t>
  </si>
  <si>
    <t>05.26</t>
  </si>
  <si>
    <t>06.26</t>
  </si>
  <si>
    <t>07.26</t>
  </si>
  <si>
    <t>Примечание</t>
  </si>
  <si>
    <t>Data on the assets of the National Fund of the Republic of Kazakhstan for December 2019 and January, February, March, May, June, July, August and September 2020 were revised taking into account the finalized reports of external managers.</t>
  </si>
  <si>
    <t>*For 11.2025 - adjusted data (for International Reserves)</t>
  </si>
  <si>
    <t>*For 07.2026 - preliminary data (for International Reserves)</t>
  </si>
  <si>
    <t>date</t>
  </si>
  <si>
    <t>kz_reserves_m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</si>
</sst>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s>
  <fonts count="23">
    <font>
      <sz val="11"/>
      <color rgb="FF000000"/>
      <name val="Calibri"/>
      <charset val="134"/>
    </font>
    <font>
      <sz val="14"/>
      <color rgb="FF0E4C2B"/>
      <name val="Calibri"/>
      <charset val="134"/>
    </font>
    <font>
      <sz val="18"/>
      <color rgb="FF0E4C2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DCEAE3"/>
        <bgColor rgb="FF000000"/>
      </patternFill>
    </fill>
    <fill>
      <patternFill patternType="solid">
        <fgColor rgb="FFFFFFFF"/>
        <bgColor rgb="FF000000"/>
      </patternFill>
    </fill>
    <fill>
      <patternFill patternType="solid">
        <fgColor rgb="FFF7FAF9"/>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E4C2B"/>
      </left>
      <right style="thin">
        <color rgb="FF0E4C2B"/>
      </right>
      <top style="thin">
        <color rgb="FF0E4C2B"/>
      </top>
      <bottom style="thin">
        <color rgb="FF0E4C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9">
    <xf numFmtId="0" fontId="0" fillId="0" borderId="0" xfId="0"/>
    <xf numFmtId="178" fontId="0" fillId="0" borderId="0" xfId="0" applyNumberFormat="1"/>
    <xf numFmtId="0" fontId="1" fillId="0" borderId="0" xfId="0" applyFont="1" applyAlignment="1">
      <alignment horizontal="center" wrapText="1"/>
    </xf>
    <xf numFmtId="0" fontId="1" fillId="2" borderId="1" xfId="0" applyFont="1" applyFill="1" applyBorder="1" applyAlignment="1">
      <alignment horizontal="center" wrapText="1"/>
    </xf>
    <xf numFmtId="0" fontId="1" fillId="2" borderId="0" xfId="0" applyFont="1" applyFill="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2" fillId="0" borderId="0" xfId="0" applyFont="1" applyAlignment="1">
      <alignment horizontal="left" wrapText="1"/>
    </xf>
    <xf numFmtId="0" fontId="1" fillId="0" borderId="0" xfId="0" applyFont="1" applyAlignment="1">
      <alignment horizontal="left" vertic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rgb="FFFF9900"/>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93"/>
  <sheetViews>
    <sheetView tabSelected="1" topLeftCell="F1" workbookViewId="0">
      <selection activeCell="Q322" sqref="Q322"/>
    </sheetView>
  </sheetViews>
  <sheetFormatPr defaultColWidth="9" defaultRowHeight="20.4"/>
  <cols>
    <col min="1" max="1" width="11.7109375" style="2" customWidth="1"/>
    <col min="2" max="2" width="38.5625" style="2" customWidth="1"/>
    <col min="3" max="3" width="49.1328125" style="2" customWidth="1"/>
    <col min="4" max="4" width="59.703125" style="2" customWidth="1"/>
    <col min="5" max="5" width="38.5625" style="2" customWidth="1"/>
    <col min="6" max="6" width="49.1328125" style="2" customWidth="1"/>
    <col min="7" max="7" width="59.703125" style="2" customWidth="1"/>
    <col min="8" max="8" width="38.5625" style="2" customWidth="1"/>
    <col min="9" max="9" width="49.1328125" style="2" customWidth="1"/>
    <col min="10" max="10" width="59.703125" style="2" customWidth="1"/>
    <col min="11" max="11" width="38.5625" style="2" customWidth="1"/>
    <col min="12" max="12" width="49.1328125" style="2" customWidth="1"/>
    <col min="13" max="13" width="59.703125" style="2" customWidth="1"/>
    <col min="14" max="14" width="38.5625" style="2" customWidth="1"/>
    <col min="15" max="15" width="49.1328125" style="2" customWidth="1"/>
    <col min="16" max="16" width="59.703125" style="2" customWidth="1"/>
    <col min="17" max="17" width="9.625"/>
  </cols>
  <sheetData>
    <row r="1" spans="1:18">
      <c r="A1" s="2" t="s">
        <v>0</v>
      </c>
    </row>
    <row r="3" spans="1:18">
      <c r="A3" s="3"/>
      <c r="B3" s="3" t="s">
        <v>1</v>
      </c>
      <c r="C3" s="3"/>
      <c r="D3" s="3"/>
      <c r="E3" s="3" t="s">
        <v>2</v>
      </c>
      <c r="F3" s="3"/>
      <c r="G3" s="3"/>
      <c r="H3" s="3" t="s">
        <v>3</v>
      </c>
      <c r="I3" s="3"/>
      <c r="J3" s="3"/>
      <c r="K3" s="3" t="s">
        <v>4</v>
      </c>
      <c r="L3" s="3"/>
      <c r="M3" s="3"/>
      <c r="N3" s="3" t="s">
        <v>5</v>
      </c>
      <c r="O3" s="3"/>
      <c r="P3" s="3"/>
    </row>
    <row r="4" ht="21" spans="1:18">
      <c r="A4" s="3"/>
      <c r="B4" s="3" t="s">
        <v>6</v>
      </c>
      <c r="C4" s="3" t="s">
        <v>7</v>
      </c>
      <c r="D4" s="3" t="s">
        <v>8</v>
      </c>
      <c r="E4" s="3" t="s">
        <v>6</v>
      </c>
      <c r="F4" s="3" t="s">
        <v>7</v>
      </c>
      <c r="G4" s="3" t="s">
        <v>8</v>
      </c>
      <c r="H4" s="3" t="s">
        <v>6</v>
      </c>
      <c r="I4" s="3" t="s">
        <v>7</v>
      </c>
      <c r="J4" s="3" t="s">
        <v>8</v>
      </c>
      <c r="K4" s="3" t="s">
        <v>6</v>
      </c>
      <c r="L4" s="3" t="s">
        <v>7</v>
      </c>
      <c r="M4" s="3" t="s">
        <v>8</v>
      </c>
      <c r="N4" s="3" t="s">
        <v>6</v>
      </c>
      <c r="O4" s="3" t="s">
        <v>7</v>
      </c>
      <c r="P4" s="3" t="s">
        <v>8</v>
      </c>
    </row>
    <row r="5" ht="21" spans="1:18">
      <c r="A5" s="4" t="s">
        <v>9</v>
      </c>
      <c r="B5" s="5">
        <v>1099</v>
      </c>
      <c r="C5" s="5">
        <v>18.54</v>
      </c>
      <c r="D5" s="5">
        <v>54.6</v>
      </c>
      <c r="E5" s="5">
        <v>813</v>
      </c>
      <c r="F5" s="5">
        <v>25.69</v>
      </c>
      <c r="G5" s="5">
        <v>78.48</v>
      </c>
      <c r="H5" s="5">
        <v>286</v>
      </c>
      <c r="I5" s="5">
        <v>2.05</v>
      </c>
      <c r="J5" s="5">
        <v>12.01</v>
      </c>
      <c r="K5" s="5">
        <v>790</v>
      </c>
      <c r="L5" s="5">
        <v>1.38</v>
      </c>
      <c r="M5" s="5">
        <v>14.77</v>
      </c>
      <c r="N5" s="5"/>
      <c r="O5" s="5"/>
      <c r="P5" s="5"/>
      <c r="Q5" s="1">
        <f t="shared" ref="Q5:Q68" si="0">IF(ISNUMBER(SEARCH(".",A5)),DATE(IF(VALUE(RIGHT(A5,2))&gt;=94,1900+VALUE(RIGHT(A5,2)),2000+VALUE(RIGHT(A5,2))),VALUE(LEFT(A5,2)),1),DATE(2000+VALUE(A5),10,1))</f>
        <v>34547</v>
      </c>
      <c r="R5" t="str">
        <f t="shared" ref="R5:R68" si="1">TEXT(Q5,"yyyy-mm-01")</f>
        <v>1994-08-01</v>
      </c>
    </row>
    <row r="6" ht="21" spans="1:18">
      <c r="A6" s="4" t="s">
        <v>10</v>
      </c>
      <c r="B6" s="6">
        <v>1118</v>
      </c>
      <c r="C6" s="6">
        <v>1.67</v>
      </c>
      <c r="D6" s="6">
        <v>57.17</v>
      </c>
      <c r="E6" s="6">
        <v>800</v>
      </c>
      <c r="F6" s="6">
        <v>-1.67</v>
      </c>
      <c r="G6" s="6">
        <v>75.5</v>
      </c>
      <c r="H6" s="6">
        <v>318</v>
      </c>
      <c r="I6" s="6">
        <v>11.13</v>
      </c>
      <c r="J6" s="6">
        <v>24.48</v>
      </c>
      <c r="K6" s="6">
        <v>796</v>
      </c>
      <c r="L6" s="6">
        <v>0.73</v>
      </c>
      <c r="M6" s="6">
        <v>15.6</v>
      </c>
      <c r="N6" s="6"/>
      <c r="O6" s="6"/>
      <c r="P6" s="6"/>
      <c r="Q6" s="1">
        <f t="shared" si="0"/>
        <v>34578</v>
      </c>
      <c r="R6" t="str">
        <f t="shared" si="1"/>
        <v>1994-09-01</v>
      </c>
    </row>
    <row r="7" spans="1:18">
      <c r="A7" s="4">
        <v>10.94</v>
      </c>
      <c r="B7" s="5">
        <v>968</v>
      </c>
      <c r="C7" s="5">
        <v>-13.38</v>
      </c>
      <c r="D7" s="5">
        <v>36.14</v>
      </c>
      <c r="E7" s="5">
        <v>623</v>
      </c>
      <c r="F7" s="5">
        <v>-22.08</v>
      </c>
      <c r="G7" s="5">
        <v>36.76</v>
      </c>
      <c r="H7" s="5">
        <v>345</v>
      </c>
      <c r="I7" s="5">
        <v>8.49</v>
      </c>
      <c r="J7" s="5">
        <v>35.05</v>
      </c>
      <c r="K7" s="5">
        <v>761</v>
      </c>
      <c r="L7" s="5">
        <v>-4.36</v>
      </c>
      <c r="M7" s="5">
        <v>10.57</v>
      </c>
      <c r="N7" s="5"/>
      <c r="O7" s="5"/>
      <c r="P7" s="5"/>
      <c r="Q7" s="1">
        <f t="shared" si="0"/>
        <v>34608</v>
      </c>
      <c r="R7" t="str">
        <f t="shared" si="1"/>
        <v>1994-10-01</v>
      </c>
    </row>
    <row r="8" spans="1:18">
      <c r="A8" s="4">
        <v>11.94</v>
      </c>
      <c r="B8" s="6">
        <v>952</v>
      </c>
      <c r="C8" s="6">
        <v>-1.65</v>
      </c>
      <c r="D8" s="6">
        <v>33.89</v>
      </c>
      <c r="E8" s="6">
        <v>610</v>
      </c>
      <c r="F8" s="6">
        <v>-2.08</v>
      </c>
      <c r="G8" s="6">
        <v>33.91</v>
      </c>
      <c r="H8" s="6">
        <v>342</v>
      </c>
      <c r="I8" s="6">
        <v>-0.87</v>
      </c>
      <c r="J8" s="6">
        <v>33.87</v>
      </c>
      <c r="K8" s="6">
        <v>751</v>
      </c>
      <c r="L8" s="6">
        <v>-1.38</v>
      </c>
      <c r="M8" s="6">
        <v>9.04</v>
      </c>
      <c r="N8" s="6"/>
      <c r="O8" s="6"/>
      <c r="P8" s="6"/>
      <c r="Q8" s="1">
        <f t="shared" si="0"/>
        <v>34639</v>
      </c>
      <c r="R8" t="str">
        <f t="shared" si="1"/>
        <v>1994-11-01</v>
      </c>
    </row>
    <row r="9" spans="1:18">
      <c r="A9" s="4">
        <v>12.94</v>
      </c>
      <c r="B9" s="5">
        <v>1215</v>
      </c>
      <c r="C9" s="5">
        <v>27.64</v>
      </c>
      <c r="D9" s="5">
        <v>70.91</v>
      </c>
      <c r="E9" s="5">
        <v>838</v>
      </c>
      <c r="F9" s="5">
        <v>37.26</v>
      </c>
      <c r="G9" s="5">
        <v>83.8</v>
      </c>
      <c r="H9" s="5">
        <v>378</v>
      </c>
      <c r="I9" s="5">
        <v>10.5</v>
      </c>
      <c r="J9" s="5">
        <v>47.92</v>
      </c>
      <c r="K9" s="5">
        <v>913</v>
      </c>
      <c r="L9" s="5">
        <v>21.63</v>
      </c>
      <c r="M9" s="5">
        <v>32.63</v>
      </c>
      <c r="N9" s="5"/>
      <c r="O9" s="5"/>
      <c r="P9" s="5"/>
      <c r="Q9" s="1">
        <f t="shared" si="0"/>
        <v>34669</v>
      </c>
      <c r="R9" t="str">
        <f t="shared" si="1"/>
        <v>1994-12-01</v>
      </c>
    </row>
    <row r="10" ht="21" spans="1:18">
      <c r="A10" s="4" t="s">
        <v>11</v>
      </c>
      <c r="B10" s="6">
        <v>1142</v>
      </c>
      <c r="C10" s="6">
        <v>-6.05</v>
      </c>
      <c r="D10" s="6">
        <v>-6.05</v>
      </c>
      <c r="E10" s="6">
        <v>762</v>
      </c>
      <c r="F10" s="6">
        <v>-9.03</v>
      </c>
      <c r="G10" s="6">
        <v>-9.03</v>
      </c>
      <c r="H10" s="6">
        <v>380</v>
      </c>
      <c r="I10" s="6">
        <v>0.55</v>
      </c>
      <c r="J10" s="6">
        <v>0.55</v>
      </c>
      <c r="K10" s="6">
        <v>851</v>
      </c>
      <c r="L10" s="6">
        <v>-6.79</v>
      </c>
      <c r="M10" s="6">
        <v>-6.79</v>
      </c>
      <c r="N10" s="6"/>
      <c r="O10" s="6"/>
      <c r="P10" s="6"/>
      <c r="Q10" s="1">
        <f t="shared" si="0"/>
        <v>34700</v>
      </c>
      <c r="R10" t="str">
        <f t="shared" si="1"/>
        <v>1995-01-01</v>
      </c>
    </row>
    <row r="11" ht="21" spans="1:18">
      <c r="A11" s="4" t="s">
        <v>12</v>
      </c>
      <c r="B11" s="5">
        <v>1159</v>
      </c>
      <c r="C11" s="5">
        <v>1.53</v>
      </c>
      <c r="D11" s="5">
        <v>-4.62</v>
      </c>
      <c r="E11" s="5">
        <v>767</v>
      </c>
      <c r="F11" s="5">
        <v>0.63</v>
      </c>
      <c r="G11" s="5">
        <v>-8.46</v>
      </c>
      <c r="H11" s="5">
        <v>393</v>
      </c>
      <c r="I11" s="5">
        <v>3.33</v>
      </c>
      <c r="J11" s="5">
        <v>3.9</v>
      </c>
      <c r="K11" s="5">
        <v>869</v>
      </c>
      <c r="L11" s="5">
        <v>2.13</v>
      </c>
      <c r="M11" s="5">
        <v>-4.81</v>
      </c>
      <c r="N11" s="5"/>
      <c r="O11" s="5"/>
      <c r="P11" s="5"/>
      <c r="Q11" s="1">
        <f t="shared" si="0"/>
        <v>34731</v>
      </c>
      <c r="R11" t="str">
        <f t="shared" si="1"/>
        <v>1995-02-01</v>
      </c>
    </row>
    <row r="12" ht="21" spans="1:18">
      <c r="A12" s="4" t="s">
        <v>13</v>
      </c>
      <c r="B12" s="6">
        <v>1387</v>
      </c>
      <c r="C12" s="6">
        <v>19.59</v>
      </c>
      <c r="D12" s="6">
        <v>14.07</v>
      </c>
      <c r="E12" s="6">
        <v>967</v>
      </c>
      <c r="F12" s="6">
        <v>26.2</v>
      </c>
      <c r="G12" s="6">
        <v>15.52</v>
      </c>
      <c r="H12" s="6">
        <v>419</v>
      </c>
      <c r="I12" s="6">
        <v>6.7</v>
      </c>
      <c r="J12" s="6">
        <v>10.86</v>
      </c>
      <c r="K12" s="6">
        <v>1089</v>
      </c>
      <c r="L12" s="6">
        <v>25.26</v>
      </c>
      <c r="M12" s="6">
        <v>19.24</v>
      </c>
      <c r="N12" s="6"/>
      <c r="O12" s="6"/>
      <c r="P12" s="6"/>
      <c r="Q12" s="1">
        <f t="shared" si="0"/>
        <v>34759</v>
      </c>
      <c r="R12" t="str">
        <f t="shared" si="1"/>
        <v>1995-03-01</v>
      </c>
    </row>
    <row r="13" ht="21" spans="1:18">
      <c r="A13" s="4" t="s">
        <v>14</v>
      </c>
      <c r="B13" s="5">
        <v>1429</v>
      </c>
      <c r="C13" s="5">
        <v>3.06</v>
      </c>
      <c r="D13" s="5">
        <v>17.56</v>
      </c>
      <c r="E13" s="5">
        <v>995</v>
      </c>
      <c r="F13" s="5">
        <v>2.8</v>
      </c>
      <c r="G13" s="5">
        <v>18.75</v>
      </c>
      <c r="H13" s="5">
        <v>434</v>
      </c>
      <c r="I13" s="5">
        <v>3.68</v>
      </c>
      <c r="J13" s="5">
        <v>14.94</v>
      </c>
      <c r="K13" s="5">
        <v>1126</v>
      </c>
      <c r="L13" s="5">
        <v>3.35</v>
      </c>
      <c r="M13" s="5">
        <v>23.24</v>
      </c>
      <c r="N13" s="5"/>
      <c r="O13" s="5"/>
      <c r="P13" s="5"/>
      <c r="Q13" s="1">
        <f t="shared" si="0"/>
        <v>34790</v>
      </c>
      <c r="R13" t="str">
        <f t="shared" si="1"/>
        <v>1995-04-01</v>
      </c>
    </row>
    <row r="14" ht="21" spans="1:18">
      <c r="A14" s="4" t="s">
        <v>15</v>
      </c>
      <c r="B14" s="6">
        <v>1396</v>
      </c>
      <c r="C14" s="6">
        <v>-2.29</v>
      </c>
      <c r="D14" s="6">
        <v>14.87</v>
      </c>
      <c r="E14" s="6">
        <v>957</v>
      </c>
      <c r="F14" s="6">
        <v>-3.81</v>
      </c>
      <c r="G14" s="6">
        <v>14.22</v>
      </c>
      <c r="H14" s="6">
        <v>440</v>
      </c>
      <c r="I14" s="6">
        <v>1.2</v>
      </c>
      <c r="J14" s="6">
        <v>16.31</v>
      </c>
      <c r="K14" s="6">
        <v>1096</v>
      </c>
      <c r="L14" s="6">
        <v>-2.63</v>
      </c>
      <c r="M14" s="6">
        <v>20</v>
      </c>
      <c r="N14" s="6"/>
      <c r="O14" s="6"/>
      <c r="P14" s="6"/>
      <c r="Q14" s="1">
        <f t="shared" si="0"/>
        <v>34820</v>
      </c>
      <c r="R14" t="str">
        <f t="shared" si="1"/>
        <v>1995-05-01</v>
      </c>
    </row>
    <row r="15" ht="21" spans="1:18">
      <c r="A15" s="4" t="s">
        <v>16</v>
      </c>
      <c r="B15" s="5">
        <v>1589</v>
      </c>
      <c r="C15" s="5">
        <v>13.83</v>
      </c>
      <c r="D15" s="5">
        <v>30.76</v>
      </c>
      <c r="E15" s="5">
        <v>1135</v>
      </c>
      <c r="F15" s="5">
        <v>18.62</v>
      </c>
      <c r="G15" s="5">
        <v>35.46</v>
      </c>
      <c r="H15" s="5">
        <v>455</v>
      </c>
      <c r="I15" s="5">
        <v>3.4</v>
      </c>
      <c r="J15" s="5">
        <v>20.27</v>
      </c>
      <c r="K15" s="5">
        <v>1202</v>
      </c>
      <c r="L15" s="5">
        <v>9.72</v>
      </c>
      <c r="M15" s="5">
        <v>31.66</v>
      </c>
      <c r="N15" s="5"/>
      <c r="O15" s="5"/>
      <c r="P15" s="5"/>
      <c r="Q15" s="1">
        <f t="shared" si="0"/>
        <v>34851</v>
      </c>
      <c r="R15" t="str">
        <f t="shared" si="1"/>
        <v>1995-06-01</v>
      </c>
    </row>
    <row r="16" ht="21" spans="1:18">
      <c r="A16" s="4" t="s">
        <v>17</v>
      </c>
      <c r="B16" s="6">
        <v>1732</v>
      </c>
      <c r="C16" s="6">
        <v>9</v>
      </c>
      <c r="D16" s="6">
        <v>42.53</v>
      </c>
      <c r="E16" s="6">
        <v>1273</v>
      </c>
      <c r="F16" s="6">
        <v>12.2</v>
      </c>
      <c r="G16" s="6">
        <v>52.02</v>
      </c>
      <c r="H16" s="6">
        <v>459</v>
      </c>
      <c r="I16" s="6">
        <v>1.03</v>
      </c>
      <c r="J16" s="6">
        <v>21.5</v>
      </c>
      <c r="K16" s="6">
        <v>1356</v>
      </c>
      <c r="L16" s="6">
        <v>12.78</v>
      </c>
      <c r="M16" s="6">
        <v>48.49</v>
      </c>
      <c r="N16" s="6"/>
      <c r="O16" s="6"/>
      <c r="P16" s="6"/>
      <c r="Q16" s="1">
        <f t="shared" si="0"/>
        <v>34881</v>
      </c>
      <c r="R16" t="str">
        <f t="shared" si="1"/>
        <v>1995-07-01</v>
      </c>
    </row>
    <row r="17" ht="21" spans="1:18">
      <c r="A17" s="4" t="s">
        <v>18</v>
      </c>
      <c r="B17" s="5">
        <v>1721</v>
      </c>
      <c r="C17" s="5">
        <v>-0.64</v>
      </c>
      <c r="D17" s="5">
        <v>41.62</v>
      </c>
      <c r="E17" s="5">
        <v>1221</v>
      </c>
      <c r="F17" s="5">
        <v>-4.13</v>
      </c>
      <c r="G17" s="5">
        <v>45.74</v>
      </c>
      <c r="H17" s="5">
        <v>501</v>
      </c>
      <c r="I17" s="5">
        <v>9.04</v>
      </c>
      <c r="J17" s="5">
        <v>32.49</v>
      </c>
      <c r="K17" s="5">
        <v>1359</v>
      </c>
      <c r="L17" s="5">
        <v>0.18</v>
      </c>
      <c r="M17" s="5">
        <v>48.76</v>
      </c>
      <c r="N17" s="5"/>
      <c r="O17" s="5"/>
      <c r="P17" s="5"/>
      <c r="Q17" s="1">
        <f t="shared" si="0"/>
        <v>34912</v>
      </c>
      <c r="R17" t="str">
        <f t="shared" si="1"/>
        <v>1995-08-01</v>
      </c>
    </row>
    <row r="18" ht="21" spans="1:18">
      <c r="A18" s="4" t="s">
        <v>19</v>
      </c>
      <c r="B18" s="6">
        <v>1704</v>
      </c>
      <c r="C18" s="6">
        <v>-1.03</v>
      </c>
      <c r="D18" s="6">
        <v>40.15</v>
      </c>
      <c r="E18" s="6">
        <v>1262</v>
      </c>
      <c r="F18" s="6">
        <v>3.39</v>
      </c>
      <c r="G18" s="6">
        <v>50.68</v>
      </c>
      <c r="H18" s="6">
        <v>442</v>
      </c>
      <c r="I18" s="6">
        <v>-11.81</v>
      </c>
      <c r="J18" s="6">
        <v>16.84</v>
      </c>
      <c r="K18" s="6">
        <v>1260</v>
      </c>
      <c r="L18" s="6">
        <v>-7.23</v>
      </c>
      <c r="M18" s="6">
        <v>38</v>
      </c>
      <c r="N18" s="6"/>
      <c r="O18" s="6"/>
      <c r="P18" s="6"/>
      <c r="Q18" s="1">
        <f t="shared" si="0"/>
        <v>34943</v>
      </c>
      <c r="R18" t="str">
        <f t="shared" si="1"/>
        <v>1995-09-01</v>
      </c>
    </row>
    <row r="19" spans="1:18">
      <c r="A19" s="4">
        <v>10.95</v>
      </c>
      <c r="B19" s="5">
        <v>1679</v>
      </c>
      <c r="C19" s="5">
        <v>-1.41</v>
      </c>
      <c r="D19" s="5">
        <v>38.17</v>
      </c>
      <c r="E19" s="5">
        <v>1235</v>
      </c>
      <c r="F19" s="5">
        <v>-2.13</v>
      </c>
      <c r="G19" s="5">
        <v>47.47</v>
      </c>
      <c r="H19" s="5">
        <v>444</v>
      </c>
      <c r="I19" s="5">
        <v>0.64</v>
      </c>
      <c r="J19" s="5">
        <v>17.59</v>
      </c>
      <c r="K19" s="5">
        <v>1226</v>
      </c>
      <c r="L19" s="5">
        <v>-2.74</v>
      </c>
      <c r="M19" s="5">
        <v>34.22</v>
      </c>
      <c r="N19" s="5"/>
      <c r="O19" s="5"/>
      <c r="P19" s="5"/>
      <c r="Q19" s="1">
        <f t="shared" si="0"/>
        <v>34973</v>
      </c>
      <c r="R19" t="str">
        <f t="shared" si="1"/>
        <v>1995-10-01</v>
      </c>
    </row>
    <row r="20" spans="1:18">
      <c r="A20" s="4">
        <v>11.95</v>
      </c>
      <c r="B20" s="6">
        <v>1625</v>
      </c>
      <c r="C20" s="6">
        <v>-3.26</v>
      </c>
      <c r="D20" s="6">
        <v>33.67</v>
      </c>
      <c r="E20" s="6">
        <v>1172</v>
      </c>
      <c r="F20" s="6">
        <v>-5.11</v>
      </c>
      <c r="G20" s="6">
        <v>39.93</v>
      </c>
      <c r="H20" s="6">
        <v>453</v>
      </c>
      <c r="I20" s="6">
        <v>1.88</v>
      </c>
      <c r="J20" s="6">
        <v>19.8</v>
      </c>
      <c r="K20" s="6">
        <v>1095</v>
      </c>
      <c r="L20" s="6">
        <v>-10.64</v>
      </c>
      <c r="M20" s="6">
        <v>19.94</v>
      </c>
      <c r="N20" s="6"/>
      <c r="O20" s="6"/>
      <c r="P20" s="6"/>
      <c r="Q20" s="1">
        <f t="shared" si="0"/>
        <v>35004</v>
      </c>
      <c r="R20" t="str">
        <f t="shared" si="1"/>
        <v>1995-11-01</v>
      </c>
    </row>
    <row r="21" spans="1:18">
      <c r="A21" s="4">
        <v>12.95</v>
      </c>
      <c r="B21" s="5">
        <v>1653</v>
      </c>
      <c r="C21" s="5">
        <v>1.74</v>
      </c>
      <c r="D21" s="5">
        <v>36</v>
      </c>
      <c r="E21" s="5">
        <v>1129</v>
      </c>
      <c r="F21" s="5">
        <v>-3.69</v>
      </c>
      <c r="G21" s="5">
        <v>34.77</v>
      </c>
      <c r="H21" s="5">
        <v>524</v>
      </c>
      <c r="I21" s="5">
        <v>15.79</v>
      </c>
      <c r="J21" s="5">
        <v>38.71</v>
      </c>
      <c r="K21" s="5">
        <v>1170</v>
      </c>
      <c r="L21" s="5">
        <v>6.79</v>
      </c>
      <c r="M21" s="5">
        <v>28.09</v>
      </c>
      <c r="N21" s="5"/>
      <c r="O21" s="5"/>
      <c r="P21" s="5"/>
      <c r="Q21" s="1">
        <f t="shared" si="0"/>
        <v>35034</v>
      </c>
      <c r="R21" t="str">
        <f t="shared" si="1"/>
        <v>1995-12-01</v>
      </c>
    </row>
    <row r="22" ht="21" spans="1:18">
      <c r="A22" s="4" t="s">
        <v>20</v>
      </c>
      <c r="B22" s="6">
        <v>1804</v>
      </c>
      <c r="C22" s="6">
        <v>9.16</v>
      </c>
      <c r="D22" s="6">
        <v>9.16</v>
      </c>
      <c r="E22" s="6">
        <v>1257</v>
      </c>
      <c r="F22" s="6">
        <v>11.36</v>
      </c>
      <c r="G22" s="6">
        <v>11.36</v>
      </c>
      <c r="H22" s="6">
        <v>548</v>
      </c>
      <c r="I22" s="6">
        <v>4.43</v>
      </c>
      <c r="J22" s="6">
        <v>4.43</v>
      </c>
      <c r="K22" s="6">
        <v>1208</v>
      </c>
      <c r="L22" s="6">
        <v>3.24</v>
      </c>
      <c r="M22" s="6">
        <v>3.24</v>
      </c>
      <c r="N22" s="6"/>
      <c r="O22" s="6"/>
      <c r="P22" s="6"/>
      <c r="Q22" s="1">
        <f t="shared" si="0"/>
        <v>35065</v>
      </c>
      <c r="R22" t="str">
        <f t="shared" si="1"/>
        <v>1996-01-01</v>
      </c>
    </row>
    <row r="23" ht="21" spans="1:18">
      <c r="A23" s="4" t="s">
        <v>21</v>
      </c>
      <c r="B23" s="5">
        <v>1853</v>
      </c>
      <c r="C23" s="5">
        <v>2.72</v>
      </c>
      <c r="D23" s="5">
        <v>12.13</v>
      </c>
      <c r="E23" s="5">
        <v>1298</v>
      </c>
      <c r="F23" s="5">
        <v>3.27</v>
      </c>
      <c r="G23" s="5">
        <v>15</v>
      </c>
      <c r="H23" s="5">
        <v>555</v>
      </c>
      <c r="I23" s="5">
        <v>1.45</v>
      </c>
      <c r="J23" s="5">
        <v>5.95</v>
      </c>
      <c r="K23" s="5">
        <v>1214</v>
      </c>
      <c r="L23" s="5">
        <v>0.55</v>
      </c>
      <c r="M23" s="5">
        <v>3.81</v>
      </c>
      <c r="N23" s="5"/>
      <c r="O23" s="5"/>
      <c r="P23" s="5"/>
      <c r="Q23" s="1">
        <f t="shared" si="0"/>
        <v>35096</v>
      </c>
      <c r="R23" t="str">
        <f t="shared" si="1"/>
        <v>1996-02-01</v>
      </c>
    </row>
    <row r="24" ht="21" spans="1:18">
      <c r="A24" s="4" t="s">
        <v>22</v>
      </c>
      <c r="B24" s="6">
        <v>1800</v>
      </c>
      <c r="C24" s="6">
        <v>-2.88</v>
      </c>
      <c r="D24" s="6">
        <v>8.9</v>
      </c>
      <c r="E24" s="6">
        <v>1229</v>
      </c>
      <c r="F24" s="6">
        <v>-5.29</v>
      </c>
      <c r="G24" s="6">
        <v>8.92</v>
      </c>
      <c r="H24" s="6">
        <v>571</v>
      </c>
      <c r="I24" s="6">
        <v>2.75</v>
      </c>
      <c r="J24" s="6">
        <v>8.86</v>
      </c>
      <c r="K24" s="6">
        <v>1275</v>
      </c>
      <c r="L24" s="6">
        <v>4.98</v>
      </c>
      <c r="M24" s="6">
        <v>8.98</v>
      </c>
      <c r="N24" s="6"/>
      <c r="O24" s="6"/>
      <c r="P24" s="6"/>
      <c r="Q24" s="1">
        <f t="shared" si="0"/>
        <v>35125</v>
      </c>
      <c r="R24" t="str">
        <f t="shared" si="1"/>
        <v>1996-03-01</v>
      </c>
    </row>
    <row r="25" ht="21" spans="1:18">
      <c r="A25" s="4" t="s">
        <v>23</v>
      </c>
      <c r="B25" s="5">
        <v>1811</v>
      </c>
      <c r="C25" s="5">
        <v>0.63</v>
      </c>
      <c r="D25" s="5">
        <v>9.59</v>
      </c>
      <c r="E25" s="5">
        <v>1238</v>
      </c>
      <c r="F25" s="5">
        <v>0.72</v>
      </c>
      <c r="G25" s="5">
        <v>9.7</v>
      </c>
      <c r="H25" s="5">
        <v>573</v>
      </c>
      <c r="I25" s="5">
        <v>0.43</v>
      </c>
      <c r="J25" s="5">
        <v>9.34</v>
      </c>
      <c r="K25" s="5">
        <v>1273</v>
      </c>
      <c r="L25" s="5">
        <v>-0.13</v>
      </c>
      <c r="M25" s="5">
        <v>8.84</v>
      </c>
      <c r="N25" s="5"/>
      <c r="O25" s="5"/>
      <c r="P25" s="5"/>
      <c r="Q25" s="1">
        <f t="shared" si="0"/>
        <v>35156</v>
      </c>
      <c r="R25" t="str">
        <f t="shared" si="1"/>
        <v>1996-04-01</v>
      </c>
    </row>
    <row r="26" ht="21" spans="1:18">
      <c r="A26" s="4" t="s">
        <v>24</v>
      </c>
      <c r="B26" s="6">
        <v>1911</v>
      </c>
      <c r="C26" s="6">
        <v>5.47</v>
      </c>
      <c r="D26" s="6">
        <v>15.58</v>
      </c>
      <c r="E26" s="6">
        <v>1326</v>
      </c>
      <c r="F26" s="6">
        <v>7.09</v>
      </c>
      <c r="G26" s="6">
        <v>17.48</v>
      </c>
      <c r="H26" s="6">
        <v>585</v>
      </c>
      <c r="I26" s="6">
        <v>1.96</v>
      </c>
      <c r="J26" s="6">
        <v>11.48</v>
      </c>
      <c r="K26" s="6">
        <v>1324</v>
      </c>
      <c r="L26" s="6">
        <v>3.96</v>
      </c>
      <c r="M26" s="6">
        <v>13.15</v>
      </c>
      <c r="N26" s="6"/>
      <c r="O26" s="6"/>
      <c r="P26" s="6"/>
      <c r="Q26" s="1">
        <f t="shared" si="0"/>
        <v>35186</v>
      </c>
      <c r="R26" t="str">
        <f t="shared" si="1"/>
        <v>1996-05-01</v>
      </c>
    </row>
    <row r="27" ht="21" spans="1:18">
      <c r="A27" s="4" t="s">
        <v>25</v>
      </c>
      <c r="B27" s="5">
        <v>1833</v>
      </c>
      <c r="C27" s="5">
        <v>-4.05</v>
      </c>
      <c r="D27" s="5">
        <v>10.89</v>
      </c>
      <c r="E27" s="5">
        <v>1248</v>
      </c>
      <c r="F27" s="5">
        <v>-5.85</v>
      </c>
      <c r="G27" s="5">
        <v>10.61</v>
      </c>
      <c r="H27" s="5">
        <v>585</v>
      </c>
      <c r="I27" s="5">
        <v>0.02</v>
      </c>
      <c r="J27" s="5">
        <v>11.5</v>
      </c>
      <c r="K27" s="5">
        <v>1245</v>
      </c>
      <c r="L27" s="5">
        <v>-5.98</v>
      </c>
      <c r="M27" s="5">
        <v>6.39</v>
      </c>
      <c r="N27" s="5"/>
      <c r="O27" s="5"/>
      <c r="P27" s="5"/>
      <c r="Q27" s="1">
        <f t="shared" si="0"/>
        <v>35217</v>
      </c>
      <c r="R27" t="str">
        <f t="shared" si="1"/>
        <v>1996-06-01</v>
      </c>
    </row>
    <row r="28" ht="21" spans="1:18">
      <c r="A28" s="4" t="s">
        <v>26</v>
      </c>
      <c r="B28" s="6">
        <v>1794</v>
      </c>
      <c r="C28" s="6">
        <v>-2.12</v>
      </c>
      <c r="D28" s="6">
        <v>8.55</v>
      </c>
      <c r="E28" s="6">
        <v>1194</v>
      </c>
      <c r="F28" s="6">
        <v>-4.33</v>
      </c>
      <c r="G28" s="6">
        <v>5.82</v>
      </c>
      <c r="H28" s="6">
        <v>600</v>
      </c>
      <c r="I28" s="6">
        <v>2.61</v>
      </c>
      <c r="J28" s="6">
        <v>14.41</v>
      </c>
      <c r="K28" s="6">
        <v>1200</v>
      </c>
      <c r="L28" s="6">
        <v>-3.59</v>
      </c>
      <c r="M28" s="6">
        <v>2.58</v>
      </c>
      <c r="N28" s="6"/>
      <c r="O28" s="6"/>
      <c r="P28" s="6"/>
      <c r="Q28" s="1">
        <f t="shared" si="0"/>
        <v>35247</v>
      </c>
      <c r="R28" t="str">
        <f t="shared" si="1"/>
        <v>1996-07-01</v>
      </c>
    </row>
    <row r="29" ht="21" spans="1:18">
      <c r="A29" s="4" t="s">
        <v>27</v>
      </c>
      <c r="B29" s="5">
        <v>1788</v>
      </c>
      <c r="C29" s="5">
        <v>-0.37</v>
      </c>
      <c r="D29" s="5">
        <v>8.14</v>
      </c>
      <c r="E29" s="5">
        <v>1174</v>
      </c>
      <c r="F29" s="5">
        <v>-1.67</v>
      </c>
      <c r="G29" s="5">
        <v>4.05</v>
      </c>
      <c r="H29" s="5">
        <v>613</v>
      </c>
      <c r="I29" s="5">
        <v>2.23</v>
      </c>
      <c r="J29" s="5">
        <v>16.96</v>
      </c>
      <c r="K29" s="5">
        <v>1194</v>
      </c>
      <c r="L29" s="5">
        <v>-0.48</v>
      </c>
      <c r="M29" s="5">
        <v>2.09</v>
      </c>
      <c r="N29" s="5"/>
      <c r="O29" s="5"/>
      <c r="P29" s="5"/>
      <c r="Q29" s="1">
        <f t="shared" si="0"/>
        <v>35278</v>
      </c>
      <c r="R29" t="str">
        <f t="shared" si="1"/>
        <v>1996-08-01</v>
      </c>
    </row>
    <row r="30" ht="21" spans="1:18">
      <c r="A30" s="4" t="s">
        <v>28</v>
      </c>
      <c r="B30" s="6">
        <v>1774</v>
      </c>
      <c r="C30" s="6">
        <v>-0.76</v>
      </c>
      <c r="D30" s="6">
        <v>7.32</v>
      </c>
      <c r="E30" s="6">
        <v>1166</v>
      </c>
      <c r="F30" s="6">
        <v>-0.75</v>
      </c>
      <c r="G30" s="6">
        <v>3.27</v>
      </c>
      <c r="H30" s="6">
        <v>608</v>
      </c>
      <c r="I30" s="6">
        <v>-0.78</v>
      </c>
      <c r="J30" s="6">
        <v>16.05</v>
      </c>
      <c r="K30" s="6">
        <v>1161</v>
      </c>
      <c r="L30" s="6">
        <v>-2.76</v>
      </c>
      <c r="M30" s="6">
        <v>-0.73</v>
      </c>
      <c r="N30" s="6"/>
      <c r="O30" s="6"/>
      <c r="P30" s="6"/>
      <c r="Q30" s="1">
        <f t="shared" si="0"/>
        <v>35309</v>
      </c>
      <c r="R30" t="str">
        <f t="shared" si="1"/>
        <v>1996-09-01</v>
      </c>
    </row>
    <row r="31" spans="1:18">
      <c r="A31" s="4">
        <v>10.96</v>
      </c>
      <c r="B31" s="5">
        <v>1685</v>
      </c>
      <c r="C31" s="5">
        <v>-5.04</v>
      </c>
      <c r="D31" s="5">
        <v>1.92</v>
      </c>
      <c r="E31" s="5">
        <v>1068</v>
      </c>
      <c r="F31" s="5">
        <v>-8.35</v>
      </c>
      <c r="G31" s="5">
        <v>-5.35</v>
      </c>
      <c r="H31" s="5">
        <v>616</v>
      </c>
      <c r="I31" s="5">
        <v>1.31</v>
      </c>
      <c r="J31" s="5">
        <v>17.56</v>
      </c>
      <c r="K31" s="5">
        <v>1077</v>
      </c>
      <c r="L31" s="5">
        <v>-7.29</v>
      </c>
      <c r="M31" s="5">
        <v>-7.97</v>
      </c>
      <c r="N31" s="5"/>
      <c r="O31" s="5"/>
      <c r="P31" s="5"/>
      <c r="Q31" s="1">
        <f t="shared" si="0"/>
        <v>35339</v>
      </c>
      <c r="R31" t="str">
        <f t="shared" si="1"/>
        <v>1996-10-01</v>
      </c>
    </row>
    <row r="32" spans="1:18">
      <c r="A32" s="4">
        <v>11.96</v>
      </c>
      <c r="B32" s="6">
        <v>1699</v>
      </c>
      <c r="C32" s="6">
        <v>0.88</v>
      </c>
      <c r="D32" s="6">
        <v>2.81</v>
      </c>
      <c r="E32" s="6">
        <v>1085</v>
      </c>
      <c r="F32" s="6">
        <v>1.57</v>
      </c>
      <c r="G32" s="6">
        <v>-3.86</v>
      </c>
      <c r="H32" s="6">
        <v>614</v>
      </c>
      <c r="I32" s="6">
        <v>-0.33</v>
      </c>
      <c r="J32" s="6">
        <v>17.18</v>
      </c>
      <c r="K32" s="6">
        <v>1089</v>
      </c>
      <c r="L32" s="6">
        <v>1.15</v>
      </c>
      <c r="M32" s="6">
        <v>-6.92</v>
      </c>
      <c r="N32" s="6"/>
      <c r="O32" s="6"/>
      <c r="P32" s="6"/>
      <c r="Q32" s="1">
        <f t="shared" si="0"/>
        <v>35370</v>
      </c>
      <c r="R32" t="str">
        <f t="shared" si="1"/>
        <v>1996-11-01</v>
      </c>
    </row>
    <row r="33" spans="1:18">
      <c r="A33" s="4">
        <v>12.96</v>
      </c>
      <c r="B33" s="5">
        <v>1961</v>
      </c>
      <c r="C33" s="5">
        <v>15.37</v>
      </c>
      <c r="D33" s="5">
        <v>18.61</v>
      </c>
      <c r="E33" s="5">
        <v>1294</v>
      </c>
      <c r="F33" s="5">
        <v>19.26</v>
      </c>
      <c r="G33" s="5">
        <v>14.65</v>
      </c>
      <c r="H33" s="5">
        <v>667</v>
      </c>
      <c r="I33" s="5">
        <v>8.49</v>
      </c>
      <c r="J33" s="5">
        <v>27.13</v>
      </c>
      <c r="K33" s="5">
        <v>1334</v>
      </c>
      <c r="L33" s="5">
        <v>22.55</v>
      </c>
      <c r="M33" s="5">
        <v>14.07</v>
      </c>
      <c r="N33" s="5"/>
      <c r="O33" s="5"/>
      <c r="P33" s="5"/>
      <c r="Q33" s="1">
        <f t="shared" si="0"/>
        <v>35400</v>
      </c>
      <c r="R33" t="str">
        <f t="shared" si="1"/>
        <v>1996-12-01</v>
      </c>
    </row>
    <row r="34" ht="21" spans="1:18">
      <c r="A34" s="4" t="s">
        <v>29</v>
      </c>
      <c r="B34" s="6">
        <v>1767</v>
      </c>
      <c r="C34" s="6">
        <v>-9.86</v>
      </c>
      <c r="D34" s="6">
        <v>-9.86</v>
      </c>
      <c r="E34" s="6">
        <v>1145</v>
      </c>
      <c r="F34" s="6">
        <v>-11.53</v>
      </c>
      <c r="G34" s="6">
        <v>-11.53</v>
      </c>
      <c r="H34" s="6">
        <v>622</v>
      </c>
      <c r="I34" s="6">
        <v>-6.61</v>
      </c>
      <c r="J34" s="6">
        <v>-6.61</v>
      </c>
      <c r="K34" s="6">
        <v>1162</v>
      </c>
      <c r="L34" s="6">
        <v>-12.94</v>
      </c>
      <c r="M34" s="6">
        <v>-12.94</v>
      </c>
      <c r="N34" s="6"/>
      <c r="O34" s="6"/>
      <c r="P34" s="6"/>
      <c r="Q34" s="1">
        <f t="shared" si="0"/>
        <v>35431</v>
      </c>
      <c r="R34" t="str">
        <f t="shared" si="1"/>
        <v>1997-01-01</v>
      </c>
    </row>
    <row r="35" ht="21" spans="1:18">
      <c r="A35" s="4" t="s">
        <v>30</v>
      </c>
      <c r="B35" s="5">
        <v>1814</v>
      </c>
      <c r="C35" s="5">
        <v>2.63</v>
      </c>
      <c r="D35" s="5">
        <v>-7.49</v>
      </c>
      <c r="E35" s="5">
        <v>1163</v>
      </c>
      <c r="F35" s="5">
        <v>1.58</v>
      </c>
      <c r="G35" s="5">
        <v>-10.13</v>
      </c>
      <c r="H35" s="5">
        <v>651</v>
      </c>
      <c r="I35" s="5">
        <v>4.56</v>
      </c>
      <c r="J35" s="5">
        <v>-2.35</v>
      </c>
      <c r="K35" s="5">
        <v>1228</v>
      </c>
      <c r="L35" s="5">
        <v>5.66</v>
      </c>
      <c r="M35" s="5">
        <v>-8.01</v>
      </c>
      <c r="N35" s="5"/>
      <c r="O35" s="5"/>
      <c r="P35" s="5"/>
      <c r="Q35" s="1">
        <f t="shared" si="0"/>
        <v>35462</v>
      </c>
      <c r="R35" t="str">
        <f t="shared" si="1"/>
        <v>1997-02-01</v>
      </c>
    </row>
    <row r="36" ht="21" spans="1:18">
      <c r="A36" s="4" t="s">
        <v>31</v>
      </c>
      <c r="B36" s="6">
        <v>1842</v>
      </c>
      <c r="C36" s="6">
        <v>1.56</v>
      </c>
      <c r="D36" s="6">
        <v>-6.04</v>
      </c>
      <c r="E36" s="6">
        <v>1211</v>
      </c>
      <c r="F36" s="6">
        <v>4.13</v>
      </c>
      <c r="G36" s="6">
        <v>-6.41</v>
      </c>
      <c r="H36" s="6">
        <v>631</v>
      </c>
      <c r="I36" s="6">
        <v>-3.05</v>
      </c>
      <c r="J36" s="6">
        <v>-5.33</v>
      </c>
      <c r="K36" s="6">
        <v>1254</v>
      </c>
      <c r="L36" s="6">
        <v>2.12</v>
      </c>
      <c r="M36" s="6">
        <v>-6.06</v>
      </c>
      <c r="N36" s="6"/>
      <c r="O36" s="6"/>
      <c r="P36" s="6"/>
      <c r="Q36" s="1">
        <f t="shared" si="0"/>
        <v>35490</v>
      </c>
      <c r="R36" t="str">
        <f t="shared" si="1"/>
        <v>1997-03-01</v>
      </c>
    </row>
    <row r="37" ht="21" spans="1:18">
      <c r="A37" s="4" t="s">
        <v>32</v>
      </c>
      <c r="B37" s="5">
        <v>1768</v>
      </c>
      <c r="C37" s="5">
        <v>-4</v>
      </c>
      <c r="D37" s="5">
        <v>-9.81</v>
      </c>
      <c r="E37" s="5">
        <v>1154</v>
      </c>
      <c r="F37" s="5">
        <v>-4.75</v>
      </c>
      <c r="G37" s="5">
        <v>-10.86</v>
      </c>
      <c r="H37" s="5">
        <v>615</v>
      </c>
      <c r="I37" s="5">
        <v>-2.57</v>
      </c>
      <c r="J37" s="5">
        <v>-7.76</v>
      </c>
      <c r="K37" s="5">
        <v>1192</v>
      </c>
      <c r="L37" s="5">
        <v>-4.94</v>
      </c>
      <c r="M37" s="5">
        <v>-10.7</v>
      </c>
      <c r="N37" s="5"/>
      <c r="O37" s="5"/>
      <c r="P37" s="5"/>
      <c r="Q37" s="1">
        <f t="shared" si="0"/>
        <v>35521</v>
      </c>
      <c r="R37" t="str">
        <f t="shared" si="1"/>
        <v>1997-04-01</v>
      </c>
    </row>
    <row r="38" ht="21" spans="1:18">
      <c r="A38" s="4" t="s">
        <v>33</v>
      </c>
      <c r="B38" s="6">
        <v>1865</v>
      </c>
      <c r="C38" s="6">
        <v>5.48</v>
      </c>
      <c r="D38" s="6">
        <v>-4.86</v>
      </c>
      <c r="E38" s="6">
        <v>1241</v>
      </c>
      <c r="F38" s="6">
        <v>7.56</v>
      </c>
      <c r="G38" s="6">
        <v>-4.12</v>
      </c>
      <c r="H38" s="6">
        <v>625</v>
      </c>
      <c r="I38" s="6">
        <v>1.58</v>
      </c>
      <c r="J38" s="6">
        <v>-6.3</v>
      </c>
      <c r="K38" s="6">
        <v>1209</v>
      </c>
      <c r="L38" s="6">
        <v>1.44</v>
      </c>
      <c r="M38" s="6">
        <v>-9.42</v>
      </c>
      <c r="N38" s="6"/>
      <c r="O38" s="6"/>
      <c r="P38" s="6"/>
      <c r="Q38" s="1">
        <f t="shared" si="0"/>
        <v>35551</v>
      </c>
      <c r="R38" t="str">
        <f t="shared" si="1"/>
        <v>1997-05-01</v>
      </c>
    </row>
    <row r="39" ht="21" spans="1:18">
      <c r="A39" s="4" t="s">
        <v>34</v>
      </c>
      <c r="B39" s="5">
        <v>2000</v>
      </c>
      <c r="C39" s="5">
        <v>7.22</v>
      </c>
      <c r="D39" s="5">
        <v>2.01</v>
      </c>
      <c r="E39" s="5">
        <v>1397</v>
      </c>
      <c r="F39" s="5">
        <v>12.55</v>
      </c>
      <c r="G39" s="5">
        <v>7.92</v>
      </c>
      <c r="H39" s="5">
        <v>603</v>
      </c>
      <c r="I39" s="5">
        <v>-3.37</v>
      </c>
      <c r="J39" s="5">
        <v>-9.46</v>
      </c>
      <c r="K39" s="5">
        <v>1391</v>
      </c>
      <c r="L39" s="5">
        <v>15.08</v>
      </c>
      <c r="M39" s="5">
        <v>4.24</v>
      </c>
      <c r="N39" s="5"/>
      <c r="O39" s="5"/>
      <c r="P39" s="5"/>
      <c r="Q39" s="1">
        <f t="shared" si="0"/>
        <v>35582</v>
      </c>
      <c r="R39" t="str">
        <f t="shared" si="1"/>
        <v>1997-06-01</v>
      </c>
    </row>
    <row r="40" ht="21" spans="1:18">
      <c r="A40" s="4" t="s">
        <v>35</v>
      </c>
      <c r="B40" s="6">
        <v>2038</v>
      </c>
      <c r="C40" s="6">
        <v>1.88</v>
      </c>
      <c r="D40" s="6">
        <v>3.92</v>
      </c>
      <c r="E40" s="6">
        <v>1448</v>
      </c>
      <c r="F40" s="6">
        <v>3.71</v>
      </c>
      <c r="G40" s="6">
        <v>11.92</v>
      </c>
      <c r="H40" s="6">
        <v>589</v>
      </c>
      <c r="I40" s="6">
        <v>-2.37</v>
      </c>
      <c r="J40" s="6">
        <v>-11.61</v>
      </c>
      <c r="K40" s="6">
        <v>1407</v>
      </c>
      <c r="L40" s="6">
        <v>1.14</v>
      </c>
      <c r="M40" s="6">
        <v>5.43</v>
      </c>
      <c r="N40" s="6"/>
      <c r="O40" s="6"/>
      <c r="P40" s="6"/>
      <c r="Q40" s="1">
        <f t="shared" si="0"/>
        <v>35612</v>
      </c>
      <c r="R40" t="str">
        <f t="shared" si="1"/>
        <v>1997-07-01</v>
      </c>
    </row>
    <row r="41" ht="21" spans="1:18">
      <c r="A41" s="4" t="s">
        <v>36</v>
      </c>
      <c r="B41" s="5">
        <v>2094</v>
      </c>
      <c r="C41" s="5">
        <v>2.77</v>
      </c>
      <c r="D41" s="5">
        <v>6.81</v>
      </c>
      <c r="E41" s="5">
        <v>1506</v>
      </c>
      <c r="F41" s="5">
        <v>3.97</v>
      </c>
      <c r="G41" s="5">
        <v>16.37</v>
      </c>
      <c r="H41" s="5">
        <v>588</v>
      </c>
      <c r="I41" s="5">
        <v>-0.17</v>
      </c>
      <c r="J41" s="5">
        <v>-11.76</v>
      </c>
      <c r="K41" s="5">
        <v>1532</v>
      </c>
      <c r="L41" s="5">
        <v>8.88</v>
      </c>
      <c r="M41" s="5">
        <v>14.79</v>
      </c>
      <c r="N41" s="5"/>
      <c r="O41" s="5"/>
      <c r="P41" s="5"/>
      <c r="Q41" s="1">
        <f t="shared" si="0"/>
        <v>35643</v>
      </c>
      <c r="R41" t="str">
        <f t="shared" si="1"/>
        <v>1997-08-01</v>
      </c>
    </row>
    <row r="42" ht="21" spans="1:18">
      <c r="A42" s="4" t="s">
        <v>37</v>
      </c>
      <c r="B42" s="6">
        <v>2154</v>
      </c>
      <c r="C42" s="6">
        <v>2.87</v>
      </c>
      <c r="D42" s="6">
        <v>9.88</v>
      </c>
      <c r="E42" s="6">
        <v>1560</v>
      </c>
      <c r="F42" s="6">
        <v>3.57</v>
      </c>
      <c r="G42" s="6">
        <v>20.53</v>
      </c>
      <c r="H42" s="6">
        <v>595</v>
      </c>
      <c r="I42" s="6">
        <v>1.08</v>
      </c>
      <c r="J42" s="6">
        <v>-10.81</v>
      </c>
      <c r="K42" s="6">
        <v>1591</v>
      </c>
      <c r="L42" s="6">
        <v>3.89</v>
      </c>
      <c r="M42" s="6">
        <v>19.25</v>
      </c>
      <c r="N42" s="6"/>
      <c r="O42" s="6"/>
      <c r="P42" s="6"/>
      <c r="Q42" s="1">
        <f t="shared" si="0"/>
        <v>35674</v>
      </c>
      <c r="R42" t="str">
        <f t="shared" si="1"/>
        <v>1997-09-01</v>
      </c>
    </row>
    <row r="43" spans="1:18">
      <c r="A43" s="4">
        <v>10.97</v>
      </c>
      <c r="B43" s="5">
        <v>2375</v>
      </c>
      <c r="C43" s="5">
        <v>10.24</v>
      </c>
      <c r="D43" s="5">
        <v>21.13</v>
      </c>
      <c r="E43" s="5">
        <v>1813</v>
      </c>
      <c r="F43" s="5">
        <v>16.25</v>
      </c>
      <c r="G43" s="5">
        <v>40.12</v>
      </c>
      <c r="H43" s="5">
        <v>562</v>
      </c>
      <c r="I43" s="5">
        <v>-5.52</v>
      </c>
      <c r="J43" s="5">
        <v>-15.73</v>
      </c>
      <c r="K43" s="5">
        <v>1824</v>
      </c>
      <c r="L43" s="5">
        <v>14.65</v>
      </c>
      <c r="M43" s="5">
        <v>36.72</v>
      </c>
      <c r="N43" s="5"/>
      <c r="O43" s="5"/>
      <c r="P43" s="5"/>
      <c r="Q43" s="1">
        <f t="shared" si="0"/>
        <v>35704</v>
      </c>
      <c r="R43" t="str">
        <f t="shared" si="1"/>
        <v>1997-10-01</v>
      </c>
    </row>
    <row r="44" spans="1:18">
      <c r="A44" s="4">
        <v>11.97</v>
      </c>
      <c r="B44" s="6">
        <v>2328</v>
      </c>
      <c r="C44" s="6">
        <v>-1.96</v>
      </c>
      <c r="D44" s="6">
        <v>18.76</v>
      </c>
      <c r="E44" s="6">
        <v>1791</v>
      </c>
      <c r="F44" s="6">
        <v>-1.23</v>
      </c>
      <c r="G44" s="6">
        <v>38.39</v>
      </c>
      <c r="H44" s="6">
        <v>538</v>
      </c>
      <c r="I44" s="6">
        <v>-4.29</v>
      </c>
      <c r="J44" s="6">
        <v>-19.35</v>
      </c>
      <c r="K44" s="6">
        <v>1775</v>
      </c>
      <c r="L44" s="6">
        <v>-2.73</v>
      </c>
      <c r="M44" s="6">
        <v>32.99</v>
      </c>
      <c r="N44" s="6"/>
      <c r="O44" s="6"/>
      <c r="P44" s="6"/>
      <c r="Q44" s="1">
        <f t="shared" si="0"/>
        <v>35735</v>
      </c>
      <c r="R44" t="str">
        <f t="shared" si="1"/>
        <v>1997-11-01</v>
      </c>
    </row>
    <row r="45" spans="1:18">
      <c r="A45" s="4">
        <v>12.97</v>
      </c>
      <c r="B45" s="5">
        <v>2291</v>
      </c>
      <c r="C45" s="5">
        <v>-1.6</v>
      </c>
      <c r="D45" s="5">
        <v>16.86</v>
      </c>
      <c r="E45" s="5">
        <v>1767</v>
      </c>
      <c r="F45" s="5">
        <v>-1.31</v>
      </c>
      <c r="G45" s="5">
        <v>36.58</v>
      </c>
      <c r="H45" s="5">
        <v>524</v>
      </c>
      <c r="I45" s="5">
        <v>-2.56</v>
      </c>
      <c r="J45" s="5">
        <v>-21.41</v>
      </c>
      <c r="K45" s="5">
        <v>1727</v>
      </c>
      <c r="L45" s="5">
        <v>-2.69</v>
      </c>
      <c r="M45" s="5">
        <v>29.41</v>
      </c>
      <c r="N45" s="5"/>
      <c r="O45" s="5"/>
      <c r="P45" s="5"/>
      <c r="Q45" s="1">
        <f t="shared" si="0"/>
        <v>35765</v>
      </c>
      <c r="R45" t="str">
        <f t="shared" si="1"/>
        <v>1997-12-01</v>
      </c>
    </row>
    <row r="46" ht="21" spans="1:18">
      <c r="A46" s="4" t="s">
        <v>38</v>
      </c>
      <c r="B46" s="6">
        <v>2122</v>
      </c>
      <c r="C46" s="6">
        <v>-7.4</v>
      </c>
      <c r="D46" s="6">
        <v>-7.4</v>
      </c>
      <c r="E46" s="6">
        <v>1575</v>
      </c>
      <c r="F46" s="6">
        <v>-10.9</v>
      </c>
      <c r="G46" s="6">
        <v>-10.9</v>
      </c>
      <c r="H46" s="6">
        <v>547</v>
      </c>
      <c r="I46" s="6">
        <v>4.39</v>
      </c>
      <c r="J46" s="6">
        <v>4.39</v>
      </c>
      <c r="K46" s="6">
        <v>1568</v>
      </c>
      <c r="L46" s="6">
        <v>-9.19</v>
      </c>
      <c r="M46" s="6">
        <v>-9.19</v>
      </c>
      <c r="N46" s="6"/>
      <c r="O46" s="6"/>
      <c r="P46" s="6"/>
      <c r="Q46" s="1">
        <f t="shared" si="0"/>
        <v>35796</v>
      </c>
      <c r="R46" t="str">
        <f t="shared" si="1"/>
        <v>1998-01-01</v>
      </c>
    </row>
    <row r="47" ht="21" spans="1:18">
      <c r="A47" s="4" t="s">
        <v>39</v>
      </c>
      <c r="B47" s="5">
        <v>2066</v>
      </c>
      <c r="C47" s="5">
        <v>-2.64</v>
      </c>
      <c r="D47" s="5">
        <v>-9.85</v>
      </c>
      <c r="E47" s="5">
        <v>1528</v>
      </c>
      <c r="F47" s="5">
        <v>2.96</v>
      </c>
      <c r="G47" s="5">
        <v>-13.54</v>
      </c>
      <c r="H47" s="5">
        <v>538</v>
      </c>
      <c r="I47" s="5">
        <v>-1.71</v>
      </c>
      <c r="J47" s="5">
        <v>2.61</v>
      </c>
      <c r="K47" s="5">
        <v>1513</v>
      </c>
      <c r="L47" s="5">
        <v>-3.52</v>
      </c>
      <c r="M47" s="5">
        <v>-12.39</v>
      </c>
      <c r="N47" s="5"/>
      <c r="O47" s="5"/>
      <c r="P47" s="5"/>
      <c r="Q47" s="1">
        <f t="shared" si="0"/>
        <v>35827</v>
      </c>
      <c r="R47" t="str">
        <f t="shared" si="1"/>
        <v>1998-02-01</v>
      </c>
    </row>
    <row r="48" ht="21" spans="1:18">
      <c r="A48" s="4" t="s">
        <v>40</v>
      </c>
      <c r="B48" s="6">
        <v>2029</v>
      </c>
      <c r="C48" s="6">
        <v>-1.79</v>
      </c>
      <c r="D48" s="6">
        <v>-11.46</v>
      </c>
      <c r="E48" s="6">
        <v>1485</v>
      </c>
      <c r="F48" s="6">
        <v>-2.83</v>
      </c>
      <c r="G48" s="6">
        <v>-15.99</v>
      </c>
      <c r="H48" s="6">
        <v>544</v>
      </c>
      <c r="I48" s="6">
        <v>1.17</v>
      </c>
      <c r="J48" s="6">
        <v>3.81</v>
      </c>
      <c r="K48" s="6">
        <v>1490</v>
      </c>
      <c r="L48" s="6">
        <v>-1.54</v>
      </c>
      <c r="M48" s="6">
        <v>-13.74</v>
      </c>
      <c r="N48" s="6"/>
      <c r="O48" s="6"/>
      <c r="P48" s="6"/>
      <c r="Q48" s="1">
        <f t="shared" si="0"/>
        <v>35855</v>
      </c>
      <c r="R48" t="str">
        <f t="shared" si="1"/>
        <v>1998-03-01</v>
      </c>
    </row>
    <row r="49" ht="21" spans="1:18">
      <c r="A49" s="4" t="s">
        <v>41</v>
      </c>
      <c r="B49" s="5">
        <v>2082</v>
      </c>
      <c r="C49" s="5">
        <v>2.61</v>
      </c>
      <c r="D49" s="5">
        <v>-9.15</v>
      </c>
      <c r="E49" s="5">
        <v>1518</v>
      </c>
      <c r="F49" s="5">
        <v>2.23</v>
      </c>
      <c r="G49" s="5">
        <v>-14.12</v>
      </c>
      <c r="H49" s="5">
        <v>564</v>
      </c>
      <c r="I49" s="5">
        <v>3.65</v>
      </c>
      <c r="J49" s="5">
        <v>7.6</v>
      </c>
      <c r="K49" s="5">
        <v>1544</v>
      </c>
      <c r="L49" s="5">
        <v>3.63</v>
      </c>
      <c r="M49" s="5">
        <v>-10.6</v>
      </c>
      <c r="N49" s="5"/>
      <c r="O49" s="5"/>
      <c r="P49" s="5"/>
      <c r="Q49" s="1">
        <f t="shared" si="0"/>
        <v>35886</v>
      </c>
      <c r="R49" t="str">
        <f t="shared" si="1"/>
        <v>1998-04-01</v>
      </c>
    </row>
    <row r="50" ht="21" spans="1:18">
      <c r="A50" s="4" t="s">
        <v>42</v>
      </c>
      <c r="B50" s="6">
        <v>1944</v>
      </c>
      <c r="C50" s="6">
        <v>-6.62</v>
      </c>
      <c r="D50" s="6">
        <v>-15.16</v>
      </c>
      <c r="E50" s="6">
        <v>1413</v>
      </c>
      <c r="F50" s="6">
        <v>-6.89</v>
      </c>
      <c r="G50" s="6">
        <v>-20.04</v>
      </c>
      <c r="H50" s="6">
        <v>531</v>
      </c>
      <c r="I50" s="6">
        <v>-5.88</v>
      </c>
      <c r="J50" s="6">
        <v>1.28</v>
      </c>
      <c r="K50" s="6">
        <v>1408</v>
      </c>
      <c r="L50" s="6">
        <v>-8.81</v>
      </c>
      <c r="M50" s="6">
        <v>-18.48</v>
      </c>
      <c r="N50" s="6"/>
      <c r="O50" s="6"/>
      <c r="P50" s="6"/>
      <c r="Q50" s="1">
        <f t="shared" si="0"/>
        <v>35916</v>
      </c>
      <c r="R50" t="str">
        <f t="shared" si="1"/>
        <v>1998-05-01</v>
      </c>
    </row>
    <row r="51" ht="21" spans="1:18">
      <c r="A51" s="4" t="s">
        <v>43</v>
      </c>
      <c r="B51" s="5">
        <v>1990</v>
      </c>
      <c r="C51" s="5">
        <v>2.38</v>
      </c>
      <c r="D51" s="5">
        <v>-13.15</v>
      </c>
      <c r="E51" s="5">
        <v>1453</v>
      </c>
      <c r="F51" s="5">
        <v>2.83</v>
      </c>
      <c r="G51" s="5">
        <v>-17.77</v>
      </c>
      <c r="H51" s="5">
        <v>537</v>
      </c>
      <c r="I51" s="5">
        <v>1.17</v>
      </c>
      <c r="J51" s="5">
        <v>2.46</v>
      </c>
      <c r="K51" s="5">
        <v>1469</v>
      </c>
      <c r="L51" s="5">
        <v>4.33</v>
      </c>
      <c r="M51" s="5">
        <v>-14.95</v>
      </c>
      <c r="N51" s="5"/>
      <c r="O51" s="5"/>
      <c r="P51" s="5"/>
      <c r="Q51" s="1">
        <f t="shared" si="0"/>
        <v>35947</v>
      </c>
      <c r="R51" t="str">
        <f t="shared" si="1"/>
        <v>1998-06-01</v>
      </c>
    </row>
    <row r="52" ht="21" spans="1:18">
      <c r="A52" s="4" t="s">
        <v>44</v>
      </c>
      <c r="B52" s="6">
        <v>1996</v>
      </c>
      <c r="C52" s="6">
        <v>0.32</v>
      </c>
      <c r="D52" s="6">
        <v>-12.87</v>
      </c>
      <c r="E52" s="6">
        <v>1471</v>
      </c>
      <c r="F52" s="6">
        <v>1.23</v>
      </c>
      <c r="G52" s="6">
        <v>-16.76</v>
      </c>
      <c r="H52" s="6">
        <v>525</v>
      </c>
      <c r="I52" s="6">
        <v>2.12</v>
      </c>
      <c r="J52" s="6">
        <v>0.29</v>
      </c>
      <c r="K52" s="6">
        <v>1490</v>
      </c>
      <c r="L52" s="6">
        <v>1.44</v>
      </c>
      <c r="M52" s="6">
        <v>-13.72</v>
      </c>
      <c r="N52" s="6"/>
      <c r="O52" s="6"/>
      <c r="P52" s="6"/>
      <c r="Q52" s="1">
        <f t="shared" si="0"/>
        <v>35977</v>
      </c>
      <c r="R52" t="str">
        <f t="shared" si="1"/>
        <v>1998-07-01</v>
      </c>
    </row>
    <row r="53" ht="21" spans="1:18">
      <c r="A53" s="4" t="s">
        <v>45</v>
      </c>
      <c r="B53" s="5">
        <v>1840</v>
      </c>
      <c r="C53" s="5">
        <v>-7.85</v>
      </c>
      <c r="D53" s="5">
        <v>-19.71</v>
      </c>
      <c r="E53" s="5">
        <v>1345</v>
      </c>
      <c r="F53" s="5">
        <v>-8.57</v>
      </c>
      <c r="G53" s="5">
        <v>-23.9</v>
      </c>
      <c r="H53" s="5">
        <v>495</v>
      </c>
      <c r="I53" s="5">
        <v>-5.83</v>
      </c>
      <c r="J53" s="5">
        <v>-5.56</v>
      </c>
      <c r="K53" s="5">
        <v>1335</v>
      </c>
      <c r="L53" s="5">
        <v>-10.38</v>
      </c>
      <c r="M53" s="5">
        <v>-22.67</v>
      </c>
      <c r="N53" s="5"/>
      <c r="O53" s="5"/>
      <c r="P53" s="5"/>
      <c r="Q53" s="1">
        <f t="shared" si="0"/>
        <v>36008</v>
      </c>
      <c r="R53" t="str">
        <f t="shared" si="1"/>
        <v>1998-08-01</v>
      </c>
    </row>
    <row r="54" ht="21" spans="1:18">
      <c r="A54" s="4" t="s">
        <v>46</v>
      </c>
      <c r="B54" s="6">
        <v>1676</v>
      </c>
      <c r="C54" s="6">
        <v>-8.87</v>
      </c>
      <c r="D54" s="6">
        <v>-26.83</v>
      </c>
      <c r="E54" s="6">
        <v>1178</v>
      </c>
      <c r="F54" s="6">
        <v>-12.42</v>
      </c>
      <c r="G54" s="6">
        <v>-33.35</v>
      </c>
      <c r="H54" s="6">
        <v>499</v>
      </c>
      <c r="I54" s="6">
        <v>0.77</v>
      </c>
      <c r="J54" s="6">
        <v>-4.83</v>
      </c>
      <c r="K54" s="6">
        <v>1201</v>
      </c>
      <c r="L54" s="6">
        <v>-10.09</v>
      </c>
      <c r="M54" s="6">
        <v>-30.48</v>
      </c>
      <c r="N54" s="6"/>
      <c r="O54" s="6"/>
      <c r="P54" s="6"/>
      <c r="Q54" s="1">
        <f t="shared" si="0"/>
        <v>36039</v>
      </c>
      <c r="R54" t="str">
        <f t="shared" si="1"/>
        <v>1998-09-01</v>
      </c>
    </row>
    <row r="55" spans="1:18">
      <c r="A55" s="4">
        <v>10.98</v>
      </c>
      <c r="B55" s="5">
        <v>1715</v>
      </c>
      <c r="C55" s="5">
        <v>2.3</v>
      </c>
      <c r="D55" s="5">
        <v>-25.15</v>
      </c>
      <c r="E55" s="5">
        <v>1217</v>
      </c>
      <c r="F55" s="5">
        <v>3.32</v>
      </c>
      <c r="G55" s="5">
        <v>-31.13</v>
      </c>
      <c r="H55" s="5">
        <v>498</v>
      </c>
      <c r="I55" s="5">
        <v>-0.11</v>
      </c>
      <c r="J55" s="5">
        <v>-4.94</v>
      </c>
      <c r="K55" s="5">
        <v>1232</v>
      </c>
      <c r="L55" s="5">
        <v>2.64</v>
      </c>
      <c r="M55" s="5">
        <v>-28.64</v>
      </c>
      <c r="N55" s="5"/>
      <c r="O55" s="5"/>
      <c r="P55" s="5"/>
      <c r="Q55" s="1">
        <f t="shared" si="0"/>
        <v>36069</v>
      </c>
      <c r="R55" t="str">
        <f t="shared" si="1"/>
        <v>1998-10-01</v>
      </c>
    </row>
    <row r="56" spans="1:18">
      <c r="A56" s="4">
        <v>11.98</v>
      </c>
      <c r="B56" s="6">
        <v>1771</v>
      </c>
      <c r="C56" s="6">
        <v>3.27</v>
      </c>
      <c r="D56" s="6">
        <v>-22.7</v>
      </c>
      <c r="E56" s="6">
        <v>1276</v>
      </c>
      <c r="F56" s="6">
        <v>4.82</v>
      </c>
      <c r="G56" s="6">
        <v>-27.81</v>
      </c>
      <c r="H56" s="6">
        <v>495</v>
      </c>
      <c r="I56" s="6">
        <v>-0.52</v>
      </c>
      <c r="J56" s="6">
        <v>-5.43</v>
      </c>
      <c r="K56" s="6">
        <v>1296</v>
      </c>
      <c r="L56" s="6">
        <v>5.17</v>
      </c>
      <c r="M56" s="6">
        <v>-24.95</v>
      </c>
      <c r="N56" s="6"/>
      <c r="O56" s="6"/>
      <c r="P56" s="6"/>
      <c r="Q56" s="1">
        <f t="shared" si="0"/>
        <v>36100</v>
      </c>
      <c r="R56" t="str">
        <f t="shared" si="1"/>
        <v>1998-11-01</v>
      </c>
    </row>
    <row r="57" spans="1:18">
      <c r="A57" s="4">
        <v>12.98</v>
      </c>
      <c r="B57" s="5">
        <v>1964</v>
      </c>
      <c r="C57" s="5">
        <v>10.87</v>
      </c>
      <c r="D57" s="5">
        <v>-14.29</v>
      </c>
      <c r="E57" s="5">
        <v>1460</v>
      </c>
      <c r="F57" s="5">
        <v>14.45</v>
      </c>
      <c r="G57" s="5">
        <v>-17.38</v>
      </c>
      <c r="H57" s="5">
        <v>504</v>
      </c>
      <c r="I57" s="5">
        <v>1.66</v>
      </c>
      <c r="J57" s="5">
        <v>-3.87</v>
      </c>
      <c r="K57" s="5">
        <v>1292</v>
      </c>
      <c r="L57" s="5">
        <v>-0.32</v>
      </c>
      <c r="M57" s="5">
        <v>-25.18</v>
      </c>
      <c r="N57" s="5"/>
      <c r="O57" s="5"/>
      <c r="P57" s="5"/>
      <c r="Q57" s="1">
        <f t="shared" si="0"/>
        <v>36130</v>
      </c>
      <c r="R57" t="str">
        <f t="shared" si="1"/>
        <v>1998-12-01</v>
      </c>
    </row>
    <row r="58" ht="21" spans="1:18">
      <c r="A58" s="4" t="s">
        <v>47</v>
      </c>
      <c r="B58" s="6">
        <v>1851</v>
      </c>
      <c r="C58" s="6">
        <v>-5.76</v>
      </c>
      <c r="D58" s="6">
        <v>-5.76</v>
      </c>
      <c r="E58" s="6">
        <v>1358</v>
      </c>
      <c r="F58" s="6">
        <v>-6.97</v>
      </c>
      <c r="G58" s="6">
        <v>-6.97</v>
      </c>
      <c r="H58" s="6">
        <v>492</v>
      </c>
      <c r="I58" s="6">
        <v>-2.27</v>
      </c>
      <c r="J58" s="6">
        <v>-2.27</v>
      </c>
      <c r="K58" s="6">
        <v>1197</v>
      </c>
      <c r="L58" s="6">
        <v>-7.36</v>
      </c>
      <c r="M58" s="6">
        <v>-7.36</v>
      </c>
      <c r="N58" s="6"/>
      <c r="O58" s="6"/>
      <c r="P58" s="6"/>
      <c r="Q58" s="1">
        <f t="shared" si="0"/>
        <v>36161</v>
      </c>
      <c r="R58" t="str">
        <f t="shared" si="1"/>
        <v>1999-01-01</v>
      </c>
    </row>
    <row r="59" ht="21" spans="1:18">
      <c r="A59" s="4" t="s">
        <v>48</v>
      </c>
      <c r="B59" s="5">
        <v>1820</v>
      </c>
      <c r="C59" s="5">
        <v>-1.68</v>
      </c>
      <c r="D59" s="5">
        <v>-7.34</v>
      </c>
      <c r="E59" s="5">
        <v>1323</v>
      </c>
      <c r="F59" s="5">
        <v>-2.62</v>
      </c>
      <c r="G59" s="5">
        <v>-9.4</v>
      </c>
      <c r="H59" s="5">
        <v>497</v>
      </c>
      <c r="I59" s="5">
        <v>0.92</v>
      </c>
      <c r="J59" s="5">
        <v>-1.38</v>
      </c>
      <c r="K59" s="5">
        <v>1138</v>
      </c>
      <c r="L59" s="5">
        <v>-4.91</v>
      </c>
      <c r="M59" s="5">
        <v>-11.91</v>
      </c>
      <c r="N59" s="5"/>
      <c r="O59" s="5"/>
      <c r="P59" s="5"/>
      <c r="Q59" s="1">
        <f t="shared" si="0"/>
        <v>36192</v>
      </c>
      <c r="R59" t="str">
        <f t="shared" si="1"/>
        <v>1999-02-01</v>
      </c>
    </row>
    <row r="60" ht="21" spans="1:18">
      <c r="A60" s="4" t="s">
        <v>49</v>
      </c>
      <c r="B60" s="6">
        <v>1598</v>
      </c>
      <c r="C60" s="6">
        <v>-12.18</v>
      </c>
      <c r="D60" s="6">
        <v>-18.63</v>
      </c>
      <c r="E60" s="6">
        <v>1121</v>
      </c>
      <c r="F60" s="6">
        <v>-15.29</v>
      </c>
      <c r="G60" s="6">
        <v>-23.25</v>
      </c>
      <c r="H60" s="6">
        <v>477</v>
      </c>
      <c r="I60" s="6">
        <v>-3.91</v>
      </c>
      <c r="J60" s="6">
        <v>-5.23</v>
      </c>
      <c r="K60" s="6">
        <v>985</v>
      </c>
      <c r="L60" s="6">
        <v>-13.44</v>
      </c>
      <c r="M60" s="6">
        <v>-23.75</v>
      </c>
      <c r="N60" s="6"/>
      <c r="O60" s="6"/>
      <c r="P60" s="6"/>
      <c r="Q60" s="1">
        <f t="shared" si="0"/>
        <v>36220</v>
      </c>
      <c r="R60" t="str">
        <f t="shared" si="1"/>
        <v>1999-03-01</v>
      </c>
    </row>
    <row r="61" ht="21" spans="1:18">
      <c r="A61" s="4" t="s">
        <v>50</v>
      </c>
      <c r="B61" s="5">
        <v>1603</v>
      </c>
      <c r="C61" s="5">
        <v>0.32</v>
      </c>
      <c r="D61" s="5">
        <v>-18.37</v>
      </c>
      <c r="E61" s="5">
        <v>1100</v>
      </c>
      <c r="F61" s="5">
        <v>-1.88</v>
      </c>
      <c r="G61" s="5">
        <v>-24.69</v>
      </c>
      <c r="H61" s="5">
        <v>503</v>
      </c>
      <c r="I61" s="5">
        <v>5.49</v>
      </c>
      <c r="J61" s="5">
        <v>-0.03</v>
      </c>
      <c r="K61" s="5">
        <v>987</v>
      </c>
      <c r="L61" s="5">
        <v>0.23</v>
      </c>
      <c r="M61" s="5">
        <v>-23.57</v>
      </c>
      <c r="N61" s="5"/>
      <c r="O61" s="5"/>
      <c r="P61" s="5"/>
      <c r="Q61" s="1">
        <f t="shared" si="0"/>
        <v>36251</v>
      </c>
      <c r="R61" t="str">
        <f t="shared" si="1"/>
        <v>1999-04-01</v>
      </c>
    </row>
    <row r="62" ht="21" spans="1:18">
      <c r="A62" s="4" t="s">
        <v>51</v>
      </c>
      <c r="B62" s="6">
        <v>1529</v>
      </c>
      <c r="C62" s="6">
        <v>-4.6</v>
      </c>
      <c r="D62" s="6">
        <v>-22.12</v>
      </c>
      <c r="E62" s="6">
        <v>1053</v>
      </c>
      <c r="F62" s="6">
        <v>-4.22</v>
      </c>
      <c r="G62" s="6">
        <v>-27.87</v>
      </c>
      <c r="H62" s="6">
        <v>476</v>
      </c>
      <c r="I62" s="6">
        <v>-5.43</v>
      </c>
      <c r="J62" s="6">
        <v>-5.46</v>
      </c>
      <c r="K62" s="6">
        <v>923</v>
      </c>
      <c r="L62" s="6">
        <v>-6.56</v>
      </c>
      <c r="M62" s="6">
        <v>-28.58</v>
      </c>
      <c r="N62" s="6"/>
      <c r="O62" s="6"/>
      <c r="P62" s="6"/>
      <c r="Q62" s="1">
        <f t="shared" si="0"/>
        <v>36281</v>
      </c>
      <c r="R62" t="str">
        <f t="shared" si="1"/>
        <v>1999-05-01</v>
      </c>
    </row>
    <row r="63" ht="21" spans="1:18">
      <c r="A63" s="4" t="s">
        <v>52</v>
      </c>
      <c r="B63" s="5">
        <v>1495</v>
      </c>
      <c r="C63" s="5">
        <v>-2.26</v>
      </c>
      <c r="D63" s="5">
        <v>-23.88</v>
      </c>
      <c r="E63" s="5">
        <v>1022</v>
      </c>
      <c r="F63" s="5">
        <v>-2.97</v>
      </c>
      <c r="G63" s="5">
        <v>-30.01</v>
      </c>
      <c r="H63" s="5">
        <v>473</v>
      </c>
      <c r="I63" s="5">
        <v>-0.7</v>
      </c>
      <c r="J63" s="5">
        <v>-6.13</v>
      </c>
      <c r="K63" s="5">
        <v>915</v>
      </c>
      <c r="L63" s="5">
        <v>-0.84</v>
      </c>
      <c r="M63" s="5">
        <v>-29.18</v>
      </c>
      <c r="N63" s="5"/>
      <c r="O63" s="5"/>
      <c r="P63" s="5"/>
      <c r="Q63" s="1">
        <f t="shared" si="0"/>
        <v>36312</v>
      </c>
      <c r="R63" t="str">
        <f t="shared" si="1"/>
        <v>1999-06-01</v>
      </c>
    </row>
    <row r="64" ht="21" spans="1:18">
      <c r="A64" s="4" t="s">
        <v>53</v>
      </c>
      <c r="B64" s="6">
        <v>1538</v>
      </c>
      <c r="C64" s="6">
        <v>2.87</v>
      </c>
      <c r="D64" s="6">
        <v>-21.7</v>
      </c>
      <c r="E64" s="6">
        <v>1091</v>
      </c>
      <c r="F64" s="6">
        <v>6.71</v>
      </c>
      <c r="G64" s="6">
        <v>-25.31</v>
      </c>
      <c r="H64" s="6">
        <v>447</v>
      </c>
      <c r="I64" s="6">
        <v>-5.42</v>
      </c>
      <c r="J64" s="6">
        <v>-11.22</v>
      </c>
      <c r="K64" s="6">
        <v>916</v>
      </c>
      <c r="L64" s="6">
        <v>6.65</v>
      </c>
      <c r="M64" s="6">
        <v>-24.47</v>
      </c>
      <c r="N64" s="6"/>
      <c r="O64" s="6"/>
      <c r="P64" s="6"/>
      <c r="Q64" s="1">
        <f t="shared" si="0"/>
        <v>36342</v>
      </c>
      <c r="R64" t="str">
        <f t="shared" si="1"/>
        <v>1999-07-01</v>
      </c>
    </row>
    <row r="65" ht="21" spans="1:18">
      <c r="A65" s="4" t="s">
        <v>54</v>
      </c>
      <c r="B65" s="5">
        <v>1625</v>
      </c>
      <c r="C65" s="5">
        <v>5.69</v>
      </c>
      <c r="D65" s="5">
        <v>-17.24</v>
      </c>
      <c r="E65" s="5">
        <v>1194</v>
      </c>
      <c r="F65" s="5">
        <v>9.5</v>
      </c>
      <c r="G65" s="5">
        <v>-18.22</v>
      </c>
      <c r="H65" s="5">
        <v>431</v>
      </c>
      <c r="I65" s="5">
        <v>-3.6</v>
      </c>
      <c r="J65" s="5">
        <v>-14.41</v>
      </c>
      <c r="K65" s="5">
        <v>1074</v>
      </c>
      <c r="L65" s="5">
        <v>10.1</v>
      </c>
      <c r="M65" s="5">
        <v>-16.84</v>
      </c>
      <c r="N65" s="5"/>
      <c r="O65" s="5"/>
      <c r="P65" s="5"/>
      <c r="Q65" s="1">
        <f t="shared" si="0"/>
        <v>36373</v>
      </c>
      <c r="R65" t="str">
        <f t="shared" si="1"/>
        <v>1999-08-01</v>
      </c>
    </row>
    <row r="66" ht="21" spans="1:18">
      <c r="A66" s="4" t="s">
        <v>55</v>
      </c>
      <c r="B66" s="6">
        <v>1641</v>
      </c>
      <c r="C66" s="6">
        <v>0.98</v>
      </c>
      <c r="D66" s="6">
        <v>-16.43</v>
      </c>
      <c r="E66" s="6">
        <v>1135</v>
      </c>
      <c r="F66" s="6">
        <v>-4.93</v>
      </c>
      <c r="G66" s="6">
        <v>-22.25</v>
      </c>
      <c r="H66" s="6">
        <v>506</v>
      </c>
      <c r="I66" s="6">
        <v>17.36</v>
      </c>
      <c r="J66" s="6">
        <v>0.44</v>
      </c>
      <c r="K66" s="6">
        <v>1114</v>
      </c>
      <c r="L66" s="6">
        <v>3.71</v>
      </c>
      <c r="M66" s="6">
        <v>-13.75</v>
      </c>
      <c r="N66" s="6"/>
      <c r="O66" s="6"/>
      <c r="P66" s="6"/>
      <c r="Q66" s="1">
        <f t="shared" si="0"/>
        <v>36404</v>
      </c>
      <c r="R66" t="str">
        <f t="shared" si="1"/>
        <v>1999-09-01</v>
      </c>
    </row>
    <row r="67" spans="1:18">
      <c r="A67" s="4">
        <v>10.99</v>
      </c>
      <c r="B67" s="5">
        <v>1784</v>
      </c>
      <c r="C67" s="5">
        <v>8.71</v>
      </c>
      <c r="D67" s="5">
        <v>-9.15</v>
      </c>
      <c r="E67" s="5">
        <v>1264</v>
      </c>
      <c r="F67" s="5">
        <v>11.32</v>
      </c>
      <c r="G67" s="5">
        <v>-13.45</v>
      </c>
      <c r="H67" s="5">
        <v>520</v>
      </c>
      <c r="I67" s="5">
        <v>2.86</v>
      </c>
      <c r="J67" s="5">
        <v>3.31</v>
      </c>
      <c r="K67" s="5">
        <v>1259</v>
      </c>
      <c r="L67" s="5">
        <v>12.97</v>
      </c>
      <c r="M67" s="5">
        <v>-2.57</v>
      </c>
      <c r="N67" s="5"/>
      <c r="O67" s="5"/>
      <c r="P67" s="5"/>
      <c r="Q67" s="1">
        <f t="shared" si="0"/>
        <v>36434</v>
      </c>
      <c r="R67" t="str">
        <f t="shared" si="1"/>
        <v>1999-10-01</v>
      </c>
    </row>
    <row r="68" spans="1:18">
      <c r="A68" s="4">
        <v>11.99</v>
      </c>
      <c r="B68" s="6">
        <v>1900</v>
      </c>
      <c r="C68" s="6">
        <v>6.5</v>
      </c>
      <c r="D68" s="6">
        <v>-3.24</v>
      </c>
      <c r="E68" s="6">
        <v>1380</v>
      </c>
      <c r="F68" s="6">
        <v>9.17</v>
      </c>
      <c r="G68" s="6">
        <v>-5.51</v>
      </c>
      <c r="H68" s="6">
        <v>520</v>
      </c>
      <c r="I68" s="6">
        <v>0.02</v>
      </c>
      <c r="J68" s="6">
        <v>3.33</v>
      </c>
      <c r="K68" s="6">
        <v>1393</v>
      </c>
      <c r="L68" s="6">
        <v>10.7</v>
      </c>
      <c r="M68" s="6">
        <v>7.85</v>
      </c>
      <c r="N68" s="6"/>
      <c r="O68" s="6"/>
      <c r="P68" s="6"/>
      <c r="Q68" s="1">
        <f t="shared" si="0"/>
        <v>36465</v>
      </c>
      <c r="R68" t="str">
        <f t="shared" si="1"/>
        <v>1999-11-01</v>
      </c>
    </row>
    <row r="69" spans="1:18">
      <c r="A69" s="4">
        <v>12.99</v>
      </c>
      <c r="B69" s="5">
        <v>2003</v>
      </c>
      <c r="C69" s="5">
        <v>5.43</v>
      </c>
      <c r="D69" s="5">
        <v>2.01</v>
      </c>
      <c r="E69" s="5">
        <v>1480</v>
      </c>
      <c r="F69" s="5">
        <v>7.3</v>
      </c>
      <c r="G69" s="5">
        <v>1.39</v>
      </c>
      <c r="H69" s="5">
        <v>523</v>
      </c>
      <c r="I69" s="5">
        <v>0.46</v>
      </c>
      <c r="J69" s="5">
        <v>3.81</v>
      </c>
      <c r="K69" s="5">
        <v>1521</v>
      </c>
      <c r="L69" s="5">
        <v>9.17</v>
      </c>
      <c r="M69" s="5">
        <v>17.74</v>
      </c>
      <c r="N69" s="5"/>
      <c r="O69" s="5"/>
      <c r="P69" s="5"/>
      <c r="Q69" s="1">
        <f t="shared" ref="Q69:Q132" si="2">IF(ISNUMBER(SEARCH(".",A69)),DATE(IF(VALUE(RIGHT(A69,2))&gt;=94,1900+VALUE(RIGHT(A69,2)),2000+VALUE(RIGHT(A69,2))),VALUE(LEFT(A69,2)),1),DATE(2000+VALUE(A69),10,1))</f>
        <v>36495</v>
      </c>
      <c r="R69" t="str">
        <f t="shared" ref="R69:R132" si="3">TEXT(Q69,"yyyy-mm-01")</f>
        <v>1999-12-01</v>
      </c>
    </row>
    <row r="70" ht="21" spans="1:18">
      <c r="A70" s="4" t="s">
        <v>56</v>
      </c>
      <c r="B70" s="6">
        <v>1937</v>
      </c>
      <c r="C70" s="6">
        <v>-3.29</v>
      </c>
      <c r="D70" s="6">
        <v>-3.29</v>
      </c>
      <c r="E70" s="6">
        <v>1428</v>
      </c>
      <c r="F70" s="6">
        <v>-3.53</v>
      </c>
      <c r="G70" s="6">
        <v>-3.53</v>
      </c>
      <c r="H70" s="6">
        <v>509</v>
      </c>
      <c r="I70" s="6">
        <v>-2.61</v>
      </c>
      <c r="J70" s="6">
        <v>-2.61</v>
      </c>
      <c r="K70" s="6">
        <v>1479</v>
      </c>
      <c r="L70" s="6">
        <v>-2.75</v>
      </c>
      <c r="M70" s="6">
        <v>-2.75</v>
      </c>
      <c r="N70" s="6"/>
      <c r="O70" s="6"/>
      <c r="P70" s="6"/>
      <c r="Q70" s="1">
        <f t="shared" si="2"/>
        <v>36526</v>
      </c>
      <c r="R70" t="str">
        <f t="shared" si="3"/>
        <v>2000-01-01</v>
      </c>
    </row>
    <row r="71" ht="21" spans="1:18">
      <c r="A71" s="4" t="s">
        <v>57</v>
      </c>
      <c r="B71" s="5">
        <v>1961</v>
      </c>
      <c r="C71" s="5">
        <v>1.24</v>
      </c>
      <c r="D71" s="5">
        <v>-2.09</v>
      </c>
      <c r="E71" s="5">
        <v>1435</v>
      </c>
      <c r="F71" s="5">
        <v>0.51</v>
      </c>
      <c r="G71" s="5">
        <v>-3.04</v>
      </c>
      <c r="H71" s="5">
        <v>526</v>
      </c>
      <c r="I71" s="5">
        <v>3.31</v>
      </c>
      <c r="J71" s="5">
        <v>0.61</v>
      </c>
      <c r="K71" s="5">
        <v>1513</v>
      </c>
      <c r="L71" s="5">
        <v>2.3</v>
      </c>
      <c r="M71" s="5">
        <v>-0.52</v>
      </c>
      <c r="N71" s="5"/>
      <c r="O71" s="5"/>
      <c r="P71" s="5"/>
      <c r="Q71" s="1">
        <f t="shared" si="2"/>
        <v>36557</v>
      </c>
      <c r="R71" t="str">
        <f t="shared" si="3"/>
        <v>2000-02-01</v>
      </c>
    </row>
    <row r="72" ht="21" spans="1:18">
      <c r="A72" s="4" t="s">
        <v>58</v>
      </c>
      <c r="B72" s="6">
        <v>1873</v>
      </c>
      <c r="C72" s="6">
        <v>-4.52</v>
      </c>
      <c r="D72" s="6">
        <v>-6.52</v>
      </c>
      <c r="E72" s="6">
        <v>1376</v>
      </c>
      <c r="F72" s="6">
        <v>-4.16</v>
      </c>
      <c r="G72" s="6">
        <v>-7.08</v>
      </c>
      <c r="H72" s="6">
        <v>497</v>
      </c>
      <c r="I72" s="6">
        <v>-5.5</v>
      </c>
      <c r="J72" s="6">
        <v>-4.92</v>
      </c>
      <c r="K72" s="6">
        <v>1449</v>
      </c>
      <c r="L72" s="6">
        <v>-4.24</v>
      </c>
      <c r="M72" s="6">
        <v>-4.73</v>
      </c>
      <c r="N72" s="6"/>
      <c r="O72" s="6"/>
      <c r="P72" s="6"/>
      <c r="Q72" s="1">
        <f t="shared" si="2"/>
        <v>36586</v>
      </c>
      <c r="R72" t="str">
        <f t="shared" si="3"/>
        <v>2000-03-01</v>
      </c>
    </row>
    <row r="73" ht="21" spans="1:18">
      <c r="A73" s="4" t="s">
        <v>59</v>
      </c>
      <c r="B73" s="5">
        <v>1981</v>
      </c>
      <c r="C73" s="5">
        <v>5.81</v>
      </c>
      <c r="D73" s="5">
        <v>-1.09</v>
      </c>
      <c r="E73" s="5">
        <v>1482</v>
      </c>
      <c r="F73" s="5">
        <v>7.76</v>
      </c>
      <c r="G73" s="5">
        <v>0.13</v>
      </c>
      <c r="H73" s="5">
        <v>499</v>
      </c>
      <c r="I73" s="5">
        <v>0.4</v>
      </c>
      <c r="J73" s="5">
        <v>-4.54</v>
      </c>
      <c r="K73" s="5">
        <v>1566</v>
      </c>
      <c r="L73" s="5">
        <v>8.04</v>
      </c>
      <c r="M73" s="5">
        <v>2.92</v>
      </c>
      <c r="N73" s="5"/>
      <c r="O73" s="5"/>
      <c r="P73" s="5"/>
      <c r="Q73" s="1">
        <f t="shared" si="2"/>
        <v>36617</v>
      </c>
      <c r="R73" t="str">
        <f t="shared" si="3"/>
        <v>2000-04-01</v>
      </c>
    </row>
    <row r="74" ht="21" spans="1:18">
      <c r="A74" s="4" t="s">
        <v>60</v>
      </c>
      <c r="B74" s="6">
        <v>1816</v>
      </c>
      <c r="C74" s="6">
        <v>-8.33</v>
      </c>
      <c r="D74" s="6">
        <v>-9.33</v>
      </c>
      <c r="E74" s="6">
        <v>1322</v>
      </c>
      <c r="F74" s="6">
        <v>-10.81</v>
      </c>
      <c r="G74" s="6">
        <v>-10.69</v>
      </c>
      <c r="H74" s="6">
        <v>494</v>
      </c>
      <c r="I74" s="6">
        <v>-0.96</v>
      </c>
      <c r="J74" s="6">
        <v>-5.45</v>
      </c>
      <c r="K74" s="6">
        <v>1802</v>
      </c>
      <c r="L74" s="6">
        <v>15.09</v>
      </c>
      <c r="M74" s="6">
        <v>18.46</v>
      </c>
      <c r="N74" s="6"/>
      <c r="O74" s="6"/>
      <c r="P74" s="6"/>
      <c r="Q74" s="1">
        <f t="shared" si="2"/>
        <v>36647</v>
      </c>
      <c r="R74" t="str">
        <f t="shared" si="3"/>
        <v>2000-05-01</v>
      </c>
    </row>
    <row r="75" ht="21" spans="1:18">
      <c r="A75" s="4" t="s">
        <v>61</v>
      </c>
      <c r="B75" s="5">
        <v>1911</v>
      </c>
      <c r="C75" s="5">
        <v>5.21</v>
      </c>
      <c r="D75" s="5">
        <v>-4.6</v>
      </c>
      <c r="E75" s="5">
        <v>1387</v>
      </c>
      <c r="F75" s="5">
        <v>4.9</v>
      </c>
      <c r="G75" s="5">
        <v>-6.32</v>
      </c>
      <c r="H75" s="5">
        <v>524</v>
      </c>
      <c r="I75" s="5">
        <v>6.05</v>
      </c>
      <c r="J75" s="5">
        <v>0.26</v>
      </c>
      <c r="K75" s="5">
        <v>1908</v>
      </c>
      <c r="L75" s="5">
        <v>5.88</v>
      </c>
      <c r="M75" s="5">
        <v>25.42</v>
      </c>
      <c r="N75" s="5"/>
      <c r="O75" s="5"/>
      <c r="P75" s="5"/>
      <c r="Q75" s="1">
        <f t="shared" si="2"/>
        <v>36678</v>
      </c>
      <c r="R75" t="str">
        <f t="shared" si="3"/>
        <v>2000-06-01</v>
      </c>
    </row>
    <row r="76" ht="21" spans="1:18">
      <c r="A76" s="4" t="s">
        <v>62</v>
      </c>
      <c r="B76" s="6">
        <v>2032</v>
      </c>
      <c r="C76" s="6">
        <v>6.33</v>
      </c>
      <c r="D76" s="6">
        <v>1.44</v>
      </c>
      <c r="E76" s="6">
        <v>1529</v>
      </c>
      <c r="F76" s="6">
        <v>10.25</v>
      </c>
      <c r="G76" s="6">
        <v>3.28</v>
      </c>
      <c r="H76" s="6">
        <v>503</v>
      </c>
      <c r="I76" s="6">
        <v>-4.02</v>
      </c>
      <c r="J76" s="6">
        <v>-3.76</v>
      </c>
      <c r="K76" s="6">
        <v>2029</v>
      </c>
      <c r="L76" s="6">
        <v>6.35</v>
      </c>
      <c r="M76" s="6">
        <v>33.38</v>
      </c>
      <c r="N76" s="6"/>
      <c r="O76" s="6"/>
      <c r="P76" s="6"/>
      <c r="Q76" s="1">
        <f t="shared" si="2"/>
        <v>36708</v>
      </c>
      <c r="R76" t="str">
        <f t="shared" si="3"/>
        <v>2000-07-01</v>
      </c>
    </row>
    <row r="77" ht="21" spans="1:18">
      <c r="A77" s="4" t="s">
        <v>63</v>
      </c>
      <c r="B77" s="5">
        <v>2106</v>
      </c>
      <c r="C77" s="5">
        <v>3.63</v>
      </c>
      <c r="D77" s="5">
        <v>5.13</v>
      </c>
      <c r="E77" s="5">
        <v>1603</v>
      </c>
      <c r="F77" s="5">
        <v>4.87</v>
      </c>
      <c r="G77" s="5">
        <v>8.31</v>
      </c>
      <c r="H77" s="5">
        <v>502</v>
      </c>
      <c r="I77" s="5">
        <v>-0.13</v>
      </c>
      <c r="J77" s="5">
        <v>-3.89</v>
      </c>
      <c r="K77" s="5">
        <v>2104</v>
      </c>
      <c r="L77" s="5">
        <v>3.7</v>
      </c>
      <c r="M77" s="5">
        <v>38.31</v>
      </c>
      <c r="N77" s="5"/>
      <c r="O77" s="5"/>
      <c r="P77" s="5"/>
      <c r="Q77" s="1">
        <f t="shared" si="2"/>
        <v>36739</v>
      </c>
      <c r="R77" t="str">
        <f t="shared" si="3"/>
        <v>2000-08-01</v>
      </c>
    </row>
    <row r="78" ht="21" spans="1:18">
      <c r="A78" s="4" t="s">
        <v>64</v>
      </c>
      <c r="B78" s="6">
        <v>2190</v>
      </c>
      <c r="C78" s="6">
        <v>3.98</v>
      </c>
      <c r="D78" s="6">
        <v>9.31</v>
      </c>
      <c r="E78" s="6">
        <v>1685</v>
      </c>
      <c r="F78" s="6">
        <v>5.11</v>
      </c>
      <c r="G78" s="6">
        <v>13.85</v>
      </c>
      <c r="H78" s="6">
        <v>504</v>
      </c>
      <c r="I78" s="6">
        <v>0.38</v>
      </c>
      <c r="J78" s="6">
        <v>-3.53</v>
      </c>
      <c r="K78" s="6">
        <v>2188</v>
      </c>
      <c r="L78" s="6">
        <v>3.99</v>
      </c>
      <c r="M78" s="6">
        <v>43.83</v>
      </c>
      <c r="N78" s="6"/>
      <c r="O78" s="6"/>
      <c r="P78" s="6"/>
      <c r="Q78" s="1">
        <f t="shared" si="2"/>
        <v>36770</v>
      </c>
      <c r="R78" t="str">
        <f t="shared" si="3"/>
        <v>2000-09-01</v>
      </c>
    </row>
    <row r="79" spans="1:18">
      <c r="A79" s="4">
        <v>10</v>
      </c>
      <c r="B79" s="5">
        <v>2297</v>
      </c>
      <c r="C79" s="5">
        <v>4.9</v>
      </c>
      <c r="D79" s="5">
        <v>14.67</v>
      </c>
      <c r="E79" s="5">
        <v>1814</v>
      </c>
      <c r="F79" s="5">
        <v>7.65</v>
      </c>
      <c r="G79" s="5">
        <v>22.55</v>
      </c>
      <c r="H79" s="5">
        <v>483</v>
      </c>
      <c r="I79" s="5">
        <v>-4.28</v>
      </c>
      <c r="J79" s="5">
        <v>-7.65</v>
      </c>
      <c r="K79" s="5">
        <v>2295</v>
      </c>
      <c r="L79" s="5">
        <v>4.9</v>
      </c>
      <c r="M79" s="5">
        <v>50.88</v>
      </c>
      <c r="N79" s="5"/>
      <c r="O79" s="5"/>
      <c r="P79" s="5"/>
      <c r="Q79" s="1">
        <v>36800</v>
      </c>
      <c r="R79" t="str">
        <f t="shared" si="3"/>
        <v>2000-10-01</v>
      </c>
    </row>
    <row r="80" spans="1:18">
      <c r="A80" s="4">
        <v>11</v>
      </c>
      <c r="B80" s="6">
        <v>2229</v>
      </c>
      <c r="C80" s="6">
        <v>-2.98</v>
      </c>
      <c r="D80" s="6">
        <v>11.25</v>
      </c>
      <c r="E80" s="6">
        <v>1738</v>
      </c>
      <c r="F80" s="6">
        <v>-4.18</v>
      </c>
      <c r="G80" s="6">
        <v>17.43</v>
      </c>
      <c r="H80" s="6">
        <v>490</v>
      </c>
      <c r="I80" s="6">
        <v>1.52</v>
      </c>
      <c r="J80" s="6">
        <v>-6.25</v>
      </c>
      <c r="K80" s="6">
        <v>2227</v>
      </c>
      <c r="L80" s="6">
        <v>-2.99</v>
      </c>
      <c r="M80" s="6">
        <v>46.37</v>
      </c>
      <c r="N80" s="6"/>
      <c r="O80" s="6"/>
      <c r="P80" s="6"/>
      <c r="Q80" s="1">
        <v>36831</v>
      </c>
      <c r="R80" t="str">
        <f t="shared" si="3"/>
        <v>2000-11-01</v>
      </c>
    </row>
    <row r="81" spans="1:18">
      <c r="A81" s="4">
        <v>12</v>
      </c>
      <c r="B81" s="5">
        <v>2096</v>
      </c>
      <c r="C81" s="5">
        <v>-5.95</v>
      </c>
      <c r="D81" s="5">
        <v>4.63</v>
      </c>
      <c r="E81" s="5">
        <v>1595</v>
      </c>
      <c r="F81" s="5">
        <v>-8.28</v>
      </c>
      <c r="G81" s="5">
        <v>7.7</v>
      </c>
      <c r="H81" s="5">
        <v>502</v>
      </c>
      <c r="I81" s="5">
        <v>2.33</v>
      </c>
      <c r="J81" s="5">
        <v>-4.06</v>
      </c>
      <c r="K81" s="5">
        <v>2094</v>
      </c>
      <c r="L81" s="5">
        <v>-5.95</v>
      </c>
      <c r="M81" s="5">
        <v>37.66</v>
      </c>
      <c r="N81" s="5"/>
      <c r="O81" s="5"/>
      <c r="P81" s="5"/>
      <c r="Q81" s="1">
        <v>36861</v>
      </c>
      <c r="R81" t="str">
        <f t="shared" si="3"/>
        <v>2000-12-01</v>
      </c>
    </row>
    <row r="82" ht="21" spans="1:18">
      <c r="A82" s="4" t="s">
        <v>65</v>
      </c>
      <c r="B82" s="6">
        <v>2318</v>
      </c>
      <c r="C82" s="6">
        <v>10.57</v>
      </c>
      <c r="D82" s="6">
        <v>10.57</v>
      </c>
      <c r="E82" s="6">
        <v>1827</v>
      </c>
      <c r="F82" s="6">
        <v>14.55</v>
      </c>
      <c r="G82" s="6">
        <v>14.55</v>
      </c>
      <c r="H82" s="6">
        <v>491</v>
      </c>
      <c r="I82" s="6">
        <v>-2.08</v>
      </c>
      <c r="J82" s="6">
        <v>-2.08</v>
      </c>
      <c r="K82" s="6">
        <v>2315</v>
      </c>
      <c r="L82" s="6">
        <v>10.56</v>
      </c>
      <c r="M82" s="6">
        <v>10.56</v>
      </c>
      <c r="N82" s="6">
        <v>660</v>
      </c>
      <c r="O82" s="6"/>
      <c r="P82" s="6"/>
      <c r="Q82" s="1">
        <f t="shared" si="2"/>
        <v>36892</v>
      </c>
      <c r="R82" t="str">
        <f t="shared" si="3"/>
        <v>2001-01-01</v>
      </c>
    </row>
    <row r="83" ht="21" spans="1:18">
      <c r="A83" s="4" t="s">
        <v>66</v>
      </c>
      <c r="B83" s="5">
        <v>2417</v>
      </c>
      <c r="C83" s="5">
        <v>4.28</v>
      </c>
      <c r="D83" s="5">
        <v>15.3</v>
      </c>
      <c r="E83" s="5">
        <v>1929</v>
      </c>
      <c r="F83" s="5">
        <v>5.62</v>
      </c>
      <c r="G83" s="5">
        <v>20.99</v>
      </c>
      <c r="H83" s="5">
        <v>488</v>
      </c>
      <c r="I83" s="5">
        <v>-0.7</v>
      </c>
      <c r="J83" s="5">
        <v>-2.77</v>
      </c>
      <c r="K83" s="5">
        <v>2414</v>
      </c>
      <c r="L83" s="5">
        <v>4.28</v>
      </c>
      <c r="M83" s="5">
        <v>15.3</v>
      </c>
      <c r="N83" s="5">
        <v>660</v>
      </c>
      <c r="O83" s="5"/>
      <c r="P83" s="5"/>
      <c r="Q83" s="1">
        <f t="shared" si="2"/>
        <v>36923</v>
      </c>
      <c r="R83" t="str">
        <f t="shared" si="3"/>
        <v>2001-02-01</v>
      </c>
    </row>
    <row r="84" ht="21" spans="1:18">
      <c r="A84" s="4" t="s">
        <v>67</v>
      </c>
      <c r="B84" s="6">
        <v>2454</v>
      </c>
      <c r="C84" s="6">
        <v>1.55</v>
      </c>
      <c r="D84" s="6">
        <v>17.09</v>
      </c>
      <c r="E84" s="6">
        <v>1978</v>
      </c>
      <c r="F84" s="6">
        <v>2.55</v>
      </c>
      <c r="G84" s="6">
        <v>24.07</v>
      </c>
      <c r="H84" s="6">
        <v>476</v>
      </c>
      <c r="I84" s="6">
        <v>-2.39</v>
      </c>
      <c r="J84" s="6">
        <v>-5.09</v>
      </c>
      <c r="K84" s="6">
        <v>2452</v>
      </c>
      <c r="L84" s="6">
        <v>1.56</v>
      </c>
      <c r="M84" s="6">
        <v>17.09</v>
      </c>
      <c r="N84" s="6">
        <v>660</v>
      </c>
      <c r="O84" s="6"/>
      <c r="P84" s="6"/>
      <c r="Q84" s="1">
        <f t="shared" si="2"/>
        <v>36951</v>
      </c>
      <c r="R84" t="str">
        <f t="shared" si="3"/>
        <v>2001-03-01</v>
      </c>
    </row>
    <row r="85" ht="21" spans="1:18">
      <c r="A85" s="4" t="s">
        <v>68</v>
      </c>
      <c r="B85" s="5">
        <v>2607</v>
      </c>
      <c r="C85" s="5">
        <v>6.22</v>
      </c>
      <c r="D85" s="5">
        <v>24.38</v>
      </c>
      <c r="E85" s="5">
        <v>2121</v>
      </c>
      <c r="F85" s="5">
        <v>7.2</v>
      </c>
      <c r="G85" s="5">
        <v>33</v>
      </c>
      <c r="H85" s="5">
        <v>486</v>
      </c>
      <c r="I85" s="5">
        <v>2.17</v>
      </c>
      <c r="J85" s="5">
        <v>-3.03</v>
      </c>
      <c r="K85" s="5">
        <v>2605</v>
      </c>
      <c r="L85" s="5">
        <v>6.24</v>
      </c>
      <c r="M85" s="5">
        <v>24.4</v>
      </c>
      <c r="N85" s="5">
        <v>669</v>
      </c>
      <c r="O85" s="5">
        <v>1.38</v>
      </c>
      <c r="P85" s="5"/>
      <c r="Q85" s="1">
        <f t="shared" si="2"/>
        <v>36982</v>
      </c>
      <c r="R85" t="str">
        <f t="shared" si="3"/>
        <v>2001-04-01</v>
      </c>
    </row>
    <row r="86" ht="21" spans="1:18">
      <c r="A86" s="4" t="s">
        <v>69</v>
      </c>
      <c r="B86" s="6">
        <v>2395</v>
      </c>
      <c r="C86" s="6">
        <v>-8.14</v>
      </c>
      <c r="D86" s="6">
        <v>14.25</v>
      </c>
      <c r="E86" s="6">
        <v>1905</v>
      </c>
      <c r="F86" s="6">
        <v>-10.18</v>
      </c>
      <c r="G86" s="6">
        <v>19.46</v>
      </c>
      <c r="H86" s="6">
        <v>490</v>
      </c>
      <c r="I86" s="6">
        <v>0.76</v>
      </c>
      <c r="J86" s="6">
        <v>-2.3</v>
      </c>
      <c r="K86" s="6">
        <v>2393</v>
      </c>
      <c r="L86" s="6">
        <v>-8.15</v>
      </c>
      <c r="M86" s="6">
        <v>14.26</v>
      </c>
      <c r="N86" s="6">
        <v>898</v>
      </c>
      <c r="O86" s="6">
        <v>34.28</v>
      </c>
      <c r="P86" s="6"/>
      <c r="Q86" s="1">
        <f t="shared" si="2"/>
        <v>37012</v>
      </c>
      <c r="R86" t="str">
        <f t="shared" si="3"/>
        <v>2001-05-01</v>
      </c>
    </row>
    <row r="87" ht="21" spans="1:18">
      <c r="A87" s="4" t="s">
        <v>70</v>
      </c>
      <c r="B87" s="5">
        <v>2298</v>
      </c>
      <c r="C87" s="5">
        <v>-4.03</v>
      </c>
      <c r="D87" s="5">
        <v>9.64</v>
      </c>
      <c r="E87" s="5">
        <v>1801</v>
      </c>
      <c r="F87" s="5">
        <v>-5.47</v>
      </c>
      <c r="G87" s="5">
        <v>12.93</v>
      </c>
      <c r="H87" s="5">
        <v>498</v>
      </c>
      <c r="I87" s="5">
        <v>1.54</v>
      </c>
      <c r="J87" s="5">
        <v>-0.79</v>
      </c>
      <c r="K87" s="5">
        <v>2296</v>
      </c>
      <c r="L87" s="5">
        <v>-4.04</v>
      </c>
      <c r="M87" s="5">
        <v>9.64</v>
      </c>
      <c r="N87" s="5">
        <v>957</v>
      </c>
      <c r="O87" s="5">
        <v>6.47</v>
      </c>
      <c r="P87" s="5"/>
      <c r="Q87" s="1">
        <f t="shared" si="2"/>
        <v>37043</v>
      </c>
      <c r="R87" t="str">
        <f t="shared" si="3"/>
        <v>2001-06-01</v>
      </c>
    </row>
    <row r="88" ht="21" spans="1:18">
      <c r="A88" s="4" t="s">
        <v>71</v>
      </c>
      <c r="B88" s="6">
        <v>2377</v>
      </c>
      <c r="C88" s="6">
        <v>3.43</v>
      </c>
      <c r="D88" s="6">
        <v>13.41</v>
      </c>
      <c r="E88" s="6">
        <v>1887</v>
      </c>
      <c r="F88" s="6">
        <v>4.81</v>
      </c>
      <c r="G88" s="6">
        <v>18.35</v>
      </c>
      <c r="H88" s="6">
        <v>490</v>
      </c>
      <c r="I88" s="6">
        <v>-1.54</v>
      </c>
      <c r="J88" s="6">
        <v>-2.32</v>
      </c>
      <c r="K88" s="6">
        <v>2375</v>
      </c>
      <c r="L88" s="6">
        <v>3.44</v>
      </c>
      <c r="M88" s="6">
        <v>13.41</v>
      </c>
      <c r="N88" s="6">
        <v>1022</v>
      </c>
      <c r="O88" s="6">
        <v>6.87</v>
      </c>
      <c r="P88" s="6"/>
      <c r="Q88" s="1">
        <f t="shared" si="2"/>
        <v>37073</v>
      </c>
      <c r="R88" t="str">
        <f t="shared" si="3"/>
        <v>2001-07-01</v>
      </c>
    </row>
    <row r="89" ht="21" spans="1:18">
      <c r="A89" s="4" t="s">
        <v>72</v>
      </c>
      <c r="B89" s="5">
        <v>2435</v>
      </c>
      <c r="C89" s="5">
        <v>2.46</v>
      </c>
      <c r="D89" s="5">
        <v>16.19</v>
      </c>
      <c r="E89" s="5">
        <v>1931</v>
      </c>
      <c r="F89" s="5">
        <v>2.31</v>
      </c>
      <c r="G89" s="5">
        <v>21.09</v>
      </c>
      <c r="H89" s="5">
        <v>505</v>
      </c>
      <c r="I89" s="5">
        <v>3.02</v>
      </c>
      <c r="J89" s="5">
        <v>0.63</v>
      </c>
      <c r="K89" s="5">
        <v>2433</v>
      </c>
      <c r="L89" s="5">
        <v>2.46</v>
      </c>
      <c r="M89" s="5">
        <v>16.2</v>
      </c>
      <c r="N89" s="5">
        <v>1115</v>
      </c>
      <c r="O89" s="5">
        <v>9.03</v>
      </c>
      <c r="P89" s="5"/>
      <c r="Q89" s="1">
        <f t="shared" si="2"/>
        <v>37104</v>
      </c>
      <c r="R89" t="str">
        <f t="shared" si="3"/>
        <v>2001-08-01</v>
      </c>
    </row>
    <row r="90" ht="21" spans="1:18">
      <c r="A90" s="4" t="s">
        <v>73</v>
      </c>
      <c r="B90" s="6">
        <v>2458</v>
      </c>
      <c r="C90" s="6">
        <v>0.9</v>
      </c>
      <c r="D90" s="6">
        <v>17.24</v>
      </c>
      <c r="E90" s="6">
        <v>1921</v>
      </c>
      <c r="F90" s="6">
        <v>-0.52</v>
      </c>
      <c r="G90" s="6">
        <v>20.46</v>
      </c>
      <c r="H90" s="6">
        <v>537</v>
      </c>
      <c r="I90" s="6">
        <v>6.37</v>
      </c>
      <c r="J90" s="6">
        <v>7.04</v>
      </c>
      <c r="K90" s="6">
        <v>2455</v>
      </c>
      <c r="L90" s="6">
        <v>0.9</v>
      </c>
      <c r="M90" s="6">
        <v>17.25</v>
      </c>
      <c r="N90" s="6">
        <v>1182</v>
      </c>
      <c r="O90" s="6">
        <v>6.06</v>
      </c>
      <c r="P90" s="6"/>
      <c r="Q90" s="1">
        <f t="shared" si="2"/>
        <v>37135</v>
      </c>
      <c r="R90" t="str">
        <f t="shared" si="3"/>
        <v>2001-09-01</v>
      </c>
    </row>
    <row r="91" spans="1:18">
      <c r="A91" s="4">
        <v>10.01</v>
      </c>
      <c r="B91" s="5">
        <v>2604</v>
      </c>
      <c r="C91" s="5">
        <v>5.97</v>
      </c>
      <c r="D91" s="5">
        <v>24.25</v>
      </c>
      <c r="E91" s="5">
        <v>2088</v>
      </c>
      <c r="F91" s="5">
        <v>8.7</v>
      </c>
      <c r="G91" s="5">
        <v>30.93</v>
      </c>
      <c r="H91" s="5">
        <v>517</v>
      </c>
      <c r="I91" s="5">
        <v>-3.77</v>
      </c>
      <c r="J91" s="5">
        <v>3</v>
      </c>
      <c r="K91" s="5">
        <v>2602</v>
      </c>
      <c r="L91" s="5">
        <v>5.98</v>
      </c>
      <c r="M91" s="5">
        <v>24.26</v>
      </c>
      <c r="N91" s="5">
        <v>1200</v>
      </c>
      <c r="O91" s="5">
        <v>1.48</v>
      </c>
      <c r="P91" s="5"/>
      <c r="Q91" s="1">
        <f t="shared" si="2"/>
        <v>37165</v>
      </c>
      <c r="R91" t="str">
        <f t="shared" si="3"/>
        <v>2001-10-01</v>
      </c>
    </row>
    <row r="92" spans="1:18">
      <c r="A92" s="4">
        <v>11.01</v>
      </c>
      <c r="B92" s="6">
        <v>2575</v>
      </c>
      <c r="C92" s="6">
        <v>-1.11</v>
      </c>
      <c r="D92" s="6">
        <v>22.87</v>
      </c>
      <c r="E92" s="6">
        <v>2070</v>
      </c>
      <c r="F92" s="6">
        <v>-0.83</v>
      </c>
      <c r="G92" s="6">
        <v>29.84</v>
      </c>
      <c r="H92" s="6">
        <v>505</v>
      </c>
      <c r="I92" s="6">
        <v>-2.21</v>
      </c>
      <c r="J92" s="6">
        <v>0.72</v>
      </c>
      <c r="K92" s="6">
        <v>2573</v>
      </c>
      <c r="L92" s="6">
        <v>-1.11</v>
      </c>
      <c r="M92" s="6">
        <v>22.87</v>
      </c>
      <c r="N92" s="6">
        <v>1260</v>
      </c>
      <c r="O92" s="6">
        <v>5</v>
      </c>
      <c r="P92" s="6"/>
      <c r="Q92" s="1">
        <f t="shared" si="2"/>
        <v>37196</v>
      </c>
      <c r="R92" t="str">
        <f t="shared" si="3"/>
        <v>2001-11-01</v>
      </c>
    </row>
    <row r="93" spans="1:18">
      <c r="A93" s="4">
        <v>12.01</v>
      </c>
      <c r="B93" s="5">
        <v>2508</v>
      </c>
      <c r="C93" s="5">
        <v>-2.61</v>
      </c>
      <c r="D93" s="5">
        <v>19.67</v>
      </c>
      <c r="E93" s="5">
        <v>1998</v>
      </c>
      <c r="F93" s="5">
        <v>-3.52</v>
      </c>
      <c r="G93" s="5">
        <v>25.28</v>
      </c>
      <c r="H93" s="5">
        <v>511</v>
      </c>
      <c r="I93" s="5">
        <v>1.1</v>
      </c>
      <c r="J93" s="5">
        <v>1.83</v>
      </c>
      <c r="K93" s="5">
        <v>2506</v>
      </c>
      <c r="L93" s="5">
        <v>-2.61</v>
      </c>
      <c r="M93" s="5">
        <v>19.67</v>
      </c>
      <c r="N93" s="5">
        <v>1240</v>
      </c>
      <c r="O93" s="5">
        <v>-1.54</v>
      </c>
      <c r="P93" s="5"/>
      <c r="Q93" s="1">
        <f t="shared" si="2"/>
        <v>37226</v>
      </c>
      <c r="R93" t="str">
        <f t="shared" si="3"/>
        <v>2001-12-01</v>
      </c>
    </row>
    <row r="94" ht="21" spans="1:18">
      <c r="A94" s="4" t="s">
        <v>74</v>
      </c>
      <c r="B94" s="6">
        <v>2564</v>
      </c>
      <c r="C94" s="6">
        <v>2.23</v>
      </c>
      <c r="D94" s="6">
        <v>2.23</v>
      </c>
      <c r="E94" s="6">
        <v>2045</v>
      </c>
      <c r="F94" s="6">
        <v>2.37</v>
      </c>
      <c r="G94" s="6">
        <v>2.37</v>
      </c>
      <c r="H94" s="6">
        <v>519</v>
      </c>
      <c r="I94" s="6">
        <v>1.69</v>
      </c>
      <c r="J94" s="6">
        <v>1.69</v>
      </c>
      <c r="K94" s="6">
        <v>2562</v>
      </c>
      <c r="L94" s="6">
        <v>2.23</v>
      </c>
      <c r="M94" s="6">
        <v>2.23</v>
      </c>
      <c r="N94" s="6">
        <v>1258</v>
      </c>
      <c r="O94" s="6">
        <v>1.43</v>
      </c>
      <c r="P94" s="6">
        <v>1.43</v>
      </c>
      <c r="Q94" s="1">
        <f t="shared" si="2"/>
        <v>37257</v>
      </c>
      <c r="R94" t="str">
        <f t="shared" si="3"/>
        <v>2002-01-01</v>
      </c>
    </row>
    <row r="95" ht="21" spans="1:18">
      <c r="A95" s="4" t="s">
        <v>75</v>
      </c>
      <c r="B95" s="5">
        <v>2579</v>
      </c>
      <c r="C95" s="5">
        <v>0.59</v>
      </c>
      <c r="D95" s="5">
        <v>2.83</v>
      </c>
      <c r="E95" s="5">
        <v>2057</v>
      </c>
      <c r="F95" s="5">
        <v>0.6</v>
      </c>
      <c r="G95" s="5">
        <v>2.98</v>
      </c>
      <c r="H95" s="5">
        <v>522</v>
      </c>
      <c r="I95" s="5">
        <v>0.52</v>
      </c>
      <c r="J95" s="5">
        <v>2.23</v>
      </c>
      <c r="K95" s="5">
        <v>2577</v>
      </c>
      <c r="L95" s="5">
        <v>0.58</v>
      </c>
      <c r="M95" s="5">
        <v>2.83</v>
      </c>
      <c r="N95" s="5">
        <v>1285</v>
      </c>
      <c r="O95" s="5">
        <v>2.15</v>
      </c>
      <c r="P95" s="5">
        <v>3.62</v>
      </c>
      <c r="Q95" s="1">
        <f t="shared" si="2"/>
        <v>37288</v>
      </c>
      <c r="R95" t="str">
        <f t="shared" si="3"/>
        <v>2002-02-01</v>
      </c>
    </row>
    <row r="96" ht="21" spans="1:18">
      <c r="A96" s="4" t="s">
        <v>76</v>
      </c>
      <c r="B96" s="6">
        <v>2628</v>
      </c>
      <c r="C96" s="6">
        <v>1.88</v>
      </c>
      <c r="D96" s="6">
        <v>4.77</v>
      </c>
      <c r="E96" s="6">
        <v>2094</v>
      </c>
      <c r="F96" s="6">
        <v>1.8</v>
      </c>
      <c r="G96" s="6">
        <v>4.84</v>
      </c>
      <c r="H96" s="6">
        <v>534</v>
      </c>
      <c r="I96" s="6">
        <v>2.21</v>
      </c>
      <c r="J96" s="6">
        <v>4.48</v>
      </c>
      <c r="K96" s="6">
        <v>2625</v>
      </c>
      <c r="L96" s="6">
        <v>1.88</v>
      </c>
      <c r="M96" s="6">
        <v>4.76</v>
      </c>
      <c r="N96" s="6">
        <v>1306</v>
      </c>
      <c r="O96" s="6">
        <v>1.64</v>
      </c>
      <c r="P96" s="6">
        <v>5.32</v>
      </c>
      <c r="Q96" s="1">
        <f t="shared" si="2"/>
        <v>37316</v>
      </c>
      <c r="R96" t="str">
        <f t="shared" si="3"/>
        <v>2002-03-01</v>
      </c>
    </row>
    <row r="97" ht="21" spans="1:18">
      <c r="A97" s="4" t="s">
        <v>77</v>
      </c>
      <c r="B97" s="5">
        <v>2686</v>
      </c>
      <c r="C97" s="5">
        <v>2.23</v>
      </c>
      <c r="D97" s="5">
        <v>7.11</v>
      </c>
      <c r="E97" s="5">
        <v>2146</v>
      </c>
      <c r="F97" s="5">
        <v>2.45</v>
      </c>
      <c r="G97" s="5">
        <v>7.41</v>
      </c>
      <c r="H97" s="5">
        <v>541</v>
      </c>
      <c r="I97" s="5">
        <v>1.37</v>
      </c>
      <c r="J97" s="5">
        <v>5.91</v>
      </c>
      <c r="K97" s="5">
        <v>2684</v>
      </c>
      <c r="L97" s="5">
        <v>2.24</v>
      </c>
      <c r="M97" s="5">
        <v>7.12</v>
      </c>
      <c r="N97" s="5">
        <v>1607</v>
      </c>
      <c r="O97" s="5">
        <v>23</v>
      </c>
      <c r="P97" s="5">
        <v>29.54</v>
      </c>
      <c r="Q97" s="1">
        <f t="shared" si="2"/>
        <v>37347</v>
      </c>
      <c r="R97" t="str">
        <f t="shared" si="3"/>
        <v>2002-04-01</v>
      </c>
    </row>
    <row r="98" ht="21" spans="1:18">
      <c r="A98" s="4" t="s">
        <v>78</v>
      </c>
      <c r="B98" s="6">
        <v>2792</v>
      </c>
      <c r="C98" s="6">
        <v>3.95</v>
      </c>
      <c r="D98" s="6">
        <v>11.33</v>
      </c>
      <c r="E98" s="6">
        <v>2223</v>
      </c>
      <c r="F98" s="6">
        <v>3.59</v>
      </c>
      <c r="G98" s="6">
        <v>11.27</v>
      </c>
      <c r="H98" s="6">
        <v>570</v>
      </c>
      <c r="I98" s="6">
        <v>5.36</v>
      </c>
      <c r="J98" s="6">
        <v>11.59</v>
      </c>
      <c r="K98" s="6">
        <v>2790</v>
      </c>
      <c r="L98" s="6">
        <v>3.95</v>
      </c>
      <c r="M98" s="6">
        <v>11.34</v>
      </c>
      <c r="N98" s="6">
        <v>1646</v>
      </c>
      <c r="O98" s="6">
        <v>2.43</v>
      </c>
      <c r="P98" s="6">
        <v>32.69</v>
      </c>
      <c r="Q98" s="1">
        <f t="shared" si="2"/>
        <v>37377</v>
      </c>
      <c r="R98" t="str">
        <f t="shared" si="3"/>
        <v>2002-05-01</v>
      </c>
    </row>
    <row r="99" ht="21" spans="1:18">
      <c r="A99" s="4" t="s">
        <v>79</v>
      </c>
      <c r="B99" s="5">
        <v>2836</v>
      </c>
      <c r="C99" s="5">
        <v>1.57</v>
      </c>
      <c r="D99" s="5">
        <v>13.08</v>
      </c>
      <c r="E99" s="5">
        <v>2281</v>
      </c>
      <c r="F99" s="5">
        <v>2.61</v>
      </c>
      <c r="G99" s="5">
        <v>14.18</v>
      </c>
      <c r="H99" s="5">
        <v>556</v>
      </c>
      <c r="I99" s="5">
        <v>-2.49</v>
      </c>
      <c r="J99" s="5">
        <v>8.81</v>
      </c>
      <c r="K99" s="5">
        <v>2834</v>
      </c>
      <c r="L99" s="5">
        <v>1.57</v>
      </c>
      <c r="M99" s="5">
        <v>13.09</v>
      </c>
      <c r="N99" s="5">
        <v>1656</v>
      </c>
      <c r="O99" s="5">
        <v>0.59</v>
      </c>
      <c r="P99" s="5">
        <v>33.47</v>
      </c>
      <c r="Q99" s="1">
        <f t="shared" si="2"/>
        <v>37408</v>
      </c>
      <c r="R99" t="str">
        <f t="shared" si="3"/>
        <v>2002-06-01</v>
      </c>
    </row>
    <row r="100" ht="21" spans="1:18">
      <c r="A100" s="4" t="s">
        <v>80</v>
      </c>
      <c r="B100" s="6">
        <v>2881</v>
      </c>
      <c r="C100" s="6">
        <v>1.59</v>
      </c>
      <c r="D100" s="6">
        <v>14.88</v>
      </c>
      <c r="E100" s="6">
        <v>2343</v>
      </c>
      <c r="F100" s="6">
        <v>2.74</v>
      </c>
      <c r="G100" s="6">
        <v>17.31</v>
      </c>
      <c r="H100" s="6">
        <v>538</v>
      </c>
      <c r="I100" s="6">
        <v>-3.14</v>
      </c>
      <c r="J100" s="6">
        <v>5.39</v>
      </c>
      <c r="K100" s="6">
        <v>2879</v>
      </c>
      <c r="L100" s="6">
        <v>1.59</v>
      </c>
      <c r="M100" s="6">
        <v>14.89</v>
      </c>
      <c r="N100" s="6">
        <v>1654</v>
      </c>
      <c r="O100" s="6">
        <v>-0.09</v>
      </c>
      <c r="P100" s="6">
        <v>33.35</v>
      </c>
      <c r="Q100" s="1">
        <f t="shared" si="2"/>
        <v>37438</v>
      </c>
      <c r="R100" t="str">
        <f t="shared" si="3"/>
        <v>2002-07-01</v>
      </c>
    </row>
    <row r="101" ht="21" spans="1:18">
      <c r="A101" s="4" t="s">
        <v>81</v>
      </c>
      <c r="B101" s="5">
        <v>3054</v>
      </c>
      <c r="C101" s="5">
        <v>6</v>
      </c>
      <c r="D101" s="5">
        <v>21.77</v>
      </c>
      <c r="E101" s="5">
        <v>2507</v>
      </c>
      <c r="F101" s="5">
        <v>6.98</v>
      </c>
      <c r="G101" s="5">
        <v>25.49</v>
      </c>
      <c r="H101" s="5">
        <v>547</v>
      </c>
      <c r="I101" s="5">
        <v>1.71</v>
      </c>
      <c r="J101" s="5">
        <v>7.19</v>
      </c>
      <c r="K101" s="5">
        <v>3052</v>
      </c>
      <c r="L101" s="5">
        <v>6.01</v>
      </c>
      <c r="M101" s="5">
        <v>21.79</v>
      </c>
      <c r="N101" s="5">
        <v>1660</v>
      </c>
      <c r="O101" s="5">
        <v>0.38</v>
      </c>
      <c r="P101" s="5">
        <v>33.85</v>
      </c>
      <c r="Q101" s="1">
        <f t="shared" si="2"/>
        <v>37469</v>
      </c>
      <c r="R101" t="str">
        <f t="shared" si="3"/>
        <v>2002-08-01</v>
      </c>
    </row>
    <row r="102" ht="21" spans="1:18">
      <c r="A102" s="4" t="s">
        <v>82</v>
      </c>
      <c r="B102" s="6">
        <v>3133</v>
      </c>
      <c r="C102" s="6">
        <v>2.58</v>
      </c>
      <c r="D102" s="6">
        <v>24.91</v>
      </c>
      <c r="E102" s="6">
        <v>2571</v>
      </c>
      <c r="F102" s="6">
        <v>2.57</v>
      </c>
      <c r="G102" s="6">
        <v>28.72</v>
      </c>
      <c r="H102" s="6">
        <v>562</v>
      </c>
      <c r="I102" s="6">
        <v>2.61</v>
      </c>
      <c r="J102" s="6">
        <v>10</v>
      </c>
      <c r="K102" s="6">
        <v>3131</v>
      </c>
      <c r="L102" s="6">
        <v>2.57</v>
      </c>
      <c r="M102" s="6">
        <v>24.92</v>
      </c>
      <c r="N102" s="6">
        <v>1670</v>
      </c>
      <c r="O102" s="6">
        <v>0.56</v>
      </c>
      <c r="P102" s="6">
        <v>34.6</v>
      </c>
      <c r="Q102" s="1">
        <f t="shared" si="2"/>
        <v>37500</v>
      </c>
      <c r="R102" t="str">
        <f t="shared" si="3"/>
        <v>2002-09-01</v>
      </c>
    </row>
    <row r="103" spans="1:18">
      <c r="A103" s="4">
        <v>10.02</v>
      </c>
      <c r="B103" s="5">
        <v>3086</v>
      </c>
      <c r="C103" s="5">
        <v>-1.5</v>
      </c>
      <c r="D103" s="5">
        <v>23.03</v>
      </c>
      <c r="E103" s="5">
        <v>2531</v>
      </c>
      <c r="F103" s="5">
        <v>-1.55</v>
      </c>
      <c r="G103" s="5">
        <v>26.73</v>
      </c>
      <c r="H103" s="5">
        <v>554</v>
      </c>
      <c r="I103" s="5">
        <v>-1.3</v>
      </c>
      <c r="J103" s="5">
        <v>8.57</v>
      </c>
      <c r="K103" s="5">
        <v>3084</v>
      </c>
      <c r="L103" s="5">
        <v>-1.5</v>
      </c>
      <c r="M103" s="5">
        <v>23.05</v>
      </c>
      <c r="N103" s="5">
        <v>1690</v>
      </c>
      <c r="O103" s="5">
        <v>1.25</v>
      </c>
      <c r="P103" s="5">
        <v>36.28</v>
      </c>
      <c r="Q103" s="1">
        <f t="shared" si="2"/>
        <v>37530</v>
      </c>
      <c r="R103" t="str">
        <f t="shared" si="3"/>
        <v>2002-10-01</v>
      </c>
    </row>
    <row r="104" spans="1:18">
      <c r="A104" s="4">
        <v>11.02</v>
      </c>
      <c r="B104" s="6">
        <v>3006</v>
      </c>
      <c r="C104" s="6">
        <v>-2.6</v>
      </c>
      <c r="D104" s="6">
        <v>19.83</v>
      </c>
      <c r="E104" s="6">
        <v>2448</v>
      </c>
      <c r="F104" s="6">
        <v>-3.31</v>
      </c>
      <c r="G104" s="6">
        <v>22.53</v>
      </c>
      <c r="H104" s="6">
        <v>558</v>
      </c>
      <c r="I104" s="6">
        <v>0.64</v>
      </c>
      <c r="J104" s="6">
        <v>9.27</v>
      </c>
      <c r="K104" s="6">
        <v>3003</v>
      </c>
      <c r="L104" s="6">
        <v>-2.61</v>
      </c>
      <c r="M104" s="6">
        <v>19.84</v>
      </c>
      <c r="N104" s="6">
        <v>1857</v>
      </c>
      <c r="O104" s="6">
        <v>9.85</v>
      </c>
      <c r="P104" s="6">
        <v>49.71</v>
      </c>
      <c r="Q104" s="1">
        <f t="shared" si="2"/>
        <v>37561</v>
      </c>
      <c r="R104" t="str">
        <f t="shared" si="3"/>
        <v>2002-11-01</v>
      </c>
    </row>
    <row r="105" spans="1:18">
      <c r="A105" s="4">
        <v>12.02</v>
      </c>
      <c r="B105" s="5">
        <v>3141</v>
      </c>
      <c r="C105" s="5">
        <v>4.5</v>
      </c>
      <c r="D105" s="5">
        <v>25.22</v>
      </c>
      <c r="E105" s="5">
        <v>2555</v>
      </c>
      <c r="F105" s="5">
        <v>4.4</v>
      </c>
      <c r="G105" s="5">
        <v>27.92</v>
      </c>
      <c r="H105" s="5">
        <v>586</v>
      </c>
      <c r="I105" s="5">
        <v>4.93</v>
      </c>
      <c r="J105" s="5">
        <v>14.66</v>
      </c>
      <c r="K105" s="5">
        <v>3138</v>
      </c>
      <c r="L105" s="5">
        <v>4.5</v>
      </c>
      <c r="M105" s="5">
        <v>25.24</v>
      </c>
      <c r="N105" s="5">
        <v>1915</v>
      </c>
      <c r="O105" s="5">
        <v>3.11</v>
      </c>
      <c r="P105" s="5">
        <v>54.37</v>
      </c>
      <c r="Q105" s="1">
        <f t="shared" si="2"/>
        <v>37591</v>
      </c>
      <c r="R105" t="str">
        <f t="shared" si="3"/>
        <v>2002-12-01</v>
      </c>
    </row>
    <row r="106" ht="21" spans="1:18">
      <c r="A106" s="4" t="s">
        <v>83</v>
      </c>
      <c r="B106" s="6">
        <v>3579</v>
      </c>
      <c r="C106" s="6">
        <v>13.94</v>
      </c>
      <c r="D106" s="6">
        <v>13.94</v>
      </c>
      <c r="E106" s="6">
        <v>2952</v>
      </c>
      <c r="F106" s="6">
        <v>15.51</v>
      </c>
      <c r="G106" s="6">
        <v>15.51</v>
      </c>
      <c r="H106" s="6">
        <v>627</v>
      </c>
      <c r="I106" s="6">
        <v>7.08</v>
      </c>
      <c r="J106" s="6">
        <v>7.08</v>
      </c>
      <c r="K106" s="6">
        <v>3576</v>
      </c>
      <c r="L106" s="6">
        <v>13.95</v>
      </c>
      <c r="M106" s="6">
        <v>13.95</v>
      </c>
      <c r="N106" s="6">
        <v>1933</v>
      </c>
      <c r="O106" s="6">
        <v>0.94</v>
      </c>
      <c r="P106" s="6">
        <v>0.94</v>
      </c>
      <c r="Q106" s="1">
        <f t="shared" si="2"/>
        <v>37622</v>
      </c>
      <c r="R106" t="str">
        <f t="shared" si="3"/>
        <v>2003-01-01</v>
      </c>
    </row>
    <row r="107" ht="21" spans="1:18">
      <c r="A107" s="4" t="s">
        <v>84</v>
      </c>
      <c r="B107" s="5">
        <v>3881</v>
      </c>
      <c r="C107" s="5">
        <v>8.46</v>
      </c>
      <c r="D107" s="5">
        <v>23.58</v>
      </c>
      <c r="E107" s="5">
        <v>3299</v>
      </c>
      <c r="F107" s="5">
        <v>11.75</v>
      </c>
      <c r="G107" s="5">
        <v>29.09</v>
      </c>
      <c r="H107" s="5">
        <v>583</v>
      </c>
      <c r="I107" s="5">
        <v>-7.03</v>
      </c>
      <c r="J107" s="5">
        <v>-0.45</v>
      </c>
      <c r="K107" s="5">
        <v>3879</v>
      </c>
      <c r="L107" s="5">
        <v>8.47</v>
      </c>
      <c r="M107" s="5">
        <v>23.6</v>
      </c>
      <c r="N107" s="5">
        <v>2003</v>
      </c>
      <c r="O107" s="5">
        <v>3.63</v>
      </c>
      <c r="P107" s="5">
        <v>4.61</v>
      </c>
      <c r="Q107" s="1">
        <f t="shared" si="2"/>
        <v>37653</v>
      </c>
      <c r="R107" t="str">
        <f t="shared" si="3"/>
        <v>2003-02-01</v>
      </c>
    </row>
    <row r="108" ht="21" spans="1:18">
      <c r="A108" s="4" t="s">
        <v>85</v>
      </c>
      <c r="B108" s="6">
        <v>3923</v>
      </c>
      <c r="C108" s="6">
        <v>1.08</v>
      </c>
      <c r="D108" s="6">
        <v>24.91</v>
      </c>
      <c r="E108" s="6">
        <v>3355</v>
      </c>
      <c r="F108" s="6">
        <v>1.72</v>
      </c>
      <c r="G108" s="6">
        <v>31.31</v>
      </c>
      <c r="H108" s="6">
        <v>568</v>
      </c>
      <c r="I108" s="6">
        <v>-2.56</v>
      </c>
      <c r="J108" s="6">
        <v>-3</v>
      </c>
      <c r="K108" s="6">
        <v>3921</v>
      </c>
      <c r="L108" s="6">
        <v>1.08</v>
      </c>
      <c r="M108" s="6">
        <v>24.94</v>
      </c>
      <c r="N108" s="6">
        <v>1999</v>
      </c>
      <c r="O108" s="6">
        <v>-0.19</v>
      </c>
      <c r="P108" s="6">
        <v>4.4</v>
      </c>
      <c r="Q108" s="1">
        <f t="shared" si="2"/>
        <v>37681</v>
      </c>
      <c r="R108" t="str">
        <f t="shared" si="3"/>
        <v>2003-03-01</v>
      </c>
    </row>
    <row r="109" ht="21" spans="1:18">
      <c r="A109" s="4" t="s">
        <v>86</v>
      </c>
      <c r="B109" s="5">
        <v>4069</v>
      </c>
      <c r="C109" s="5">
        <v>3.71</v>
      </c>
      <c r="D109" s="5">
        <v>29.55</v>
      </c>
      <c r="E109" s="5">
        <v>3499</v>
      </c>
      <c r="F109" s="5">
        <v>4.27</v>
      </c>
      <c r="G109" s="5">
        <v>36.92</v>
      </c>
      <c r="H109" s="5">
        <v>570</v>
      </c>
      <c r="I109" s="5">
        <v>0.41</v>
      </c>
      <c r="J109" s="5">
        <v>-2.61</v>
      </c>
      <c r="K109" s="5">
        <v>4066</v>
      </c>
      <c r="L109" s="5">
        <v>3.71</v>
      </c>
      <c r="M109" s="5">
        <v>29.57</v>
      </c>
      <c r="N109" s="5">
        <v>2219</v>
      </c>
      <c r="O109" s="5">
        <v>10.99</v>
      </c>
      <c r="P109" s="5">
        <v>15.87</v>
      </c>
      <c r="Q109" s="1">
        <f t="shared" si="2"/>
        <v>37712</v>
      </c>
      <c r="R109" t="str">
        <f t="shared" si="3"/>
        <v>2003-04-01</v>
      </c>
    </row>
    <row r="110" ht="21" spans="1:18">
      <c r="A110" s="4" t="s">
        <v>87</v>
      </c>
      <c r="B110" s="6">
        <v>4457</v>
      </c>
      <c r="C110" s="6">
        <v>9.53</v>
      </c>
      <c r="D110" s="6">
        <v>41.9</v>
      </c>
      <c r="E110" s="6">
        <v>3834</v>
      </c>
      <c r="F110" s="6">
        <v>9.59</v>
      </c>
      <c r="G110" s="6">
        <v>50.05</v>
      </c>
      <c r="H110" s="6">
        <v>623</v>
      </c>
      <c r="I110" s="6">
        <v>9.2</v>
      </c>
      <c r="J110" s="6">
        <v>6.35</v>
      </c>
      <c r="K110" s="6">
        <v>4451</v>
      </c>
      <c r="L110" s="6">
        <v>9.46</v>
      </c>
      <c r="M110" s="6">
        <v>41.83</v>
      </c>
      <c r="N110" s="6">
        <v>2272</v>
      </c>
      <c r="O110" s="6">
        <v>2.4</v>
      </c>
      <c r="P110" s="6">
        <v>18.66</v>
      </c>
      <c r="Q110" s="1">
        <f t="shared" si="2"/>
        <v>37742</v>
      </c>
      <c r="R110" t="str">
        <f t="shared" si="3"/>
        <v>2003-05-01</v>
      </c>
    </row>
    <row r="111" ht="21" spans="1:18">
      <c r="A111" s="4" t="s">
        <v>88</v>
      </c>
      <c r="B111" s="5">
        <v>4494</v>
      </c>
      <c r="C111" s="5">
        <v>0.84</v>
      </c>
      <c r="D111" s="5">
        <v>43.09</v>
      </c>
      <c r="E111" s="5">
        <v>3704</v>
      </c>
      <c r="F111" s="5">
        <v>-3.39</v>
      </c>
      <c r="G111" s="5">
        <v>44.97</v>
      </c>
      <c r="H111" s="5">
        <v>790</v>
      </c>
      <c r="I111" s="5">
        <v>26.83</v>
      </c>
      <c r="J111" s="5">
        <v>34.88</v>
      </c>
      <c r="K111" s="5">
        <v>4490</v>
      </c>
      <c r="L111" s="5">
        <v>0.87</v>
      </c>
      <c r="M111" s="5">
        <v>43.07</v>
      </c>
      <c r="N111" s="5">
        <v>2688</v>
      </c>
      <c r="O111" s="5">
        <v>18.3</v>
      </c>
      <c r="P111" s="5">
        <v>40.37</v>
      </c>
      <c r="Q111" s="1">
        <f t="shared" si="2"/>
        <v>37773</v>
      </c>
      <c r="R111" t="str">
        <f t="shared" si="3"/>
        <v>2003-06-01</v>
      </c>
    </row>
    <row r="112" ht="21" spans="1:18">
      <c r="A112" s="4" t="s">
        <v>89</v>
      </c>
      <c r="B112" s="6">
        <v>4701</v>
      </c>
      <c r="C112" s="6">
        <v>4.61</v>
      </c>
      <c r="D112" s="6">
        <v>49.68</v>
      </c>
      <c r="E112" s="6">
        <v>4097</v>
      </c>
      <c r="F112" s="6">
        <v>10.59</v>
      </c>
      <c r="G112" s="6">
        <v>60.32</v>
      </c>
      <c r="H112" s="6">
        <v>604</v>
      </c>
      <c r="I112" s="6">
        <v>-23.47</v>
      </c>
      <c r="J112" s="6">
        <v>3.23</v>
      </c>
      <c r="K112" s="6">
        <v>4697</v>
      </c>
      <c r="L112" s="6">
        <v>4.61</v>
      </c>
      <c r="M112" s="6">
        <v>49.66</v>
      </c>
      <c r="N112" s="6">
        <v>2677</v>
      </c>
      <c r="O112" s="6">
        <v>-0.39</v>
      </c>
      <c r="P112" s="6">
        <v>39.82</v>
      </c>
      <c r="Q112" s="1">
        <f t="shared" si="2"/>
        <v>37803</v>
      </c>
      <c r="R112" t="str">
        <f t="shared" si="3"/>
        <v>2003-07-01</v>
      </c>
    </row>
    <row r="113" ht="21" spans="1:18">
      <c r="A113" s="4" t="s">
        <v>90</v>
      </c>
      <c r="B113" s="5">
        <v>4579</v>
      </c>
      <c r="C113" s="5">
        <v>-2.6</v>
      </c>
      <c r="D113" s="5">
        <v>45.78</v>
      </c>
      <c r="E113" s="5">
        <v>3946</v>
      </c>
      <c r="F113" s="5">
        <v>-3.69</v>
      </c>
      <c r="G113" s="5">
        <v>54.41</v>
      </c>
      <c r="H113" s="5">
        <v>633</v>
      </c>
      <c r="I113" s="5">
        <v>4.75</v>
      </c>
      <c r="J113" s="5">
        <v>8.13</v>
      </c>
      <c r="K113" s="5">
        <v>4573</v>
      </c>
      <c r="L113" s="5">
        <v>-2.63</v>
      </c>
      <c r="M113" s="5">
        <v>45.72</v>
      </c>
      <c r="N113" s="5">
        <v>2691</v>
      </c>
      <c r="O113" s="5">
        <v>0.53</v>
      </c>
      <c r="P113" s="5">
        <v>40.56</v>
      </c>
      <c r="Q113" s="1">
        <f t="shared" si="2"/>
        <v>37834</v>
      </c>
      <c r="R113" t="str">
        <f t="shared" si="3"/>
        <v>2003-08-01</v>
      </c>
    </row>
    <row r="114" ht="21" spans="1:18">
      <c r="A114" s="4" t="s">
        <v>91</v>
      </c>
      <c r="B114" s="6">
        <v>4930</v>
      </c>
      <c r="C114" s="6">
        <v>7.66</v>
      </c>
      <c r="D114" s="6">
        <v>56.95</v>
      </c>
      <c r="E114" s="6">
        <v>4270</v>
      </c>
      <c r="F114" s="6">
        <v>8.21</v>
      </c>
      <c r="G114" s="6">
        <v>67.09</v>
      </c>
      <c r="H114" s="6">
        <v>660</v>
      </c>
      <c r="I114" s="6">
        <v>4.23</v>
      </c>
      <c r="J114" s="6">
        <v>12.7</v>
      </c>
      <c r="K114" s="6">
        <v>4923</v>
      </c>
      <c r="L114" s="6">
        <v>7.65</v>
      </c>
      <c r="M114" s="6">
        <v>56.87</v>
      </c>
      <c r="N114" s="6">
        <v>2774</v>
      </c>
      <c r="O114" s="6">
        <v>3.07</v>
      </c>
      <c r="P114" s="6">
        <v>44.87</v>
      </c>
      <c r="Q114" s="1">
        <f t="shared" si="2"/>
        <v>37865</v>
      </c>
      <c r="R114" t="str">
        <f t="shared" si="3"/>
        <v>2003-09-01</v>
      </c>
    </row>
    <row r="115" spans="1:18">
      <c r="A115" s="4">
        <v>10.03</v>
      </c>
      <c r="B115" s="5">
        <v>4753</v>
      </c>
      <c r="C115" s="5">
        <v>-3.58</v>
      </c>
      <c r="D115" s="5">
        <v>51.34</v>
      </c>
      <c r="E115" s="5">
        <v>4090</v>
      </c>
      <c r="F115" s="5">
        <v>-4.2</v>
      </c>
      <c r="G115" s="5">
        <v>60.07</v>
      </c>
      <c r="H115" s="5">
        <v>663</v>
      </c>
      <c r="I115" s="5">
        <v>0.49</v>
      </c>
      <c r="J115" s="5">
        <v>13.25</v>
      </c>
      <c r="K115" s="5">
        <v>4747</v>
      </c>
      <c r="L115" s="5">
        <v>-3.58</v>
      </c>
      <c r="M115" s="5">
        <v>51.26</v>
      </c>
      <c r="N115" s="5">
        <v>3084</v>
      </c>
      <c r="O115" s="5">
        <v>11.16</v>
      </c>
      <c r="P115" s="5">
        <v>61.05</v>
      </c>
      <c r="Q115" s="1">
        <f t="shared" si="2"/>
        <v>37895</v>
      </c>
      <c r="R115" t="str">
        <f t="shared" si="3"/>
        <v>2003-10-01</v>
      </c>
    </row>
    <row r="116" spans="1:18">
      <c r="A116" s="4">
        <v>11.03</v>
      </c>
      <c r="B116" s="6">
        <v>4662</v>
      </c>
      <c r="C116" s="6">
        <v>-1.93</v>
      </c>
      <c r="D116" s="6">
        <v>48.42</v>
      </c>
      <c r="E116" s="6">
        <v>3973</v>
      </c>
      <c r="F116" s="6">
        <v>-2.87</v>
      </c>
      <c r="G116" s="6">
        <v>55.48</v>
      </c>
      <c r="H116" s="6">
        <v>689</v>
      </c>
      <c r="I116" s="6">
        <v>3.84</v>
      </c>
      <c r="J116" s="6">
        <v>17.6</v>
      </c>
      <c r="K116" s="6">
        <v>4652</v>
      </c>
      <c r="L116" s="6">
        <v>-1.99</v>
      </c>
      <c r="M116" s="6">
        <v>48.25</v>
      </c>
      <c r="N116" s="6">
        <v>3256</v>
      </c>
      <c r="O116" s="6">
        <v>5.58</v>
      </c>
      <c r="P116" s="6">
        <v>70.03</v>
      </c>
      <c r="Q116" s="1">
        <f t="shared" si="2"/>
        <v>37926</v>
      </c>
      <c r="R116" t="str">
        <f t="shared" si="3"/>
        <v>2003-11-01</v>
      </c>
    </row>
    <row r="117" spans="1:18">
      <c r="A117" s="4">
        <v>12.03</v>
      </c>
      <c r="B117" s="5">
        <v>4962</v>
      </c>
      <c r="C117" s="5">
        <v>6.45</v>
      </c>
      <c r="D117" s="5">
        <v>57.99</v>
      </c>
      <c r="E117" s="5">
        <v>4236</v>
      </c>
      <c r="F117" s="5">
        <v>6.63</v>
      </c>
      <c r="G117" s="5">
        <v>65.79</v>
      </c>
      <c r="H117" s="5">
        <v>726</v>
      </c>
      <c r="I117" s="5">
        <v>5.42</v>
      </c>
      <c r="J117" s="5">
        <v>23.97</v>
      </c>
      <c r="K117" s="5">
        <v>4959</v>
      </c>
      <c r="L117" s="5">
        <v>6.59</v>
      </c>
      <c r="M117" s="5">
        <v>58.02</v>
      </c>
      <c r="N117" s="5">
        <v>3663</v>
      </c>
      <c r="O117" s="5">
        <v>12.5</v>
      </c>
      <c r="P117" s="5">
        <v>91.29</v>
      </c>
      <c r="Q117" s="1">
        <f t="shared" si="2"/>
        <v>37956</v>
      </c>
      <c r="R117" t="str">
        <f t="shared" si="3"/>
        <v>2003-12-01</v>
      </c>
    </row>
    <row r="118" ht="21" spans="1:18">
      <c r="A118" s="4" t="s">
        <v>92</v>
      </c>
      <c r="B118" s="6">
        <v>5439</v>
      </c>
      <c r="C118" s="6">
        <v>9.61</v>
      </c>
      <c r="D118" s="6">
        <v>9.61</v>
      </c>
      <c r="E118" s="6">
        <v>4738</v>
      </c>
      <c r="F118" s="6">
        <v>11.84</v>
      </c>
      <c r="G118" s="6">
        <v>11.84</v>
      </c>
      <c r="H118" s="6">
        <v>701</v>
      </c>
      <c r="I118" s="6">
        <v>-3.4</v>
      </c>
      <c r="J118" s="6">
        <v>-3.4</v>
      </c>
      <c r="K118" s="6">
        <v>5435</v>
      </c>
      <c r="L118" s="6">
        <v>9.59</v>
      </c>
      <c r="M118" s="6">
        <v>9.59</v>
      </c>
      <c r="N118" s="6">
        <v>3666</v>
      </c>
      <c r="O118" s="6">
        <v>0.1</v>
      </c>
      <c r="P118" s="6">
        <v>0.1</v>
      </c>
      <c r="Q118" s="1">
        <f t="shared" si="2"/>
        <v>37987</v>
      </c>
      <c r="R118" t="str">
        <f t="shared" si="3"/>
        <v>2004-01-01</v>
      </c>
    </row>
    <row r="119" ht="21" spans="1:18">
      <c r="A119" s="4" t="s">
        <v>93</v>
      </c>
      <c r="B119" s="5">
        <v>5545</v>
      </c>
      <c r="C119" s="5">
        <v>1.95</v>
      </c>
      <c r="D119" s="5">
        <v>11.75</v>
      </c>
      <c r="E119" s="5">
        <v>4859</v>
      </c>
      <c r="F119" s="5">
        <v>2.55</v>
      </c>
      <c r="G119" s="5">
        <v>14.69</v>
      </c>
      <c r="H119" s="5">
        <v>687</v>
      </c>
      <c r="I119" s="5">
        <v>-2.08</v>
      </c>
      <c r="J119" s="5">
        <v>-5.41</v>
      </c>
      <c r="K119" s="5">
        <v>5542</v>
      </c>
      <c r="L119" s="5">
        <v>1.97</v>
      </c>
      <c r="M119" s="5">
        <v>11.74</v>
      </c>
      <c r="N119" s="5">
        <v>3687</v>
      </c>
      <c r="O119" s="5">
        <v>0.57</v>
      </c>
      <c r="P119" s="5">
        <v>0.67</v>
      </c>
      <c r="Q119" s="1">
        <f t="shared" si="2"/>
        <v>38018</v>
      </c>
      <c r="R119" t="str">
        <f t="shared" si="3"/>
        <v>2004-02-01</v>
      </c>
    </row>
    <row r="120" ht="21" spans="1:18">
      <c r="A120" s="4" t="s">
        <v>94</v>
      </c>
      <c r="B120" s="6">
        <v>5688</v>
      </c>
      <c r="C120" s="6">
        <v>2.58</v>
      </c>
      <c r="D120" s="6">
        <v>14.63</v>
      </c>
      <c r="E120" s="6">
        <v>4944</v>
      </c>
      <c r="F120" s="6">
        <v>1.77</v>
      </c>
      <c r="G120" s="6">
        <v>16.72</v>
      </c>
      <c r="H120" s="6">
        <v>744</v>
      </c>
      <c r="I120" s="6">
        <v>8.33</v>
      </c>
      <c r="J120" s="6">
        <v>2.48</v>
      </c>
      <c r="K120" s="6">
        <v>5686</v>
      </c>
      <c r="L120" s="6">
        <v>2.6</v>
      </c>
      <c r="M120" s="6">
        <v>14.65</v>
      </c>
      <c r="N120" s="6">
        <v>3745</v>
      </c>
      <c r="O120" s="6">
        <v>1.55</v>
      </c>
      <c r="P120" s="6">
        <v>2.24</v>
      </c>
      <c r="Q120" s="1">
        <f t="shared" si="2"/>
        <v>38047</v>
      </c>
      <c r="R120" t="str">
        <f t="shared" si="3"/>
        <v>2004-03-01</v>
      </c>
    </row>
    <row r="121" ht="21" spans="1:18">
      <c r="A121" s="4" t="s">
        <v>95</v>
      </c>
      <c r="B121" s="5">
        <v>6199</v>
      </c>
      <c r="C121" s="5">
        <v>8.97</v>
      </c>
      <c r="D121" s="5">
        <v>24.91</v>
      </c>
      <c r="E121" s="5">
        <v>5513</v>
      </c>
      <c r="F121" s="5">
        <v>11.51</v>
      </c>
      <c r="G121" s="5">
        <v>30.14</v>
      </c>
      <c r="H121" s="5">
        <v>685</v>
      </c>
      <c r="I121" s="5">
        <v>-7.89</v>
      </c>
      <c r="J121" s="5">
        <v>-5.6</v>
      </c>
      <c r="K121" s="5">
        <v>6193</v>
      </c>
      <c r="L121" s="5">
        <v>8.93</v>
      </c>
      <c r="M121" s="5">
        <v>24.89</v>
      </c>
      <c r="N121" s="5">
        <v>3732</v>
      </c>
      <c r="O121" s="5">
        <v>-0.32</v>
      </c>
      <c r="P121" s="5">
        <v>1.91</v>
      </c>
      <c r="Q121" s="1">
        <f t="shared" si="2"/>
        <v>38078</v>
      </c>
      <c r="R121" t="str">
        <f t="shared" si="3"/>
        <v>2004-04-01</v>
      </c>
    </row>
    <row r="122" ht="21" spans="1:18">
      <c r="A122" s="4" t="s">
        <v>96</v>
      </c>
      <c r="B122" s="6">
        <v>6551</v>
      </c>
      <c r="C122" s="6">
        <v>5.69</v>
      </c>
      <c r="D122" s="6">
        <v>32.02</v>
      </c>
      <c r="E122" s="6">
        <v>5851</v>
      </c>
      <c r="F122" s="6">
        <v>6.13</v>
      </c>
      <c r="G122" s="6">
        <v>38.12</v>
      </c>
      <c r="H122" s="6">
        <v>700</v>
      </c>
      <c r="I122" s="6">
        <v>21</v>
      </c>
      <c r="J122" s="6">
        <v>-3.62</v>
      </c>
      <c r="K122" s="6">
        <v>6548</v>
      </c>
      <c r="L122" s="6">
        <v>5.73</v>
      </c>
      <c r="M122" s="6">
        <v>32.04</v>
      </c>
      <c r="N122" s="6">
        <v>3695</v>
      </c>
      <c r="O122" s="6">
        <v>-1</v>
      </c>
      <c r="P122" s="6">
        <v>0.89</v>
      </c>
      <c r="Q122" s="1">
        <f t="shared" si="2"/>
        <v>38108</v>
      </c>
      <c r="R122" t="str">
        <f t="shared" si="3"/>
        <v>2004-05-01</v>
      </c>
    </row>
    <row r="123" ht="21" spans="1:18">
      <c r="A123" s="4" t="s">
        <v>97</v>
      </c>
      <c r="B123" s="5">
        <v>6635</v>
      </c>
      <c r="C123" s="5">
        <v>1.29</v>
      </c>
      <c r="D123" s="5">
        <v>33.72</v>
      </c>
      <c r="E123" s="5">
        <v>5934</v>
      </c>
      <c r="F123" s="5">
        <v>1.42</v>
      </c>
      <c r="G123" s="5">
        <v>40.08</v>
      </c>
      <c r="H123" s="5">
        <v>701</v>
      </c>
      <c r="I123" s="5">
        <v>0.23</v>
      </c>
      <c r="J123" s="5">
        <v>-3.4</v>
      </c>
      <c r="K123" s="5">
        <v>6631</v>
      </c>
      <c r="L123" s="5">
        <v>1.27</v>
      </c>
      <c r="M123" s="5">
        <v>33.72</v>
      </c>
      <c r="N123" s="5">
        <v>3701</v>
      </c>
      <c r="O123" s="5">
        <v>0.17</v>
      </c>
      <c r="P123" s="5">
        <v>1.05</v>
      </c>
      <c r="Q123" s="1">
        <f t="shared" si="2"/>
        <v>38139</v>
      </c>
      <c r="R123" t="str">
        <f t="shared" si="3"/>
        <v>2004-06-01</v>
      </c>
    </row>
    <row r="124" ht="21" spans="1:18">
      <c r="A124" s="4" t="s">
        <v>98</v>
      </c>
      <c r="B124" s="6">
        <v>6658</v>
      </c>
      <c r="C124" s="6">
        <v>0.34</v>
      </c>
      <c r="D124" s="6">
        <v>34.17</v>
      </c>
      <c r="E124" s="6">
        <v>5961</v>
      </c>
      <c r="F124" s="6">
        <v>0.44</v>
      </c>
      <c r="G124" s="6">
        <v>40.7</v>
      </c>
      <c r="H124" s="6">
        <v>697</v>
      </c>
      <c r="I124" s="6">
        <v>-0.54</v>
      </c>
      <c r="J124" s="6">
        <v>-3.92</v>
      </c>
      <c r="K124" s="6">
        <v>6654</v>
      </c>
      <c r="L124" s="6">
        <v>0.34</v>
      </c>
      <c r="M124" s="6">
        <v>34.18</v>
      </c>
      <c r="N124" s="6">
        <v>3729</v>
      </c>
      <c r="O124" s="6">
        <v>0.76</v>
      </c>
      <c r="P124" s="6">
        <v>1.82</v>
      </c>
      <c r="Q124" s="1">
        <f t="shared" si="2"/>
        <v>38169</v>
      </c>
      <c r="R124" t="str">
        <f t="shared" si="3"/>
        <v>2004-07-01</v>
      </c>
    </row>
    <row r="125" ht="21" spans="1:18">
      <c r="A125" s="4" t="s">
        <v>99</v>
      </c>
      <c r="B125" s="5">
        <v>6678</v>
      </c>
      <c r="C125" s="5">
        <v>0.3</v>
      </c>
      <c r="D125" s="5">
        <v>34.58</v>
      </c>
      <c r="E125" s="5">
        <v>5944</v>
      </c>
      <c r="F125" s="5">
        <v>-0.28</v>
      </c>
      <c r="G125" s="5">
        <v>40.31</v>
      </c>
      <c r="H125" s="5">
        <v>734</v>
      </c>
      <c r="I125" s="5">
        <v>5.26</v>
      </c>
      <c r="J125" s="5">
        <v>1.13</v>
      </c>
      <c r="K125" s="5">
        <v>6673</v>
      </c>
      <c r="L125" s="5">
        <v>0.28</v>
      </c>
      <c r="M125" s="5">
        <v>34.56</v>
      </c>
      <c r="N125" s="5">
        <v>3764</v>
      </c>
      <c r="O125" s="5">
        <v>0.92</v>
      </c>
      <c r="P125" s="5">
        <v>2.76</v>
      </c>
      <c r="Q125" s="1">
        <f t="shared" si="2"/>
        <v>38200</v>
      </c>
      <c r="R125" t="str">
        <f t="shared" si="3"/>
        <v>2004-08-01</v>
      </c>
    </row>
    <row r="126" ht="21" spans="1:18">
      <c r="A126" s="4" t="s">
        <v>100</v>
      </c>
      <c r="B126" s="6">
        <v>6828</v>
      </c>
      <c r="C126" s="6">
        <v>2.24</v>
      </c>
      <c r="D126" s="6">
        <v>37.6</v>
      </c>
      <c r="E126" s="6">
        <v>6082</v>
      </c>
      <c r="F126" s="6">
        <v>2.32</v>
      </c>
      <c r="G126" s="6">
        <v>43.57</v>
      </c>
      <c r="H126" s="6">
        <v>746</v>
      </c>
      <c r="I126" s="6">
        <v>1.6</v>
      </c>
      <c r="J126" s="6">
        <v>2.75</v>
      </c>
      <c r="K126" s="6">
        <v>6824</v>
      </c>
      <c r="L126" s="6">
        <v>2.26</v>
      </c>
      <c r="M126" s="6">
        <v>37.6</v>
      </c>
      <c r="N126" s="6">
        <v>3884</v>
      </c>
      <c r="O126" s="6">
        <v>3.19</v>
      </c>
      <c r="P126" s="6">
        <v>6.04</v>
      </c>
      <c r="Q126" s="1">
        <f t="shared" si="2"/>
        <v>38231</v>
      </c>
      <c r="R126" t="str">
        <f t="shared" si="3"/>
        <v>2004-09-01</v>
      </c>
    </row>
    <row r="127" spans="1:18">
      <c r="A127" s="4">
        <v>10.04</v>
      </c>
      <c r="B127" s="5">
        <v>7070</v>
      </c>
      <c r="C127" s="5">
        <v>3.54</v>
      </c>
      <c r="D127" s="5">
        <v>42.47</v>
      </c>
      <c r="E127" s="5">
        <v>6295</v>
      </c>
      <c r="F127" s="5">
        <v>3.51</v>
      </c>
      <c r="G127" s="5">
        <v>48.6</v>
      </c>
      <c r="H127" s="5">
        <v>774</v>
      </c>
      <c r="I127" s="5">
        <v>3.82</v>
      </c>
      <c r="J127" s="5">
        <v>6.68</v>
      </c>
      <c r="K127" s="5">
        <v>7066</v>
      </c>
      <c r="L127" s="5">
        <v>3.54</v>
      </c>
      <c r="M127" s="5">
        <v>42.48</v>
      </c>
      <c r="N127" s="5">
        <v>4209</v>
      </c>
      <c r="O127" s="5">
        <v>8.38</v>
      </c>
      <c r="P127" s="5">
        <v>14.93</v>
      </c>
      <c r="Q127" s="1">
        <f t="shared" si="2"/>
        <v>38261</v>
      </c>
      <c r="R127" t="str">
        <f t="shared" si="3"/>
        <v>2004-10-01</v>
      </c>
    </row>
    <row r="128" spans="1:18">
      <c r="A128" s="4">
        <v>11.04</v>
      </c>
      <c r="B128" s="6">
        <v>8332</v>
      </c>
      <c r="C128" s="6">
        <v>17.85</v>
      </c>
      <c r="D128" s="6">
        <v>67.91</v>
      </c>
      <c r="E128" s="6">
        <v>7506</v>
      </c>
      <c r="F128" s="6">
        <v>19.23</v>
      </c>
      <c r="G128" s="6">
        <v>77.18</v>
      </c>
      <c r="H128" s="6">
        <v>826</v>
      </c>
      <c r="I128" s="6">
        <v>6.68</v>
      </c>
      <c r="J128" s="6">
        <v>13.81</v>
      </c>
      <c r="K128" s="6">
        <v>8326</v>
      </c>
      <c r="L128" s="6">
        <v>17.83</v>
      </c>
      <c r="M128" s="6">
        <v>67.88</v>
      </c>
      <c r="N128" s="6">
        <v>4590</v>
      </c>
      <c r="O128" s="6">
        <v>9.05</v>
      </c>
      <c r="P128" s="6">
        <v>25.33</v>
      </c>
      <c r="Q128" s="1">
        <f t="shared" si="2"/>
        <v>38292</v>
      </c>
      <c r="R128" t="str">
        <f t="shared" si="3"/>
        <v>2004-11-01</v>
      </c>
    </row>
    <row r="129" spans="1:18">
      <c r="A129" s="4">
        <v>12.04</v>
      </c>
      <c r="B129" s="5">
        <v>9277</v>
      </c>
      <c r="C129" s="5">
        <v>11.34</v>
      </c>
      <c r="D129" s="5">
        <v>86.94</v>
      </c>
      <c r="E129" s="5">
        <v>8473</v>
      </c>
      <c r="F129" s="5">
        <v>12.89</v>
      </c>
      <c r="G129" s="5">
        <v>100.01</v>
      </c>
      <c r="H129" s="5">
        <v>804</v>
      </c>
      <c r="I129" s="5">
        <v>-2.74</v>
      </c>
      <c r="J129" s="5">
        <v>10.7</v>
      </c>
      <c r="K129" s="5">
        <v>9273</v>
      </c>
      <c r="L129" s="5">
        <v>11.38</v>
      </c>
      <c r="M129" s="5">
        <v>86.99</v>
      </c>
      <c r="N129" s="5">
        <v>5131</v>
      </c>
      <c r="O129" s="5">
        <v>11.77</v>
      </c>
      <c r="P129" s="5">
        <v>40.08</v>
      </c>
      <c r="Q129" s="1">
        <f t="shared" si="2"/>
        <v>38322</v>
      </c>
      <c r="R129" t="str">
        <f t="shared" si="3"/>
        <v>2004-12-01</v>
      </c>
    </row>
    <row r="130" ht="21" spans="1:18">
      <c r="A130" s="4" t="s">
        <v>101</v>
      </c>
      <c r="B130" s="6">
        <v>9292</v>
      </c>
      <c r="C130" s="6">
        <v>0.12</v>
      </c>
      <c r="D130" s="6">
        <v>0.16</v>
      </c>
      <c r="E130" s="6">
        <v>8510</v>
      </c>
      <c r="F130" s="6">
        <v>0.39</v>
      </c>
      <c r="G130" s="6">
        <v>0.43</v>
      </c>
      <c r="H130" s="6">
        <v>782</v>
      </c>
      <c r="I130" s="6">
        <v>-2.68</v>
      </c>
      <c r="J130" s="6">
        <v>-2.68</v>
      </c>
      <c r="K130" s="6">
        <v>9287</v>
      </c>
      <c r="L130" s="6">
        <v>0.11</v>
      </c>
      <c r="M130" s="6">
        <v>0.15</v>
      </c>
      <c r="N130" s="6">
        <v>5148</v>
      </c>
      <c r="O130" s="6">
        <v>1.66</v>
      </c>
      <c r="P130" s="6">
        <v>0.34</v>
      </c>
      <c r="Q130" s="1">
        <f t="shared" si="2"/>
        <v>38353</v>
      </c>
      <c r="R130" t="str">
        <f t="shared" si="3"/>
        <v>2005-01-01</v>
      </c>
    </row>
    <row r="131" ht="21" spans="1:18">
      <c r="A131" s="4" t="s">
        <v>102</v>
      </c>
      <c r="B131" s="5">
        <v>9440</v>
      </c>
      <c r="C131" s="5">
        <v>1.6</v>
      </c>
      <c r="D131" s="5">
        <v>1.76</v>
      </c>
      <c r="E131" s="5">
        <v>8631</v>
      </c>
      <c r="F131" s="5">
        <v>1.43</v>
      </c>
      <c r="G131" s="5">
        <v>1.87</v>
      </c>
      <c r="H131" s="5">
        <v>809</v>
      </c>
      <c r="I131" s="5">
        <v>3.44</v>
      </c>
      <c r="J131" s="5">
        <v>0.67</v>
      </c>
      <c r="K131" s="5">
        <v>9436</v>
      </c>
      <c r="L131" s="5">
        <v>1.6</v>
      </c>
      <c r="M131" s="5">
        <v>1.76</v>
      </c>
      <c r="N131" s="5">
        <v>5128</v>
      </c>
      <c r="O131" s="5">
        <v>-0.39</v>
      </c>
      <c r="P131" s="5">
        <v>-0.05</v>
      </c>
      <c r="Q131" s="1">
        <f t="shared" si="2"/>
        <v>38384</v>
      </c>
      <c r="R131" t="str">
        <f t="shared" si="3"/>
        <v>2005-02-01</v>
      </c>
    </row>
    <row r="132" ht="21" spans="1:18">
      <c r="A132" s="4" t="s">
        <v>103</v>
      </c>
      <c r="B132" s="6">
        <v>9272</v>
      </c>
      <c r="C132" s="6">
        <v>-1.78</v>
      </c>
      <c r="D132" s="6">
        <v>-0.05</v>
      </c>
      <c r="E132" s="6">
        <v>8478</v>
      </c>
      <c r="F132" s="6">
        <v>-1.78</v>
      </c>
      <c r="G132" s="6">
        <v>0.06</v>
      </c>
      <c r="H132" s="6">
        <v>794</v>
      </c>
      <c r="I132" s="6">
        <v>-1.86</v>
      </c>
      <c r="J132" s="6">
        <v>-1.2</v>
      </c>
      <c r="K132" s="6">
        <v>9267</v>
      </c>
      <c r="L132" s="6">
        <v>-1.79</v>
      </c>
      <c r="M132" s="6">
        <v>-0.06</v>
      </c>
      <c r="N132" s="6">
        <v>5158</v>
      </c>
      <c r="O132" s="6">
        <v>0.58</v>
      </c>
      <c r="P132" s="6">
        <v>0.53</v>
      </c>
      <c r="Q132" s="1">
        <f t="shared" si="2"/>
        <v>38412</v>
      </c>
      <c r="R132" t="str">
        <f t="shared" si="3"/>
        <v>2005-03-01</v>
      </c>
    </row>
    <row r="133" ht="21" spans="1:18">
      <c r="A133" s="4" t="s">
        <v>104</v>
      </c>
      <c r="B133" s="5">
        <v>8712</v>
      </c>
      <c r="C133" s="5">
        <v>-6.04</v>
      </c>
      <c r="D133" s="5">
        <v>-6.09</v>
      </c>
      <c r="E133" s="5">
        <v>7903</v>
      </c>
      <c r="F133" s="5">
        <v>-6.78</v>
      </c>
      <c r="G133" s="5">
        <v>-6.72</v>
      </c>
      <c r="H133" s="5">
        <v>808</v>
      </c>
      <c r="I133" s="5">
        <v>1.82</v>
      </c>
      <c r="J133" s="5">
        <v>0.6</v>
      </c>
      <c r="K133" s="5">
        <v>8709</v>
      </c>
      <c r="L133" s="5">
        <v>-6.02</v>
      </c>
      <c r="M133" s="5">
        <v>-6.09</v>
      </c>
      <c r="N133" s="5">
        <v>5171</v>
      </c>
      <c r="O133" s="5">
        <v>0.25</v>
      </c>
      <c r="P133" s="5">
        <v>0.78</v>
      </c>
      <c r="Q133" s="1">
        <f t="shared" ref="Q133:Q196" si="4">IF(ISNUMBER(SEARCH(".",A133)),DATE(IF(VALUE(RIGHT(A133,2))&gt;=94,1900+VALUE(RIGHT(A133,2)),2000+VALUE(RIGHT(A133,2))),VALUE(LEFT(A133,2)),1),DATE(2000+VALUE(A133),10,1))</f>
        <v>38443</v>
      </c>
      <c r="R133" t="str">
        <f t="shared" ref="R133:R196" si="5">TEXT(Q133,"yyyy-mm-01")</f>
        <v>2005-04-01</v>
      </c>
    </row>
    <row r="134" ht="21" spans="1:18">
      <c r="A134" s="4" t="s">
        <v>105</v>
      </c>
      <c r="B134" s="6">
        <v>8677</v>
      </c>
      <c r="C134" s="6">
        <v>-0.4</v>
      </c>
      <c r="D134" s="6">
        <v>-6.47</v>
      </c>
      <c r="E134" s="6">
        <v>7896</v>
      </c>
      <c r="F134" s="6">
        <v>-0.09</v>
      </c>
      <c r="G134" s="6">
        <v>-6.81</v>
      </c>
      <c r="H134" s="6">
        <v>781</v>
      </c>
      <c r="I134" s="6">
        <v>-3.42</v>
      </c>
      <c r="J134" s="6">
        <v>-2.84</v>
      </c>
      <c r="K134" s="6">
        <v>8674</v>
      </c>
      <c r="L134" s="6">
        <v>-0.4</v>
      </c>
      <c r="M134" s="6">
        <v>-6.47</v>
      </c>
      <c r="N134" s="6">
        <v>5173</v>
      </c>
      <c r="O134" s="6">
        <v>0.03</v>
      </c>
      <c r="P134" s="6">
        <v>0.82</v>
      </c>
      <c r="Q134" s="1">
        <f t="shared" si="4"/>
        <v>38473</v>
      </c>
      <c r="R134" t="str">
        <f t="shared" si="5"/>
        <v>2005-05-01</v>
      </c>
    </row>
    <row r="135" ht="21" spans="1:18">
      <c r="A135" s="4" t="s">
        <v>106</v>
      </c>
      <c r="B135" s="5">
        <v>8011</v>
      </c>
      <c r="C135" s="5">
        <v>-7.67</v>
      </c>
      <c r="D135" s="5">
        <v>-13.65</v>
      </c>
      <c r="E135" s="5">
        <v>7190</v>
      </c>
      <c r="F135" s="5">
        <v>-8.94</v>
      </c>
      <c r="G135" s="5">
        <v>-15.14</v>
      </c>
      <c r="H135" s="5">
        <v>821</v>
      </c>
      <c r="I135" s="5">
        <v>5.13</v>
      </c>
      <c r="J135" s="5">
        <v>2.14</v>
      </c>
      <c r="K135" s="5">
        <v>8007</v>
      </c>
      <c r="L135" s="5">
        <v>-7.69</v>
      </c>
      <c r="M135" s="5">
        <v>-13.66</v>
      </c>
      <c r="N135" s="5">
        <v>5214</v>
      </c>
      <c r="O135" s="5">
        <v>0.8</v>
      </c>
      <c r="P135" s="5">
        <v>1.63</v>
      </c>
      <c r="Q135" s="1">
        <f t="shared" si="4"/>
        <v>38504</v>
      </c>
      <c r="R135" t="str">
        <f t="shared" si="5"/>
        <v>2005-06-01</v>
      </c>
    </row>
    <row r="136" ht="21" spans="1:18">
      <c r="A136" s="4" t="s">
        <v>107</v>
      </c>
      <c r="B136" s="6">
        <v>7759</v>
      </c>
      <c r="C136" s="6">
        <v>-3.14</v>
      </c>
      <c r="D136" s="6">
        <v>-16.36</v>
      </c>
      <c r="E136" s="6">
        <v>6955</v>
      </c>
      <c r="F136" s="6">
        <v>-3.27</v>
      </c>
      <c r="G136" s="6">
        <v>-17.92</v>
      </c>
      <c r="H136" s="6">
        <v>805</v>
      </c>
      <c r="I136" s="6">
        <v>-1.95</v>
      </c>
      <c r="J136" s="6">
        <v>0.15</v>
      </c>
      <c r="K136" s="6">
        <v>7754</v>
      </c>
      <c r="L136" s="6">
        <v>-3.16</v>
      </c>
      <c r="M136" s="6">
        <v>-16.39</v>
      </c>
      <c r="N136" s="6">
        <v>5234</v>
      </c>
      <c r="O136" s="6">
        <v>0.37</v>
      </c>
      <c r="P136" s="6">
        <v>2</v>
      </c>
      <c r="Q136" s="1">
        <f t="shared" si="4"/>
        <v>38534</v>
      </c>
      <c r="R136" t="str">
        <f t="shared" si="5"/>
        <v>2005-07-01</v>
      </c>
    </row>
    <row r="137" ht="21" spans="1:18">
      <c r="A137" s="4" t="s">
        <v>108</v>
      </c>
      <c r="B137" s="5">
        <v>7816</v>
      </c>
      <c r="C137" s="5">
        <v>0.73</v>
      </c>
      <c r="D137" s="5">
        <v>-15.74</v>
      </c>
      <c r="E137" s="5">
        <v>6996</v>
      </c>
      <c r="F137" s="5">
        <v>0.59</v>
      </c>
      <c r="G137" s="5">
        <v>-17.43</v>
      </c>
      <c r="H137" s="5">
        <v>820</v>
      </c>
      <c r="I137" s="5">
        <v>1.92</v>
      </c>
      <c r="J137" s="5">
        <v>2.07</v>
      </c>
      <c r="K137" s="5">
        <v>7808</v>
      </c>
      <c r="L137" s="5">
        <v>0.7</v>
      </c>
      <c r="M137" s="5">
        <v>-15.8</v>
      </c>
      <c r="N137" s="5">
        <v>5393</v>
      </c>
      <c r="O137" s="5">
        <v>3.05</v>
      </c>
      <c r="P137" s="5">
        <v>5.12</v>
      </c>
      <c r="Q137" s="1">
        <f t="shared" si="4"/>
        <v>38565</v>
      </c>
      <c r="R137" t="str">
        <f t="shared" si="5"/>
        <v>2005-08-01</v>
      </c>
    </row>
    <row r="138" ht="21" spans="1:18">
      <c r="A138" s="4" t="s">
        <v>109</v>
      </c>
      <c r="B138" s="6">
        <v>8309</v>
      </c>
      <c r="C138" s="6">
        <v>6.31</v>
      </c>
      <c r="D138" s="6">
        <v>-10.43</v>
      </c>
      <c r="E138" s="6">
        <v>7408</v>
      </c>
      <c r="F138" s="6">
        <v>5.88</v>
      </c>
      <c r="G138" s="6">
        <v>-12.58</v>
      </c>
      <c r="H138" s="6">
        <v>901</v>
      </c>
      <c r="I138" s="6">
        <v>9.9</v>
      </c>
      <c r="J138" s="6">
        <v>12.17</v>
      </c>
      <c r="K138" s="6">
        <v>8303</v>
      </c>
      <c r="L138" s="6">
        <v>6.34</v>
      </c>
      <c r="M138" s="6">
        <v>-10.47</v>
      </c>
      <c r="N138" s="6">
        <v>5551</v>
      </c>
      <c r="O138" s="6">
        <v>2.93</v>
      </c>
      <c r="P138" s="6">
        <v>8.2</v>
      </c>
      <c r="Q138" s="1">
        <f t="shared" si="4"/>
        <v>38596</v>
      </c>
      <c r="R138" t="str">
        <f t="shared" si="5"/>
        <v>2005-09-01</v>
      </c>
    </row>
    <row r="139" spans="1:18">
      <c r="A139" s="4">
        <v>10.05</v>
      </c>
      <c r="B139" s="5">
        <v>8641</v>
      </c>
      <c r="C139" s="5">
        <v>4</v>
      </c>
      <c r="D139" s="5">
        <v>-6.85</v>
      </c>
      <c r="E139" s="5">
        <v>7738</v>
      </c>
      <c r="F139" s="5">
        <v>4.45</v>
      </c>
      <c r="G139" s="5">
        <v>-8.68</v>
      </c>
      <c r="H139" s="5">
        <v>904</v>
      </c>
      <c r="I139" s="5">
        <v>0.26</v>
      </c>
      <c r="J139" s="5">
        <v>12.47</v>
      </c>
      <c r="K139" s="5">
        <v>8637</v>
      </c>
      <c r="L139" s="5">
        <v>4.03</v>
      </c>
      <c r="M139" s="5">
        <v>-6.86</v>
      </c>
      <c r="N139" s="5">
        <v>5857</v>
      </c>
      <c r="O139" s="5">
        <v>5.51</v>
      </c>
      <c r="P139" s="5">
        <v>14.16</v>
      </c>
      <c r="Q139" s="1">
        <f t="shared" si="4"/>
        <v>38626</v>
      </c>
      <c r="R139" t="str">
        <f t="shared" si="5"/>
        <v>2005-10-01</v>
      </c>
    </row>
    <row r="140" spans="1:18">
      <c r="A140" s="4">
        <v>11.05</v>
      </c>
      <c r="B140" s="6">
        <v>7874</v>
      </c>
      <c r="C140" s="6">
        <v>-8.88</v>
      </c>
      <c r="D140" s="6">
        <v>-15.12</v>
      </c>
      <c r="E140" s="6">
        <v>6927</v>
      </c>
      <c r="F140" s="6">
        <v>-10.48</v>
      </c>
      <c r="G140" s="6">
        <v>-18.25</v>
      </c>
      <c r="H140" s="6">
        <v>947</v>
      </c>
      <c r="I140" s="6">
        <v>4.8</v>
      </c>
      <c r="J140" s="6">
        <v>17.87</v>
      </c>
      <c r="K140" s="6">
        <v>7871</v>
      </c>
      <c r="L140" s="6">
        <v>-8.87</v>
      </c>
      <c r="M140" s="6">
        <v>-15.12</v>
      </c>
      <c r="N140" s="6">
        <v>6172</v>
      </c>
      <c r="O140" s="6">
        <v>5.38</v>
      </c>
      <c r="P140" s="6">
        <v>20.3</v>
      </c>
      <c r="Q140" s="1">
        <f t="shared" si="4"/>
        <v>38657</v>
      </c>
      <c r="R140" t="str">
        <f t="shared" si="5"/>
        <v>2005-11-01</v>
      </c>
    </row>
    <row r="141" spans="1:18">
      <c r="A141" s="4">
        <v>12.05</v>
      </c>
      <c r="B141" s="5">
        <v>7069</v>
      </c>
      <c r="C141" s="5">
        <v>-10.22</v>
      </c>
      <c r="D141" s="5">
        <v>-23.8</v>
      </c>
      <c r="E141" s="5">
        <v>6084</v>
      </c>
      <c r="F141" s="5">
        <v>-12.17</v>
      </c>
      <c r="G141" s="5">
        <v>-28.2</v>
      </c>
      <c r="H141" s="5">
        <v>986</v>
      </c>
      <c r="I141" s="5">
        <v>4.05</v>
      </c>
      <c r="J141" s="5">
        <v>22.64</v>
      </c>
      <c r="K141" s="5">
        <v>7065</v>
      </c>
      <c r="L141" s="5">
        <v>-10.23</v>
      </c>
      <c r="M141" s="5">
        <v>-23.81</v>
      </c>
      <c r="N141" s="5">
        <v>8074</v>
      </c>
      <c r="O141" s="5">
        <v>30.81</v>
      </c>
      <c r="P141" s="5">
        <v>57.36</v>
      </c>
      <c r="Q141" s="1">
        <f t="shared" si="4"/>
        <v>38687</v>
      </c>
      <c r="R141" t="str">
        <f t="shared" si="5"/>
        <v>2005-12-01</v>
      </c>
    </row>
    <row r="142" ht="21" spans="1:18">
      <c r="A142" s="4" t="s">
        <v>110</v>
      </c>
      <c r="B142" s="6">
        <v>8068</v>
      </c>
      <c r="C142" s="6">
        <v>14.12</v>
      </c>
      <c r="D142" s="6">
        <v>14.13</v>
      </c>
      <c r="E142" s="6">
        <v>6973</v>
      </c>
      <c r="F142" s="6">
        <v>14.6</v>
      </c>
      <c r="G142" s="6">
        <v>14.61</v>
      </c>
      <c r="H142" s="6">
        <v>1095</v>
      </c>
      <c r="I142" s="6">
        <v>11.12</v>
      </c>
      <c r="J142" s="6">
        <v>11.12</v>
      </c>
      <c r="K142" s="6">
        <v>8063</v>
      </c>
      <c r="L142" s="6">
        <v>14.11</v>
      </c>
      <c r="M142" s="6">
        <v>14.11</v>
      </c>
      <c r="N142" s="6">
        <v>8095</v>
      </c>
      <c r="O142" s="6">
        <v>1</v>
      </c>
      <c r="P142" s="6">
        <v>0.26</v>
      </c>
      <c r="Q142" s="1">
        <f t="shared" si="4"/>
        <v>38718</v>
      </c>
      <c r="R142" t="str">
        <f t="shared" si="5"/>
        <v>2006-01-01</v>
      </c>
    </row>
    <row r="143" ht="21" spans="1:18">
      <c r="A143" s="4" t="s">
        <v>111</v>
      </c>
      <c r="B143" s="5">
        <v>9072</v>
      </c>
      <c r="C143" s="5">
        <v>12.45</v>
      </c>
      <c r="D143" s="5">
        <v>28.34</v>
      </c>
      <c r="E143" s="5">
        <v>8003</v>
      </c>
      <c r="F143" s="5">
        <v>14.77</v>
      </c>
      <c r="G143" s="5">
        <v>31.54</v>
      </c>
      <c r="H143" s="5">
        <v>1070</v>
      </c>
      <c r="I143" s="5">
        <v>-2.33</v>
      </c>
      <c r="J143" s="5">
        <v>8.53</v>
      </c>
      <c r="K143" s="5">
        <v>9068</v>
      </c>
      <c r="L143" s="5">
        <v>12.47</v>
      </c>
      <c r="M143" s="5">
        <v>28.35</v>
      </c>
      <c r="N143" s="5">
        <v>8157</v>
      </c>
      <c r="O143" s="5">
        <v>0.76</v>
      </c>
      <c r="P143" s="5">
        <v>1.03</v>
      </c>
      <c r="Q143" s="1">
        <f t="shared" si="4"/>
        <v>38749</v>
      </c>
      <c r="R143" t="str">
        <f t="shared" si="5"/>
        <v>2006-02-01</v>
      </c>
    </row>
    <row r="144" ht="21" spans="1:18">
      <c r="A144" s="4" t="s">
        <v>112</v>
      </c>
      <c r="B144" s="6">
        <v>11083</v>
      </c>
      <c r="C144" s="6">
        <v>22.17</v>
      </c>
      <c r="D144" s="6">
        <v>56.78</v>
      </c>
      <c r="E144" s="6">
        <v>9902</v>
      </c>
      <c r="F144" s="6">
        <v>23.74</v>
      </c>
      <c r="G144" s="6">
        <v>62.77</v>
      </c>
      <c r="H144" s="6">
        <v>1181</v>
      </c>
      <c r="I144" s="6">
        <v>10.4</v>
      </c>
      <c r="J144" s="6">
        <v>19.82</v>
      </c>
      <c r="K144" s="6">
        <v>11080</v>
      </c>
      <c r="L144" s="6">
        <v>22.18</v>
      </c>
      <c r="M144" s="6">
        <v>56.82</v>
      </c>
      <c r="N144" s="6">
        <v>8326</v>
      </c>
      <c r="O144" s="6">
        <v>2.08</v>
      </c>
      <c r="P144" s="6">
        <v>3.12</v>
      </c>
      <c r="Q144" s="1">
        <f t="shared" si="4"/>
        <v>38777</v>
      </c>
      <c r="R144" t="str">
        <f t="shared" si="5"/>
        <v>2006-03-01</v>
      </c>
    </row>
    <row r="145" ht="21" spans="1:18">
      <c r="A145" s="4" t="s">
        <v>113</v>
      </c>
      <c r="B145" s="5">
        <v>12400</v>
      </c>
      <c r="C145" s="5">
        <v>11.88</v>
      </c>
      <c r="D145" s="5">
        <v>75.4</v>
      </c>
      <c r="E145" s="5">
        <v>11172</v>
      </c>
      <c r="F145" s="5">
        <v>12.82</v>
      </c>
      <c r="G145" s="5">
        <v>83.65</v>
      </c>
      <c r="H145" s="5">
        <v>1227</v>
      </c>
      <c r="I145" s="5">
        <v>3.93</v>
      </c>
      <c r="J145" s="5">
        <v>24.53</v>
      </c>
      <c r="K145" s="5">
        <v>12396</v>
      </c>
      <c r="L145" s="5">
        <v>11.88</v>
      </c>
      <c r="M145" s="5">
        <v>75.45</v>
      </c>
      <c r="N145" s="5">
        <v>8547</v>
      </c>
      <c r="O145" s="5">
        <v>2.65</v>
      </c>
      <c r="P145" s="5">
        <v>5.86</v>
      </c>
      <c r="Q145" s="1">
        <f t="shared" si="4"/>
        <v>38808</v>
      </c>
      <c r="R145" t="str">
        <f t="shared" si="5"/>
        <v>2006-04-01</v>
      </c>
    </row>
    <row r="146" ht="21" spans="1:18">
      <c r="A146" s="4" t="s">
        <v>114</v>
      </c>
      <c r="B146" s="6">
        <v>14035</v>
      </c>
      <c r="C146" s="6">
        <v>13.19</v>
      </c>
      <c r="D146" s="6">
        <v>98.54</v>
      </c>
      <c r="E146" s="6">
        <v>12778</v>
      </c>
      <c r="F146" s="6">
        <v>14.37</v>
      </c>
      <c r="G146" s="6">
        <v>110.03</v>
      </c>
      <c r="H146" s="6">
        <v>1257</v>
      </c>
      <c r="I146" s="6">
        <v>2.45</v>
      </c>
      <c r="J146" s="6">
        <v>27.59</v>
      </c>
      <c r="K146" s="6">
        <v>14031</v>
      </c>
      <c r="L146" s="6">
        <v>13.19</v>
      </c>
      <c r="M146" s="6">
        <v>98.59</v>
      </c>
      <c r="N146" s="6">
        <v>8716</v>
      </c>
      <c r="O146" s="6">
        <v>1.98</v>
      </c>
      <c r="P146" s="6">
        <v>7.96</v>
      </c>
      <c r="Q146" s="1">
        <f t="shared" si="4"/>
        <v>38838</v>
      </c>
      <c r="R146" t="str">
        <f t="shared" si="5"/>
        <v>2006-05-01</v>
      </c>
    </row>
    <row r="147" ht="21" spans="1:18">
      <c r="A147" s="4" t="s">
        <v>115</v>
      </c>
      <c r="B147" s="5">
        <v>13084</v>
      </c>
      <c r="C147" s="5">
        <v>-6.78</v>
      </c>
      <c r="D147" s="5">
        <v>85.08</v>
      </c>
      <c r="E147" s="5">
        <v>11929</v>
      </c>
      <c r="F147" s="5">
        <v>-6.64</v>
      </c>
      <c r="G147" s="5">
        <v>96.09</v>
      </c>
      <c r="H147" s="5">
        <v>1154</v>
      </c>
      <c r="I147" s="5">
        <v>-8.19</v>
      </c>
      <c r="J147" s="5">
        <v>17.13</v>
      </c>
      <c r="K147" s="5">
        <v>13079</v>
      </c>
      <c r="L147" s="5">
        <v>-6.78</v>
      </c>
      <c r="M147" s="5">
        <v>85.12</v>
      </c>
      <c r="N147" s="5">
        <v>9848</v>
      </c>
      <c r="O147" s="5">
        <v>12.98</v>
      </c>
      <c r="P147" s="5">
        <v>21.98</v>
      </c>
      <c r="Q147" s="1">
        <f t="shared" si="4"/>
        <v>38869</v>
      </c>
      <c r="R147" t="str">
        <f t="shared" si="5"/>
        <v>2006-06-01</v>
      </c>
    </row>
    <row r="148" ht="21" spans="1:18">
      <c r="A148" s="4" t="s">
        <v>116</v>
      </c>
      <c r="B148" s="6">
        <v>13905</v>
      </c>
      <c r="C148" s="6">
        <v>6.27</v>
      </c>
      <c r="D148" s="6">
        <v>96.69</v>
      </c>
      <c r="E148" s="6">
        <v>12680</v>
      </c>
      <c r="F148" s="6">
        <v>6.29</v>
      </c>
      <c r="G148" s="6">
        <v>108.42</v>
      </c>
      <c r="H148" s="6">
        <v>1225</v>
      </c>
      <c r="I148" s="6">
        <v>6.1</v>
      </c>
      <c r="J148" s="6">
        <v>24.28</v>
      </c>
      <c r="K148" s="6">
        <v>13900</v>
      </c>
      <c r="L148" s="6">
        <v>6.28</v>
      </c>
      <c r="M148" s="6">
        <v>96.74</v>
      </c>
      <c r="N148" s="6">
        <v>10205</v>
      </c>
      <c r="O148" s="6">
        <v>3.63</v>
      </c>
      <c r="P148" s="6">
        <v>26.4</v>
      </c>
      <c r="Q148" s="1">
        <f t="shared" si="4"/>
        <v>38899</v>
      </c>
      <c r="R148" t="str">
        <f t="shared" si="5"/>
        <v>2006-07-01</v>
      </c>
    </row>
    <row r="149" ht="21" spans="1:18">
      <c r="A149" s="4" t="s">
        <v>117</v>
      </c>
      <c r="B149" s="5">
        <v>13544</v>
      </c>
      <c r="C149" s="5">
        <v>-2.6</v>
      </c>
      <c r="D149" s="5">
        <v>91.58</v>
      </c>
      <c r="E149" s="5">
        <v>12348</v>
      </c>
      <c r="F149" s="5">
        <v>-2.62</v>
      </c>
      <c r="G149" s="5">
        <v>102.97</v>
      </c>
      <c r="H149" s="5">
        <v>1195</v>
      </c>
      <c r="I149" s="5">
        <v>-2.39</v>
      </c>
      <c r="J149" s="5">
        <v>21.3</v>
      </c>
      <c r="K149" s="5">
        <v>13538</v>
      </c>
      <c r="L149" s="5">
        <v>-2.6</v>
      </c>
      <c r="M149" s="5">
        <v>91.61</v>
      </c>
      <c r="N149" s="5">
        <v>10935</v>
      </c>
      <c r="O149" s="5">
        <v>7.15</v>
      </c>
      <c r="P149" s="5">
        <v>35.44</v>
      </c>
      <c r="Q149" s="1">
        <f t="shared" si="4"/>
        <v>38930</v>
      </c>
      <c r="R149" t="str">
        <f t="shared" si="5"/>
        <v>2006-08-01</v>
      </c>
    </row>
    <row r="150" ht="21" spans="1:18">
      <c r="A150" s="4" t="s">
        <v>118</v>
      </c>
      <c r="B150" s="6">
        <v>13472</v>
      </c>
      <c r="C150" s="6">
        <v>-0.53</v>
      </c>
      <c r="D150" s="6">
        <v>90.58</v>
      </c>
      <c r="E150" s="6">
        <v>12315</v>
      </c>
      <c r="F150" s="6">
        <v>-0.27</v>
      </c>
      <c r="G150" s="6">
        <v>102.43</v>
      </c>
      <c r="H150" s="6">
        <v>1157</v>
      </c>
      <c r="I150" s="6">
        <v>-3.2</v>
      </c>
      <c r="J150" s="6">
        <v>17.42</v>
      </c>
      <c r="K150" s="6">
        <v>13468</v>
      </c>
      <c r="L150" s="6">
        <v>-0.52</v>
      </c>
      <c r="M150" s="6">
        <v>90.63</v>
      </c>
      <c r="N150" s="6">
        <v>11514</v>
      </c>
      <c r="O150" s="6">
        <v>5.29</v>
      </c>
      <c r="P150" s="6">
        <v>42.61</v>
      </c>
      <c r="Q150" s="1">
        <f t="shared" si="4"/>
        <v>38961</v>
      </c>
      <c r="R150" t="str">
        <f t="shared" si="5"/>
        <v>2006-09-01</v>
      </c>
    </row>
    <row r="151" spans="1:18">
      <c r="A151" s="4">
        <v>10.06</v>
      </c>
      <c r="B151" s="5">
        <v>14188</v>
      </c>
      <c r="C151" s="5">
        <v>5.31</v>
      </c>
      <c r="D151" s="5">
        <v>100.69</v>
      </c>
      <c r="E151" s="5">
        <v>13032</v>
      </c>
      <c r="F151" s="5">
        <v>5.82</v>
      </c>
      <c r="G151" s="5">
        <v>114.21</v>
      </c>
      <c r="H151" s="5">
        <v>1156</v>
      </c>
      <c r="I151" s="5">
        <v>-0.14</v>
      </c>
      <c r="J151" s="5">
        <v>17.25</v>
      </c>
      <c r="K151" s="5">
        <v>14183</v>
      </c>
      <c r="L151" s="5">
        <v>5.31</v>
      </c>
      <c r="M151" s="5">
        <v>100.74</v>
      </c>
      <c r="N151" s="5">
        <v>12087</v>
      </c>
      <c r="O151" s="5">
        <v>4.98</v>
      </c>
      <c r="P151" s="5">
        <v>49.71</v>
      </c>
      <c r="Q151" s="1">
        <f t="shared" si="4"/>
        <v>38991</v>
      </c>
      <c r="R151" t="str">
        <f t="shared" si="5"/>
        <v>2006-10-01</v>
      </c>
    </row>
    <row r="152" spans="1:18">
      <c r="A152" s="4">
        <v>11.06</v>
      </c>
      <c r="B152" s="6">
        <v>15091</v>
      </c>
      <c r="C152" s="6">
        <v>6.37</v>
      </c>
      <c r="D152" s="6">
        <v>113.47</v>
      </c>
      <c r="E152" s="6">
        <v>13767</v>
      </c>
      <c r="F152" s="6">
        <v>5.64</v>
      </c>
      <c r="G152" s="6">
        <v>126.3</v>
      </c>
      <c r="H152" s="6">
        <v>1323</v>
      </c>
      <c r="I152" s="6">
        <v>14.52</v>
      </c>
      <c r="J152" s="6">
        <v>34.28</v>
      </c>
      <c r="K152" s="6">
        <v>15086</v>
      </c>
      <c r="L152" s="6">
        <v>6.37</v>
      </c>
      <c r="M152" s="6">
        <v>113.53</v>
      </c>
      <c r="N152" s="6">
        <v>13228</v>
      </c>
      <c r="O152" s="6">
        <v>9.43</v>
      </c>
      <c r="P152" s="6">
        <v>63.84</v>
      </c>
      <c r="Q152" s="1">
        <f t="shared" si="4"/>
        <v>39022</v>
      </c>
      <c r="R152" t="str">
        <f t="shared" si="5"/>
        <v>2006-11-01</v>
      </c>
    </row>
    <row r="153" spans="1:18">
      <c r="A153" s="4">
        <v>12.06</v>
      </c>
      <c r="B153" s="5">
        <v>19127</v>
      </c>
      <c r="C153" s="5">
        <v>26.75</v>
      </c>
      <c r="D153" s="5">
        <v>170.57</v>
      </c>
      <c r="E153" s="5">
        <v>17751</v>
      </c>
      <c r="F153" s="5">
        <v>28.94</v>
      </c>
      <c r="G153" s="5">
        <v>191.78</v>
      </c>
      <c r="H153" s="5">
        <v>1376</v>
      </c>
      <c r="I153" s="5">
        <v>4</v>
      </c>
      <c r="J153" s="5">
        <v>39.65</v>
      </c>
      <c r="K153" s="5">
        <v>19123</v>
      </c>
      <c r="L153" s="5">
        <v>26.76</v>
      </c>
      <c r="M153" s="5">
        <v>170.66</v>
      </c>
      <c r="N153" s="5">
        <v>14092</v>
      </c>
      <c r="O153" s="5">
        <v>6.53</v>
      </c>
      <c r="P153" s="5">
        <v>74.54</v>
      </c>
      <c r="Q153" s="1">
        <f t="shared" si="4"/>
        <v>39052</v>
      </c>
      <c r="R153" t="str">
        <f t="shared" si="5"/>
        <v>2006-12-01</v>
      </c>
    </row>
    <row r="154" ht="21" spans="1:18">
      <c r="A154" s="4" t="s">
        <v>119</v>
      </c>
      <c r="B154" s="6">
        <v>20901</v>
      </c>
      <c r="C154" s="6">
        <v>9.27</v>
      </c>
      <c r="D154" s="6">
        <v>9.27</v>
      </c>
      <c r="E154" s="6">
        <v>19503</v>
      </c>
      <c r="F154" s="6">
        <v>9.87</v>
      </c>
      <c r="G154" s="6">
        <v>9.87</v>
      </c>
      <c r="H154" s="6">
        <v>1398</v>
      </c>
      <c r="I154" s="6">
        <v>1.58</v>
      </c>
      <c r="J154" s="6">
        <v>1.58</v>
      </c>
      <c r="K154" s="6">
        <v>20897</v>
      </c>
      <c r="L154" s="6">
        <v>9.28</v>
      </c>
      <c r="M154" s="6">
        <v>9.28</v>
      </c>
      <c r="N154" s="6">
        <v>14740</v>
      </c>
      <c r="O154" s="6">
        <v>4.6</v>
      </c>
      <c r="P154" s="6">
        <v>4.6</v>
      </c>
      <c r="Q154" s="1">
        <f t="shared" si="4"/>
        <v>39083</v>
      </c>
      <c r="R154" t="str">
        <f t="shared" si="5"/>
        <v>2007-01-01</v>
      </c>
    </row>
    <row r="155" ht="21" spans="1:18">
      <c r="A155" s="4" t="s">
        <v>120</v>
      </c>
      <c r="B155" s="5">
        <v>21855</v>
      </c>
      <c r="C155" s="5">
        <v>4.56</v>
      </c>
      <c r="D155" s="5">
        <v>14.26</v>
      </c>
      <c r="E155" s="5">
        <v>20389</v>
      </c>
      <c r="F155" s="5">
        <v>4.54</v>
      </c>
      <c r="G155" s="5">
        <v>14.86</v>
      </c>
      <c r="H155" s="5">
        <v>1466</v>
      </c>
      <c r="I155" s="5">
        <v>4.86</v>
      </c>
      <c r="J155" s="5">
        <v>6.52</v>
      </c>
      <c r="K155" s="5">
        <v>21846</v>
      </c>
      <c r="L155" s="5">
        <v>4.54</v>
      </c>
      <c r="M155" s="5">
        <v>14.24</v>
      </c>
      <c r="N155" s="5">
        <v>15539</v>
      </c>
      <c r="O155" s="5">
        <v>5.42</v>
      </c>
      <c r="P155" s="5">
        <v>10.27</v>
      </c>
      <c r="Q155" s="1">
        <f t="shared" si="4"/>
        <v>39114</v>
      </c>
      <c r="R155" t="str">
        <f t="shared" si="5"/>
        <v>2007-02-01</v>
      </c>
    </row>
    <row r="156" ht="21" spans="1:18">
      <c r="A156" s="4" t="s">
        <v>121</v>
      </c>
      <c r="B156" s="6">
        <v>21567</v>
      </c>
      <c r="C156" s="6">
        <v>-1.32</v>
      </c>
      <c r="D156" s="6">
        <v>12.76</v>
      </c>
      <c r="E156" s="6">
        <v>20116</v>
      </c>
      <c r="F156" s="6">
        <v>-1.34</v>
      </c>
      <c r="G156" s="6">
        <v>13.33</v>
      </c>
      <c r="H156" s="6">
        <v>1450</v>
      </c>
      <c r="I156" s="6">
        <v>-1.06</v>
      </c>
      <c r="J156" s="6">
        <v>5.39</v>
      </c>
      <c r="K156" s="6">
        <v>21560</v>
      </c>
      <c r="L156" s="6">
        <v>-1.31</v>
      </c>
      <c r="M156" s="6">
        <v>12.74</v>
      </c>
      <c r="N156" s="6">
        <v>15880</v>
      </c>
      <c r="O156" s="6">
        <v>2.19</v>
      </c>
      <c r="P156" s="6">
        <v>12.69</v>
      </c>
      <c r="Q156" s="1">
        <f t="shared" si="4"/>
        <v>39142</v>
      </c>
      <c r="R156" t="str">
        <f t="shared" si="5"/>
        <v>2007-03-01</v>
      </c>
    </row>
    <row r="157" ht="21" spans="1:18">
      <c r="A157" s="4" t="s">
        <v>122</v>
      </c>
      <c r="B157" s="5">
        <v>22267</v>
      </c>
      <c r="C157" s="5">
        <v>3.25</v>
      </c>
      <c r="D157" s="5">
        <v>16.42</v>
      </c>
      <c r="E157" s="5">
        <v>20778</v>
      </c>
      <c r="F157" s="5">
        <v>3.29</v>
      </c>
      <c r="G157" s="5">
        <v>17.06</v>
      </c>
      <c r="H157" s="5">
        <v>1489</v>
      </c>
      <c r="I157" s="5">
        <v>2.67</v>
      </c>
      <c r="J157" s="5">
        <v>8.2</v>
      </c>
      <c r="K157" s="5">
        <v>22263</v>
      </c>
      <c r="L157" s="5">
        <v>3.26</v>
      </c>
      <c r="M157" s="5">
        <v>16.42</v>
      </c>
      <c r="N157" s="5">
        <v>16438</v>
      </c>
      <c r="O157" s="5">
        <v>3.52</v>
      </c>
      <c r="P157" s="5">
        <v>16.65</v>
      </c>
      <c r="Q157" s="1">
        <f t="shared" si="4"/>
        <v>39173</v>
      </c>
      <c r="R157" t="str">
        <f t="shared" si="5"/>
        <v>2007-04-01</v>
      </c>
    </row>
    <row r="158" ht="21" spans="1:18">
      <c r="A158" s="4" t="s">
        <v>123</v>
      </c>
      <c r="B158" s="6">
        <v>21759</v>
      </c>
      <c r="C158" s="6">
        <v>-2.28</v>
      </c>
      <c r="D158" s="6">
        <v>13.76</v>
      </c>
      <c r="E158" s="6">
        <v>20284</v>
      </c>
      <c r="F158" s="6">
        <v>-2.38</v>
      </c>
      <c r="G158" s="6">
        <v>14.27</v>
      </c>
      <c r="H158" s="6">
        <v>1475</v>
      </c>
      <c r="I158" s="6">
        <v>-0.95</v>
      </c>
      <c r="J158" s="6">
        <v>7.17</v>
      </c>
      <c r="K158" s="6">
        <v>21755</v>
      </c>
      <c r="L158" s="6">
        <v>-2.28</v>
      </c>
      <c r="M158" s="6">
        <v>13.76</v>
      </c>
      <c r="N158" s="6">
        <v>17463</v>
      </c>
      <c r="O158" s="6">
        <v>6.24</v>
      </c>
      <c r="P158" s="6">
        <v>23.92</v>
      </c>
      <c r="Q158" s="1">
        <f t="shared" si="4"/>
        <v>39203</v>
      </c>
      <c r="R158" t="str">
        <f t="shared" si="5"/>
        <v>2007-05-01</v>
      </c>
    </row>
    <row r="159" ht="21" spans="1:18">
      <c r="A159" s="4" t="s">
        <v>124</v>
      </c>
      <c r="B159" s="5">
        <v>22375</v>
      </c>
      <c r="C159" s="5">
        <v>2.83</v>
      </c>
      <c r="D159" s="5">
        <v>16.98</v>
      </c>
      <c r="E159" s="5">
        <v>20919</v>
      </c>
      <c r="F159" s="5">
        <v>3.13</v>
      </c>
      <c r="G159" s="5">
        <v>17.85</v>
      </c>
      <c r="H159" s="5">
        <v>1457</v>
      </c>
      <c r="I159" s="5">
        <v>-1.25</v>
      </c>
      <c r="J159" s="5">
        <v>5.84</v>
      </c>
      <c r="K159" s="5">
        <v>22372</v>
      </c>
      <c r="L159" s="5">
        <v>2.83</v>
      </c>
      <c r="M159" s="5">
        <v>16.99</v>
      </c>
      <c r="N159" s="5">
        <v>17643</v>
      </c>
      <c r="O159" s="5">
        <v>1.03</v>
      </c>
      <c r="P159" s="5">
        <v>25.2</v>
      </c>
      <c r="Q159" s="1">
        <f t="shared" si="4"/>
        <v>39234</v>
      </c>
      <c r="R159" t="str">
        <f t="shared" si="5"/>
        <v>2007-06-01</v>
      </c>
    </row>
    <row r="160" ht="21" spans="1:18">
      <c r="A160" s="4" t="s">
        <v>125</v>
      </c>
      <c r="B160" s="6">
        <v>23409</v>
      </c>
      <c r="C160" s="6">
        <v>4.62</v>
      </c>
      <c r="D160" s="6">
        <v>22.38</v>
      </c>
      <c r="E160" s="6">
        <v>21964</v>
      </c>
      <c r="F160" s="6">
        <v>5</v>
      </c>
      <c r="G160" s="6">
        <v>23.74</v>
      </c>
      <c r="H160" s="6">
        <v>1444</v>
      </c>
      <c r="I160" s="6">
        <v>-0.85</v>
      </c>
      <c r="J160" s="6">
        <v>4.94</v>
      </c>
      <c r="K160" s="6">
        <v>23397</v>
      </c>
      <c r="L160" s="6">
        <v>4.58</v>
      </c>
      <c r="M160" s="6">
        <v>22.35</v>
      </c>
      <c r="N160" s="6">
        <v>18085</v>
      </c>
      <c r="O160" s="6">
        <v>2.51</v>
      </c>
      <c r="P160" s="6">
        <v>28.33</v>
      </c>
      <c r="Q160" s="1">
        <f t="shared" si="4"/>
        <v>39264</v>
      </c>
      <c r="R160" t="str">
        <f t="shared" si="5"/>
        <v>2007-07-01</v>
      </c>
    </row>
    <row r="161" ht="21" spans="1:18">
      <c r="A161" s="4" t="s">
        <v>126</v>
      </c>
      <c r="B161" s="5">
        <v>20035</v>
      </c>
      <c r="C161" s="5">
        <v>-14.41</v>
      </c>
      <c r="D161" s="5">
        <v>4.75</v>
      </c>
      <c r="E161" s="5">
        <v>18595</v>
      </c>
      <c r="F161" s="5">
        <v>-15.34</v>
      </c>
      <c r="G161" s="5">
        <v>4.76</v>
      </c>
      <c r="H161" s="5">
        <v>1440</v>
      </c>
      <c r="I161" s="5">
        <v>-0.3</v>
      </c>
      <c r="J161" s="5">
        <v>4.62</v>
      </c>
      <c r="K161" s="5">
        <v>20013</v>
      </c>
      <c r="L161" s="5">
        <v>-14.46</v>
      </c>
      <c r="M161" s="5">
        <v>4.65</v>
      </c>
      <c r="N161" s="5">
        <v>18356</v>
      </c>
      <c r="O161" s="5">
        <v>1.5</v>
      </c>
      <c r="P161" s="5">
        <v>30.26</v>
      </c>
      <c r="Q161" s="1">
        <f t="shared" si="4"/>
        <v>39295</v>
      </c>
      <c r="R161" t="str">
        <f t="shared" si="5"/>
        <v>2007-08-01</v>
      </c>
    </row>
    <row r="162" ht="21" spans="1:18">
      <c r="A162" s="4" t="s">
        <v>127</v>
      </c>
      <c r="B162" s="6">
        <v>18424</v>
      </c>
      <c r="C162" s="6">
        <v>-8.04</v>
      </c>
      <c r="D162" s="6">
        <v>-3.68</v>
      </c>
      <c r="E162" s="6">
        <v>16937</v>
      </c>
      <c r="F162" s="6">
        <v>-8.92</v>
      </c>
      <c r="G162" s="6">
        <v>-4.59</v>
      </c>
      <c r="H162" s="6">
        <v>1487</v>
      </c>
      <c r="I162" s="6">
        <v>3.3</v>
      </c>
      <c r="J162" s="6">
        <v>8.08</v>
      </c>
      <c r="K162" s="6">
        <v>18421</v>
      </c>
      <c r="L162" s="6">
        <v>-7.96</v>
      </c>
      <c r="M162" s="6">
        <v>-3.67</v>
      </c>
      <c r="N162" s="6">
        <v>18679</v>
      </c>
      <c r="O162" s="6">
        <v>1.76</v>
      </c>
      <c r="P162" s="6">
        <v>32.55</v>
      </c>
      <c r="Q162" s="1">
        <f t="shared" si="4"/>
        <v>39326</v>
      </c>
      <c r="R162" t="str">
        <f t="shared" si="5"/>
        <v>2007-09-01</v>
      </c>
    </row>
    <row r="163" spans="1:18">
      <c r="A163" s="4">
        <v>10.07</v>
      </c>
      <c r="B163" s="5">
        <v>17430</v>
      </c>
      <c r="C163" s="5">
        <v>-5.4</v>
      </c>
      <c r="D163" s="5">
        <v>-8.87</v>
      </c>
      <c r="E163" s="5">
        <v>15851</v>
      </c>
      <c r="F163" s="5">
        <v>-6.41</v>
      </c>
      <c r="G163" s="5">
        <v>-10.7</v>
      </c>
      <c r="H163" s="5">
        <v>1578</v>
      </c>
      <c r="I163" s="5">
        <v>6.12</v>
      </c>
      <c r="J163" s="5">
        <v>14.69</v>
      </c>
      <c r="K163" s="5">
        <v>17427</v>
      </c>
      <c r="L163" s="5">
        <v>-5.4</v>
      </c>
      <c r="M163" s="5">
        <v>-8.87</v>
      </c>
      <c r="N163" s="5">
        <v>20056</v>
      </c>
      <c r="O163" s="5">
        <v>7.37</v>
      </c>
      <c r="P163" s="5">
        <v>42.32</v>
      </c>
      <c r="Q163" s="1">
        <f t="shared" si="4"/>
        <v>39356</v>
      </c>
      <c r="R163" t="str">
        <f t="shared" si="5"/>
        <v>2007-10-01</v>
      </c>
    </row>
    <row r="164" spans="1:18">
      <c r="A164" s="4">
        <v>11.07</v>
      </c>
      <c r="B164" s="6">
        <v>18120</v>
      </c>
      <c r="C164" s="6">
        <v>3.96</v>
      </c>
      <c r="D164" s="6">
        <v>-5.27</v>
      </c>
      <c r="E164" s="6">
        <v>16359</v>
      </c>
      <c r="F164" s="6">
        <v>3.2</v>
      </c>
      <c r="G164" s="6">
        <v>-7.84</v>
      </c>
      <c r="H164" s="6">
        <v>1761</v>
      </c>
      <c r="I164" s="6">
        <v>11.58</v>
      </c>
      <c r="J164" s="6">
        <v>27.97</v>
      </c>
      <c r="K164" s="6">
        <v>18117</v>
      </c>
      <c r="L164" s="6">
        <v>3.96</v>
      </c>
      <c r="M164" s="6">
        <v>-5.26</v>
      </c>
      <c r="N164" s="6">
        <v>20762</v>
      </c>
      <c r="O164" s="6">
        <v>3.52</v>
      </c>
      <c r="P164" s="6">
        <v>47.33</v>
      </c>
      <c r="Q164" s="1">
        <f t="shared" si="4"/>
        <v>39387</v>
      </c>
      <c r="R164" t="str">
        <f t="shared" si="5"/>
        <v>2007-11-01</v>
      </c>
    </row>
    <row r="165" spans="1:18">
      <c r="A165" s="4">
        <v>12.07</v>
      </c>
      <c r="B165" s="5">
        <v>17629</v>
      </c>
      <c r="C165" s="5">
        <v>-2.71</v>
      </c>
      <c r="D165" s="5">
        <v>-7.83</v>
      </c>
      <c r="E165" s="5">
        <v>15777</v>
      </c>
      <c r="F165" s="5">
        <v>-3.56</v>
      </c>
      <c r="G165" s="5">
        <v>-11.12</v>
      </c>
      <c r="H165" s="5">
        <v>1853</v>
      </c>
      <c r="I165" s="5">
        <v>5.19</v>
      </c>
      <c r="J165" s="5">
        <v>34.61</v>
      </c>
      <c r="K165" s="5">
        <v>17626</v>
      </c>
      <c r="L165" s="5">
        <v>-2.71</v>
      </c>
      <c r="M165" s="5">
        <v>-7.83</v>
      </c>
      <c r="N165" s="5">
        <v>21006</v>
      </c>
      <c r="O165" s="5">
        <v>1.18</v>
      </c>
      <c r="P165" s="5">
        <v>49.07</v>
      </c>
      <c r="Q165" s="1">
        <f t="shared" si="4"/>
        <v>39417</v>
      </c>
      <c r="R165" t="str">
        <f t="shared" si="5"/>
        <v>2007-12-01</v>
      </c>
    </row>
    <row r="166" ht="21" spans="1:18">
      <c r="A166" s="4" t="s">
        <v>128</v>
      </c>
      <c r="B166" s="6">
        <v>19161</v>
      </c>
      <c r="C166" s="6">
        <v>8.69</v>
      </c>
      <c r="D166" s="6">
        <v>8.69</v>
      </c>
      <c r="E166" s="6">
        <v>17151</v>
      </c>
      <c r="F166" s="6">
        <v>8.71</v>
      </c>
      <c r="G166" s="6">
        <v>8.71</v>
      </c>
      <c r="H166" s="6">
        <v>2011</v>
      </c>
      <c r="I166" s="6">
        <v>8.53</v>
      </c>
      <c r="J166" s="6">
        <v>8.53</v>
      </c>
      <c r="K166" s="6">
        <v>19155</v>
      </c>
      <c r="L166" s="6">
        <v>8.67</v>
      </c>
      <c r="M166" s="6">
        <v>8.67</v>
      </c>
      <c r="N166" s="6">
        <v>21556</v>
      </c>
      <c r="O166" s="6">
        <v>2.62</v>
      </c>
      <c r="P166" s="6">
        <v>2.62</v>
      </c>
      <c r="Q166" s="1">
        <f t="shared" si="4"/>
        <v>39448</v>
      </c>
      <c r="R166" t="str">
        <f t="shared" si="5"/>
        <v>2008-01-01</v>
      </c>
    </row>
    <row r="167" ht="21" spans="1:18">
      <c r="A167" s="4" t="s">
        <v>129</v>
      </c>
      <c r="B167" s="5">
        <v>19046</v>
      </c>
      <c r="C167" s="5">
        <v>-0.6</v>
      </c>
      <c r="D167" s="5">
        <v>8.03</v>
      </c>
      <c r="E167" s="5">
        <v>16937</v>
      </c>
      <c r="F167" s="5">
        <v>-1.25</v>
      </c>
      <c r="G167" s="5">
        <v>7.35</v>
      </c>
      <c r="H167" s="5">
        <v>2109</v>
      </c>
      <c r="I167" s="5">
        <v>4.91</v>
      </c>
      <c r="J167" s="5">
        <v>13.85</v>
      </c>
      <c r="K167" s="5">
        <v>19040</v>
      </c>
      <c r="L167" s="5">
        <v>-0.6</v>
      </c>
      <c r="M167" s="5">
        <v>8.02</v>
      </c>
      <c r="N167" s="5">
        <v>22579</v>
      </c>
      <c r="O167" s="5">
        <v>4.75</v>
      </c>
      <c r="P167" s="5">
        <v>7.49</v>
      </c>
      <c r="Q167" s="1">
        <f t="shared" si="4"/>
        <v>39479</v>
      </c>
      <c r="R167" t="str">
        <f t="shared" si="5"/>
        <v>2008-02-01</v>
      </c>
    </row>
    <row r="168" ht="21" spans="1:18">
      <c r="A168" s="4" t="s">
        <v>130</v>
      </c>
      <c r="B168" s="6">
        <v>19265</v>
      </c>
      <c r="C168" s="6">
        <v>1.15</v>
      </c>
      <c r="D168" s="6">
        <v>9.28</v>
      </c>
      <c r="E168" s="6">
        <v>17234</v>
      </c>
      <c r="F168" s="6">
        <v>1.76</v>
      </c>
      <c r="G168" s="6">
        <v>9.24</v>
      </c>
      <c r="H168" s="6">
        <v>2031</v>
      </c>
      <c r="I168" s="6">
        <v>-3.72</v>
      </c>
      <c r="J168" s="6">
        <v>9.61</v>
      </c>
      <c r="K168" s="6">
        <v>19262</v>
      </c>
      <c r="L168" s="6">
        <v>1.17</v>
      </c>
      <c r="M168" s="6">
        <v>9.28</v>
      </c>
      <c r="N168" s="6">
        <v>23122</v>
      </c>
      <c r="O168" s="6">
        <v>2.41</v>
      </c>
      <c r="P168" s="6">
        <v>10.07</v>
      </c>
      <c r="Q168" s="1">
        <f t="shared" si="4"/>
        <v>39508</v>
      </c>
      <c r="R168" t="str">
        <f t="shared" si="5"/>
        <v>2008-03-01</v>
      </c>
    </row>
    <row r="169" ht="21" spans="1:18">
      <c r="A169" s="4" t="s">
        <v>131</v>
      </c>
      <c r="B169" s="5">
        <v>20727</v>
      </c>
      <c r="C169" s="5">
        <v>7.59</v>
      </c>
      <c r="D169" s="5">
        <v>17.57</v>
      </c>
      <c r="E169" s="5">
        <v>18847</v>
      </c>
      <c r="F169" s="5">
        <v>9.36</v>
      </c>
      <c r="G169" s="5">
        <v>19.46</v>
      </c>
      <c r="H169" s="5">
        <v>1880</v>
      </c>
      <c r="I169" s="5">
        <v>-7.41</v>
      </c>
      <c r="J169" s="5">
        <v>1.49</v>
      </c>
      <c r="K169" s="5">
        <v>20721</v>
      </c>
      <c r="L169" s="5">
        <v>7.57</v>
      </c>
      <c r="M169" s="5">
        <v>17.56</v>
      </c>
      <c r="N169" s="5">
        <v>23300</v>
      </c>
      <c r="O169" s="5">
        <v>0.77</v>
      </c>
      <c r="P169" s="5">
        <v>10.92</v>
      </c>
      <c r="Q169" s="1">
        <f t="shared" si="4"/>
        <v>39539</v>
      </c>
      <c r="R169" t="str">
        <f t="shared" si="5"/>
        <v>2008-04-01</v>
      </c>
    </row>
    <row r="170" ht="21" spans="1:18">
      <c r="A170" s="4" t="s">
        <v>132</v>
      </c>
      <c r="B170" s="6">
        <v>21486</v>
      </c>
      <c r="C170" s="6">
        <v>3.66</v>
      </c>
      <c r="D170" s="6">
        <v>21.88</v>
      </c>
      <c r="E170" s="6">
        <v>19545</v>
      </c>
      <c r="F170" s="6">
        <v>3.71</v>
      </c>
      <c r="G170" s="6">
        <v>23.89</v>
      </c>
      <c r="H170" s="6">
        <v>1941</v>
      </c>
      <c r="I170" s="6">
        <v>3.24</v>
      </c>
      <c r="J170" s="6">
        <v>4.78</v>
      </c>
      <c r="K170" s="6">
        <v>21473</v>
      </c>
      <c r="L170" s="6">
        <v>3.63</v>
      </c>
      <c r="M170" s="6">
        <v>21.82</v>
      </c>
      <c r="N170" s="6">
        <v>24055</v>
      </c>
      <c r="O170" s="6">
        <v>3.24</v>
      </c>
      <c r="P170" s="6">
        <v>14.51</v>
      </c>
      <c r="Q170" s="1">
        <f t="shared" si="4"/>
        <v>39569</v>
      </c>
      <c r="R170" t="str">
        <f t="shared" si="5"/>
        <v>2008-05-01</v>
      </c>
    </row>
    <row r="171" ht="21" spans="1:18">
      <c r="A171" s="4" t="s">
        <v>133</v>
      </c>
      <c r="B171" s="5">
        <v>21140</v>
      </c>
      <c r="C171" s="5">
        <v>-1.61</v>
      </c>
      <c r="D171" s="5">
        <v>19.92</v>
      </c>
      <c r="E171" s="5">
        <v>19082</v>
      </c>
      <c r="F171" s="5">
        <v>-2.37</v>
      </c>
      <c r="G171" s="5">
        <v>20.95</v>
      </c>
      <c r="H171" s="5">
        <v>2059</v>
      </c>
      <c r="I171" s="5">
        <v>6.07</v>
      </c>
      <c r="J171" s="5">
        <v>11.14</v>
      </c>
      <c r="K171" s="5">
        <v>21137</v>
      </c>
      <c r="L171" s="5">
        <v>-1.56</v>
      </c>
      <c r="M171" s="5">
        <v>19.92</v>
      </c>
      <c r="N171" s="5">
        <v>25667</v>
      </c>
      <c r="O171" s="5">
        <v>6.7</v>
      </c>
      <c r="P171" s="5">
        <v>22.19</v>
      </c>
      <c r="Q171" s="1">
        <f t="shared" si="4"/>
        <v>39600</v>
      </c>
      <c r="R171" t="str">
        <f t="shared" si="5"/>
        <v>2008-06-01</v>
      </c>
    </row>
    <row r="172" ht="21" spans="1:18">
      <c r="A172" s="4" t="s">
        <v>134</v>
      </c>
      <c r="B172" s="6">
        <v>21033</v>
      </c>
      <c r="C172" s="6">
        <v>-0.51</v>
      </c>
      <c r="D172" s="6">
        <v>19.31</v>
      </c>
      <c r="E172" s="6">
        <v>18893</v>
      </c>
      <c r="F172" s="6">
        <v>-0.99</v>
      </c>
      <c r="G172" s="6">
        <v>19.75</v>
      </c>
      <c r="H172" s="6">
        <v>2140</v>
      </c>
      <c r="I172" s="6">
        <v>3.93</v>
      </c>
      <c r="J172" s="6">
        <v>15.51</v>
      </c>
      <c r="K172" s="6">
        <v>21027</v>
      </c>
      <c r="L172" s="6">
        <v>-0.52</v>
      </c>
      <c r="M172" s="6">
        <v>19.3</v>
      </c>
      <c r="N172" s="6">
        <v>25966</v>
      </c>
      <c r="O172" s="6">
        <v>1.16</v>
      </c>
      <c r="P172" s="6">
        <v>23.61</v>
      </c>
      <c r="Q172" s="1">
        <f t="shared" si="4"/>
        <v>39630</v>
      </c>
      <c r="R172" t="str">
        <f t="shared" si="5"/>
        <v>2008-07-01</v>
      </c>
    </row>
    <row r="173" ht="21" spans="1:18">
      <c r="A173" s="4" t="s">
        <v>135</v>
      </c>
      <c r="B173" s="5">
        <v>21746</v>
      </c>
      <c r="C173" s="5">
        <v>3.39</v>
      </c>
      <c r="D173" s="5">
        <v>23.35</v>
      </c>
      <c r="E173" s="5">
        <v>19860</v>
      </c>
      <c r="F173" s="5">
        <v>5.12</v>
      </c>
      <c r="G173" s="5">
        <v>25.88</v>
      </c>
      <c r="H173" s="5">
        <v>1886</v>
      </c>
      <c r="I173" s="5">
        <v>-11.87</v>
      </c>
      <c r="J173" s="5">
        <v>1.79</v>
      </c>
      <c r="K173" s="5">
        <v>21743</v>
      </c>
      <c r="L173" s="5">
        <v>3.4</v>
      </c>
      <c r="M173" s="5">
        <v>23.35</v>
      </c>
      <c r="N173" s="5">
        <v>26556</v>
      </c>
      <c r="O173" s="5">
        <v>2.27</v>
      </c>
      <c r="P173" s="5">
        <v>26.42</v>
      </c>
      <c r="Q173" s="1">
        <f t="shared" si="4"/>
        <v>39661</v>
      </c>
      <c r="R173" t="str">
        <f t="shared" si="5"/>
        <v>2008-08-01</v>
      </c>
    </row>
    <row r="174" ht="21" spans="1:18">
      <c r="A174" s="4" t="s">
        <v>136</v>
      </c>
      <c r="B174" s="6">
        <v>21953</v>
      </c>
      <c r="C174" s="6">
        <v>0.95</v>
      </c>
      <c r="D174" s="6">
        <v>24.53</v>
      </c>
      <c r="E174" s="6">
        <v>19927</v>
      </c>
      <c r="F174" s="6">
        <v>0.33</v>
      </c>
      <c r="G174" s="6">
        <v>26.31</v>
      </c>
      <c r="H174" s="6">
        <v>2026</v>
      </c>
      <c r="I174" s="6">
        <v>7.45</v>
      </c>
      <c r="J174" s="6">
        <v>9.37</v>
      </c>
      <c r="K174" s="6">
        <v>21947</v>
      </c>
      <c r="L174" s="6">
        <v>0.94</v>
      </c>
      <c r="M174" s="6">
        <v>24.51</v>
      </c>
      <c r="N174" s="6">
        <v>27561</v>
      </c>
      <c r="O174" s="6">
        <v>3.78</v>
      </c>
      <c r="P174" s="6">
        <v>31.2</v>
      </c>
      <c r="Q174" s="1">
        <f t="shared" si="4"/>
        <v>39692</v>
      </c>
      <c r="R174" t="str">
        <f t="shared" si="5"/>
        <v>2008-09-01</v>
      </c>
    </row>
    <row r="175" spans="1:18">
      <c r="A175" s="4">
        <v>10.08</v>
      </c>
      <c r="B175" s="5">
        <v>21029</v>
      </c>
      <c r="C175" s="5">
        <v>-4.21</v>
      </c>
      <c r="D175" s="5">
        <v>19.28</v>
      </c>
      <c r="E175" s="5">
        <v>19244</v>
      </c>
      <c r="F175" s="5">
        <v>-3.43</v>
      </c>
      <c r="G175" s="5">
        <v>21.98</v>
      </c>
      <c r="H175" s="5">
        <v>1785</v>
      </c>
      <c r="I175" s="5">
        <v>-11.92</v>
      </c>
      <c r="J175" s="5">
        <v>-3.66</v>
      </c>
      <c r="K175" s="5">
        <v>21020</v>
      </c>
      <c r="L175" s="5">
        <v>-4.22</v>
      </c>
      <c r="M175" s="5">
        <v>19.25</v>
      </c>
      <c r="N175" s="5">
        <v>26326</v>
      </c>
      <c r="O175" s="5">
        <v>-4.48</v>
      </c>
      <c r="P175" s="5">
        <v>25.33</v>
      </c>
      <c r="Q175" s="1">
        <f t="shared" si="4"/>
        <v>39722</v>
      </c>
      <c r="R175" t="str">
        <f t="shared" si="5"/>
        <v>2008-10-01</v>
      </c>
    </row>
    <row r="176" spans="1:18">
      <c r="A176" s="4">
        <v>11.08</v>
      </c>
      <c r="B176" s="6">
        <v>19105</v>
      </c>
      <c r="C176" s="6">
        <v>-9.15</v>
      </c>
      <c r="D176" s="6">
        <v>8.37</v>
      </c>
      <c r="E176" s="6">
        <v>17224</v>
      </c>
      <c r="F176" s="6">
        <v>-10.5</v>
      </c>
      <c r="G176" s="6">
        <v>9.17</v>
      </c>
      <c r="H176" s="6">
        <v>1881</v>
      </c>
      <c r="I176" s="6">
        <v>5.41</v>
      </c>
      <c r="J176" s="6">
        <v>1.55</v>
      </c>
      <c r="K176" s="6">
        <v>19096</v>
      </c>
      <c r="L176" s="6">
        <v>-9.15</v>
      </c>
      <c r="M176" s="6">
        <v>8.34</v>
      </c>
      <c r="N176" s="6">
        <v>26776</v>
      </c>
      <c r="O176" s="6">
        <v>1.71</v>
      </c>
      <c r="P176" s="6">
        <v>27.47</v>
      </c>
      <c r="Q176" s="1">
        <f t="shared" si="4"/>
        <v>39753</v>
      </c>
      <c r="R176" t="str">
        <f t="shared" si="5"/>
        <v>2008-11-01</v>
      </c>
    </row>
    <row r="177" spans="1:18">
      <c r="A177" s="4">
        <v>12.08</v>
      </c>
      <c r="B177" s="5">
        <v>19872</v>
      </c>
      <c r="C177" s="5">
        <v>4.01</v>
      </c>
      <c r="D177" s="5">
        <v>12.72</v>
      </c>
      <c r="E177" s="5">
        <v>17871</v>
      </c>
      <c r="F177" s="5">
        <v>3.76</v>
      </c>
      <c r="G177" s="5">
        <v>13.28</v>
      </c>
      <c r="H177" s="5">
        <v>2001</v>
      </c>
      <c r="I177" s="5">
        <v>6.35</v>
      </c>
      <c r="J177" s="5">
        <v>8</v>
      </c>
      <c r="K177" s="5">
        <v>19844</v>
      </c>
      <c r="L177" s="5">
        <v>3.92</v>
      </c>
      <c r="M177" s="5">
        <v>12.58</v>
      </c>
      <c r="N177" s="5">
        <v>27486</v>
      </c>
      <c r="O177" s="5">
        <v>2.65</v>
      </c>
      <c r="P177" s="5">
        <v>30.84</v>
      </c>
      <c r="Q177" s="1">
        <f t="shared" si="4"/>
        <v>39783</v>
      </c>
      <c r="R177" t="str">
        <f t="shared" si="5"/>
        <v>2008-12-01</v>
      </c>
    </row>
    <row r="178" ht="21" spans="1:18">
      <c r="A178" s="4" t="s">
        <v>137</v>
      </c>
      <c r="B178" s="6">
        <v>18266</v>
      </c>
      <c r="C178" s="6">
        <v>-8.08</v>
      </c>
      <c r="D178" s="6">
        <v>-8.08</v>
      </c>
      <c r="E178" s="6">
        <v>16234</v>
      </c>
      <c r="F178" s="6">
        <v>-9.16</v>
      </c>
      <c r="G178" s="6">
        <v>-9.16</v>
      </c>
      <c r="H178" s="6">
        <v>2032</v>
      </c>
      <c r="I178" s="6">
        <v>1.58</v>
      </c>
      <c r="J178" s="6">
        <v>1.58</v>
      </c>
      <c r="K178" s="6">
        <v>18236</v>
      </c>
      <c r="L178" s="6">
        <v>-8.1</v>
      </c>
      <c r="M178" s="6">
        <v>-8.1</v>
      </c>
      <c r="N178" s="6">
        <v>27964</v>
      </c>
      <c r="O178" s="6">
        <v>1.74</v>
      </c>
      <c r="P178" s="6">
        <v>1.74</v>
      </c>
      <c r="Q178" s="1">
        <f t="shared" si="4"/>
        <v>39814</v>
      </c>
      <c r="R178" t="str">
        <f t="shared" si="5"/>
        <v>2009-01-01</v>
      </c>
    </row>
    <row r="179" ht="21" spans="1:18">
      <c r="A179" s="4" t="s">
        <v>138</v>
      </c>
      <c r="B179" s="5">
        <v>19659</v>
      </c>
      <c r="C179" s="5">
        <v>7.62</v>
      </c>
      <c r="D179" s="5">
        <v>-1.07</v>
      </c>
      <c r="E179" s="5">
        <v>17472</v>
      </c>
      <c r="F179" s="5">
        <v>7.63</v>
      </c>
      <c r="G179" s="5">
        <v>-2.23</v>
      </c>
      <c r="H179" s="5">
        <v>2186</v>
      </c>
      <c r="I179" s="5">
        <v>7.58</v>
      </c>
      <c r="J179" s="5">
        <v>9.28</v>
      </c>
      <c r="K179" s="5">
        <v>19625</v>
      </c>
      <c r="L179" s="5">
        <v>7.62</v>
      </c>
      <c r="M179" s="5">
        <v>-1.11</v>
      </c>
      <c r="N179" s="5">
        <v>22324</v>
      </c>
      <c r="O179" s="5">
        <v>-20.17</v>
      </c>
      <c r="P179" s="5">
        <v>-18.78</v>
      </c>
      <c r="Q179" s="1">
        <f t="shared" si="4"/>
        <v>39845</v>
      </c>
      <c r="R179" t="str">
        <f t="shared" si="5"/>
        <v>2009-02-01</v>
      </c>
    </row>
    <row r="180" ht="21" spans="1:18">
      <c r="A180" s="4" t="s">
        <v>139</v>
      </c>
      <c r="B180" s="6">
        <v>18891</v>
      </c>
      <c r="C180" s="6">
        <v>-3.91</v>
      </c>
      <c r="D180" s="6">
        <v>-4.94</v>
      </c>
      <c r="E180" s="6">
        <v>16755</v>
      </c>
      <c r="F180" s="6">
        <v>-4.11</v>
      </c>
      <c r="G180" s="6">
        <v>-6.25</v>
      </c>
      <c r="H180" s="6">
        <v>2136</v>
      </c>
      <c r="I180" s="6">
        <v>-2.31</v>
      </c>
      <c r="J180" s="6">
        <v>6.75</v>
      </c>
      <c r="K180" s="6">
        <v>18842</v>
      </c>
      <c r="L180" s="6">
        <v>-3.99</v>
      </c>
      <c r="M180" s="6">
        <v>-5.05</v>
      </c>
      <c r="N180" s="6">
        <v>22004</v>
      </c>
      <c r="O180" s="6">
        <v>-1.43</v>
      </c>
      <c r="P180" s="6">
        <v>-19.95</v>
      </c>
      <c r="Q180" s="1">
        <f t="shared" si="4"/>
        <v>39873</v>
      </c>
      <c r="R180" t="str">
        <f t="shared" si="5"/>
        <v>2009-03-01</v>
      </c>
    </row>
    <row r="181" ht="21" spans="1:18">
      <c r="A181" s="4" t="s">
        <v>140</v>
      </c>
      <c r="B181" s="5">
        <v>19479</v>
      </c>
      <c r="C181" s="5">
        <v>3.12</v>
      </c>
      <c r="D181" s="5">
        <v>-1.98</v>
      </c>
      <c r="E181" s="5">
        <v>17404</v>
      </c>
      <c r="F181" s="5">
        <v>3.88</v>
      </c>
      <c r="G181" s="5">
        <v>-2.61</v>
      </c>
      <c r="H181" s="5">
        <v>2075</v>
      </c>
      <c r="I181" s="5">
        <v>-2.85</v>
      </c>
      <c r="J181" s="5">
        <v>3.71</v>
      </c>
      <c r="K181" s="5">
        <v>19381</v>
      </c>
      <c r="L181" s="5">
        <v>2.86</v>
      </c>
      <c r="M181" s="5">
        <v>-2.34</v>
      </c>
      <c r="N181" s="5">
        <v>22462</v>
      </c>
      <c r="O181" s="5">
        <v>2.08</v>
      </c>
      <c r="P181" s="5">
        <v>-18.28</v>
      </c>
      <c r="Q181" s="1">
        <f t="shared" si="4"/>
        <v>39904</v>
      </c>
      <c r="R181" t="str">
        <f t="shared" si="5"/>
        <v>2009-04-01</v>
      </c>
    </row>
    <row r="182" ht="21" spans="1:18">
      <c r="A182" s="4" t="s">
        <v>141</v>
      </c>
      <c r="B182" s="6">
        <v>19896</v>
      </c>
      <c r="C182" s="6">
        <v>2.14</v>
      </c>
      <c r="D182" s="6">
        <v>0.12</v>
      </c>
      <c r="E182" s="6">
        <v>17637</v>
      </c>
      <c r="F182" s="6">
        <v>1.34</v>
      </c>
      <c r="G182" s="6">
        <v>-1.31</v>
      </c>
      <c r="H182" s="6">
        <v>2259</v>
      </c>
      <c r="I182" s="6">
        <v>8.88</v>
      </c>
      <c r="J182" s="6">
        <v>12.92</v>
      </c>
      <c r="K182" s="6">
        <v>19797</v>
      </c>
      <c r="L182" s="6">
        <v>2.15</v>
      </c>
      <c r="M182" s="6">
        <v>-0.24</v>
      </c>
      <c r="N182" s="6">
        <v>23128</v>
      </c>
      <c r="O182" s="6">
        <v>2.97</v>
      </c>
      <c r="P182" s="6">
        <v>-15.86</v>
      </c>
      <c r="Q182" s="1">
        <f t="shared" si="4"/>
        <v>39934</v>
      </c>
      <c r="R182" t="str">
        <f t="shared" si="5"/>
        <v>2009-05-01</v>
      </c>
    </row>
    <row r="183" ht="21" spans="1:18">
      <c r="A183" s="4" t="s">
        <v>142</v>
      </c>
      <c r="B183" s="5">
        <v>18597</v>
      </c>
      <c r="C183" s="5">
        <v>-6.53</v>
      </c>
      <c r="D183" s="5">
        <v>-6.42</v>
      </c>
      <c r="E183" s="5">
        <v>16391</v>
      </c>
      <c r="F183" s="5">
        <v>-7.07</v>
      </c>
      <c r="G183" s="5">
        <v>-8.29</v>
      </c>
      <c r="H183" s="5">
        <v>2206</v>
      </c>
      <c r="I183" s="5">
        <v>-2.35</v>
      </c>
      <c r="J183" s="5">
        <v>10.27</v>
      </c>
      <c r="K183" s="5">
        <v>18533</v>
      </c>
      <c r="L183" s="5">
        <v>-6.38</v>
      </c>
      <c r="M183" s="5">
        <v>-6.61</v>
      </c>
      <c r="N183" s="5">
        <v>23642</v>
      </c>
      <c r="O183" s="5">
        <v>2.22</v>
      </c>
      <c r="P183" s="5">
        <v>-13.98</v>
      </c>
      <c r="Q183" s="1">
        <f t="shared" si="4"/>
        <v>39965</v>
      </c>
      <c r="R183" t="str">
        <f t="shared" si="5"/>
        <v>2009-06-01</v>
      </c>
    </row>
    <row r="184" ht="21" spans="1:18">
      <c r="A184" s="4" t="s">
        <v>143</v>
      </c>
      <c r="B184" s="6">
        <v>19975</v>
      </c>
      <c r="C184" s="6">
        <v>7.41</v>
      </c>
      <c r="D184" s="6">
        <v>0.52</v>
      </c>
      <c r="E184" s="6">
        <v>17826</v>
      </c>
      <c r="F184" s="6">
        <v>8.76</v>
      </c>
      <c r="G184" s="6">
        <v>-0.26</v>
      </c>
      <c r="H184" s="6">
        <v>2149</v>
      </c>
      <c r="I184" s="6">
        <v>-2.59</v>
      </c>
      <c r="J184" s="6">
        <v>7.41</v>
      </c>
      <c r="K184" s="6">
        <v>19876</v>
      </c>
      <c r="L184" s="6">
        <v>7.24</v>
      </c>
      <c r="M184" s="6">
        <v>0.16</v>
      </c>
      <c r="N184" s="6">
        <v>22554</v>
      </c>
      <c r="O184" s="6">
        <v>-4.6</v>
      </c>
      <c r="P184" s="6">
        <v>-17.94</v>
      </c>
      <c r="Q184" s="1">
        <f t="shared" si="4"/>
        <v>39995</v>
      </c>
      <c r="R184" t="str">
        <f t="shared" si="5"/>
        <v>2009-07-01</v>
      </c>
    </row>
    <row r="185" ht="21" spans="1:18">
      <c r="A185" s="4" t="s">
        <v>144</v>
      </c>
      <c r="B185" s="5">
        <v>20020</v>
      </c>
      <c r="C185" s="5">
        <v>0.23</v>
      </c>
      <c r="D185" s="5">
        <v>0.74</v>
      </c>
      <c r="E185" s="5">
        <v>17838</v>
      </c>
      <c r="F185" s="5">
        <v>0.07</v>
      </c>
      <c r="G185" s="5">
        <v>-0.19</v>
      </c>
      <c r="H185" s="5">
        <v>2182</v>
      </c>
      <c r="I185" s="5">
        <v>1.53</v>
      </c>
      <c r="J185" s="5">
        <v>9.05</v>
      </c>
      <c r="K185" s="5">
        <v>19915</v>
      </c>
      <c r="L185" s="5">
        <v>0.2</v>
      </c>
      <c r="M185" s="5">
        <v>0.36</v>
      </c>
      <c r="N185" s="5">
        <v>23222</v>
      </c>
      <c r="O185" s="5">
        <v>2.96</v>
      </c>
      <c r="P185" s="5">
        <v>-15.51</v>
      </c>
      <c r="Q185" s="1">
        <f t="shared" si="4"/>
        <v>40026</v>
      </c>
      <c r="R185" t="str">
        <f t="shared" si="5"/>
        <v>2009-08-01</v>
      </c>
    </row>
    <row r="186" ht="21" spans="1:18">
      <c r="A186" s="4" t="s">
        <v>145</v>
      </c>
      <c r="B186" s="6">
        <v>20663</v>
      </c>
      <c r="C186" s="6">
        <v>3.21</v>
      </c>
      <c r="D186" s="6">
        <v>3.98</v>
      </c>
      <c r="E186" s="6">
        <v>18366</v>
      </c>
      <c r="F186" s="6">
        <v>2.96</v>
      </c>
      <c r="G186" s="6">
        <v>2.76</v>
      </c>
      <c r="H186" s="6">
        <v>2298</v>
      </c>
      <c r="I186" s="6">
        <v>5.32</v>
      </c>
      <c r="J186" s="6">
        <v>14.85</v>
      </c>
      <c r="K186" s="6">
        <v>20044</v>
      </c>
      <c r="L186" s="6">
        <v>0.64</v>
      </c>
      <c r="M186" s="6">
        <v>1</v>
      </c>
      <c r="N186" s="6">
        <v>23832</v>
      </c>
      <c r="O186" s="6">
        <v>2.63</v>
      </c>
      <c r="P186" s="6">
        <v>-13.29</v>
      </c>
      <c r="Q186" s="1">
        <f t="shared" si="4"/>
        <v>40057</v>
      </c>
      <c r="R186" t="str">
        <f t="shared" si="5"/>
        <v>2009-09-01</v>
      </c>
    </row>
    <row r="187" spans="1:18">
      <c r="A187" s="4">
        <v>10.09</v>
      </c>
      <c r="B187" s="5">
        <v>20797</v>
      </c>
      <c r="C187" s="5">
        <v>0.65</v>
      </c>
      <c r="D187" s="5">
        <v>4.65</v>
      </c>
      <c r="E187" s="5">
        <v>18295</v>
      </c>
      <c r="F187" s="5">
        <v>-0.38</v>
      </c>
      <c r="G187" s="5">
        <v>2.37</v>
      </c>
      <c r="H187" s="5">
        <v>2501</v>
      </c>
      <c r="I187" s="5">
        <v>8.87</v>
      </c>
      <c r="J187" s="5">
        <v>25.03</v>
      </c>
      <c r="K187" s="5">
        <v>20177</v>
      </c>
      <c r="L187" s="5">
        <v>0.66</v>
      </c>
      <c r="M187" s="5">
        <v>1.67</v>
      </c>
      <c r="N187" s="5">
        <v>23724</v>
      </c>
      <c r="O187" s="5">
        <v>-0.45</v>
      </c>
      <c r="P187" s="5">
        <v>-13.69</v>
      </c>
      <c r="Q187" s="1">
        <f t="shared" si="4"/>
        <v>40087</v>
      </c>
      <c r="R187" t="str">
        <f t="shared" si="5"/>
        <v>2009-10-01</v>
      </c>
    </row>
    <row r="188" spans="1:18">
      <c r="A188" s="4">
        <v>11.09</v>
      </c>
      <c r="B188" s="6">
        <v>23904</v>
      </c>
      <c r="C188" s="6">
        <v>14.94</v>
      </c>
      <c r="D188" s="6">
        <v>20.29</v>
      </c>
      <c r="E188" s="6">
        <v>21191</v>
      </c>
      <c r="F188" s="6">
        <v>15.82</v>
      </c>
      <c r="G188" s="6">
        <v>18.57</v>
      </c>
      <c r="H188" s="6">
        <v>2713</v>
      </c>
      <c r="I188" s="6">
        <v>8.46</v>
      </c>
      <c r="J188" s="6">
        <v>35.61</v>
      </c>
      <c r="K188" s="6">
        <v>23272</v>
      </c>
      <c r="L188" s="6">
        <v>15.34</v>
      </c>
      <c r="M188" s="6">
        <v>17.27</v>
      </c>
      <c r="N188" s="6">
        <v>24244</v>
      </c>
      <c r="O188" s="6">
        <v>2.19</v>
      </c>
      <c r="P188" s="6">
        <v>-11.8</v>
      </c>
      <c r="Q188" s="1">
        <f t="shared" si="4"/>
        <v>40118</v>
      </c>
      <c r="R188" t="str">
        <f t="shared" si="5"/>
        <v>2009-11-01</v>
      </c>
    </row>
    <row r="189" spans="1:18">
      <c r="A189" s="4">
        <v>12.09</v>
      </c>
      <c r="B189" s="5">
        <v>23091</v>
      </c>
      <c r="C189" s="5">
        <v>-3.4</v>
      </c>
      <c r="D189" s="5">
        <v>16.2</v>
      </c>
      <c r="E189" s="5">
        <v>20591</v>
      </c>
      <c r="F189" s="5">
        <v>-2.83</v>
      </c>
      <c r="G189" s="5">
        <v>15.22</v>
      </c>
      <c r="H189" s="5">
        <v>2501</v>
      </c>
      <c r="I189" s="5">
        <v>-7.83</v>
      </c>
      <c r="J189" s="5">
        <v>24.99</v>
      </c>
      <c r="K189" s="5">
        <v>22531</v>
      </c>
      <c r="L189" s="5">
        <v>-3.18</v>
      </c>
      <c r="M189" s="5">
        <v>13.54</v>
      </c>
      <c r="N189" s="5">
        <v>24368</v>
      </c>
      <c r="O189" s="5">
        <v>0.51</v>
      </c>
      <c r="P189" s="5">
        <v>-11.34</v>
      </c>
      <c r="Q189" s="1">
        <f t="shared" si="4"/>
        <v>40148</v>
      </c>
      <c r="R189" t="str">
        <f t="shared" si="5"/>
        <v>2009-12-01</v>
      </c>
    </row>
    <row r="190" ht="21" spans="1:18">
      <c r="A190" s="4" t="s">
        <v>146</v>
      </c>
      <c r="B190" s="6">
        <v>26274</v>
      </c>
      <c r="C190" s="6">
        <v>13.78</v>
      </c>
      <c r="D190" s="6">
        <v>13.78</v>
      </c>
      <c r="E190" s="6">
        <v>23821</v>
      </c>
      <c r="F190" s="6">
        <v>15.69</v>
      </c>
      <c r="G190" s="6">
        <v>15.69</v>
      </c>
      <c r="H190" s="6">
        <v>2453</v>
      </c>
      <c r="I190" s="6">
        <v>-1.92</v>
      </c>
      <c r="J190" s="6">
        <v>-1.92</v>
      </c>
      <c r="K190" s="6">
        <v>25715</v>
      </c>
      <c r="L190" s="6">
        <v>14.13</v>
      </c>
      <c r="M190" s="6">
        <v>14.13</v>
      </c>
      <c r="N190" s="6">
        <v>24619</v>
      </c>
      <c r="O190" s="6">
        <v>1.03</v>
      </c>
      <c r="P190" s="6">
        <v>1.03</v>
      </c>
      <c r="Q190" s="1">
        <f t="shared" si="4"/>
        <v>40179</v>
      </c>
      <c r="R190" t="str">
        <f t="shared" si="5"/>
        <v>2010-01-01</v>
      </c>
    </row>
    <row r="191" ht="21" spans="1:18">
      <c r="A191" s="4" t="s">
        <v>147</v>
      </c>
      <c r="B191" s="5">
        <v>27550</v>
      </c>
      <c r="C191" s="5">
        <v>4.86</v>
      </c>
      <c r="D191" s="5">
        <v>19.31</v>
      </c>
      <c r="E191" s="5">
        <v>25030</v>
      </c>
      <c r="F191" s="5">
        <v>5.07</v>
      </c>
      <c r="G191" s="5">
        <v>21.56</v>
      </c>
      <c r="H191" s="5">
        <v>2520</v>
      </c>
      <c r="I191" s="5">
        <v>2.75</v>
      </c>
      <c r="J191" s="5">
        <v>0.77</v>
      </c>
      <c r="K191" s="5">
        <v>27000</v>
      </c>
      <c r="L191" s="5">
        <v>5</v>
      </c>
      <c r="M191" s="5">
        <v>19.83</v>
      </c>
      <c r="N191" s="5">
        <v>25157</v>
      </c>
      <c r="O191" s="5">
        <v>2.19</v>
      </c>
      <c r="P191" s="5">
        <v>3.24</v>
      </c>
      <c r="Q191" s="1">
        <f t="shared" si="4"/>
        <v>40210</v>
      </c>
      <c r="R191" t="str">
        <f t="shared" si="5"/>
        <v>2010-02-01</v>
      </c>
    </row>
    <row r="192" ht="21" spans="1:18">
      <c r="A192" s="4" t="s">
        <v>148</v>
      </c>
      <c r="B192" s="6">
        <v>27143</v>
      </c>
      <c r="C192" s="6">
        <v>-1.47</v>
      </c>
      <c r="D192" s="6">
        <v>17.55</v>
      </c>
      <c r="E192" s="6">
        <v>24519</v>
      </c>
      <c r="F192" s="6">
        <v>-2.04</v>
      </c>
      <c r="G192" s="6">
        <v>19.08</v>
      </c>
      <c r="H192" s="6">
        <v>2624</v>
      </c>
      <c r="I192" s="6">
        <v>4.14</v>
      </c>
      <c r="J192" s="6">
        <v>4.94</v>
      </c>
      <c r="K192" s="6">
        <v>26595</v>
      </c>
      <c r="L192" s="6">
        <v>-1.5</v>
      </c>
      <c r="M192" s="6">
        <v>18.04</v>
      </c>
      <c r="N192" s="6">
        <v>25356</v>
      </c>
      <c r="O192" s="6">
        <v>0.79</v>
      </c>
      <c r="P192" s="6">
        <v>4.05</v>
      </c>
      <c r="Q192" s="1">
        <f t="shared" si="4"/>
        <v>40238</v>
      </c>
      <c r="R192" t="str">
        <f t="shared" si="5"/>
        <v>2010-03-01</v>
      </c>
    </row>
    <row r="193" ht="21" spans="1:18">
      <c r="A193" s="4" t="s">
        <v>149</v>
      </c>
      <c r="B193" s="5">
        <v>29371</v>
      </c>
      <c r="C193" s="5">
        <v>8.21</v>
      </c>
      <c r="D193" s="5">
        <v>27.19</v>
      </c>
      <c r="E193" s="5">
        <v>26591</v>
      </c>
      <c r="F193" s="5">
        <v>8.45</v>
      </c>
      <c r="G193" s="5">
        <v>29.14</v>
      </c>
      <c r="H193" s="5">
        <v>2780</v>
      </c>
      <c r="I193" s="5">
        <v>5.93</v>
      </c>
      <c r="J193" s="5">
        <v>11.16</v>
      </c>
      <c r="K193" s="5">
        <v>28816</v>
      </c>
      <c r="L193" s="5">
        <v>8.35</v>
      </c>
      <c r="M193" s="5">
        <v>27.89</v>
      </c>
      <c r="N193" s="5">
        <v>25838</v>
      </c>
      <c r="O193" s="5">
        <v>1.9</v>
      </c>
      <c r="P193" s="5">
        <v>6.03</v>
      </c>
      <c r="Q193" s="1">
        <f t="shared" si="4"/>
        <v>40269</v>
      </c>
      <c r="R193" t="str">
        <f t="shared" si="5"/>
        <v>2010-04-01</v>
      </c>
    </row>
    <row r="194" ht="21" spans="1:18">
      <c r="A194" s="4" t="s">
        <v>150</v>
      </c>
      <c r="B194" s="6">
        <v>28231</v>
      </c>
      <c r="C194" s="6">
        <v>-3.88</v>
      </c>
      <c r="D194" s="6">
        <v>22.26</v>
      </c>
      <c r="E194" s="6">
        <v>25481</v>
      </c>
      <c r="F194" s="6">
        <v>-4.17</v>
      </c>
      <c r="G194" s="6">
        <v>23.75</v>
      </c>
      <c r="H194" s="6">
        <v>2750</v>
      </c>
      <c r="I194" s="6">
        <v>-1.07</v>
      </c>
      <c r="J194" s="6">
        <v>9.98</v>
      </c>
      <c r="K194" s="6">
        <v>27710</v>
      </c>
      <c r="L194" s="6">
        <v>-3.84</v>
      </c>
      <c r="M194" s="6">
        <v>22.98</v>
      </c>
      <c r="N194" s="6">
        <v>26436</v>
      </c>
      <c r="O194" s="6">
        <v>2.31</v>
      </c>
      <c r="P194" s="6">
        <v>8.48</v>
      </c>
      <c r="Q194" s="1">
        <f t="shared" si="4"/>
        <v>40299</v>
      </c>
      <c r="R194" t="str">
        <f t="shared" si="5"/>
        <v>2010-05-01</v>
      </c>
    </row>
    <row r="195" ht="21" spans="1:18">
      <c r="A195" s="4" t="s">
        <v>151</v>
      </c>
      <c r="B195" s="5">
        <v>26603</v>
      </c>
      <c r="C195" s="5">
        <v>-5.77</v>
      </c>
      <c r="D195" s="5">
        <v>15.21</v>
      </c>
      <c r="E195" s="5">
        <v>23914</v>
      </c>
      <c r="F195" s="5">
        <v>-6.15</v>
      </c>
      <c r="G195" s="5">
        <v>16.14</v>
      </c>
      <c r="H195" s="5">
        <v>2689</v>
      </c>
      <c r="I195" s="5">
        <v>-2.24</v>
      </c>
      <c r="J195" s="5">
        <v>7.51</v>
      </c>
      <c r="K195" s="5">
        <v>26090</v>
      </c>
      <c r="L195" s="5">
        <v>-5.84</v>
      </c>
      <c r="M195" s="5">
        <v>15.8</v>
      </c>
      <c r="N195" s="5">
        <v>26541</v>
      </c>
      <c r="O195" s="5">
        <v>0.4</v>
      </c>
      <c r="P195" s="5">
        <v>8.92</v>
      </c>
      <c r="Q195" s="1">
        <f t="shared" si="4"/>
        <v>40330</v>
      </c>
      <c r="R195" t="str">
        <f t="shared" si="5"/>
        <v>2010-06-01</v>
      </c>
    </row>
    <row r="196" ht="21" spans="1:18">
      <c r="A196" s="4" t="s">
        <v>152</v>
      </c>
      <c r="B196" s="6">
        <v>27769</v>
      </c>
      <c r="C196" s="6">
        <v>4.38</v>
      </c>
      <c r="D196" s="6">
        <v>20.26</v>
      </c>
      <c r="E196" s="6">
        <v>25125</v>
      </c>
      <c r="F196" s="6">
        <v>5.06</v>
      </c>
      <c r="G196" s="6">
        <v>22.02</v>
      </c>
      <c r="H196" s="6">
        <v>2645</v>
      </c>
      <c r="I196" s="6">
        <v>-1.63</v>
      </c>
      <c r="J196" s="6">
        <v>5.75</v>
      </c>
      <c r="K196" s="6">
        <v>27231</v>
      </c>
      <c r="L196" s="6">
        <v>4.37</v>
      </c>
      <c r="M196" s="6">
        <v>20.86</v>
      </c>
      <c r="N196" s="6">
        <v>27009</v>
      </c>
      <c r="O196" s="6">
        <v>1.76</v>
      </c>
      <c r="P196" s="6">
        <v>10.84</v>
      </c>
      <c r="Q196" s="1">
        <f t="shared" si="4"/>
        <v>40360</v>
      </c>
      <c r="R196" t="str">
        <f t="shared" si="5"/>
        <v>2010-07-01</v>
      </c>
    </row>
    <row r="197" ht="21" spans="1:18">
      <c r="A197" s="4" t="s">
        <v>153</v>
      </c>
      <c r="B197" s="5">
        <v>26911</v>
      </c>
      <c r="C197" s="5">
        <v>-3.09</v>
      </c>
      <c r="D197" s="5">
        <v>16.54</v>
      </c>
      <c r="E197" s="5">
        <v>24242</v>
      </c>
      <c r="F197" s="5">
        <v>-3.51</v>
      </c>
      <c r="G197" s="5">
        <v>17.73</v>
      </c>
      <c r="H197" s="5">
        <v>2670</v>
      </c>
      <c r="I197" s="5">
        <v>0.95</v>
      </c>
      <c r="J197" s="5">
        <v>6.75</v>
      </c>
      <c r="K197" s="5">
        <v>26375</v>
      </c>
      <c r="L197" s="5">
        <v>-3.14</v>
      </c>
      <c r="M197" s="5">
        <v>17.06</v>
      </c>
      <c r="N197" s="5">
        <v>28397</v>
      </c>
      <c r="O197" s="5">
        <v>5.14</v>
      </c>
      <c r="P197" s="5">
        <v>16.53</v>
      </c>
      <c r="Q197" s="1">
        <f t="shared" ref="Q197:Q260" si="6">IF(ISNUMBER(SEARCH(".",A197)),DATE(IF(VALUE(RIGHT(A197,2))&gt;=94,1900+VALUE(RIGHT(A197,2)),2000+VALUE(RIGHT(A197,2))),VALUE(LEFT(A197,2)),1),DATE(2000+VALUE(A197),10,1))</f>
        <v>40391</v>
      </c>
      <c r="R197" t="str">
        <f t="shared" ref="R197:R260" si="7">TEXT(Q197,"yyyy-mm-01")</f>
        <v>2010-08-01</v>
      </c>
    </row>
    <row r="198" ht="21" spans="1:18">
      <c r="A198" s="4" t="s">
        <v>154</v>
      </c>
      <c r="B198" s="6">
        <v>27831</v>
      </c>
      <c r="C198" s="6">
        <v>3.42</v>
      </c>
      <c r="D198" s="6">
        <v>20.53</v>
      </c>
      <c r="E198" s="6">
        <v>24994</v>
      </c>
      <c r="F198" s="6">
        <v>3.1</v>
      </c>
      <c r="G198" s="6">
        <v>21.38</v>
      </c>
      <c r="H198" s="6">
        <v>2837</v>
      </c>
      <c r="I198" s="6">
        <v>6.28</v>
      </c>
      <c r="J198" s="6">
        <v>13.46</v>
      </c>
      <c r="K198" s="6">
        <v>27288</v>
      </c>
      <c r="L198" s="6">
        <v>3.46</v>
      </c>
      <c r="M198" s="6">
        <v>21.11</v>
      </c>
      <c r="N198" s="6">
        <v>29293</v>
      </c>
      <c r="O198" s="6">
        <v>3.16</v>
      </c>
      <c r="P198" s="6">
        <v>20.21</v>
      </c>
      <c r="Q198" s="1">
        <f t="shared" si="6"/>
        <v>40422</v>
      </c>
      <c r="R198" t="str">
        <f t="shared" si="7"/>
        <v>2010-09-01</v>
      </c>
    </row>
    <row r="199" spans="1:18">
      <c r="A199" s="4">
        <v>10.1</v>
      </c>
      <c r="B199" s="5">
        <v>28984</v>
      </c>
      <c r="C199" s="5">
        <v>4.14</v>
      </c>
      <c r="D199" s="5">
        <v>25.52</v>
      </c>
      <c r="E199" s="5">
        <v>26091</v>
      </c>
      <c r="F199" s="5">
        <v>4.39</v>
      </c>
      <c r="G199" s="5">
        <v>26.71</v>
      </c>
      <c r="H199" s="5">
        <v>2893</v>
      </c>
      <c r="I199" s="5">
        <v>1.97</v>
      </c>
      <c r="J199" s="5">
        <v>15.69</v>
      </c>
      <c r="K199" s="5">
        <v>28433</v>
      </c>
      <c r="L199" s="5">
        <v>4.2</v>
      </c>
      <c r="M199" s="5">
        <v>26.19</v>
      </c>
      <c r="N199" s="5">
        <v>29426</v>
      </c>
      <c r="O199" s="5">
        <v>0.45</v>
      </c>
      <c r="P199" s="5">
        <v>20.75</v>
      </c>
      <c r="Q199" s="1">
        <v>40452</v>
      </c>
      <c r="R199" t="str">
        <f t="shared" si="7"/>
        <v>2010-10-01</v>
      </c>
    </row>
    <row r="200" spans="1:18">
      <c r="A200" s="4">
        <v>11.1</v>
      </c>
      <c r="B200" s="6">
        <v>27796</v>
      </c>
      <c r="C200" s="6">
        <v>-4.1</v>
      </c>
      <c r="D200" s="6">
        <v>20.37</v>
      </c>
      <c r="E200" s="6">
        <v>24820</v>
      </c>
      <c r="F200" s="6">
        <v>-4.87</v>
      </c>
      <c r="G200" s="6">
        <v>20.54</v>
      </c>
      <c r="H200" s="6">
        <v>2976</v>
      </c>
      <c r="I200" s="6">
        <v>2.86</v>
      </c>
      <c r="J200" s="6">
        <v>19.01</v>
      </c>
      <c r="K200" s="6">
        <v>27261</v>
      </c>
      <c r="L200" s="6">
        <v>-4.12</v>
      </c>
      <c r="M200" s="6">
        <v>20.99</v>
      </c>
      <c r="N200" s="6">
        <v>30241</v>
      </c>
      <c r="O200" s="6">
        <v>2.77</v>
      </c>
      <c r="P200" s="6">
        <v>24.1</v>
      </c>
      <c r="Q200" s="1">
        <v>40483</v>
      </c>
      <c r="R200" t="str">
        <f t="shared" si="7"/>
        <v>2010-11-01</v>
      </c>
    </row>
    <row r="201" spans="1:18">
      <c r="A201" s="4">
        <v>12.1</v>
      </c>
      <c r="B201" s="5">
        <v>28275</v>
      </c>
      <c r="C201" s="5">
        <v>1.72</v>
      </c>
      <c r="D201" s="5">
        <v>22.45</v>
      </c>
      <c r="E201" s="5">
        <v>25223</v>
      </c>
      <c r="F201" s="5">
        <v>1.62</v>
      </c>
      <c r="G201" s="5">
        <v>22.5</v>
      </c>
      <c r="H201" s="5">
        <v>3052</v>
      </c>
      <c r="I201" s="5">
        <v>2.56</v>
      </c>
      <c r="J201" s="5">
        <v>22.06</v>
      </c>
      <c r="K201" s="5">
        <v>27711</v>
      </c>
      <c r="L201" s="5">
        <v>1.65</v>
      </c>
      <c r="M201" s="5">
        <v>22.99</v>
      </c>
      <c r="N201" s="5">
        <v>30980</v>
      </c>
      <c r="O201" s="5">
        <v>2.44</v>
      </c>
      <c r="P201" s="5">
        <v>27.13</v>
      </c>
      <c r="Q201" s="1">
        <v>40513</v>
      </c>
      <c r="R201" t="str">
        <f t="shared" si="7"/>
        <v>2010-12-01</v>
      </c>
    </row>
    <row r="202" ht="21" spans="1:18">
      <c r="A202" s="4" t="s">
        <v>155</v>
      </c>
      <c r="B202" s="6">
        <v>31158</v>
      </c>
      <c r="C202" s="6">
        <v>10.2</v>
      </c>
      <c r="D202" s="6">
        <v>10.2</v>
      </c>
      <c r="E202" s="6">
        <v>28205</v>
      </c>
      <c r="F202" s="6">
        <v>11.83</v>
      </c>
      <c r="G202" s="6">
        <v>11.83</v>
      </c>
      <c r="H202" s="6">
        <v>2953</v>
      </c>
      <c r="I202" s="6">
        <v>-3.26</v>
      </c>
      <c r="J202" s="6">
        <v>-3.26</v>
      </c>
      <c r="K202" s="6">
        <v>30611</v>
      </c>
      <c r="L202" s="6">
        <v>10.46</v>
      </c>
      <c r="M202" s="6">
        <v>10.46</v>
      </c>
      <c r="N202" s="6">
        <v>31426</v>
      </c>
      <c r="O202" s="6">
        <v>1.44</v>
      </c>
      <c r="P202" s="6">
        <v>1.44</v>
      </c>
      <c r="Q202" s="1">
        <f t="shared" si="6"/>
        <v>40544</v>
      </c>
      <c r="R202" t="str">
        <f t="shared" si="7"/>
        <v>2011-01-01</v>
      </c>
    </row>
    <row r="203" ht="21" spans="1:18">
      <c r="A203" s="4" t="s">
        <v>156</v>
      </c>
      <c r="B203" s="5">
        <v>33449</v>
      </c>
      <c r="C203" s="5">
        <v>7.35</v>
      </c>
      <c r="D203" s="5">
        <v>18.3</v>
      </c>
      <c r="E203" s="5">
        <v>30327</v>
      </c>
      <c r="F203" s="5">
        <v>7.52</v>
      </c>
      <c r="G203" s="5">
        <v>20.24</v>
      </c>
      <c r="H203" s="5">
        <v>3122</v>
      </c>
      <c r="I203" s="5">
        <v>5.72</v>
      </c>
      <c r="J203" s="5">
        <v>2.28</v>
      </c>
      <c r="K203" s="5">
        <v>32905</v>
      </c>
      <c r="L203" s="5">
        <v>7.5</v>
      </c>
      <c r="M203" s="5">
        <v>18.74</v>
      </c>
      <c r="N203" s="5">
        <v>32906</v>
      </c>
      <c r="O203" s="5">
        <v>4.71</v>
      </c>
      <c r="P203" s="5">
        <v>6.22</v>
      </c>
      <c r="Q203" s="1">
        <f t="shared" si="6"/>
        <v>40575</v>
      </c>
      <c r="R203" t="str">
        <f t="shared" si="7"/>
        <v>2011-02-01</v>
      </c>
    </row>
    <row r="204" ht="21" spans="1:18">
      <c r="A204" s="4" t="s">
        <v>157</v>
      </c>
      <c r="B204" s="6">
        <v>35189</v>
      </c>
      <c r="C204" s="6">
        <v>5.2</v>
      </c>
      <c r="D204" s="6">
        <v>24.45</v>
      </c>
      <c r="E204" s="6">
        <v>32092</v>
      </c>
      <c r="F204" s="6">
        <v>5.82</v>
      </c>
      <c r="G204" s="6">
        <v>27.23</v>
      </c>
      <c r="H204" s="6">
        <v>3097</v>
      </c>
      <c r="I204" s="6">
        <v>-0.78</v>
      </c>
      <c r="J204" s="6">
        <v>1.48</v>
      </c>
      <c r="K204" s="6">
        <v>34643</v>
      </c>
      <c r="L204" s="6">
        <v>5.28</v>
      </c>
      <c r="M204" s="6">
        <v>25.01</v>
      </c>
      <c r="N204" s="6">
        <v>33773</v>
      </c>
      <c r="O204" s="6">
        <v>2.64</v>
      </c>
      <c r="P204" s="6">
        <v>9.02</v>
      </c>
      <c r="Q204" s="1">
        <f t="shared" si="6"/>
        <v>40603</v>
      </c>
      <c r="R204" t="str">
        <f t="shared" si="7"/>
        <v>2011-03-01</v>
      </c>
    </row>
    <row r="205" ht="21" spans="1:18">
      <c r="A205" s="4" t="s">
        <v>158</v>
      </c>
      <c r="B205" s="5">
        <v>36985</v>
      </c>
      <c r="C205" s="5">
        <v>5.1</v>
      </c>
      <c r="D205" s="5">
        <v>30.8</v>
      </c>
      <c r="E205" s="5">
        <v>33671</v>
      </c>
      <c r="F205" s="5">
        <v>4.92</v>
      </c>
      <c r="G205" s="5">
        <v>33.5</v>
      </c>
      <c r="H205" s="5">
        <v>3314</v>
      </c>
      <c r="I205" s="5">
        <v>6.99</v>
      </c>
      <c r="J205" s="5">
        <v>8.57</v>
      </c>
      <c r="K205" s="5">
        <v>36424</v>
      </c>
      <c r="L205" s="5">
        <v>5.14</v>
      </c>
      <c r="M205" s="5">
        <v>31.44</v>
      </c>
      <c r="N205" s="5">
        <v>36034</v>
      </c>
      <c r="O205" s="5">
        <v>6.69</v>
      </c>
      <c r="P205" s="5">
        <v>16.32</v>
      </c>
      <c r="Q205" s="1">
        <f t="shared" si="6"/>
        <v>40634</v>
      </c>
      <c r="R205" t="str">
        <f t="shared" si="7"/>
        <v>2011-04-01</v>
      </c>
    </row>
    <row r="206" ht="21" spans="1:18">
      <c r="A206" s="4" t="s">
        <v>159</v>
      </c>
      <c r="B206" s="6">
        <v>36006</v>
      </c>
      <c r="C206" s="6">
        <v>-2.65</v>
      </c>
      <c r="D206" s="6">
        <v>27.34</v>
      </c>
      <c r="E206" s="6">
        <v>32680</v>
      </c>
      <c r="F206" s="6">
        <v>-2.94</v>
      </c>
      <c r="G206" s="6">
        <v>29.56</v>
      </c>
      <c r="H206" s="6">
        <v>3327</v>
      </c>
      <c r="I206" s="6">
        <v>0.39</v>
      </c>
      <c r="J206" s="6">
        <v>8.99</v>
      </c>
      <c r="K206" s="6">
        <v>35455</v>
      </c>
      <c r="L206" s="6">
        <v>-2.66</v>
      </c>
      <c r="M206" s="6">
        <v>27.94</v>
      </c>
      <c r="N206" s="6">
        <v>38126</v>
      </c>
      <c r="O206" s="6">
        <v>5.81</v>
      </c>
      <c r="P206" s="6">
        <v>23.07</v>
      </c>
      <c r="Q206" s="1">
        <f t="shared" si="6"/>
        <v>40664</v>
      </c>
      <c r="R206" t="str">
        <f t="shared" si="7"/>
        <v>2011-05-01</v>
      </c>
    </row>
    <row r="207" ht="21" spans="1:18">
      <c r="A207" s="4" t="s">
        <v>160</v>
      </c>
      <c r="B207" s="5">
        <v>34615</v>
      </c>
      <c r="C207" s="5">
        <v>-3.86</v>
      </c>
      <c r="D207" s="5">
        <v>22.42</v>
      </c>
      <c r="E207" s="5">
        <v>31200</v>
      </c>
      <c r="F207" s="5">
        <v>-4.53</v>
      </c>
      <c r="G207" s="5">
        <v>23.7</v>
      </c>
      <c r="H207" s="5">
        <v>3415</v>
      </c>
      <c r="I207" s="5">
        <v>2.65</v>
      </c>
      <c r="J207" s="5">
        <v>11.88</v>
      </c>
      <c r="K207" s="5">
        <v>34060</v>
      </c>
      <c r="L207" s="5">
        <v>-3.93</v>
      </c>
      <c r="M207" s="5">
        <v>22.91</v>
      </c>
      <c r="N207" s="5">
        <v>38506</v>
      </c>
      <c r="O207" s="5">
        <v>1</v>
      </c>
      <c r="P207" s="5">
        <v>24.3</v>
      </c>
      <c r="Q207" s="1">
        <f t="shared" si="6"/>
        <v>40695</v>
      </c>
      <c r="R207" t="str">
        <f t="shared" si="7"/>
        <v>2011-06-01</v>
      </c>
    </row>
    <row r="208" ht="21" spans="1:18">
      <c r="A208" s="4" t="s">
        <v>161</v>
      </c>
      <c r="B208" s="6">
        <v>36984</v>
      </c>
      <c r="C208" s="6">
        <v>6.84</v>
      </c>
      <c r="D208" s="6">
        <v>30.8</v>
      </c>
      <c r="E208" s="6">
        <v>33491</v>
      </c>
      <c r="F208" s="6">
        <v>7.34</v>
      </c>
      <c r="G208" s="6">
        <v>32.78</v>
      </c>
      <c r="H208" s="6">
        <v>3493</v>
      </c>
      <c r="I208" s="6">
        <v>2.29</v>
      </c>
      <c r="J208" s="6">
        <v>14.44</v>
      </c>
      <c r="K208" s="6">
        <v>36425</v>
      </c>
      <c r="L208" s="6">
        <v>6.94</v>
      </c>
      <c r="M208" s="6">
        <v>31.44</v>
      </c>
      <c r="N208" s="6">
        <v>38722</v>
      </c>
      <c r="O208" s="6">
        <v>0.56</v>
      </c>
      <c r="P208" s="6">
        <v>24.99</v>
      </c>
      <c r="Q208" s="1">
        <f t="shared" si="6"/>
        <v>40725</v>
      </c>
      <c r="R208" t="str">
        <f t="shared" si="7"/>
        <v>2011-07-01</v>
      </c>
    </row>
    <row r="209" ht="21" spans="1:18">
      <c r="A209" s="4" t="s">
        <v>162</v>
      </c>
      <c r="B209" s="5">
        <v>36015</v>
      </c>
      <c r="C209" s="5">
        <v>-2.62</v>
      </c>
      <c r="D209" s="5">
        <v>27.37</v>
      </c>
      <c r="E209" s="5">
        <v>32062</v>
      </c>
      <c r="F209" s="5">
        <v>-4.27</v>
      </c>
      <c r="G209" s="5">
        <v>27.12</v>
      </c>
      <c r="H209" s="5">
        <v>3953</v>
      </c>
      <c r="I209" s="5">
        <v>13.16</v>
      </c>
      <c r="J209" s="5">
        <v>29.5</v>
      </c>
      <c r="K209" s="5">
        <v>35451</v>
      </c>
      <c r="L209" s="5">
        <v>-2.67</v>
      </c>
      <c r="M209" s="5">
        <v>27.93</v>
      </c>
      <c r="N209" s="5">
        <v>40350</v>
      </c>
      <c r="O209" s="5">
        <v>4.2</v>
      </c>
      <c r="P209" s="5">
        <v>30.25</v>
      </c>
      <c r="Q209" s="1">
        <f t="shared" si="6"/>
        <v>40756</v>
      </c>
      <c r="R209" t="str">
        <f t="shared" si="7"/>
        <v>2011-08-01</v>
      </c>
    </row>
    <row r="210" ht="21" spans="1:18">
      <c r="A210" s="4" t="s">
        <v>163</v>
      </c>
      <c r="B210" s="6">
        <v>32489</v>
      </c>
      <c r="C210" s="6">
        <v>-9.79</v>
      </c>
      <c r="D210" s="6">
        <v>14.9</v>
      </c>
      <c r="E210" s="6">
        <v>28800</v>
      </c>
      <c r="F210" s="6">
        <v>-10.17</v>
      </c>
      <c r="G210" s="6">
        <v>14.18</v>
      </c>
      <c r="H210" s="6">
        <v>3689</v>
      </c>
      <c r="I210" s="6">
        <v>-6.67</v>
      </c>
      <c r="J210" s="6">
        <v>20.86</v>
      </c>
      <c r="K210" s="6">
        <v>31921</v>
      </c>
      <c r="L210" s="6">
        <v>-9.96</v>
      </c>
      <c r="M210" s="6">
        <v>15.19</v>
      </c>
      <c r="N210" s="6">
        <v>40018</v>
      </c>
      <c r="O210" s="6">
        <v>-0.82</v>
      </c>
      <c r="P210" s="6">
        <v>29.18</v>
      </c>
      <c r="Q210" s="1">
        <f t="shared" si="6"/>
        <v>40787</v>
      </c>
      <c r="R210" t="str">
        <f t="shared" si="7"/>
        <v>2011-09-01</v>
      </c>
    </row>
    <row r="211" spans="1:18">
      <c r="A211" s="4">
        <v>10.11</v>
      </c>
      <c r="B211" s="5">
        <v>32632</v>
      </c>
      <c r="C211" s="5">
        <v>0.44</v>
      </c>
      <c r="D211" s="5">
        <v>15.41</v>
      </c>
      <c r="E211" s="5">
        <v>28567</v>
      </c>
      <c r="F211" s="5">
        <v>-0.81</v>
      </c>
      <c r="G211" s="5">
        <v>13.26</v>
      </c>
      <c r="H211" s="5">
        <v>4065</v>
      </c>
      <c r="I211" s="5">
        <v>10.2</v>
      </c>
      <c r="J211" s="5">
        <v>33.19</v>
      </c>
      <c r="K211" s="5">
        <v>32065</v>
      </c>
      <c r="L211" s="5">
        <v>0.45</v>
      </c>
      <c r="M211" s="5">
        <v>15.71</v>
      </c>
      <c r="N211" s="5">
        <v>42378</v>
      </c>
      <c r="O211" s="5">
        <v>5.9</v>
      </c>
      <c r="P211" s="5">
        <v>36.79</v>
      </c>
      <c r="Q211" s="1">
        <f t="shared" si="6"/>
        <v>40817</v>
      </c>
      <c r="R211" t="str">
        <f t="shared" si="7"/>
        <v>2011-10-01</v>
      </c>
    </row>
    <row r="212" spans="1:18">
      <c r="A212" s="4">
        <v>11.11</v>
      </c>
      <c r="B212" s="6">
        <v>32178</v>
      </c>
      <c r="C212" s="6">
        <v>-1.39</v>
      </c>
      <c r="D212" s="6">
        <v>13.8</v>
      </c>
      <c r="E212" s="6">
        <v>28145</v>
      </c>
      <c r="F212" s="6">
        <v>-1.48</v>
      </c>
      <c r="G212" s="6">
        <v>11.59</v>
      </c>
      <c r="H212" s="6">
        <v>4032</v>
      </c>
      <c r="I212" s="6">
        <v>-0.81</v>
      </c>
      <c r="J212" s="6">
        <v>32.11</v>
      </c>
      <c r="K212" s="6">
        <v>31617</v>
      </c>
      <c r="L212" s="6">
        <v>-1.4</v>
      </c>
      <c r="M212" s="6">
        <v>14.09</v>
      </c>
      <c r="N212" s="6">
        <v>43270</v>
      </c>
      <c r="O212" s="6">
        <v>2.1</v>
      </c>
      <c r="P212" s="6">
        <v>39.67</v>
      </c>
      <c r="Q212" s="1">
        <f t="shared" si="6"/>
        <v>40848</v>
      </c>
      <c r="R212" t="str">
        <f t="shared" si="7"/>
        <v>2011-11-01</v>
      </c>
    </row>
    <row r="213" spans="1:18">
      <c r="A213" s="4">
        <v>12.11</v>
      </c>
      <c r="B213" s="5">
        <v>29328</v>
      </c>
      <c r="C213" s="5">
        <v>-8.86</v>
      </c>
      <c r="D213" s="5">
        <v>3.73</v>
      </c>
      <c r="E213" s="5">
        <v>25177</v>
      </c>
      <c r="F213" s="5">
        <v>-10.54</v>
      </c>
      <c r="G213" s="5">
        <v>-0.18</v>
      </c>
      <c r="H213" s="5">
        <v>4151</v>
      </c>
      <c r="I213" s="5">
        <v>2.94</v>
      </c>
      <c r="J213" s="5">
        <v>35.99</v>
      </c>
      <c r="K213" s="5">
        <v>28769</v>
      </c>
      <c r="L213" s="5">
        <v>-9.01</v>
      </c>
      <c r="M213" s="5">
        <v>3.82</v>
      </c>
      <c r="N213" s="5">
        <v>43625</v>
      </c>
      <c r="O213" s="5">
        <v>0.82</v>
      </c>
      <c r="P213" s="5">
        <v>40.82</v>
      </c>
      <c r="Q213" s="1">
        <f t="shared" si="6"/>
        <v>40878</v>
      </c>
      <c r="R213" t="str">
        <f t="shared" si="7"/>
        <v>2011-12-01</v>
      </c>
    </row>
    <row r="214" ht="21" spans="1:18">
      <c r="A214" s="4" t="s">
        <v>164</v>
      </c>
      <c r="B214" s="6">
        <v>33691</v>
      </c>
      <c r="C214" s="6">
        <v>14.89</v>
      </c>
      <c r="D214" s="6">
        <v>14.89</v>
      </c>
      <c r="E214" s="6">
        <v>28683</v>
      </c>
      <c r="F214" s="6">
        <v>13.95</v>
      </c>
      <c r="G214" s="6">
        <v>13.95</v>
      </c>
      <c r="H214" s="6">
        <v>5008</v>
      </c>
      <c r="I214" s="6">
        <v>20.65</v>
      </c>
      <c r="J214" s="6">
        <v>20.65</v>
      </c>
      <c r="K214" s="6">
        <v>33136</v>
      </c>
      <c r="L214" s="6">
        <v>15.2</v>
      </c>
      <c r="M214" s="6">
        <v>15.2</v>
      </c>
      <c r="N214" s="6">
        <v>45511</v>
      </c>
      <c r="O214" s="6">
        <v>4.16</v>
      </c>
      <c r="P214" s="6">
        <v>4.16</v>
      </c>
      <c r="Q214" s="1">
        <f t="shared" si="6"/>
        <v>40909</v>
      </c>
      <c r="R214" t="str">
        <f t="shared" si="7"/>
        <v>2012-01-01</v>
      </c>
    </row>
    <row r="215" ht="21" spans="1:18">
      <c r="A215" s="4" t="s">
        <v>165</v>
      </c>
      <c r="B215" s="5">
        <v>35352</v>
      </c>
      <c r="C215" s="5">
        <v>4.93</v>
      </c>
      <c r="D215" s="5">
        <v>20.56</v>
      </c>
      <c r="E215" s="5">
        <v>30072</v>
      </c>
      <c r="F215" s="5">
        <v>4.84</v>
      </c>
      <c r="G215" s="5">
        <v>19.46</v>
      </c>
      <c r="H215" s="5">
        <v>5281</v>
      </c>
      <c r="I215" s="5">
        <v>5.45</v>
      </c>
      <c r="J215" s="5">
        <v>27.22</v>
      </c>
      <c r="K215" s="5">
        <v>34812</v>
      </c>
      <c r="L215" s="5">
        <v>5.06</v>
      </c>
      <c r="M215" s="5">
        <v>21.03</v>
      </c>
      <c r="N215" s="5">
        <v>47353</v>
      </c>
      <c r="O215" s="5">
        <v>4.05</v>
      </c>
      <c r="P215" s="5">
        <v>8.38</v>
      </c>
      <c r="Q215" s="1">
        <f t="shared" si="6"/>
        <v>40940</v>
      </c>
      <c r="R215" t="str">
        <f t="shared" si="7"/>
        <v>2012-02-01</v>
      </c>
    </row>
    <row r="216" ht="21" spans="1:18">
      <c r="A216" s="4" t="s">
        <v>166</v>
      </c>
      <c r="B216" s="6">
        <v>32289</v>
      </c>
      <c r="C216" s="6">
        <v>-8.66</v>
      </c>
      <c r="D216" s="6">
        <v>10.12</v>
      </c>
      <c r="E216" s="6">
        <v>27155</v>
      </c>
      <c r="F216" s="6">
        <v>-9.7</v>
      </c>
      <c r="G216" s="6">
        <v>7.88</v>
      </c>
      <c r="H216" s="6">
        <v>5134</v>
      </c>
      <c r="I216" s="6">
        <v>-2.77</v>
      </c>
      <c r="J216" s="6">
        <v>23.7</v>
      </c>
      <c r="K216" s="6">
        <v>31753</v>
      </c>
      <c r="L216" s="6">
        <v>-8.79</v>
      </c>
      <c r="M216" s="6">
        <v>10.39</v>
      </c>
      <c r="N216" s="6">
        <v>48277</v>
      </c>
      <c r="O216" s="6">
        <v>1.95</v>
      </c>
      <c r="P216" s="6">
        <v>10.49</v>
      </c>
      <c r="Q216" s="1">
        <f t="shared" si="6"/>
        <v>40969</v>
      </c>
      <c r="R216" t="str">
        <f t="shared" si="7"/>
        <v>2012-03-01</v>
      </c>
    </row>
    <row r="217" ht="21" spans="1:18">
      <c r="A217" s="4" t="s">
        <v>167</v>
      </c>
      <c r="B217" s="5">
        <v>35038</v>
      </c>
      <c r="C217" s="5">
        <v>8.51</v>
      </c>
      <c r="D217" s="5">
        <v>19.49</v>
      </c>
      <c r="E217" s="5">
        <v>29816</v>
      </c>
      <c r="F217" s="5">
        <v>9.8</v>
      </c>
      <c r="G217" s="5">
        <v>18.45</v>
      </c>
      <c r="H217" s="5">
        <v>5221</v>
      </c>
      <c r="I217" s="5">
        <v>1.7</v>
      </c>
      <c r="J217" s="5">
        <v>25.79</v>
      </c>
      <c r="K217" s="5">
        <v>34497</v>
      </c>
      <c r="L217" s="5">
        <v>8.64</v>
      </c>
      <c r="M217" s="5">
        <v>19.93</v>
      </c>
      <c r="N217" s="5">
        <v>51011</v>
      </c>
      <c r="O217" s="5">
        <v>5.66</v>
      </c>
      <c r="P217" s="5">
        <v>16.75</v>
      </c>
      <c r="Q217" s="1">
        <f t="shared" si="6"/>
        <v>41000</v>
      </c>
      <c r="R217" t="str">
        <f t="shared" si="7"/>
        <v>2012-04-01</v>
      </c>
    </row>
    <row r="218" ht="21" spans="1:18">
      <c r="A218" s="4" t="s">
        <v>168</v>
      </c>
      <c r="B218" s="6">
        <v>34278</v>
      </c>
      <c r="C218" s="6">
        <v>-2.17</v>
      </c>
      <c r="D218" s="6">
        <v>16.9</v>
      </c>
      <c r="E218" s="6">
        <v>29239</v>
      </c>
      <c r="F218" s="6">
        <v>-1.94</v>
      </c>
      <c r="G218" s="6">
        <v>16.16</v>
      </c>
      <c r="H218" s="6">
        <v>5039</v>
      </c>
      <c r="I218" s="6">
        <v>-3.5</v>
      </c>
      <c r="J218" s="6">
        <v>21.39</v>
      </c>
      <c r="K218" s="6">
        <v>33753</v>
      </c>
      <c r="L218" s="6">
        <v>-2.16</v>
      </c>
      <c r="M218" s="6">
        <v>17.34</v>
      </c>
      <c r="N218" s="6">
        <v>51586</v>
      </c>
      <c r="O218" s="6">
        <v>1.13</v>
      </c>
      <c r="P218" s="6">
        <v>18.06</v>
      </c>
      <c r="Q218" s="1">
        <f t="shared" si="6"/>
        <v>41030</v>
      </c>
      <c r="R218" t="str">
        <f t="shared" si="7"/>
        <v>2012-05-01</v>
      </c>
    </row>
    <row r="219" ht="21" spans="1:18">
      <c r="A219" s="4" t="s">
        <v>169</v>
      </c>
      <c r="B219" s="5">
        <v>32326</v>
      </c>
      <c r="C219" s="5">
        <v>-5.69</v>
      </c>
      <c r="D219" s="5">
        <v>10.22</v>
      </c>
      <c r="E219" s="5">
        <v>27202</v>
      </c>
      <c r="F219" s="5">
        <v>-6.97</v>
      </c>
      <c r="G219" s="5">
        <v>8.04</v>
      </c>
      <c r="H219" s="5">
        <v>5124</v>
      </c>
      <c r="I219" s="5">
        <v>1.7</v>
      </c>
      <c r="J219" s="5">
        <v>23.45</v>
      </c>
      <c r="K219" s="5">
        <v>31801</v>
      </c>
      <c r="L219" s="5">
        <v>-5.78</v>
      </c>
      <c r="M219" s="5">
        <v>10.54</v>
      </c>
      <c r="N219" s="5">
        <v>51365</v>
      </c>
      <c r="O219" s="5">
        <v>-0.43</v>
      </c>
      <c r="P219" s="5">
        <v>17.74</v>
      </c>
      <c r="Q219" s="1">
        <f t="shared" si="6"/>
        <v>41061</v>
      </c>
      <c r="R219" t="str">
        <f t="shared" si="7"/>
        <v>2012-06-01</v>
      </c>
    </row>
    <row r="220" ht="21" spans="1:18">
      <c r="A220" s="4" t="s">
        <v>170</v>
      </c>
      <c r="B220" s="6">
        <v>28976</v>
      </c>
      <c r="C220" s="6">
        <v>-10.36</v>
      </c>
      <c r="D220" s="6">
        <v>-1.2</v>
      </c>
      <c r="E220" s="6">
        <v>23605</v>
      </c>
      <c r="F220" s="6">
        <v>-13.22</v>
      </c>
      <c r="G220" s="6">
        <v>-6.25</v>
      </c>
      <c r="H220" s="6">
        <v>5371</v>
      </c>
      <c r="I220" s="6">
        <v>4.82</v>
      </c>
      <c r="J220" s="6">
        <v>29.41</v>
      </c>
      <c r="K220" s="6">
        <v>28457</v>
      </c>
      <c r="L220" s="6">
        <v>-10.52</v>
      </c>
      <c r="M220" s="6">
        <v>-1.08</v>
      </c>
      <c r="N220" s="6">
        <v>53265</v>
      </c>
      <c r="O220" s="6">
        <v>3.7</v>
      </c>
      <c r="P220" s="6">
        <v>22.1</v>
      </c>
      <c r="Q220" s="1">
        <f t="shared" si="6"/>
        <v>41091</v>
      </c>
      <c r="R220" t="str">
        <f t="shared" si="7"/>
        <v>2012-07-01</v>
      </c>
    </row>
    <row r="221" ht="21" spans="1:18">
      <c r="A221" s="4" t="s">
        <v>171</v>
      </c>
      <c r="B221" s="5">
        <v>29576</v>
      </c>
      <c r="C221" s="5">
        <v>2.07</v>
      </c>
      <c r="D221" s="5">
        <v>0.84</v>
      </c>
      <c r="E221" s="5">
        <v>24014</v>
      </c>
      <c r="F221" s="5">
        <v>1.73</v>
      </c>
      <c r="G221" s="5">
        <v>-4.62</v>
      </c>
      <c r="H221" s="5">
        <v>5562</v>
      </c>
      <c r="I221" s="5">
        <v>3.55</v>
      </c>
      <c r="J221" s="5">
        <v>34</v>
      </c>
      <c r="K221" s="5">
        <v>29050</v>
      </c>
      <c r="L221" s="5">
        <v>2.09</v>
      </c>
      <c r="M221" s="5">
        <v>0.98</v>
      </c>
      <c r="N221" s="5">
        <v>54250</v>
      </c>
      <c r="O221" s="5">
        <v>1.85</v>
      </c>
      <c r="P221" s="5">
        <v>24.36</v>
      </c>
      <c r="Q221" s="1">
        <f t="shared" si="6"/>
        <v>41122</v>
      </c>
      <c r="R221" t="str">
        <f t="shared" si="7"/>
        <v>2012-08-01</v>
      </c>
    </row>
    <row r="222" ht="21" spans="1:18">
      <c r="A222" s="4" t="s">
        <v>172</v>
      </c>
      <c r="B222" s="6">
        <v>30091</v>
      </c>
      <c r="C222" s="6">
        <v>1.74</v>
      </c>
      <c r="D222" s="6">
        <v>2.6</v>
      </c>
      <c r="E222" s="6">
        <v>24136</v>
      </c>
      <c r="F222" s="6">
        <v>0.51</v>
      </c>
      <c r="G222" s="6">
        <v>-4.14</v>
      </c>
      <c r="H222" s="6">
        <v>5955</v>
      </c>
      <c r="I222" s="6">
        <v>7.07</v>
      </c>
      <c r="J222" s="6">
        <v>43.47</v>
      </c>
      <c r="K222" s="6">
        <v>29557</v>
      </c>
      <c r="L222" s="6">
        <v>1.75</v>
      </c>
      <c r="M222" s="6">
        <v>2.74</v>
      </c>
      <c r="N222" s="6">
        <v>55413</v>
      </c>
      <c r="O222" s="6">
        <v>2.14</v>
      </c>
      <c r="P222" s="6">
        <v>27.02</v>
      </c>
      <c r="Q222" s="1">
        <f t="shared" si="6"/>
        <v>41153</v>
      </c>
      <c r="R222" t="str">
        <f t="shared" si="7"/>
        <v>2012-09-01</v>
      </c>
    </row>
    <row r="223" spans="1:18">
      <c r="A223" s="4">
        <v>10.12</v>
      </c>
      <c r="B223" s="5">
        <v>29060</v>
      </c>
      <c r="C223" s="5">
        <v>-3.43</v>
      </c>
      <c r="D223" s="5">
        <v>-0.91</v>
      </c>
      <c r="E223" s="5">
        <v>22899</v>
      </c>
      <c r="F223" s="5">
        <v>-5.12</v>
      </c>
      <c r="G223" s="5">
        <v>-9.05</v>
      </c>
      <c r="H223" s="5">
        <v>6161</v>
      </c>
      <c r="I223" s="5">
        <v>3.45</v>
      </c>
      <c r="J223" s="5">
        <v>48.43</v>
      </c>
      <c r="K223" s="5">
        <v>28526</v>
      </c>
      <c r="L223" s="5">
        <v>-3.49</v>
      </c>
      <c r="M223" s="5">
        <v>-0.84</v>
      </c>
      <c r="N223" s="5">
        <v>56925</v>
      </c>
      <c r="O223" s="5">
        <v>2.73</v>
      </c>
      <c r="P223" s="5">
        <v>30.49</v>
      </c>
      <c r="Q223" s="1">
        <f t="shared" si="6"/>
        <v>41183</v>
      </c>
      <c r="R223" t="str">
        <f t="shared" si="7"/>
        <v>2012-10-01</v>
      </c>
    </row>
    <row r="224" spans="1:18">
      <c r="A224" s="4">
        <v>11.12</v>
      </c>
      <c r="B224" s="6">
        <v>29637</v>
      </c>
      <c r="C224" s="6">
        <v>1.98</v>
      </c>
      <c r="D224" s="6">
        <v>1.05</v>
      </c>
      <c r="E224" s="6">
        <v>23339</v>
      </c>
      <c r="F224" s="6">
        <v>1.92</v>
      </c>
      <c r="G224" s="6">
        <v>-7.3</v>
      </c>
      <c r="H224" s="6">
        <v>6298</v>
      </c>
      <c r="I224" s="6">
        <v>2.23</v>
      </c>
      <c r="J224" s="6">
        <v>51.74</v>
      </c>
      <c r="K224" s="6">
        <v>29103</v>
      </c>
      <c r="L224" s="6">
        <v>2.02</v>
      </c>
      <c r="M224" s="6">
        <v>1.16</v>
      </c>
      <c r="N224" s="6">
        <v>57525</v>
      </c>
      <c r="O224" s="6">
        <v>1.05</v>
      </c>
      <c r="P224" s="6">
        <v>31.86</v>
      </c>
      <c r="Q224" s="1">
        <f t="shared" si="6"/>
        <v>41214</v>
      </c>
      <c r="R224" t="str">
        <f t="shared" si="7"/>
        <v>2012-11-01</v>
      </c>
    </row>
    <row r="225" spans="1:18">
      <c r="A225" s="4">
        <v>12.12</v>
      </c>
      <c r="B225" s="5">
        <v>28269</v>
      </c>
      <c r="C225" s="5">
        <v>-4.62</v>
      </c>
      <c r="D225" s="5">
        <v>-3.61</v>
      </c>
      <c r="E225" s="5">
        <v>22121</v>
      </c>
      <c r="F225" s="5">
        <v>-5.22</v>
      </c>
      <c r="G225" s="5">
        <v>-12.14</v>
      </c>
      <c r="H225" s="5">
        <v>6148</v>
      </c>
      <c r="I225" s="5">
        <v>-2.38</v>
      </c>
      <c r="J225" s="5">
        <v>48.12</v>
      </c>
      <c r="K225" s="5">
        <v>27736</v>
      </c>
      <c r="L225" s="5">
        <v>-4.7</v>
      </c>
      <c r="M225" s="5">
        <v>-3.59</v>
      </c>
      <c r="N225" s="5">
        <v>57927</v>
      </c>
      <c r="O225" s="5">
        <v>0.7</v>
      </c>
      <c r="P225" s="5">
        <v>32.78</v>
      </c>
      <c r="Q225" s="1">
        <f t="shared" si="6"/>
        <v>41244</v>
      </c>
      <c r="R225" t="str">
        <f t="shared" si="7"/>
        <v>2012-12-01</v>
      </c>
    </row>
    <row r="226" ht="21" spans="1:18">
      <c r="A226" s="4" t="s">
        <v>173</v>
      </c>
      <c r="B226" s="6">
        <v>26950</v>
      </c>
      <c r="C226" s="6">
        <v>-4.67</v>
      </c>
      <c r="D226" s="6">
        <v>-4.67</v>
      </c>
      <c r="E226" s="6">
        <v>20664</v>
      </c>
      <c r="F226" s="6">
        <v>-6.58</v>
      </c>
      <c r="G226" s="6">
        <v>-6.58</v>
      </c>
      <c r="H226" s="6">
        <v>6286</v>
      </c>
      <c r="I226" s="6">
        <v>2.24</v>
      </c>
      <c r="J226" s="6">
        <v>2.24</v>
      </c>
      <c r="K226" s="6">
        <v>26415</v>
      </c>
      <c r="L226" s="6">
        <v>-4.76</v>
      </c>
      <c r="M226" s="6">
        <v>-4.76</v>
      </c>
      <c r="N226" s="6">
        <v>58480</v>
      </c>
      <c r="O226" s="6">
        <v>0.95</v>
      </c>
      <c r="P226" s="6">
        <v>0.95</v>
      </c>
      <c r="Q226" s="1">
        <f t="shared" si="6"/>
        <v>41275</v>
      </c>
      <c r="R226" t="str">
        <f t="shared" si="7"/>
        <v>2013-01-01</v>
      </c>
    </row>
    <row r="227" ht="21" spans="1:18">
      <c r="A227" s="4" t="s">
        <v>174</v>
      </c>
      <c r="B227" s="5">
        <v>26649</v>
      </c>
      <c r="C227" s="5">
        <v>-1.12</v>
      </c>
      <c r="D227" s="5">
        <v>-5.73</v>
      </c>
      <c r="E227" s="5">
        <v>20425</v>
      </c>
      <c r="F227" s="5">
        <v>-1.16</v>
      </c>
      <c r="G227" s="5">
        <v>-7.66</v>
      </c>
      <c r="H227" s="5">
        <v>6223</v>
      </c>
      <c r="I227" s="5">
        <v>-0.99</v>
      </c>
      <c r="J227" s="5">
        <v>1.22</v>
      </c>
      <c r="K227" s="5">
        <v>26122</v>
      </c>
      <c r="L227" s="5">
        <v>-1.11</v>
      </c>
      <c r="M227" s="5">
        <v>-5.82</v>
      </c>
      <c r="N227" s="5">
        <v>59504</v>
      </c>
      <c r="O227" s="5">
        <v>1.75</v>
      </c>
      <c r="P227" s="5">
        <v>2.72</v>
      </c>
      <c r="Q227" s="1">
        <f t="shared" si="6"/>
        <v>41306</v>
      </c>
      <c r="R227" t="str">
        <f t="shared" si="7"/>
        <v>2013-02-01</v>
      </c>
    </row>
    <row r="228" ht="21" spans="1:18">
      <c r="A228" s="4" t="s">
        <v>175</v>
      </c>
      <c r="B228" s="6">
        <v>28109</v>
      </c>
      <c r="C228" s="6">
        <v>5.48</v>
      </c>
      <c r="D228" s="6">
        <v>-0.57</v>
      </c>
      <c r="E228" s="6">
        <v>21778</v>
      </c>
      <c r="F228" s="6">
        <v>6.62</v>
      </c>
      <c r="G228" s="6">
        <v>-1.55</v>
      </c>
      <c r="H228" s="6">
        <v>6331</v>
      </c>
      <c r="I228" s="6">
        <v>1.73</v>
      </c>
      <c r="J228" s="6">
        <v>2.98</v>
      </c>
      <c r="K228" s="6">
        <v>27587</v>
      </c>
      <c r="L228" s="6">
        <v>5.61</v>
      </c>
      <c r="M228" s="6">
        <v>-0.54</v>
      </c>
      <c r="N228" s="6">
        <v>59806</v>
      </c>
      <c r="O228" s="6">
        <v>0.51</v>
      </c>
      <c r="P228" s="6">
        <v>3.24</v>
      </c>
      <c r="Q228" s="1">
        <f t="shared" si="6"/>
        <v>41334</v>
      </c>
      <c r="R228" t="str">
        <f t="shared" si="7"/>
        <v>2013-03-01</v>
      </c>
    </row>
    <row r="229" ht="21" spans="1:18">
      <c r="A229" s="4" t="s">
        <v>176</v>
      </c>
      <c r="B229" s="5">
        <v>26424</v>
      </c>
      <c r="C229" s="5">
        <v>-5.99</v>
      </c>
      <c r="D229" s="5">
        <v>-6.53</v>
      </c>
      <c r="E229" s="5">
        <v>20480</v>
      </c>
      <c r="F229" s="5">
        <v>-5.96</v>
      </c>
      <c r="G229" s="5">
        <v>-7.41</v>
      </c>
      <c r="H229" s="5">
        <v>5943</v>
      </c>
      <c r="I229" s="5">
        <v>-6.13</v>
      </c>
      <c r="J229" s="5">
        <v>-3.33</v>
      </c>
      <c r="K229" s="5">
        <v>25898</v>
      </c>
      <c r="L229" s="5">
        <v>-6.12</v>
      </c>
      <c r="M229" s="5">
        <v>-6.62</v>
      </c>
      <c r="N229" s="5">
        <v>62385</v>
      </c>
      <c r="O229" s="5">
        <v>4.31</v>
      </c>
      <c r="P229" s="5">
        <v>7.69</v>
      </c>
      <c r="Q229" s="1">
        <f t="shared" si="6"/>
        <v>41365</v>
      </c>
      <c r="R229" t="str">
        <f t="shared" si="7"/>
        <v>2013-04-01</v>
      </c>
    </row>
    <row r="230" ht="21" spans="1:18">
      <c r="A230" s="4" t="s">
        <v>177</v>
      </c>
      <c r="B230" s="6">
        <v>28356</v>
      </c>
      <c r="C230" s="6">
        <v>7.31</v>
      </c>
      <c r="D230" s="6">
        <v>0.31</v>
      </c>
      <c r="E230" s="6">
        <v>22485</v>
      </c>
      <c r="F230" s="6">
        <v>9.79</v>
      </c>
      <c r="G230" s="6">
        <v>1.65</v>
      </c>
      <c r="H230" s="6">
        <v>5871</v>
      </c>
      <c r="I230" s="6">
        <v>-1.21</v>
      </c>
      <c r="J230" s="6">
        <v>-4.5</v>
      </c>
      <c r="K230" s="6">
        <v>27835</v>
      </c>
      <c r="L230" s="6">
        <v>7.48</v>
      </c>
      <c r="M230" s="6">
        <v>0.36</v>
      </c>
      <c r="N230" s="6">
        <v>63270</v>
      </c>
      <c r="O230" s="6">
        <v>1.42</v>
      </c>
      <c r="P230" s="6">
        <v>9.22</v>
      </c>
      <c r="Q230" s="1">
        <f t="shared" si="6"/>
        <v>41395</v>
      </c>
      <c r="R230" t="str">
        <f t="shared" si="7"/>
        <v>2013-05-01</v>
      </c>
    </row>
    <row r="231" ht="21" spans="1:18">
      <c r="A231" s="4" t="s">
        <v>178</v>
      </c>
      <c r="B231" s="5">
        <v>26118</v>
      </c>
      <c r="C231" s="5">
        <v>-7.89</v>
      </c>
      <c r="D231" s="5">
        <v>-7.61</v>
      </c>
      <c r="E231" s="5">
        <v>21054</v>
      </c>
      <c r="F231" s="5">
        <v>-6.36</v>
      </c>
      <c r="G231" s="5">
        <v>-4.82</v>
      </c>
      <c r="H231" s="5">
        <v>5064</v>
      </c>
      <c r="I231" s="5">
        <v>-13.75</v>
      </c>
      <c r="J231" s="5">
        <v>-17.63</v>
      </c>
      <c r="K231" s="5">
        <v>25592</v>
      </c>
      <c r="L231" s="5">
        <v>-8.06</v>
      </c>
      <c r="M231" s="5">
        <v>-7.73</v>
      </c>
      <c r="N231" s="5">
        <v>63452</v>
      </c>
      <c r="O231" s="5">
        <v>0.29</v>
      </c>
      <c r="P231" s="5">
        <v>9.54</v>
      </c>
      <c r="Q231" s="1">
        <f t="shared" si="6"/>
        <v>41426</v>
      </c>
      <c r="R231" t="str">
        <f t="shared" si="7"/>
        <v>2013-06-01</v>
      </c>
    </row>
    <row r="232" ht="21" spans="1:18">
      <c r="A232" s="4" t="s">
        <v>179</v>
      </c>
      <c r="B232" s="6">
        <v>25469</v>
      </c>
      <c r="C232" s="6">
        <v>-2.48</v>
      </c>
      <c r="D232" s="6">
        <v>-9.9</v>
      </c>
      <c r="E232" s="6">
        <v>19819</v>
      </c>
      <c r="F232" s="6">
        <v>-5.86</v>
      </c>
      <c r="G232" s="6">
        <v>-10.4</v>
      </c>
      <c r="H232" s="6">
        <v>5650</v>
      </c>
      <c r="I232" s="6">
        <v>11.57</v>
      </c>
      <c r="J232" s="6">
        <v>-8.1</v>
      </c>
      <c r="K232" s="6">
        <v>24942</v>
      </c>
      <c r="L232" s="6">
        <v>-2.54</v>
      </c>
      <c r="M232" s="6">
        <v>-10.07</v>
      </c>
      <c r="N232" s="6">
        <v>64343</v>
      </c>
      <c r="O232" s="6">
        <v>1.41</v>
      </c>
      <c r="P232" s="6">
        <v>11.08</v>
      </c>
      <c r="Q232" s="1">
        <f t="shared" si="6"/>
        <v>41456</v>
      </c>
      <c r="R232" t="str">
        <f t="shared" si="7"/>
        <v>2013-07-01</v>
      </c>
    </row>
    <row r="233" ht="21" spans="1:18">
      <c r="A233" s="4" t="s">
        <v>180</v>
      </c>
      <c r="B233" s="5">
        <v>25834</v>
      </c>
      <c r="C233" s="5">
        <v>1.43</v>
      </c>
      <c r="D233" s="5">
        <v>-8.61</v>
      </c>
      <c r="E233" s="5">
        <v>19751</v>
      </c>
      <c r="F233" s="5">
        <v>-0.34</v>
      </c>
      <c r="G233" s="5">
        <v>-10.71</v>
      </c>
      <c r="H233" s="5">
        <v>6082</v>
      </c>
      <c r="I233" s="5">
        <v>7.65</v>
      </c>
      <c r="J233" s="5">
        <v>-1.07</v>
      </c>
      <c r="K233" s="5">
        <v>25304</v>
      </c>
      <c r="L233" s="5">
        <v>1.45</v>
      </c>
      <c r="M233" s="5">
        <v>-8.77</v>
      </c>
      <c r="N233" s="5">
        <v>65955</v>
      </c>
      <c r="O233" s="5">
        <v>2.5</v>
      </c>
      <c r="P233" s="5">
        <v>13.86</v>
      </c>
      <c r="Q233" s="1">
        <f t="shared" si="6"/>
        <v>41487</v>
      </c>
      <c r="R233" t="str">
        <f t="shared" si="7"/>
        <v>2013-08-01</v>
      </c>
    </row>
    <row r="234" ht="21" spans="1:18">
      <c r="A234" s="4" t="s">
        <v>181</v>
      </c>
      <c r="B234" s="6">
        <v>24159</v>
      </c>
      <c r="C234" s="6">
        <v>-6.48</v>
      </c>
      <c r="D234" s="6">
        <v>-14.54</v>
      </c>
      <c r="E234" s="6">
        <v>18273</v>
      </c>
      <c r="F234" s="6">
        <v>-7.48</v>
      </c>
      <c r="G234" s="6">
        <v>-17.39</v>
      </c>
      <c r="H234" s="6">
        <v>5885</v>
      </c>
      <c r="I234" s="6">
        <v>-3.24</v>
      </c>
      <c r="J234" s="6">
        <v>-4.28</v>
      </c>
      <c r="K234" s="6">
        <v>23623</v>
      </c>
      <c r="L234" s="6">
        <v>-6.64</v>
      </c>
      <c r="M234" s="6">
        <v>-14.83</v>
      </c>
      <c r="N234" s="6">
        <v>66617</v>
      </c>
      <c r="O234" s="6">
        <v>1</v>
      </c>
      <c r="P234" s="6">
        <v>15</v>
      </c>
      <c r="Q234" s="1">
        <f t="shared" si="6"/>
        <v>41518</v>
      </c>
      <c r="R234" t="str">
        <f t="shared" si="7"/>
        <v>2013-09-01</v>
      </c>
    </row>
    <row r="235" spans="1:18">
      <c r="A235" s="4">
        <v>10.13</v>
      </c>
      <c r="B235" s="5">
        <v>23697</v>
      </c>
      <c r="C235" s="5">
        <v>-1.91</v>
      </c>
      <c r="D235" s="5">
        <v>-16.17</v>
      </c>
      <c r="E235" s="5">
        <v>17717</v>
      </c>
      <c r="F235" s="5">
        <v>-3.05</v>
      </c>
      <c r="G235" s="5">
        <v>-19.91</v>
      </c>
      <c r="H235" s="5">
        <v>5980</v>
      </c>
      <c r="I235" s="5">
        <v>1.6</v>
      </c>
      <c r="J235" s="5">
        <v>-2.74</v>
      </c>
      <c r="K235" s="5">
        <v>23153</v>
      </c>
      <c r="L235" s="5">
        <v>-1.99</v>
      </c>
      <c r="M235" s="5">
        <v>-16.52</v>
      </c>
      <c r="N235" s="5">
        <v>68669</v>
      </c>
      <c r="O235" s="5">
        <v>3.08</v>
      </c>
      <c r="P235" s="5">
        <v>18.54</v>
      </c>
      <c r="Q235" s="1">
        <f t="shared" si="6"/>
        <v>41548</v>
      </c>
      <c r="R235" t="str">
        <f t="shared" si="7"/>
        <v>2013-10-01</v>
      </c>
    </row>
    <row r="236" spans="1:18">
      <c r="A236" s="4">
        <v>11.13</v>
      </c>
      <c r="B236" s="6">
        <v>24095</v>
      </c>
      <c r="C236" s="6">
        <v>1.68</v>
      </c>
      <c r="D236" s="6">
        <v>-14.76</v>
      </c>
      <c r="E236" s="6">
        <v>18438</v>
      </c>
      <c r="F236" s="6">
        <v>4.07</v>
      </c>
      <c r="G236" s="6">
        <v>-16.65</v>
      </c>
      <c r="H236" s="6">
        <v>5658</v>
      </c>
      <c r="I236" s="6">
        <v>-5.39</v>
      </c>
      <c r="J236" s="6">
        <v>-7.98</v>
      </c>
      <c r="K236" s="6">
        <v>23553</v>
      </c>
      <c r="L236" s="6">
        <v>1.73</v>
      </c>
      <c r="M236" s="6">
        <v>-15.08</v>
      </c>
      <c r="N236" s="6">
        <v>69758</v>
      </c>
      <c r="O236" s="6">
        <v>1.59</v>
      </c>
      <c r="P236" s="6">
        <v>20.42</v>
      </c>
      <c r="Q236" s="1">
        <f t="shared" si="6"/>
        <v>41579</v>
      </c>
      <c r="R236" t="str">
        <f t="shared" si="7"/>
        <v>2013-11-01</v>
      </c>
    </row>
    <row r="237" spans="1:18">
      <c r="A237" s="4">
        <v>12.13</v>
      </c>
      <c r="B237" s="5">
        <v>24715</v>
      </c>
      <c r="C237" s="5">
        <v>2.57</v>
      </c>
      <c r="D237" s="5">
        <v>-12.57</v>
      </c>
      <c r="E237" s="5">
        <v>19164</v>
      </c>
      <c r="F237" s="5">
        <v>3.94</v>
      </c>
      <c r="G237" s="5">
        <v>-13.37</v>
      </c>
      <c r="H237" s="5">
        <v>5551</v>
      </c>
      <c r="I237" s="5">
        <v>-1.88</v>
      </c>
      <c r="J237" s="5">
        <v>-9.71</v>
      </c>
      <c r="K237" s="5">
        <v>24170</v>
      </c>
      <c r="L237" s="5">
        <v>2.62</v>
      </c>
      <c r="M237" s="5">
        <v>-12.86</v>
      </c>
      <c r="N237" s="5">
        <v>70790</v>
      </c>
      <c r="O237" s="5">
        <v>1.48</v>
      </c>
      <c r="P237" s="5">
        <v>22.2</v>
      </c>
      <c r="Q237" s="1">
        <f t="shared" si="6"/>
        <v>41609</v>
      </c>
      <c r="R237" t="str">
        <f t="shared" si="7"/>
        <v>2013-12-01</v>
      </c>
    </row>
    <row r="238" ht="21" spans="1:18">
      <c r="A238" s="4" t="s">
        <v>182</v>
      </c>
      <c r="B238" s="6">
        <v>24519</v>
      </c>
      <c r="C238" s="6">
        <v>-0.8</v>
      </c>
      <c r="D238" s="6">
        <v>-0.8</v>
      </c>
      <c r="E238" s="6">
        <v>18697</v>
      </c>
      <c r="F238" s="6">
        <v>-2.44</v>
      </c>
      <c r="G238" s="6">
        <v>-2.44</v>
      </c>
      <c r="H238" s="6">
        <v>5822</v>
      </c>
      <c r="I238" s="6">
        <v>4.87</v>
      </c>
      <c r="J238" s="6">
        <v>4.87</v>
      </c>
      <c r="K238" s="6">
        <v>23974</v>
      </c>
      <c r="L238" s="6">
        <v>-0.81</v>
      </c>
      <c r="M238" s="6">
        <v>-0.81</v>
      </c>
      <c r="N238" s="6">
        <v>71142</v>
      </c>
      <c r="O238" s="6">
        <v>0.5</v>
      </c>
      <c r="P238" s="6">
        <v>0.5</v>
      </c>
      <c r="Q238" s="1">
        <f t="shared" si="6"/>
        <v>41640</v>
      </c>
      <c r="R238" t="str">
        <f t="shared" si="7"/>
        <v>2014-01-01</v>
      </c>
    </row>
    <row r="239" ht="21" spans="1:18">
      <c r="A239" s="4" t="s">
        <v>183</v>
      </c>
      <c r="B239" s="5">
        <v>26051</v>
      </c>
      <c r="C239" s="5">
        <v>6.25</v>
      </c>
      <c r="D239" s="5">
        <v>5.4</v>
      </c>
      <c r="E239" s="5">
        <v>19769</v>
      </c>
      <c r="F239" s="5">
        <v>5.73</v>
      </c>
      <c r="G239" s="5">
        <v>3.16</v>
      </c>
      <c r="H239" s="5">
        <v>6282</v>
      </c>
      <c r="I239" s="5">
        <v>7.9</v>
      </c>
      <c r="J239" s="5">
        <v>13.16</v>
      </c>
      <c r="K239" s="5">
        <v>25505</v>
      </c>
      <c r="L239" s="5">
        <v>6.38</v>
      </c>
      <c r="M239" s="5">
        <v>5.52</v>
      </c>
      <c r="N239" s="5">
        <v>71625</v>
      </c>
      <c r="O239" s="5">
        <v>0.68</v>
      </c>
      <c r="P239" s="5">
        <v>1.18</v>
      </c>
      <c r="Q239" s="1">
        <f t="shared" si="6"/>
        <v>41671</v>
      </c>
      <c r="R239" t="str">
        <f t="shared" si="7"/>
        <v>2014-02-01</v>
      </c>
    </row>
    <row r="240" ht="21" spans="1:18">
      <c r="A240" s="4" t="s">
        <v>184</v>
      </c>
      <c r="B240" s="6">
        <v>26516</v>
      </c>
      <c r="C240" s="6">
        <v>1.79</v>
      </c>
      <c r="D240" s="6">
        <v>7.29</v>
      </c>
      <c r="E240" s="6">
        <v>20330</v>
      </c>
      <c r="F240" s="6">
        <v>2.84</v>
      </c>
      <c r="G240" s="6">
        <v>6.08</v>
      </c>
      <c r="H240" s="6">
        <v>6186</v>
      </c>
      <c r="I240" s="6">
        <v>-1.52</v>
      </c>
      <c r="J240" s="6">
        <v>11.44</v>
      </c>
      <c r="K240" s="6">
        <v>25650</v>
      </c>
      <c r="L240" s="6">
        <v>0.57</v>
      </c>
      <c r="M240" s="6">
        <v>6.12</v>
      </c>
      <c r="N240" s="6">
        <v>72787</v>
      </c>
      <c r="O240" s="6">
        <v>1.62</v>
      </c>
      <c r="P240" s="6">
        <v>2.82</v>
      </c>
      <c r="Q240" s="1">
        <f t="shared" si="6"/>
        <v>41699</v>
      </c>
      <c r="R240" t="str">
        <f t="shared" si="7"/>
        <v>2014-03-01</v>
      </c>
    </row>
    <row r="241" ht="21" spans="1:18">
      <c r="A241" s="4" t="s">
        <v>185</v>
      </c>
      <c r="B241" s="5">
        <v>28407</v>
      </c>
      <c r="C241" s="5">
        <v>7.13</v>
      </c>
      <c r="D241" s="5">
        <v>14.94</v>
      </c>
      <c r="E241" s="5">
        <v>22117</v>
      </c>
      <c r="F241" s="5">
        <v>8.79</v>
      </c>
      <c r="G241" s="5">
        <v>15.41</v>
      </c>
      <c r="H241" s="5">
        <v>6290</v>
      </c>
      <c r="I241" s="5">
        <v>1.68</v>
      </c>
      <c r="J241" s="5">
        <v>13.31</v>
      </c>
      <c r="K241" s="5">
        <v>27608</v>
      </c>
      <c r="L241" s="5">
        <v>7.63</v>
      </c>
      <c r="M241" s="5">
        <v>14.22</v>
      </c>
      <c r="N241" s="5">
        <v>73588</v>
      </c>
      <c r="O241" s="5">
        <v>1.1</v>
      </c>
      <c r="P241" s="5">
        <v>3.95</v>
      </c>
      <c r="Q241" s="1">
        <f t="shared" si="6"/>
        <v>41730</v>
      </c>
      <c r="R241" t="str">
        <f t="shared" si="7"/>
        <v>2014-04-01</v>
      </c>
    </row>
    <row r="242" ht="21" spans="1:18">
      <c r="A242" s="4" t="s">
        <v>186</v>
      </c>
      <c r="B242" s="6">
        <v>27556</v>
      </c>
      <c r="C242" s="6">
        <v>-3</v>
      </c>
      <c r="D242" s="6">
        <v>11.49</v>
      </c>
      <c r="E242" s="6">
        <v>21343</v>
      </c>
      <c r="F242" s="6">
        <v>-3.5</v>
      </c>
      <c r="G242" s="6">
        <v>11.37</v>
      </c>
      <c r="H242" s="6">
        <v>6214</v>
      </c>
      <c r="I242" s="6">
        <v>-1.22</v>
      </c>
      <c r="J242" s="6">
        <v>11.93</v>
      </c>
      <c r="K242" s="6">
        <v>26761</v>
      </c>
      <c r="L242" s="6">
        <v>-3.07</v>
      </c>
      <c r="M242" s="6">
        <v>10.72</v>
      </c>
      <c r="N242" s="6">
        <v>75812</v>
      </c>
      <c r="O242" s="6">
        <v>3.02</v>
      </c>
      <c r="P242" s="6">
        <v>7.1</v>
      </c>
      <c r="Q242" s="1">
        <f t="shared" si="6"/>
        <v>41760</v>
      </c>
      <c r="R242" t="str">
        <f t="shared" si="7"/>
        <v>2014-05-01</v>
      </c>
    </row>
    <row r="243" ht="21" spans="1:18">
      <c r="A243" s="4" t="s">
        <v>187</v>
      </c>
      <c r="B243" s="5">
        <v>26468</v>
      </c>
      <c r="C243" s="5">
        <v>-3.95</v>
      </c>
      <c r="D243" s="5">
        <v>7.09</v>
      </c>
      <c r="E243" s="5">
        <v>19892</v>
      </c>
      <c r="F243" s="5">
        <v>-6.8</v>
      </c>
      <c r="G243" s="5">
        <v>3.8</v>
      </c>
      <c r="H243" s="5">
        <v>6576</v>
      </c>
      <c r="I243" s="5">
        <v>5.83</v>
      </c>
      <c r="J243" s="5">
        <v>18.46</v>
      </c>
      <c r="K243" s="5">
        <v>25671</v>
      </c>
      <c r="L243" s="5">
        <v>-4.07</v>
      </c>
      <c r="M243" s="5">
        <v>6.21</v>
      </c>
      <c r="N243" s="5">
        <v>76607</v>
      </c>
      <c r="O243" s="5">
        <v>1.05</v>
      </c>
      <c r="P243" s="5">
        <v>8.22</v>
      </c>
      <c r="Q243" s="1">
        <f t="shared" si="6"/>
        <v>41791</v>
      </c>
      <c r="R243" t="str">
        <f t="shared" si="7"/>
        <v>2014-06-01</v>
      </c>
    </row>
    <row r="244" ht="21" spans="1:18">
      <c r="A244" s="4" t="s">
        <v>188</v>
      </c>
      <c r="B244" s="6">
        <v>26997</v>
      </c>
      <c r="C244" s="6">
        <v>2</v>
      </c>
      <c r="D244" s="6">
        <v>9.23</v>
      </c>
      <c r="E244" s="6">
        <v>20453</v>
      </c>
      <c r="F244" s="6">
        <v>2.82</v>
      </c>
      <c r="G244" s="6">
        <v>6.73</v>
      </c>
      <c r="H244" s="6">
        <v>6543</v>
      </c>
      <c r="I244" s="6">
        <v>-0.49</v>
      </c>
      <c r="J244" s="6">
        <v>17.87</v>
      </c>
      <c r="K244" s="6">
        <v>26355</v>
      </c>
      <c r="L244" s="6">
        <v>2.66</v>
      </c>
      <c r="M244" s="6">
        <v>9.04</v>
      </c>
      <c r="N244" s="6">
        <v>76757</v>
      </c>
      <c r="O244" s="6">
        <v>0.2</v>
      </c>
      <c r="P244" s="6">
        <v>8.43</v>
      </c>
      <c r="Q244" s="1">
        <f t="shared" si="6"/>
        <v>41821</v>
      </c>
      <c r="R244" t="str">
        <f t="shared" si="7"/>
        <v>2014-07-01</v>
      </c>
    </row>
    <row r="245" ht="21" spans="1:18">
      <c r="A245" s="4" t="s">
        <v>189</v>
      </c>
      <c r="B245" s="5">
        <v>27741</v>
      </c>
      <c r="C245" s="5">
        <v>2.76</v>
      </c>
      <c r="D245" s="5">
        <v>12.24</v>
      </c>
      <c r="E245" s="5">
        <v>20222</v>
      </c>
      <c r="F245" s="5">
        <v>-1.13</v>
      </c>
      <c r="G245" s="5">
        <v>5.52</v>
      </c>
      <c r="H245" s="5">
        <v>7519</v>
      </c>
      <c r="I245" s="5">
        <v>14.91</v>
      </c>
      <c r="J245" s="5">
        <v>35.45</v>
      </c>
      <c r="K245" s="5">
        <v>27041</v>
      </c>
      <c r="L245" s="5">
        <v>2.6</v>
      </c>
      <c r="M245" s="5">
        <v>11.88</v>
      </c>
      <c r="N245" s="5">
        <v>77236</v>
      </c>
      <c r="O245" s="5">
        <v>0.62</v>
      </c>
      <c r="P245" s="5">
        <v>9.11</v>
      </c>
      <c r="Q245" s="1">
        <f t="shared" si="6"/>
        <v>41852</v>
      </c>
      <c r="R245" t="str">
        <f t="shared" si="7"/>
        <v>2014-08-01</v>
      </c>
    </row>
    <row r="246" ht="21" spans="1:18">
      <c r="A246" s="4" t="s">
        <v>190</v>
      </c>
      <c r="B246" s="6">
        <v>27961</v>
      </c>
      <c r="C246" s="6">
        <v>0.79</v>
      </c>
      <c r="D246" s="6">
        <v>13.13</v>
      </c>
      <c r="E246" s="6">
        <v>20802</v>
      </c>
      <c r="F246" s="6">
        <v>2.87</v>
      </c>
      <c r="G246" s="6">
        <v>8.54</v>
      </c>
      <c r="H246" s="6">
        <v>7159</v>
      </c>
      <c r="I246" s="6">
        <v>-4.79</v>
      </c>
      <c r="J246" s="6">
        <v>28.96</v>
      </c>
      <c r="K246" s="6">
        <v>27113</v>
      </c>
      <c r="L246" s="6">
        <v>0.26</v>
      </c>
      <c r="M246" s="6">
        <v>12.18</v>
      </c>
      <c r="N246" s="6">
        <v>76192</v>
      </c>
      <c r="O246" s="6">
        <v>-1.35</v>
      </c>
      <c r="P246" s="6">
        <v>7.63</v>
      </c>
      <c r="Q246" s="1">
        <f t="shared" si="6"/>
        <v>41883</v>
      </c>
      <c r="R246" t="str">
        <f t="shared" si="7"/>
        <v>2014-09-01</v>
      </c>
    </row>
    <row r="247" spans="1:18">
      <c r="A247" s="4">
        <v>10.14</v>
      </c>
      <c r="B247" s="5">
        <v>28271</v>
      </c>
      <c r="C247" s="5">
        <v>1.11</v>
      </c>
      <c r="D247" s="5">
        <v>14.38</v>
      </c>
      <c r="E247" s="5">
        <v>21258</v>
      </c>
      <c r="F247" s="5">
        <v>2.19</v>
      </c>
      <c r="G247" s="5">
        <v>10.92</v>
      </c>
      <c r="H247" s="5">
        <v>7013</v>
      </c>
      <c r="I247" s="5">
        <v>-2.04</v>
      </c>
      <c r="J247" s="5">
        <v>26.33</v>
      </c>
      <c r="K247" s="5">
        <v>27475</v>
      </c>
      <c r="L247" s="5">
        <v>1.34</v>
      </c>
      <c r="M247" s="5">
        <v>13.68</v>
      </c>
      <c r="N247" s="5">
        <v>76835</v>
      </c>
      <c r="O247" s="5">
        <v>0.84</v>
      </c>
      <c r="P247" s="5">
        <v>8.54</v>
      </c>
      <c r="Q247" s="1">
        <f t="shared" si="6"/>
        <v>41913</v>
      </c>
      <c r="R247" t="str">
        <f t="shared" si="7"/>
        <v>2014-10-01</v>
      </c>
    </row>
    <row r="248" spans="1:18">
      <c r="A248" s="4">
        <v>11.14</v>
      </c>
      <c r="B248" s="6">
        <v>28615</v>
      </c>
      <c r="C248" s="6">
        <v>1.22</v>
      </c>
      <c r="D248" s="6">
        <v>15.78</v>
      </c>
      <c r="E248" s="6">
        <v>21469</v>
      </c>
      <c r="F248" s="6">
        <v>1</v>
      </c>
      <c r="G248" s="6">
        <v>12.03</v>
      </c>
      <c r="H248" s="6">
        <v>7145</v>
      </c>
      <c r="I248" s="6">
        <v>1.89</v>
      </c>
      <c r="J248" s="6">
        <v>28.72</v>
      </c>
      <c r="K248" s="6">
        <v>27874</v>
      </c>
      <c r="L248" s="6">
        <v>1.45</v>
      </c>
      <c r="M248" s="6">
        <v>15.33</v>
      </c>
      <c r="N248" s="6">
        <v>76761</v>
      </c>
      <c r="O248" s="6">
        <v>-0.1</v>
      </c>
      <c r="P248" s="6">
        <v>8.44</v>
      </c>
      <c r="Q248" s="1">
        <f t="shared" si="6"/>
        <v>41944</v>
      </c>
      <c r="R248" t="str">
        <f t="shared" si="7"/>
        <v>2014-11-01</v>
      </c>
    </row>
    <row r="249" spans="1:18">
      <c r="A249" s="4">
        <v>12.14</v>
      </c>
      <c r="B249" s="5">
        <v>29209</v>
      </c>
      <c r="C249" s="5">
        <v>2.07</v>
      </c>
      <c r="D249" s="5">
        <v>18.18</v>
      </c>
      <c r="E249" s="5">
        <v>21814</v>
      </c>
      <c r="F249" s="5">
        <v>1.6</v>
      </c>
      <c r="G249" s="5">
        <v>13.83</v>
      </c>
      <c r="H249" s="5">
        <v>7395</v>
      </c>
      <c r="I249" s="5">
        <v>3.49</v>
      </c>
      <c r="J249" s="5">
        <v>33.21</v>
      </c>
      <c r="K249" s="5">
        <v>28261</v>
      </c>
      <c r="L249" s="5">
        <v>1.39</v>
      </c>
      <c r="M249" s="5">
        <v>16.92</v>
      </c>
      <c r="N249" s="5">
        <v>73187</v>
      </c>
      <c r="O249" s="5">
        <v>-4.66</v>
      </c>
      <c r="P249" s="5">
        <v>3.39</v>
      </c>
      <c r="Q249" s="1">
        <f t="shared" si="6"/>
        <v>41974</v>
      </c>
      <c r="R249" t="str">
        <f t="shared" si="7"/>
        <v>2014-12-01</v>
      </c>
    </row>
    <row r="250" ht="21" spans="1:18">
      <c r="A250" s="4" t="s">
        <v>191</v>
      </c>
      <c r="B250" s="6">
        <v>29055</v>
      </c>
      <c r="C250" s="6">
        <v>-0.53</v>
      </c>
      <c r="D250" s="6">
        <v>-0.53</v>
      </c>
      <c r="E250" s="6">
        <v>21197</v>
      </c>
      <c r="F250" s="6">
        <v>-2.83</v>
      </c>
      <c r="G250" s="6">
        <v>-2.83</v>
      </c>
      <c r="H250" s="6">
        <v>7858</v>
      </c>
      <c r="I250" s="6">
        <v>6.27</v>
      </c>
      <c r="J250" s="6">
        <v>6.27</v>
      </c>
      <c r="K250" s="6">
        <v>28193</v>
      </c>
      <c r="L250" s="6">
        <v>-0.24</v>
      </c>
      <c r="M250" s="6">
        <v>-0.24</v>
      </c>
      <c r="N250" s="6">
        <v>71751</v>
      </c>
      <c r="O250" s="6">
        <v>-1.96</v>
      </c>
      <c r="P250" s="6">
        <v>-1.96</v>
      </c>
      <c r="Q250" s="1">
        <f t="shared" si="6"/>
        <v>42005</v>
      </c>
      <c r="R250" t="str">
        <f t="shared" si="7"/>
        <v>2015-01-01</v>
      </c>
    </row>
    <row r="251" ht="21" spans="1:18">
      <c r="A251" s="4" t="s">
        <v>192</v>
      </c>
      <c r="B251" s="5">
        <v>29080</v>
      </c>
      <c r="C251" s="5">
        <v>0.08</v>
      </c>
      <c r="D251" s="5">
        <v>-0.44</v>
      </c>
      <c r="E251" s="5">
        <v>21482</v>
      </c>
      <c r="F251" s="5">
        <v>1.35</v>
      </c>
      <c r="G251" s="5">
        <v>-1.52</v>
      </c>
      <c r="H251" s="5">
        <v>7598</v>
      </c>
      <c r="I251" s="5">
        <v>-3.32</v>
      </c>
      <c r="J251" s="5">
        <v>2.75</v>
      </c>
      <c r="K251" s="5">
        <v>28314</v>
      </c>
      <c r="L251" s="5">
        <v>0.43</v>
      </c>
      <c r="M251" s="5">
        <v>0.19</v>
      </c>
      <c r="N251" s="5">
        <v>71703</v>
      </c>
      <c r="O251" s="5">
        <v>-0.07</v>
      </c>
      <c r="P251" s="5">
        <v>-2.03</v>
      </c>
      <c r="Q251" s="1">
        <f t="shared" si="6"/>
        <v>42036</v>
      </c>
      <c r="R251" t="str">
        <f t="shared" si="7"/>
        <v>2015-02-01</v>
      </c>
    </row>
    <row r="252" ht="21" spans="1:18">
      <c r="A252" s="4" t="s">
        <v>193</v>
      </c>
      <c r="B252" s="6">
        <v>29120</v>
      </c>
      <c r="C252" s="6">
        <v>0.14</v>
      </c>
      <c r="D252" s="6">
        <v>-0.3</v>
      </c>
      <c r="E252" s="6">
        <v>21597</v>
      </c>
      <c r="F252" s="6">
        <v>0.54</v>
      </c>
      <c r="G252" s="6">
        <v>-0.99</v>
      </c>
      <c r="H252" s="6">
        <v>7522</v>
      </c>
      <c r="I252" s="6">
        <v>-1</v>
      </c>
      <c r="J252" s="6">
        <v>1.73</v>
      </c>
      <c r="K252" s="6">
        <v>28362</v>
      </c>
      <c r="L252" s="6">
        <v>0.17</v>
      </c>
      <c r="M252" s="6">
        <v>0.36</v>
      </c>
      <c r="N252" s="6">
        <v>69739</v>
      </c>
      <c r="O252" s="6">
        <v>-2.74</v>
      </c>
      <c r="P252" s="6">
        <v>-4.71</v>
      </c>
      <c r="Q252" s="1">
        <f t="shared" si="6"/>
        <v>42064</v>
      </c>
      <c r="R252" t="str">
        <f t="shared" si="7"/>
        <v>2015-03-01</v>
      </c>
    </row>
    <row r="253" ht="21" spans="1:18">
      <c r="A253" s="4" t="s">
        <v>194</v>
      </c>
      <c r="B253" s="5">
        <v>28737</v>
      </c>
      <c r="C253" s="5">
        <v>-1.31</v>
      </c>
      <c r="D253" s="5">
        <v>-1.61</v>
      </c>
      <c r="E253" s="5">
        <v>20960</v>
      </c>
      <c r="F253" s="5">
        <v>-2.95</v>
      </c>
      <c r="G253" s="5">
        <v>-3.91</v>
      </c>
      <c r="H253" s="5">
        <v>7777</v>
      </c>
      <c r="I253" s="5">
        <v>3.38</v>
      </c>
      <c r="J253" s="5">
        <v>5.16</v>
      </c>
      <c r="K253" s="5">
        <v>27963</v>
      </c>
      <c r="L253" s="5">
        <v>-1.41</v>
      </c>
      <c r="M253" s="5">
        <v>-1.05</v>
      </c>
      <c r="N253" s="5">
        <v>69949</v>
      </c>
      <c r="O253" s="5">
        <v>0.3</v>
      </c>
      <c r="P253" s="5">
        <v>-4.42</v>
      </c>
      <c r="Q253" s="1">
        <f t="shared" si="6"/>
        <v>42095</v>
      </c>
      <c r="R253" t="str">
        <f t="shared" si="7"/>
        <v>2015-04-01</v>
      </c>
    </row>
    <row r="254" ht="21" spans="1:18">
      <c r="A254" s="4" t="s">
        <v>195</v>
      </c>
      <c r="B254" s="6">
        <v>28734</v>
      </c>
      <c r="C254" s="6">
        <v>-0.01</v>
      </c>
      <c r="D254" s="6">
        <v>-1.62</v>
      </c>
      <c r="E254" s="6">
        <v>20949</v>
      </c>
      <c r="F254" s="6">
        <v>-0.05</v>
      </c>
      <c r="G254" s="6">
        <v>-3.96</v>
      </c>
      <c r="H254" s="6">
        <v>7785</v>
      </c>
      <c r="I254" s="6">
        <v>0.11</v>
      </c>
      <c r="J254" s="6">
        <v>5.28</v>
      </c>
      <c r="K254" s="6">
        <v>27963</v>
      </c>
      <c r="L254" s="6"/>
      <c r="M254" s="6">
        <v>-1.05</v>
      </c>
      <c r="N254" s="6">
        <v>69024</v>
      </c>
      <c r="O254" s="6">
        <v>-1.32</v>
      </c>
      <c r="P254" s="6">
        <v>-5.69</v>
      </c>
      <c r="Q254" s="1">
        <f t="shared" si="6"/>
        <v>42125</v>
      </c>
      <c r="R254" t="str">
        <f t="shared" si="7"/>
        <v>2015-05-01</v>
      </c>
    </row>
    <row r="255" ht="21" spans="1:18">
      <c r="A255" s="4" t="s">
        <v>196</v>
      </c>
      <c r="B255" s="5">
        <v>28891</v>
      </c>
      <c r="C255" s="5">
        <v>0.54</v>
      </c>
      <c r="D255" s="5">
        <v>-1.09</v>
      </c>
      <c r="E255" s="5">
        <v>21122</v>
      </c>
      <c r="F255" s="5">
        <v>0.82</v>
      </c>
      <c r="G255" s="5">
        <v>-3.17</v>
      </c>
      <c r="H255" s="5">
        <v>7769</v>
      </c>
      <c r="I255" s="5">
        <v>-0.2</v>
      </c>
      <c r="J255" s="5">
        <v>5.07</v>
      </c>
      <c r="K255" s="5">
        <v>28104</v>
      </c>
      <c r="L255" s="5">
        <v>0.51</v>
      </c>
      <c r="M255" s="5">
        <v>-0.55</v>
      </c>
      <c r="N255" s="5">
        <v>69028</v>
      </c>
      <c r="O255" s="5">
        <v>0.01</v>
      </c>
      <c r="P255" s="5">
        <v>-5.68</v>
      </c>
      <c r="Q255" s="1">
        <f t="shared" si="6"/>
        <v>42156</v>
      </c>
      <c r="R255" t="str">
        <f t="shared" si="7"/>
        <v>2015-06-01</v>
      </c>
    </row>
    <row r="256" ht="21" spans="1:18">
      <c r="A256" s="4" t="s">
        <v>197</v>
      </c>
      <c r="B256" s="6">
        <v>28977</v>
      </c>
      <c r="C256" s="6">
        <v>0.3</v>
      </c>
      <c r="D256" s="6">
        <v>-0.79</v>
      </c>
      <c r="E256" s="6">
        <v>21749</v>
      </c>
      <c r="F256" s="6">
        <v>2.97</v>
      </c>
      <c r="G256" s="6">
        <v>-0.3</v>
      </c>
      <c r="H256" s="6">
        <v>7228</v>
      </c>
      <c r="I256" s="6">
        <v>-6.97</v>
      </c>
      <c r="J256" s="6">
        <v>-2.26</v>
      </c>
      <c r="K256" s="6">
        <v>28195</v>
      </c>
      <c r="L256" s="6">
        <v>0.32</v>
      </c>
      <c r="M256" s="6">
        <v>-0.23</v>
      </c>
      <c r="N256" s="6">
        <v>68182</v>
      </c>
      <c r="O256" s="6">
        <v>-1.23</v>
      </c>
      <c r="P256" s="6">
        <v>-6.84</v>
      </c>
      <c r="Q256" s="1">
        <f t="shared" si="6"/>
        <v>42186</v>
      </c>
      <c r="R256" t="str">
        <f t="shared" si="7"/>
        <v>2015-07-01</v>
      </c>
    </row>
    <row r="257" ht="21" spans="1:18">
      <c r="A257" s="4" t="s">
        <v>198</v>
      </c>
      <c r="B257" s="5">
        <v>29085</v>
      </c>
      <c r="C257" s="5">
        <v>0.37</v>
      </c>
      <c r="D257" s="5">
        <v>-0.42</v>
      </c>
      <c r="E257" s="5">
        <v>21478</v>
      </c>
      <c r="F257" s="5">
        <v>-1.25</v>
      </c>
      <c r="G257" s="5">
        <v>-1.54</v>
      </c>
      <c r="H257" s="5">
        <v>7608</v>
      </c>
      <c r="I257" s="5">
        <v>5.26</v>
      </c>
      <c r="J257" s="5">
        <v>2.88</v>
      </c>
      <c r="K257" s="5">
        <v>28272</v>
      </c>
      <c r="L257" s="5">
        <v>0.27</v>
      </c>
      <c r="M257" s="5">
        <v>0.04</v>
      </c>
      <c r="N257" s="5">
        <v>68776</v>
      </c>
      <c r="O257" s="5">
        <v>0.87</v>
      </c>
      <c r="P257" s="5">
        <v>-6.03</v>
      </c>
      <c r="Q257" s="1">
        <f t="shared" si="6"/>
        <v>42217</v>
      </c>
      <c r="R257" t="str">
        <f t="shared" si="7"/>
        <v>2015-08-01</v>
      </c>
    </row>
    <row r="258" ht="21" spans="1:18">
      <c r="A258" s="4" t="s">
        <v>199</v>
      </c>
      <c r="B258" s="6">
        <v>28341</v>
      </c>
      <c r="C258" s="6">
        <v>-2.56</v>
      </c>
      <c r="D258" s="6">
        <v>-2.97</v>
      </c>
      <c r="E258" s="6">
        <v>20637</v>
      </c>
      <c r="F258" s="6">
        <v>-3.91</v>
      </c>
      <c r="G258" s="6">
        <v>-5.39</v>
      </c>
      <c r="H258" s="6">
        <v>7704</v>
      </c>
      <c r="I258" s="6">
        <v>1.26</v>
      </c>
      <c r="J258" s="6">
        <v>4.18</v>
      </c>
      <c r="K258" s="6">
        <v>27530</v>
      </c>
      <c r="L258" s="6">
        <v>-2.62</v>
      </c>
      <c r="M258" s="6">
        <v>-2.59</v>
      </c>
      <c r="N258" s="6">
        <v>67922</v>
      </c>
      <c r="O258" s="6">
        <v>-1.24</v>
      </c>
      <c r="P258" s="6">
        <v>-7.19</v>
      </c>
      <c r="Q258" s="1">
        <f t="shared" si="6"/>
        <v>42248</v>
      </c>
      <c r="R258" t="str">
        <f t="shared" si="7"/>
        <v>2015-09-01</v>
      </c>
    </row>
    <row r="259" spans="1:18">
      <c r="A259" s="4">
        <v>10.15</v>
      </c>
      <c r="B259" s="5">
        <v>28473</v>
      </c>
      <c r="C259" s="5">
        <v>0.46</v>
      </c>
      <c r="D259" s="5">
        <v>-2.52</v>
      </c>
      <c r="E259" s="5">
        <v>20490</v>
      </c>
      <c r="F259" s="5">
        <v>-0.71</v>
      </c>
      <c r="G259" s="5">
        <v>-6.07</v>
      </c>
      <c r="H259" s="5">
        <v>7983</v>
      </c>
      <c r="I259" s="5">
        <v>3.62</v>
      </c>
      <c r="J259" s="5">
        <v>7.95</v>
      </c>
      <c r="K259" s="5">
        <v>27658</v>
      </c>
      <c r="L259" s="5">
        <v>0.47</v>
      </c>
      <c r="M259" s="5">
        <v>-2.13</v>
      </c>
      <c r="N259" s="5">
        <v>63882</v>
      </c>
      <c r="O259" s="5">
        <v>-5.95</v>
      </c>
      <c r="P259" s="5">
        <v>-12.71</v>
      </c>
      <c r="Q259" s="1">
        <f t="shared" si="6"/>
        <v>42278</v>
      </c>
      <c r="R259" t="str">
        <f t="shared" si="7"/>
        <v>2015-10-01</v>
      </c>
    </row>
    <row r="260" spans="1:18">
      <c r="A260" s="4">
        <v>11.15</v>
      </c>
      <c r="B260" s="6">
        <v>28380</v>
      </c>
      <c r="C260" s="6">
        <v>-0.33</v>
      </c>
      <c r="D260" s="6">
        <v>-2.84</v>
      </c>
      <c r="E260" s="6">
        <v>20958</v>
      </c>
      <c r="F260" s="6">
        <v>2.28</v>
      </c>
      <c r="G260" s="6">
        <v>-3.92</v>
      </c>
      <c r="H260" s="6">
        <v>7422</v>
      </c>
      <c r="I260" s="6">
        <v>-7.02</v>
      </c>
      <c r="J260" s="6">
        <v>0.37</v>
      </c>
      <c r="K260" s="6">
        <v>27573</v>
      </c>
      <c r="L260" s="6">
        <v>-0.31</v>
      </c>
      <c r="M260" s="6">
        <v>-2.43</v>
      </c>
      <c r="N260" s="6">
        <v>64239</v>
      </c>
      <c r="O260" s="6">
        <v>0.56</v>
      </c>
      <c r="P260" s="6">
        <v>-12.23</v>
      </c>
      <c r="Q260" s="1">
        <f t="shared" si="6"/>
        <v>42309</v>
      </c>
      <c r="R260" t="str">
        <f t="shared" si="7"/>
        <v>2015-11-01</v>
      </c>
    </row>
    <row r="261" spans="1:18">
      <c r="A261" s="4">
        <v>12.15</v>
      </c>
      <c r="B261" s="5">
        <v>27871</v>
      </c>
      <c r="C261" s="5">
        <v>-1.79</v>
      </c>
      <c r="D261" s="5">
        <v>-4.58</v>
      </c>
      <c r="E261" s="5">
        <v>20295</v>
      </c>
      <c r="F261" s="5">
        <v>-3.16</v>
      </c>
      <c r="G261" s="5">
        <v>-6.96</v>
      </c>
      <c r="H261" s="5">
        <v>7576</v>
      </c>
      <c r="I261" s="5">
        <v>2.07</v>
      </c>
      <c r="J261" s="5">
        <v>2.45</v>
      </c>
      <c r="K261" s="5">
        <v>26975</v>
      </c>
      <c r="L261" s="5">
        <v>-2.17</v>
      </c>
      <c r="M261" s="5">
        <v>-4.55</v>
      </c>
      <c r="N261" s="5">
        <v>63392</v>
      </c>
      <c r="O261" s="5">
        <v>-1.32</v>
      </c>
      <c r="P261" s="5">
        <v>-13.38</v>
      </c>
      <c r="Q261" s="1">
        <f t="shared" ref="Q261:Q324" si="8">IF(ISNUMBER(SEARCH(".",A261)),DATE(IF(VALUE(RIGHT(A261,2))&gt;=94,1900+VALUE(RIGHT(A261,2)),2000+VALUE(RIGHT(A261,2))),VALUE(LEFT(A261,2)),1),DATE(2000+VALUE(A261),10,1))</f>
        <v>42339</v>
      </c>
      <c r="R261" t="str">
        <f t="shared" ref="R261:R324" si="9">TEXT(Q261,"yyyy-mm-01")</f>
        <v>2015-12-01</v>
      </c>
    </row>
    <row r="262" ht="21" spans="1:18">
      <c r="A262" s="4" t="s">
        <v>200</v>
      </c>
      <c r="B262" s="6">
        <v>26855</v>
      </c>
      <c r="C262" s="6">
        <v>-3.65</v>
      </c>
      <c r="D262" s="6">
        <v>-3.65</v>
      </c>
      <c r="E262" s="6">
        <v>18875</v>
      </c>
      <c r="F262" s="6">
        <v>-7</v>
      </c>
      <c r="G262" s="6">
        <v>-7</v>
      </c>
      <c r="H262" s="6">
        <v>7979</v>
      </c>
      <c r="I262" s="6">
        <v>5.32</v>
      </c>
      <c r="J262" s="6">
        <v>5.32</v>
      </c>
      <c r="K262" s="6">
        <v>25961</v>
      </c>
      <c r="L262" s="6">
        <v>-3.76</v>
      </c>
      <c r="M262" s="6">
        <v>-3.76</v>
      </c>
      <c r="N262" s="6">
        <v>63647</v>
      </c>
      <c r="O262" s="6">
        <v>0.4</v>
      </c>
      <c r="P262" s="6">
        <v>0.4</v>
      </c>
      <c r="Q262" s="1">
        <f t="shared" si="8"/>
        <v>42370</v>
      </c>
      <c r="R262" t="str">
        <f t="shared" si="9"/>
        <v>2016-01-01</v>
      </c>
    </row>
    <row r="263" ht="21" spans="1:18">
      <c r="A263" s="4" t="s">
        <v>201</v>
      </c>
      <c r="B263" s="5">
        <v>27645</v>
      </c>
      <c r="C263" s="5">
        <v>2.94</v>
      </c>
      <c r="D263" s="5">
        <v>-0.81</v>
      </c>
      <c r="E263" s="5">
        <v>18691</v>
      </c>
      <c r="F263" s="5">
        <v>-0.97</v>
      </c>
      <c r="G263" s="5">
        <v>-7.9</v>
      </c>
      <c r="H263" s="5">
        <v>8953</v>
      </c>
      <c r="I263" s="5">
        <v>12.21</v>
      </c>
      <c r="J263" s="5">
        <v>18.18</v>
      </c>
      <c r="K263" s="5">
        <v>26749</v>
      </c>
      <c r="L263" s="5">
        <v>3.03</v>
      </c>
      <c r="M263" s="5">
        <v>-0.84</v>
      </c>
      <c r="N263" s="5">
        <v>63545</v>
      </c>
      <c r="O263" s="5">
        <v>-0.16</v>
      </c>
      <c r="P263" s="5">
        <v>0.24</v>
      </c>
      <c r="Q263" s="1">
        <f t="shared" si="8"/>
        <v>42401</v>
      </c>
      <c r="R263" t="str">
        <f t="shared" si="9"/>
        <v>2016-02-01</v>
      </c>
    </row>
    <row r="264" ht="21" spans="1:18">
      <c r="A264" s="4" t="s">
        <v>202</v>
      </c>
      <c r="B264" s="6">
        <v>28394</v>
      </c>
      <c r="C264" s="6">
        <v>2.71</v>
      </c>
      <c r="D264" s="6">
        <v>1.88</v>
      </c>
      <c r="E264" s="6">
        <v>19338</v>
      </c>
      <c r="F264" s="6">
        <v>3.46</v>
      </c>
      <c r="G264" s="6">
        <v>-4.72</v>
      </c>
      <c r="H264" s="6">
        <v>9056</v>
      </c>
      <c r="I264" s="6">
        <v>1.15</v>
      </c>
      <c r="J264" s="6">
        <v>19.54</v>
      </c>
      <c r="K264" s="6">
        <v>27505</v>
      </c>
      <c r="L264" s="6">
        <v>2.83</v>
      </c>
      <c r="M264" s="6">
        <v>1.96</v>
      </c>
      <c r="N264" s="6">
        <v>64312</v>
      </c>
      <c r="O264" s="6">
        <v>1.21</v>
      </c>
      <c r="P264" s="6">
        <v>1.45</v>
      </c>
      <c r="Q264" s="1">
        <f t="shared" si="8"/>
        <v>42430</v>
      </c>
      <c r="R264" t="str">
        <f t="shared" si="9"/>
        <v>2016-03-01</v>
      </c>
    </row>
    <row r="265" ht="21" spans="1:18">
      <c r="A265" s="4" t="s">
        <v>203</v>
      </c>
      <c r="B265" s="5">
        <v>29400</v>
      </c>
      <c r="C265" s="5">
        <v>3.54</v>
      </c>
      <c r="D265" s="5">
        <v>5.48</v>
      </c>
      <c r="E265" s="5">
        <v>19910</v>
      </c>
      <c r="F265" s="5">
        <v>2.96</v>
      </c>
      <c r="G265" s="5">
        <v>-1.9</v>
      </c>
      <c r="H265" s="5">
        <v>9489</v>
      </c>
      <c r="I265" s="5">
        <v>4.78</v>
      </c>
      <c r="J265" s="5">
        <v>25.25</v>
      </c>
      <c r="K265" s="5">
        <v>28508</v>
      </c>
      <c r="L265" s="5">
        <v>3.65</v>
      </c>
      <c r="M265" s="5">
        <v>5.68</v>
      </c>
      <c r="N265" s="5">
        <v>65447</v>
      </c>
      <c r="O265" s="5">
        <v>1.77</v>
      </c>
      <c r="P265" s="5">
        <v>3.24</v>
      </c>
      <c r="Q265" s="1">
        <f t="shared" si="8"/>
        <v>42461</v>
      </c>
      <c r="R265" t="str">
        <f t="shared" si="9"/>
        <v>2016-04-01</v>
      </c>
    </row>
    <row r="266" ht="21" spans="1:18">
      <c r="A266" s="4" t="s">
        <v>204</v>
      </c>
      <c r="B266" s="6">
        <v>28603</v>
      </c>
      <c r="C266" s="6">
        <v>-2.71</v>
      </c>
      <c r="D266" s="6">
        <v>2.63</v>
      </c>
      <c r="E266" s="6">
        <v>19472</v>
      </c>
      <c r="F266" s="6">
        <v>-2.2</v>
      </c>
      <c r="G266" s="6">
        <v>-4.05</v>
      </c>
      <c r="H266" s="6">
        <v>9131</v>
      </c>
      <c r="I266" s="6">
        <v>-3.78</v>
      </c>
      <c r="J266" s="6">
        <v>20.52</v>
      </c>
      <c r="K266" s="6">
        <v>27756</v>
      </c>
      <c r="L266" s="6">
        <v>-2.64</v>
      </c>
      <c r="M266" s="6">
        <v>2.9</v>
      </c>
      <c r="N266" s="6">
        <v>65508</v>
      </c>
      <c r="O266" s="6">
        <v>0.09</v>
      </c>
      <c r="P266" s="6">
        <v>3.34</v>
      </c>
      <c r="Q266" s="1">
        <f t="shared" si="8"/>
        <v>42491</v>
      </c>
      <c r="R266" t="str">
        <f t="shared" si="9"/>
        <v>2016-05-01</v>
      </c>
    </row>
    <row r="267" ht="21" spans="1:18">
      <c r="A267" s="4" t="s">
        <v>205</v>
      </c>
      <c r="B267" s="5">
        <v>30374</v>
      </c>
      <c r="C267" s="5">
        <v>6.19</v>
      </c>
      <c r="D267" s="5">
        <v>8.98</v>
      </c>
      <c r="E267" s="5">
        <v>20289</v>
      </c>
      <c r="F267" s="5">
        <v>4.2</v>
      </c>
      <c r="G267" s="5">
        <v>-0.03</v>
      </c>
      <c r="H267" s="5">
        <v>10085</v>
      </c>
      <c r="I267" s="5">
        <v>10.45</v>
      </c>
      <c r="J267" s="5">
        <v>33.11</v>
      </c>
      <c r="K267" s="5">
        <v>29543</v>
      </c>
      <c r="L267" s="5">
        <v>6.44</v>
      </c>
      <c r="M267" s="5">
        <v>9.52</v>
      </c>
      <c r="N267" s="5">
        <v>65748</v>
      </c>
      <c r="O267" s="5">
        <v>0.37</v>
      </c>
      <c r="P267" s="5">
        <v>3.72</v>
      </c>
      <c r="Q267" s="1">
        <f t="shared" si="8"/>
        <v>42522</v>
      </c>
      <c r="R267" t="str">
        <f t="shared" si="9"/>
        <v>2016-06-01</v>
      </c>
    </row>
    <row r="268" ht="21" spans="1:18">
      <c r="A268" s="4" t="s">
        <v>206</v>
      </c>
      <c r="B268" s="6">
        <v>30375</v>
      </c>
      <c r="C268" s="6"/>
      <c r="D268" s="6">
        <v>8.98</v>
      </c>
      <c r="E268" s="6">
        <v>20031</v>
      </c>
      <c r="F268" s="6">
        <v>-1.27</v>
      </c>
      <c r="G268" s="6">
        <v>-1.3</v>
      </c>
      <c r="H268" s="6">
        <v>10344</v>
      </c>
      <c r="I268" s="6">
        <v>2.57</v>
      </c>
      <c r="J268" s="6">
        <v>36.53</v>
      </c>
      <c r="K268" s="6">
        <v>29546</v>
      </c>
      <c r="L268" s="6">
        <v>0.01</v>
      </c>
      <c r="M268" s="6">
        <v>9.53</v>
      </c>
      <c r="N268" s="6">
        <v>64720</v>
      </c>
      <c r="O268" s="6">
        <v>-1.56</v>
      </c>
      <c r="P268" s="6">
        <v>2.1</v>
      </c>
      <c r="Q268" s="1">
        <f t="shared" si="8"/>
        <v>42552</v>
      </c>
      <c r="R268" t="str">
        <f t="shared" si="9"/>
        <v>2016-07-01</v>
      </c>
    </row>
    <row r="269" ht="21" spans="1:18">
      <c r="A269" s="4" t="s">
        <v>207</v>
      </c>
      <c r="B269" s="5">
        <v>30536</v>
      </c>
      <c r="C269" s="5">
        <v>0.53</v>
      </c>
      <c r="D269" s="5">
        <v>9.56</v>
      </c>
      <c r="E269" s="5">
        <v>20222</v>
      </c>
      <c r="F269" s="5">
        <v>0.95</v>
      </c>
      <c r="G269" s="5">
        <v>-0.36</v>
      </c>
      <c r="H269" s="5">
        <v>10313</v>
      </c>
      <c r="I269" s="5">
        <v>-0.3</v>
      </c>
      <c r="J269" s="5">
        <v>36.13</v>
      </c>
      <c r="K269" s="5">
        <v>29704</v>
      </c>
      <c r="L269" s="5">
        <v>0.54</v>
      </c>
      <c r="M269" s="5">
        <v>10.12</v>
      </c>
      <c r="N269" s="5">
        <v>64876</v>
      </c>
      <c r="O269" s="5">
        <v>0.24</v>
      </c>
      <c r="P269" s="5">
        <v>2.34</v>
      </c>
      <c r="Q269" s="1">
        <f t="shared" si="8"/>
        <v>42583</v>
      </c>
      <c r="R269" t="str">
        <f t="shared" si="9"/>
        <v>2016-08-01</v>
      </c>
    </row>
    <row r="270" ht="21" spans="1:18">
      <c r="A270" s="4" t="s">
        <v>208</v>
      </c>
      <c r="B270" s="6">
        <v>31231</v>
      </c>
      <c r="C270" s="6">
        <v>2.28</v>
      </c>
      <c r="D270" s="6">
        <v>12.05</v>
      </c>
      <c r="E270" s="6">
        <v>20636</v>
      </c>
      <c r="F270" s="6">
        <v>2.04</v>
      </c>
      <c r="G270" s="6">
        <v>1.68</v>
      </c>
      <c r="H270" s="6">
        <v>10595</v>
      </c>
      <c r="I270" s="6">
        <v>2.74</v>
      </c>
      <c r="J270" s="6">
        <v>39.85</v>
      </c>
      <c r="K270" s="6">
        <v>30618</v>
      </c>
      <c r="L270" s="6">
        <v>3.08</v>
      </c>
      <c r="M270" s="6">
        <v>13.5</v>
      </c>
      <c r="N270" s="6">
        <v>64537</v>
      </c>
      <c r="O270" s="6">
        <v>-0.52</v>
      </c>
      <c r="P270" s="6">
        <v>1.81</v>
      </c>
      <c r="Q270" s="1">
        <f t="shared" si="8"/>
        <v>42614</v>
      </c>
      <c r="R270" t="str">
        <f t="shared" si="9"/>
        <v>2016-09-01</v>
      </c>
    </row>
    <row r="271" spans="1:18">
      <c r="A271" s="4">
        <v>10.16</v>
      </c>
      <c r="B271" s="5">
        <v>30314</v>
      </c>
      <c r="C271" s="5">
        <v>-2.94</v>
      </c>
      <c r="D271" s="5">
        <v>8.76</v>
      </c>
      <c r="E271" s="5">
        <v>20006</v>
      </c>
      <c r="F271" s="5">
        <v>-3.05</v>
      </c>
      <c r="G271" s="5">
        <v>-1.43</v>
      </c>
      <c r="H271" s="5">
        <v>10308</v>
      </c>
      <c r="I271" s="5">
        <v>-2.71</v>
      </c>
      <c r="J271" s="5">
        <v>36.06</v>
      </c>
      <c r="K271" s="5">
        <v>29744</v>
      </c>
      <c r="L271" s="5">
        <v>-2.85</v>
      </c>
      <c r="M271" s="5">
        <v>10.27</v>
      </c>
      <c r="N271" s="5">
        <v>61917</v>
      </c>
      <c r="O271" s="5">
        <v>-4.06</v>
      </c>
      <c r="P271" s="5">
        <v>-2.33</v>
      </c>
      <c r="Q271" s="1">
        <f t="shared" si="8"/>
        <v>42644</v>
      </c>
      <c r="R271" t="str">
        <f t="shared" si="9"/>
        <v>2016-10-01</v>
      </c>
    </row>
    <row r="272" spans="1:18">
      <c r="A272" s="4">
        <v>11.16</v>
      </c>
      <c r="B272" s="6">
        <v>29564</v>
      </c>
      <c r="C272" s="6">
        <v>-2.48</v>
      </c>
      <c r="D272" s="6">
        <v>6.07</v>
      </c>
      <c r="E272" s="6">
        <v>19840</v>
      </c>
      <c r="F272" s="6">
        <v>-0.83</v>
      </c>
      <c r="G272" s="6">
        <v>-2.24</v>
      </c>
      <c r="H272" s="6">
        <v>9723</v>
      </c>
      <c r="I272" s="6">
        <v>-5.67</v>
      </c>
      <c r="J272" s="6">
        <v>28.34</v>
      </c>
      <c r="K272" s="6">
        <v>29006</v>
      </c>
      <c r="L272" s="6">
        <v>-2.48</v>
      </c>
      <c r="M272" s="6">
        <v>7.53</v>
      </c>
      <c r="N272" s="6">
        <v>60985</v>
      </c>
      <c r="O272" s="6">
        <v>-1.51</v>
      </c>
      <c r="P272" s="6">
        <v>-3.8</v>
      </c>
      <c r="Q272" s="1">
        <f t="shared" si="8"/>
        <v>42675</v>
      </c>
      <c r="R272" t="str">
        <f t="shared" si="9"/>
        <v>2016-11-01</v>
      </c>
    </row>
    <row r="273" spans="1:18">
      <c r="A273" s="4">
        <v>12.16</v>
      </c>
      <c r="B273" s="5">
        <v>29710</v>
      </c>
      <c r="C273" s="5">
        <v>0.5</v>
      </c>
      <c r="D273" s="5">
        <v>6.6</v>
      </c>
      <c r="E273" s="5">
        <v>20094</v>
      </c>
      <c r="F273" s="5">
        <v>1.28</v>
      </c>
      <c r="G273" s="5">
        <v>-0.99</v>
      </c>
      <c r="H273" s="5">
        <v>9617</v>
      </c>
      <c r="I273" s="5">
        <v>-1.1</v>
      </c>
      <c r="J273" s="5">
        <v>26.93</v>
      </c>
      <c r="K273" s="5">
        <v>29179</v>
      </c>
      <c r="L273" s="5">
        <v>0.6</v>
      </c>
      <c r="M273" s="5">
        <v>8.17</v>
      </c>
      <c r="N273" s="5">
        <v>61218</v>
      </c>
      <c r="O273" s="5">
        <v>0.38</v>
      </c>
      <c r="P273" s="5">
        <v>-3.43</v>
      </c>
      <c r="Q273" s="1">
        <f t="shared" si="8"/>
        <v>42705</v>
      </c>
      <c r="R273" t="str">
        <f t="shared" si="9"/>
        <v>2016-12-01</v>
      </c>
    </row>
    <row r="274" ht="21" spans="1:18">
      <c r="A274" s="4" t="s">
        <v>209</v>
      </c>
      <c r="B274" s="6">
        <v>29376</v>
      </c>
      <c r="C274" s="6">
        <v>-0.52</v>
      </c>
      <c r="D274" s="6">
        <v>-0.52</v>
      </c>
      <c r="E274" s="6">
        <v>19360</v>
      </c>
      <c r="F274" s="6">
        <v>-2.78</v>
      </c>
      <c r="G274" s="6">
        <v>-2.78</v>
      </c>
      <c r="H274" s="6">
        <v>10015</v>
      </c>
      <c r="I274" s="6">
        <v>4.15</v>
      </c>
      <c r="J274" s="6">
        <v>4.15</v>
      </c>
      <c r="K274" s="6">
        <v>28866</v>
      </c>
      <c r="L274" s="6">
        <v>-0.45</v>
      </c>
      <c r="M274" s="6">
        <v>-0.45</v>
      </c>
      <c r="N274" s="6">
        <v>62871</v>
      </c>
      <c r="O274" s="6">
        <v>2.7</v>
      </c>
      <c r="P274" s="6">
        <v>2.7</v>
      </c>
      <c r="Q274" s="1">
        <f t="shared" si="8"/>
        <v>42736</v>
      </c>
      <c r="R274" t="str">
        <f t="shared" si="9"/>
        <v>2017-01-01</v>
      </c>
    </row>
    <row r="275" ht="21" spans="1:18">
      <c r="A275" s="4" t="s">
        <v>210</v>
      </c>
      <c r="B275" s="5">
        <v>29689</v>
      </c>
      <c r="C275" s="5">
        <v>1.07</v>
      </c>
      <c r="D275" s="5">
        <v>0.54</v>
      </c>
      <c r="E275" s="5">
        <v>19070</v>
      </c>
      <c r="F275" s="5">
        <v>-1.5</v>
      </c>
      <c r="G275" s="5">
        <v>-4.24</v>
      </c>
      <c r="H275" s="5">
        <v>10620</v>
      </c>
      <c r="I275" s="5">
        <v>6.03</v>
      </c>
      <c r="J275" s="5">
        <v>10.43</v>
      </c>
      <c r="K275" s="5">
        <v>29181</v>
      </c>
      <c r="L275" s="5">
        <v>1.09</v>
      </c>
      <c r="M275" s="5">
        <v>0.63</v>
      </c>
      <c r="N275" s="5">
        <v>63364</v>
      </c>
      <c r="O275" s="5">
        <v>0.78</v>
      </c>
      <c r="P275" s="5">
        <v>3.5</v>
      </c>
      <c r="Q275" s="1">
        <f t="shared" si="8"/>
        <v>42767</v>
      </c>
      <c r="R275" t="str">
        <f t="shared" si="9"/>
        <v>2017-02-01</v>
      </c>
    </row>
    <row r="276" ht="21" spans="1:18">
      <c r="A276" s="4" t="s">
        <v>211</v>
      </c>
      <c r="B276" s="6">
        <v>29742</v>
      </c>
      <c r="C276" s="6">
        <v>0.18</v>
      </c>
      <c r="D276" s="6">
        <v>0.72</v>
      </c>
      <c r="E276" s="6">
        <v>19055</v>
      </c>
      <c r="F276" s="6">
        <v>-0.08</v>
      </c>
      <c r="G276" s="6">
        <v>-4.31</v>
      </c>
      <c r="H276" s="6">
        <v>10687</v>
      </c>
      <c r="I276" s="6">
        <v>0.63</v>
      </c>
      <c r="J276" s="6">
        <v>11.13</v>
      </c>
      <c r="K276" s="6">
        <v>29231</v>
      </c>
      <c r="L276" s="6">
        <v>0.17</v>
      </c>
      <c r="M276" s="6">
        <v>0.8</v>
      </c>
      <c r="N276" s="6">
        <v>62765</v>
      </c>
      <c r="O276" s="6">
        <v>-0.94</v>
      </c>
      <c r="P276" s="6">
        <v>2.53</v>
      </c>
      <c r="Q276" s="1">
        <f t="shared" si="8"/>
        <v>42795</v>
      </c>
      <c r="R276" t="str">
        <f t="shared" si="9"/>
        <v>2017-03-01</v>
      </c>
    </row>
    <row r="277" ht="21" spans="1:18">
      <c r="A277" s="4" t="s">
        <v>212</v>
      </c>
      <c r="B277" s="5">
        <v>29797</v>
      </c>
      <c r="C277" s="5">
        <v>0.18</v>
      </c>
      <c r="D277" s="5">
        <v>0.9</v>
      </c>
      <c r="E277" s="5">
        <v>18774</v>
      </c>
      <c r="F277" s="5">
        <v>-1.48</v>
      </c>
      <c r="G277" s="5">
        <v>-5.72</v>
      </c>
      <c r="H277" s="5">
        <v>11023</v>
      </c>
      <c r="I277" s="5">
        <v>3.15</v>
      </c>
      <c r="J277" s="5">
        <v>14.62</v>
      </c>
      <c r="K277" s="5">
        <v>29283</v>
      </c>
      <c r="L277" s="5">
        <v>0.18</v>
      </c>
      <c r="M277" s="5">
        <v>0.98</v>
      </c>
      <c r="N277" s="5">
        <v>62892</v>
      </c>
      <c r="O277" s="5">
        <v>0.2</v>
      </c>
      <c r="P277" s="5">
        <v>2.73</v>
      </c>
      <c r="Q277" s="1">
        <f t="shared" si="8"/>
        <v>42826</v>
      </c>
      <c r="R277" t="str">
        <f t="shared" si="9"/>
        <v>2017-04-01</v>
      </c>
    </row>
    <row r="278" ht="21" spans="1:18">
      <c r="A278" s="4" t="s">
        <v>213</v>
      </c>
      <c r="B278" s="6">
        <v>30187</v>
      </c>
      <c r="C278" s="6">
        <v>1.31</v>
      </c>
      <c r="D278" s="6">
        <v>2.23</v>
      </c>
      <c r="E278" s="6">
        <v>18996</v>
      </c>
      <c r="F278" s="6">
        <v>1.18</v>
      </c>
      <c r="G278" s="6">
        <v>-4.61</v>
      </c>
      <c r="H278" s="6">
        <v>11191</v>
      </c>
      <c r="I278" s="6">
        <v>1.53</v>
      </c>
      <c r="J278" s="6">
        <v>16.38</v>
      </c>
      <c r="K278" s="6">
        <v>29674</v>
      </c>
      <c r="L278" s="6">
        <v>1.34</v>
      </c>
      <c r="M278" s="6">
        <v>2.33</v>
      </c>
      <c r="N278" s="6">
        <v>63024</v>
      </c>
      <c r="O278" s="6">
        <v>0.21</v>
      </c>
      <c r="P278" s="6">
        <v>2.95</v>
      </c>
      <c r="Q278" s="1">
        <f t="shared" si="8"/>
        <v>42856</v>
      </c>
      <c r="R278" t="str">
        <f t="shared" si="9"/>
        <v>2017-05-01</v>
      </c>
    </row>
    <row r="279" ht="21" spans="1:18">
      <c r="A279" s="4" t="s">
        <v>214</v>
      </c>
      <c r="B279" s="5">
        <v>30011</v>
      </c>
      <c r="C279" s="5">
        <v>-0.58</v>
      </c>
      <c r="D279" s="5">
        <v>1.63</v>
      </c>
      <c r="E279" s="5">
        <v>18858</v>
      </c>
      <c r="F279" s="5">
        <v>-0.73</v>
      </c>
      <c r="G279" s="5">
        <v>-5.3</v>
      </c>
      <c r="H279" s="5">
        <v>11153</v>
      </c>
      <c r="I279" s="5">
        <v>-0.34</v>
      </c>
      <c r="J279" s="5">
        <v>15.98</v>
      </c>
      <c r="K279" s="5">
        <v>29494</v>
      </c>
      <c r="L279" s="5">
        <v>-0.61</v>
      </c>
      <c r="M279" s="5">
        <v>1.71</v>
      </c>
      <c r="N279" s="5">
        <v>62183</v>
      </c>
      <c r="O279" s="5">
        <v>-1.34</v>
      </c>
      <c r="P279" s="5">
        <v>1.58</v>
      </c>
      <c r="Q279" s="1">
        <f t="shared" si="8"/>
        <v>42887</v>
      </c>
      <c r="R279" t="str">
        <f t="shared" si="9"/>
        <v>2017-06-01</v>
      </c>
    </row>
    <row r="280" ht="21" spans="1:18">
      <c r="A280" s="4" t="s">
        <v>215</v>
      </c>
      <c r="B280" s="6">
        <v>32945</v>
      </c>
      <c r="C280" s="6">
        <v>9.78</v>
      </c>
      <c r="D280" s="6">
        <v>11.56</v>
      </c>
      <c r="E280" s="6">
        <v>21506</v>
      </c>
      <c r="F280" s="6">
        <v>14.04</v>
      </c>
      <c r="G280" s="6">
        <v>8</v>
      </c>
      <c r="H280" s="6">
        <v>11439</v>
      </c>
      <c r="I280" s="6">
        <v>2.56</v>
      </c>
      <c r="J280" s="6">
        <v>18.95</v>
      </c>
      <c r="K280" s="6">
        <v>32423</v>
      </c>
      <c r="L280" s="6">
        <v>9.93</v>
      </c>
      <c r="M280" s="6">
        <v>11.81</v>
      </c>
      <c r="N280" s="6">
        <v>58388</v>
      </c>
      <c r="O280" s="6">
        <v>-6.1</v>
      </c>
      <c r="P280" s="6">
        <v>-4.62</v>
      </c>
      <c r="Q280" s="1">
        <f t="shared" si="8"/>
        <v>42917</v>
      </c>
      <c r="R280" t="str">
        <f t="shared" si="9"/>
        <v>2017-07-01</v>
      </c>
    </row>
    <row r="281" ht="21" spans="1:18">
      <c r="A281" s="4" t="s">
        <v>216</v>
      </c>
      <c r="B281" s="5">
        <v>32644</v>
      </c>
      <c r="C281" s="5">
        <v>-0.91</v>
      </c>
      <c r="D281" s="5">
        <v>10.55</v>
      </c>
      <c r="E281" s="5">
        <v>20652</v>
      </c>
      <c r="F281" s="5">
        <v>-3.97</v>
      </c>
      <c r="G281" s="5">
        <v>3.71</v>
      </c>
      <c r="H281" s="5">
        <v>11992</v>
      </c>
      <c r="I281" s="5">
        <v>4.84</v>
      </c>
      <c r="J281" s="5">
        <v>24.71</v>
      </c>
      <c r="K281" s="5">
        <v>32118</v>
      </c>
      <c r="L281" s="5">
        <v>-0.94</v>
      </c>
      <c r="M281" s="5">
        <v>10.76</v>
      </c>
      <c r="N281" s="5">
        <v>57938</v>
      </c>
      <c r="O281" s="5">
        <v>-0.77</v>
      </c>
      <c r="P281" s="5">
        <v>-5.36</v>
      </c>
      <c r="Q281" s="1">
        <f t="shared" si="8"/>
        <v>42948</v>
      </c>
      <c r="R281" t="str">
        <f t="shared" si="9"/>
        <v>2017-08-01</v>
      </c>
    </row>
    <row r="282" ht="21" spans="1:18">
      <c r="A282" s="4" t="s">
        <v>217</v>
      </c>
      <c r="B282" s="6">
        <v>32209</v>
      </c>
      <c r="C282" s="6">
        <v>-1.33</v>
      </c>
      <c r="D282" s="6">
        <v>9.07</v>
      </c>
      <c r="E282" s="6">
        <v>20238</v>
      </c>
      <c r="F282" s="6">
        <v>-2.01</v>
      </c>
      <c r="G282" s="6">
        <v>1.63</v>
      </c>
      <c r="H282" s="6">
        <v>11971</v>
      </c>
      <c r="I282" s="6">
        <v>-0.18</v>
      </c>
      <c r="J282" s="6">
        <v>24.48</v>
      </c>
      <c r="K282" s="6">
        <v>31695</v>
      </c>
      <c r="L282" s="6">
        <v>-1.32</v>
      </c>
      <c r="M282" s="6">
        <v>9.3</v>
      </c>
      <c r="N282" s="6">
        <v>57064</v>
      </c>
      <c r="O282" s="6">
        <v>-1.51</v>
      </c>
      <c r="P282" s="6">
        <v>-6.79</v>
      </c>
      <c r="Q282" s="1">
        <f t="shared" si="8"/>
        <v>42979</v>
      </c>
      <c r="R282" t="str">
        <f t="shared" si="9"/>
        <v>2017-09-01</v>
      </c>
    </row>
    <row r="283" spans="1:18">
      <c r="A283" s="4">
        <v>10.17</v>
      </c>
      <c r="B283" s="5">
        <v>31489</v>
      </c>
      <c r="C283" s="5">
        <v>-2.23</v>
      </c>
      <c r="D283" s="5">
        <v>6.63</v>
      </c>
      <c r="E283" s="5">
        <v>19527</v>
      </c>
      <c r="F283" s="5">
        <v>-3.51</v>
      </c>
      <c r="G283" s="5">
        <v>-1.94</v>
      </c>
      <c r="H283" s="5">
        <v>11962</v>
      </c>
      <c r="I283" s="5">
        <v>-0.07</v>
      </c>
      <c r="J283" s="5">
        <v>24.39</v>
      </c>
      <c r="K283" s="5">
        <v>30974</v>
      </c>
      <c r="L283" s="5">
        <v>-2.28</v>
      </c>
      <c r="M283" s="5">
        <v>6.81</v>
      </c>
      <c r="N283" s="5">
        <v>56453</v>
      </c>
      <c r="O283" s="5">
        <v>-1.07</v>
      </c>
      <c r="P283" s="5">
        <v>-7.78</v>
      </c>
      <c r="Q283" s="1">
        <f t="shared" si="8"/>
        <v>43009</v>
      </c>
      <c r="R283" t="str">
        <f t="shared" si="9"/>
        <v>2017-10-01</v>
      </c>
    </row>
    <row r="284" spans="1:18">
      <c r="A284" s="4">
        <v>11.17</v>
      </c>
      <c r="B284" s="6">
        <v>31073</v>
      </c>
      <c r="C284" s="6">
        <v>-1.32</v>
      </c>
      <c r="D284" s="6">
        <v>4.59</v>
      </c>
      <c r="E284" s="6">
        <v>18885</v>
      </c>
      <c r="F284" s="6">
        <v>-3.29</v>
      </c>
      <c r="G284" s="6">
        <v>-6.02</v>
      </c>
      <c r="H284" s="6">
        <v>12188</v>
      </c>
      <c r="I284" s="6">
        <v>1.89</v>
      </c>
      <c r="J284" s="6">
        <v>26.74</v>
      </c>
      <c r="K284" s="6">
        <v>30558</v>
      </c>
      <c r="L284" s="6">
        <v>-1.34</v>
      </c>
      <c r="M284" s="6">
        <v>4.73</v>
      </c>
      <c r="N284" s="6">
        <v>57591</v>
      </c>
      <c r="O284" s="6">
        <v>2.01</v>
      </c>
      <c r="P284" s="6">
        <v>-5.93</v>
      </c>
      <c r="Q284" s="1">
        <f t="shared" si="8"/>
        <v>43040</v>
      </c>
      <c r="R284" t="str">
        <f t="shared" si="9"/>
        <v>2017-11-01</v>
      </c>
    </row>
    <row r="285" spans="1:18">
      <c r="A285" s="4">
        <v>12.17</v>
      </c>
      <c r="B285" s="5">
        <v>30997</v>
      </c>
      <c r="C285" s="5">
        <v>-0.24</v>
      </c>
      <c r="D285" s="5">
        <v>4.33</v>
      </c>
      <c r="E285" s="5">
        <v>18499</v>
      </c>
      <c r="F285" s="5">
        <v>-2.05</v>
      </c>
      <c r="G285" s="5">
        <v>-7.94</v>
      </c>
      <c r="H285" s="5">
        <v>12498</v>
      </c>
      <c r="I285" s="5">
        <v>2.55</v>
      </c>
      <c r="J285" s="5">
        <v>29.96</v>
      </c>
      <c r="K285" s="5">
        <v>30484</v>
      </c>
      <c r="L285" s="5">
        <v>-0.24</v>
      </c>
      <c r="M285" s="5">
        <v>4.47</v>
      </c>
      <c r="N285" s="5">
        <v>58334</v>
      </c>
      <c r="O285" s="5">
        <v>1.29</v>
      </c>
      <c r="P285" s="5">
        <v>-4.71</v>
      </c>
      <c r="Q285" s="1">
        <f t="shared" si="8"/>
        <v>43070</v>
      </c>
      <c r="R285" t="str">
        <f t="shared" si="9"/>
        <v>2017-12-01</v>
      </c>
    </row>
    <row r="286" ht="21" spans="1:18">
      <c r="A286" s="4" t="s">
        <v>218</v>
      </c>
      <c r="B286" s="6">
        <v>31349</v>
      </c>
      <c r="C286" s="6">
        <v>1.14</v>
      </c>
      <c r="D286" s="6">
        <v>1.14</v>
      </c>
      <c r="E286" s="6">
        <v>18264</v>
      </c>
      <c r="F286" s="6">
        <v>-1.27</v>
      </c>
      <c r="G286" s="6">
        <v>-1.27</v>
      </c>
      <c r="H286" s="6">
        <v>13085</v>
      </c>
      <c r="I286" s="6">
        <v>4.69</v>
      </c>
      <c r="J286" s="6">
        <v>4.69</v>
      </c>
      <c r="K286" s="6">
        <v>30824</v>
      </c>
      <c r="L286" s="6">
        <v>1.12</v>
      </c>
      <c r="M286" s="6">
        <v>1.12</v>
      </c>
      <c r="N286" s="6">
        <v>59350</v>
      </c>
      <c r="O286" s="6">
        <v>1.74</v>
      </c>
      <c r="P286" s="6">
        <v>1.74</v>
      </c>
      <c r="Q286" s="1">
        <f t="shared" si="8"/>
        <v>43101</v>
      </c>
      <c r="R286" t="str">
        <f t="shared" si="9"/>
        <v>2018-01-01</v>
      </c>
    </row>
    <row r="287" ht="21" spans="1:18">
      <c r="A287" s="4" t="s">
        <v>219</v>
      </c>
      <c r="B287" s="5">
        <v>30993</v>
      </c>
      <c r="C287" s="5">
        <v>-1.13</v>
      </c>
      <c r="D287" s="5">
        <v>-1.01</v>
      </c>
      <c r="E287" s="5">
        <v>17963</v>
      </c>
      <c r="F287" s="5">
        <v>-1.65</v>
      </c>
      <c r="G287" s="5">
        <v>-2.9</v>
      </c>
      <c r="H287" s="5">
        <v>13030</v>
      </c>
      <c r="I287" s="5">
        <v>-0.41</v>
      </c>
      <c r="J287" s="5">
        <v>4.26</v>
      </c>
      <c r="K287" s="5">
        <v>30474</v>
      </c>
      <c r="L287" s="5">
        <v>-1.14</v>
      </c>
      <c r="M287" s="5">
        <v>-0.03</v>
      </c>
      <c r="N287" s="5">
        <v>58698</v>
      </c>
      <c r="O287" s="5">
        <v>-1.1</v>
      </c>
      <c r="P287" s="5">
        <v>0.63</v>
      </c>
      <c r="Q287" s="1">
        <f t="shared" si="8"/>
        <v>43132</v>
      </c>
      <c r="R287" t="str">
        <f t="shared" si="9"/>
        <v>2018-02-01</v>
      </c>
    </row>
    <row r="288" ht="21" spans="1:18">
      <c r="A288" s="4" t="s">
        <v>220</v>
      </c>
      <c r="B288" s="6">
        <v>30649</v>
      </c>
      <c r="C288" s="6">
        <v>-1.11</v>
      </c>
      <c r="D288" s="6">
        <v>-1.12</v>
      </c>
      <c r="E288" s="6">
        <v>17451</v>
      </c>
      <c r="F288" s="6">
        <v>-2.85</v>
      </c>
      <c r="G288" s="6">
        <v>-5.66</v>
      </c>
      <c r="H288" s="6">
        <v>13198</v>
      </c>
      <c r="I288" s="6">
        <v>1.28</v>
      </c>
      <c r="J288" s="6">
        <v>5.6</v>
      </c>
      <c r="K288" s="6">
        <v>30134</v>
      </c>
      <c r="L288" s="6">
        <v>-1.12</v>
      </c>
      <c r="M288" s="6">
        <v>-1.15</v>
      </c>
      <c r="N288" s="6">
        <v>58372</v>
      </c>
      <c r="O288" s="6">
        <v>-0.56</v>
      </c>
      <c r="P288" s="6">
        <v>0.07</v>
      </c>
      <c r="Q288" s="1">
        <f t="shared" si="8"/>
        <v>43160</v>
      </c>
      <c r="R288" t="str">
        <f t="shared" si="9"/>
        <v>2018-03-01</v>
      </c>
    </row>
    <row r="289" ht="21" spans="1:18">
      <c r="A289" s="4" t="s">
        <v>221</v>
      </c>
      <c r="B289" s="5">
        <v>31339</v>
      </c>
      <c r="C289" s="5">
        <v>2.25</v>
      </c>
      <c r="D289" s="5">
        <v>1.11</v>
      </c>
      <c r="E289" s="5">
        <v>18023</v>
      </c>
      <c r="F289" s="5">
        <v>3.28</v>
      </c>
      <c r="G289" s="5">
        <v>-2.57</v>
      </c>
      <c r="H289" s="5">
        <v>13317</v>
      </c>
      <c r="I289" s="5">
        <v>0.9</v>
      </c>
      <c r="J289" s="5">
        <v>6.55</v>
      </c>
      <c r="K289" s="5">
        <v>30829</v>
      </c>
      <c r="L289" s="5">
        <v>2.31</v>
      </c>
      <c r="M289" s="5">
        <v>1.13</v>
      </c>
      <c r="N289" s="5">
        <v>58063</v>
      </c>
      <c r="O289" s="5">
        <v>-0.53</v>
      </c>
      <c r="P289" s="5">
        <v>-0.46</v>
      </c>
      <c r="Q289" s="1">
        <f t="shared" si="8"/>
        <v>43191</v>
      </c>
      <c r="R289" t="str">
        <f t="shared" si="9"/>
        <v>2018-04-01</v>
      </c>
    </row>
    <row r="290" ht="21" spans="1:18">
      <c r="A290" s="4" t="s">
        <v>222</v>
      </c>
      <c r="B290" s="6">
        <v>30721</v>
      </c>
      <c r="C290" s="6">
        <v>-1.97</v>
      </c>
      <c r="D290" s="6">
        <v>-0.89</v>
      </c>
      <c r="E290" s="6">
        <v>17363</v>
      </c>
      <c r="F290" s="6">
        <v>-3.66</v>
      </c>
      <c r="G290" s="6">
        <v>-6.14</v>
      </c>
      <c r="H290" s="6">
        <v>13357</v>
      </c>
      <c r="I290" s="6">
        <v>0.31</v>
      </c>
      <c r="J290" s="6">
        <v>6.88</v>
      </c>
      <c r="K290" s="6">
        <v>30219</v>
      </c>
      <c r="L290" s="6">
        <v>-1.98</v>
      </c>
      <c r="M290" s="6">
        <v>-0.87</v>
      </c>
      <c r="N290" s="6">
        <v>59182</v>
      </c>
      <c r="O290" s="6">
        <v>1.93</v>
      </c>
      <c r="P290" s="6">
        <v>1.46</v>
      </c>
      <c r="Q290" s="1">
        <f t="shared" si="8"/>
        <v>43221</v>
      </c>
      <c r="R290" t="str">
        <f t="shared" si="9"/>
        <v>2018-05-01</v>
      </c>
    </row>
    <row r="291" ht="21" spans="1:18">
      <c r="A291" s="4" t="s">
        <v>223</v>
      </c>
      <c r="B291" s="5">
        <v>30096</v>
      </c>
      <c r="C291" s="5">
        <v>-2.03</v>
      </c>
      <c r="D291" s="5">
        <v>-2.91</v>
      </c>
      <c r="E291" s="5">
        <v>17161</v>
      </c>
      <c r="F291" s="5">
        <v>-1.16</v>
      </c>
      <c r="G291" s="5">
        <v>-7.23</v>
      </c>
      <c r="H291" s="5">
        <v>12935</v>
      </c>
      <c r="I291" s="5">
        <v>-3.16</v>
      </c>
      <c r="J291" s="5">
        <v>3.49</v>
      </c>
      <c r="K291" s="5">
        <v>29598</v>
      </c>
      <c r="L291" s="5">
        <v>-2.06</v>
      </c>
      <c r="M291" s="5">
        <v>-2.91</v>
      </c>
      <c r="N291" s="5">
        <v>58031</v>
      </c>
      <c r="O291" s="5">
        <v>-1.94</v>
      </c>
      <c r="P291" s="5">
        <v>-0.52</v>
      </c>
      <c r="Q291" s="1">
        <f t="shared" si="8"/>
        <v>43252</v>
      </c>
      <c r="R291" t="str">
        <f t="shared" si="9"/>
        <v>2018-06-01</v>
      </c>
    </row>
    <row r="292" ht="21" spans="1:18">
      <c r="A292" s="4" t="s">
        <v>224</v>
      </c>
      <c r="B292" s="6">
        <v>30842</v>
      </c>
      <c r="C292" s="6">
        <v>2.48</v>
      </c>
      <c r="D292" s="6">
        <v>-0.5</v>
      </c>
      <c r="E292" s="6">
        <v>18046</v>
      </c>
      <c r="F292" s="6">
        <v>5.15</v>
      </c>
      <c r="G292" s="6">
        <v>-2.45</v>
      </c>
      <c r="H292" s="6">
        <v>12796</v>
      </c>
      <c r="I292" s="6">
        <v>-1.07</v>
      </c>
      <c r="J292" s="6">
        <v>2.39</v>
      </c>
      <c r="K292" s="6">
        <v>30344</v>
      </c>
      <c r="L292" s="6">
        <v>2.52</v>
      </c>
      <c r="M292" s="6">
        <v>-0.46</v>
      </c>
      <c r="N292" s="6">
        <v>57231</v>
      </c>
      <c r="O292" s="6">
        <v>-1.38</v>
      </c>
      <c r="P292" s="6">
        <v>-1.89</v>
      </c>
      <c r="Q292" s="1">
        <f t="shared" si="8"/>
        <v>43282</v>
      </c>
      <c r="R292" t="str">
        <f t="shared" si="9"/>
        <v>2018-07-01</v>
      </c>
    </row>
    <row r="293" ht="21" spans="1:18">
      <c r="A293" s="4" t="s">
        <v>225</v>
      </c>
      <c r="B293" s="5">
        <v>30510</v>
      </c>
      <c r="C293" s="5">
        <v>-1.08</v>
      </c>
      <c r="D293" s="5">
        <v>-1.57</v>
      </c>
      <c r="E293" s="5">
        <v>17689</v>
      </c>
      <c r="F293" s="5">
        <v>-1.97</v>
      </c>
      <c r="G293" s="5">
        <v>-4.38</v>
      </c>
      <c r="H293" s="5">
        <v>12821</v>
      </c>
      <c r="I293" s="5">
        <v>0.19</v>
      </c>
      <c r="J293" s="5">
        <v>2.58</v>
      </c>
      <c r="K293" s="5">
        <v>30012</v>
      </c>
      <c r="L293" s="5">
        <v>-1.09</v>
      </c>
      <c r="M293" s="5">
        <v>-1.55</v>
      </c>
      <c r="N293" s="5">
        <v>57082</v>
      </c>
      <c r="O293" s="5">
        <v>-0.26</v>
      </c>
      <c r="P293" s="5">
        <v>-2.15</v>
      </c>
      <c r="Q293" s="1">
        <f t="shared" si="8"/>
        <v>43313</v>
      </c>
      <c r="R293" t="str">
        <f t="shared" si="9"/>
        <v>2018-08-01</v>
      </c>
    </row>
    <row r="294" ht="21" spans="1:18">
      <c r="A294" s="4" t="s">
        <v>226</v>
      </c>
      <c r="B294" s="6">
        <v>29977</v>
      </c>
      <c r="C294" s="6">
        <v>-1.75</v>
      </c>
      <c r="D294" s="6">
        <v>-3.29</v>
      </c>
      <c r="E294" s="6">
        <v>17226</v>
      </c>
      <c r="F294" s="6">
        <v>-2.62</v>
      </c>
      <c r="G294" s="6">
        <v>-6.88</v>
      </c>
      <c r="H294" s="6">
        <v>12751</v>
      </c>
      <c r="I294" s="6">
        <v>-0.54</v>
      </c>
      <c r="J294" s="6">
        <v>2.03</v>
      </c>
      <c r="K294" s="6">
        <v>29485</v>
      </c>
      <c r="L294" s="6">
        <v>-1.76</v>
      </c>
      <c r="M294" s="6">
        <v>-3.28</v>
      </c>
      <c r="N294" s="6">
        <v>56446</v>
      </c>
      <c r="O294" s="6">
        <v>-1.11</v>
      </c>
      <c r="P294" s="6">
        <v>-3.24</v>
      </c>
      <c r="Q294" s="1">
        <f t="shared" si="8"/>
        <v>43344</v>
      </c>
      <c r="R294" t="str">
        <f t="shared" si="9"/>
        <v>2018-09-01</v>
      </c>
    </row>
    <row r="295" spans="1:18">
      <c r="A295" s="4">
        <v>10.18</v>
      </c>
      <c r="B295" s="5">
        <v>29044</v>
      </c>
      <c r="C295" s="5">
        <v>-3.11</v>
      </c>
      <c r="D295" s="5">
        <v>-6.3</v>
      </c>
      <c r="E295" s="5">
        <v>15687</v>
      </c>
      <c r="F295" s="5">
        <v>-8.93</v>
      </c>
      <c r="G295" s="5">
        <v>-15.2</v>
      </c>
      <c r="H295" s="5">
        <v>13357</v>
      </c>
      <c r="I295" s="5">
        <v>4.75</v>
      </c>
      <c r="J295" s="5">
        <v>6.87</v>
      </c>
      <c r="K295" s="5">
        <v>28558</v>
      </c>
      <c r="L295" s="5">
        <v>-3.14</v>
      </c>
      <c r="M295" s="5">
        <v>-6.32</v>
      </c>
      <c r="N295" s="5">
        <v>55617</v>
      </c>
      <c r="O295" s="5">
        <v>-1.47</v>
      </c>
      <c r="P295" s="5">
        <v>-4.66</v>
      </c>
      <c r="Q295" s="1">
        <f t="shared" si="8"/>
        <v>43374</v>
      </c>
      <c r="R295" t="str">
        <f t="shared" si="9"/>
        <v>2018-10-01</v>
      </c>
    </row>
    <row r="296" spans="1:18">
      <c r="A296" s="4">
        <v>11.18</v>
      </c>
      <c r="B296" s="6">
        <v>30146</v>
      </c>
      <c r="C296" s="6">
        <v>3.8</v>
      </c>
      <c r="D296" s="6">
        <v>-2.74</v>
      </c>
      <c r="E296" s="6">
        <v>16592</v>
      </c>
      <c r="F296" s="6">
        <v>5.77</v>
      </c>
      <c r="G296" s="6">
        <v>-10.31</v>
      </c>
      <c r="H296" s="6">
        <v>13555</v>
      </c>
      <c r="I296" s="6">
        <v>1.48</v>
      </c>
      <c r="J296" s="6">
        <v>8.45</v>
      </c>
      <c r="K296" s="6">
        <v>29660</v>
      </c>
      <c r="L296" s="6">
        <v>3.86</v>
      </c>
      <c r="M296" s="6">
        <v>-2.7</v>
      </c>
      <c r="N296" s="6">
        <v>56753</v>
      </c>
      <c r="O296" s="6">
        <v>2.04</v>
      </c>
      <c r="P296" s="6">
        <v>-2.71</v>
      </c>
      <c r="Q296" s="1">
        <f t="shared" si="8"/>
        <v>43405</v>
      </c>
      <c r="R296" t="str">
        <f t="shared" si="9"/>
        <v>2018-11-01</v>
      </c>
    </row>
    <row r="297" spans="1:18">
      <c r="A297" s="4">
        <v>12.18</v>
      </c>
      <c r="B297" s="5">
        <v>30927</v>
      </c>
      <c r="C297" s="5">
        <v>2.59</v>
      </c>
      <c r="D297" s="5">
        <v>-0.22</v>
      </c>
      <c r="E297" s="5">
        <v>16536</v>
      </c>
      <c r="F297" s="5">
        <v>-0.34</v>
      </c>
      <c r="G297" s="5">
        <v>-10.61</v>
      </c>
      <c r="H297" s="5">
        <v>14391</v>
      </c>
      <c r="I297" s="5">
        <v>6.17</v>
      </c>
      <c r="J297" s="5">
        <v>15.15</v>
      </c>
      <c r="K297" s="5">
        <v>30439</v>
      </c>
      <c r="L297" s="5">
        <v>2.63</v>
      </c>
      <c r="M297" s="5">
        <v>-0.15</v>
      </c>
      <c r="N297" s="5">
        <v>57988</v>
      </c>
      <c r="O297" s="5">
        <v>2.18</v>
      </c>
      <c r="P297" s="5">
        <v>-0.59</v>
      </c>
      <c r="Q297" s="1">
        <f t="shared" si="8"/>
        <v>43435</v>
      </c>
      <c r="R297" t="str">
        <f t="shared" si="9"/>
        <v>2018-12-01</v>
      </c>
    </row>
    <row r="298" ht="21" spans="1:18">
      <c r="A298" s="4" t="s">
        <v>227</v>
      </c>
      <c r="B298" s="6">
        <v>30580</v>
      </c>
      <c r="C298" s="6">
        <v>-1.12</v>
      </c>
      <c r="D298" s="6">
        <v>-1.12</v>
      </c>
      <c r="E298" s="6">
        <v>15560</v>
      </c>
      <c r="F298" s="6">
        <v>-5.9</v>
      </c>
      <c r="G298" s="6">
        <v>-5.9</v>
      </c>
      <c r="H298" s="6">
        <v>15020</v>
      </c>
      <c r="I298" s="6">
        <v>4.37</v>
      </c>
      <c r="J298" s="6">
        <v>4.37</v>
      </c>
      <c r="K298" s="6">
        <v>30090</v>
      </c>
      <c r="L298" s="6">
        <v>-1.15</v>
      </c>
      <c r="M298" s="6">
        <v>-1.15</v>
      </c>
      <c r="N298" s="6">
        <v>59467</v>
      </c>
      <c r="O298" s="6">
        <v>2.55</v>
      </c>
      <c r="P298" s="6">
        <v>2.55</v>
      </c>
      <c r="Q298" s="1">
        <f t="shared" si="8"/>
        <v>43466</v>
      </c>
      <c r="R298" t="str">
        <f t="shared" si="9"/>
        <v>2019-01-01</v>
      </c>
    </row>
    <row r="299" ht="21" spans="1:18">
      <c r="A299" s="4" t="s">
        <v>228</v>
      </c>
      <c r="B299" s="5">
        <v>29137</v>
      </c>
      <c r="C299" s="5">
        <v>-4.72</v>
      </c>
      <c r="D299" s="5">
        <v>-5.79</v>
      </c>
      <c r="E299" s="5">
        <v>13954</v>
      </c>
      <c r="F299" s="5">
        <v>-10.32</v>
      </c>
      <c r="G299" s="5">
        <v>-15.62</v>
      </c>
      <c r="H299" s="5">
        <v>15183</v>
      </c>
      <c r="I299" s="5">
        <v>1.08</v>
      </c>
      <c r="J299" s="5">
        <v>5.5</v>
      </c>
      <c r="K299" s="5">
        <v>28646</v>
      </c>
      <c r="L299" s="5">
        <v>-4.8</v>
      </c>
      <c r="M299" s="5">
        <v>-5.89</v>
      </c>
      <c r="N299" s="5">
        <v>60448</v>
      </c>
      <c r="O299" s="5">
        <v>1.65</v>
      </c>
      <c r="P299" s="5">
        <v>4.24</v>
      </c>
      <c r="Q299" s="1">
        <f t="shared" si="8"/>
        <v>43497</v>
      </c>
      <c r="R299" t="str">
        <f t="shared" si="9"/>
        <v>2019-02-01</v>
      </c>
    </row>
    <row r="300" ht="21" spans="1:18">
      <c r="A300" s="4" t="s">
        <v>229</v>
      </c>
      <c r="B300" s="6">
        <v>27042</v>
      </c>
      <c r="C300" s="6">
        <v>-7.19</v>
      </c>
      <c r="D300" s="6">
        <v>-12.56</v>
      </c>
      <c r="E300" s="6">
        <v>12028</v>
      </c>
      <c r="F300" s="6">
        <v>-13.8</v>
      </c>
      <c r="G300" s="6">
        <v>-27.26</v>
      </c>
      <c r="H300" s="6">
        <v>15014</v>
      </c>
      <c r="I300" s="6">
        <v>-1.12</v>
      </c>
      <c r="J300" s="6">
        <v>4.33</v>
      </c>
      <c r="K300" s="6">
        <v>26555</v>
      </c>
      <c r="L300" s="6">
        <v>-7.3</v>
      </c>
      <c r="M300" s="6">
        <v>-12.76</v>
      </c>
      <c r="N300" s="6">
        <v>60531</v>
      </c>
      <c r="O300" s="6">
        <v>0.14</v>
      </c>
      <c r="P300" s="6">
        <v>4.39</v>
      </c>
      <c r="Q300" s="1">
        <f t="shared" si="8"/>
        <v>43525</v>
      </c>
      <c r="R300" t="str">
        <f t="shared" si="9"/>
        <v>2019-03-01</v>
      </c>
    </row>
    <row r="301" ht="21" spans="1:18">
      <c r="A301" s="4" t="s">
        <v>230</v>
      </c>
      <c r="B301" s="5">
        <v>27085</v>
      </c>
      <c r="C301" s="5">
        <v>0.16</v>
      </c>
      <c r="D301" s="5">
        <v>-12.42</v>
      </c>
      <c r="E301" s="5">
        <v>11939</v>
      </c>
      <c r="F301" s="5">
        <v>-0.74</v>
      </c>
      <c r="G301" s="5">
        <v>-27.8</v>
      </c>
      <c r="H301" s="5">
        <v>15146</v>
      </c>
      <c r="I301" s="5">
        <v>0.88</v>
      </c>
      <c r="J301" s="5">
        <v>5.25</v>
      </c>
      <c r="K301" s="5">
        <v>26600</v>
      </c>
      <c r="L301" s="5">
        <v>0.17</v>
      </c>
      <c r="M301" s="5">
        <v>-12.61</v>
      </c>
      <c r="N301" s="5">
        <v>60942</v>
      </c>
      <c r="O301" s="5">
        <v>0.68</v>
      </c>
      <c r="P301" s="5">
        <v>5.1</v>
      </c>
      <c r="Q301" s="1">
        <f t="shared" si="8"/>
        <v>43556</v>
      </c>
      <c r="R301" t="str">
        <f t="shared" si="9"/>
        <v>2019-04-01</v>
      </c>
    </row>
    <row r="302" ht="21" spans="1:18">
      <c r="A302" s="4" t="s">
        <v>231</v>
      </c>
      <c r="B302" s="6">
        <v>28050</v>
      </c>
      <c r="C302" s="6">
        <v>3.56</v>
      </c>
      <c r="D302" s="6">
        <v>-9.3</v>
      </c>
      <c r="E302" s="6">
        <v>12595</v>
      </c>
      <c r="F302" s="6">
        <v>5.5</v>
      </c>
      <c r="G302" s="6">
        <v>-23.83</v>
      </c>
      <c r="H302" s="6">
        <v>15455</v>
      </c>
      <c r="I302" s="6">
        <v>2.04</v>
      </c>
      <c r="J302" s="6">
        <v>7.39</v>
      </c>
      <c r="K302" s="6">
        <v>27567</v>
      </c>
      <c r="L302" s="6">
        <v>3.64</v>
      </c>
      <c r="M302" s="6">
        <v>-9.43</v>
      </c>
      <c r="N302" s="6">
        <v>59681</v>
      </c>
      <c r="O302" s="6">
        <v>-2.07</v>
      </c>
      <c r="P302" s="6">
        <v>2.92</v>
      </c>
      <c r="Q302" s="1">
        <f t="shared" si="8"/>
        <v>43586</v>
      </c>
      <c r="R302" t="str">
        <f t="shared" si="9"/>
        <v>2019-05-01</v>
      </c>
    </row>
    <row r="303" ht="21" spans="1:18">
      <c r="A303" s="4" t="s">
        <v>232</v>
      </c>
      <c r="B303" s="5">
        <v>28222</v>
      </c>
      <c r="C303" s="5">
        <v>0.61</v>
      </c>
      <c r="D303" s="5">
        <v>-8.75</v>
      </c>
      <c r="E303" s="5">
        <v>11168</v>
      </c>
      <c r="F303" s="5">
        <v>-11.33</v>
      </c>
      <c r="G303" s="5">
        <v>-32.46</v>
      </c>
      <c r="H303" s="5">
        <v>17054</v>
      </c>
      <c r="I303" s="5">
        <v>10.35</v>
      </c>
      <c r="J303" s="5">
        <v>18.5</v>
      </c>
      <c r="K303" s="5">
        <v>27734</v>
      </c>
      <c r="L303" s="5">
        <v>0.61</v>
      </c>
      <c r="M303" s="5">
        <v>-8.89</v>
      </c>
      <c r="N303" s="5">
        <v>59938</v>
      </c>
      <c r="O303" s="5">
        <v>0.43</v>
      </c>
      <c r="P303" s="5">
        <v>3.36</v>
      </c>
      <c r="Q303" s="1">
        <f t="shared" si="8"/>
        <v>43617</v>
      </c>
      <c r="R303" t="str">
        <f t="shared" si="9"/>
        <v>2019-06-01</v>
      </c>
    </row>
    <row r="304" ht="21" spans="1:18">
      <c r="A304" s="4" t="s">
        <v>233</v>
      </c>
      <c r="B304" s="6">
        <v>27677</v>
      </c>
      <c r="C304" s="6">
        <v>-1.93</v>
      </c>
      <c r="D304" s="6">
        <v>-10.51</v>
      </c>
      <c r="E304" s="6">
        <v>10201</v>
      </c>
      <c r="F304" s="6">
        <v>-8.67</v>
      </c>
      <c r="G304" s="6">
        <v>-38.31</v>
      </c>
      <c r="H304" s="6">
        <v>17476</v>
      </c>
      <c r="I304" s="6">
        <v>2.48</v>
      </c>
      <c r="J304" s="6">
        <v>21.44</v>
      </c>
      <c r="K304" s="6">
        <v>27193</v>
      </c>
      <c r="L304" s="6">
        <v>-1.95</v>
      </c>
      <c r="M304" s="6">
        <v>-10.66</v>
      </c>
      <c r="N304" s="6">
        <v>59864</v>
      </c>
      <c r="O304" s="6">
        <v>-0.12</v>
      </c>
      <c r="P304" s="6">
        <v>3.24</v>
      </c>
      <c r="Q304" s="1">
        <f t="shared" si="8"/>
        <v>43647</v>
      </c>
      <c r="R304" t="str">
        <f t="shared" si="9"/>
        <v>2019-07-01</v>
      </c>
    </row>
    <row r="305" ht="21" spans="1:18">
      <c r="A305" s="4" t="s">
        <v>234</v>
      </c>
      <c r="B305" s="5">
        <v>28236</v>
      </c>
      <c r="C305" s="5">
        <v>2.02</v>
      </c>
      <c r="D305" s="5">
        <v>-8.7</v>
      </c>
      <c r="E305" s="5">
        <v>9595</v>
      </c>
      <c r="F305" s="5">
        <v>-5.94</v>
      </c>
      <c r="G305" s="5">
        <v>-41.98</v>
      </c>
      <c r="H305" s="5">
        <v>18642</v>
      </c>
      <c r="I305" s="5">
        <v>6.67</v>
      </c>
      <c r="J305" s="5">
        <v>29.54</v>
      </c>
      <c r="K305" s="5">
        <v>27755</v>
      </c>
      <c r="L305" s="5">
        <v>2.06</v>
      </c>
      <c r="M305" s="5">
        <v>-8.82</v>
      </c>
      <c r="N305" s="5">
        <v>59547</v>
      </c>
      <c r="O305" s="5">
        <v>-0.53</v>
      </c>
      <c r="P305" s="5">
        <v>2.69</v>
      </c>
      <c r="Q305" s="1">
        <f t="shared" si="8"/>
        <v>43678</v>
      </c>
      <c r="R305" t="str">
        <f t="shared" si="9"/>
        <v>2019-08-01</v>
      </c>
    </row>
    <row r="306" ht="21" spans="1:18">
      <c r="A306" s="4" t="s">
        <v>235</v>
      </c>
      <c r="B306" s="6">
        <v>28796</v>
      </c>
      <c r="C306" s="6">
        <v>1.98</v>
      </c>
      <c r="D306" s="6">
        <v>-6.89</v>
      </c>
      <c r="E306" s="6">
        <v>10742</v>
      </c>
      <c r="F306" s="6">
        <v>11.96</v>
      </c>
      <c r="G306" s="6">
        <v>-35.04</v>
      </c>
      <c r="H306" s="6">
        <v>18054</v>
      </c>
      <c r="I306" s="6">
        <v>-3.15</v>
      </c>
      <c r="J306" s="6">
        <v>25.45</v>
      </c>
      <c r="K306" s="6">
        <v>28317</v>
      </c>
      <c r="L306" s="6">
        <v>2.03</v>
      </c>
      <c r="M306" s="6">
        <v>-6.97</v>
      </c>
      <c r="N306" s="6">
        <v>59336</v>
      </c>
      <c r="O306" s="6">
        <v>-0.29</v>
      </c>
      <c r="P306" s="6">
        <v>2.32</v>
      </c>
      <c r="Q306" s="1">
        <f t="shared" si="8"/>
        <v>43709</v>
      </c>
      <c r="R306" t="str">
        <f t="shared" si="9"/>
        <v>2019-09-01</v>
      </c>
    </row>
    <row r="307" spans="1:18">
      <c r="A307" s="4">
        <v>10.19</v>
      </c>
      <c r="B307" s="5">
        <v>29502</v>
      </c>
      <c r="C307" s="5">
        <v>2.45</v>
      </c>
      <c r="D307" s="5">
        <v>-4.61</v>
      </c>
      <c r="E307" s="5">
        <v>11225</v>
      </c>
      <c r="F307" s="5">
        <v>4.49</v>
      </c>
      <c r="G307" s="5">
        <v>-32.12</v>
      </c>
      <c r="H307" s="5">
        <v>18276</v>
      </c>
      <c r="I307" s="5">
        <v>1.23</v>
      </c>
      <c r="J307" s="5">
        <v>27</v>
      </c>
      <c r="K307" s="5">
        <v>29018</v>
      </c>
      <c r="L307" s="5">
        <v>2.47</v>
      </c>
      <c r="M307" s="5">
        <v>-4.67</v>
      </c>
      <c r="N307" s="5">
        <v>59906</v>
      </c>
      <c r="O307" s="5">
        <v>0.96</v>
      </c>
      <c r="P307" s="5">
        <v>3.31</v>
      </c>
      <c r="Q307" s="1">
        <f t="shared" si="8"/>
        <v>43739</v>
      </c>
      <c r="R307" t="str">
        <f t="shared" si="9"/>
        <v>2019-10-01</v>
      </c>
    </row>
    <row r="308" spans="1:18">
      <c r="A308" s="4">
        <v>11.19</v>
      </c>
      <c r="B308" s="6">
        <v>28637</v>
      </c>
      <c r="C308" s="6">
        <v>-2.93</v>
      </c>
      <c r="D308" s="6">
        <v>-7.4</v>
      </c>
      <c r="E308" s="6">
        <v>10752</v>
      </c>
      <c r="F308" s="6">
        <v>-4.22</v>
      </c>
      <c r="G308" s="6">
        <v>-34.98</v>
      </c>
      <c r="H308" s="6">
        <v>17885</v>
      </c>
      <c r="I308" s="6">
        <v>-2.14</v>
      </c>
      <c r="J308" s="6">
        <v>24.28</v>
      </c>
      <c r="K308" s="6">
        <v>28155</v>
      </c>
      <c r="L308" s="6">
        <v>-2.98</v>
      </c>
      <c r="M308" s="6">
        <v>-7.5</v>
      </c>
      <c r="N308" s="6">
        <v>60445</v>
      </c>
      <c r="O308" s="6">
        <v>0.9</v>
      </c>
      <c r="P308" s="6">
        <v>4.24</v>
      </c>
      <c r="Q308" s="1">
        <f t="shared" si="8"/>
        <v>43770</v>
      </c>
      <c r="R308" t="str">
        <f t="shared" si="9"/>
        <v>2019-11-01</v>
      </c>
    </row>
    <row r="309" spans="1:18">
      <c r="A309" s="4">
        <v>12.19</v>
      </c>
      <c r="B309" s="5">
        <v>28958</v>
      </c>
      <c r="C309" s="5">
        <v>1.12</v>
      </c>
      <c r="D309" s="5">
        <v>-6.37</v>
      </c>
      <c r="E309" s="5">
        <v>10082</v>
      </c>
      <c r="F309" s="5">
        <v>-6.23</v>
      </c>
      <c r="G309" s="5">
        <v>-39.03</v>
      </c>
      <c r="H309" s="5">
        <v>18875</v>
      </c>
      <c r="I309" s="5">
        <v>5.54</v>
      </c>
      <c r="J309" s="5">
        <v>31.16</v>
      </c>
      <c r="K309" s="5">
        <v>28472</v>
      </c>
      <c r="L309" s="5">
        <v>1.13</v>
      </c>
      <c r="M309" s="5">
        <v>-6.46</v>
      </c>
      <c r="N309" s="5">
        <v>61752</v>
      </c>
      <c r="O309" s="5">
        <v>2.16</v>
      </c>
      <c r="P309" s="5">
        <v>6.49</v>
      </c>
      <c r="Q309" s="1">
        <f t="shared" si="8"/>
        <v>43800</v>
      </c>
      <c r="R309" t="str">
        <f t="shared" si="9"/>
        <v>2019-12-01</v>
      </c>
    </row>
    <row r="310" ht="21" spans="1:18">
      <c r="A310" s="4" t="s">
        <v>236</v>
      </c>
      <c r="B310" s="6">
        <v>29336</v>
      </c>
      <c r="C310" s="6">
        <v>1.31</v>
      </c>
      <c r="D310" s="6">
        <v>1.31</v>
      </c>
      <c r="E310" s="6">
        <v>9693</v>
      </c>
      <c r="F310" s="6">
        <v>-3.86</v>
      </c>
      <c r="G310" s="6">
        <v>-3.86</v>
      </c>
      <c r="H310" s="6">
        <v>19643</v>
      </c>
      <c r="I310" s="6">
        <v>4.07</v>
      </c>
      <c r="J310" s="6">
        <v>4.07</v>
      </c>
      <c r="K310" s="6">
        <v>28853</v>
      </c>
      <c r="L310" s="6">
        <v>1.34</v>
      </c>
      <c r="M310" s="6">
        <v>1.34</v>
      </c>
      <c r="N310" s="6">
        <v>61119</v>
      </c>
      <c r="O310" s="6">
        <v>-1.02</v>
      </c>
      <c r="P310" s="6">
        <v>-1.02</v>
      </c>
      <c r="Q310" s="1">
        <f t="shared" si="8"/>
        <v>43831</v>
      </c>
      <c r="R310" t="str">
        <f t="shared" si="9"/>
        <v>2020-01-01</v>
      </c>
    </row>
    <row r="311" ht="21" spans="1:18">
      <c r="A311" s="4" t="s">
        <v>237</v>
      </c>
      <c r="B311" s="5">
        <v>29889</v>
      </c>
      <c r="C311" s="5">
        <v>1.88</v>
      </c>
      <c r="D311" s="5">
        <v>3.22</v>
      </c>
      <c r="E311" s="5">
        <v>9587</v>
      </c>
      <c r="F311" s="5">
        <v>-1.09</v>
      </c>
      <c r="G311" s="5">
        <v>-4.91</v>
      </c>
      <c r="H311" s="5">
        <v>20301</v>
      </c>
      <c r="I311" s="5">
        <v>3.35</v>
      </c>
      <c r="J311" s="5">
        <v>7.55</v>
      </c>
      <c r="K311" s="5">
        <v>29407</v>
      </c>
      <c r="L311" s="5">
        <v>1.92</v>
      </c>
      <c r="M311" s="5">
        <v>3.29</v>
      </c>
      <c r="N311" s="5">
        <v>59974</v>
      </c>
      <c r="O311" s="5">
        <v>-1.87</v>
      </c>
      <c r="P311" s="5">
        <v>-2.88</v>
      </c>
      <c r="Q311" s="1">
        <f t="shared" si="8"/>
        <v>43862</v>
      </c>
      <c r="R311" t="str">
        <f t="shared" si="9"/>
        <v>2020-02-01</v>
      </c>
    </row>
    <row r="312" ht="21" spans="1:18">
      <c r="A312" s="4" t="s">
        <v>238</v>
      </c>
      <c r="B312" s="6">
        <v>29782</v>
      </c>
      <c r="C312" s="6">
        <v>-0.36</v>
      </c>
      <c r="D312" s="6">
        <v>2.85</v>
      </c>
      <c r="E312" s="6">
        <v>10113</v>
      </c>
      <c r="F312" s="6">
        <v>5.49</v>
      </c>
      <c r="G312" s="6">
        <v>0.31</v>
      </c>
      <c r="H312" s="6">
        <v>19669</v>
      </c>
      <c r="I312" s="6">
        <v>-3.11</v>
      </c>
      <c r="J312" s="6">
        <v>4.2</v>
      </c>
      <c r="K312" s="6">
        <v>29300</v>
      </c>
      <c r="L312" s="6">
        <v>-0.36</v>
      </c>
      <c r="M312" s="6">
        <v>2.91</v>
      </c>
      <c r="N312" s="6">
        <v>57461</v>
      </c>
      <c r="O312" s="6">
        <v>-4.19</v>
      </c>
      <c r="P312" s="6">
        <v>-6.95</v>
      </c>
      <c r="Q312" s="1">
        <f t="shared" si="8"/>
        <v>43891</v>
      </c>
      <c r="R312" t="str">
        <f t="shared" si="9"/>
        <v>2020-03-01</v>
      </c>
    </row>
    <row r="313" ht="21" spans="1:18">
      <c r="A313" s="4" t="s">
        <v>239</v>
      </c>
      <c r="B313" s="5">
        <v>30557</v>
      </c>
      <c r="C313" s="5">
        <v>2.6</v>
      </c>
      <c r="D313" s="5">
        <v>5.52</v>
      </c>
      <c r="E313" s="5">
        <v>9743</v>
      </c>
      <c r="F313" s="5">
        <v>-3.66</v>
      </c>
      <c r="G313" s="5">
        <v>-3.37</v>
      </c>
      <c r="H313" s="5">
        <v>20814</v>
      </c>
      <c r="I313" s="5">
        <v>5.82</v>
      </c>
      <c r="J313" s="5">
        <v>10.27</v>
      </c>
      <c r="K313" s="5">
        <v>30077</v>
      </c>
      <c r="L313" s="5">
        <v>2.65</v>
      </c>
      <c r="M313" s="5">
        <v>5.64</v>
      </c>
      <c r="N313" s="5">
        <v>58541</v>
      </c>
      <c r="O313" s="5">
        <v>1.88</v>
      </c>
      <c r="P313" s="5">
        <v>-5.2</v>
      </c>
      <c r="Q313" s="1">
        <f t="shared" si="8"/>
        <v>43922</v>
      </c>
      <c r="R313" t="str">
        <f t="shared" si="9"/>
        <v>2020-04-01</v>
      </c>
    </row>
    <row r="314" ht="21" spans="1:18">
      <c r="A314" s="4" t="s">
        <v>240</v>
      </c>
      <c r="B314" s="6">
        <v>31561</v>
      </c>
      <c r="C314" s="6">
        <v>3.28</v>
      </c>
      <c r="D314" s="6">
        <v>8.99</v>
      </c>
      <c r="E314" s="6">
        <v>10884</v>
      </c>
      <c r="F314" s="6">
        <v>11.71</v>
      </c>
      <c r="G314" s="6">
        <v>7.95</v>
      </c>
      <c r="H314" s="6">
        <v>20677</v>
      </c>
      <c r="I314" s="6">
        <v>-0.66</v>
      </c>
      <c r="J314" s="6">
        <v>9.55</v>
      </c>
      <c r="K314" s="6">
        <v>31080</v>
      </c>
      <c r="L314" s="6">
        <v>3.33</v>
      </c>
      <c r="M314" s="6">
        <v>9.16</v>
      </c>
      <c r="N314" s="6">
        <v>58484</v>
      </c>
      <c r="O314" s="6">
        <v>-0.1</v>
      </c>
      <c r="P314" s="6">
        <v>-5.29</v>
      </c>
      <c r="Q314" s="1">
        <f t="shared" si="8"/>
        <v>43952</v>
      </c>
      <c r="R314" t="str">
        <f t="shared" si="9"/>
        <v>2020-05-01</v>
      </c>
    </row>
    <row r="315" ht="21" spans="1:18">
      <c r="A315" s="4" t="s">
        <v>241</v>
      </c>
      <c r="B315" s="5">
        <v>32891</v>
      </c>
      <c r="C315" s="5">
        <v>4.21</v>
      </c>
      <c r="D315" s="5">
        <v>13.58</v>
      </c>
      <c r="E315" s="5">
        <v>11345</v>
      </c>
      <c r="F315" s="5">
        <v>4.24</v>
      </c>
      <c r="G315" s="5">
        <v>12.52</v>
      </c>
      <c r="H315" s="5">
        <v>21547</v>
      </c>
      <c r="I315" s="5">
        <v>4.2</v>
      </c>
      <c r="J315" s="5">
        <v>14.15</v>
      </c>
      <c r="K315" s="5">
        <v>32405</v>
      </c>
      <c r="L315" s="5">
        <v>4.26</v>
      </c>
      <c r="M315" s="5">
        <v>13.82</v>
      </c>
      <c r="N315" s="5">
        <v>57737</v>
      </c>
      <c r="O315" s="5">
        <v>-1.28</v>
      </c>
      <c r="P315" s="5">
        <v>-6.5</v>
      </c>
      <c r="Q315" s="1">
        <f t="shared" si="8"/>
        <v>43983</v>
      </c>
      <c r="R315" t="str">
        <f t="shared" si="9"/>
        <v>2020-06-01</v>
      </c>
    </row>
    <row r="316" ht="21" spans="1:18">
      <c r="A316" s="4" t="s">
        <v>242</v>
      </c>
      <c r="B316" s="6">
        <v>35372</v>
      </c>
      <c r="C316" s="6">
        <v>7.54</v>
      </c>
      <c r="D316" s="6">
        <v>22.15</v>
      </c>
      <c r="E316" s="6">
        <v>11497</v>
      </c>
      <c r="F316" s="6">
        <v>1.34</v>
      </c>
      <c r="G316" s="6">
        <v>14.03</v>
      </c>
      <c r="H316" s="6">
        <v>23875</v>
      </c>
      <c r="I316" s="6">
        <v>10.81</v>
      </c>
      <c r="J316" s="6">
        <v>26.49</v>
      </c>
      <c r="K316" s="6">
        <v>34876</v>
      </c>
      <c r="L316" s="6">
        <v>7.63</v>
      </c>
      <c r="M316" s="6">
        <v>22.49</v>
      </c>
      <c r="N316" s="6">
        <v>58247</v>
      </c>
      <c r="O316" s="6">
        <v>0.88</v>
      </c>
      <c r="P316" s="6">
        <v>-5.68</v>
      </c>
      <c r="Q316" s="1">
        <f t="shared" si="8"/>
        <v>44013</v>
      </c>
      <c r="R316" t="str">
        <f t="shared" si="9"/>
        <v>2020-07-01</v>
      </c>
    </row>
    <row r="317" ht="21" spans="1:18">
      <c r="A317" s="4" t="s">
        <v>243</v>
      </c>
      <c r="B317" s="5">
        <v>35393</v>
      </c>
      <c r="C317" s="5">
        <v>0.06</v>
      </c>
      <c r="D317" s="5">
        <v>22.22</v>
      </c>
      <c r="E317" s="5">
        <v>11392</v>
      </c>
      <c r="F317" s="5">
        <v>-0.91</v>
      </c>
      <c r="G317" s="5">
        <v>13</v>
      </c>
      <c r="H317" s="5">
        <v>24000</v>
      </c>
      <c r="I317" s="5">
        <v>0.53</v>
      </c>
      <c r="J317" s="5">
        <v>27.15</v>
      </c>
      <c r="K317" s="5">
        <v>34895</v>
      </c>
      <c r="L317" s="5">
        <v>0.06</v>
      </c>
      <c r="M317" s="5">
        <v>22.56</v>
      </c>
      <c r="N317" s="5">
        <v>58692</v>
      </c>
      <c r="O317" s="5">
        <v>0.76</v>
      </c>
      <c r="P317" s="5">
        <v>-4.96</v>
      </c>
      <c r="Q317" s="1">
        <f t="shared" si="8"/>
        <v>44044</v>
      </c>
      <c r="R317" t="str">
        <f t="shared" si="9"/>
        <v>2020-08-01</v>
      </c>
    </row>
    <row r="318" ht="21" spans="1:18">
      <c r="A318" s="4" t="s">
        <v>244</v>
      </c>
      <c r="B318" s="6">
        <v>33784</v>
      </c>
      <c r="C318" s="6">
        <v>-4.55</v>
      </c>
      <c r="D318" s="6">
        <v>16.67</v>
      </c>
      <c r="E318" s="6">
        <v>10572</v>
      </c>
      <c r="F318" s="6">
        <v>-7.2</v>
      </c>
      <c r="G318" s="6">
        <v>4.86</v>
      </c>
      <c r="H318" s="6">
        <v>23212</v>
      </c>
      <c r="I318" s="6">
        <v>-3.29</v>
      </c>
      <c r="J318" s="6">
        <v>22.98</v>
      </c>
      <c r="K318" s="6">
        <v>33289</v>
      </c>
      <c r="L318" s="6">
        <v>-4.6</v>
      </c>
      <c r="M318" s="6">
        <v>16.92</v>
      </c>
      <c r="N318" s="6">
        <v>57332</v>
      </c>
      <c r="O318" s="6">
        <v>-2.32</v>
      </c>
      <c r="P318" s="6">
        <v>-7.16</v>
      </c>
      <c r="Q318" s="1">
        <f t="shared" si="8"/>
        <v>44075</v>
      </c>
      <c r="R318" t="str">
        <f t="shared" si="9"/>
        <v>2020-09-01</v>
      </c>
    </row>
    <row r="319" spans="1:18">
      <c r="A319" s="4">
        <v>10.2</v>
      </c>
      <c r="B319" s="5">
        <v>33574</v>
      </c>
      <c r="C319" s="5">
        <v>-0.62</v>
      </c>
      <c r="D319" s="5">
        <v>15.94</v>
      </c>
      <c r="E319" s="5">
        <v>10378</v>
      </c>
      <c r="F319" s="5">
        <v>-1.84</v>
      </c>
      <c r="G319" s="5">
        <v>2.93</v>
      </c>
      <c r="H319" s="5">
        <v>23196</v>
      </c>
      <c r="I319" s="5">
        <v>-0.07</v>
      </c>
      <c r="J319" s="5">
        <v>22.89</v>
      </c>
      <c r="K319" s="5">
        <v>33077</v>
      </c>
      <c r="L319" s="5">
        <v>-0.64</v>
      </c>
      <c r="M319" s="5">
        <v>16.17</v>
      </c>
      <c r="N319" s="5">
        <v>56360</v>
      </c>
      <c r="O319" s="5">
        <v>-1.7</v>
      </c>
      <c r="P319" s="5">
        <v>-8.73</v>
      </c>
      <c r="Q319" s="1">
        <v>44105</v>
      </c>
      <c r="R319" t="str">
        <f t="shared" si="9"/>
        <v>2020-10-01</v>
      </c>
    </row>
    <row r="320" spans="1:18">
      <c r="A320" s="4">
        <v>11.2</v>
      </c>
      <c r="B320" s="6">
        <v>32508</v>
      </c>
      <c r="C320" s="6">
        <v>-3.17</v>
      </c>
      <c r="D320" s="6">
        <v>12.26</v>
      </c>
      <c r="E320" s="6">
        <v>10498</v>
      </c>
      <c r="F320" s="6">
        <v>1.16</v>
      </c>
      <c r="G320" s="6">
        <v>4.13</v>
      </c>
      <c r="H320" s="6">
        <v>22010</v>
      </c>
      <c r="I320" s="6">
        <v>-5.11</v>
      </c>
      <c r="J320" s="6">
        <v>16.61</v>
      </c>
      <c r="K320" s="6">
        <v>32008</v>
      </c>
      <c r="L320" s="6">
        <v>-3.23</v>
      </c>
      <c r="M320" s="6">
        <v>12.42</v>
      </c>
      <c r="N320" s="6">
        <v>57997</v>
      </c>
      <c r="O320" s="6">
        <v>2.91</v>
      </c>
      <c r="P320" s="6">
        <v>-6.08</v>
      </c>
      <c r="Q320" s="1">
        <v>44136</v>
      </c>
      <c r="R320" t="str">
        <f t="shared" si="9"/>
        <v>2020-11-01</v>
      </c>
    </row>
    <row r="321" spans="1:18">
      <c r="A321" s="4">
        <v>12.2</v>
      </c>
      <c r="B321" s="5">
        <v>35638</v>
      </c>
      <c r="C321" s="5">
        <v>9.63</v>
      </c>
      <c r="D321" s="5">
        <v>23.07</v>
      </c>
      <c r="E321" s="5">
        <v>12056</v>
      </c>
      <c r="F321" s="5">
        <v>14.84</v>
      </c>
      <c r="G321" s="5">
        <v>19.58</v>
      </c>
      <c r="H321" s="5">
        <v>23582</v>
      </c>
      <c r="I321" s="5">
        <v>7.14</v>
      </c>
      <c r="J321" s="5">
        <v>24.94</v>
      </c>
      <c r="K321" s="5">
        <v>35132</v>
      </c>
      <c r="L321" s="5">
        <v>9.76</v>
      </c>
      <c r="M321" s="5">
        <v>23.39</v>
      </c>
      <c r="N321" s="5">
        <v>58743</v>
      </c>
      <c r="O321" s="5">
        <v>1.29</v>
      </c>
      <c r="P321" s="5">
        <v>-4.87</v>
      </c>
      <c r="Q321" s="1">
        <v>44166</v>
      </c>
      <c r="R321" t="str">
        <f t="shared" si="9"/>
        <v>2020-12-01</v>
      </c>
    </row>
    <row r="322" ht="21" spans="1:18">
      <c r="A322" s="4" t="s">
        <v>245</v>
      </c>
      <c r="B322" s="6">
        <v>35563</v>
      </c>
      <c r="C322" s="6">
        <v>-0.21</v>
      </c>
      <c r="D322" s="6">
        <v>-0.21</v>
      </c>
      <c r="E322" s="6">
        <v>12290</v>
      </c>
      <c r="F322" s="6">
        <v>1.94</v>
      </c>
      <c r="G322" s="6">
        <v>1.94</v>
      </c>
      <c r="H322" s="6">
        <v>23272</v>
      </c>
      <c r="I322" s="6">
        <v>-1.31</v>
      </c>
      <c r="J322" s="6">
        <v>-1.31</v>
      </c>
      <c r="K322" s="6">
        <v>35058</v>
      </c>
      <c r="L322" s="6">
        <v>-0.21</v>
      </c>
      <c r="M322" s="6">
        <v>-0.21</v>
      </c>
      <c r="N322" s="6">
        <v>57707</v>
      </c>
      <c r="O322" s="6">
        <v>-1.76</v>
      </c>
      <c r="P322" s="6">
        <v>-1.76</v>
      </c>
      <c r="Q322" s="1">
        <f t="shared" si="8"/>
        <v>44197</v>
      </c>
      <c r="R322" t="str">
        <f t="shared" si="9"/>
        <v>2021-01-01</v>
      </c>
    </row>
    <row r="323" ht="21" spans="1:18">
      <c r="A323" s="4" t="s">
        <v>246</v>
      </c>
      <c r="B323" s="5">
        <v>34674</v>
      </c>
      <c r="C323" s="5">
        <v>-2.5</v>
      </c>
      <c r="D323" s="5">
        <v>-2.71</v>
      </c>
      <c r="E323" s="5">
        <v>12410</v>
      </c>
      <c r="F323" s="5">
        <v>0.97</v>
      </c>
      <c r="G323" s="5">
        <v>2.94</v>
      </c>
      <c r="H323" s="5">
        <v>22264</v>
      </c>
      <c r="I323" s="5">
        <v>-4.33</v>
      </c>
      <c r="J323" s="5">
        <v>-5.59</v>
      </c>
      <c r="K323" s="5">
        <v>34166</v>
      </c>
      <c r="L323" s="5">
        <v>-2.54</v>
      </c>
      <c r="M323" s="5">
        <v>-2.75</v>
      </c>
      <c r="N323" s="5">
        <v>57629</v>
      </c>
      <c r="O323" s="5">
        <v>-0.13</v>
      </c>
      <c r="P323" s="5">
        <v>-1.9</v>
      </c>
      <c r="Q323" s="1">
        <f t="shared" si="8"/>
        <v>44228</v>
      </c>
      <c r="R323" t="str">
        <f t="shared" si="9"/>
        <v>2021-02-01</v>
      </c>
    </row>
    <row r="324" ht="21" spans="1:18">
      <c r="A324" s="4" t="s">
        <v>247</v>
      </c>
      <c r="B324" s="6">
        <v>33506</v>
      </c>
      <c r="C324" s="6">
        <v>-3.37</v>
      </c>
      <c r="D324" s="6">
        <v>-5.98</v>
      </c>
      <c r="E324" s="6">
        <v>12057</v>
      </c>
      <c r="F324" s="6">
        <v>-2.85</v>
      </c>
      <c r="G324" s="6">
        <v>0.01</v>
      </c>
      <c r="H324" s="6">
        <v>21449</v>
      </c>
      <c r="I324" s="6">
        <v>-3.66</v>
      </c>
      <c r="J324" s="6">
        <v>-9.04</v>
      </c>
      <c r="K324" s="6">
        <v>33008</v>
      </c>
      <c r="L324" s="6">
        <v>-3.39</v>
      </c>
      <c r="M324" s="6">
        <v>-6.05</v>
      </c>
      <c r="N324" s="6">
        <v>57115</v>
      </c>
      <c r="O324" s="6">
        <v>-0.89</v>
      </c>
      <c r="P324" s="6">
        <v>-2.77</v>
      </c>
      <c r="Q324" s="1">
        <f t="shared" si="8"/>
        <v>44256</v>
      </c>
      <c r="R324" t="str">
        <f t="shared" si="9"/>
        <v>2021-03-01</v>
      </c>
    </row>
    <row r="325" ht="21" spans="1:18">
      <c r="A325" s="4" t="s">
        <v>248</v>
      </c>
      <c r="B325" s="5">
        <v>34221</v>
      </c>
      <c r="C325" s="5">
        <v>2.13</v>
      </c>
      <c r="D325" s="5">
        <v>-3.98</v>
      </c>
      <c r="E325" s="5">
        <v>11448</v>
      </c>
      <c r="F325" s="5">
        <v>-5.05</v>
      </c>
      <c r="G325" s="5">
        <v>-5.04</v>
      </c>
      <c r="H325" s="5">
        <v>22773</v>
      </c>
      <c r="I325" s="5">
        <v>6.17</v>
      </c>
      <c r="J325" s="5">
        <v>-3.43</v>
      </c>
      <c r="K325" s="5">
        <v>33715</v>
      </c>
      <c r="L325" s="5">
        <v>2.14</v>
      </c>
      <c r="M325" s="5">
        <v>-4.03</v>
      </c>
      <c r="N325" s="5">
        <v>57687</v>
      </c>
      <c r="O325" s="5">
        <v>1</v>
      </c>
      <c r="P325" s="5">
        <v>-1.8</v>
      </c>
      <c r="Q325" s="1">
        <f t="shared" ref="Q325:Q388" si="10">IF(ISNUMBER(SEARCH(".",A325)),DATE(IF(VALUE(RIGHT(A325,2))&gt;=94,1900+VALUE(RIGHT(A325,2)),2000+VALUE(RIGHT(A325,2))),VALUE(LEFT(A325,2)),1),DATE(2000+VALUE(A325),10,1))</f>
        <v>44287</v>
      </c>
      <c r="R325" t="str">
        <f t="shared" ref="R325:R388" si="11">TEXT(Q325,"yyyy-mm-01")</f>
        <v>2021-04-01</v>
      </c>
    </row>
    <row r="326" ht="21" spans="1:18">
      <c r="A326" s="4" t="s">
        <v>249</v>
      </c>
      <c r="B326" s="6">
        <v>36468</v>
      </c>
      <c r="C326" s="6">
        <v>6.57</v>
      </c>
      <c r="D326" s="6">
        <v>2.33</v>
      </c>
      <c r="E326" s="6">
        <v>11779</v>
      </c>
      <c r="F326" s="6">
        <v>2.89</v>
      </c>
      <c r="G326" s="6">
        <v>-2.3</v>
      </c>
      <c r="H326" s="6">
        <v>24690</v>
      </c>
      <c r="I326" s="6">
        <v>8.42</v>
      </c>
      <c r="J326" s="6">
        <v>4.7</v>
      </c>
      <c r="K326" s="6">
        <v>35961</v>
      </c>
      <c r="L326" s="6">
        <v>6.66</v>
      </c>
      <c r="M326" s="6">
        <v>2.36</v>
      </c>
      <c r="N326" s="6">
        <v>58575</v>
      </c>
      <c r="O326" s="6">
        <v>1.54</v>
      </c>
      <c r="P326" s="6">
        <v>-0.29</v>
      </c>
      <c r="Q326" s="1">
        <f t="shared" si="10"/>
        <v>44317</v>
      </c>
      <c r="R326" t="str">
        <f t="shared" si="11"/>
        <v>2021-05-01</v>
      </c>
    </row>
    <row r="327" ht="21" spans="1:18">
      <c r="A327" s="4" t="s">
        <v>250</v>
      </c>
      <c r="B327" s="5">
        <v>35049</v>
      </c>
      <c r="C327" s="5">
        <v>-3.89</v>
      </c>
      <c r="D327" s="5">
        <v>-1.65</v>
      </c>
      <c r="E327" s="5">
        <v>13238</v>
      </c>
      <c r="F327" s="5">
        <v>12.39</v>
      </c>
      <c r="G327" s="5">
        <v>9.8</v>
      </c>
      <c r="H327" s="5">
        <v>21812</v>
      </c>
      <c r="I327" s="5">
        <v>-11.66</v>
      </c>
      <c r="J327" s="5">
        <v>-7.51</v>
      </c>
      <c r="K327" s="5">
        <v>34548</v>
      </c>
      <c r="L327" s="5">
        <v>-3.93</v>
      </c>
      <c r="M327" s="5">
        <v>-1.66</v>
      </c>
      <c r="N327" s="5">
        <v>57343</v>
      </c>
      <c r="O327" s="5">
        <v>-2.1</v>
      </c>
      <c r="P327" s="5">
        <v>-2.38</v>
      </c>
      <c r="Q327" s="1">
        <f t="shared" si="10"/>
        <v>44348</v>
      </c>
      <c r="R327" t="str">
        <f t="shared" si="11"/>
        <v>2021-06-01</v>
      </c>
    </row>
    <row r="328" ht="21" spans="1:18">
      <c r="A328" s="4" t="s">
        <v>251</v>
      </c>
      <c r="B328" s="6">
        <v>34987</v>
      </c>
      <c r="C328" s="6">
        <v>-0.18</v>
      </c>
      <c r="D328" s="6">
        <v>-1.83</v>
      </c>
      <c r="E328" s="6">
        <v>12216</v>
      </c>
      <c r="F328" s="6">
        <v>-7.72</v>
      </c>
      <c r="G328" s="6">
        <v>1.33</v>
      </c>
      <c r="H328" s="6">
        <v>22771</v>
      </c>
      <c r="I328" s="6">
        <v>4.4</v>
      </c>
      <c r="J328" s="6">
        <v>-3.44</v>
      </c>
      <c r="K328" s="6">
        <v>34485</v>
      </c>
      <c r="L328" s="6">
        <v>-0.18</v>
      </c>
      <c r="M328" s="6">
        <v>-1.84</v>
      </c>
      <c r="N328" s="6">
        <v>56903</v>
      </c>
      <c r="O328" s="6">
        <v>-0.77</v>
      </c>
      <c r="P328" s="6">
        <v>-3.13</v>
      </c>
      <c r="Q328" s="1">
        <f t="shared" si="10"/>
        <v>44378</v>
      </c>
      <c r="R328" t="str">
        <f t="shared" si="11"/>
        <v>2021-07-01</v>
      </c>
    </row>
    <row r="329" ht="21" spans="1:18">
      <c r="A329" s="4" t="s">
        <v>252</v>
      </c>
      <c r="B329" s="5">
        <v>36809</v>
      </c>
      <c r="C329" s="5">
        <v>5.21</v>
      </c>
      <c r="D329" s="5">
        <v>3.28</v>
      </c>
      <c r="E329" s="5">
        <v>13904</v>
      </c>
      <c r="F329" s="5">
        <v>13.82</v>
      </c>
      <c r="G329" s="5">
        <v>15.33</v>
      </c>
      <c r="H329" s="5">
        <v>22905</v>
      </c>
      <c r="I329" s="5">
        <v>0.59</v>
      </c>
      <c r="J329" s="5">
        <v>-2.87</v>
      </c>
      <c r="K329" s="5">
        <v>34729</v>
      </c>
      <c r="L329" s="5">
        <v>0.71</v>
      </c>
      <c r="M329" s="5">
        <v>-1.15</v>
      </c>
      <c r="N329" s="5">
        <v>56863</v>
      </c>
      <c r="O329" s="5">
        <v>-0.07</v>
      </c>
      <c r="P329" s="5">
        <v>-3.2</v>
      </c>
      <c r="Q329" s="1">
        <f t="shared" si="10"/>
        <v>44409</v>
      </c>
      <c r="R329" t="str">
        <f t="shared" si="11"/>
        <v>2021-08-01</v>
      </c>
    </row>
    <row r="330" ht="21" spans="1:18">
      <c r="A330" s="4" t="s">
        <v>253</v>
      </c>
      <c r="B330" s="6">
        <v>35520</v>
      </c>
      <c r="C330" s="6">
        <v>-3.5</v>
      </c>
      <c r="D330" s="6">
        <v>-0.33</v>
      </c>
      <c r="E330" s="6">
        <v>13414</v>
      </c>
      <c r="F330" s="6">
        <v>-3.52</v>
      </c>
      <c r="G330" s="6">
        <v>11.27</v>
      </c>
      <c r="H330" s="6">
        <v>22106</v>
      </c>
      <c r="I330" s="6">
        <v>-3.49</v>
      </c>
      <c r="J330" s="6">
        <v>-6.26</v>
      </c>
      <c r="K330" s="6">
        <v>33454</v>
      </c>
      <c r="L330" s="6">
        <v>-3.67</v>
      </c>
      <c r="M330" s="6">
        <v>-4.78</v>
      </c>
      <c r="N330" s="6">
        <v>55058</v>
      </c>
      <c r="O330" s="6">
        <v>-3.17</v>
      </c>
      <c r="P330" s="6">
        <v>-6.27</v>
      </c>
      <c r="Q330" s="1">
        <f t="shared" si="10"/>
        <v>44440</v>
      </c>
      <c r="R330" t="str">
        <f t="shared" si="11"/>
        <v>2021-09-01</v>
      </c>
    </row>
    <row r="331" spans="1:18">
      <c r="A331" s="4">
        <v>10.21</v>
      </c>
      <c r="B331" s="5">
        <v>35820</v>
      </c>
      <c r="C331" s="5">
        <v>0.84</v>
      </c>
      <c r="D331" s="5">
        <v>0.51</v>
      </c>
      <c r="E331" s="5">
        <v>12554</v>
      </c>
      <c r="F331" s="5">
        <v>-6.42</v>
      </c>
      <c r="G331" s="5">
        <v>4.13</v>
      </c>
      <c r="H331" s="5">
        <v>23267</v>
      </c>
      <c r="I331" s="5">
        <v>5.25</v>
      </c>
      <c r="J331" s="5">
        <v>-1.34</v>
      </c>
      <c r="K331" s="5">
        <v>33755</v>
      </c>
      <c r="L331" s="5">
        <v>0.9</v>
      </c>
      <c r="M331" s="5">
        <v>-3.92</v>
      </c>
      <c r="N331" s="5">
        <v>55087</v>
      </c>
      <c r="O331" s="5">
        <v>0.05</v>
      </c>
      <c r="P331" s="5">
        <v>-6.22</v>
      </c>
      <c r="Q331" s="1">
        <f t="shared" si="10"/>
        <v>44470</v>
      </c>
      <c r="R331" t="str">
        <f t="shared" si="11"/>
        <v>2021-10-01</v>
      </c>
    </row>
    <row r="332" spans="1:18">
      <c r="A332" s="4">
        <v>11.21</v>
      </c>
      <c r="B332" s="6">
        <v>35483</v>
      </c>
      <c r="C332" s="6">
        <v>-0.94</v>
      </c>
      <c r="D332" s="6">
        <v>-0.43</v>
      </c>
      <c r="E332" s="6">
        <v>11950</v>
      </c>
      <c r="F332" s="6">
        <v>-4.81</v>
      </c>
      <c r="G332" s="6">
        <v>-0.88</v>
      </c>
      <c r="H332" s="6">
        <v>23533</v>
      </c>
      <c r="I332" s="6">
        <v>1.15</v>
      </c>
      <c r="J332" s="6">
        <v>-0.21</v>
      </c>
      <c r="K332" s="6">
        <v>33440</v>
      </c>
      <c r="L332" s="6">
        <v>-0.93</v>
      </c>
      <c r="M332" s="6">
        <v>-4.82</v>
      </c>
      <c r="N332" s="6">
        <v>54919</v>
      </c>
      <c r="O332" s="6">
        <v>-0.31</v>
      </c>
      <c r="P332" s="6">
        <v>-6.51</v>
      </c>
      <c r="Q332" s="1">
        <f t="shared" si="10"/>
        <v>44501</v>
      </c>
      <c r="R332" t="str">
        <f t="shared" si="11"/>
        <v>2021-11-01</v>
      </c>
    </row>
    <row r="333" spans="1:18">
      <c r="A333" s="4">
        <v>12.21</v>
      </c>
      <c r="B333" s="5">
        <v>34378</v>
      </c>
      <c r="C333" s="5">
        <v>-3.11</v>
      </c>
      <c r="D333" s="5">
        <v>-3.54</v>
      </c>
      <c r="E333" s="5">
        <v>10832</v>
      </c>
      <c r="F333" s="5">
        <v>-9.36</v>
      </c>
      <c r="G333" s="5">
        <v>-10.16</v>
      </c>
      <c r="H333" s="5">
        <v>23546</v>
      </c>
      <c r="I333" s="5">
        <v>0.05</v>
      </c>
      <c r="J333" s="5">
        <v>-0.15</v>
      </c>
      <c r="K333" s="5">
        <v>32333</v>
      </c>
      <c r="L333" s="5">
        <v>-3.31</v>
      </c>
      <c r="M333" s="5">
        <v>-7.97</v>
      </c>
      <c r="N333" s="5">
        <v>55324</v>
      </c>
      <c r="O333" s="5">
        <v>0.74</v>
      </c>
      <c r="P333" s="5">
        <v>-5.82</v>
      </c>
      <c r="Q333" s="1">
        <f t="shared" si="10"/>
        <v>44531</v>
      </c>
      <c r="R333" t="str">
        <f t="shared" si="11"/>
        <v>2021-12-01</v>
      </c>
    </row>
    <row r="334" ht="21" spans="1:18">
      <c r="A334" s="4" t="s">
        <v>254</v>
      </c>
      <c r="B334" s="6">
        <v>33386</v>
      </c>
      <c r="C334" s="6">
        <v>-2.88</v>
      </c>
      <c r="D334" s="6">
        <v>-2.88</v>
      </c>
      <c r="E334" s="6">
        <v>11204</v>
      </c>
      <c r="F334" s="6">
        <v>3.43</v>
      </c>
      <c r="G334" s="6">
        <v>3.43</v>
      </c>
      <c r="H334" s="6">
        <v>22183</v>
      </c>
      <c r="I334" s="6">
        <v>-5.79</v>
      </c>
      <c r="J334" s="6">
        <v>-5.79</v>
      </c>
      <c r="K334" s="6">
        <v>31355</v>
      </c>
      <c r="L334" s="6">
        <v>-3.03</v>
      </c>
      <c r="M334" s="6">
        <v>-3.03</v>
      </c>
      <c r="N334" s="6">
        <v>53908</v>
      </c>
      <c r="O334" s="6">
        <v>-2.56</v>
      </c>
      <c r="P334" s="6">
        <v>-2.56</v>
      </c>
      <c r="Q334" s="1">
        <f t="shared" si="10"/>
        <v>44562</v>
      </c>
      <c r="R334" t="str">
        <f t="shared" si="11"/>
        <v>2022-01-01</v>
      </c>
    </row>
    <row r="335" ht="21" spans="1:18">
      <c r="A335" s="4" t="s">
        <v>255</v>
      </c>
      <c r="B335" s="5">
        <v>33478</v>
      </c>
      <c r="C335" s="5">
        <v>0.28</v>
      </c>
      <c r="D335" s="5">
        <v>-2.62</v>
      </c>
      <c r="E335" s="5">
        <v>10213</v>
      </c>
      <c r="F335" s="5">
        <v>-8.85</v>
      </c>
      <c r="G335" s="5">
        <v>-5.72</v>
      </c>
      <c r="H335" s="5">
        <v>23266</v>
      </c>
      <c r="I335" s="5">
        <v>4.88</v>
      </c>
      <c r="J335" s="5">
        <v>-1.19</v>
      </c>
      <c r="K335" s="5">
        <v>31282</v>
      </c>
      <c r="L335" s="5">
        <v>-0.23</v>
      </c>
      <c r="M335" s="5">
        <v>-3.25</v>
      </c>
      <c r="N335" s="5">
        <v>53996</v>
      </c>
      <c r="O335" s="5">
        <v>0.16</v>
      </c>
      <c r="P335" s="5">
        <v>-2.4</v>
      </c>
      <c r="Q335" s="1">
        <f t="shared" si="10"/>
        <v>44593</v>
      </c>
      <c r="R335" t="str">
        <f t="shared" si="11"/>
        <v>2022-02-01</v>
      </c>
    </row>
    <row r="336" ht="21" spans="1:18">
      <c r="A336" s="4" t="s">
        <v>256</v>
      </c>
      <c r="B336" s="6">
        <v>33125</v>
      </c>
      <c r="C336" s="6">
        <v>-1.05</v>
      </c>
      <c r="D336" s="6">
        <v>-3.64</v>
      </c>
      <c r="E336" s="6">
        <v>10353</v>
      </c>
      <c r="F336" s="6">
        <v>1.37</v>
      </c>
      <c r="G336" s="6">
        <v>-4.42</v>
      </c>
      <c r="H336" s="6">
        <v>22772</v>
      </c>
      <c r="I336" s="6">
        <v>-2.12</v>
      </c>
      <c r="J336" s="6">
        <v>-3.29</v>
      </c>
      <c r="K336" s="6">
        <v>30926</v>
      </c>
      <c r="L336" s="6">
        <v>-1.14</v>
      </c>
      <c r="M336" s="6">
        <v>-4.35</v>
      </c>
      <c r="N336" s="6">
        <v>52986</v>
      </c>
      <c r="O336" s="6">
        <v>-1.87</v>
      </c>
      <c r="P336" s="6">
        <v>-4.23</v>
      </c>
      <c r="Q336" s="1">
        <f t="shared" si="10"/>
        <v>44621</v>
      </c>
      <c r="R336" t="str">
        <f t="shared" si="11"/>
        <v>2022-03-01</v>
      </c>
    </row>
    <row r="337" ht="21" spans="1:18">
      <c r="A337" s="4" t="s">
        <v>257</v>
      </c>
      <c r="B337" s="5">
        <v>33407</v>
      </c>
      <c r="C337" s="5">
        <v>0.85</v>
      </c>
      <c r="D337" s="5">
        <v>-2.83</v>
      </c>
      <c r="E337" s="5">
        <v>10411</v>
      </c>
      <c r="F337" s="5">
        <v>0.56</v>
      </c>
      <c r="G337" s="5">
        <v>-3.89</v>
      </c>
      <c r="H337" s="5">
        <v>22996</v>
      </c>
      <c r="I337" s="5">
        <v>0.98</v>
      </c>
      <c r="J337" s="5">
        <v>-2.34</v>
      </c>
      <c r="K337" s="5">
        <v>31263</v>
      </c>
      <c r="L337" s="5">
        <v>1.09</v>
      </c>
      <c r="M337" s="5">
        <v>-3.31</v>
      </c>
      <c r="N337" s="5">
        <v>52622</v>
      </c>
      <c r="O337" s="5">
        <v>-0.69</v>
      </c>
      <c r="P337" s="5">
        <v>-4.88</v>
      </c>
      <c r="Q337" s="1">
        <f t="shared" si="10"/>
        <v>44652</v>
      </c>
      <c r="R337" t="str">
        <f t="shared" si="11"/>
        <v>2022-04-01</v>
      </c>
    </row>
    <row r="338" ht="21" spans="1:18">
      <c r="A338" s="4" t="s">
        <v>258</v>
      </c>
      <c r="B338" s="6">
        <v>32797</v>
      </c>
      <c r="C338" s="6">
        <v>-1.83</v>
      </c>
      <c r="D338" s="6">
        <v>-4.6</v>
      </c>
      <c r="E338" s="6">
        <v>10160</v>
      </c>
      <c r="F338" s="6">
        <v>-2.41</v>
      </c>
      <c r="G338" s="6">
        <v>-6.2</v>
      </c>
      <c r="H338" s="6">
        <v>22636</v>
      </c>
      <c r="I338" s="6">
        <v>-1.56</v>
      </c>
      <c r="J338" s="6">
        <v>-3.86</v>
      </c>
      <c r="K338" s="6">
        <v>30640</v>
      </c>
      <c r="L338" s="6">
        <v>-1.99</v>
      </c>
      <c r="M338" s="6">
        <v>-5.24</v>
      </c>
      <c r="N338" s="6">
        <v>53940</v>
      </c>
      <c r="O338" s="6">
        <v>2.51</v>
      </c>
      <c r="P338" s="6">
        <v>-2.5</v>
      </c>
      <c r="Q338" s="1">
        <f t="shared" si="10"/>
        <v>44682</v>
      </c>
      <c r="R338" t="str">
        <f t="shared" si="11"/>
        <v>2022-05-01</v>
      </c>
    </row>
    <row r="339" ht="21" spans="1:18">
      <c r="A339" s="4" t="s">
        <v>259</v>
      </c>
      <c r="B339" s="5">
        <v>31961</v>
      </c>
      <c r="C339" s="5">
        <v>-2.55</v>
      </c>
      <c r="D339" s="5">
        <v>-7.03</v>
      </c>
      <c r="E339" s="5">
        <v>9574</v>
      </c>
      <c r="F339" s="5">
        <v>-5.77</v>
      </c>
      <c r="G339" s="5">
        <v>-11.61</v>
      </c>
      <c r="H339" s="5">
        <v>22387</v>
      </c>
      <c r="I339" s="5">
        <v>-1.1</v>
      </c>
      <c r="J339" s="5">
        <v>-4.93</v>
      </c>
      <c r="K339" s="5">
        <v>30012</v>
      </c>
      <c r="L339" s="5">
        <v>-2.05</v>
      </c>
      <c r="M339" s="5">
        <v>-7.18</v>
      </c>
      <c r="N339" s="5">
        <v>51864</v>
      </c>
      <c r="O339" s="5">
        <v>-3.85</v>
      </c>
      <c r="P339" s="5">
        <v>-6.25</v>
      </c>
      <c r="Q339" s="1">
        <f t="shared" si="10"/>
        <v>44713</v>
      </c>
      <c r="R339" t="str">
        <f t="shared" si="11"/>
        <v>2022-06-01</v>
      </c>
    </row>
    <row r="340" ht="21" spans="1:18">
      <c r="A340" s="4" t="s">
        <v>260</v>
      </c>
      <c r="B340" s="6">
        <v>32864</v>
      </c>
      <c r="C340" s="6">
        <v>2.83</v>
      </c>
      <c r="D340" s="6">
        <v>-4.4</v>
      </c>
      <c r="E340" s="6">
        <v>11784</v>
      </c>
      <c r="F340" s="6">
        <v>23.09</v>
      </c>
      <c r="G340" s="6">
        <v>8.79</v>
      </c>
      <c r="H340" s="6">
        <v>21080</v>
      </c>
      <c r="I340" s="6">
        <v>-5.84</v>
      </c>
      <c r="J340" s="6">
        <v>-10.47</v>
      </c>
      <c r="K340" s="6">
        <v>30939</v>
      </c>
      <c r="L340" s="6">
        <v>3.09</v>
      </c>
      <c r="M340" s="6">
        <v>-4.31</v>
      </c>
      <c r="N340" s="6">
        <v>53285</v>
      </c>
      <c r="O340" s="6">
        <v>2.74</v>
      </c>
      <c r="P340" s="6">
        <v>-3.69</v>
      </c>
      <c r="Q340" s="1">
        <f t="shared" si="10"/>
        <v>44743</v>
      </c>
      <c r="R340" t="str">
        <f t="shared" si="11"/>
        <v>2022-07-01</v>
      </c>
    </row>
    <row r="341" ht="21" spans="1:18">
      <c r="A341" s="4" t="s">
        <v>261</v>
      </c>
      <c r="B341" s="5">
        <v>32671</v>
      </c>
      <c r="C341" s="5">
        <v>-0.59</v>
      </c>
      <c r="D341" s="5">
        <v>-4.96</v>
      </c>
      <c r="E341" s="5">
        <v>12037</v>
      </c>
      <c r="F341" s="5">
        <v>2.15</v>
      </c>
      <c r="G341" s="5">
        <v>11.13</v>
      </c>
      <c r="H341" s="5">
        <v>20634</v>
      </c>
      <c r="I341" s="5">
        <v>-2.12</v>
      </c>
      <c r="J341" s="5">
        <v>-12.37</v>
      </c>
      <c r="K341" s="5">
        <v>30764</v>
      </c>
      <c r="L341" s="5">
        <v>-0.57</v>
      </c>
      <c r="M341" s="5">
        <v>-4.85</v>
      </c>
      <c r="N341" s="5">
        <v>53807</v>
      </c>
      <c r="O341" s="5">
        <v>0.98</v>
      </c>
      <c r="P341" s="5">
        <v>-2.74</v>
      </c>
      <c r="Q341" s="1">
        <f t="shared" si="10"/>
        <v>44774</v>
      </c>
      <c r="R341" t="str">
        <f t="shared" si="11"/>
        <v>2022-08-01</v>
      </c>
    </row>
    <row r="342" ht="21" spans="1:18">
      <c r="A342" s="4" t="s">
        <v>262</v>
      </c>
      <c r="B342" s="6">
        <v>32639</v>
      </c>
      <c r="C342" s="6">
        <v>-0.1</v>
      </c>
      <c r="D342" s="6">
        <v>-5.06</v>
      </c>
      <c r="E342" s="6">
        <v>12122</v>
      </c>
      <c r="F342" s="6">
        <v>0.7</v>
      </c>
      <c r="G342" s="6">
        <v>11.91</v>
      </c>
      <c r="H342" s="6">
        <v>20517</v>
      </c>
      <c r="I342" s="6">
        <v>-0.57</v>
      </c>
      <c r="J342" s="6">
        <v>-12.87</v>
      </c>
      <c r="K342" s="6">
        <v>30773</v>
      </c>
      <c r="L342" s="6">
        <v>0.03</v>
      </c>
      <c r="M342" s="6">
        <v>-4.83</v>
      </c>
      <c r="N342" s="6">
        <v>51588</v>
      </c>
      <c r="O342" s="6">
        <v>-4.12</v>
      </c>
      <c r="P342" s="6">
        <v>-6.75</v>
      </c>
      <c r="Q342" s="1">
        <f t="shared" si="10"/>
        <v>44805</v>
      </c>
      <c r="R342" t="str">
        <f t="shared" si="11"/>
        <v>2022-09-01</v>
      </c>
    </row>
    <row r="343" spans="1:18">
      <c r="A343" s="4">
        <v>10.22</v>
      </c>
      <c r="B343" s="5">
        <v>32967</v>
      </c>
      <c r="C343" s="5">
        <v>1.01</v>
      </c>
      <c r="D343" s="5">
        <v>-4.1</v>
      </c>
      <c r="E343" s="5">
        <v>12729</v>
      </c>
      <c r="F343" s="5">
        <v>5.01</v>
      </c>
      <c r="G343" s="5">
        <v>17.52</v>
      </c>
      <c r="H343" s="5">
        <v>20238</v>
      </c>
      <c r="I343" s="5">
        <v>-1.36</v>
      </c>
      <c r="J343" s="5">
        <v>-14.05</v>
      </c>
      <c r="K343" s="5">
        <v>30992</v>
      </c>
      <c r="L343" s="5">
        <v>0.71</v>
      </c>
      <c r="M343" s="5">
        <v>-4.15</v>
      </c>
      <c r="N343" s="5">
        <v>52456</v>
      </c>
      <c r="O343" s="5">
        <v>1.71</v>
      </c>
      <c r="P343" s="5">
        <v>-5.18</v>
      </c>
      <c r="Q343" s="1">
        <f t="shared" si="10"/>
        <v>44835</v>
      </c>
      <c r="R343" t="str">
        <f t="shared" si="11"/>
        <v>2022-10-01</v>
      </c>
    </row>
    <row r="344" spans="1:18">
      <c r="A344" s="4">
        <v>11.22</v>
      </c>
      <c r="B344" s="6">
        <v>34018</v>
      </c>
      <c r="C344" s="6">
        <v>3.19</v>
      </c>
      <c r="D344" s="6">
        <v>-1.05</v>
      </c>
      <c r="E344" s="6">
        <v>12500</v>
      </c>
      <c r="F344" s="6">
        <v>-1.8</v>
      </c>
      <c r="G344" s="6">
        <v>15.4</v>
      </c>
      <c r="H344" s="6">
        <v>21518</v>
      </c>
      <c r="I344" s="6">
        <v>6.33</v>
      </c>
      <c r="J344" s="6">
        <v>-8.61</v>
      </c>
      <c r="K344" s="6">
        <v>32096</v>
      </c>
      <c r="L344" s="6">
        <v>3.56</v>
      </c>
      <c r="M344" s="6">
        <v>-0.73</v>
      </c>
      <c r="N344" s="6">
        <v>55827</v>
      </c>
      <c r="O344" s="6">
        <v>6.43</v>
      </c>
      <c r="P344" s="6">
        <v>0.91</v>
      </c>
      <c r="Q344" s="1">
        <f t="shared" si="10"/>
        <v>44866</v>
      </c>
      <c r="R344" t="str">
        <f t="shared" si="11"/>
        <v>2022-11-01</v>
      </c>
    </row>
    <row r="345" spans="1:18">
      <c r="A345" s="4">
        <v>12.22</v>
      </c>
      <c r="B345" s="5">
        <v>35076</v>
      </c>
      <c r="C345" s="5">
        <v>3.11</v>
      </c>
      <c r="D345" s="5">
        <v>2.03</v>
      </c>
      <c r="E345" s="5">
        <v>14585</v>
      </c>
      <c r="F345" s="5">
        <v>16.68</v>
      </c>
      <c r="G345" s="5">
        <v>34.65</v>
      </c>
      <c r="H345" s="5">
        <v>20491</v>
      </c>
      <c r="I345" s="5">
        <v>-4.77</v>
      </c>
      <c r="J345" s="5">
        <v>-12.97</v>
      </c>
      <c r="K345" s="5">
        <v>33006</v>
      </c>
      <c r="L345" s="5">
        <v>2.84</v>
      </c>
      <c r="M345" s="5">
        <v>2.08</v>
      </c>
      <c r="N345" s="5">
        <v>55739</v>
      </c>
      <c r="O345" s="5">
        <v>-0.16</v>
      </c>
      <c r="P345" s="5">
        <v>0.75</v>
      </c>
      <c r="Q345" s="1">
        <f t="shared" si="10"/>
        <v>44896</v>
      </c>
      <c r="R345" t="str">
        <f t="shared" si="11"/>
        <v>2022-12-01</v>
      </c>
    </row>
    <row r="346" ht="21" spans="1:18">
      <c r="A346" s="4" t="s">
        <v>263</v>
      </c>
      <c r="B346" s="6">
        <v>36781</v>
      </c>
      <c r="C346" s="6">
        <v>4.86</v>
      </c>
      <c r="D346" s="6">
        <v>4.86</v>
      </c>
      <c r="E346" s="6">
        <v>14999</v>
      </c>
      <c r="F346" s="6">
        <v>2.84</v>
      </c>
      <c r="G346" s="6">
        <v>2.84</v>
      </c>
      <c r="H346" s="6">
        <v>21782</v>
      </c>
      <c r="I346" s="6">
        <v>6.3</v>
      </c>
      <c r="J346" s="6">
        <v>6.3</v>
      </c>
      <c r="K346" s="6">
        <v>34672</v>
      </c>
      <c r="L346" s="6">
        <v>5.05</v>
      </c>
      <c r="M346" s="6">
        <v>5.05</v>
      </c>
      <c r="N346" s="6">
        <v>57643</v>
      </c>
      <c r="O346" s="6">
        <v>3.41</v>
      </c>
      <c r="P346" s="6">
        <v>3.41</v>
      </c>
      <c r="Q346" s="1">
        <f t="shared" si="10"/>
        <v>44927</v>
      </c>
      <c r="R346" t="str">
        <f t="shared" si="11"/>
        <v>2023-01-01</v>
      </c>
    </row>
    <row r="347" ht="21" spans="1:18">
      <c r="A347" s="4" t="s">
        <v>264</v>
      </c>
      <c r="B347" s="5">
        <v>34513</v>
      </c>
      <c r="C347" s="5">
        <v>-6.17</v>
      </c>
      <c r="D347" s="5">
        <v>-1.61</v>
      </c>
      <c r="E347" s="5">
        <v>14580</v>
      </c>
      <c r="F347" s="5">
        <v>-2.8</v>
      </c>
      <c r="G347" s="5">
        <v>-0.03</v>
      </c>
      <c r="H347" s="5">
        <v>19933</v>
      </c>
      <c r="I347" s="5">
        <v>-8.49</v>
      </c>
      <c r="J347" s="5">
        <v>-2.72</v>
      </c>
      <c r="K347" s="5">
        <v>32574</v>
      </c>
      <c r="L347" s="5">
        <v>-6.05</v>
      </c>
      <c r="M347" s="5">
        <v>-1.31</v>
      </c>
      <c r="N347" s="5">
        <v>57186</v>
      </c>
      <c r="O347" s="5">
        <v>-0.79</v>
      </c>
      <c r="P347" s="5">
        <v>2.59</v>
      </c>
      <c r="Q347" s="1">
        <f t="shared" si="10"/>
        <v>44958</v>
      </c>
      <c r="R347" t="str">
        <f t="shared" si="11"/>
        <v>2023-02-01</v>
      </c>
    </row>
    <row r="348" ht="21" spans="1:18">
      <c r="A348" s="4" t="s">
        <v>265</v>
      </c>
      <c r="B348" s="6">
        <v>36215</v>
      </c>
      <c r="C348" s="6">
        <v>4.93</v>
      </c>
      <c r="D348" s="6">
        <v>3.25</v>
      </c>
      <c r="E348" s="6">
        <v>15091</v>
      </c>
      <c r="F348" s="6">
        <v>3.51</v>
      </c>
      <c r="G348" s="6">
        <v>3.47</v>
      </c>
      <c r="H348" s="6">
        <v>21124</v>
      </c>
      <c r="I348" s="6">
        <v>5.97</v>
      </c>
      <c r="J348" s="6">
        <v>3.09</v>
      </c>
      <c r="K348" s="6">
        <v>34227</v>
      </c>
      <c r="L348" s="6">
        <v>5.08</v>
      </c>
      <c r="M348" s="6">
        <v>3.7</v>
      </c>
      <c r="N348" s="6">
        <v>58426</v>
      </c>
      <c r="O348" s="6">
        <v>2.17</v>
      </c>
      <c r="P348" s="6">
        <v>4.82</v>
      </c>
      <c r="Q348" s="1">
        <f t="shared" si="10"/>
        <v>44986</v>
      </c>
      <c r="R348" t="str">
        <f t="shared" si="11"/>
        <v>2023-03-01</v>
      </c>
    </row>
    <row r="349" ht="21" spans="1:18">
      <c r="A349" s="4" t="s">
        <v>266</v>
      </c>
      <c r="B349" s="5">
        <v>37606</v>
      </c>
      <c r="C349" s="5">
        <v>3.84</v>
      </c>
      <c r="D349" s="5">
        <v>7.21</v>
      </c>
      <c r="E349" s="5">
        <v>17269</v>
      </c>
      <c r="F349" s="5">
        <v>14.43</v>
      </c>
      <c r="G349" s="5">
        <v>18.4</v>
      </c>
      <c r="H349" s="5">
        <v>20337</v>
      </c>
      <c r="I349" s="5">
        <v>-3.73</v>
      </c>
      <c r="J349" s="5">
        <v>-0.75</v>
      </c>
      <c r="K349" s="5">
        <v>35150</v>
      </c>
      <c r="L349" s="5">
        <v>2.69</v>
      </c>
      <c r="M349" s="5">
        <v>6.49</v>
      </c>
      <c r="N349" s="5">
        <v>58775</v>
      </c>
      <c r="O349" s="5">
        <v>0.59</v>
      </c>
      <c r="P349" s="5">
        <v>5.45</v>
      </c>
      <c r="Q349" s="1">
        <f t="shared" si="10"/>
        <v>45017</v>
      </c>
      <c r="R349" t="str">
        <f t="shared" si="11"/>
        <v>2023-04-01</v>
      </c>
    </row>
    <row r="350" ht="21" spans="1:18">
      <c r="A350" s="4" t="s">
        <v>267</v>
      </c>
      <c r="B350" s="6">
        <v>35445</v>
      </c>
      <c r="C350" s="6">
        <v>-5.75</v>
      </c>
      <c r="D350" s="6">
        <v>1.05</v>
      </c>
      <c r="E350" s="6">
        <v>15499</v>
      </c>
      <c r="F350" s="6">
        <v>-10.25</v>
      </c>
      <c r="G350" s="6">
        <v>6.27</v>
      </c>
      <c r="H350" s="6">
        <v>19946</v>
      </c>
      <c r="I350" s="6">
        <v>-1.92</v>
      </c>
      <c r="J350" s="6">
        <v>-2.66</v>
      </c>
      <c r="K350" s="6">
        <v>33499</v>
      </c>
      <c r="L350" s="6">
        <v>-4.7</v>
      </c>
      <c r="M350" s="6">
        <v>1.49</v>
      </c>
      <c r="N350" s="6">
        <v>59181</v>
      </c>
      <c r="O350" s="6">
        <v>0.69</v>
      </c>
      <c r="P350" s="6">
        <v>6.17</v>
      </c>
      <c r="Q350" s="1">
        <f t="shared" si="10"/>
        <v>45047</v>
      </c>
      <c r="R350" t="str">
        <f t="shared" si="11"/>
        <v>2023-05-01</v>
      </c>
    </row>
    <row r="351" ht="21" spans="1:18">
      <c r="A351" s="4" t="s">
        <v>268</v>
      </c>
      <c r="B351" s="5">
        <v>34457</v>
      </c>
      <c r="C351" s="5">
        <v>-2.79</v>
      </c>
      <c r="D351" s="5">
        <v>-1.77</v>
      </c>
      <c r="E351" s="5">
        <v>15268</v>
      </c>
      <c r="F351" s="5">
        <v>-1.49</v>
      </c>
      <c r="G351" s="5">
        <v>4.69</v>
      </c>
      <c r="H351" s="5">
        <v>19188</v>
      </c>
      <c r="I351" s="5">
        <v>-3.8</v>
      </c>
      <c r="J351" s="5">
        <v>-6.36</v>
      </c>
      <c r="K351" s="5">
        <v>32189</v>
      </c>
      <c r="L351" s="5">
        <v>-3.91</v>
      </c>
      <c r="M351" s="5">
        <v>-2.48</v>
      </c>
      <c r="N351" s="5">
        <v>59789</v>
      </c>
      <c r="O351" s="5">
        <v>0.96</v>
      </c>
      <c r="P351" s="5">
        <v>7.27</v>
      </c>
      <c r="Q351" s="1">
        <f t="shared" si="10"/>
        <v>45078</v>
      </c>
      <c r="R351" t="str">
        <f t="shared" si="11"/>
        <v>2023-06-01</v>
      </c>
    </row>
    <row r="352" ht="21" spans="1:18">
      <c r="A352" s="4" t="s">
        <v>269</v>
      </c>
      <c r="B352" s="6">
        <v>34211</v>
      </c>
      <c r="C352" s="6">
        <v>-0.71</v>
      </c>
      <c r="D352" s="6">
        <v>-2.46</v>
      </c>
      <c r="E352" s="6">
        <v>14742</v>
      </c>
      <c r="F352" s="6">
        <v>-3.45</v>
      </c>
      <c r="G352" s="6">
        <v>1.08</v>
      </c>
      <c r="H352" s="6">
        <v>19469</v>
      </c>
      <c r="I352" s="6">
        <v>1.46</v>
      </c>
      <c r="J352" s="6">
        <v>-4.99</v>
      </c>
      <c r="K352" s="6">
        <v>32249</v>
      </c>
      <c r="L352" s="6">
        <v>0.19</v>
      </c>
      <c r="M352" s="6">
        <v>-2.3</v>
      </c>
      <c r="N352" s="6">
        <v>60209</v>
      </c>
      <c r="O352" s="6">
        <v>0.7</v>
      </c>
      <c r="P352" s="6">
        <v>8.02</v>
      </c>
      <c r="Q352" s="1">
        <f t="shared" si="10"/>
        <v>45108</v>
      </c>
      <c r="R352" t="str">
        <f t="shared" si="11"/>
        <v>2023-07-01</v>
      </c>
    </row>
    <row r="353" ht="21" spans="1:18">
      <c r="A353" s="4" t="s">
        <v>270</v>
      </c>
      <c r="B353" s="5">
        <v>33581</v>
      </c>
      <c r="C353" s="5">
        <v>-1.84</v>
      </c>
      <c r="D353" s="5">
        <v>-4.26</v>
      </c>
      <c r="E353" s="5">
        <v>14195</v>
      </c>
      <c r="F353" s="5">
        <v>-3.71</v>
      </c>
      <c r="G353" s="5">
        <v>-2.67</v>
      </c>
      <c r="H353" s="5">
        <v>19386</v>
      </c>
      <c r="I353" s="5">
        <v>-0.43</v>
      </c>
      <c r="J353" s="5">
        <v>-5.4</v>
      </c>
      <c r="K353" s="5">
        <v>31384</v>
      </c>
      <c r="L353" s="5">
        <v>-2.68</v>
      </c>
      <c r="M353" s="5">
        <v>-4.91</v>
      </c>
      <c r="N353" s="5">
        <v>59894</v>
      </c>
      <c r="O353" s="5">
        <v>-0.52</v>
      </c>
      <c r="P353" s="5">
        <v>7.45</v>
      </c>
      <c r="Q353" s="1">
        <f t="shared" si="10"/>
        <v>45139</v>
      </c>
      <c r="R353" t="str">
        <f t="shared" si="11"/>
        <v>2023-08-01</v>
      </c>
    </row>
    <row r="354" ht="21" spans="1:18">
      <c r="A354" s="4" t="s">
        <v>271</v>
      </c>
      <c r="B354" s="6">
        <v>31883</v>
      </c>
      <c r="C354" s="6">
        <v>-5.05</v>
      </c>
      <c r="D354" s="6">
        <v>-9.1</v>
      </c>
      <c r="E354" s="6">
        <v>13267</v>
      </c>
      <c r="F354" s="6">
        <v>-6.54</v>
      </c>
      <c r="G354" s="6">
        <v>-9.04</v>
      </c>
      <c r="H354" s="6">
        <v>18616</v>
      </c>
      <c r="I354" s="6">
        <v>-3.97</v>
      </c>
      <c r="J354" s="6">
        <v>-9.15</v>
      </c>
      <c r="K354" s="6">
        <v>29967</v>
      </c>
      <c r="L354" s="6">
        <v>-4.52</v>
      </c>
      <c r="M354" s="6">
        <v>-9.21</v>
      </c>
      <c r="N354" s="6">
        <v>57858</v>
      </c>
      <c r="O354" s="6">
        <v>-3.4</v>
      </c>
      <c r="P354" s="6">
        <v>3.8</v>
      </c>
      <c r="Q354" s="1">
        <f t="shared" si="10"/>
        <v>45170</v>
      </c>
      <c r="R354" t="str">
        <f t="shared" si="11"/>
        <v>2023-09-01</v>
      </c>
    </row>
    <row r="355" spans="1:18">
      <c r="A355" s="4">
        <v>10.23</v>
      </c>
      <c r="B355" s="5">
        <v>33958</v>
      </c>
      <c r="C355" s="5">
        <v>6.51</v>
      </c>
      <c r="D355" s="5">
        <v>-3.19</v>
      </c>
      <c r="E355" s="5">
        <v>14193</v>
      </c>
      <c r="F355" s="5">
        <v>6.98</v>
      </c>
      <c r="G355" s="5">
        <v>-2.69</v>
      </c>
      <c r="H355" s="5">
        <v>19765</v>
      </c>
      <c r="I355" s="5">
        <v>6.17</v>
      </c>
      <c r="J355" s="5">
        <v>-3.55</v>
      </c>
      <c r="K355" s="5">
        <v>32041</v>
      </c>
      <c r="L355" s="5">
        <v>6.92</v>
      </c>
      <c r="M355" s="5">
        <v>-2.93</v>
      </c>
      <c r="N355" s="5">
        <v>56368</v>
      </c>
      <c r="O355" s="5">
        <v>-2.58</v>
      </c>
      <c r="P355" s="5">
        <v>1.13</v>
      </c>
      <c r="Q355" s="1">
        <f t="shared" si="10"/>
        <v>45200</v>
      </c>
      <c r="R355" t="str">
        <f t="shared" si="11"/>
        <v>2023-10-01</v>
      </c>
    </row>
    <row r="356" spans="1:18">
      <c r="A356" s="4">
        <v>11.23</v>
      </c>
      <c r="B356" s="6">
        <v>34197</v>
      </c>
      <c r="C356" s="6">
        <v>0.7</v>
      </c>
      <c r="D356" s="6">
        <v>-2.51</v>
      </c>
      <c r="E356" s="6">
        <v>14261</v>
      </c>
      <c r="F356" s="6">
        <v>0.48</v>
      </c>
      <c r="G356" s="6">
        <v>-2.22</v>
      </c>
      <c r="H356" s="6">
        <v>19936</v>
      </c>
      <c r="I356" s="6">
        <v>0.87</v>
      </c>
      <c r="J356" s="6">
        <v>-2.71</v>
      </c>
      <c r="K356" s="6">
        <v>32244</v>
      </c>
      <c r="L356" s="6">
        <v>0.64</v>
      </c>
      <c r="M356" s="6">
        <v>-2.31</v>
      </c>
      <c r="N356" s="6">
        <v>58642</v>
      </c>
      <c r="O356" s="6">
        <v>4.04</v>
      </c>
      <c r="P356" s="6">
        <v>5.21</v>
      </c>
      <c r="Q356" s="1">
        <f t="shared" si="10"/>
        <v>45231</v>
      </c>
      <c r="R356" t="str">
        <f t="shared" si="11"/>
        <v>2023-11-01</v>
      </c>
    </row>
    <row r="357" spans="1:18">
      <c r="A357" s="4">
        <v>12.23</v>
      </c>
      <c r="B357" s="5">
        <v>35944</v>
      </c>
      <c r="C357" s="5">
        <v>5.11</v>
      </c>
      <c r="D357" s="5">
        <v>2.47</v>
      </c>
      <c r="E357" s="5">
        <v>16434</v>
      </c>
      <c r="F357" s="5">
        <v>15.23</v>
      </c>
      <c r="G357" s="5">
        <v>12.68</v>
      </c>
      <c r="H357" s="5">
        <v>19510</v>
      </c>
      <c r="I357" s="5">
        <v>-2.14</v>
      </c>
      <c r="J357" s="5">
        <v>-4.79</v>
      </c>
      <c r="K357" s="5">
        <v>33880</v>
      </c>
      <c r="L357" s="5">
        <v>5.07</v>
      </c>
      <c r="M357" s="5">
        <v>2.65</v>
      </c>
      <c r="N357" s="5">
        <v>60024</v>
      </c>
      <c r="O357" s="5">
        <v>2.36</v>
      </c>
      <c r="P357" s="5">
        <v>7.69</v>
      </c>
      <c r="Q357" s="1">
        <f t="shared" si="10"/>
        <v>45261</v>
      </c>
      <c r="R357" t="str">
        <f t="shared" si="11"/>
        <v>2023-12-01</v>
      </c>
    </row>
    <row r="358" ht="21" spans="1:18">
      <c r="A358" s="4" t="s">
        <v>272</v>
      </c>
      <c r="B358" s="6">
        <v>36679</v>
      </c>
      <c r="C358" s="6">
        <v>2.04</v>
      </c>
      <c r="D358" s="6">
        <v>2.04</v>
      </c>
      <c r="E358" s="6">
        <v>16997</v>
      </c>
      <c r="F358" s="6">
        <v>3.43</v>
      </c>
      <c r="G358" s="6">
        <v>3.43</v>
      </c>
      <c r="H358" s="6">
        <v>19682</v>
      </c>
      <c r="I358" s="6">
        <v>0.88</v>
      </c>
      <c r="J358" s="6">
        <v>0.88</v>
      </c>
      <c r="K358" s="6">
        <v>34680</v>
      </c>
      <c r="L358" s="6">
        <v>2.36</v>
      </c>
      <c r="M358" s="6">
        <v>2.36</v>
      </c>
      <c r="N358" s="6">
        <v>59493</v>
      </c>
      <c r="O358" s="6">
        <v>-0.89</v>
      </c>
      <c r="P358" s="6">
        <v>-0.89</v>
      </c>
      <c r="Q358" s="1">
        <f t="shared" si="10"/>
        <v>45292</v>
      </c>
      <c r="R358" t="str">
        <f t="shared" si="11"/>
        <v>2024-01-01</v>
      </c>
    </row>
    <row r="359" ht="21" spans="1:18">
      <c r="A359" s="4" t="s">
        <v>273</v>
      </c>
      <c r="B359" s="5">
        <v>36130</v>
      </c>
      <c r="C359" s="5">
        <v>-1.5</v>
      </c>
      <c r="D359" s="5">
        <v>0.52</v>
      </c>
      <c r="E359" s="5">
        <v>16121</v>
      </c>
      <c r="F359" s="5">
        <v>-5.16</v>
      </c>
      <c r="G359" s="5">
        <v>-1.91</v>
      </c>
      <c r="H359" s="5">
        <v>20010</v>
      </c>
      <c r="I359" s="5">
        <v>1.67</v>
      </c>
      <c r="J359" s="5">
        <v>2.56</v>
      </c>
      <c r="K359" s="5">
        <v>34157</v>
      </c>
      <c r="L359" s="5">
        <v>-1.51</v>
      </c>
      <c r="M359" s="5">
        <v>0.82</v>
      </c>
      <c r="N359" s="5">
        <v>60169</v>
      </c>
      <c r="O359" s="5">
        <v>1.14</v>
      </c>
      <c r="P359" s="5">
        <v>0.24</v>
      </c>
      <c r="Q359" s="1">
        <f t="shared" si="10"/>
        <v>45323</v>
      </c>
      <c r="R359" t="str">
        <f t="shared" si="11"/>
        <v>2024-02-01</v>
      </c>
    </row>
    <row r="360" ht="21" spans="1:18">
      <c r="A360" s="4" t="s">
        <v>274</v>
      </c>
      <c r="B360" s="6">
        <v>37847</v>
      </c>
      <c r="C360" s="6">
        <v>4.75</v>
      </c>
      <c r="D360" s="6">
        <v>5.29</v>
      </c>
      <c r="E360" s="6">
        <v>15806</v>
      </c>
      <c r="F360" s="6">
        <v>-1.95</v>
      </c>
      <c r="G360" s="6">
        <v>-3.82</v>
      </c>
      <c r="H360" s="6">
        <v>22041</v>
      </c>
      <c r="I360" s="6">
        <v>10.15</v>
      </c>
      <c r="J360" s="6">
        <v>12.97</v>
      </c>
      <c r="K360" s="6">
        <v>35913</v>
      </c>
      <c r="L360" s="6">
        <v>5.14</v>
      </c>
      <c r="M360" s="6">
        <v>6</v>
      </c>
      <c r="N360" s="6">
        <v>60788</v>
      </c>
      <c r="O360" s="6">
        <v>1.03</v>
      </c>
      <c r="P360" s="6">
        <v>1.27</v>
      </c>
      <c r="Q360" s="1">
        <f t="shared" si="10"/>
        <v>45352</v>
      </c>
      <c r="R360" t="str">
        <f t="shared" si="11"/>
        <v>2024-03-01</v>
      </c>
    </row>
    <row r="361" ht="21" spans="1:18">
      <c r="A361" s="4" t="s">
        <v>275</v>
      </c>
      <c r="B361" s="5">
        <v>39851</v>
      </c>
      <c r="C361" s="5">
        <v>5.29</v>
      </c>
      <c r="D361" s="5">
        <v>10.81</v>
      </c>
      <c r="E361" s="5">
        <v>16293</v>
      </c>
      <c r="F361" s="5">
        <v>3.08</v>
      </c>
      <c r="G361" s="5">
        <v>-0.98</v>
      </c>
      <c r="H361" s="5">
        <v>23558</v>
      </c>
      <c r="I361" s="5">
        <v>6.88</v>
      </c>
      <c r="J361" s="5">
        <v>20.75</v>
      </c>
      <c r="K361" s="5">
        <v>37924</v>
      </c>
      <c r="L361" s="5">
        <v>5.6</v>
      </c>
      <c r="M361" s="5">
        <v>11.87</v>
      </c>
      <c r="N361" s="5">
        <v>59075</v>
      </c>
      <c r="O361" s="5">
        <v>-2.82</v>
      </c>
      <c r="P361" s="5">
        <v>-1.58</v>
      </c>
      <c r="Q361" s="1">
        <f t="shared" si="10"/>
        <v>45383</v>
      </c>
      <c r="R361" t="str">
        <f t="shared" si="11"/>
        <v>2024-04-01</v>
      </c>
    </row>
    <row r="362" ht="21" spans="1:18">
      <c r="A362" s="4" t="s">
        <v>276</v>
      </c>
      <c r="B362" s="6">
        <v>39817</v>
      </c>
      <c r="C362" s="6">
        <v>-0.08</v>
      </c>
      <c r="D362" s="6">
        <v>10.78</v>
      </c>
      <c r="E362" s="6">
        <v>16835</v>
      </c>
      <c r="F362" s="6">
        <v>3.33</v>
      </c>
      <c r="G362" s="6">
        <v>2.44</v>
      </c>
      <c r="H362" s="6">
        <v>22982</v>
      </c>
      <c r="I362" s="6">
        <v>-2.45</v>
      </c>
      <c r="J362" s="6">
        <v>17.8</v>
      </c>
      <c r="K362" s="6">
        <v>37883</v>
      </c>
      <c r="L362" s="6">
        <v>-0.11</v>
      </c>
      <c r="M362" s="6">
        <v>11.82</v>
      </c>
      <c r="N362" s="6">
        <v>61045</v>
      </c>
      <c r="O362" s="6">
        <v>3.33</v>
      </c>
      <c r="P362" s="6">
        <v>1.7</v>
      </c>
      <c r="Q362" s="1">
        <f t="shared" si="10"/>
        <v>45413</v>
      </c>
      <c r="R362" t="str">
        <f t="shared" si="11"/>
        <v>2024-05-01</v>
      </c>
    </row>
    <row r="363" ht="21" spans="1:18">
      <c r="A363" s="4" t="s">
        <v>277</v>
      </c>
      <c r="B363" s="5">
        <v>39933</v>
      </c>
      <c r="C363" s="5">
        <v>0.29</v>
      </c>
      <c r="D363" s="5">
        <v>11.1</v>
      </c>
      <c r="E363" s="5">
        <v>17572</v>
      </c>
      <c r="F363" s="5">
        <v>4.38</v>
      </c>
      <c r="G363" s="5">
        <v>6.93</v>
      </c>
      <c r="H363" s="5">
        <v>22360</v>
      </c>
      <c r="I363" s="5">
        <v>-2.71</v>
      </c>
      <c r="J363" s="5">
        <v>14.61</v>
      </c>
      <c r="K363" s="5">
        <v>37905</v>
      </c>
      <c r="L363" s="5">
        <v>0.06</v>
      </c>
      <c r="M363" s="5">
        <v>11.88</v>
      </c>
      <c r="N363" s="5">
        <v>61490</v>
      </c>
      <c r="O363" s="5">
        <v>0.73</v>
      </c>
      <c r="P363" s="5">
        <v>2.44</v>
      </c>
      <c r="Q363" s="1">
        <f t="shared" si="10"/>
        <v>45444</v>
      </c>
      <c r="R363" t="str">
        <f t="shared" si="11"/>
        <v>2024-06-01</v>
      </c>
    </row>
    <row r="364" ht="21" spans="1:18">
      <c r="A364" s="4" t="s">
        <v>278</v>
      </c>
      <c r="B364" s="6">
        <v>41864</v>
      </c>
      <c r="C364" s="6">
        <v>4.84</v>
      </c>
      <c r="D364" s="6">
        <v>16.47</v>
      </c>
      <c r="E364" s="6">
        <v>18921</v>
      </c>
      <c r="F364" s="6">
        <v>7.67</v>
      </c>
      <c r="G364" s="6">
        <v>15.13</v>
      </c>
      <c r="H364" s="6">
        <v>22943</v>
      </c>
      <c r="I364" s="6">
        <v>2.61</v>
      </c>
      <c r="J364" s="6">
        <v>17.6</v>
      </c>
      <c r="K364" s="6">
        <v>39740</v>
      </c>
      <c r="L364" s="6">
        <v>4.84</v>
      </c>
      <c r="M364" s="6">
        <v>17.3</v>
      </c>
      <c r="N364" s="6">
        <v>61138</v>
      </c>
      <c r="O364" s="6">
        <v>-0.57</v>
      </c>
      <c r="P364" s="6">
        <v>1.85</v>
      </c>
      <c r="Q364" s="1">
        <f t="shared" si="10"/>
        <v>45474</v>
      </c>
      <c r="R364" t="str">
        <f t="shared" si="11"/>
        <v>2024-07-01</v>
      </c>
    </row>
    <row r="365" ht="21" spans="1:18">
      <c r="A365" s="4" t="s">
        <v>279</v>
      </c>
      <c r="B365" s="5">
        <v>42721</v>
      </c>
      <c r="C365" s="5">
        <v>2.05</v>
      </c>
      <c r="D365" s="5">
        <v>18.85</v>
      </c>
      <c r="E365" s="5">
        <v>19274</v>
      </c>
      <c r="F365" s="5">
        <v>1.86</v>
      </c>
      <c r="G365" s="5">
        <v>17.28</v>
      </c>
      <c r="H365" s="5">
        <v>23447</v>
      </c>
      <c r="I365" s="5">
        <v>2.2</v>
      </c>
      <c r="J365" s="5">
        <v>20.18</v>
      </c>
      <c r="K365" s="5">
        <v>40584</v>
      </c>
      <c r="L365" s="5">
        <v>2.12</v>
      </c>
      <c r="M365" s="5">
        <v>19.78</v>
      </c>
      <c r="N365" s="5">
        <v>62548</v>
      </c>
      <c r="O365" s="5">
        <v>2.31</v>
      </c>
      <c r="P365" s="5">
        <v>4.21</v>
      </c>
      <c r="Q365" s="1">
        <f t="shared" si="10"/>
        <v>45505</v>
      </c>
      <c r="R365" t="str">
        <f t="shared" si="11"/>
        <v>2024-08-01</v>
      </c>
    </row>
    <row r="366" ht="21" spans="1:18">
      <c r="A366" s="4" t="s">
        <v>280</v>
      </c>
      <c r="B366" s="6">
        <v>44591</v>
      </c>
      <c r="C366" s="6">
        <v>4.38</v>
      </c>
      <c r="D366" s="6">
        <v>24.06</v>
      </c>
      <c r="E366" s="6">
        <v>20227</v>
      </c>
      <c r="F366" s="6">
        <v>4.95</v>
      </c>
      <c r="G366" s="6">
        <v>23.08</v>
      </c>
      <c r="H366" s="6">
        <v>24364</v>
      </c>
      <c r="I366" s="6">
        <v>3.91</v>
      </c>
      <c r="J366" s="6">
        <v>24.88</v>
      </c>
      <c r="K366" s="6">
        <v>42521</v>
      </c>
      <c r="L366" s="6">
        <v>4.77</v>
      </c>
      <c r="M366" s="6">
        <v>25.5</v>
      </c>
      <c r="N366" s="6">
        <v>62611</v>
      </c>
      <c r="O366" s="6">
        <v>0.1</v>
      </c>
      <c r="P366" s="6">
        <v>4.31</v>
      </c>
      <c r="Q366" s="1">
        <f t="shared" si="10"/>
        <v>45536</v>
      </c>
      <c r="R366" t="str">
        <f t="shared" si="11"/>
        <v>2024-09-01</v>
      </c>
    </row>
    <row r="367" spans="1:18">
      <c r="A367" s="4">
        <v>10.24</v>
      </c>
      <c r="B367" s="5">
        <v>45851</v>
      </c>
      <c r="C367" s="5">
        <v>2.83</v>
      </c>
      <c r="D367" s="5">
        <v>27.56</v>
      </c>
      <c r="E367" s="5">
        <v>19924</v>
      </c>
      <c r="F367" s="5">
        <v>-1.5</v>
      </c>
      <c r="G367" s="5">
        <v>21.23</v>
      </c>
      <c r="H367" s="5">
        <v>25928</v>
      </c>
      <c r="I367" s="5">
        <v>6.42</v>
      </c>
      <c r="J367" s="5">
        <v>32.89</v>
      </c>
      <c r="K367" s="5">
        <v>43834</v>
      </c>
      <c r="L367" s="5">
        <v>3.09</v>
      </c>
      <c r="M367" s="5">
        <v>29.38</v>
      </c>
      <c r="N367" s="5">
        <v>60582</v>
      </c>
      <c r="O367" s="5">
        <v>-3.24</v>
      </c>
      <c r="P367" s="5">
        <v>0.93</v>
      </c>
      <c r="Q367" s="1">
        <f t="shared" si="10"/>
        <v>45566</v>
      </c>
      <c r="R367" t="str">
        <f t="shared" si="11"/>
        <v>2024-10-01</v>
      </c>
    </row>
    <row r="368" spans="1:18">
      <c r="A368" s="4">
        <v>11.24</v>
      </c>
      <c r="B368" s="6">
        <v>44219</v>
      </c>
      <c r="C368" s="6">
        <v>-3.56</v>
      </c>
      <c r="D368" s="6">
        <v>23.02</v>
      </c>
      <c r="E368" s="6">
        <v>18931</v>
      </c>
      <c r="F368" s="6">
        <v>-4.98</v>
      </c>
      <c r="G368" s="6">
        <v>15.2</v>
      </c>
      <c r="H368" s="6">
        <v>25288</v>
      </c>
      <c r="I368" s="6">
        <v>-2.47</v>
      </c>
      <c r="J368" s="6">
        <v>29.62</v>
      </c>
      <c r="K368" s="6">
        <v>42185</v>
      </c>
      <c r="L368" s="6">
        <v>-3.76</v>
      </c>
      <c r="M368" s="6">
        <v>24.51</v>
      </c>
      <c r="N368" s="6">
        <v>60885</v>
      </c>
      <c r="O368" s="6">
        <v>0.5</v>
      </c>
      <c r="P368" s="6">
        <v>1.43</v>
      </c>
      <c r="Q368" s="1">
        <f t="shared" si="10"/>
        <v>45597</v>
      </c>
      <c r="R368" t="str">
        <f t="shared" si="11"/>
        <v>2024-11-01</v>
      </c>
    </row>
    <row r="369" spans="1:18">
      <c r="A369" s="4">
        <v>12.24</v>
      </c>
      <c r="B369" s="5">
        <v>45823</v>
      </c>
      <c r="C369" s="5">
        <v>3.63</v>
      </c>
      <c r="D369" s="5">
        <v>27.49</v>
      </c>
      <c r="E369" s="5">
        <v>21980</v>
      </c>
      <c r="F369" s="5">
        <v>16.1</v>
      </c>
      <c r="G369" s="5">
        <v>33.75</v>
      </c>
      <c r="H369" s="5">
        <v>23844</v>
      </c>
      <c r="I369" s="5">
        <v>-5.71</v>
      </c>
      <c r="J369" s="5">
        <v>22.21</v>
      </c>
      <c r="K369" s="5">
        <v>43575</v>
      </c>
      <c r="L369" s="5">
        <v>3.3</v>
      </c>
      <c r="M369" s="5">
        <v>28.61</v>
      </c>
      <c r="N369" s="5">
        <v>58839</v>
      </c>
      <c r="O369" s="5">
        <v>-3.36</v>
      </c>
      <c r="P369" s="5">
        <v>-1.97</v>
      </c>
      <c r="Q369" s="1">
        <f t="shared" si="10"/>
        <v>45627</v>
      </c>
      <c r="R369" t="str">
        <f t="shared" si="11"/>
        <v>2024-12-01</v>
      </c>
    </row>
    <row r="370" ht="21" spans="1:18">
      <c r="A370" s="4" t="s">
        <v>281</v>
      </c>
      <c r="B370" s="6">
        <v>47188</v>
      </c>
      <c r="C370" s="6">
        <v>2.98</v>
      </c>
      <c r="D370" s="6">
        <v>2.98</v>
      </c>
      <c r="E370" s="6">
        <v>21350</v>
      </c>
      <c r="F370" s="6">
        <v>-2.87</v>
      </c>
      <c r="G370" s="6">
        <v>-2.87</v>
      </c>
      <c r="H370" s="6">
        <v>25838</v>
      </c>
      <c r="I370" s="6">
        <v>8.36</v>
      </c>
      <c r="J370" s="6">
        <v>8.36</v>
      </c>
      <c r="K370" s="6">
        <v>45039</v>
      </c>
      <c r="L370" s="6">
        <v>3.36</v>
      </c>
      <c r="M370" s="6">
        <v>3.36</v>
      </c>
      <c r="N370" s="6">
        <v>58478</v>
      </c>
      <c r="O370" s="6">
        <v>-0.61</v>
      </c>
      <c r="P370" s="6">
        <v>-0.61</v>
      </c>
      <c r="Q370" s="1">
        <f t="shared" si="10"/>
        <v>45658</v>
      </c>
      <c r="R370" t="str">
        <f t="shared" si="11"/>
        <v>2025-01-01</v>
      </c>
    </row>
    <row r="371" ht="21" spans="1:18">
      <c r="A371" s="4" t="s">
        <v>282</v>
      </c>
      <c r="B371" s="5">
        <v>47991</v>
      </c>
      <c r="C371" s="5">
        <v>1.7</v>
      </c>
      <c r="D371" s="5">
        <v>4.73</v>
      </c>
      <c r="E371" s="5">
        <v>22254</v>
      </c>
      <c r="F371" s="5">
        <v>4.23</v>
      </c>
      <c r="G371" s="5">
        <v>1.25</v>
      </c>
      <c r="H371" s="5">
        <v>25737</v>
      </c>
      <c r="I371" s="5">
        <v>-0.39</v>
      </c>
      <c r="J371" s="5">
        <v>7.94</v>
      </c>
      <c r="K371" s="5">
        <v>45927</v>
      </c>
      <c r="L371" s="5">
        <v>1.97</v>
      </c>
      <c r="M371" s="5">
        <v>5.4</v>
      </c>
      <c r="N371" s="5">
        <v>58865</v>
      </c>
      <c r="O371" s="5">
        <v>0.66</v>
      </c>
      <c r="P371" s="5">
        <v>0.04</v>
      </c>
      <c r="Q371" s="1">
        <f t="shared" si="10"/>
        <v>45689</v>
      </c>
      <c r="R371" t="str">
        <f t="shared" si="11"/>
        <v>2025-02-01</v>
      </c>
    </row>
    <row r="372" ht="21" spans="1:18">
      <c r="A372" s="4" t="s">
        <v>283</v>
      </c>
      <c r="B372" s="6">
        <v>50073</v>
      </c>
      <c r="C372" s="6">
        <v>4.34</v>
      </c>
      <c r="D372" s="6">
        <v>9.27</v>
      </c>
      <c r="E372" s="6">
        <v>20930</v>
      </c>
      <c r="F372" s="6">
        <v>-5.95</v>
      </c>
      <c r="G372" s="6">
        <v>-4.78</v>
      </c>
      <c r="H372" s="6">
        <v>29143</v>
      </c>
      <c r="I372" s="6">
        <v>13.23</v>
      </c>
      <c r="J372" s="6">
        <v>22.22</v>
      </c>
      <c r="K372" s="6">
        <v>48045</v>
      </c>
      <c r="L372" s="6">
        <v>4.61</v>
      </c>
      <c r="M372" s="6">
        <v>10.26</v>
      </c>
      <c r="N372" s="6">
        <v>57867</v>
      </c>
      <c r="O372" s="6">
        <v>-1.7</v>
      </c>
      <c r="P372" s="6">
        <v>-1.65</v>
      </c>
      <c r="Q372" s="1">
        <f t="shared" si="10"/>
        <v>45717</v>
      </c>
      <c r="R372" t="str">
        <f t="shared" si="11"/>
        <v>2025-03-01</v>
      </c>
    </row>
    <row r="373" ht="21" spans="1:18">
      <c r="A373" s="4" t="s">
        <v>284</v>
      </c>
      <c r="B373" s="5">
        <v>52398</v>
      </c>
      <c r="C373" s="5">
        <v>4.64</v>
      </c>
      <c r="D373" s="5">
        <v>14.35</v>
      </c>
      <c r="E373" s="5">
        <v>21626</v>
      </c>
      <c r="F373" s="5">
        <v>3.33</v>
      </c>
      <c r="G373" s="5">
        <v>-1.61</v>
      </c>
      <c r="H373" s="5">
        <v>30772</v>
      </c>
      <c r="I373" s="5">
        <v>5.59</v>
      </c>
      <c r="J373" s="5">
        <v>29.06</v>
      </c>
      <c r="K373" s="5">
        <v>50332</v>
      </c>
      <c r="L373" s="5">
        <v>4.76</v>
      </c>
      <c r="M373" s="5">
        <v>15.51</v>
      </c>
      <c r="N373" s="5">
        <v>58029</v>
      </c>
      <c r="O373" s="5">
        <v>0.28</v>
      </c>
      <c r="P373" s="5">
        <v>-1.38</v>
      </c>
      <c r="Q373" s="1">
        <f t="shared" si="10"/>
        <v>45748</v>
      </c>
      <c r="R373" t="str">
        <f t="shared" si="11"/>
        <v>2025-04-01</v>
      </c>
    </row>
    <row r="374" ht="21" spans="1:18">
      <c r="A374" s="4" t="s">
        <v>285</v>
      </c>
      <c r="B374" s="6">
        <v>52330</v>
      </c>
      <c r="C374" s="6">
        <v>-0.13</v>
      </c>
      <c r="D374" s="6">
        <v>14.2</v>
      </c>
      <c r="E374" s="6">
        <v>20693</v>
      </c>
      <c r="F374" s="6">
        <v>-4.32</v>
      </c>
      <c r="G374" s="6">
        <v>-5.85</v>
      </c>
      <c r="H374" s="6">
        <v>31637</v>
      </c>
      <c r="I374" s="6">
        <v>2.81</v>
      </c>
      <c r="J374" s="6">
        <v>32.69</v>
      </c>
      <c r="K374" s="6">
        <v>50220</v>
      </c>
      <c r="L374" s="6">
        <v>-0.22</v>
      </c>
      <c r="M374" s="6">
        <v>15.25</v>
      </c>
      <c r="N374" s="6">
        <v>59625</v>
      </c>
      <c r="O374" s="6">
        <v>2.75</v>
      </c>
      <c r="P374" s="6">
        <v>1.34</v>
      </c>
      <c r="Q374" s="1">
        <f t="shared" si="10"/>
        <v>45778</v>
      </c>
      <c r="R374" t="str">
        <f t="shared" si="11"/>
        <v>2025-05-01</v>
      </c>
    </row>
    <row r="375" ht="21" spans="1:18">
      <c r="A375" s="4" t="s">
        <v>286</v>
      </c>
      <c r="B375" s="5">
        <v>51817</v>
      </c>
      <c r="C375" s="5">
        <v>-0.98</v>
      </c>
      <c r="D375" s="5">
        <v>13.08</v>
      </c>
      <c r="E375" s="5">
        <v>19559</v>
      </c>
      <c r="F375" s="5">
        <v>-5.48</v>
      </c>
      <c r="G375" s="5">
        <v>-11.01</v>
      </c>
      <c r="H375" s="5">
        <v>32259</v>
      </c>
      <c r="I375" s="5">
        <v>1.96</v>
      </c>
      <c r="J375" s="5">
        <v>35.29</v>
      </c>
      <c r="K375" s="5">
        <v>49623</v>
      </c>
      <c r="L375" s="5">
        <v>-1.19</v>
      </c>
      <c r="M375" s="5">
        <v>13.88</v>
      </c>
      <c r="N375" s="5">
        <v>60260</v>
      </c>
      <c r="O375" s="5">
        <v>1.07</v>
      </c>
      <c r="P375" s="5">
        <v>2.42</v>
      </c>
      <c r="Q375" s="1">
        <f t="shared" si="10"/>
        <v>45809</v>
      </c>
      <c r="R375" t="str">
        <f t="shared" si="11"/>
        <v>2025-06-01</v>
      </c>
    </row>
    <row r="376" ht="21" spans="1:18">
      <c r="A376" s="4" t="s">
        <v>287</v>
      </c>
      <c r="B376" s="6">
        <v>52147</v>
      </c>
      <c r="C376" s="6">
        <v>0.64</v>
      </c>
      <c r="D376" s="6">
        <v>13.8</v>
      </c>
      <c r="E376" s="6">
        <v>19325</v>
      </c>
      <c r="F376" s="6">
        <v>-1.2</v>
      </c>
      <c r="G376" s="6">
        <v>-12.08</v>
      </c>
      <c r="H376" s="6">
        <v>32823</v>
      </c>
      <c r="I376" s="6">
        <v>1.75</v>
      </c>
      <c r="J376" s="6">
        <v>37.66</v>
      </c>
      <c r="K376" s="6">
        <v>50041</v>
      </c>
      <c r="L376" s="6">
        <v>0.84</v>
      </c>
      <c r="M376" s="6">
        <v>14.84</v>
      </c>
      <c r="N376" s="6">
        <v>60484</v>
      </c>
      <c r="O376" s="6">
        <v>0.37</v>
      </c>
      <c r="P376" s="6">
        <v>2.8</v>
      </c>
      <c r="Q376" s="1">
        <f t="shared" si="10"/>
        <v>45839</v>
      </c>
      <c r="R376" t="str">
        <f t="shared" si="11"/>
        <v>2025-07-01</v>
      </c>
    </row>
    <row r="377" ht="21" spans="1:18">
      <c r="A377" s="4" t="s">
        <v>288</v>
      </c>
      <c r="B377" s="5">
        <v>54316</v>
      </c>
      <c r="C377" s="5">
        <v>4.16</v>
      </c>
      <c r="D377" s="5">
        <v>18.53</v>
      </c>
      <c r="E377" s="5">
        <v>19646</v>
      </c>
      <c r="F377" s="5">
        <v>1.66</v>
      </c>
      <c r="G377" s="5">
        <v>-10.62</v>
      </c>
      <c r="H377" s="5">
        <v>34670</v>
      </c>
      <c r="I377" s="5">
        <v>5.63</v>
      </c>
      <c r="J377" s="5">
        <v>45.4</v>
      </c>
      <c r="K377" s="5">
        <v>52238</v>
      </c>
      <c r="L377" s="5">
        <v>4.39</v>
      </c>
      <c r="M377" s="5">
        <v>19.88</v>
      </c>
      <c r="N377" s="5">
        <v>61749</v>
      </c>
      <c r="O377" s="5">
        <v>2.09</v>
      </c>
      <c r="P377" s="5">
        <v>4.95</v>
      </c>
      <c r="Q377" s="1">
        <f t="shared" si="10"/>
        <v>45870</v>
      </c>
      <c r="R377" t="str">
        <f t="shared" si="11"/>
        <v>2025-08-01</v>
      </c>
    </row>
    <row r="378" ht="21" spans="1:18">
      <c r="A378" s="4" t="s">
        <v>289</v>
      </c>
      <c r="B378" s="6">
        <v>57416</v>
      </c>
      <c r="C378" s="6">
        <v>5.71</v>
      </c>
      <c r="D378" s="6">
        <v>25.3</v>
      </c>
      <c r="E378" s="6">
        <v>17719</v>
      </c>
      <c r="F378" s="6">
        <v>-9.81</v>
      </c>
      <c r="G378" s="6">
        <v>-19.39</v>
      </c>
      <c r="H378" s="6">
        <v>39698</v>
      </c>
      <c r="I378" s="6">
        <v>14.5</v>
      </c>
      <c r="J378" s="6">
        <v>66.49</v>
      </c>
      <c r="K378" s="6">
        <v>55262</v>
      </c>
      <c r="L378" s="6">
        <v>5.79</v>
      </c>
      <c r="M378" s="6">
        <v>26.82</v>
      </c>
      <c r="N378" s="6">
        <v>62739</v>
      </c>
      <c r="O378" s="6">
        <v>1.6</v>
      </c>
      <c r="P378" s="6">
        <v>6.63</v>
      </c>
      <c r="Q378" s="1">
        <f t="shared" si="10"/>
        <v>45901</v>
      </c>
      <c r="R378" t="str">
        <f t="shared" si="11"/>
        <v>2025-09-01</v>
      </c>
    </row>
    <row r="379" spans="1:18">
      <c r="A379" s="4">
        <v>10.25</v>
      </c>
      <c r="B379" s="5">
        <v>60443</v>
      </c>
      <c r="C379" s="5">
        <v>5.27</v>
      </c>
      <c r="D379" s="5">
        <v>31.9</v>
      </c>
      <c r="E379" s="5">
        <v>18506</v>
      </c>
      <c r="F379" s="5">
        <v>4.44</v>
      </c>
      <c r="G379" s="5">
        <v>-15.81</v>
      </c>
      <c r="H379" s="5">
        <v>41937</v>
      </c>
      <c r="I379" s="5">
        <v>5.64</v>
      </c>
      <c r="J379" s="5">
        <v>75.88</v>
      </c>
      <c r="K379" s="5">
        <v>57988</v>
      </c>
      <c r="L379" s="5">
        <v>4.93</v>
      </c>
      <c r="M379" s="5">
        <v>33.08</v>
      </c>
      <c r="N379" s="5">
        <v>63395</v>
      </c>
      <c r="O379" s="5">
        <v>1.05</v>
      </c>
      <c r="P379" s="5">
        <v>7.74</v>
      </c>
      <c r="Q379" s="1">
        <f t="shared" si="10"/>
        <v>45931</v>
      </c>
      <c r="R379" t="str">
        <f t="shared" si="11"/>
        <v>2025-10-01</v>
      </c>
    </row>
    <row r="380" spans="1:18">
      <c r="A380" s="4">
        <v>11.25</v>
      </c>
      <c r="B380" s="6">
        <v>61777</v>
      </c>
      <c r="C380" s="6">
        <v>2.21</v>
      </c>
      <c r="D380" s="6">
        <v>34.81</v>
      </c>
      <c r="E380" s="6">
        <v>17239</v>
      </c>
      <c r="F380" s="6">
        <v>-6.84</v>
      </c>
      <c r="G380" s="6">
        <v>-21.57</v>
      </c>
      <c r="H380" s="6">
        <v>44537</v>
      </c>
      <c r="I380" s="6">
        <v>6.2</v>
      </c>
      <c r="J380" s="6">
        <v>86.79</v>
      </c>
      <c r="K380" s="6">
        <v>59690</v>
      </c>
      <c r="L380" s="6">
        <v>2.94</v>
      </c>
      <c r="M380" s="6">
        <v>36.98</v>
      </c>
      <c r="N380" s="6">
        <v>63689</v>
      </c>
      <c r="O380" s="6">
        <v>0.46</v>
      </c>
      <c r="P380" s="6">
        <v>8.24</v>
      </c>
      <c r="Q380" s="1">
        <f t="shared" si="10"/>
        <v>45962</v>
      </c>
      <c r="R380" t="str">
        <f t="shared" si="11"/>
        <v>2025-11-01</v>
      </c>
    </row>
    <row r="381" spans="1:18">
      <c r="A381" s="4">
        <v>12.25</v>
      </c>
      <c r="B381" s="5">
        <v>65414</v>
      </c>
      <c r="C381" s="5">
        <v>5.89</v>
      </c>
      <c r="D381" s="5">
        <v>42.75</v>
      </c>
      <c r="E381" s="5">
        <v>18178</v>
      </c>
      <c r="F381" s="5">
        <v>5.45</v>
      </c>
      <c r="G381" s="5">
        <v>-17.3</v>
      </c>
      <c r="H381" s="5">
        <v>47236</v>
      </c>
      <c r="I381" s="5">
        <v>6.06</v>
      </c>
      <c r="J381" s="5">
        <v>98.11</v>
      </c>
      <c r="K381" s="5">
        <v>63134</v>
      </c>
      <c r="L381" s="5">
        <v>5.77</v>
      </c>
      <c r="M381" s="5">
        <v>44.89</v>
      </c>
      <c r="N381" s="5">
        <v>63894</v>
      </c>
      <c r="O381" s="5">
        <v>0.32</v>
      </c>
      <c r="P381" s="5">
        <v>8.59</v>
      </c>
      <c r="Q381" s="1">
        <f t="shared" si="10"/>
        <v>45992</v>
      </c>
      <c r="R381" t="str">
        <f t="shared" si="11"/>
        <v>2025-12-01</v>
      </c>
    </row>
    <row r="382" ht="21" spans="1:18">
      <c r="A382" s="4" t="s">
        <v>290</v>
      </c>
      <c r="B382" s="6">
        <v>71465</v>
      </c>
      <c r="C382" s="6">
        <v>9.25</v>
      </c>
      <c r="D382" s="6">
        <v>9.25</v>
      </c>
      <c r="E382" s="6">
        <v>16130</v>
      </c>
      <c r="F382" s="6">
        <v>-11.27</v>
      </c>
      <c r="G382" s="6">
        <v>-11.27</v>
      </c>
      <c r="H382" s="6">
        <v>55335</v>
      </c>
      <c r="I382" s="6">
        <v>17.14</v>
      </c>
      <c r="J382" s="6">
        <v>17.14</v>
      </c>
      <c r="K382" s="6">
        <v>69405</v>
      </c>
      <c r="L382" s="6">
        <v>9.93</v>
      </c>
      <c r="M382" s="6">
        <v>9.93</v>
      </c>
      <c r="N382" s="6">
        <v>64802</v>
      </c>
      <c r="O382" s="6">
        <v>1.42</v>
      </c>
      <c r="P382" s="6">
        <v>1.42</v>
      </c>
      <c r="Q382" s="1">
        <f t="shared" si="10"/>
        <v>46023</v>
      </c>
      <c r="R382" t="str">
        <f t="shared" si="11"/>
        <v>2026-01-01</v>
      </c>
    </row>
    <row r="383" ht="21" spans="1:18">
      <c r="A383" s="4" t="s">
        <v>291</v>
      </c>
      <c r="B383" s="5">
        <v>73391</v>
      </c>
      <c r="C383" s="5">
        <v>2.7</v>
      </c>
      <c r="D383" s="5">
        <v>12.19</v>
      </c>
      <c r="E383" s="5">
        <v>15574</v>
      </c>
      <c r="F383" s="5">
        <v>-3.44</v>
      </c>
      <c r="G383" s="5">
        <v>-14.32</v>
      </c>
      <c r="H383" s="5">
        <v>57817</v>
      </c>
      <c r="I383" s="5">
        <v>4.49</v>
      </c>
      <c r="J383" s="5">
        <v>22.4</v>
      </c>
      <c r="K383" s="5">
        <v>71378</v>
      </c>
      <c r="L383" s="5">
        <v>2.84</v>
      </c>
      <c r="M383" s="5">
        <v>13.06</v>
      </c>
      <c r="N383" s="5">
        <v>65585</v>
      </c>
      <c r="O383" s="5">
        <v>1.21</v>
      </c>
      <c r="P383" s="5">
        <v>2.65</v>
      </c>
      <c r="Q383" s="1">
        <f t="shared" si="10"/>
        <v>46054</v>
      </c>
      <c r="R383" t="str">
        <f t="shared" si="11"/>
        <v>2026-02-01</v>
      </c>
    </row>
    <row r="384" ht="21" spans="1:18">
      <c r="A384" s="4" t="s">
        <v>292</v>
      </c>
      <c r="B384" s="6">
        <v>66786</v>
      </c>
      <c r="C384" s="6">
        <v>-9</v>
      </c>
      <c r="D384" s="6">
        <v>2.1</v>
      </c>
      <c r="E384" s="6">
        <v>15015</v>
      </c>
      <c r="F384" s="6">
        <v>-3.59</v>
      </c>
      <c r="G384" s="6">
        <v>-17.4</v>
      </c>
      <c r="H384" s="6">
        <v>51771</v>
      </c>
      <c r="I384" s="6">
        <v>-10.46</v>
      </c>
      <c r="J384" s="6">
        <v>9.6</v>
      </c>
      <c r="K384" s="6">
        <v>64669</v>
      </c>
      <c r="L384" s="6">
        <v>-9.4</v>
      </c>
      <c r="M384" s="6">
        <v>2.43</v>
      </c>
      <c r="N384" s="6">
        <v>62396</v>
      </c>
      <c r="O384" s="6">
        <v>-4.86</v>
      </c>
      <c r="P384" s="6">
        <v>-2.34</v>
      </c>
      <c r="Q384" s="1">
        <f t="shared" si="10"/>
        <v>46082</v>
      </c>
      <c r="R384" t="str">
        <f t="shared" si="11"/>
        <v>2026-03-01</v>
      </c>
    </row>
    <row r="385" ht="21" spans="1:18">
      <c r="A385" s="4" t="s">
        <v>293</v>
      </c>
      <c r="B385" s="5">
        <v>67521</v>
      </c>
      <c r="C385" s="5">
        <v>1.1</v>
      </c>
      <c r="D385" s="5">
        <v>3.22</v>
      </c>
      <c r="E385" s="5">
        <v>14831</v>
      </c>
      <c r="F385" s="5">
        <v>-1.23</v>
      </c>
      <c r="G385" s="5">
        <v>-18.41</v>
      </c>
      <c r="H385" s="5">
        <v>52691</v>
      </c>
      <c r="I385" s="5">
        <v>1.78</v>
      </c>
      <c r="J385" s="5">
        <v>11.55</v>
      </c>
      <c r="K385" s="5">
        <v>65517</v>
      </c>
      <c r="L385" s="5">
        <v>1.31</v>
      </c>
      <c r="M385" s="5">
        <v>3.78</v>
      </c>
      <c r="N385" s="5">
        <v>64823</v>
      </c>
      <c r="O385" s="5">
        <v>3.89</v>
      </c>
      <c r="P385" s="5">
        <v>1.45</v>
      </c>
      <c r="Q385" s="1">
        <f t="shared" si="10"/>
        <v>46113</v>
      </c>
      <c r="R385" t="str">
        <f t="shared" si="11"/>
        <v>2026-04-01</v>
      </c>
    </row>
    <row r="386" ht="21" spans="1:18">
      <c r="A386" s="4" t="s">
        <v>294</v>
      </c>
      <c r="B386" s="6">
        <v>67347</v>
      </c>
      <c r="C386" s="6">
        <v>-0.26</v>
      </c>
      <c r="D386" s="6">
        <v>2.95</v>
      </c>
      <c r="E386" s="6">
        <v>14793</v>
      </c>
      <c r="F386" s="6">
        <v>-0.26</v>
      </c>
      <c r="G386" s="6">
        <v>-18.62</v>
      </c>
      <c r="H386" s="6">
        <v>52554</v>
      </c>
      <c r="I386" s="6">
        <v>-0.26</v>
      </c>
      <c r="J386" s="6">
        <v>11.26</v>
      </c>
      <c r="K386" s="6">
        <v>65279</v>
      </c>
      <c r="L386" s="6">
        <v>-0.36</v>
      </c>
      <c r="M386" s="6">
        <v>3.4</v>
      </c>
      <c r="N386" s="6">
        <v>66231</v>
      </c>
      <c r="O386" s="6">
        <v>2.17</v>
      </c>
      <c r="P386" s="6">
        <v>3.66</v>
      </c>
      <c r="Q386" s="1">
        <f t="shared" si="10"/>
        <v>46143</v>
      </c>
      <c r="R386" t="str">
        <f t="shared" si="11"/>
        <v>2026-05-01</v>
      </c>
    </row>
    <row r="387" ht="21" spans="1:18">
      <c r="A387" s="4" t="s">
        <v>295</v>
      </c>
      <c r="B387" s="5">
        <v>61829</v>
      </c>
      <c r="C387" s="5">
        <v>-8.19</v>
      </c>
      <c r="D387" s="5">
        <v>-5.48</v>
      </c>
      <c r="E387" s="5">
        <v>14256</v>
      </c>
      <c r="F387" s="5">
        <v>-3.63</v>
      </c>
      <c r="G387" s="5">
        <v>-21.58</v>
      </c>
      <c r="H387" s="5">
        <v>47572</v>
      </c>
      <c r="I387" s="5">
        <v>-9.48</v>
      </c>
      <c r="J387" s="5">
        <v>0.71</v>
      </c>
      <c r="K387" s="5">
        <v>59820</v>
      </c>
      <c r="L387" s="5">
        <v>-8.36</v>
      </c>
      <c r="M387" s="5">
        <v>-5.25</v>
      </c>
      <c r="N387" s="5">
        <v>65498</v>
      </c>
      <c r="O387" s="5">
        <v>-1.11</v>
      </c>
      <c r="P387" s="5">
        <v>2.51</v>
      </c>
      <c r="Q387" s="1">
        <f t="shared" si="10"/>
        <v>46174</v>
      </c>
      <c r="R387" t="str">
        <f t="shared" si="11"/>
        <v>2026-06-01</v>
      </c>
    </row>
    <row r="388" ht="21" spans="1:18">
      <c r="A388" s="4" t="s">
        <v>296</v>
      </c>
      <c r="B388" s="6">
        <v>63715</v>
      </c>
      <c r="C388" s="6">
        <v>3.05</v>
      </c>
      <c r="D388" s="6">
        <v>-2.6</v>
      </c>
      <c r="E388" s="6">
        <v>15543</v>
      </c>
      <c r="F388" s="6">
        <v>9.02</v>
      </c>
      <c r="G388" s="6">
        <v>-14.5</v>
      </c>
      <c r="H388" s="6">
        <v>48173</v>
      </c>
      <c r="I388" s="6">
        <v>1.26</v>
      </c>
      <c r="J388" s="6">
        <v>1.98</v>
      </c>
      <c r="K388" s="6">
        <v>61724</v>
      </c>
      <c r="L388" s="6">
        <v>3.18</v>
      </c>
      <c r="M388" s="6">
        <v>-2.23</v>
      </c>
      <c r="N388" s="6">
        <v>66014</v>
      </c>
      <c r="O388" s="6">
        <v>0.79</v>
      </c>
      <c r="P388" s="6">
        <v>3.32</v>
      </c>
      <c r="Q388" s="1">
        <f t="shared" si="10"/>
        <v>46204</v>
      </c>
      <c r="R388" t="str">
        <f t="shared" si="11"/>
        <v>2026-07-01</v>
      </c>
    </row>
    <row r="390" ht="26" spans="1:18">
      <c r="B390" s="7" t="s">
        <v>297</v>
      </c>
      <c r="C390" s="7"/>
      <c r="D390" s="7"/>
    </row>
    <row r="391" spans="1:18">
      <c r="B391" s="8" t="s">
        <v>298</v>
      </c>
      <c r="C391" s="8"/>
      <c r="D391" s="8"/>
    </row>
    <row r="392" spans="1:18">
      <c r="B392" s="8" t="s">
        <v>299</v>
      </c>
      <c r="C392" s="8"/>
      <c r="D392" s="8"/>
    </row>
    <row r="393" spans="1:18">
      <c r="B393" s="8" t="s">
        <v>300</v>
      </c>
      <c r="C393" s="8"/>
      <c r="D393" s="8"/>
    </row>
  </sheetData>
  <mergeCells count="10">
    <mergeCell ref="A1:C1"/>
    <mergeCell ref="B3:D3"/>
    <mergeCell ref="E3:G3"/>
    <mergeCell ref="H3:J3"/>
    <mergeCell ref="K3:M3"/>
    <mergeCell ref="N3:P3"/>
    <mergeCell ref="B390:D390"/>
    <mergeCell ref="B391:D391"/>
    <mergeCell ref="B392:D392"/>
    <mergeCell ref="B393:D393"/>
  </mergeCells>
  <conditionalFormatting sqref="Q$1:Q$1048576">
    <cfRule type="duplicateValues" dxfId="0" priority="1"/>
  </conditionalFormatting>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5"/>
  <sheetViews>
    <sheetView topLeftCell="A61" workbookViewId="0">
      <selection activeCell="B77" sqref="B77"/>
    </sheetView>
  </sheetViews>
  <sheetFormatPr defaultColWidth="9" defaultRowHeight="16.8" outlineLevelCol="1"/>
  <cols>
    <col min="1" max="1" width="11" customWidth="1"/>
    <col min="2" max="2" width="13.375" customWidth="1"/>
  </cols>
  <sheetData>
    <row r="1" spans="1:2">
      <c r="A1" t="s">
        <v>301</v>
      </c>
      <c r="B1" t="s">
        <v>302</v>
      </c>
    </row>
    <row r="2" spans="1:2">
      <c r="A2" s="1" t="str">
        <f>Worksheet!R5</f>
        <v>1994-08-01</v>
      </c>
      <c r="B2">
        <f>Worksheet!B5</f>
        <v>1099</v>
      </c>
    </row>
    <row r="3" spans="1:2">
      <c r="A3" s="1" t="str">
        <f>Worksheet!R6</f>
        <v>1994-09-01</v>
      </c>
      <c r="B3">
        <f>Worksheet!B6</f>
        <v>1118</v>
      </c>
    </row>
    <row r="4" spans="1:2">
      <c r="A4" s="1" t="str">
        <f>Worksheet!R7</f>
        <v>1994-10-01</v>
      </c>
      <c r="B4">
        <f>Worksheet!B7</f>
        <v>968</v>
      </c>
    </row>
    <row r="5" spans="1:2">
      <c r="A5" s="1" t="str">
        <f>Worksheet!R8</f>
        <v>1994-11-01</v>
      </c>
      <c r="B5">
        <f>Worksheet!B8</f>
        <v>952</v>
      </c>
    </row>
    <row r="6" spans="1:2">
      <c r="A6" s="1" t="str">
        <f>Worksheet!R9</f>
        <v>1994-12-01</v>
      </c>
      <c r="B6">
        <f>Worksheet!B9</f>
        <v>1215</v>
      </c>
    </row>
    <row r="7" spans="1:2">
      <c r="A7" s="1" t="str">
        <f>Worksheet!R10</f>
        <v>1995-01-01</v>
      </c>
      <c r="B7">
        <f>Worksheet!B10</f>
        <v>1142</v>
      </c>
    </row>
    <row r="8" spans="1:2">
      <c r="A8" s="1" t="str">
        <f>Worksheet!R11</f>
        <v>1995-02-01</v>
      </c>
      <c r="B8">
        <f>Worksheet!B11</f>
        <v>1159</v>
      </c>
    </row>
    <row r="9" spans="1:2">
      <c r="A9" s="1" t="str">
        <f>Worksheet!R12</f>
        <v>1995-03-01</v>
      </c>
      <c r="B9">
        <f>Worksheet!B12</f>
        <v>1387</v>
      </c>
    </row>
    <row r="10" spans="1:2">
      <c r="A10" s="1" t="str">
        <f>Worksheet!R13</f>
        <v>1995-04-01</v>
      </c>
      <c r="B10">
        <f>Worksheet!B13</f>
        <v>1429</v>
      </c>
    </row>
    <row r="11" spans="1:2">
      <c r="A11" s="1" t="str">
        <f>Worksheet!R14</f>
        <v>1995-05-01</v>
      </c>
      <c r="B11">
        <f>Worksheet!B14</f>
        <v>1396</v>
      </c>
    </row>
    <row r="12" spans="1:2">
      <c r="A12" s="1" t="str">
        <f>Worksheet!R15</f>
        <v>1995-06-01</v>
      </c>
      <c r="B12">
        <f>Worksheet!B15</f>
        <v>1589</v>
      </c>
    </row>
    <row r="13" spans="1:2">
      <c r="A13" s="1" t="str">
        <f>Worksheet!R16</f>
        <v>1995-07-01</v>
      </c>
      <c r="B13">
        <f>Worksheet!B16</f>
        <v>1732</v>
      </c>
    </row>
    <row r="14" spans="1:2">
      <c r="A14" s="1" t="str">
        <f>Worksheet!R17</f>
        <v>1995-08-01</v>
      </c>
      <c r="B14">
        <f>Worksheet!B17</f>
        <v>1721</v>
      </c>
    </row>
    <row r="15" spans="1:2">
      <c r="A15" s="1" t="str">
        <f>Worksheet!R18</f>
        <v>1995-09-01</v>
      </c>
      <c r="B15">
        <f>Worksheet!B18</f>
        <v>1704</v>
      </c>
    </row>
    <row r="16" spans="1:2">
      <c r="A16" s="1" t="str">
        <f>Worksheet!R19</f>
        <v>1995-10-01</v>
      </c>
      <c r="B16">
        <f>Worksheet!B19</f>
        <v>1679</v>
      </c>
    </row>
    <row r="17" spans="1:2">
      <c r="A17" s="1" t="str">
        <f>Worksheet!R20</f>
        <v>1995-11-01</v>
      </c>
      <c r="B17">
        <f>Worksheet!B20</f>
        <v>1625</v>
      </c>
    </row>
    <row r="18" spans="1:2">
      <c r="A18" s="1" t="str">
        <f>Worksheet!R21</f>
        <v>1995-12-01</v>
      </c>
      <c r="B18">
        <f>Worksheet!B21</f>
        <v>1653</v>
      </c>
    </row>
    <row r="19" spans="1:2">
      <c r="A19" s="1" t="str">
        <f>Worksheet!R22</f>
        <v>1996-01-01</v>
      </c>
      <c r="B19">
        <f>Worksheet!B22</f>
        <v>1804</v>
      </c>
    </row>
    <row r="20" spans="1:2">
      <c r="A20" s="1" t="str">
        <f>Worksheet!R23</f>
        <v>1996-02-01</v>
      </c>
      <c r="B20">
        <f>Worksheet!B23</f>
        <v>1853</v>
      </c>
    </row>
    <row r="21" spans="1:2">
      <c r="A21" s="1" t="str">
        <f>Worksheet!R24</f>
        <v>1996-03-01</v>
      </c>
      <c r="B21">
        <f>Worksheet!B24</f>
        <v>1800</v>
      </c>
    </row>
    <row r="22" spans="1:2">
      <c r="A22" s="1" t="str">
        <f>Worksheet!R25</f>
        <v>1996-04-01</v>
      </c>
      <c r="B22">
        <f>Worksheet!B25</f>
        <v>1811</v>
      </c>
    </row>
    <row r="23" spans="1:2">
      <c r="A23" s="1" t="str">
        <f>Worksheet!R26</f>
        <v>1996-05-01</v>
      </c>
      <c r="B23">
        <f>Worksheet!B26</f>
        <v>1911</v>
      </c>
    </row>
    <row r="24" spans="1:2">
      <c r="A24" s="1" t="str">
        <f>Worksheet!R27</f>
        <v>1996-06-01</v>
      </c>
      <c r="B24">
        <f>Worksheet!B27</f>
        <v>1833</v>
      </c>
    </row>
    <row r="25" spans="1:2">
      <c r="A25" s="1" t="str">
        <f>Worksheet!R28</f>
        <v>1996-07-01</v>
      </c>
      <c r="B25">
        <f>Worksheet!B28</f>
        <v>1794</v>
      </c>
    </row>
    <row r="26" spans="1:2">
      <c r="A26" s="1" t="str">
        <f>Worksheet!R29</f>
        <v>1996-08-01</v>
      </c>
      <c r="B26">
        <f>Worksheet!B29</f>
        <v>1788</v>
      </c>
    </row>
    <row r="27" spans="1:2">
      <c r="A27" s="1" t="str">
        <f>Worksheet!R30</f>
        <v>1996-09-01</v>
      </c>
      <c r="B27">
        <f>Worksheet!B30</f>
        <v>1774</v>
      </c>
    </row>
    <row r="28" spans="1:2">
      <c r="A28" s="1" t="str">
        <f>Worksheet!R31</f>
        <v>1996-10-01</v>
      </c>
      <c r="B28">
        <f>Worksheet!B31</f>
        <v>1685</v>
      </c>
    </row>
    <row r="29" spans="1:2">
      <c r="A29" s="1" t="str">
        <f>Worksheet!R32</f>
        <v>1996-11-01</v>
      </c>
      <c r="B29">
        <f>Worksheet!B32</f>
        <v>1699</v>
      </c>
    </row>
    <row r="30" spans="1:2">
      <c r="A30" s="1" t="str">
        <f>Worksheet!R33</f>
        <v>1996-12-01</v>
      </c>
      <c r="B30">
        <f>Worksheet!B33</f>
        <v>1961</v>
      </c>
    </row>
    <row r="31" spans="1:2">
      <c r="A31" s="1" t="str">
        <f>Worksheet!R34</f>
        <v>1997-01-01</v>
      </c>
      <c r="B31">
        <f>Worksheet!B34</f>
        <v>1767</v>
      </c>
    </row>
    <row r="32" spans="1:2">
      <c r="A32" s="1" t="str">
        <f>Worksheet!R35</f>
        <v>1997-02-01</v>
      </c>
      <c r="B32">
        <f>Worksheet!B35</f>
        <v>1814</v>
      </c>
    </row>
    <row r="33" spans="1:2">
      <c r="A33" s="1" t="str">
        <f>Worksheet!R36</f>
        <v>1997-03-01</v>
      </c>
      <c r="B33">
        <f>Worksheet!B36</f>
        <v>1842</v>
      </c>
    </row>
    <row r="34" spans="1:2">
      <c r="A34" s="1" t="str">
        <f>Worksheet!R37</f>
        <v>1997-04-01</v>
      </c>
      <c r="B34">
        <f>Worksheet!B37</f>
        <v>1768</v>
      </c>
    </row>
    <row r="35" spans="1:2">
      <c r="A35" s="1" t="str">
        <f>Worksheet!R38</f>
        <v>1997-05-01</v>
      </c>
      <c r="B35">
        <f>Worksheet!B38</f>
        <v>1865</v>
      </c>
    </row>
    <row r="36" spans="1:2">
      <c r="A36" s="1" t="str">
        <f>Worksheet!R39</f>
        <v>1997-06-01</v>
      </c>
      <c r="B36">
        <f>Worksheet!B39</f>
        <v>2000</v>
      </c>
    </row>
    <row r="37" spans="1:2">
      <c r="A37" s="1" t="str">
        <f>Worksheet!R40</f>
        <v>1997-07-01</v>
      </c>
      <c r="B37">
        <f>Worksheet!B40</f>
        <v>2038</v>
      </c>
    </row>
    <row r="38" spans="1:2">
      <c r="A38" s="1" t="str">
        <f>Worksheet!R41</f>
        <v>1997-08-01</v>
      </c>
      <c r="B38">
        <f>Worksheet!B41</f>
        <v>2094</v>
      </c>
    </row>
    <row r="39" spans="1:2">
      <c r="A39" s="1" t="str">
        <f>Worksheet!R42</f>
        <v>1997-09-01</v>
      </c>
      <c r="B39">
        <f>Worksheet!B42</f>
        <v>2154</v>
      </c>
    </row>
    <row r="40" spans="1:2">
      <c r="A40" s="1" t="str">
        <f>Worksheet!R43</f>
        <v>1997-10-01</v>
      </c>
      <c r="B40">
        <f>Worksheet!B43</f>
        <v>2375</v>
      </c>
    </row>
    <row r="41" spans="1:2">
      <c r="A41" s="1" t="str">
        <f>Worksheet!R44</f>
        <v>1997-11-01</v>
      </c>
      <c r="B41">
        <f>Worksheet!B44</f>
        <v>2328</v>
      </c>
    </row>
    <row r="42" spans="1:2">
      <c r="A42" s="1" t="str">
        <f>Worksheet!R45</f>
        <v>1997-12-01</v>
      </c>
      <c r="B42">
        <f>Worksheet!B45</f>
        <v>2291</v>
      </c>
    </row>
    <row r="43" spans="1:2">
      <c r="A43" s="1" t="str">
        <f>Worksheet!R46</f>
        <v>1998-01-01</v>
      </c>
      <c r="B43">
        <f>Worksheet!B46</f>
        <v>2122</v>
      </c>
    </row>
    <row r="44" spans="1:2">
      <c r="A44" s="1" t="str">
        <f>Worksheet!R47</f>
        <v>1998-02-01</v>
      </c>
      <c r="B44">
        <f>Worksheet!B47</f>
        <v>2066</v>
      </c>
    </row>
    <row r="45" spans="1:2">
      <c r="A45" s="1" t="str">
        <f>Worksheet!R48</f>
        <v>1998-03-01</v>
      </c>
      <c r="B45">
        <f>Worksheet!B48</f>
        <v>2029</v>
      </c>
    </row>
    <row r="46" spans="1:2">
      <c r="A46" s="1" t="str">
        <f>Worksheet!R49</f>
        <v>1998-04-01</v>
      </c>
      <c r="B46">
        <f>Worksheet!B49</f>
        <v>2082</v>
      </c>
    </row>
    <row r="47" spans="1:2">
      <c r="A47" s="1" t="str">
        <f>Worksheet!R50</f>
        <v>1998-05-01</v>
      </c>
      <c r="B47">
        <f>Worksheet!B50</f>
        <v>1944</v>
      </c>
    </row>
    <row r="48" spans="1:2">
      <c r="A48" s="1" t="str">
        <f>Worksheet!R51</f>
        <v>1998-06-01</v>
      </c>
      <c r="B48">
        <f>Worksheet!B51</f>
        <v>1990</v>
      </c>
    </row>
    <row r="49" spans="1:2">
      <c r="A49" s="1" t="str">
        <f>Worksheet!R52</f>
        <v>1998-07-01</v>
      </c>
      <c r="B49">
        <f>Worksheet!B52</f>
        <v>1996</v>
      </c>
    </row>
    <row r="50" spans="1:2">
      <c r="A50" s="1" t="str">
        <f>Worksheet!R53</f>
        <v>1998-08-01</v>
      </c>
      <c r="B50">
        <f>Worksheet!B53</f>
        <v>1840</v>
      </c>
    </row>
    <row r="51" spans="1:2">
      <c r="A51" s="1" t="str">
        <f>Worksheet!R54</f>
        <v>1998-09-01</v>
      </c>
      <c r="B51">
        <f>Worksheet!B54</f>
        <v>1676</v>
      </c>
    </row>
    <row r="52" spans="1:2">
      <c r="A52" s="1" t="str">
        <f>Worksheet!R55</f>
        <v>1998-10-01</v>
      </c>
      <c r="B52">
        <f>Worksheet!B55</f>
        <v>1715</v>
      </c>
    </row>
    <row r="53" spans="1:2">
      <c r="A53" s="1" t="str">
        <f>Worksheet!R56</f>
        <v>1998-11-01</v>
      </c>
      <c r="B53">
        <f>Worksheet!B56</f>
        <v>1771</v>
      </c>
    </row>
    <row r="54" spans="1:2">
      <c r="A54" s="1" t="str">
        <f>Worksheet!R57</f>
        <v>1998-12-01</v>
      </c>
      <c r="B54">
        <f>Worksheet!B57</f>
        <v>1964</v>
      </c>
    </row>
    <row r="55" spans="1:2">
      <c r="A55" s="1" t="str">
        <f>Worksheet!R58</f>
        <v>1999-01-01</v>
      </c>
      <c r="B55">
        <f>Worksheet!B58</f>
        <v>1851</v>
      </c>
    </row>
    <row r="56" spans="1:2">
      <c r="A56" s="1" t="str">
        <f>Worksheet!R59</f>
        <v>1999-02-01</v>
      </c>
      <c r="B56">
        <f>Worksheet!B59</f>
        <v>1820</v>
      </c>
    </row>
    <row r="57" spans="1:2">
      <c r="A57" s="1" t="str">
        <f>Worksheet!R60</f>
        <v>1999-03-01</v>
      </c>
      <c r="B57">
        <f>Worksheet!B60</f>
        <v>1598</v>
      </c>
    </row>
    <row r="58" spans="1:2">
      <c r="A58" s="1" t="str">
        <f>Worksheet!R61</f>
        <v>1999-04-01</v>
      </c>
      <c r="B58">
        <f>Worksheet!B61</f>
        <v>1603</v>
      </c>
    </row>
    <row r="59" spans="1:2">
      <c r="A59" s="1" t="str">
        <f>Worksheet!R62</f>
        <v>1999-05-01</v>
      </c>
      <c r="B59">
        <f>Worksheet!B62</f>
        <v>1529</v>
      </c>
    </row>
    <row r="60" spans="1:2">
      <c r="A60" s="1" t="str">
        <f>Worksheet!R63</f>
        <v>1999-06-01</v>
      </c>
      <c r="B60">
        <f>Worksheet!B63</f>
        <v>1495</v>
      </c>
    </row>
    <row r="61" spans="1:2">
      <c r="A61" s="1" t="str">
        <f>Worksheet!R64</f>
        <v>1999-07-01</v>
      </c>
      <c r="B61">
        <f>Worksheet!B64</f>
        <v>1538</v>
      </c>
    </row>
    <row r="62" spans="1:2">
      <c r="A62" s="1" t="str">
        <f>Worksheet!R65</f>
        <v>1999-08-01</v>
      </c>
      <c r="B62">
        <f>Worksheet!B65</f>
        <v>1625</v>
      </c>
    </row>
    <row r="63" spans="1:2">
      <c r="A63" s="1" t="str">
        <f>Worksheet!R66</f>
        <v>1999-09-01</v>
      </c>
      <c r="B63">
        <f>Worksheet!B66</f>
        <v>1641</v>
      </c>
    </row>
    <row r="64" spans="1:2">
      <c r="A64" s="1" t="str">
        <f>Worksheet!R67</f>
        <v>1999-10-01</v>
      </c>
      <c r="B64">
        <f>Worksheet!B67</f>
        <v>1784</v>
      </c>
    </row>
    <row r="65" spans="1:2">
      <c r="A65" s="1" t="str">
        <f>Worksheet!R68</f>
        <v>1999-11-01</v>
      </c>
      <c r="B65">
        <f>Worksheet!B68</f>
        <v>1900</v>
      </c>
    </row>
    <row r="66" spans="1:2">
      <c r="A66" s="1" t="str">
        <f>Worksheet!R69</f>
        <v>1999-12-01</v>
      </c>
      <c r="B66">
        <f>Worksheet!B69</f>
        <v>2003</v>
      </c>
    </row>
    <row r="67" spans="1:2">
      <c r="A67" s="1" t="str">
        <f>Worksheet!R70</f>
        <v>2000-01-01</v>
      </c>
      <c r="B67">
        <f>Worksheet!B70</f>
        <v>1937</v>
      </c>
    </row>
    <row r="68" spans="1:2">
      <c r="A68" s="1" t="str">
        <f>Worksheet!R71</f>
        <v>2000-02-01</v>
      </c>
      <c r="B68">
        <f>Worksheet!B71</f>
        <v>1961</v>
      </c>
    </row>
    <row r="69" spans="1:2">
      <c r="A69" s="1" t="str">
        <f>Worksheet!R72</f>
        <v>2000-03-01</v>
      </c>
      <c r="B69">
        <f>Worksheet!B72</f>
        <v>1873</v>
      </c>
    </row>
    <row r="70" spans="1:2">
      <c r="A70" s="1" t="str">
        <f>Worksheet!R73</f>
        <v>2000-04-01</v>
      </c>
      <c r="B70">
        <f>Worksheet!B73</f>
        <v>1981</v>
      </c>
    </row>
    <row r="71" spans="1:2">
      <c r="A71" s="1" t="str">
        <f>Worksheet!R74</f>
        <v>2000-05-01</v>
      </c>
      <c r="B71">
        <f>Worksheet!B74</f>
        <v>1816</v>
      </c>
    </row>
    <row r="72" spans="1:2">
      <c r="A72" s="1" t="str">
        <f>Worksheet!R75</f>
        <v>2000-06-01</v>
      </c>
      <c r="B72">
        <f>Worksheet!B75</f>
        <v>1911</v>
      </c>
    </row>
    <row r="73" spans="1:2">
      <c r="A73" s="1" t="str">
        <f>Worksheet!R76</f>
        <v>2000-07-01</v>
      </c>
      <c r="B73">
        <f>Worksheet!B76</f>
        <v>2032</v>
      </c>
    </row>
    <row r="74" spans="1:2">
      <c r="A74" s="1" t="str">
        <f>Worksheet!R77</f>
        <v>2000-08-01</v>
      </c>
      <c r="B74">
        <f>Worksheet!B77</f>
        <v>2106</v>
      </c>
    </row>
    <row r="75" spans="1:2">
      <c r="A75" s="1" t="str">
        <f>Worksheet!R78</f>
        <v>2000-09-01</v>
      </c>
      <c r="B75">
        <f>Worksheet!B78</f>
        <v>2190</v>
      </c>
    </row>
    <row r="76" spans="1:2">
      <c r="A76" s="1" t="str">
        <f>Worksheet!R79</f>
        <v>2000-10-01</v>
      </c>
      <c r="B76">
        <f>Worksheet!B79</f>
        <v>2297</v>
      </c>
    </row>
    <row r="77" spans="1:2">
      <c r="A77" s="1" t="str">
        <f>Worksheet!R80</f>
        <v>2000-11-01</v>
      </c>
      <c r="B77">
        <f>Worksheet!B80</f>
        <v>2229</v>
      </c>
    </row>
    <row r="78" spans="1:2">
      <c r="A78" s="1" t="str">
        <f>Worksheet!R81</f>
        <v>2000-12-01</v>
      </c>
      <c r="B78">
        <f>Worksheet!B81</f>
        <v>2096</v>
      </c>
    </row>
    <row r="79" spans="1:2">
      <c r="A79" s="1" t="str">
        <f>Worksheet!R82</f>
        <v>2001-01-01</v>
      </c>
      <c r="B79">
        <f>Worksheet!B82</f>
        <v>2318</v>
      </c>
    </row>
    <row r="80" spans="1:2">
      <c r="A80" s="1" t="str">
        <f>Worksheet!R83</f>
        <v>2001-02-01</v>
      </c>
      <c r="B80">
        <f>Worksheet!B83</f>
        <v>2417</v>
      </c>
    </row>
    <row r="81" spans="1:2">
      <c r="A81" s="1" t="str">
        <f>Worksheet!R84</f>
        <v>2001-03-01</v>
      </c>
      <c r="B81">
        <f>Worksheet!B84</f>
        <v>2454</v>
      </c>
    </row>
    <row r="82" spans="1:2">
      <c r="A82" s="1" t="str">
        <f>Worksheet!R85</f>
        <v>2001-04-01</v>
      </c>
      <c r="B82">
        <f>Worksheet!B85</f>
        <v>2607</v>
      </c>
    </row>
    <row r="83" spans="1:2">
      <c r="A83" s="1" t="str">
        <f>Worksheet!R86</f>
        <v>2001-05-01</v>
      </c>
      <c r="B83">
        <f>Worksheet!B86</f>
        <v>2395</v>
      </c>
    </row>
    <row r="84" spans="1:2">
      <c r="A84" s="1" t="str">
        <f>Worksheet!R87</f>
        <v>2001-06-01</v>
      </c>
      <c r="B84">
        <f>Worksheet!B87</f>
        <v>2298</v>
      </c>
    </row>
    <row r="85" spans="1:2">
      <c r="A85" s="1" t="str">
        <f>Worksheet!R88</f>
        <v>2001-07-01</v>
      </c>
      <c r="B85">
        <f>Worksheet!B88</f>
        <v>2377</v>
      </c>
    </row>
    <row r="86" spans="1:2">
      <c r="A86" s="1" t="str">
        <f>Worksheet!R89</f>
        <v>2001-08-01</v>
      </c>
      <c r="B86">
        <f>Worksheet!B89</f>
        <v>2435</v>
      </c>
    </row>
    <row r="87" spans="1:2">
      <c r="A87" s="1" t="str">
        <f>Worksheet!R90</f>
        <v>2001-09-01</v>
      </c>
      <c r="B87">
        <f>Worksheet!B90</f>
        <v>2458</v>
      </c>
    </row>
    <row r="88" spans="1:2">
      <c r="A88" s="1" t="str">
        <f>Worksheet!R91</f>
        <v>2001-10-01</v>
      </c>
      <c r="B88">
        <f>Worksheet!B91</f>
        <v>2604</v>
      </c>
    </row>
    <row r="89" spans="1:2">
      <c r="A89" s="1" t="str">
        <f>Worksheet!R92</f>
        <v>2001-11-01</v>
      </c>
      <c r="B89">
        <f>Worksheet!B92</f>
        <v>2575</v>
      </c>
    </row>
    <row r="90" spans="1:2">
      <c r="A90" s="1" t="str">
        <f>Worksheet!R93</f>
        <v>2001-12-01</v>
      </c>
      <c r="B90">
        <f>Worksheet!B93</f>
        <v>2508</v>
      </c>
    </row>
    <row r="91" spans="1:2">
      <c r="A91" s="1" t="str">
        <f>Worksheet!R94</f>
        <v>2002-01-01</v>
      </c>
      <c r="B91">
        <f>Worksheet!B94</f>
        <v>2564</v>
      </c>
    </row>
    <row r="92" spans="1:2">
      <c r="A92" s="1" t="str">
        <f>Worksheet!R95</f>
        <v>2002-02-01</v>
      </c>
      <c r="B92">
        <f>Worksheet!B95</f>
        <v>2579</v>
      </c>
    </row>
    <row r="93" spans="1:2">
      <c r="A93" s="1" t="str">
        <f>Worksheet!R96</f>
        <v>2002-03-01</v>
      </c>
      <c r="B93">
        <f>Worksheet!B96</f>
        <v>2628</v>
      </c>
    </row>
    <row r="94" spans="1:2">
      <c r="A94" s="1" t="str">
        <f>Worksheet!R97</f>
        <v>2002-04-01</v>
      </c>
      <c r="B94">
        <f>Worksheet!B97</f>
        <v>2686</v>
      </c>
    </row>
    <row r="95" spans="1:2">
      <c r="A95" s="1" t="str">
        <f>Worksheet!R98</f>
        <v>2002-05-01</v>
      </c>
      <c r="B95">
        <f>Worksheet!B98</f>
        <v>2792</v>
      </c>
    </row>
    <row r="96" spans="1:2">
      <c r="A96" s="1" t="str">
        <f>Worksheet!R99</f>
        <v>2002-06-01</v>
      </c>
      <c r="B96">
        <f>Worksheet!B99</f>
        <v>2836</v>
      </c>
    </row>
    <row r="97" spans="1:2">
      <c r="A97" s="1" t="str">
        <f>Worksheet!R100</f>
        <v>2002-07-01</v>
      </c>
      <c r="B97">
        <f>Worksheet!B100</f>
        <v>2881</v>
      </c>
    </row>
    <row r="98" spans="1:2">
      <c r="A98" s="1" t="str">
        <f>Worksheet!R101</f>
        <v>2002-08-01</v>
      </c>
      <c r="B98">
        <f>Worksheet!B101</f>
        <v>3054</v>
      </c>
    </row>
    <row r="99" spans="1:2">
      <c r="A99" s="1" t="str">
        <f>Worksheet!R102</f>
        <v>2002-09-01</v>
      </c>
      <c r="B99">
        <f>Worksheet!B102</f>
        <v>3133</v>
      </c>
    </row>
    <row r="100" spans="1:2">
      <c r="A100" s="1" t="str">
        <f>Worksheet!R103</f>
        <v>2002-10-01</v>
      </c>
      <c r="B100">
        <f>Worksheet!B103</f>
        <v>3086</v>
      </c>
    </row>
    <row r="101" spans="1:2">
      <c r="A101" s="1" t="str">
        <f>Worksheet!R104</f>
        <v>2002-11-01</v>
      </c>
      <c r="B101">
        <f>Worksheet!B104</f>
        <v>3006</v>
      </c>
    </row>
    <row r="102" spans="1:2">
      <c r="A102" s="1" t="str">
        <f>Worksheet!R105</f>
        <v>2002-12-01</v>
      </c>
      <c r="B102">
        <f>Worksheet!B105</f>
        <v>3141</v>
      </c>
    </row>
    <row r="103" spans="1:2">
      <c r="A103" s="1" t="str">
        <f>Worksheet!R106</f>
        <v>2003-01-01</v>
      </c>
      <c r="B103">
        <f>Worksheet!B106</f>
        <v>3579</v>
      </c>
    </row>
    <row r="104" spans="1:2">
      <c r="A104" s="1" t="str">
        <f>Worksheet!R107</f>
        <v>2003-02-01</v>
      </c>
      <c r="B104">
        <f>Worksheet!B107</f>
        <v>3881</v>
      </c>
    </row>
    <row r="105" spans="1:2">
      <c r="A105" s="1" t="str">
        <f>Worksheet!R108</f>
        <v>2003-03-01</v>
      </c>
      <c r="B105">
        <f>Worksheet!B108</f>
        <v>3923</v>
      </c>
    </row>
    <row r="106" spans="1:2">
      <c r="A106" s="1" t="str">
        <f>Worksheet!R109</f>
        <v>2003-04-01</v>
      </c>
      <c r="B106">
        <f>Worksheet!B109</f>
        <v>4069</v>
      </c>
    </row>
    <row r="107" spans="1:2">
      <c r="A107" s="1" t="str">
        <f>Worksheet!R110</f>
        <v>2003-05-01</v>
      </c>
      <c r="B107">
        <f>Worksheet!B110</f>
        <v>4457</v>
      </c>
    </row>
    <row r="108" spans="1:2">
      <c r="A108" s="1" t="str">
        <f>Worksheet!R111</f>
        <v>2003-06-01</v>
      </c>
      <c r="B108">
        <f>Worksheet!B111</f>
        <v>4494</v>
      </c>
    </row>
    <row r="109" spans="1:2">
      <c r="A109" s="1" t="str">
        <f>Worksheet!R112</f>
        <v>2003-07-01</v>
      </c>
      <c r="B109">
        <f>Worksheet!B112</f>
        <v>4701</v>
      </c>
    </row>
    <row r="110" spans="1:2">
      <c r="A110" s="1" t="str">
        <f>Worksheet!R113</f>
        <v>2003-08-01</v>
      </c>
      <c r="B110">
        <f>Worksheet!B113</f>
        <v>4579</v>
      </c>
    </row>
    <row r="111" spans="1:2">
      <c r="A111" s="1" t="str">
        <f>Worksheet!R114</f>
        <v>2003-09-01</v>
      </c>
      <c r="B111">
        <f>Worksheet!B114</f>
        <v>4930</v>
      </c>
    </row>
    <row r="112" spans="1:2">
      <c r="A112" s="1" t="str">
        <f>Worksheet!R115</f>
        <v>2003-10-01</v>
      </c>
      <c r="B112">
        <f>Worksheet!B115</f>
        <v>4753</v>
      </c>
    </row>
    <row r="113" spans="1:2">
      <c r="A113" s="1" t="str">
        <f>Worksheet!R116</f>
        <v>2003-11-01</v>
      </c>
      <c r="B113">
        <f>Worksheet!B116</f>
        <v>4662</v>
      </c>
    </row>
    <row r="114" spans="1:2">
      <c r="A114" s="1" t="str">
        <f>Worksheet!R117</f>
        <v>2003-12-01</v>
      </c>
      <c r="B114">
        <f>Worksheet!B117</f>
        <v>4962</v>
      </c>
    </row>
    <row r="115" spans="1:2">
      <c r="A115" s="1" t="str">
        <f>Worksheet!R118</f>
        <v>2004-01-01</v>
      </c>
      <c r="B115">
        <f>Worksheet!B118</f>
        <v>5439</v>
      </c>
    </row>
    <row r="116" spans="1:2">
      <c r="A116" s="1" t="str">
        <f>Worksheet!R119</f>
        <v>2004-02-01</v>
      </c>
      <c r="B116">
        <f>Worksheet!B119</f>
        <v>5545</v>
      </c>
    </row>
    <row r="117" spans="1:2">
      <c r="A117" s="1" t="str">
        <f>Worksheet!R120</f>
        <v>2004-03-01</v>
      </c>
      <c r="B117">
        <f>Worksheet!B120</f>
        <v>5688</v>
      </c>
    </row>
    <row r="118" spans="1:2">
      <c r="A118" s="1" t="str">
        <f>Worksheet!R121</f>
        <v>2004-04-01</v>
      </c>
      <c r="B118">
        <f>Worksheet!B121</f>
        <v>6199</v>
      </c>
    </row>
    <row r="119" spans="1:2">
      <c r="A119" s="1" t="str">
        <f>Worksheet!R122</f>
        <v>2004-05-01</v>
      </c>
      <c r="B119">
        <f>Worksheet!B122</f>
        <v>6551</v>
      </c>
    </row>
    <row r="120" spans="1:2">
      <c r="A120" s="1" t="str">
        <f>Worksheet!R123</f>
        <v>2004-06-01</v>
      </c>
      <c r="B120">
        <f>Worksheet!B123</f>
        <v>6635</v>
      </c>
    </row>
    <row r="121" spans="1:2">
      <c r="A121" s="1" t="str">
        <f>Worksheet!R124</f>
        <v>2004-07-01</v>
      </c>
      <c r="B121">
        <f>Worksheet!B124</f>
        <v>6658</v>
      </c>
    </row>
    <row r="122" spans="1:2">
      <c r="A122" s="1" t="str">
        <f>Worksheet!R125</f>
        <v>2004-08-01</v>
      </c>
      <c r="B122">
        <f>Worksheet!B125</f>
        <v>6678</v>
      </c>
    </row>
    <row r="123" spans="1:2">
      <c r="A123" s="1" t="str">
        <f>Worksheet!R126</f>
        <v>2004-09-01</v>
      </c>
      <c r="B123">
        <f>Worksheet!B126</f>
        <v>6828</v>
      </c>
    </row>
    <row r="124" spans="1:2">
      <c r="A124" s="1" t="str">
        <f>Worksheet!R127</f>
        <v>2004-10-01</v>
      </c>
      <c r="B124">
        <f>Worksheet!B127</f>
        <v>7070</v>
      </c>
    </row>
    <row r="125" spans="1:2">
      <c r="A125" s="1" t="str">
        <f>Worksheet!R128</f>
        <v>2004-11-01</v>
      </c>
      <c r="B125">
        <f>Worksheet!B128</f>
        <v>8332</v>
      </c>
    </row>
    <row r="126" spans="1:2">
      <c r="A126" s="1" t="str">
        <f>Worksheet!R129</f>
        <v>2004-12-01</v>
      </c>
      <c r="B126">
        <f>Worksheet!B129</f>
        <v>9277</v>
      </c>
    </row>
    <row r="127" spans="1:2">
      <c r="A127" s="1" t="str">
        <f>Worksheet!R130</f>
        <v>2005-01-01</v>
      </c>
      <c r="B127">
        <f>Worksheet!B130</f>
        <v>9292</v>
      </c>
    </row>
    <row r="128" spans="1:2">
      <c r="A128" s="1" t="str">
        <f>Worksheet!R131</f>
        <v>2005-02-01</v>
      </c>
      <c r="B128">
        <f>Worksheet!B131</f>
        <v>9440</v>
      </c>
    </row>
    <row r="129" spans="1:2">
      <c r="A129" s="1" t="str">
        <f>Worksheet!R132</f>
        <v>2005-03-01</v>
      </c>
      <c r="B129">
        <f>Worksheet!B132</f>
        <v>9272</v>
      </c>
    </row>
    <row r="130" spans="1:2">
      <c r="A130" s="1" t="str">
        <f>Worksheet!R133</f>
        <v>2005-04-01</v>
      </c>
      <c r="B130">
        <f>Worksheet!B133</f>
        <v>8712</v>
      </c>
    </row>
    <row r="131" spans="1:2">
      <c r="A131" s="1" t="str">
        <f>Worksheet!R134</f>
        <v>2005-05-01</v>
      </c>
      <c r="B131">
        <f>Worksheet!B134</f>
        <v>8677</v>
      </c>
    </row>
    <row r="132" spans="1:2">
      <c r="A132" s="1" t="str">
        <f>Worksheet!R135</f>
        <v>2005-06-01</v>
      </c>
      <c r="B132">
        <f>Worksheet!B135</f>
        <v>8011</v>
      </c>
    </row>
    <row r="133" spans="1:2">
      <c r="A133" s="1" t="str">
        <f>Worksheet!R136</f>
        <v>2005-07-01</v>
      </c>
      <c r="B133">
        <f>Worksheet!B136</f>
        <v>7759</v>
      </c>
    </row>
    <row r="134" spans="1:2">
      <c r="A134" s="1" t="str">
        <f>Worksheet!R137</f>
        <v>2005-08-01</v>
      </c>
      <c r="B134">
        <f>Worksheet!B137</f>
        <v>7816</v>
      </c>
    </row>
    <row r="135" spans="1:2">
      <c r="A135" s="1" t="str">
        <f>Worksheet!R138</f>
        <v>2005-09-01</v>
      </c>
      <c r="B135">
        <f>Worksheet!B138</f>
        <v>8309</v>
      </c>
    </row>
    <row r="136" spans="1:2">
      <c r="A136" s="1" t="str">
        <f>Worksheet!R139</f>
        <v>2005-10-01</v>
      </c>
      <c r="B136">
        <f>Worksheet!B139</f>
        <v>8641</v>
      </c>
    </row>
    <row r="137" spans="1:2">
      <c r="A137" s="1" t="str">
        <f>Worksheet!R140</f>
        <v>2005-11-01</v>
      </c>
      <c r="B137">
        <f>Worksheet!B140</f>
        <v>7874</v>
      </c>
    </row>
    <row r="138" spans="1:2">
      <c r="A138" s="1" t="str">
        <f>Worksheet!R141</f>
        <v>2005-12-01</v>
      </c>
      <c r="B138">
        <f>Worksheet!B141</f>
        <v>7069</v>
      </c>
    </row>
    <row r="139" spans="1:2">
      <c r="A139" s="1" t="str">
        <f>Worksheet!R142</f>
        <v>2006-01-01</v>
      </c>
      <c r="B139">
        <f>Worksheet!B142</f>
        <v>8068</v>
      </c>
    </row>
    <row r="140" spans="1:2">
      <c r="A140" s="1" t="str">
        <f>Worksheet!R143</f>
        <v>2006-02-01</v>
      </c>
      <c r="B140">
        <f>Worksheet!B143</f>
        <v>9072</v>
      </c>
    </row>
    <row r="141" spans="1:2">
      <c r="A141" s="1" t="str">
        <f>Worksheet!R144</f>
        <v>2006-03-01</v>
      </c>
      <c r="B141">
        <f>Worksheet!B144</f>
        <v>11083</v>
      </c>
    </row>
    <row r="142" spans="1:2">
      <c r="A142" s="1" t="str">
        <f>Worksheet!R145</f>
        <v>2006-04-01</v>
      </c>
      <c r="B142">
        <f>Worksheet!B145</f>
        <v>12400</v>
      </c>
    </row>
    <row r="143" spans="1:2">
      <c r="A143" s="1" t="str">
        <f>Worksheet!R146</f>
        <v>2006-05-01</v>
      </c>
      <c r="B143">
        <f>Worksheet!B146</f>
        <v>14035</v>
      </c>
    </row>
    <row r="144" spans="1:2">
      <c r="A144" s="1" t="str">
        <f>Worksheet!R147</f>
        <v>2006-06-01</v>
      </c>
      <c r="B144">
        <f>Worksheet!B147</f>
        <v>13084</v>
      </c>
    </row>
    <row r="145" spans="1:2">
      <c r="A145" s="1" t="str">
        <f>Worksheet!R148</f>
        <v>2006-07-01</v>
      </c>
      <c r="B145">
        <f>Worksheet!B148</f>
        <v>13905</v>
      </c>
    </row>
    <row r="146" spans="1:2">
      <c r="A146" s="1" t="str">
        <f>Worksheet!R149</f>
        <v>2006-08-01</v>
      </c>
      <c r="B146">
        <f>Worksheet!B149</f>
        <v>13544</v>
      </c>
    </row>
    <row r="147" spans="1:2">
      <c r="A147" s="1" t="str">
        <f>Worksheet!R150</f>
        <v>2006-09-01</v>
      </c>
      <c r="B147">
        <f>Worksheet!B150</f>
        <v>13472</v>
      </c>
    </row>
    <row r="148" spans="1:2">
      <c r="A148" s="1" t="str">
        <f>Worksheet!R151</f>
        <v>2006-10-01</v>
      </c>
      <c r="B148">
        <f>Worksheet!B151</f>
        <v>14188</v>
      </c>
    </row>
    <row r="149" spans="1:2">
      <c r="A149" s="1" t="str">
        <f>Worksheet!R152</f>
        <v>2006-11-01</v>
      </c>
      <c r="B149">
        <f>Worksheet!B152</f>
        <v>15091</v>
      </c>
    </row>
    <row r="150" spans="1:2">
      <c r="A150" s="1" t="str">
        <f>Worksheet!R153</f>
        <v>2006-12-01</v>
      </c>
      <c r="B150">
        <f>Worksheet!B153</f>
        <v>19127</v>
      </c>
    </row>
    <row r="151" spans="1:2">
      <c r="A151" s="1" t="str">
        <f>Worksheet!R154</f>
        <v>2007-01-01</v>
      </c>
      <c r="B151">
        <f>Worksheet!B154</f>
        <v>20901</v>
      </c>
    </row>
    <row r="152" spans="1:2">
      <c r="A152" s="1" t="str">
        <f>Worksheet!R155</f>
        <v>2007-02-01</v>
      </c>
      <c r="B152">
        <f>Worksheet!B155</f>
        <v>21855</v>
      </c>
    </row>
    <row r="153" spans="1:2">
      <c r="A153" s="1" t="str">
        <f>Worksheet!R156</f>
        <v>2007-03-01</v>
      </c>
      <c r="B153">
        <f>Worksheet!B156</f>
        <v>21567</v>
      </c>
    </row>
    <row r="154" spans="1:2">
      <c r="A154" s="1" t="str">
        <f>Worksheet!R157</f>
        <v>2007-04-01</v>
      </c>
      <c r="B154">
        <f>Worksheet!B157</f>
        <v>22267</v>
      </c>
    </row>
    <row r="155" spans="1:2">
      <c r="A155" s="1" t="str">
        <f>Worksheet!R158</f>
        <v>2007-05-01</v>
      </c>
      <c r="B155">
        <f>Worksheet!B158</f>
        <v>21759</v>
      </c>
    </row>
    <row r="156" spans="1:2">
      <c r="A156" s="1" t="str">
        <f>Worksheet!R159</f>
        <v>2007-06-01</v>
      </c>
      <c r="B156">
        <f>Worksheet!B159</f>
        <v>22375</v>
      </c>
    </row>
    <row r="157" spans="1:2">
      <c r="A157" s="1" t="str">
        <f>Worksheet!R160</f>
        <v>2007-07-01</v>
      </c>
      <c r="B157">
        <f>Worksheet!B160</f>
        <v>23409</v>
      </c>
    </row>
    <row r="158" spans="1:2">
      <c r="A158" s="1" t="str">
        <f>Worksheet!R161</f>
        <v>2007-08-01</v>
      </c>
      <c r="B158">
        <f>Worksheet!B161</f>
        <v>20035</v>
      </c>
    </row>
    <row r="159" spans="1:2">
      <c r="A159" s="1" t="str">
        <f>Worksheet!R162</f>
        <v>2007-09-01</v>
      </c>
      <c r="B159">
        <f>Worksheet!B162</f>
        <v>18424</v>
      </c>
    </row>
    <row r="160" spans="1:2">
      <c r="A160" s="1" t="str">
        <f>Worksheet!R163</f>
        <v>2007-10-01</v>
      </c>
      <c r="B160">
        <f>Worksheet!B163</f>
        <v>17430</v>
      </c>
    </row>
    <row r="161" spans="1:2">
      <c r="A161" s="1" t="str">
        <f>Worksheet!R164</f>
        <v>2007-11-01</v>
      </c>
      <c r="B161">
        <f>Worksheet!B164</f>
        <v>18120</v>
      </c>
    </row>
    <row r="162" spans="1:2">
      <c r="A162" s="1" t="str">
        <f>Worksheet!R165</f>
        <v>2007-12-01</v>
      </c>
      <c r="B162">
        <f>Worksheet!B165</f>
        <v>17629</v>
      </c>
    </row>
    <row r="163" spans="1:2">
      <c r="A163" s="1" t="str">
        <f>Worksheet!R166</f>
        <v>2008-01-01</v>
      </c>
      <c r="B163">
        <f>Worksheet!B166</f>
        <v>19161</v>
      </c>
    </row>
    <row r="164" spans="1:2">
      <c r="A164" s="1" t="str">
        <f>Worksheet!R167</f>
        <v>2008-02-01</v>
      </c>
      <c r="B164">
        <f>Worksheet!B167</f>
        <v>19046</v>
      </c>
    </row>
    <row r="165" spans="1:2">
      <c r="A165" s="1" t="str">
        <f>Worksheet!R168</f>
        <v>2008-03-01</v>
      </c>
      <c r="B165">
        <f>Worksheet!B168</f>
        <v>19265</v>
      </c>
    </row>
    <row r="166" spans="1:2">
      <c r="A166" s="1" t="str">
        <f>Worksheet!R169</f>
        <v>2008-04-01</v>
      </c>
      <c r="B166">
        <f>Worksheet!B169</f>
        <v>20727</v>
      </c>
    </row>
    <row r="167" spans="1:2">
      <c r="A167" s="1" t="str">
        <f>Worksheet!R170</f>
        <v>2008-05-01</v>
      </c>
      <c r="B167">
        <f>Worksheet!B170</f>
        <v>21486</v>
      </c>
    </row>
    <row r="168" spans="1:2">
      <c r="A168" s="1" t="str">
        <f>Worksheet!R171</f>
        <v>2008-06-01</v>
      </c>
      <c r="B168">
        <f>Worksheet!B171</f>
        <v>21140</v>
      </c>
    </row>
    <row r="169" spans="1:2">
      <c r="A169" s="1" t="str">
        <f>Worksheet!R172</f>
        <v>2008-07-01</v>
      </c>
      <c r="B169">
        <f>Worksheet!B172</f>
        <v>21033</v>
      </c>
    </row>
    <row r="170" spans="1:2">
      <c r="A170" s="1" t="str">
        <f>Worksheet!R173</f>
        <v>2008-08-01</v>
      </c>
      <c r="B170">
        <f>Worksheet!B173</f>
        <v>21746</v>
      </c>
    </row>
    <row r="171" spans="1:2">
      <c r="A171" s="1" t="str">
        <f>Worksheet!R174</f>
        <v>2008-09-01</v>
      </c>
      <c r="B171">
        <f>Worksheet!B174</f>
        <v>21953</v>
      </c>
    </row>
    <row r="172" spans="1:2">
      <c r="A172" s="1" t="str">
        <f>Worksheet!R175</f>
        <v>2008-10-01</v>
      </c>
      <c r="B172">
        <f>Worksheet!B175</f>
        <v>21029</v>
      </c>
    </row>
    <row r="173" spans="1:2">
      <c r="A173" s="1" t="str">
        <f>Worksheet!R176</f>
        <v>2008-11-01</v>
      </c>
      <c r="B173">
        <f>Worksheet!B176</f>
        <v>19105</v>
      </c>
    </row>
    <row r="174" spans="1:2">
      <c r="A174" s="1" t="str">
        <f>Worksheet!R177</f>
        <v>2008-12-01</v>
      </c>
      <c r="B174">
        <f>Worksheet!B177</f>
        <v>19872</v>
      </c>
    </row>
    <row r="175" spans="1:2">
      <c r="A175" s="1" t="str">
        <f>Worksheet!R178</f>
        <v>2009-01-01</v>
      </c>
      <c r="B175">
        <f>Worksheet!B178</f>
        <v>18266</v>
      </c>
    </row>
    <row r="176" spans="1:2">
      <c r="A176" s="1" t="str">
        <f>Worksheet!R179</f>
        <v>2009-02-01</v>
      </c>
      <c r="B176">
        <f>Worksheet!B179</f>
        <v>19659</v>
      </c>
    </row>
    <row r="177" spans="1:2">
      <c r="A177" s="1" t="str">
        <f>Worksheet!R180</f>
        <v>2009-03-01</v>
      </c>
      <c r="B177">
        <f>Worksheet!B180</f>
        <v>18891</v>
      </c>
    </row>
    <row r="178" spans="1:2">
      <c r="A178" s="1" t="str">
        <f>Worksheet!R181</f>
        <v>2009-04-01</v>
      </c>
      <c r="B178">
        <f>Worksheet!B181</f>
        <v>19479</v>
      </c>
    </row>
    <row r="179" spans="1:2">
      <c r="A179" s="1" t="str">
        <f>Worksheet!R182</f>
        <v>2009-05-01</v>
      </c>
      <c r="B179">
        <f>Worksheet!B182</f>
        <v>19896</v>
      </c>
    </row>
    <row r="180" spans="1:2">
      <c r="A180" s="1" t="str">
        <f>Worksheet!R183</f>
        <v>2009-06-01</v>
      </c>
      <c r="B180">
        <f>Worksheet!B183</f>
        <v>18597</v>
      </c>
    </row>
    <row r="181" spans="1:2">
      <c r="A181" s="1" t="str">
        <f>Worksheet!R184</f>
        <v>2009-07-01</v>
      </c>
      <c r="B181">
        <f>Worksheet!B184</f>
        <v>19975</v>
      </c>
    </row>
    <row r="182" spans="1:2">
      <c r="A182" s="1" t="str">
        <f>Worksheet!R185</f>
        <v>2009-08-01</v>
      </c>
      <c r="B182">
        <f>Worksheet!B185</f>
        <v>20020</v>
      </c>
    </row>
    <row r="183" spans="1:2">
      <c r="A183" s="1" t="str">
        <f>Worksheet!R186</f>
        <v>2009-09-01</v>
      </c>
      <c r="B183">
        <f>Worksheet!B186</f>
        <v>20663</v>
      </c>
    </row>
    <row r="184" spans="1:2">
      <c r="A184" s="1" t="str">
        <f>Worksheet!R187</f>
        <v>2009-10-01</v>
      </c>
      <c r="B184">
        <f>Worksheet!B187</f>
        <v>20797</v>
      </c>
    </row>
    <row r="185" spans="1:2">
      <c r="A185" s="1" t="str">
        <f>Worksheet!R188</f>
        <v>2009-11-01</v>
      </c>
      <c r="B185">
        <f>Worksheet!B188</f>
        <v>23904</v>
      </c>
    </row>
    <row r="186" spans="1:2">
      <c r="A186" s="1" t="str">
        <f>Worksheet!R189</f>
        <v>2009-12-01</v>
      </c>
      <c r="B186">
        <f>Worksheet!B189</f>
        <v>23091</v>
      </c>
    </row>
    <row r="187" spans="1:2">
      <c r="A187" s="1" t="str">
        <f>Worksheet!R190</f>
        <v>2010-01-01</v>
      </c>
      <c r="B187">
        <f>Worksheet!B190</f>
        <v>26274</v>
      </c>
    </row>
    <row r="188" spans="1:2">
      <c r="A188" s="1" t="str">
        <f>Worksheet!R191</f>
        <v>2010-02-01</v>
      </c>
      <c r="B188">
        <f>Worksheet!B191</f>
        <v>27550</v>
      </c>
    </row>
    <row r="189" spans="1:2">
      <c r="A189" s="1" t="str">
        <f>Worksheet!R192</f>
        <v>2010-03-01</v>
      </c>
      <c r="B189">
        <f>Worksheet!B192</f>
        <v>27143</v>
      </c>
    </row>
    <row r="190" spans="1:2">
      <c r="A190" s="1" t="str">
        <f>Worksheet!R193</f>
        <v>2010-04-01</v>
      </c>
      <c r="B190">
        <f>Worksheet!B193</f>
        <v>29371</v>
      </c>
    </row>
    <row r="191" spans="1:2">
      <c r="A191" s="1" t="str">
        <f>Worksheet!R194</f>
        <v>2010-05-01</v>
      </c>
      <c r="B191">
        <f>Worksheet!B194</f>
        <v>28231</v>
      </c>
    </row>
    <row r="192" spans="1:2">
      <c r="A192" s="1" t="str">
        <f>Worksheet!R195</f>
        <v>2010-06-01</v>
      </c>
      <c r="B192">
        <f>Worksheet!B195</f>
        <v>26603</v>
      </c>
    </row>
    <row r="193" spans="1:2">
      <c r="A193" s="1" t="str">
        <f>Worksheet!R196</f>
        <v>2010-07-01</v>
      </c>
      <c r="B193">
        <f>Worksheet!B196</f>
        <v>27769</v>
      </c>
    </row>
    <row r="194" spans="1:2">
      <c r="A194" s="1" t="str">
        <f>Worksheet!R197</f>
        <v>2010-08-01</v>
      </c>
      <c r="B194">
        <f>Worksheet!B197</f>
        <v>26911</v>
      </c>
    </row>
    <row r="195" spans="1:2">
      <c r="A195" s="1" t="str">
        <f>Worksheet!R198</f>
        <v>2010-09-01</v>
      </c>
      <c r="B195">
        <f>Worksheet!B198</f>
        <v>27831</v>
      </c>
    </row>
    <row r="196" spans="1:2">
      <c r="A196" s="1" t="str">
        <f>Worksheet!R199</f>
        <v>2010-10-01</v>
      </c>
      <c r="B196">
        <f>Worksheet!B199</f>
        <v>28984</v>
      </c>
    </row>
    <row r="197" spans="1:2">
      <c r="A197" s="1" t="str">
        <f>Worksheet!R200</f>
        <v>2010-11-01</v>
      </c>
      <c r="B197">
        <f>Worksheet!B200</f>
        <v>27796</v>
      </c>
    </row>
    <row r="198" spans="1:2">
      <c r="A198" s="1" t="str">
        <f>Worksheet!R201</f>
        <v>2010-12-01</v>
      </c>
      <c r="B198">
        <f>Worksheet!B201</f>
        <v>28275</v>
      </c>
    </row>
    <row r="199" spans="1:2">
      <c r="A199" s="1" t="str">
        <f>Worksheet!R202</f>
        <v>2011-01-01</v>
      </c>
      <c r="B199">
        <f>Worksheet!B202</f>
        <v>31158</v>
      </c>
    </row>
    <row r="200" spans="1:2">
      <c r="A200" s="1" t="str">
        <f>Worksheet!R203</f>
        <v>2011-02-01</v>
      </c>
      <c r="B200">
        <f>Worksheet!B203</f>
        <v>33449</v>
      </c>
    </row>
    <row r="201" spans="1:2">
      <c r="A201" s="1" t="str">
        <f>Worksheet!R204</f>
        <v>2011-03-01</v>
      </c>
      <c r="B201">
        <f>Worksheet!B204</f>
        <v>35189</v>
      </c>
    </row>
    <row r="202" spans="1:2">
      <c r="A202" s="1" t="str">
        <f>Worksheet!R205</f>
        <v>2011-04-01</v>
      </c>
      <c r="B202">
        <f>Worksheet!B205</f>
        <v>36985</v>
      </c>
    </row>
    <row r="203" spans="1:2">
      <c r="A203" s="1" t="str">
        <f>Worksheet!R206</f>
        <v>2011-05-01</v>
      </c>
      <c r="B203">
        <f>Worksheet!B206</f>
        <v>36006</v>
      </c>
    </row>
    <row r="204" spans="1:2">
      <c r="A204" s="1" t="str">
        <f>Worksheet!R207</f>
        <v>2011-06-01</v>
      </c>
      <c r="B204">
        <f>Worksheet!B207</f>
        <v>34615</v>
      </c>
    </row>
    <row r="205" spans="1:2">
      <c r="A205" s="1" t="str">
        <f>Worksheet!R208</f>
        <v>2011-07-01</v>
      </c>
      <c r="B205">
        <f>Worksheet!B208</f>
        <v>36984</v>
      </c>
    </row>
    <row r="206" spans="1:2">
      <c r="A206" s="1" t="str">
        <f>Worksheet!R209</f>
        <v>2011-08-01</v>
      </c>
      <c r="B206">
        <f>Worksheet!B209</f>
        <v>36015</v>
      </c>
    </row>
    <row r="207" spans="1:2">
      <c r="A207" s="1" t="str">
        <f>Worksheet!R210</f>
        <v>2011-09-01</v>
      </c>
      <c r="B207">
        <f>Worksheet!B210</f>
        <v>32489</v>
      </c>
    </row>
    <row r="208" spans="1:2">
      <c r="A208" s="1" t="str">
        <f>Worksheet!R211</f>
        <v>2011-10-01</v>
      </c>
      <c r="B208">
        <f>Worksheet!B211</f>
        <v>32632</v>
      </c>
    </row>
    <row r="209" spans="1:2">
      <c r="A209" s="1" t="str">
        <f>Worksheet!R212</f>
        <v>2011-11-01</v>
      </c>
      <c r="B209">
        <f>Worksheet!B212</f>
        <v>32178</v>
      </c>
    </row>
    <row r="210" spans="1:2">
      <c r="A210" s="1" t="str">
        <f>Worksheet!R213</f>
        <v>2011-12-01</v>
      </c>
      <c r="B210">
        <f>Worksheet!B213</f>
        <v>29328</v>
      </c>
    </row>
    <row r="211" spans="1:2">
      <c r="A211" s="1" t="str">
        <f>Worksheet!R214</f>
        <v>2012-01-01</v>
      </c>
      <c r="B211">
        <f>Worksheet!B214</f>
        <v>33691</v>
      </c>
    </row>
    <row r="212" spans="1:2">
      <c r="A212" s="1" t="str">
        <f>Worksheet!R215</f>
        <v>2012-02-01</v>
      </c>
      <c r="B212">
        <f>Worksheet!B215</f>
        <v>35352</v>
      </c>
    </row>
    <row r="213" spans="1:2">
      <c r="A213" s="1" t="str">
        <f>Worksheet!R216</f>
        <v>2012-03-01</v>
      </c>
      <c r="B213">
        <f>Worksheet!B216</f>
        <v>32289</v>
      </c>
    </row>
    <row r="214" spans="1:2">
      <c r="A214" s="1" t="str">
        <f>Worksheet!R217</f>
        <v>2012-04-01</v>
      </c>
      <c r="B214">
        <f>Worksheet!B217</f>
        <v>35038</v>
      </c>
    </row>
    <row r="215" spans="1:2">
      <c r="A215" s="1" t="str">
        <f>Worksheet!R218</f>
        <v>2012-05-01</v>
      </c>
      <c r="B215">
        <f>Worksheet!B218</f>
        <v>34278</v>
      </c>
    </row>
    <row r="216" spans="1:2">
      <c r="A216" s="1" t="str">
        <f>Worksheet!R219</f>
        <v>2012-06-01</v>
      </c>
      <c r="B216">
        <f>Worksheet!B219</f>
        <v>32326</v>
      </c>
    </row>
    <row r="217" spans="1:2">
      <c r="A217" s="1" t="str">
        <f>Worksheet!R220</f>
        <v>2012-07-01</v>
      </c>
      <c r="B217">
        <f>Worksheet!B220</f>
        <v>28976</v>
      </c>
    </row>
    <row r="218" spans="1:2">
      <c r="A218" s="1" t="str">
        <f>Worksheet!R221</f>
        <v>2012-08-01</v>
      </c>
      <c r="B218">
        <f>Worksheet!B221</f>
        <v>29576</v>
      </c>
    </row>
    <row r="219" spans="1:2">
      <c r="A219" s="1" t="str">
        <f>Worksheet!R222</f>
        <v>2012-09-01</v>
      </c>
      <c r="B219">
        <f>Worksheet!B222</f>
        <v>30091</v>
      </c>
    </row>
    <row r="220" spans="1:2">
      <c r="A220" s="1" t="str">
        <f>Worksheet!R223</f>
        <v>2012-10-01</v>
      </c>
      <c r="B220">
        <f>Worksheet!B223</f>
        <v>29060</v>
      </c>
    </row>
    <row r="221" spans="1:2">
      <c r="A221" s="1" t="str">
        <f>Worksheet!R224</f>
        <v>2012-11-01</v>
      </c>
      <c r="B221">
        <f>Worksheet!B224</f>
        <v>29637</v>
      </c>
    </row>
    <row r="222" spans="1:2">
      <c r="A222" s="1" t="str">
        <f>Worksheet!R225</f>
        <v>2012-12-01</v>
      </c>
      <c r="B222">
        <f>Worksheet!B225</f>
        <v>28269</v>
      </c>
    </row>
    <row r="223" spans="1:2">
      <c r="A223" s="1" t="str">
        <f>Worksheet!R226</f>
        <v>2013-01-01</v>
      </c>
      <c r="B223">
        <f>Worksheet!B226</f>
        <v>26950</v>
      </c>
    </row>
    <row r="224" spans="1:2">
      <c r="A224" s="1" t="str">
        <f>Worksheet!R227</f>
        <v>2013-02-01</v>
      </c>
      <c r="B224">
        <f>Worksheet!B227</f>
        <v>26649</v>
      </c>
    </row>
    <row r="225" spans="1:2">
      <c r="A225" s="1" t="str">
        <f>Worksheet!R228</f>
        <v>2013-03-01</v>
      </c>
      <c r="B225">
        <f>Worksheet!B228</f>
        <v>28109</v>
      </c>
    </row>
    <row r="226" spans="1:2">
      <c r="A226" s="1" t="str">
        <f>Worksheet!R229</f>
        <v>2013-04-01</v>
      </c>
      <c r="B226">
        <f>Worksheet!B229</f>
        <v>26424</v>
      </c>
    </row>
    <row r="227" spans="1:2">
      <c r="A227" s="1" t="str">
        <f>Worksheet!R230</f>
        <v>2013-05-01</v>
      </c>
      <c r="B227">
        <f>Worksheet!B230</f>
        <v>28356</v>
      </c>
    </row>
    <row r="228" spans="1:2">
      <c r="A228" s="1" t="str">
        <f>Worksheet!R231</f>
        <v>2013-06-01</v>
      </c>
      <c r="B228">
        <f>Worksheet!B231</f>
        <v>26118</v>
      </c>
    </row>
    <row r="229" spans="1:2">
      <c r="A229" s="1" t="str">
        <f>Worksheet!R232</f>
        <v>2013-07-01</v>
      </c>
      <c r="B229">
        <f>Worksheet!B232</f>
        <v>25469</v>
      </c>
    </row>
    <row r="230" spans="1:2">
      <c r="A230" s="1" t="str">
        <f>Worksheet!R233</f>
        <v>2013-08-01</v>
      </c>
      <c r="B230">
        <f>Worksheet!B233</f>
        <v>25834</v>
      </c>
    </row>
    <row r="231" spans="1:2">
      <c r="A231" s="1" t="str">
        <f>Worksheet!R234</f>
        <v>2013-09-01</v>
      </c>
      <c r="B231">
        <f>Worksheet!B234</f>
        <v>24159</v>
      </c>
    </row>
    <row r="232" spans="1:2">
      <c r="A232" s="1" t="str">
        <f>Worksheet!R235</f>
        <v>2013-10-01</v>
      </c>
      <c r="B232">
        <f>Worksheet!B235</f>
        <v>23697</v>
      </c>
    </row>
    <row r="233" spans="1:2">
      <c r="A233" s="1" t="str">
        <f>Worksheet!R236</f>
        <v>2013-11-01</v>
      </c>
      <c r="B233">
        <f>Worksheet!B236</f>
        <v>24095</v>
      </c>
    </row>
    <row r="234" spans="1:2">
      <c r="A234" s="1" t="str">
        <f>Worksheet!R237</f>
        <v>2013-12-01</v>
      </c>
      <c r="B234">
        <f>Worksheet!B237</f>
        <v>24715</v>
      </c>
    </row>
    <row r="235" spans="1:2">
      <c r="A235" s="1" t="str">
        <f>Worksheet!R238</f>
        <v>2014-01-01</v>
      </c>
      <c r="B235">
        <f>Worksheet!B238</f>
        <v>24519</v>
      </c>
    </row>
    <row r="236" spans="1:2">
      <c r="A236" s="1" t="str">
        <f>Worksheet!R239</f>
        <v>2014-02-01</v>
      </c>
      <c r="B236">
        <f>Worksheet!B239</f>
        <v>26051</v>
      </c>
    </row>
    <row r="237" spans="1:2">
      <c r="A237" s="1" t="str">
        <f>Worksheet!R240</f>
        <v>2014-03-01</v>
      </c>
      <c r="B237">
        <f>Worksheet!B240</f>
        <v>26516</v>
      </c>
    </row>
    <row r="238" spans="1:2">
      <c r="A238" s="1" t="str">
        <f>Worksheet!R241</f>
        <v>2014-04-01</v>
      </c>
      <c r="B238">
        <f>Worksheet!B241</f>
        <v>28407</v>
      </c>
    </row>
    <row r="239" spans="1:2">
      <c r="A239" s="1" t="str">
        <f>Worksheet!R242</f>
        <v>2014-05-01</v>
      </c>
      <c r="B239">
        <f>Worksheet!B242</f>
        <v>27556</v>
      </c>
    </row>
    <row r="240" spans="1:2">
      <c r="A240" s="1" t="str">
        <f>Worksheet!R243</f>
        <v>2014-06-01</v>
      </c>
      <c r="B240">
        <f>Worksheet!B243</f>
        <v>26468</v>
      </c>
    </row>
    <row r="241" spans="1:2">
      <c r="A241" s="1" t="str">
        <f>Worksheet!R244</f>
        <v>2014-07-01</v>
      </c>
      <c r="B241">
        <f>Worksheet!B244</f>
        <v>26997</v>
      </c>
    </row>
    <row r="242" spans="1:2">
      <c r="A242" s="1" t="str">
        <f>Worksheet!R245</f>
        <v>2014-08-01</v>
      </c>
      <c r="B242">
        <f>Worksheet!B245</f>
        <v>27741</v>
      </c>
    </row>
    <row r="243" spans="1:2">
      <c r="A243" s="1" t="str">
        <f>Worksheet!R246</f>
        <v>2014-09-01</v>
      </c>
      <c r="B243">
        <f>Worksheet!B246</f>
        <v>27961</v>
      </c>
    </row>
    <row r="244" spans="1:2">
      <c r="A244" s="1" t="str">
        <f>Worksheet!R247</f>
        <v>2014-10-01</v>
      </c>
      <c r="B244">
        <f>Worksheet!B247</f>
        <v>28271</v>
      </c>
    </row>
    <row r="245" spans="1:2">
      <c r="A245" s="1" t="str">
        <f>Worksheet!R248</f>
        <v>2014-11-01</v>
      </c>
      <c r="B245">
        <f>Worksheet!B248</f>
        <v>28615</v>
      </c>
    </row>
    <row r="246" spans="1:2">
      <c r="A246" s="1" t="str">
        <f>Worksheet!R249</f>
        <v>2014-12-01</v>
      </c>
      <c r="B246">
        <f>Worksheet!B249</f>
        <v>29209</v>
      </c>
    </row>
    <row r="247" spans="1:2">
      <c r="A247" s="1" t="str">
        <f>Worksheet!R250</f>
        <v>2015-01-01</v>
      </c>
      <c r="B247">
        <f>Worksheet!B250</f>
        <v>29055</v>
      </c>
    </row>
    <row r="248" spans="1:2">
      <c r="A248" s="1" t="str">
        <f>Worksheet!R251</f>
        <v>2015-02-01</v>
      </c>
      <c r="B248">
        <f>Worksheet!B251</f>
        <v>29080</v>
      </c>
    </row>
    <row r="249" spans="1:2">
      <c r="A249" s="1" t="str">
        <f>Worksheet!R252</f>
        <v>2015-03-01</v>
      </c>
      <c r="B249">
        <f>Worksheet!B252</f>
        <v>29120</v>
      </c>
    </row>
    <row r="250" spans="1:2">
      <c r="A250" s="1" t="str">
        <f>Worksheet!R253</f>
        <v>2015-04-01</v>
      </c>
      <c r="B250">
        <f>Worksheet!B253</f>
        <v>28737</v>
      </c>
    </row>
    <row r="251" spans="1:2">
      <c r="A251" s="1" t="str">
        <f>Worksheet!R254</f>
        <v>2015-05-01</v>
      </c>
      <c r="B251">
        <f>Worksheet!B254</f>
        <v>28734</v>
      </c>
    </row>
    <row r="252" spans="1:2">
      <c r="A252" s="1" t="str">
        <f>Worksheet!R255</f>
        <v>2015-06-01</v>
      </c>
      <c r="B252">
        <f>Worksheet!B255</f>
        <v>28891</v>
      </c>
    </row>
    <row r="253" spans="1:2">
      <c r="A253" s="1" t="str">
        <f>Worksheet!R256</f>
        <v>2015-07-01</v>
      </c>
      <c r="B253">
        <f>Worksheet!B256</f>
        <v>28977</v>
      </c>
    </row>
    <row r="254" spans="1:2">
      <c r="A254" s="1" t="str">
        <f>Worksheet!R257</f>
        <v>2015-08-01</v>
      </c>
      <c r="B254">
        <f>Worksheet!B257</f>
        <v>29085</v>
      </c>
    </row>
    <row r="255" spans="1:2">
      <c r="A255" s="1" t="str">
        <f>Worksheet!R258</f>
        <v>2015-09-01</v>
      </c>
      <c r="B255">
        <f>Worksheet!B258</f>
        <v>28341</v>
      </c>
    </row>
    <row r="256" spans="1:2">
      <c r="A256" s="1" t="str">
        <f>Worksheet!R259</f>
        <v>2015-10-01</v>
      </c>
      <c r="B256">
        <f>Worksheet!B259</f>
        <v>28473</v>
      </c>
    </row>
    <row r="257" spans="1:2">
      <c r="A257" s="1" t="str">
        <f>Worksheet!R260</f>
        <v>2015-11-01</v>
      </c>
      <c r="B257">
        <f>Worksheet!B260</f>
        <v>28380</v>
      </c>
    </row>
    <row r="258" spans="1:2">
      <c r="A258" s="1" t="str">
        <f>Worksheet!R261</f>
        <v>2015-12-01</v>
      </c>
      <c r="B258">
        <f>Worksheet!B261</f>
        <v>27871</v>
      </c>
    </row>
    <row r="259" spans="1:2">
      <c r="A259" s="1" t="str">
        <f>Worksheet!R262</f>
        <v>2016-01-01</v>
      </c>
      <c r="B259">
        <f>Worksheet!B262</f>
        <v>26855</v>
      </c>
    </row>
    <row r="260" spans="1:2">
      <c r="A260" s="1" t="str">
        <f>Worksheet!R263</f>
        <v>2016-02-01</v>
      </c>
      <c r="B260">
        <f>Worksheet!B263</f>
        <v>27645</v>
      </c>
    </row>
    <row r="261" spans="1:2">
      <c r="A261" s="1" t="str">
        <f>Worksheet!R264</f>
        <v>2016-03-01</v>
      </c>
      <c r="B261">
        <f>Worksheet!B264</f>
        <v>28394</v>
      </c>
    </row>
    <row r="262" spans="1:2">
      <c r="A262" s="1" t="str">
        <f>Worksheet!R265</f>
        <v>2016-04-01</v>
      </c>
      <c r="B262">
        <f>Worksheet!B265</f>
        <v>29400</v>
      </c>
    </row>
    <row r="263" spans="1:2">
      <c r="A263" s="1" t="str">
        <f>Worksheet!R266</f>
        <v>2016-05-01</v>
      </c>
      <c r="B263">
        <f>Worksheet!B266</f>
        <v>28603</v>
      </c>
    </row>
    <row r="264" spans="1:2">
      <c r="A264" s="1" t="str">
        <f>Worksheet!R267</f>
        <v>2016-06-01</v>
      </c>
      <c r="B264">
        <f>Worksheet!B267</f>
        <v>30374</v>
      </c>
    </row>
    <row r="265" spans="1:2">
      <c r="A265" s="1" t="str">
        <f>Worksheet!R268</f>
        <v>2016-07-01</v>
      </c>
      <c r="B265">
        <f>Worksheet!B268</f>
        <v>30375</v>
      </c>
    </row>
    <row r="266" spans="1:2">
      <c r="A266" s="1" t="str">
        <f>Worksheet!R269</f>
        <v>2016-08-01</v>
      </c>
      <c r="B266">
        <f>Worksheet!B269</f>
        <v>30536</v>
      </c>
    </row>
    <row r="267" spans="1:2">
      <c r="A267" s="1" t="str">
        <f>Worksheet!R270</f>
        <v>2016-09-01</v>
      </c>
      <c r="B267">
        <f>Worksheet!B270</f>
        <v>31231</v>
      </c>
    </row>
    <row r="268" spans="1:2">
      <c r="A268" s="1" t="str">
        <f>Worksheet!R271</f>
        <v>2016-10-01</v>
      </c>
      <c r="B268">
        <f>Worksheet!B271</f>
        <v>30314</v>
      </c>
    </row>
    <row r="269" spans="1:2">
      <c r="A269" s="1" t="str">
        <f>Worksheet!R272</f>
        <v>2016-11-01</v>
      </c>
      <c r="B269">
        <f>Worksheet!B272</f>
        <v>29564</v>
      </c>
    </row>
    <row r="270" spans="1:2">
      <c r="A270" s="1" t="str">
        <f>Worksheet!R273</f>
        <v>2016-12-01</v>
      </c>
      <c r="B270">
        <f>Worksheet!B273</f>
        <v>29710</v>
      </c>
    </row>
    <row r="271" spans="1:2">
      <c r="A271" s="1" t="str">
        <f>Worksheet!R274</f>
        <v>2017-01-01</v>
      </c>
      <c r="B271">
        <f>Worksheet!B274</f>
        <v>29376</v>
      </c>
    </row>
    <row r="272" spans="1:2">
      <c r="A272" s="1" t="str">
        <f>Worksheet!R275</f>
        <v>2017-02-01</v>
      </c>
      <c r="B272">
        <f>Worksheet!B275</f>
        <v>29689</v>
      </c>
    </row>
    <row r="273" spans="1:2">
      <c r="A273" s="1" t="str">
        <f>Worksheet!R276</f>
        <v>2017-03-01</v>
      </c>
      <c r="B273">
        <f>Worksheet!B276</f>
        <v>29742</v>
      </c>
    </row>
    <row r="274" spans="1:2">
      <c r="A274" s="1" t="str">
        <f>Worksheet!R277</f>
        <v>2017-04-01</v>
      </c>
      <c r="B274">
        <f>Worksheet!B277</f>
        <v>29797</v>
      </c>
    </row>
    <row r="275" spans="1:2">
      <c r="A275" s="1" t="str">
        <f>Worksheet!R278</f>
        <v>2017-05-01</v>
      </c>
      <c r="B275">
        <f>Worksheet!B278</f>
        <v>30187</v>
      </c>
    </row>
    <row r="276" spans="1:2">
      <c r="A276" s="1" t="str">
        <f>Worksheet!R279</f>
        <v>2017-06-01</v>
      </c>
      <c r="B276">
        <f>Worksheet!B279</f>
        <v>30011</v>
      </c>
    </row>
    <row r="277" spans="1:2">
      <c r="A277" s="1" t="str">
        <f>Worksheet!R280</f>
        <v>2017-07-01</v>
      </c>
      <c r="B277">
        <f>Worksheet!B280</f>
        <v>32945</v>
      </c>
    </row>
    <row r="278" spans="1:2">
      <c r="A278" s="1" t="str">
        <f>Worksheet!R281</f>
        <v>2017-08-01</v>
      </c>
      <c r="B278">
        <f>Worksheet!B281</f>
        <v>32644</v>
      </c>
    </row>
    <row r="279" spans="1:2">
      <c r="A279" s="1" t="str">
        <f>Worksheet!R282</f>
        <v>2017-09-01</v>
      </c>
      <c r="B279">
        <f>Worksheet!B282</f>
        <v>32209</v>
      </c>
    </row>
    <row r="280" spans="1:2">
      <c r="A280" s="1" t="str">
        <f>Worksheet!R283</f>
        <v>2017-10-01</v>
      </c>
      <c r="B280">
        <f>Worksheet!B283</f>
        <v>31489</v>
      </c>
    </row>
    <row r="281" spans="1:2">
      <c r="A281" s="1" t="str">
        <f>Worksheet!R284</f>
        <v>2017-11-01</v>
      </c>
      <c r="B281">
        <f>Worksheet!B284</f>
        <v>31073</v>
      </c>
    </row>
    <row r="282" spans="1:2">
      <c r="A282" s="1" t="str">
        <f>Worksheet!R285</f>
        <v>2017-12-01</v>
      </c>
      <c r="B282">
        <f>Worksheet!B285</f>
        <v>30997</v>
      </c>
    </row>
    <row r="283" spans="1:2">
      <c r="A283" s="1" t="str">
        <f>Worksheet!R286</f>
        <v>2018-01-01</v>
      </c>
      <c r="B283">
        <f>Worksheet!B286</f>
        <v>31349</v>
      </c>
    </row>
    <row r="284" spans="1:2">
      <c r="A284" s="1" t="str">
        <f>Worksheet!R287</f>
        <v>2018-02-01</v>
      </c>
      <c r="B284">
        <f>Worksheet!B287</f>
        <v>30993</v>
      </c>
    </row>
    <row r="285" spans="1:2">
      <c r="A285" s="1" t="str">
        <f>Worksheet!R288</f>
        <v>2018-03-01</v>
      </c>
      <c r="B285">
        <f>Worksheet!B288</f>
        <v>30649</v>
      </c>
    </row>
    <row r="286" spans="1:2">
      <c r="A286" s="1" t="str">
        <f>Worksheet!R289</f>
        <v>2018-04-01</v>
      </c>
      <c r="B286">
        <f>Worksheet!B289</f>
        <v>31339</v>
      </c>
    </row>
    <row r="287" spans="1:2">
      <c r="A287" s="1" t="str">
        <f>Worksheet!R290</f>
        <v>2018-05-01</v>
      </c>
      <c r="B287">
        <f>Worksheet!B290</f>
        <v>30721</v>
      </c>
    </row>
    <row r="288" spans="1:2">
      <c r="A288" s="1" t="str">
        <f>Worksheet!R291</f>
        <v>2018-06-01</v>
      </c>
      <c r="B288">
        <f>Worksheet!B291</f>
        <v>30096</v>
      </c>
    </row>
    <row r="289" spans="1:2">
      <c r="A289" s="1" t="str">
        <f>Worksheet!R292</f>
        <v>2018-07-01</v>
      </c>
      <c r="B289">
        <f>Worksheet!B292</f>
        <v>30842</v>
      </c>
    </row>
    <row r="290" spans="1:2">
      <c r="A290" s="1" t="str">
        <f>Worksheet!R293</f>
        <v>2018-08-01</v>
      </c>
      <c r="B290">
        <f>Worksheet!B293</f>
        <v>30510</v>
      </c>
    </row>
    <row r="291" spans="1:2">
      <c r="A291" s="1" t="str">
        <f>Worksheet!R294</f>
        <v>2018-09-01</v>
      </c>
      <c r="B291">
        <f>Worksheet!B294</f>
        <v>29977</v>
      </c>
    </row>
    <row r="292" spans="1:2">
      <c r="A292" s="1" t="str">
        <f>Worksheet!R295</f>
        <v>2018-10-01</v>
      </c>
      <c r="B292">
        <f>Worksheet!B295</f>
        <v>29044</v>
      </c>
    </row>
    <row r="293" spans="1:2">
      <c r="A293" s="1" t="str">
        <f>Worksheet!R296</f>
        <v>2018-11-01</v>
      </c>
      <c r="B293">
        <f>Worksheet!B296</f>
        <v>30146</v>
      </c>
    </row>
    <row r="294" spans="1:2">
      <c r="A294" s="1" t="str">
        <f>Worksheet!R297</f>
        <v>2018-12-01</v>
      </c>
      <c r="B294">
        <f>Worksheet!B297</f>
        <v>30927</v>
      </c>
    </row>
    <row r="295" spans="1:2">
      <c r="A295" s="1" t="str">
        <f>Worksheet!R298</f>
        <v>2019-01-01</v>
      </c>
      <c r="B295">
        <f>Worksheet!B298</f>
        <v>30580</v>
      </c>
    </row>
    <row r="296" spans="1:2">
      <c r="A296" s="1" t="str">
        <f>Worksheet!R299</f>
        <v>2019-02-01</v>
      </c>
      <c r="B296">
        <f>Worksheet!B299</f>
        <v>29137</v>
      </c>
    </row>
    <row r="297" spans="1:2">
      <c r="A297" s="1" t="str">
        <f>Worksheet!R300</f>
        <v>2019-03-01</v>
      </c>
      <c r="B297">
        <f>Worksheet!B300</f>
        <v>27042</v>
      </c>
    </row>
    <row r="298" spans="1:2">
      <c r="A298" s="1" t="str">
        <f>Worksheet!R301</f>
        <v>2019-04-01</v>
      </c>
      <c r="B298">
        <f>Worksheet!B301</f>
        <v>27085</v>
      </c>
    </row>
    <row r="299" spans="1:2">
      <c r="A299" s="1" t="str">
        <f>Worksheet!R302</f>
        <v>2019-05-01</v>
      </c>
      <c r="B299">
        <f>Worksheet!B302</f>
        <v>28050</v>
      </c>
    </row>
    <row r="300" spans="1:2">
      <c r="A300" s="1" t="str">
        <f>Worksheet!R303</f>
        <v>2019-06-01</v>
      </c>
      <c r="B300">
        <f>Worksheet!B303</f>
        <v>28222</v>
      </c>
    </row>
    <row r="301" spans="1:2">
      <c r="A301" s="1" t="str">
        <f>Worksheet!R304</f>
        <v>2019-07-01</v>
      </c>
      <c r="B301">
        <f>Worksheet!B304</f>
        <v>27677</v>
      </c>
    </row>
    <row r="302" spans="1:2">
      <c r="A302" s="1" t="str">
        <f>Worksheet!R305</f>
        <v>2019-08-01</v>
      </c>
      <c r="B302">
        <f>Worksheet!B305</f>
        <v>28236</v>
      </c>
    </row>
    <row r="303" spans="1:2">
      <c r="A303" s="1" t="str">
        <f>Worksheet!R306</f>
        <v>2019-09-01</v>
      </c>
      <c r="B303">
        <f>Worksheet!B306</f>
        <v>28796</v>
      </c>
    </row>
    <row r="304" spans="1:2">
      <c r="A304" s="1" t="str">
        <f>Worksheet!R307</f>
        <v>2019-10-01</v>
      </c>
      <c r="B304">
        <f>Worksheet!B307</f>
        <v>29502</v>
      </c>
    </row>
    <row r="305" spans="1:2">
      <c r="A305" s="1" t="str">
        <f>Worksheet!R308</f>
        <v>2019-11-01</v>
      </c>
      <c r="B305">
        <f>Worksheet!B308</f>
        <v>28637</v>
      </c>
    </row>
    <row r="306" spans="1:2">
      <c r="A306" s="1" t="str">
        <f>Worksheet!R309</f>
        <v>2019-12-01</v>
      </c>
      <c r="B306">
        <f>Worksheet!B309</f>
        <v>28958</v>
      </c>
    </row>
    <row r="307" spans="1:2">
      <c r="A307" s="1" t="str">
        <f>Worksheet!R310</f>
        <v>2020-01-01</v>
      </c>
      <c r="B307">
        <f>Worksheet!B310</f>
        <v>29336</v>
      </c>
    </row>
    <row r="308" spans="1:2">
      <c r="A308" s="1" t="str">
        <f>Worksheet!R311</f>
        <v>2020-02-01</v>
      </c>
      <c r="B308">
        <f>Worksheet!B311</f>
        <v>29889</v>
      </c>
    </row>
    <row r="309" spans="1:2">
      <c r="A309" s="1" t="str">
        <f>Worksheet!R312</f>
        <v>2020-03-01</v>
      </c>
      <c r="B309">
        <f>Worksheet!B312</f>
        <v>29782</v>
      </c>
    </row>
    <row r="310" spans="1:2">
      <c r="A310" s="1" t="str">
        <f>Worksheet!R313</f>
        <v>2020-04-01</v>
      </c>
      <c r="B310">
        <f>Worksheet!B313</f>
        <v>30557</v>
      </c>
    </row>
    <row r="311" spans="1:2">
      <c r="A311" s="1" t="str">
        <f>Worksheet!R314</f>
        <v>2020-05-01</v>
      </c>
      <c r="B311">
        <f>Worksheet!B314</f>
        <v>31561</v>
      </c>
    </row>
    <row r="312" spans="1:2">
      <c r="A312" s="1" t="str">
        <f>Worksheet!R315</f>
        <v>2020-06-01</v>
      </c>
      <c r="B312">
        <f>Worksheet!B315</f>
        <v>32891</v>
      </c>
    </row>
    <row r="313" spans="1:2">
      <c r="A313" s="1" t="str">
        <f>Worksheet!R316</f>
        <v>2020-07-01</v>
      </c>
      <c r="B313">
        <f>Worksheet!B316</f>
        <v>35372</v>
      </c>
    </row>
    <row r="314" spans="1:2">
      <c r="A314" s="1" t="str">
        <f>Worksheet!R317</f>
        <v>2020-08-01</v>
      </c>
      <c r="B314">
        <f>Worksheet!B317</f>
        <v>35393</v>
      </c>
    </row>
    <row r="315" spans="1:2">
      <c r="A315" s="1" t="str">
        <f>Worksheet!R318</f>
        <v>2020-09-01</v>
      </c>
      <c r="B315">
        <f>Worksheet!B318</f>
        <v>33784</v>
      </c>
    </row>
    <row r="316" spans="1:2">
      <c r="A316" s="1" t="str">
        <f>Worksheet!R319</f>
        <v>2020-10-01</v>
      </c>
      <c r="B316">
        <f>Worksheet!B319</f>
        <v>33574</v>
      </c>
    </row>
    <row r="317" spans="1:2">
      <c r="A317" s="1" t="str">
        <f>Worksheet!R320</f>
        <v>2020-11-01</v>
      </c>
      <c r="B317">
        <f>Worksheet!B320</f>
        <v>32508</v>
      </c>
    </row>
    <row r="318" spans="1:2">
      <c r="A318" s="1" t="str">
        <f>Worksheet!R321</f>
        <v>2020-12-01</v>
      </c>
      <c r="B318">
        <f>Worksheet!B321</f>
        <v>35638</v>
      </c>
    </row>
    <row r="319" spans="1:2">
      <c r="A319" s="1" t="str">
        <f>Worksheet!R322</f>
        <v>2021-01-01</v>
      </c>
      <c r="B319">
        <f>Worksheet!B322</f>
        <v>35563</v>
      </c>
    </row>
    <row r="320" spans="1:2">
      <c r="A320" s="1" t="str">
        <f>Worksheet!R323</f>
        <v>2021-02-01</v>
      </c>
      <c r="B320">
        <f>Worksheet!B323</f>
        <v>34674</v>
      </c>
    </row>
    <row r="321" spans="1:2">
      <c r="A321" s="1" t="str">
        <f>Worksheet!R324</f>
        <v>2021-03-01</v>
      </c>
      <c r="B321">
        <f>Worksheet!B324</f>
        <v>33506</v>
      </c>
    </row>
    <row r="322" spans="1:2">
      <c r="A322" s="1" t="str">
        <f>Worksheet!R325</f>
        <v>2021-04-01</v>
      </c>
      <c r="B322">
        <f>Worksheet!B325</f>
        <v>34221</v>
      </c>
    </row>
    <row r="323" spans="1:2">
      <c r="A323" s="1" t="str">
        <f>Worksheet!R326</f>
        <v>2021-05-01</v>
      </c>
      <c r="B323">
        <f>Worksheet!B326</f>
        <v>36468</v>
      </c>
    </row>
    <row r="324" spans="1:2">
      <c r="A324" s="1" t="str">
        <f>Worksheet!R327</f>
        <v>2021-06-01</v>
      </c>
      <c r="B324">
        <f>Worksheet!B327</f>
        <v>35049</v>
      </c>
    </row>
    <row r="325" spans="1:2">
      <c r="A325" s="1" t="str">
        <f>Worksheet!R328</f>
        <v>2021-07-01</v>
      </c>
      <c r="B325">
        <f>Worksheet!B328</f>
        <v>34987</v>
      </c>
    </row>
    <row r="326" spans="1:2">
      <c r="A326" s="1" t="str">
        <f>Worksheet!R329</f>
        <v>2021-08-01</v>
      </c>
      <c r="B326">
        <f>Worksheet!B329</f>
        <v>36809</v>
      </c>
    </row>
    <row r="327" spans="1:2">
      <c r="A327" s="1" t="str">
        <f>Worksheet!R330</f>
        <v>2021-09-01</v>
      </c>
      <c r="B327">
        <f>Worksheet!B330</f>
        <v>35520</v>
      </c>
    </row>
    <row r="328" spans="1:2">
      <c r="A328" s="1" t="str">
        <f>Worksheet!R331</f>
        <v>2021-10-01</v>
      </c>
      <c r="B328">
        <f>Worksheet!B331</f>
        <v>35820</v>
      </c>
    </row>
    <row r="329" spans="1:2">
      <c r="A329" s="1" t="str">
        <f>Worksheet!R332</f>
        <v>2021-11-01</v>
      </c>
      <c r="B329">
        <f>Worksheet!B332</f>
        <v>35483</v>
      </c>
    </row>
    <row r="330" spans="1:2">
      <c r="A330" s="1" t="str">
        <f>Worksheet!R333</f>
        <v>2021-12-01</v>
      </c>
      <c r="B330">
        <f>Worksheet!B333</f>
        <v>34378</v>
      </c>
    </row>
    <row r="331" spans="1:2">
      <c r="A331" s="1" t="str">
        <f>Worksheet!R334</f>
        <v>2022-01-01</v>
      </c>
      <c r="B331">
        <f>Worksheet!B334</f>
        <v>33386</v>
      </c>
    </row>
    <row r="332" spans="1:2">
      <c r="A332" s="1" t="str">
        <f>Worksheet!R335</f>
        <v>2022-02-01</v>
      </c>
      <c r="B332">
        <f>Worksheet!B335</f>
        <v>33478</v>
      </c>
    </row>
    <row r="333" spans="1:2">
      <c r="A333" s="1" t="str">
        <f>Worksheet!R336</f>
        <v>2022-03-01</v>
      </c>
      <c r="B333">
        <f>Worksheet!B336</f>
        <v>33125</v>
      </c>
    </row>
    <row r="334" spans="1:2">
      <c r="A334" s="1" t="str">
        <f>Worksheet!R337</f>
        <v>2022-04-01</v>
      </c>
      <c r="B334">
        <f>Worksheet!B337</f>
        <v>33407</v>
      </c>
    </row>
    <row r="335" spans="1:2">
      <c r="A335" s="1" t="str">
        <f>Worksheet!R338</f>
        <v>2022-05-01</v>
      </c>
      <c r="B335">
        <f>Worksheet!B338</f>
        <v>32797</v>
      </c>
    </row>
    <row r="336" spans="1:2">
      <c r="A336" s="1" t="str">
        <f>Worksheet!R339</f>
        <v>2022-06-01</v>
      </c>
      <c r="B336">
        <f>Worksheet!B339</f>
        <v>31961</v>
      </c>
    </row>
    <row r="337" spans="1:2">
      <c r="A337" s="1" t="str">
        <f>Worksheet!R340</f>
        <v>2022-07-01</v>
      </c>
      <c r="B337">
        <f>Worksheet!B340</f>
        <v>32864</v>
      </c>
    </row>
    <row r="338" spans="1:2">
      <c r="A338" s="1" t="str">
        <f>Worksheet!R341</f>
        <v>2022-08-01</v>
      </c>
      <c r="B338">
        <f>Worksheet!B341</f>
        <v>32671</v>
      </c>
    </row>
    <row r="339" spans="1:2">
      <c r="A339" s="1" t="str">
        <f>Worksheet!R342</f>
        <v>2022-09-01</v>
      </c>
      <c r="B339">
        <f>Worksheet!B342</f>
        <v>32639</v>
      </c>
    </row>
    <row r="340" spans="1:2">
      <c r="A340" s="1" t="str">
        <f>Worksheet!R343</f>
        <v>2022-10-01</v>
      </c>
      <c r="B340">
        <f>Worksheet!B343</f>
        <v>32967</v>
      </c>
    </row>
    <row r="341" spans="1:2">
      <c r="A341" s="1" t="str">
        <f>Worksheet!R344</f>
        <v>2022-11-01</v>
      </c>
      <c r="B341">
        <f>Worksheet!B344</f>
        <v>34018</v>
      </c>
    </row>
    <row r="342" spans="1:2">
      <c r="A342" s="1" t="str">
        <f>Worksheet!R345</f>
        <v>2022-12-01</v>
      </c>
      <c r="B342">
        <f>Worksheet!B345</f>
        <v>35076</v>
      </c>
    </row>
    <row r="343" spans="1:2">
      <c r="A343" s="1" t="str">
        <f>Worksheet!R346</f>
        <v>2023-01-01</v>
      </c>
      <c r="B343">
        <f>Worksheet!B346</f>
        <v>36781</v>
      </c>
    </row>
    <row r="344" spans="1:2">
      <c r="A344" s="1" t="str">
        <f>Worksheet!R347</f>
        <v>2023-02-01</v>
      </c>
      <c r="B344">
        <f>Worksheet!B347</f>
        <v>34513</v>
      </c>
    </row>
    <row r="345" spans="1:2">
      <c r="A345" s="1" t="str">
        <f>Worksheet!R348</f>
        <v>2023-03-01</v>
      </c>
      <c r="B345">
        <f>Worksheet!B348</f>
        <v>36215</v>
      </c>
    </row>
    <row r="346" spans="1:2">
      <c r="A346" s="1" t="str">
        <f>Worksheet!R349</f>
        <v>2023-04-01</v>
      </c>
      <c r="B346">
        <f>Worksheet!B349</f>
        <v>37606</v>
      </c>
    </row>
    <row r="347" spans="1:2">
      <c r="A347" s="1" t="str">
        <f>Worksheet!R350</f>
        <v>2023-05-01</v>
      </c>
      <c r="B347">
        <f>Worksheet!B350</f>
        <v>35445</v>
      </c>
    </row>
    <row r="348" spans="1:2">
      <c r="A348" s="1" t="str">
        <f>Worksheet!R351</f>
        <v>2023-06-01</v>
      </c>
      <c r="B348">
        <f>Worksheet!B351</f>
        <v>34457</v>
      </c>
    </row>
    <row r="349" spans="1:2">
      <c r="A349" s="1" t="str">
        <f>Worksheet!R352</f>
        <v>2023-07-01</v>
      </c>
      <c r="B349">
        <f>Worksheet!B352</f>
        <v>34211</v>
      </c>
    </row>
    <row r="350" spans="1:2">
      <c r="A350" s="1" t="str">
        <f>Worksheet!R353</f>
        <v>2023-08-01</v>
      </c>
      <c r="B350">
        <f>Worksheet!B353</f>
        <v>33581</v>
      </c>
    </row>
    <row r="351" spans="1:2">
      <c r="A351" s="1" t="str">
        <f>Worksheet!R354</f>
        <v>2023-09-01</v>
      </c>
      <c r="B351">
        <f>Worksheet!B354</f>
        <v>31883</v>
      </c>
    </row>
    <row r="352" spans="1:2">
      <c r="A352" s="1" t="str">
        <f>Worksheet!R355</f>
        <v>2023-10-01</v>
      </c>
      <c r="B352">
        <f>Worksheet!B355</f>
        <v>33958</v>
      </c>
    </row>
    <row r="353" spans="1:2">
      <c r="A353" s="1" t="str">
        <f>Worksheet!R356</f>
        <v>2023-11-01</v>
      </c>
      <c r="B353">
        <f>Worksheet!B356</f>
        <v>34197</v>
      </c>
    </row>
    <row r="354" spans="1:2">
      <c r="A354" s="1" t="str">
        <f>Worksheet!R357</f>
        <v>2023-12-01</v>
      </c>
      <c r="B354">
        <f>Worksheet!B357</f>
        <v>35944</v>
      </c>
    </row>
    <row r="355" spans="1:2">
      <c r="A355" s="1" t="str">
        <f>Worksheet!R358</f>
        <v>2024-01-01</v>
      </c>
      <c r="B355">
        <f>Worksheet!B358</f>
        <v>36679</v>
      </c>
    </row>
    <row r="356" spans="1:2">
      <c r="A356" s="1" t="str">
        <f>Worksheet!R359</f>
        <v>2024-02-01</v>
      </c>
      <c r="B356">
        <f>Worksheet!B359</f>
        <v>36130</v>
      </c>
    </row>
    <row r="357" spans="1:2">
      <c r="A357" s="1" t="str">
        <f>Worksheet!R360</f>
        <v>2024-03-01</v>
      </c>
      <c r="B357">
        <f>Worksheet!B360</f>
        <v>37847</v>
      </c>
    </row>
    <row r="358" spans="1:2">
      <c r="A358" s="1" t="str">
        <f>Worksheet!R361</f>
        <v>2024-04-01</v>
      </c>
      <c r="B358">
        <f>Worksheet!B361</f>
        <v>39851</v>
      </c>
    </row>
    <row r="359" spans="1:2">
      <c r="A359" s="1" t="str">
        <f>Worksheet!R362</f>
        <v>2024-05-01</v>
      </c>
      <c r="B359">
        <f>Worksheet!B362</f>
        <v>39817</v>
      </c>
    </row>
    <row r="360" spans="1:2">
      <c r="A360" s="1" t="str">
        <f>Worksheet!R363</f>
        <v>2024-06-01</v>
      </c>
      <c r="B360">
        <f>Worksheet!B363</f>
        <v>39933</v>
      </c>
    </row>
    <row r="361" spans="1:2">
      <c r="A361" s="1" t="str">
        <f>Worksheet!R364</f>
        <v>2024-07-01</v>
      </c>
      <c r="B361">
        <f>Worksheet!B364</f>
        <v>41864</v>
      </c>
    </row>
    <row r="362" spans="1:2">
      <c r="A362" s="1" t="str">
        <f>Worksheet!R365</f>
        <v>2024-08-01</v>
      </c>
      <c r="B362">
        <f>Worksheet!B365</f>
        <v>42721</v>
      </c>
    </row>
    <row r="363" spans="1:2">
      <c r="A363" s="1" t="str">
        <f>Worksheet!R366</f>
        <v>2024-09-01</v>
      </c>
      <c r="B363">
        <f>Worksheet!B366</f>
        <v>44591</v>
      </c>
    </row>
    <row r="364" spans="1:2">
      <c r="A364" s="1" t="str">
        <f>Worksheet!R367</f>
        <v>2024-10-01</v>
      </c>
      <c r="B364">
        <f>Worksheet!B367</f>
        <v>45851</v>
      </c>
    </row>
    <row r="365" spans="1:2">
      <c r="A365" s="1" t="str">
        <f>Worksheet!R368</f>
        <v>2024-11-01</v>
      </c>
      <c r="B365">
        <f>Worksheet!B368</f>
        <v>44219</v>
      </c>
    </row>
    <row r="366" spans="1:2">
      <c r="A366" s="1" t="str">
        <f>Worksheet!R369</f>
        <v>2024-12-01</v>
      </c>
      <c r="B366">
        <f>Worksheet!B369</f>
        <v>45823</v>
      </c>
    </row>
    <row r="367" spans="1:2">
      <c r="A367" s="1" t="str">
        <f>Worksheet!R370</f>
        <v>2025-01-01</v>
      </c>
      <c r="B367">
        <f>Worksheet!B370</f>
        <v>47188</v>
      </c>
    </row>
    <row r="368" spans="1:2">
      <c r="A368" s="1" t="str">
        <f>Worksheet!R371</f>
        <v>2025-02-01</v>
      </c>
      <c r="B368">
        <f>Worksheet!B371</f>
        <v>47991</v>
      </c>
    </row>
    <row r="369" spans="1:2">
      <c r="A369" s="1" t="str">
        <f>Worksheet!R372</f>
        <v>2025-03-01</v>
      </c>
      <c r="B369">
        <f>Worksheet!B372</f>
        <v>50073</v>
      </c>
    </row>
    <row r="370" spans="1:2">
      <c r="A370" s="1" t="str">
        <f>Worksheet!R373</f>
        <v>2025-04-01</v>
      </c>
      <c r="B370">
        <f>Worksheet!B373</f>
        <v>52398</v>
      </c>
    </row>
    <row r="371" spans="1:2">
      <c r="A371" s="1" t="str">
        <f>Worksheet!R374</f>
        <v>2025-05-01</v>
      </c>
      <c r="B371">
        <f>Worksheet!B374</f>
        <v>52330</v>
      </c>
    </row>
    <row r="372" spans="1:2">
      <c r="A372" s="1" t="str">
        <f>Worksheet!R375</f>
        <v>2025-06-01</v>
      </c>
      <c r="B372">
        <f>Worksheet!B375</f>
        <v>51817</v>
      </c>
    </row>
    <row r="373" spans="1:2">
      <c r="A373" s="1" t="str">
        <f>Worksheet!R376</f>
        <v>2025-07-01</v>
      </c>
      <c r="B373">
        <f>Worksheet!B376</f>
        <v>52147</v>
      </c>
    </row>
    <row r="374" spans="1:2">
      <c r="A374" s="1" t="str">
        <f>Worksheet!R377</f>
        <v>2025-08-01</v>
      </c>
      <c r="B374">
        <f>Worksheet!B377</f>
        <v>54316</v>
      </c>
    </row>
    <row r="375" spans="1:2">
      <c r="A375" s="1" t="str">
        <f>Worksheet!R378</f>
        <v>2025-09-01</v>
      </c>
      <c r="B375">
        <f>Worksheet!B378</f>
        <v>57416</v>
      </c>
    </row>
    <row r="376" spans="1:2">
      <c r="A376" s="1" t="str">
        <f>Worksheet!R379</f>
        <v>2025-10-01</v>
      </c>
      <c r="B376">
        <f>Worksheet!B379</f>
        <v>60443</v>
      </c>
    </row>
    <row r="377" spans="1:2">
      <c r="A377" s="1" t="str">
        <f>Worksheet!R380</f>
        <v>2025-11-01</v>
      </c>
      <c r="B377">
        <f>Worksheet!B380</f>
        <v>61777</v>
      </c>
    </row>
    <row r="378" spans="1:2">
      <c r="A378" s="1" t="str">
        <f>Worksheet!R381</f>
        <v>2025-12-01</v>
      </c>
      <c r="B378">
        <f>Worksheet!B381</f>
        <v>65414</v>
      </c>
    </row>
    <row r="379" spans="1:2">
      <c r="A379" s="1" t="str">
        <f>Worksheet!R382</f>
        <v>2026-01-01</v>
      </c>
      <c r="B379">
        <f>Worksheet!B382</f>
        <v>71465</v>
      </c>
    </row>
    <row r="380" spans="1:2">
      <c r="A380" s="1" t="str">
        <f>Worksheet!R383</f>
        <v>2026-02-01</v>
      </c>
      <c r="B380">
        <f>Worksheet!B383</f>
        <v>73391</v>
      </c>
    </row>
    <row r="381" spans="1:2">
      <c r="A381" s="1" t="str">
        <f>Worksheet!R384</f>
        <v>2026-03-01</v>
      </c>
      <c r="B381">
        <f>Worksheet!B384</f>
        <v>66786</v>
      </c>
    </row>
    <row r="382" spans="1:2">
      <c r="A382" s="1" t="str">
        <f>Worksheet!R385</f>
        <v>2026-04-01</v>
      </c>
      <c r="B382">
        <f>Worksheet!B385</f>
        <v>67521</v>
      </c>
    </row>
    <row r="383" spans="1:2">
      <c r="A383" s="1" t="str">
        <f>Worksheet!R386</f>
        <v>2026-05-01</v>
      </c>
      <c r="B383">
        <f>Worksheet!B386</f>
        <v>67347</v>
      </c>
    </row>
    <row r="384" spans="1:2">
      <c r="A384" s="1" t="str">
        <f>Worksheet!R387</f>
        <v>2026-06-01</v>
      </c>
      <c r="B384">
        <f>Worksheet!B387</f>
        <v>61829</v>
      </c>
    </row>
    <row r="385" spans="1:2">
      <c r="A385" s="1" t="str">
        <f>Worksheet!R388</f>
        <v>2026-07-01</v>
      </c>
      <c r="B385">
        <f>Worksheet!B388</f>
        <v>63715</v>
      </c>
    </row>
  </sheetData>
  <conditionalFormatting sqref="A$1:A$104857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Worksheet</vt:lpstr>
      <vt:lpstr>Final Cleaned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Darkhan Mashirapov</cp:lastModifiedBy>
  <dcterms:created xsi:type="dcterms:W3CDTF">2026-08-22T03:40:00Z</dcterms:created>
  <dcterms:modified xsi:type="dcterms:W3CDTF">2026-09-01T10:17:56Z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804874E1D98387C237D8876AF3C04445_42</vt:lpwstr>
  </property>
  <property fmtid="{D5CDD505-2E9C-101B-9397-08002B2CF9AE}" pid="3" name="KSOProductBuildVer">
    <vt:lpwstr>1033-12.1.26050.26050</vt:lpwstr>
  </property>
  <property fmtid="{D5CDD505-2E9C-101B-9397-08002B2CF9AE}" pid="4" name="CalculationRule">
    <vt:i4>0</vt:i4>
  </property>
</Properties>
</file>