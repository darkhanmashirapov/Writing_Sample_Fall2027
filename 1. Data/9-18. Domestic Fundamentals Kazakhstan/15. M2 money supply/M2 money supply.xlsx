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660" windowHeight="11300" activeTab="2"/>
  </bookViews>
  <sheets>
    <sheet name="Worksheet" sheetId="1" r:id="rId1"/>
    <sheet name="Final Clea" sheetId="2" r:id="rId2"/>
    <sheet name="Final 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<sst xmlns="http://schemas.openxmlformats.org/spreadsheetml/2006/main" count="346" uniqueCount="336">
  <si>
    <t>Monetary Base and Aggregates of Broad Money</t>
  </si>
  <si>
    <t xml:space="preserve">mln of tenge/ end of period </t>
  </si>
  <si>
    <t>Initial date</t>
  </si>
  <si>
    <t xml:space="preserve"> 08.00</t>
  </si>
  <si>
    <t xml:space="preserve"> 09.00</t>
  </si>
  <si>
    <t xml:space="preserve"> 10.00</t>
  </si>
  <si>
    <t xml:space="preserve"> 11.00</t>
  </si>
  <si>
    <t xml:space="preserve"> 12.00</t>
  </si>
  <si>
    <t xml:space="preserve"> 01.01</t>
  </si>
  <si>
    <t xml:space="preserve"> 02.01</t>
  </si>
  <si>
    <t xml:space="preserve"> 03.01</t>
  </si>
  <si>
    <t xml:space="preserve"> 04.01</t>
  </si>
  <si>
    <t xml:space="preserve"> 05.01</t>
  </si>
  <si>
    <t xml:space="preserve"> 06.01</t>
  </si>
  <si>
    <t xml:space="preserve"> 07.01</t>
  </si>
  <si>
    <t xml:space="preserve"> 08.01</t>
  </si>
  <si>
    <t xml:space="preserve"> 09.01</t>
  </si>
  <si>
    <t xml:space="preserve"> 10.01</t>
  </si>
  <si>
    <t xml:space="preserve"> 11.01</t>
  </si>
  <si>
    <t xml:space="preserve"> 12.01</t>
  </si>
  <si>
    <t xml:space="preserve"> 01.02</t>
  </si>
  <si>
    <t xml:space="preserve"> 02.02</t>
  </si>
  <si>
    <t xml:space="preserve"> 03.02</t>
  </si>
  <si>
    <t xml:space="preserve"> 04.02</t>
  </si>
  <si>
    <t xml:space="preserve"> 05.02</t>
  </si>
  <si>
    <t xml:space="preserve"> 06.02</t>
  </si>
  <si>
    <t xml:space="preserve"> 07.02</t>
  </si>
  <si>
    <t xml:space="preserve"> 08.02</t>
  </si>
  <si>
    <t xml:space="preserve"> 09.02</t>
  </si>
  <si>
    <t xml:space="preserve"> 10.02</t>
  </si>
  <si>
    <t xml:space="preserve"> 11.02</t>
  </si>
  <si>
    <t xml:space="preserve"> 12.02</t>
  </si>
  <si>
    <t xml:space="preserve"> 01.03</t>
  </si>
  <si>
    <t xml:space="preserve"> 02.03</t>
  </si>
  <si>
    <t xml:space="preserve"> 03.03</t>
  </si>
  <si>
    <t xml:space="preserve"> 04.03</t>
  </si>
  <si>
    <t xml:space="preserve"> 05.03</t>
  </si>
  <si>
    <t xml:space="preserve"> 06.03</t>
  </si>
  <si>
    <t xml:space="preserve"> 07.03</t>
  </si>
  <si>
    <t xml:space="preserve"> 08.03</t>
  </si>
  <si>
    <t xml:space="preserve"> 09.03</t>
  </si>
  <si>
    <t xml:space="preserve"> 10.03</t>
  </si>
  <si>
    <t xml:space="preserve"> 11.03</t>
  </si>
  <si>
    <t xml:space="preserve"> 12.03</t>
  </si>
  <si>
    <t xml:space="preserve"> 01.04</t>
  </si>
  <si>
    <t xml:space="preserve"> 02.04</t>
  </si>
  <si>
    <t xml:space="preserve"> 03.04</t>
  </si>
  <si>
    <t xml:space="preserve"> 04.04</t>
  </si>
  <si>
    <t xml:space="preserve"> 05.04</t>
  </si>
  <si>
    <t xml:space="preserve"> 06.04</t>
  </si>
  <si>
    <t xml:space="preserve"> 07.04</t>
  </si>
  <si>
    <t xml:space="preserve"> 08.04</t>
  </si>
  <si>
    <t xml:space="preserve"> 09.04</t>
  </si>
  <si>
    <t xml:space="preserve"> 10.04</t>
  </si>
  <si>
    <t xml:space="preserve"> 11.04</t>
  </si>
  <si>
    <t xml:space="preserve"> 12.04</t>
  </si>
  <si>
    <t xml:space="preserve"> 01.05</t>
  </si>
  <si>
    <t xml:space="preserve"> 02.05</t>
  </si>
  <si>
    <t xml:space="preserve"> 03.05</t>
  </si>
  <si>
    <t xml:space="preserve"> 04.05</t>
  </si>
  <si>
    <t xml:space="preserve"> 05.05</t>
  </si>
  <si>
    <t xml:space="preserve"> 06.05</t>
  </si>
  <si>
    <t xml:space="preserve"> 07.05</t>
  </si>
  <si>
    <t xml:space="preserve"> 08.05</t>
  </si>
  <si>
    <t xml:space="preserve"> 09.05</t>
  </si>
  <si>
    <t xml:space="preserve"> 10.05</t>
  </si>
  <si>
    <t xml:space="preserve"> 11.05</t>
  </si>
  <si>
    <t xml:space="preserve"> 12.05</t>
  </si>
  <si>
    <t xml:space="preserve"> 01.06</t>
  </si>
  <si>
    <t xml:space="preserve"> 02.06</t>
  </si>
  <si>
    <t xml:space="preserve"> 03.06</t>
  </si>
  <si>
    <t xml:space="preserve"> 04.06</t>
  </si>
  <si>
    <t xml:space="preserve"> 05.06</t>
  </si>
  <si>
    <t xml:space="preserve"> 06.06</t>
  </si>
  <si>
    <t xml:space="preserve"> 07.06</t>
  </si>
  <si>
    <t xml:space="preserve"> 08.06</t>
  </si>
  <si>
    <t xml:space="preserve"> 09.06</t>
  </si>
  <si>
    <t xml:space="preserve"> 10.06</t>
  </si>
  <si>
    <t xml:space="preserve"> 11.06</t>
  </si>
  <si>
    <t xml:space="preserve"> 12.06</t>
  </si>
  <si>
    <t xml:space="preserve"> 01.07</t>
  </si>
  <si>
    <t xml:space="preserve"> 02.07</t>
  </si>
  <si>
    <t xml:space="preserve"> 03.07</t>
  </si>
  <si>
    <t xml:space="preserve"> 04.07</t>
  </si>
  <si>
    <t xml:space="preserve"> 05.07</t>
  </si>
  <si>
    <t xml:space="preserve"> 06.07</t>
  </si>
  <si>
    <t xml:space="preserve"> 07.07</t>
  </si>
  <si>
    <t xml:space="preserve"> 08.07</t>
  </si>
  <si>
    <t xml:space="preserve"> 09.07</t>
  </si>
  <si>
    <t xml:space="preserve"> 10.07</t>
  </si>
  <si>
    <t xml:space="preserve"> 11.07</t>
  </si>
  <si>
    <t xml:space="preserve"> 12.07</t>
  </si>
  <si>
    <t xml:space="preserve"> 01.08</t>
  </si>
  <si>
    <t xml:space="preserve"> 02.08</t>
  </si>
  <si>
    <t xml:space="preserve"> 03.08</t>
  </si>
  <si>
    <t xml:space="preserve"> 04.08</t>
  </si>
  <si>
    <t xml:space="preserve"> 05.08</t>
  </si>
  <si>
    <t xml:space="preserve"> 06.08</t>
  </si>
  <si>
    <t xml:space="preserve"> 07.08</t>
  </si>
  <si>
    <t xml:space="preserve"> 08.08</t>
  </si>
  <si>
    <t xml:space="preserve"> 09.08</t>
  </si>
  <si>
    <t xml:space="preserve"> 10.08</t>
  </si>
  <si>
    <t xml:space="preserve"> 11.08</t>
  </si>
  <si>
    <t xml:space="preserve"> 12.08</t>
  </si>
  <si>
    <t xml:space="preserve"> 01.09</t>
  </si>
  <si>
    <t xml:space="preserve"> 02.09</t>
  </si>
  <si>
    <t xml:space="preserve"> 03.09</t>
  </si>
  <si>
    <t xml:space="preserve"> 04.09</t>
  </si>
  <si>
    <t xml:space="preserve"> 05.09</t>
  </si>
  <si>
    <t xml:space="preserve"> 06.09</t>
  </si>
  <si>
    <t xml:space="preserve"> 07.09</t>
  </si>
  <si>
    <t xml:space="preserve"> 08.09</t>
  </si>
  <si>
    <t xml:space="preserve"> 09.09</t>
  </si>
  <si>
    <t xml:space="preserve"> 10.09</t>
  </si>
  <si>
    <t xml:space="preserve"> 11.09</t>
  </si>
  <si>
    <t xml:space="preserve"> 12.09</t>
  </si>
  <si>
    <t xml:space="preserve"> 01.10</t>
  </si>
  <si>
    <t xml:space="preserve"> 02.10</t>
  </si>
  <si>
    <t xml:space="preserve"> 03.10</t>
  </si>
  <si>
    <t xml:space="preserve"> 04.10</t>
  </si>
  <si>
    <t xml:space="preserve"> 05.10</t>
  </si>
  <si>
    <t xml:space="preserve"> 06.10</t>
  </si>
  <si>
    <t xml:space="preserve"> 07.10</t>
  </si>
  <si>
    <t xml:space="preserve"> 08.10</t>
  </si>
  <si>
    <t xml:space="preserve"> 09.10</t>
  </si>
  <si>
    <t xml:space="preserve"> 10.10</t>
  </si>
  <si>
    <t xml:space="preserve"> 11.10</t>
  </si>
  <si>
    <t xml:space="preserve"> 12.10</t>
  </si>
  <si>
    <t xml:space="preserve"> 01.11</t>
  </si>
  <si>
    <t xml:space="preserve"> 02.11</t>
  </si>
  <si>
    <t xml:space="preserve"> 03.11</t>
  </si>
  <si>
    <t xml:space="preserve"> 04.11</t>
  </si>
  <si>
    <t xml:space="preserve"> 05.11</t>
  </si>
  <si>
    <t xml:space="preserve"> 06.11</t>
  </si>
  <si>
    <t xml:space="preserve"> 07.11</t>
  </si>
  <si>
    <t xml:space="preserve"> 08.11</t>
  </si>
  <si>
    <t xml:space="preserve"> 09.11</t>
  </si>
  <si>
    <t xml:space="preserve"> 10.11</t>
  </si>
  <si>
    <t xml:space="preserve"> 11.11</t>
  </si>
  <si>
    <t xml:space="preserve"> 12.11</t>
  </si>
  <si>
    <t xml:space="preserve"> 01.12</t>
  </si>
  <si>
    <t xml:space="preserve"> 02.12</t>
  </si>
  <si>
    <t xml:space="preserve"> 03.12</t>
  </si>
  <si>
    <t xml:space="preserve"> 04.12</t>
  </si>
  <si>
    <t xml:space="preserve"> 05.12</t>
  </si>
  <si>
    <t xml:space="preserve"> 06.12</t>
  </si>
  <si>
    <t xml:space="preserve"> 07.12</t>
  </si>
  <si>
    <t xml:space="preserve"> 08.12</t>
  </si>
  <si>
    <t xml:space="preserve"> 09.12</t>
  </si>
  <si>
    <t xml:space="preserve"> 10.12</t>
  </si>
  <si>
    <t xml:space="preserve"> 11.12</t>
  </si>
  <si>
    <t xml:space="preserve"> 12.12</t>
  </si>
  <si>
    <t xml:space="preserve"> 01.13</t>
  </si>
  <si>
    <t xml:space="preserve"> 02.13</t>
  </si>
  <si>
    <t xml:space="preserve"> 03.13</t>
  </si>
  <si>
    <t xml:space="preserve"> 04.13</t>
  </si>
  <si>
    <t xml:space="preserve"> 05.13</t>
  </si>
  <si>
    <t xml:space="preserve"> 06.13</t>
  </si>
  <si>
    <t xml:space="preserve"> 07.13</t>
  </si>
  <si>
    <t xml:space="preserve"> 08.13</t>
  </si>
  <si>
    <t xml:space="preserve"> 09.13</t>
  </si>
  <si>
    <t xml:space="preserve"> 10.13</t>
  </si>
  <si>
    <t xml:space="preserve"> 11.13</t>
  </si>
  <si>
    <t xml:space="preserve"> 12.13</t>
  </si>
  <si>
    <t xml:space="preserve"> 01.14</t>
  </si>
  <si>
    <t xml:space="preserve"> 02.14</t>
  </si>
  <si>
    <t xml:space="preserve"> 03.14</t>
  </si>
  <si>
    <t xml:space="preserve"> 04.14</t>
  </si>
  <si>
    <t xml:space="preserve"> 05.14</t>
  </si>
  <si>
    <t xml:space="preserve"> 06.14</t>
  </si>
  <si>
    <t xml:space="preserve"> 07.14</t>
  </si>
  <si>
    <t xml:space="preserve"> 08.14</t>
  </si>
  <si>
    <t xml:space="preserve"> 09.14</t>
  </si>
  <si>
    <t xml:space="preserve"> 10.14</t>
  </si>
  <si>
    <t xml:space="preserve"> 11.14</t>
  </si>
  <si>
    <t xml:space="preserve"> 12.14</t>
  </si>
  <si>
    <t xml:space="preserve"> 01.15</t>
  </si>
  <si>
    <t xml:space="preserve"> 02.15</t>
  </si>
  <si>
    <t xml:space="preserve"> 03.15</t>
  </si>
  <si>
    <t xml:space="preserve"> 04.15</t>
  </si>
  <si>
    <t xml:space="preserve"> 05.15</t>
  </si>
  <si>
    <t xml:space="preserve"> 06.15</t>
  </si>
  <si>
    <t xml:space="preserve"> 07.15</t>
  </si>
  <si>
    <t xml:space="preserve"> 08.15</t>
  </si>
  <si>
    <t xml:space="preserve"> 09.15</t>
  </si>
  <si>
    <t xml:space="preserve"> 10.15</t>
  </si>
  <si>
    <t xml:space="preserve"> 11.15</t>
  </si>
  <si>
    <t xml:space="preserve"> 12.15</t>
  </si>
  <si>
    <t xml:space="preserve"> 01.16</t>
  </si>
  <si>
    <t xml:space="preserve"> 02.16</t>
  </si>
  <si>
    <t xml:space="preserve"> 03.16</t>
  </si>
  <si>
    <t xml:space="preserve"> 04.16</t>
  </si>
  <si>
    <t xml:space="preserve"> 05.16</t>
  </si>
  <si>
    <t xml:space="preserve"> 06.16</t>
  </si>
  <si>
    <t xml:space="preserve"> 07.16</t>
  </si>
  <si>
    <t xml:space="preserve"> 08.16</t>
  </si>
  <si>
    <t xml:space="preserve"> 09.16</t>
  </si>
  <si>
    <t xml:space="preserve"> 10.16</t>
  </si>
  <si>
    <t xml:space="preserve"> 11.16</t>
  </si>
  <si>
    <t xml:space="preserve"> 12.16</t>
  </si>
  <si>
    <t xml:space="preserve"> 01.17</t>
  </si>
  <si>
    <t xml:space="preserve"> 02.17</t>
  </si>
  <si>
    <t xml:space="preserve"> 03.17</t>
  </si>
  <si>
    <t xml:space="preserve"> 04.17</t>
  </si>
  <si>
    <t xml:space="preserve"> 05.17</t>
  </si>
  <si>
    <t xml:space="preserve"> 06.17</t>
  </si>
  <si>
    <t xml:space="preserve"> 07.17</t>
  </si>
  <si>
    <t xml:space="preserve"> 08.17</t>
  </si>
  <si>
    <t xml:space="preserve"> 09.17</t>
  </si>
  <si>
    <t xml:space="preserve"> 10.17</t>
  </si>
  <si>
    <t xml:space="preserve"> 11.17</t>
  </si>
  <si>
    <t xml:space="preserve"> 12.17</t>
  </si>
  <si>
    <t xml:space="preserve"> 01.18</t>
  </si>
  <si>
    <t xml:space="preserve"> 02.18</t>
  </si>
  <si>
    <t xml:space="preserve"> 03.18</t>
  </si>
  <si>
    <t xml:space="preserve"> 04.18</t>
  </si>
  <si>
    <t xml:space="preserve"> 05.18</t>
  </si>
  <si>
    <t xml:space="preserve"> 06.18</t>
  </si>
  <si>
    <t xml:space="preserve"> 07.18</t>
  </si>
  <si>
    <t xml:space="preserve"> 08.18</t>
  </si>
  <si>
    <t xml:space="preserve"> 09.18</t>
  </si>
  <si>
    <t xml:space="preserve"> 10.18</t>
  </si>
  <si>
    <t xml:space="preserve"> 11.18</t>
  </si>
  <si>
    <t xml:space="preserve"> 12.18</t>
  </si>
  <si>
    <t xml:space="preserve"> 01.19</t>
  </si>
  <si>
    <t xml:space="preserve"> 02.19</t>
  </si>
  <si>
    <t xml:space="preserve"> 03.19</t>
  </si>
  <si>
    <t xml:space="preserve"> 04.19</t>
  </si>
  <si>
    <t xml:space="preserve"> 05.19</t>
  </si>
  <si>
    <t xml:space="preserve"> 06.19</t>
  </si>
  <si>
    <t xml:space="preserve"> 07.19</t>
  </si>
  <si>
    <t xml:space="preserve"> 08.19</t>
  </si>
  <si>
    <t xml:space="preserve"> 09.19</t>
  </si>
  <si>
    <t xml:space="preserve"> 10.19</t>
  </si>
  <si>
    <t xml:space="preserve"> 11.19</t>
  </si>
  <si>
    <t xml:space="preserve"> 12.19</t>
  </si>
  <si>
    <t xml:space="preserve"> 01.20</t>
  </si>
  <si>
    <t xml:space="preserve"> 02.20</t>
  </si>
  <si>
    <t xml:space="preserve"> 03.20</t>
  </si>
  <si>
    <t xml:space="preserve"> 04.20</t>
  </si>
  <si>
    <t xml:space="preserve"> 05.20</t>
  </si>
  <si>
    <t xml:space="preserve"> 06.20</t>
  </si>
  <si>
    <t xml:space="preserve"> 07.20</t>
  </si>
  <si>
    <t xml:space="preserve"> 08.20</t>
  </si>
  <si>
    <t xml:space="preserve"> 09.20</t>
  </si>
  <si>
    <t xml:space="preserve"> 10.20</t>
  </si>
  <si>
    <t xml:space="preserve"> 11.20</t>
  </si>
  <si>
    <t xml:space="preserve"> 12.20</t>
  </si>
  <si>
    <t xml:space="preserve"> 01.21</t>
  </si>
  <si>
    <t xml:space="preserve"> 02.21</t>
  </si>
  <si>
    <t xml:space="preserve"> 03.21</t>
  </si>
  <si>
    <t xml:space="preserve"> 04.21</t>
  </si>
  <si>
    <t xml:space="preserve"> 05.21</t>
  </si>
  <si>
    <t xml:space="preserve"> 06.21</t>
  </si>
  <si>
    <t xml:space="preserve"> 07.21</t>
  </si>
  <si>
    <t xml:space="preserve"> 08.21</t>
  </si>
  <si>
    <t xml:space="preserve"> 09.21</t>
  </si>
  <si>
    <t xml:space="preserve"> 10.21</t>
  </si>
  <si>
    <t xml:space="preserve"> 11.21</t>
  </si>
  <si>
    <t xml:space="preserve"> 12.21</t>
  </si>
  <si>
    <t xml:space="preserve"> 01.22</t>
  </si>
  <si>
    <t xml:space="preserve"> 02.22</t>
  </si>
  <si>
    <t xml:space="preserve"> 03.22</t>
  </si>
  <si>
    <t xml:space="preserve"> 04.22</t>
  </si>
  <si>
    <t xml:space="preserve"> 05.22</t>
  </si>
  <si>
    <t xml:space="preserve"> 06.22</t>
  </si>
  <si>
    <t xml:space="preserve"> 07.22</t>
  </si>
  <si>
    <t xml:space="preserve"> 08.22</t>
  </si>
  <si>
    <t xml:space="preserve"> 09.22</t>
  </si>
  <si>
    <t xml:space="preserve"> 10.22</t>
  </si>
  <si>
    <t xml:space="preserve"> 11.22</t>
  </si>
  <si>
    <t xml:space="preserve"> 12.22</t>
  </si>
  <si>
    <t xml:space="preserve"> 01.23</t>
  </si>
  <si>
    <t xml:space="preserve"> 02.23</t>
  </si>
  <si>
    <t xml:space="preserve"> 03.23</t>
  </si>
  <si>
    <t xml:space="preserve"> 04.23</t>
  </si>
  <si>
    <t xml:space="preserve"> 05.23</t>
  </si>
  <si>
    <t xml:space="preserve"> 06.23</t>
  </si>
  <si>
    <t xml:space="preserve"> 07.23</t>
  </si>
  <si>
    <t xml:space="preserve"> 08.23</t>
  </si>
  <si>
    <t xml:space="preserve"> 09.23</t>
  </si>
  <si>
    <t xml:space="preserve"> 10.23</t>
  </si>
  <si>
    <t xml:space="preserve"> 11.23</t>
  </si>
  <si>
    <t xml:space="preserve"> 12.23</t>
  </si>
  <si>
    <t xml:space="preserve"> 01.24</t>
  </si>
  <si>
    <t xml:space="preserve"> 02.24</t>
  </si>
  <si>
    <t xml:space="preserve"> 03.24</t>
  </si>
  <si>
    <t xml:space="preserve"> 04.24</t>
  </si>
  <si>
    <t xml:space="preserve"> 05.24</t>
  </si>
  <si>
    <t xml:space="preserve"> 06.24</t>
  </si>
  <si>
    <t xml:space="preserve"> 07.24</t>
  </si>
  <si>
    <t xml:space="preserve"> 08.24</t>
  </si>
  <si>
    <t xml:space="preserve"> 09.24</t>
  </si>
  <si>
    <t xml:space="preserve"> 10.24</t>
  </si>
  <si>
    <t xml:space="preserve"> 11.24</t>
  </si>
  <si>
    <t xml:space="preserve"> 12.24</t>
  </si>
  <si>
    <t xml:space="preserve"> 01.25</t>
  </si>
  <si>
    <t xml:space="preserve"> 02.25</t>
  </si>
  <si>
    <t xml:space="preserve"> 03.25</t>
  </si>
  <si>
    <t xml:space="preserve"> 04.25</t>
  </si>
  <si>
    <t xml:space="preserve"> 05.25</t>
  </si>
  <si>
    <t xml:space="preserve"> 06.25</t>
  </si>
  <si>
    <t xml:space="preserve"> 07.25</t>
  </si>
  <si>
    <t xml:space="preserve"> 08.25</t>
  </si>
  <si>
    <t xml:space="preserve"> 09.25</t>
  </si>
  <si>
    <t xml:space="preserve"> 10.25</t>
  </si>
  <si>
    <t xml:space="preserve"> 11.25</t>
  </si>
  <si>
    <t xml:space="preserve"> 12.25</t>
  </si>
  <si>
    <t xml:space="preserve"> 01.26</t>
  </si>
  <si>
    <t xml:space="preserve"> 02.26</t>
  </si>
  <si>
    <t xml:space="preserve"> 03.26</t>
  </si>
  <si>
    <t xml:space="preserve"> 04.26</t>
  </si>
  <si>
    <t xml:space="preserve"> 05.26</t>
  </si>
  <si>
    <t xml:space="preserve"> 06.26</t>
  </si>
  <si>
    <t>RM (Reserve Money)</t>
  </si>
  <si>
    <t>% changes to the previous month</t>
  </si>
  <si>
    <t>% changes to December of the previous year</t>
  </si>
  <si>
    <t>1.1. Currency out of the NBK</t>
  </si>
  <si>
    <t>1.2. Transferable deposits of Banks and other organizations in NBK</t>
  </si>
  <si>
    <t>Narrow Reserve Money</t>
  </si>
  <si>
    <t>Reserve deposits of Commercial Banks in NBK</t>
  </si>
  <si>
    <t>M0</t>
  </si>
  <si>
    <t>M1</t>
  </si>
  <si>
    <t>Изменение за период с начала года, %</t>
  </si>
  <si>
    <t xml:space="preserve"> 3.1. Transferable deposits of individuals in national currency</t>
  </si>
  <si>
    <t>3.2. Transferable deposits of non-banking legal entities in national currency</t>
  </si>
  <si>
    <t>M2</t>
  </si>
  <si>
    <t>4.1. Other deposits in tenge and transferable deposits of individuals in foreign currency</t>
  </si>
  <si>
    <t>4.2. Other deposits in tenge and transferable deposits of non-banking legal entities in foreign currency non-banking legal entities</t>
  </si>
  <si>
    <t>M3</t>
  </si>
  <si>
    <t>5.1. Other deposits of individuals in foreign currency</t>
  </si>
  <si>
    <t>5.2. Other deposits of non-banking legal entities in foreign currency</t>
  </si>
  <si>
    <t>Formatting</t>
  </si>
  <si>
    <t>DATE</t>
  </si>
  <si>
    <t>date</t>
  </si>
  <si>
    <t>kz_m2_m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</si>
</sst>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58" fontId="0" fillId="0" borderId="0" xfId="0" applyNumberFormat="1"/>
    <xf numFmtId="41" fontId="0" fillId="0" borderId="0" xfId="0" applyNumberFormat="1"/>
    <xf numFmtId="10" fontId="0" fillId="0" borderId="0" xfId="3" applyNumberFormat="1" applyFont="1" applyAlignmen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Z35"/>
  <sheetViews>
    <sheetView topLeftCell="A2" workbookViewId="0">
      <selection activeCell="A26" sqref="A26"/>
    </sheetView>
  </sheetViews>
  <sheetFormatPr defaultColWidth="9" defaultRowHeight="16.8"/>
  <cols>
    <col min="1" max="1" width="155.6796875" customWidth="1"/>
  </cols>
  <sheetData>
    <row r="1" spans="1:312">
      <c r="A1" s="5" t="s">
        <v>0</v>
      </c>
    </row>
    <row r="2" spans="1:312">
      <c r="A2" t="s">
        <v>1</v>
      </c>
    </row>
    <row r="3" spans="1:312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31</v>
      </c>
      <c r="AE3" s="7" t="s">
        <v>32</v>
      </c>
      <c r="AF3" s="7" t="s">
        <v>33</v>
      </c>
      <c r="AG3" s="7" t="s">
        <v>34</v>
      </c>
      <c r="AH3" s="7" t="s">
        <v>35</v>
      </c>
      <c r="AI3" s="7" t="s">
        <v>36</v>
      </c>
      <c r="AJ3" s="7" t="s">
        <v>37</v>
      </c>
      <c r="AK3" s="7" t="s">
        <v>38</v>
      </c>
      <c r="AL3" s="7" t="s">
        <v>39</v>
      </c>
      <c r="AM3" s="7" t="s">
        <v>40</v>
      </c>
      <c r="AN3" s="7" t="s">
        <v>41</v>
      </c>
      <c r="AO3" s="7" t="s">
        <v>42</v>
      </c>
      <c r="AP3" s="7" t="s">
        <v>43</v>
      </c>
      <c r="AQ3" s="7" t="s">
        <v>44</v>
      </c>
      <c r="AR3" s="7" t="s">
        <v>45</v>
      </c>
      <c r="AS3" s="7" t="s">
        <v>46</v>
      </c>
      <c r="AT3" s="7" t="s">
        <v>47</v>
      </c>
      <c r="AU3" s="7" t="s">
        <v>48</v>
      </c>
      <c r="AV3" s="7" t="s">
        <v>49</v>
      </c>
      <c r="AW3" s="7" t="s">
        <v>50</v>
      </c>
      <c r="AX3" s="7" t="s">
        <v>51</v>
      </c>
      <c r="AY3" s="7" t="s">
        <v>52</v>
      </c>
      <c r="AZ3" s="7" t="s">
        <v>53</v>
      </c>
      <c r="BA3" s="7" t="s">
        <v>54</v>
      </c>
      <c r="BB3" s="7" t="s">
        <v>55</v>
      </c>
      <c r="BC3" s="7" t="s">
        <v>56</v>
      </c>
      <c r="BD3" s="7" t="s">
        <v>57</v>
      </c>
      <c r="BE3" s="7" t="s">
        <v>58</v>
      </c>
      <c r="BF3" s="7" t="s">
        <v>59</v>
      </c>
      <c r="BG3" s="7" t="s">
        <v>60</v>
      </c>
      <c r="BH3" s="7" t="s">
        <v>61</v>
      </c>
      <c r="BI3" s="7" t="s">
        <v>62</v>
      </c>
      <c r="BJ3" s="7" t="s">
        <v>63</v>
      </c>
      <c r="BK3" s="7" t="s">
        <v>64</v>
      </c>
      <c r="BL3" s="7" t="s">
        <v>65</v>
      </c>
      <c r="BM3" s="7" t="s">
        <v>66</v>
      </c>
      <c r="BN3" s="7" t="s">
        <v>67</v>
      </c>
      <c r="BO3" s="7" t="s">
        <v>68</v>
      </c>
      <c r="BP3" s="7" t="s">
        <v>69</v>
      </c>
      <c r="BQ3" s="7" t="s">
        <v>70</v>
      </c>
      <c r="BR3" s="7" t="s">
        <v>71</v>
      </c>
      <c r="BS3" s="7" t="s">
        <v>72</v>
      </c>
      <c r="BT3" s="7" t="s">
        <v>73</v>
      </c>
      <c r="BU3" s="7" t="s">
        <v>74</v>
      </c>
      <c r="BV3" s="7" t="s">
        <v>75</v>
      </c>
      <c r="BW3" s="7" t="s">
        <v>76</v>
      </c>
      <c r="BX3" s="7" t="s">
        <v>77</v>
      </c>
      <c r="BY3" s="7" t="s">
        <v>78</v>
      </c>
      <c r="BZ3" s="7" t="s">
        <v>79</v>
      </c>
      <c r="CA3" s="7" t="s">
        <v>80</v>
      </c>
      <c r="CB3" s="7" t="s">
        <v>81</v>
      </c>
      <c r="CC3" s="7" t="s">
        <v>82</v>
      </c>
      <c r="CD3" s="7" t="s">
        <v>83</v>
      </c>
      <c r="CE3" s="7" t="s">
        <v>84</v>
      </c>
      <c r="CF3" s="7" t="s">
        <v>85</v>
      </c>
      <c r="CG3" s="7" t="s">
        <v>86</v>
      </c>
      <c r="CH3" s="7" t="s">
        <v>87</v>
      </c>
      <c r="CI3" s="7" t="s">
        <v>88</v>
      </c>
      <c r="CJ3" s="7" t="s">
        <v>89</v>
      </c>
      <c r="CK3" s="7" t="s">
        <v>90</v>
      </c>
      <c r="CL3" s="7" t="s">
        <v>91</v>
      </c>
      <c r="CM3" s="7" t="s">
        <v>92</v>
      </c>
      <c r="CN3" s="7" t="s">
        <v>93</v>
      </c>
      <c r="CO3" s="7" t="s">
        <v>94</v>
      </c>
      <c r="CP3" s="7" t="s">
        <v>95</v>
      </c>
      <c r="CQ3" s="7" t="s">
        <v>96</v>
      </c>
      <c r="CR3" s="7" t="s">
        <v>97</v>
      </c>
      <c r="CS3" s="7" t="s">
        <v>98</v>
      </c>
      <c r="CT3" s="7" t="s">
        <v>99</v>
      </c>
      <c r="CU3" s="7" t="s">
        <v>100</v>
      </c>
      <c r="CV3" s="7" t="s">
        <v>101</v>
      </c>
      <c r="CW3" s="7" t="s">
        <v>102</v>
      </c>
      <c r="CX3" s="7" t="s">
        <v>103</v>
      </c>
      <c r="CY3" s="7" t="s">
        <v>104</v>
      </c>
      <c r="CZ3" s="7" t="s">
        <v>105</v>
      </c>
      <c r="DA3" s="7" t="s">
        <v>106</v>
      </c>
      <c r="DB3" s="7" t="s">
        <v>107</v>
      </c>
      <c r="DC3" s="7" t="s">
        <v>108</v>
      </c>
      <c r="DD3" s="7" t="s">
        <v>109</v>
      </c>
      <c r="DE3" s="7" t="s">
        <v>110</v>
      </c>
      <c r="DF3" s="7" t="s">
        <v>111</v>
      </c>
      <c r="DG3" s="7" t="s">
        <v>112</v>
      </c>
      <c r="DH3" s="7" t="s">
        <v>113</v>
      </c>
      <c r="DI3" s="7" t="s">
        <v>114</v>
      </c>
      <c r="DJ3" s="7" t="s">
        <v>115</v>
      </c>
      <c r="DK3" s="7" t="s">
        <v>116</v>
      </c>
      <c r="DL3" s="7" t="s">
        <v>117</v>
      </c>
      <c r="DM3" s="7" t="s">
        <v>118</v>
      </c>
      <c r="DN3" s="7" t="s">
        <v>119</v>
      </c>
      <c r="DO3" s="7" t="s">
        <v>120</v>
      </c>
      <c r="DP3" s="7" t="s">
        <v>121</v>
      </c>
      <c r="DQ3" s="7" t="s">
        <v>122</v>
      </c>
      <c r="DR3" s="7" t="s">
        <v>123</v>
      </c>
      <c r="DS3" s="7" t="s">
        <v>124</v>
      </c>
      <c r="DT3" s="7" t="s">
        <v>125</v>
      </c>
      <c r="DU3" s="7" t="s">
        <v>126</v>
      </c>
      <c r="DV3" s="7" t="s">
        <v>127</v>
      </c>
      <c r="DW3" s="7" t="s">
        <v>128</v>
      </c>
      <c r="DX3" s="7" t="s">
        <v>129</v>
      </c>
      <c r="DY3" s="7" t="s">
        <v>130</v>
      </c>
      <c r="DZ3" s="7" t="s">
        <v>131</v>
      </c>
      <c r="EA3" s="7" t="s">
        <v>132</v>
      </c>
      <c r="EB3" s="7" t="s">
        <v>133</v>
      </c>
      <c r="EC3" s="7" t="s">
        <v>134</v>
      </c>
      <c r="ED3" s="7" t="s">
        <v>135</v>
      </c>
      <c r="EE3" s="7" t="s">
        <v>136</v>
      </c>
      <c r="EF3" s="7" t="s">
        <v>137</v>
      </c>
      <c r="EG3" s="7" t="s">
        <v>138</v>
      </c>
      <c r="EH3" s="7" t="s">
        <v>139</v>
      </c>
      <c r="EI3" s="7" t="s">
        <v>140</v>
      </c>
      <c r="EJ3" s="7" t="s">
        <v>141</v>
      </c>
      <c r="EK3" s="7" t="s">
        <v>142</v>
      </c>
      <c r="EL3" s="7" t="s">
        <v>143</v>
      </c>
      <c r="EM3" s="7" t="s">
        <v>144</v>
      </c>
      <c r="EN3" s="7" t="s">
        <v>145</v>
      </c>
      <c r="EO3" s="7" t="s">
        <v>146</v>
      </c>
      <c r="EP3" s="7" t="s">
        <v>147</v>
      </c>
      <c r="EQ3" s="7" t="s">
        <v>148</v>
      </c>
      <c r="ER3" s="7" t="s">
        <v>149</v>
      </c>
      <c r="ES3" s="7" t="s">
        <v>150</v>
      </c>
      <c r="ET3" s="7" t="s">
        <v>151</v>
      </c>
      <c r="EU3" s="7" t="s">
        <v>152</v>
      </c>
      <c r="EV3" s="7" t="s">
        <v>153</v>
      </c>
      <c r="EW3" s="7" t="s">
        <v>154</v>
      </c>
      <c r="EX3" s="7" t="s">
        <v>155</v>
      </c>
      <c r="EY3" s="7" t="s">
        <v>156</v>
      </c>
      <c r="EZ3" s="7" t="s">
        <v>157</v>
      </c>
      <c r="FA3" s="7" t="s">
        <v>158</v>
      </c>
      <c r="FB3" s="7" t="s">
        <v>159</v>
      </c>
      <c r="FC3" s="7" t="s">
        <v>160</v>
      </c>
      <c r="FD3" s="7" t="s">
        <v>161</v>
      </c>
      <c r="FE3" s="7" t="s">
        <v>162</v>
      </c>
      <c r="FF3" s="7" t="s">
        <v>163</v>
      </c>
      <c r="FG3" s="7" t="s">
        <v>164</v>
      </c>
      <c r="FH3" s="7" t="s">
        <v>165</v>
      </c>
      <c r="FI3" s="7" t="s">
        <v>166</v>
      </c>
      <c r="FJ3" s="7" t="s">
        <v>167</v>
      </c>
      <c r="FK3" s="7" t="s">
        <v>168</v>
      </c>
      <c r="FL3" s="7" t="s">
        <v>169</v>
      </c>
      <c r="FM3" s="7" t="s">
        <v>170</v>
      </c>
      <c r="FN3" s="7" t="s">
        <v>171</v>
      </c>
      <c r="FO3" s="7" t="s">
        <v>172</v>
      </c>
      <c r="FP3" s="7" t="s">
        <v>173</v>
      </c>
      <c r="FQ3" s="7" t="s">
        <v>174</v>
      </c>
      <c r="FR3" s="7" t="s">
        <v>175</v>
      </c>
      <c r="FS3" s="7" t="s">
        <v>176</v>
      </c>
      <c r="FT3" s="7" t="s">
        <v>177</v>
      </c>
      <c r="FU3" s="7" t="s">
        <v>178</v>
      </c>
      <c r="FV3" s="7" t="s">
        <v>179</v>
      </c>
      <c r="FW3" s="7" t="s">
        <v>180</v>
      </c>
      <c r="FX3" s="7" t="s">
        <v>181</v>
      </c>
      <c r="FY3" s="7" t="s">
        <v>182</v>
      </c>
      <c r="FZ3" s="7" t="s">
        <v>183</v>
      </c>
      <c r="GA3" s="7" t="s">
        <v>184</v>
      </c>
      <c r="GB3" s="7" t="s">
        <v>185</v>
      </c>
      <c r="GC3" s="7" t="s">
        <v>186</v>
      </c>
      <c r="GD3" s="7" t="s">
        <v>187</v>
      </c>
      <c r="GE3" s="7" t="s">
        <v>188</v>
      </c>
      <c r="GF3" s="7" t="s">
        <v>189</v>
      </c>
      <c r="GG3" s="7" t="s">
        <v>190</v>
      </c>
      <c r="GH3" s="7" t="s">
        <v>191</v>
      </c>
      <c r="GI3" s="7" t="s">
        <v>192</v>
      </c>
      <c r="GJ3" s="7" t="s">
        <v>193</v>
      </c>
      <c r="GK3" s="7" t="s">
        <v>194</v>
      </c>
      <c r="GL3" s="7" t="s">
        <v>195</v>
      </c>
      <c r="GM3" s="7" t="s">
        <v>196</v>
      </c>
      <c r="GN3" s="7" t="s">
        <v>197</v>
      </c>
      <c r="GO3" s="7" t="s">
        <v>198</v>
      </c>
      <c r="GP3" s="7" t="s">
        <v>199</v>
      </c>
      <c r="GQ3" s="7" t="s">
        <v>200</v>
      </c>
      <c r="GR3" s="7" t="s">
        <v>201</v>
      </c>
      <c r="GS3" s="7" t="s">
        <v>202</v>
      </c>
      <c r="GT3" s="7" t="s">
        <v>203</v>
      </c>
      <c r="GU3" s="7" t="s">
        <v>204</v>
      </c>
      <c r="GV3" s="7" t="s">
        <v>205</v>
      </c>
      <c r="GW3" s="7" t="s">
        <v>206</v>
      </c>
      <c r="GX3" s="7" t="s">
        <v>207</v>
      </c>
      <c r="GY3" s="7" t="s">
        <v>208</v>
      </c>
      <c r="GZ3" s="7" t="s">
        <v>209</v>
      </c>
      <c r="HA3" s="7" t="s">
        <v>210</v>
      </c>
      <c r="HB3" s="7" t="s">
        <v>211</v>
      </c>
      <c r="HC3" s="7" t="s">
        <v>212</v>
      </c>
      <c r="HD3" s="7" t="s">
        <v>213</v>
      </c>
      <c r="HE3" s="7" t="s">
        <v>214</v>
      </c>
      <c r="HF3" s="7" t="s">
        <v>215</v>
      </c>
      <c r="HG3" s="7" t="s">
        <v>216</v>
      </c>
      <c r="HH3" s="7" t="s">
        <v>217</v>
      </c>
      <c r="HI3" s="7" t="s">
        <v>218</v>
      </c>
      <c r="HJ3" s="7" t="s">
        <v>219</v>
      </c>
      <c r="HK3" s="7" t="s">
        <v>220</v>
      </c>
      <c r="HL3" s="7" t="s">
        <v>221</v>
      </c>
      <c r="HM3" s="7" t="s">
        <v>222</v>
      </c>
      <c r="HN3" s="7" t="s">
        <v>223</v>
      </c>
      <c r="HO3" s="7" t="s">
        <v>224</v>
      </c>
      <c r="HP3" s="7" t="s">
        <v>225</v>
      </c>
      <c r="HQ3" s="7" t="s">
        <v>226</v>
      </c>
      <c r="HR3" s="7" t="s">
        <v>227</v>
      </c>
      <c r="HS3" s="7" t="s">
        <v>228</v>
      </c>
      <c r="HT3" s="7" t="s">
        <v>229</v>
      </c>
      <c r="HU3" s="7" t="s">
        <v>230</v>
      </c>
      <c r="HV3" s="7" t="s">
        <v>231</v>
      </c>
      <c r="HW3" s="7" t="s">
        <v>232</v>
      </c>
      <c r="HX3" s="7" t="s">
        <v>233</v>
      </c>
      <c r="HY3" s="7" t="s">
        <v>234</v>
      </c>
      <c r="HZ3" s="7" t="s">
        <v>235</v>
      </c>
      <c r="IA3" s="7" t="s">
        <v>236</v>
      </c>
      <c r="IB3" s="7" t="s">
        <v>237</v>
      </c>
      <c r="IC3" s="7" t="s">
        <v>238</v>
      </c>
      <c r="ID3" s="7" t="s">
        <v>239</v>
      </c>
      <c r="IE3" s="7" t="s">
        <v>240</v>
      </c>
      <c r="IF3" s="7" t="s">
        <v>241</v>
      </c>
      <c r="IG3" s="7" t="s">
        <v>242</v>
      </c>
      <c r="IH3" s="7" t="s">
        <v>243</v>
      </c>
      <c r="II3" s="7" t="s">
        <v>244</v>
      </c>
      <c r="IJ3" s="7" t="s">
        <v>245</v>
      </c>
      <c r="IK3" s="7" t="s">
        <v>246</v>
      </c>
      <c r="IL3" s="7" t="s">
        <v>247</v>
      </c>
      <c r="IM3" s="7" t="s">
        <v>248</v>
      </c>
      <c r="IN3" s="7" t="s">
        <v>249</v>
      </c>
      <c r="IO3" s="7" t="s">
        <v>250</v>
      </c>
      <c r="IP3" s="7" t="s">
        <v>251</v>
      </c>
      <c r="IQ3" s="7" t="s">
        <v>252</v>
      </c>
      <c r="IR3" s="7" t="s">
        <v>253</v>
      </c>
      <c r="IS3" s="7" t="s">
        <v>254</v>
      </c>
      <c r="IT3" s="7" t="s">
        <v>255</v>
      </c>
      <c r="IU3" s="7" t="s">
        <v>256</v>
      </c>
      <c r="IV3" s="7" t="s">
        <v>257</v>
      </c>
      <c r="IW3" s="7" t="s">
        <v>258</v>
      </c>
      <c r="IX3" s="7" t="s">
        <v>259</v>
      </c>
      <c r="IY3" s="7" t="s">
        <v>260</v>
      </c>
      <c r="IZ3" s="7" t="s">
        <v>261</v>
      </c>
      <c r="JA3" s="7" t="s">
        <v>262</v>
      </c>
      <c r="JB3" s="7" t="s">
        <v>263</v>
      </c>
      <c r="JC3" s="7" t="s">
        <v>264</v>
      </c>
      <c r="JD3" s="7" t="s">
        <v>265</v>
      </c>
      <c r="JE3" s="7" t="s">
        <v>266</v>
      </c>
      <c r="JF3" s="7" t="s">
        <v>267</v>
      </c>
      <c r="JG3" s="7" t="s">
        <v>268</v>
      </c>
      <c r="JH3" s="7" t="s">
        <v>269</v>
      </c>
      <c r="JI3" s="7" t="s">
        <v>270</v>
      </c>
      <c r="JJ3" s="7" t="s">
        <v>271</v>
      </c>
      <c r="JK3" s="7" t="s">
        <v>272</v>
      </c>
      <c r="JL3" s="7" t="s">
        <v>273</v>
      </c>
      <c r="JM3" s="7" t="s">
        <v>274</v>
      </c>
      <c r="JN3" s="7" t="s">
        <v>275</v>
      </c>
      <c r="JO3" s="7" t="s">
        <v>276</v>
      </c>
      <c r="JP3" s="7" t="s">
        <v>277</v>
      </c>
      <c r="JQ3" s="7" t="s">
        <v>278</v>
      </c>
      <c r="JR3" s="7" t="s">
        <v>279</v>
      </c>
      <c r="JS3" s="7" t="s">
        <v>280</v>
      </c>
      <c r="JT3" s="7" t="s">
        <v>281</v>
      </c>
      <c r="JU3" s="7" t="s">
        <v>282</v>
      </c>
      <c r="JV3" s="7" t="s">
        <v>283</v>
      </c>
      <c r="JW3" s="7" t="s">
        <v>284</v>
      </c>
      <c r="JX3" s="7" t="s">
        <v>285</v>
      </c>
      <c r="JY3" s="7" t="s">
        <v>286</v>
      </c>
      <c r="JZ3" s="7" t="s">
        <v>287</v>
      </c>
      <c r="KA3" s="7" t="s">
        <v>288</v>
      </c>
      <c r="KB3" s="7" t="s">
        <v>289</v>
      </c>
      <c r="KC3" s="7" t="s">
        <v>290</v>
      </c>
      <c r="KD3" s="7" t="s">
        <v>291</v>
      </c>
      <c r="KE3" s="7" t="s">
        <v>292</v>
      </c>
      <c r="KF3" s="7" t="s">
        <v>293</v>
      </c>
      <c r="KG3" s="7" t="s">
        <v>294</v>
      </c>
      <c r="KH3" s="7" t="s">
        <v>295</v>
      </c>
      <c r="KI3" s="7" t="s">
        <v>296</v>
      </c>
      <c r="KJ3" s="7" t="s">
        <v>297</v>
      </c>
      <c r="KK3" s="7" t="s">
        <v>298</v>
      </c>
      <c r="KL3" s="7" t="s">
        <v>299</v>
      </c>
      <c r="KM3" s="7" t="s">
        <v>300</v>
      </c>
      <c r="KN3" s="7" t="s">
        <v>301</v>
      </c>
      <c r="KO3" s="7" t="s">
        <v>302</v>
      </c>
      <c r="KP3" s="7" t="s">
        <v>303</v>
      </c>
      <c r="KQ3" s="7" t="s">
        <v>304</v>
      </c>
      <c r="KR3" s="7" t="s">
        <v>305</v>
      </c>
      <c r="KS3" s="7" t="s">
        <v>306</v>
      </c>
      <c r="KT3" s="7" t="s">
        <v>307</v>
      </c>
      <c r="KU3" s="7" t="s">
        <v>308</v>
      </c>
      <c r="KV3" s="7" t="s">
        <v>309</v>
      </c>
      <c r="KW3" s="7" t="s">
        <v>310</v>
      </c>
      <c r="KX3" s="7" t="s">
        <v>311</v>
      </c>
      <c r="KY3" s="7" t="s">
        <v>312</v>
      </c>
      <c r="KZ3" s="7" t="s">
        <v>313</v>
      </c>
    </row>
    <row r="4" spans="1:312">
      <c r="A4" s="8" t="s">
        <v>314</v>
      </c>
      <c r="B4" s="7">
        <v>124415</v>
      </c>
      <c r="C4" s="7">
        <v>135418</v>
      </c>
      <c r="D4" s="7">
        <v>152358</v>
      </c>
      <c r="E4" s="7">
        <v>131252</v>
      </c>
      <c r="F4" s="7">
        <v>134416</v>
      </c>
      <c r="G4" s="7">
        <v>125033</v>
      </c>
      <c r="H4" s="7">
        <v>132690</v>
      </c>
      <c r="I4" s="7">
        <v>130765</v>
      </c>
      <c r="J4" s="7">
        <v>130960</v>
      </c>
      <c r="K4" s="7">
        <v>134393</v>
      </c>
      <c r="L4" s="7">
        <v>142827</v>
      </c>
      <c r="M4" s="7">
        <v>145887</v>
      </c>
      <c r="N4" s="7">
        <v>146532</v>
      </c>
      <c r="O4" s="7">
        <v>157996</v>
      </c>
      <c r="P4" s="7">
        <v>154221</v>
      </c>
      <c r="Q4" s="7">
        <v>157182</v>
      </c>
      <c r="R4" s="7">
        <v>174959</v>
      </c>
      <c r="S4" s="7">
        <v>159646</v>
      </c>
      <c r="T4" s="7">
        <v>153877</v>
      </c>
      <c r="U4" s="7">
        <v>154932</v>
      </c>
      <c r="V4" s="7">
        <v>154834</v>
      </c>
      <c r="W4" s="7">
        <v>156787</v>
      </c>
      <c r="X4" s="7">
        <v>174258</v>
      </c>
      <c r="Y4" s="7">
        <v>173083</v>
      </c>
      <c r="Z4" s="7">
        <v>179166</v>
      </c>
      <c r="AA4" s="7">
        <v>183732</v>
      </c>
      <c r="AB4" s="7">
        <v>192015</v>
      </c>
      <c r="AC4" s="7">
        <v>187461</v>
      </c>
      <c r="AD4" s="7">
        <v>208171</v>
      </c>
      <c r="AE4" s="7">
        <v>186926</v>
      </c>
      <c r="AF4" s="7">
        <v>200380</v>
      </c>
      <c r="AG4" s="7">
        <v>205995</v>
      </c>
      <c r="AH4" s="7">
        <v>214458</v>
      </c>
      <c r="AI4" s="7">
        <v>218828</v>
      </c>
      <c r="AJ4" s="7">
        <v>254077</v>
      </c>
      <c r="AK4" s="7">
        <v>257220</v>
      </c>
      <c r="AL4" s="7">
        <v>259970</v>
      </c>
      <c r="AM4" s="7">
        <v>294449</v>
      </c>
      <c r="AN4" s="7">
        <v>294114</v>
      </c>
      <c r="AO4" s="7">
        <v>292333</v>
      </c>
      <c r="AP4" s="7">
        <v>316962</v>
      </c>
      <c r="AQ4" s="7">
        <v>298521</v>
      </c>
      <c r="AR4" s="7">
        <v>307820</v>
      </c>
      <c r="AS4" s="7">
        <v>325590</v>
      </c>
      <c r="AT4" s="7">
        <v>316252</v>
      </c>
      <c r="AU4" s="7">
        <v>360360</v>
      </c>
      <c r="AV4" s="7">
        <v>388535</v>
      </c>
      <c r="AW4" s="7">
        <v>380291</v>
      </c>
      <c r="AX4" s="7">
        <v>386031</v>
      </c>
      <c r="AY4" s="7">
        <v>404209</v>
      </c>
      <c r="AZ4" s="7">
        <v>445005</v>
      </c>
      <c r="BA4" s="7">
        <v>489453</v>
      </c>
      <c r="BB4" s="7">
        <v>577841</v>
      </c>
      <c r="BC4" s="7">
        <v>485842</v>
      </c>
      <c r="BD4" s="7">
        <v>528484</v>
      </c>
      <c r="BE4" s="7">
        <v>546087</v>
      </c>
      <c r="BF4" s="7">
        <v>547683</v>
      </c>
      <c r="BG4" s="7">
        <v>549829</v>
      </c>
      <c r="BH4" s="7">
        <v>550629</v>
      </c>
      <c r="BI4" s="7">
        <v>564794</v>
      </c>
      <c r="BJ4" s="7">
        <v>554900</v>
      </c>
      <c r="BK4" s="7">
        <v>642333</v>
      </c>
      <c r="BL4" s="7">
        <v>640720</v>
      </c>
      <c r="BM4" s="7">
        <v>609723</v>
      </c>
      <c r="BN4" s="7">
        <v>663005</v>
      </c>
      <c r="BO4" s="7">
        <v>616639</v>
      </c>
      <c r="BP4" s="7">
        <v>793880</v>
      </c>
      <c r="BQ4" s="7">
        <v>1040392</v>
      </c>
      <c r="BR4" s="7">
        <v>992708</v>
      </c>
      <c r="BS4" s="7">
        <v>1041610</v>
      </c>
      <c r="BT4" s="7">
        <v>1058984</v>
      </c>
      <c r="BU4" s="7">
        <v>1162852</v>
      </c>
      <c r="BV4" s="7">
        <v>1098956</v>
      </c>
      <c r="BW4" s="7">
        <v>1196181</v>
      </c>
      <c r="BX4" s="7">
        <v>1191090</v>
      </c>
      <c r="BY4" s="7">
        <v>1181591</v>
      </c>
      <c r="BZ4" s="7">
        <v>1501328</v>
      </c>
      <c r="CA4" s="7">
        <v>1391002</v>
      </c>
      <c r="CB4" s="7">
        <v>1587979</v>
      </c>
      <c r="CC4" s="7">
        <v>1583970</v>
      </c>
      <c r="CD4" s="7">
        <v>1534440</v>
      </c>
      <c r="CE4" s="7">
        <v>1602747</v>
      </c>
      <c r="CF4" s="7">
        <v>1666674</v>
      </c>
      <c r="CG4" s="7">
        <v>1696397</v>
      </c>
      <c r="CH4" s="7">
        <v>1751136</v>
      </c>
      <c r="CI4" s="7">
        <v>1713139</v>
      </c>
      <c r="CJ4" s="7">
        <v>1502658</v>
      </c>
      <c r="CK4" s="7">
        <v>1489996</v>
      </c>
      <c r="CL4" s="7">
        <v>1464136</v>
      </c>
      <c r="CM4" s="7">
        <v>1509503</v>
      </c>
      <c r="CN4" s="7">
        <v>1579496</v>
      </c>
      <c r="CO4" s="7">
        <v>1578890</v>
      </c>
      <c r="CP4" s="7">
        <v>1534208</v>
      </c>
      <c r="CQ4" s="7">
        <v>1695073</v>
      </c>
      <c r="CR4" s="7">
        <v>1752991</v>
      </c>
      <c r="CS4" s="7">
        <v>1669857</v>
      </c>
      <c r="CT4" s="7">
        <v>1750952</v>
      </c>
      <c r="CU4" s="7">
        <v>1754914</v>
      </c>
      <c r="CV4" s="7">
        <v>1570214</v>
      </c>
      <c r="CW4" s="7">
        <v>1298552</v>
      </c>
      <c r="CX4" s="7">
        <v>1525238</v>
      </c>
      <c r="CY4" s="7">
        <v>2032438</v>
      </c>
      <c r="CZ4" s="7">
        <v>2252087</v>
      </c>
      <c r="DA4" s="7">
        <v>2236772</v>
      </c>
      <c r="DB4" s="7">
        <v>2193334</v>
      </c>
      <c r="DC4" s="7">
        <v>2261268</v>
      </c>
      <c r="DD4" s="7">
        <v>2333767</v>
      </c>
      <c r="DE4" s="7">
        <v>2707836</v>
      </c>
      <c r="DF4" s="7">
        <v>2577690</v>
      </c>
      <c r="DG4" s="7">
        <v>2747648</v>
      </c>
      <c r="DH4" s="7">
        <v>2563712</v>
      </c>
      <c r="DI4" s="7">
        <v>2502905</v>
      </c>
      <c r="DJ4" s="7">
        <v>2450836</v>
      </c>
      <c r="DK4" s="7">
        <v>2584606</v>
      </c>
      <c r="DL4" s="7">
        <v>2653023</v>
      </c>
      <c r="DM4" s="7">
        <v>2736282</v>
      </c>
      <c r="DN4" s="7">
        <v>2650779</v>
      </c>
      <c r="DO4" s="7">
        <v>2518311</v>
      </c>
      <c r="DP4" s="7">
        <v>2738397</v>
      </c>
      <c r="DQ4" s="7">
        <v>2600035</v>
      </c>
      <c r="DR4" s="7">
        <v>2523403</v>
      </c>
      <c r="DS4" s="7">
        <v>2529901</v>
      </c>
      <c r="DT4" s="7">
        <v>2744373</v>
      </c>
      <c r="DU4" s="7">
        <v>2372578</v>
      </c>
      <c r="DV4" s="7">
        <v>2572217</v>
      </c>
      <c r="DW4" s="7">
        <v>2641507</v>
      </c>
      <c r="DX4" s="7">
        <v>2630137</v>
      </c>
      <c r="DY4" s="7">
        <v>2810231</v>
      </c>
      <c r="DZ4" s="7">
        <v>2906459</v>
      </c>
      <c r="EA4" s="7">
        <v>2842547</v>
      </c>
      <c r="EB4" s="7">
        <v>2888094</v>
      </c>
      <c r="EC4" s="7">
        <v>3195563</v>
      </c>
      <c r="ED4" s="7">
        <v>2885672</v>
      </c>
      <c r="EE4" s="7">
        <v>2883088</v>
      </c>
      <c r="EF4" s="7">
        <v>3063973</v>
      </c>
      <c r="EG4" s="7">
        <v>2964336</v>
      </c>
      <c r="EH4" s="7">
        <v>2837356</v>
      </c>
      <c r="EI4" s="7">
        <v>3384140</v>
      </c>
      <c r="EJ4" s="7">
        <v>3469472</v>
      </c>
      <c r="EK4" s="7">
        <v>3282665</v>
      </c>
      <c r="EL4" s="7">
        <v>3490230</v>
      </c>
      <c r="EM4" s="7">
        <v>3304523</v>
      </c>
      <c r="EN4" s="7">
        <v>3454684</v>
      </c>
      <c r="EO4" s="7">
        <v>2951901</v>
      </c>
      <c r="EP4" s="7">
        <v>2809970</v>
      </c>
      <c r="EQ4" s="7">
        <v>2953136</v>
      </c>
      <c r="ER4" s="7">
        <v>2832517</v>
      </c>
      <c r="ES4" s="7">
        <v>2686108</v>
      </c>
      <c r="ET4" s="7">
        <v>2890061</v>
      </c>
      <c r="EU4" s="7">
        <v>2746246</v>
      </c>
      <c r="EV4" s="7">
        <v>2628804</v>
      </c>
      <c r="EW4" s="7">
        <v>3044985</v>
      </c>
      <c r="EX4" s="7">
        <v>2852896</v>
      </c>
      <c r="EY4" s="7">
        <v>3038715</v>
      </c>
      <c r="EZ4" s="7">
        <v>3094682</v>
      </c>
      <c r="FA4" s="7">
        <v>3109197</v>
      </c>
      <c r="FB4" s="7">
        <v>2906042</v>
      </c>
      <c r="FC4" s="7">
        <v>2781820</v>
      </c>
      <c r="FD4" s="7">
        <v>2776294</v>
      </c>
      <c r="FE4" s="7">
        <v>2609637</v>
      </c>
      <c r="FF4" s="7">
        <v>2825961</v>
      </c>
      <c r="FG4" s="7">
        <v>2861003</v>
      </c>
      <c r="FH4" s="7">
        <v>3240023</v>
      </c>
      <c r="FI4" s="7">
        <v>3408022</v>
      </c>
      <c r="FJ4" s="7">
        <v>3633316</v>
      </c>
      <c r="FK4" s="7">
        <v>3595581</v>
      </c>
      <c r="FL4" s="7">
        <v>3715258</v>
      </c>
      <c r="FM4" s="7">
        <v>3859730</v>
      </c>
      <c r="FN4" s="7">
        <v>3654727</v>
      </c>
      <c r="FO4" s="7">
        <v>3753134</v>
      </c>
      <c r="FP4" s="7">
        <v>3723626</v>
      </c>
      <c r="FQ4" s="7">
        <v>3414322</v>
      </c>
      <c r="FR4" s="7">
        <v>3413841</v>
      </c>
      <c r="FS4" s="7">
        <v>3109020</v>
      </c>
      <c r="FT4" s="7">
        <v>3144815</v>
      </c>
      <c r="FU4" s="7">
        <v>3287005</v>
      </c>
      <c r="FV4" s="7">
        <v>3418576</v>
      </c>
      <c r="FW4" s="7">
        <v>3644795</v>
      </c>
      <c r="FX4" s="7">
        <v>4191185</v>
      </c>
      <c r="FY4" s="7">
        <v>3871600</v>
      </c>
      <c r="FZ4" s="7">
        <v>4307271</v>
      </c>
      <c r="GA4" s="7">
        <v>4644278</v>
      </c>
      <c r="GB4" s="7">
        <v>4678045</v>
      </c>
      <c r="GC4" s="7">
        <v>4816225</v>
      </c>
      <c r="GD4" s="7">
        <v>4750746</v>
      </c>
      <c r="GE4" s="7">
        <v>4722030</v>
      </c>
      <c r="GF4" s="7">
        <v>4566189</v>
      </c>
      <c r="GG4" s="7">
        <v>4993159</v>
      </c>
      <c r="GH4" s="7">
        <v>4653021</v>
      </c>
      <c r="GI4" s="7">
        <v>4495113</v>
      </c>
      <c r="GJ4" s="7">
        <v>4894149</v>
      </c>
      <c r="GK4" s="7">
        <v>4452803</v>
      </c>
      <c r="GL4" s="7">
        <v>4524027</v>
      </c>
      <c r="GM4" s="7">
        <v>4646906</v>
      </c>
      <c r="GN4" s="7">
        <v>4347750</v>
      </c>
      <c r="GO4" s="7">
        <v>4671068</v>
      </c>
      <c r="GP4" s="7">
        <v>5162573</v>
      </c>
      <c r="GQ4" s="7">
        <v>4678806</v>
      </c>
      <c r="GR4" s="7">
        <v>4686894</v>
      </c>
      <c r="GS4" s="7">
        <v>5198807</v>
      </c>
      <c r="GT4" s="7">
        <v>5253533</v>
      </c>
      <c r="GU4" s="7">
        <v>5536229</v>
      </c>
      <c r="GV4" s="7">
        <v>5173896</v>
      </c>
      <c r="GW4" s="7">
        <v>5459616</v>
      </c>
      <c r="GX4" s="7">
        <v>5342897</v>
      </c>
      <c r="GY4" s="7">
        <v>6067983</v>
      </c>
      <c r="GZ4" s="7">
        <v>5690787</v>
      </c>
      <c r="HA4" s="7">
        <v>5782435</v>
      </c>
      <c r="HB4" s="7">
        <v>5537057</v>
      </c>
      <c r="HC4" s="7">
        <v>5208414</v>
      </c>
      <c r="HD4" s="7">
        <v>4893466</v>
      </c>
      <c r="HE4" s="7">
        <v>4565508</v>
      </c>
      <c r="HF4" s="7">
        <v>4799905</v>
      </c>
      <c r="HG4" s="7">
        <v>4787605</v>
      </c>
      <c r="HH4" s="7">
        <v>5734184</v>
      </c>
      <c r="HI4" s="7">
        <v>6367717</v>
      </c>
      <c r="HJ4" s="7">
        <v>6118672</v>
      </c>
      <c r="HK4" s="7">
        <v>6183748</v>
      </c>
      <c r="HL4" s="7">
        <v>5799325</v>
      </c>
      <c r="HM4" s="7">
        <v>5988371</v>
      </c>
      <c r="HN4" s="7">
        <v>6650873</v>
      </c>
      <c r="HO4" s="7">
        <v>6983953</v>
      </c>
      <c r="HP4" s="7">
        <v>6519013</v>
      </c>
      <c r="HQ4" s="7">
        <v>6248429</v>
      </c>
      <c r="HR4" s="7">
        <v>5694776</v>
      </c>
      <c r="HS4" s="7">
        <v>6617443</v>
      </c>
      <c r="HT4" s="7">
        <v>6346150</v>
      </c>
      <c r="HU4" s="7">
        <v>7078495</v>
      </c>
      <c r="HV4" s="7">
        <v>6602428</v>
      </c>
      <c r="HW4" s="7">
        <v>6528275</v>
      </c>
      <c r="HX4" s="7">
        <v>7058849</v>
      </c>
      <c r="HY4" s="7">
        <v>6718657</v>
      </c>
      <c r="HZ4" s="7">
        <v>6893176</v>
      </c>
      <c r="IA4" s="7">
        <v>6269522</v>
      </c>
      <c r="IB4" s="7">
        <v>6395199</v>
      </c>
      <c r="IC4" s="7">
        <v>8652501</v>
      </c>
      <c r="ID4" s="7">
        <v>8284220</v>
      </c>
      <c r="IE4" s="7">
        <v>8253667</v>
      </c>
      <c r="IF4" s="7">
        <v>8428322</v>
      </c>
      <c r="IG4" s="7">
        <v>9097118</v>
      </c>
      <c r="IH4" s="7">
        <v>9139678</v>
      </c>
      <c r="II4" s="7">
        <v>9023035</v>
      </c>
      <c r="IJ4" s="7">
        <v>9661803</v>
      </c>
      <c r="IK4" s="7">
        <v>9667538</v>
      </c>
      <c r="IL4" s="7">
        <v>9777551</v>
      </c>
      <c r="IM4" s="7">
        <v>9173822</v>
      </c>
      <c r="IN4" s="7">
        <v>9565291</v>
      </c>
      <c r="IO4" s="7">
        <v>9859517</v>
      </c>
      <c r="IP4" s="7">
        <v>9878434</v>
      </c>
      <c r="IQ4" s="7">
        <v>10317236</v>
      </c>
      <c r="IR4" s="7">
        <v>10270127</v>
      </c>
      <c r="IS4" s="7">
        <v>10300160</v>
      </c>
      <c r="IT4" s="7">
        <v>10298221</v>
      </c>
      <c r="IU4" s="7">
        <v>10689698</v>
      </c>
      <c r="IV4" s="7">
        <v>10402089</v>
      </c>
      <c r="IW4" s="7">
        <v>10476192</v>
      </c>
      <c r="IX4" s="7">
        <v>10957714</v>
      </c>
      <c r="IY4" s="7">
        <v>10683934</v>
      </c>
      <c r="IZ4" s="7">
        <v>10764863</v>
      </c>
      <c r="JA4" s="7">
        <v>10791800</v>
      </c>
      <c r="JB4" s="7">
        <v>9968049</v>
      </c>
      <c r="JC4" s="7">
        <v>9875008</v>
      </c>
      <c r="JD4" s="7">
        <v>10688772</v>
      </c>
      <c r="JE4" s="7">
        <v>11579074</v>
      </c>
      <c r="JF4" s="7">
        <v>12076477</v>
      </c>
      <c r="JG4" s="7">
        <v>11871384</v>
      </c>
      <c r="JH4" s="7">
        <v>12374432</v>
      </c>
      <c r="JI4" s="7">
        <v>11719902</v>
      </c>
      <c r="JJ4" s="7">
        <v>11874422</v>
      </c>
      <c r="JK4" s="7">
        <v>10678782</v>
      </c>
      <c r="JL4" s="7">
        <v>10047215</v>
      </c>
      <c r="JM4" s="7">
        <v>10284491</v>
      </c>
      <c r="JN4" s="7">
        <v>9854371</v>
      </c>
      <c r="JO4" s="7">
        <v>9654031</v>
      </c>
      <c r="JP4" s="7">
        <v>10440847</v>
      </c>
      <c r="JQ4" s="7">
        <v>9586967</v>
      </c>
      <c r="JR4" s="7">
        <v>9068158</v>
      </c>
      <c r="JS4" s="7">
        <v>8843495</v>
      </c>
      <c r="JT4" s="7">
        <v>9620615</v>
      </c>
      <c r="JU4" s="7">
        <v>10126464</v>
      </c>
      <c r="JV4" s="7">
        <v>11539973</v>
      </c>
      <c r="JW4" s="7">
        <v>11819843</v>
      </c>
      <c r="JX4" s="7">
        <v>11526650</v>
      </c>
      <c r="JY4" s="7">
        <v>12302588</v>
      </c>
      <c r="JZ4" s="7">
        <v>12290583</v>
      </c>
      <c r="KA4" s="7">
        <v>12681766</v>
      </c>
      <c r="KB4" s="7">
        <v>13275974</v>
      </c>
      <c r="KC4" s="7">
        <v>13477031</v>
      </c>
      <c r="KD4" s="7">
        <v>13324363</v>
      </c>
      <c r="KE4" s="7">
        <v>13741720</v>
      </c>
      <c r="KF4" s="7">
        <v>13540027</v>
      </c>
      <c r="KG4" s="7">
        <v>12546103</v>
      </c>
      <c r="KH4" s="7">
        <v>14606537</v>
      </c>
      <c r="KI4" s="7">
        <v>14012242</v>
      </c>
      <c r="KJ4" s="7">
        <v>13662625</v>
      </c>
      <c r="KK4" s="7">
        <v>13787210</v>
      </c>
      <c r="KL4" s="7">
        <v>13534795</v>
      </c>
      <c r="KM4" s="7">
        <v>13973748</v>
      </c>
      <c r="KN4" s="7">
        <v>14019117</v>
      </c>
      <c r="KO4" s="7">
        <v>14687046</v>
      </c>
      <c r="KP4" s="7">
        <v>15067944</v>
      </c>
      <c r="KQ4" s="7">
        <v>14344179</v>
      </c>
      <c r="KR4" s="7">
        <v>14842893</v>
      </c>
      <c r="KS4" s="7">
        <v>13765314</v>
      </c>
      <c r="KT4" s="7">
        <v>15678721</v>
      </c>
      <c r="KU4" s="7">
        <v>15273813</v>
      </c>
      <c r="KV4" s="7">
        <v>14262793</v>
      </c>
      <c r="KW4" s="7">
        <v>14749112</v>
      </c>
      <c r="KX4" s="7">
        <v>14919075</v>
      </c>
      <c r="KY4" s="7">
        <v>14840823</v>
      </c>
      <c r="KZ4" s="7">
        <v>15579704</v>
      </c>
    </row>
    <row r="5" spans="1:312">
      <c r="A5" s="6" t="s">
        <v>315</v>
      </c>
      <c r="B5" s="7">
        <v>2.4</v>
      </c>
      <c r="C5" s="7">
        <v>8.8</v>
      </c>
      <c r="D5" s="7">
        <v>12.5</v>
      </c>
      <c r="E5" s="7">
        <v>-13.9</v>
      </c>
      <c r="F5" s="7">
        <v>2.4</v>
      </c>
      <c r="G5" s="7">
        <v>-7</v>
      </c>
      <c r="H5" s="7">
        <v>6.1</v>
      </c>
      <c r="I5" s="7">
        <v>-1.5</v>
      </c>
      <c r="J5" s="7">
        <v>0.1</v>
      </c>
      <c r="K5" s="7">
        <v>2.6</v>
      </c>
      <c r="L5" s="7">
        <v>6.3</v>
      </c>
      <c r="M5" s="7">
        <v>2.1</v>
      </c>
      <c r="N5" s="7">
        <v>0.4</v>
      </c>
      <c r="O5" s="7">
        <v>7.8</v>
      </c>
      <c r="P5" s="7">
        <v>-2.4</v>
      </c>
      <c r="Q5" s="7">
        <v>1.9</v>
      </c>
      <c r="R5" s="7">
        <v>11.3</v>
      </c>
      <c r="S5" s="7">
        <v>-8.8</v>
      </c>
      <c r="T5" s="7">
        <v>-3.6</v>
      </c>
      <c r="U5" s="7">
        <v>0.7</v>
      </c>
      <c r="V5" s="7">
        <v>-0.1</v>
      </c>
      <c r="W5" s="7">
        <v>1.3</v>
      </c>
      <c r="X5" s="7">
        <v>11.1</v>
      </c>
      <c r="Y5" s="7">
        <v>-0.7</v>
      </c>
      <c r="Z5" s="7">
        <v>3.5</v>
      </c>
      <c r="AA5" s="7">
        <v>2.5</v>
      </c>
      <c r="AB5" s="7">
        <v>4.5</v>
      </c>
      <c r="AC5" s="7">
        <v>-2.4</v>
      </c>
      <c r="AD5" s="7">
        <v>11</v>
      </c>
      <c r="AE5" s="7">
        <v>-10.2</v>
      </c>
      <c r="AF5" s="7">
        <v>7.2</v>
      </c>
      <c r="AG5" s="7">
        <v>2.8</v>
      </c>
      <c r="AH5" s="7">
        <v>4.1</v>
      </c>
      <c r="AI5" s="7">
        <v>2</v>
      </c>
      <c r="AJ5" s="7">
        <v>16.1</v>
      </c>
      <c r="AK5" s="7">
        <v>1.2</v>
      </c>
      <c r="AL5" s="7">
        <v>1.1</v>
      </c>
      <c r="AM5" s="7">
        <v>13.3</v>
      </c>
      <c r="AN5" s="7">
        <v>-0.1</v>
      </c>
      <c r="AO5" s="7">
        <v>-0.6</v>
      </c>
      <c r="AP5" s="7">
        <v>8.4</v>
      </c>
      <c r="AQ5" s="7">
        <v>-5.8</v>
      </c>
      <c r="AR5" s="7">
        <v>3.1</v>
      </c>
      <c r="AS5" s="7">
        <v>5.8</v>
      </c>
      <c r="AT5" s="7">
        <v>-2.9</v>
      </c>
      <c r="AU5" s="7">
        <v>13.9</v>
      </c>
      <c r="AV5" s="7">
        <v>7.8</v>
      </c>
      <c r="AW5" s="7">
        <v>-2.1</v>
      </c>
      <c r="AX5" s="7">
        <v>1.5</v>
      </c>
      <c r="AY5" s="7">
        <v>4.7</v>
      </c>
      <c r="AZ5" s="7">
        <v>10.1</v>
      </c>
      <c r="BA5" s="7">
        <v>10</v>
      </c>
      <c r="BB5" s="7">
        <v>18.1</v>
      </c>
      <c r="BC5" s="7">
        <v>-15.9</v>
      </c>
      <c r="BD5" s="7">
        <v>8.8</v>
      </c>
      <c r="BE5" s="7">
        <v>3.3</v>
      </c>
      <c r="BF5" s="7">
        <v>0.3</v>
      </c>
      <c r="BG5" s="7">
        <v>0.4</v>
      </c>
      <c r="BH5" s="7">
        <v>0.1</v>
      </c>
      <c r="BI5" s="7">
        <v>2.6</v>
      </c>
      <c r="BJ5" s="7">
        <v>-1.8</v>
      </c>
      <c r="BK5" s="7">
        <v>15.8</v>
      </c>
      <c r="BL5" s="7">
        <v>-0.3</v>
      </c>
      <c r="BM5" s="7">
        <v>-4.8</v>
      </c>
      <c r="BN5" s="7">
        <v>8.7</v>
      </c>
      <c r="BO5" s="7">
        <v>-7</v>
      </c>
      <c r="BP5" s="7">
        <v>28.7</v>
      </c>
      <c r="BQ5" s="7">
        <v>31.1</v>
      </c>
      <c r="BR5" s="7">
        <v>-4.6</v>
      </c>
      <c r="BS5" s="7">
        <v>4.9</v>
      </c>
      <c r="BT5" s="7">
        <v>1.7</v>
      </c>
      <c r="BU5" s="7">
        <v>9.8</v>
      </c>
      <c r="BV5" s="7">
        <v>-5.5</v>
      </c>
      <c r="BW5" s="7">
        <v>8.8</v>
      </c>
      <c r="BX5" s="7">
        <v>-0.4</v>
      </c>
      <c r="BY5" s="7">
        <v>-0.8</v>
      </c>
      <c r="BZ5" s="7">
        <v>27.1</v>
      </c>
      <c r="CA5" s="7">
        <v>-7.3</v>
      </c>
      <c r="CB5" s="7">
        <v>14.2</v>
      </c>
      <c r="CC5" s="7">
        <v>-0.3</v>
      </c>
      <c r="CD5" s="7">
        <v>-3.1</v>
      </c>
      <c r="CE5" s="7">
        <v>4.5</v>
      </c>
      <c r="CF5" s="7">
        <v>4</v>
      </c>
      <c r="CG5" s="7">
        <v>1.8</v>
      </c>
      <c r="CH5" s="7">
        <v>3.2</v>
      </c>
      <c r="CI5" s="7">
        <v>-2.2</v>
      </c>
      <c r="CJ5" s="7">
        <v>-12.3</v>
      </c>
      <c r="CK5" s="7">
        <v>-0.8</v>
      </c>
      <c r="CL5" s="7">
        <v>-1.7</v>
      </c>
      <c r="CM5" s="7">
        <v>3.1</v>
      </c>
      <c r="CN5" s="7">
        <v>4.6</v>
      </c>
      <c r="CO5" s="7"/>
      <c r="CP5" s="7">
        <v>-2.8</v>
      </c>
      <c r="CQ5" s="7">
        <v>10.5</v>
      </c>
      <c r="CR5" s="7">
        <v>3.4</v>
      </c>
      <c r="CS5" s="7">
        <v>-4.7</v>
      </c>
      <c r="CT5" s="7">
        <v>4.9</v>
      </c>
      <c r="CU5" s="7">
        <v>0.2</v>
      </c>
      <c r="CV5" s="7">
        <v>-10.5</v>
      </c>
      <c r="CW5" s="7">
        <v>-17.3</v>
      </c>
      <c r="CX5" s="7">
        <v>17.5</v>
      </c>
      <c r="CY5" s="7">
        <v>33.3</v>
      </c>
      <c r="CZ5" s="7">
        <v>10.8</v>
      </c>
      <c r="DA5" s="7">
        <v>-0.7</v>
      </c>
      <c r="DB5" s="7">
        <v>-1.9</v>
      </c>
      <c r="DC5" s="7">
        <v>3.1</v>
      </c>
      <c r="DD5" s="7">
        <v>3.2</v>
      </c>
      <c r="DE5" s="7">
        <v>16</v>
      </c>
      <c r="DF5" s="7">
        <v>-4.8</v>
      </c>
      <c r="DG5" s="7">
        <v>6.6</v>
      </c>
      <c r="DH5" s="7">
        <v>-6.7</v>
      </c>
      <c r="DI5" s="7">
        <v>-2.4</v>
      </c>
      <c r="DJ5" s="7">
        <v>-2.1</v>
      </c>
      <c r="DK5" s="7">
        <v>5.5</v>
      </c>
      <c r="DL5" s="7">
        <v>2.6</v>
      </c>
      <c r="DM5" s="7">
        <v>3.1</v>
      </c>
      <c r="DN5" s="7">
        <v>-3.1</v>
      </c>
      <c r="DO5" s="7">
        <v>-5</v>
      </c>
      <c r="DP5" s="7">
        <v>8.7</v>
      </c>
      <c r="DQ5" s="7">
        <v>-5.1</v>
      </c>
      <c r="DR5" s="7">
        <v>-2.9</v>
      </c>
      <c r="DS5" s="7">
        <v>0.3</v>
      </c>
      <c r="DT5" s="7">
        <v>8.5</v>
      </c>
      <c r="DU5" s="7">
        <v>-13.5</v>
      </c>
      <c r="DV5" s="7">
        <v>8.4</v>
      </c>
      <c r="DW5" s="7">
        <v>2.7</v>
      </c>
      <c r="DX5" s="7">
        <v>-0.4</v>
      </c>
      <c r="DY5" s="7">
        <v>6.8</v>
      </c>
      <c r="DZ5" s="7">
        <v>3.4</v>
      </c>
      <c r="EA5" s="7">
        <v>-2.2</v>
      </c>
      <c r="EB5" s="7">
        <v>1.6</v>
      </c>
      <c r="EC5" s="7">
        <v>10.6</v>
      </c>
      <c r="ED5" s="7">
        <v>-9.7</v>
      </c>
      <c r="EE5" s="7">
        <v>-0.1</v>
      </c>
      <c r="EF5" s="7">
        <v>6.3</v>
      </c>
      <c r="EG5" s="7">
        <v>-3.3</v>
      </c>
      <c r="EH5" s="7">
        <v>-4.3</v>
      </c>
      <c r="EI5" s="7">
        <v>19.3</v>
      </c>
      <c r="EJ5" s="7">
        <v>2.5</v>
      </c>
      <c r="EK5" s="7">
        <v>-5.4</v>
      </c>
      <c r="EL5" s="7">
        <v>6.3</v>
      </c>
      <c r="EM5" s="7">
        <v>-5.3</v>
      </c>
      <c r="EN5" s="7">
        <v>4.5</v>
      </c>
      <c r="EO5" s="7">
        <v>-14.6</v>
      </c>
      <c r="EP5" s="7">
        <v>-4.8</v>
      </c>
      <c r="EQ5" s="7">
        <v>5.1</v>
      </c>
      <c r="ER5" s="7">
        <v>-4.1</v>
      </c>
      <c r="ES5" s="7">
        <v>-5.2</v>
      </c>
      <c r="ET5" s="7">
        <v>7.6</v>
      </c>
      <c r="EU5" s="7">
        <v>-5</v>
      </c>
      <c r="EV5" s="7">
        <v>-4.3</v>
      </c>
      <c r="EW5" s="7">
        <v>15.8</v>
      </c>
      <c r="EX5" s="7">
        <v>-6.3</v>
      </c>
      <c r="EY5" s="7">
        <v>6.5</v>
      </c>
      <c r="EZ5" s="7">
        <v>1.8</v>
      </c>
      <c r="FA5" s="7">
        <v>0.5</v>
      </c>
      <c r="FB5" s="7">
        <v>-6.5</v>
      </c>
      <c r="FC5" s="7">
        <v>-4.3</v>
      </c>
      <c r="FD5" s="7">
        <v>-0.2</v>
      </c>
      <c r="FE5" s="7">
        <v>-6</v>
      </c>
      <c r="FF5" s="7">
        <v>8.3</v>
      </c>
      <c r="FG5" s="7">
        <v>1.2</v>
      </c>
      <c r="FH5" s="7">
        <v>13.2</v>
      </c>
      <c r="FI5" s="7">
        <v>5.2</v>
      </c>
      <c r="FJ5" s="7">
        <v>6.6</v>
      </c>
      <c r="FK5" s="7">
        <v>-1</v>
      </c>
      <c r="FL5" s="7">
        <v>3.3</v>
      </c>
      <c r="FM5" s="7">
        <v>3.9</v>
      </c>
      <c r="FN5" s="7">
        <v>-5.3</v>
      </c>
      <c r="FO5" s="7">
        <v>2.7</v>
      </c>
      <c r="FP5" s="7">
        <v>-0.8</v>
      </c>
      <c r="FQ5" s="7">
        <v>-8.3</v>
      </c>
      <c r="FR5" s="7"/>
      <c r="FS5" s="7">
        <v>-8.9</v>
      </c>
      <c r="FT5" s="7">
        <v>1.2</v>
      </c>
      <c r="FU5" s="7">
        <v>4.5</v>
      </c>
      <c r="FV5" s="7">
        <v>4</v>
      </c>
      <c r="FW5" s="7">
        <v>6.6</v>
      </c>
      <c r="FX5" s="7">
        <v>15</v>
      </c>
      <c r="FY5" s="7">
        <v>-7.6</v>
      </c>
      <c r="FZ5" s="7">
        <v>11.3</v>
      </c>
      <c r="GA5" s="7">
        <v>7.8</v>
      </c>
      <c r="GB5" s="7">
        <v>0.7</v>
      </c>
      <c r="GC5" s="7">
        <v>3</v>
      </c>
      <c r="GD5" s="7">
        <v>-1.4</v>
      </c>
      <c r="GE5" s="7">
        <v>-0.6</v>
      </c>
      <c r="GF5" s="7">
        <v>-3.3</v>
      </c>
      <c r="GG5" s="7">
        <v>9.4</v>
      </c>
      <c r="GH5" s="7">
        <v>-6.8</v>
      </c>
      <c r="GI5" s="7">
        <v>-3.4</v>
      </c>
      <c r="GJ5" s="7">
        <v>8.9</v>
      </c>
      <c r="GK5" s="7">
        <v>-9</v>
      </c>
      <c r="GL5" s="7">
        <v>1.6</v>
      </c>
      <c r="GM5" s="7">
        <v>2.7</v>
      </c>
      <c r="GN5" s="7">
        <v>-6.4</v>
      </c>
      <c r="GO5" s="7">
        <v>7.4</v>
      </c>
      <c r="GP5" s="7">
        <v>10.5</v>
      </c>
      <c r="GQ5" s="7">
        <v>-9.4</v>
      </c>
      <c r="GR5" s="7">
        <v>0.2</v>
      </c>
      <c r="GS5" s="7">
        <v>10.9</v>
      </c>
      <c r="GT5" s="7">
        <v>1.1</v>
      </c>
      <c r="GU5" s="7">
        <v>5.4</v>
      </c>
      <c r="GV5" s="7">
        <v>-6.5</v>
      </c>
      <c r="GW5" s="7">
        <v>5.5</v>
      </c>
      <c r="GX5" s="7">
        <v>-2.1</v>
      </c>
      <c r="GY5" s="7">
        <v>13.6</v>
      </c>
      <c r="GZ5" s="7">
        <v>-6.2</v>
      </c>
      <c r="HA5" s="7">
        <v>1.6</v>
      </c>
      <c r="HB5" s="7">
        <v>-4.2</v>
      </c>
      <c r="HC5" s="7">
        <v>-6</v>
      </c>
      <c r="HD5" s="7">
        <v>-6</v>
      </c>
      <c r="HE5" s="7">
        <v>-6.7</v>
      </c>
      <c r="HF5" s="7">
        <v>5.1</v>
      </c>
      <c r="HG5" s="7">
        <v>-0.3</v>
      </c>
      <c r="HH5" s="7">
        <v>19.8</v>
      </c>
      <c r="HI5" s="7">
        <v>11</v>
      </c>
      <c r="HJ5" s="7">
        <v>-3.9</v>
      </c>
      <c r="HK5" s="7">
        <v>1.1</v>
      </c>
      <c r="HL5" s="7">
        <v>-6.2</v>
      </c>
      <c r="HM5" s="7">
        <v>3.3</v>
      </c>
      <c r="HN5" s="7">
        <v>11.1</v>
      </c>
      <c r="HO5" s="7">
        <v>5</v>
      </c>
      <c r="HP5" s="7">
        <v>-6.7</v>
      </c>
      <c r="HQ5" s="7">
        <v>-4.2</v>
      </c>
      <c r="HR5" s="7">
        <v>-8.9</v>
      </c>
      <c r="HS5" s="7">
        <v>16.2</v>
      </c>
      <c r="HT5" s="7">
        <v>-4.1</v>
      </c>
      <c r="HU5" s="7">
        <v>11.5</v>
      </c>
      <c r="HV5" s="7">
        <v>-6.7</v>
      </c>
      <c r="HW5" s="7">
        <v>-1.1</v>
      </c>
      <c r="HX5" s="7">
        <v>8.1</v>
      </c>
      <c r="HY5" s="7">
        <v>-4.8</v>
      </c>
      <c r="HZ5" s="7">
        <v>2.6</v>
      </c>
      <c r="IA5" s="7">
        <v>-9</v>
      </c>
      <c r="IB5" s="7">
        <v>2</v>
      </c>
      <c r="IC5" s="7">
        <v>35.3</v>
      </c>
      <c r="ID5" s="7">
        <v>-4.3</v>
      </c>
      <c r="IE5" s="7">
        <v>-0.4</v>
      </c>
      <c r="IF5" s="7">
        <v>2.1</v>
      </c>
      <c r="IG5" s="7">
        <v>7.9</v>
      </c>
      <c r="IH5" s="7">
        <v>0.5</v>
      </c>
      <c r="II5" s="7">
        <v>-1.3</v>
      </c>
      <c r="IJ5" s="7">
        <v>7.1</v>
      </c>
      <c r="IK5" s="7">
        <v>0.1</v>
      </c>
      <c r="IL5" s="7">
        <v>1.1</v>
      </c>
      <c r="IM5" s="7">
        <v>-6.2</v>
      </c>
      <c r="IN5" s="7">
        <v>4.3</v>
      </c>
      <c r="IO5" s="7">
        <v>3.1</v>
      </c>
      <c r="IP5" s="7">
        <v>0.2</v>
      </c>
      <c r="IQ5" s="7">
        <v>4.4</v>
      </c>
      <c r="IR5" s="7">
        <v>-0.5</v>
      </c>
      <c r="IS5" s="7">
        <v>0.3</v>
      </c>
      <c r="IT5" s="7"/>
      <c r="IU5" s="7">
        <v>3.8</v>
      </c>
      <c r="IV5" s="7">
        <v>-2.7</v>
      </c>
      <c r="IW5" s="7">
        <v>0.7</v>
      </c>
      <c r="IX5" s="7">
        <v>4.6</v>
      </c>
      <c r="IY5" s="7">
        <v>-2.5</v>
      </c>
      <c r="IZ5" s="7">
        <v>0.8</v>
      </c>
      <c r="JA5" s="7">
        <v>0.3</v>
      </c>
      <c r="JB5" s="7">
        <v>-7.6</v>
      </c>
      <c r="JC5" s="7">
        <v>-0.9</v>
      </c>
      <c r="JD5" s="7">
        <v>8.2</v>
      </c>
      <c r="JE5" s="7">
        <v>8.3</v>
      </c>
      <c r="JF5" s="7">
        <v>4.3</v>
      </c>
      <c r="JG5" s="7">
        <v>-1.7</v>
      </c>
      <c r="JH5" s="7">
        <v>4.2</v>
      </c>
      <c r="JI5" s="7">
        <v>-5.3</v>
      </c>
      <c r="JJ5" s="7">
        <v>1.3</v>
      </c>
      <c r="JK5" s="7">
        <v>-10.1</v>
      </c>
      <c r="JL5" s="7">
        <v>-5.9</v>
      </c>
      <c r="JM5" s="7">
        <v>2.4</v>
      </c>
      <c r="JN5" s="7">
        <v>-4.2</v>
      </c>
      <c r="JO5" s="7">
        <v>-2</v>
      </c>
      <c r="JP5" s="7">
        <v>8.2</v>
      </c>
      <c r="JQ5" s="7">
        <v>-8.2</v>
      </c>
      <c r="JR5" s="7">
        <v>-5.4</v>
      </c>
      <c r="JS5" s="7">
        <v>-2.5</v>
      </c>
      <c r="JT5" s="7">
        <v>8.8</v>
      </c>
      <c r="JU5" s="7">
        <v>5.3</v>
      </c>
      <c r="JV5" s="7">
        <v>14</v>
      </c>
      <c r="JW5" s="7">
        <v>2.4</v>
      </c>
      <c r="JX5" s="7">
        <v>-2.5</v>
      </c>
      <c r="JY5" s="7">
        <v>6.7</v>
      </c>
      <c r="JZ5" s="7">
        <v>-0.1</v>
      </c>
      <c r="KA5" s="7">
        <v>3.2</v>
      </c>
      <c r="KB5" s="7">
        <v>4.7</v>
      </c>
      <c r="KC5" s="7">
        <v>1.5</v>
      </c>
      <c r="KD5" s="7">
        <v>-1.1</v>
      </c>
      <c r="KE5" s="7">
        <v>3.1</v>
      </c>
      <c r="KF5" s="7">
        <v>-1.5</v>
      </c>
      <c r="KG5" s="7">
        <v>-7.3</v>
      </c>
      <c r="KH5" s="7">
        <v>16.4</v>
      </c>
      <c r="KI5" s="7">
        <v>-4.1</v>
      </c>
      <c r="KJ5" s="7">
        <v>-2.5</v>
      </c>
      <c r="KK5" s="7">
        <v>0.9</v>
      </c>
      <c r="KL5" s="7">
        <v>-1.8</v>
      </c>
      <c r="KM5" s="7">
        <v>3.2</v>
      </c>
      <c r="KN5" s="7">
        <v>0.3</v>
      </c>
      <c r="KO5" s="7">
        <v>4.8</v>
      </c>
      <c r="KP5" s="7">
        <v>2.6</v>
      </c>
      <c r="KQ5" s="7">
        <v>-4.8</v>
      </c>
      <c r="KR5" s="7">
        <v>3.5</v>
      </c>
      <c r="KS5" s="7">
        <v>-7.3</v>
      </c>
      <c r="KT5" s="7">
        <v>13.9</v>
      </c>
      <c r="KU5" s="7">
        <v>-2.6</v>
      </c>
      <c r="KV5" s="7">
        <v>-6.6</v>
      </c>
      <c r="KW5" s="7">
        <v>3.4</v>
      </c>
      <c r="KX5" s="7">
        <v>1.2</v>
      </c>
      <c r="KY5" s="7">
        <v>-0.5</v>
      </c>
      <c r="KZ5" s="7">
        <v>5</v>
      </c>
    </row>
    <row r="6" spans="1:312">
      <c r="A6" s="6" t="s">
        <v>316</v>
      </c>
      <c r="B6" s="7">
        <v>-1.8</v>
      </c>
      <c r="C6" s="7">
        <v>6.8</v>
      </c>
      <c r="D6" s="7">
        <v>20.2</v>
      </c>
      <c r="E6" s="7">
        <v>3.6</v>
      </c>
      <c r="F6" s="7">
        <v>6</v>
      </c>
      <c r="G6" s="7">
        <v>-7</v>
      </c>
      <c r="H6" s="7">
        <v>-1.3</v>
      </c>
      <c r="I6" s="7">
        <v>-2.7</v>
      </c>
      <c r="J6" s="7">
        <v>-2.6</v>
      </c>
      <c r="K6" s="7"/>
      <c r="L6" s="7">
        <v>6.3</v>
      </c>
      <c r="M6" s="7">
        <v>8.5</v>
      </c>
      <c r="N6" s="7">
        <v>9</v>
      </c>
      <c r="O6" s="7">
        <v>17.5</v>
      </c>
      <c r="P6" s="7">
        <v>14.7</v>
      </c>
      <c r="Q6" s="7">
        <v>16.9</v>
      </c>
      <c r="R6" s="7">
        <v>30.2</v>
      </c>
      <c r="S6" s="7">
        <v>-8.8</v>
      </c>
      <c r="T6" s="7">
        <v>-12</v>
      </c>
      <c r="U6" s="7">
        <v>-11.4</v>
      </c>
      <c r="V6" s="7">
        <v>-11.5</v>
      </c>
      <c r="W6" s="7">
        <v>-10.4</v>
      </c>
      <c r="X6" s="7">
        <v>-0.4</v>
      </c>
      <c r="Y6" s="7">
        <v>-1.1</v>
      </c>
      <c r="Z6" s="7">
        <v>2.4</v>
      </c>
      <c r="AA6" s="7">
        <v>5</v>
      </c>
      <c r="AB6" s="7">
        <v>9.7</v>
      </c>
      <c r="AC6" s="7">
        <v>7.1</v>
      </c>
      <c r="AD6" s="7">
        <v>19</v>
      </c>
      <c r="AE6" s="7">
        <v>-10.2</v>
      </c>
      <c r="AF6" s="7">
        <v>-3.7</v>
      </c>
      <c r="AG6" s="7">
        <v>-1</v>
      </c>
      <c r="AH6" s="7">
        <v>3</v>
      </c>
      <c r="AI6" s="7">
        <v>5.1</v>
      </c>
      <c r="AJ6" s="7">
        <v>22.1</v>
      </c>
      <c r="AK6" s="7">
        <v>23.6</v>
      </c>
      <c r="AL6" s="7">
        <v>24.9</v>
      </c>
      <c r="AM6" s="7">
        <v>41.4</v>
      </c>
      <c r="AN6" s="7">
        <v>41.3</v>
      </c>
      <c r="AO6" s="7">
        <v>40.4</v>
      </c>
      <c r="AP6" s="7">
        <v>52.3</v>
      </c>
      <c r="AQ6" s="7">
        <v>-5.8</v>
      </c>
      <c r="AR6" s="7">
        <v>-2.9</v>
      </c>
      <c r="AS6" s="7">
        <v>2.7</v>
      </c>
      <c r="AT6" s="7">
        <v>-0.2</v>
      </c>
      <c r="AU6" s="7">
        <v>13.7</v>
      </c>
      <c r="AV6" s="7">
        <v>22.6</v>
      </c>
      <c r="AW6" s="7">
        <v>20</v>
      </c>
      <c r="AX6" s="7">
        <v>21.8</v>
      </c>
      <c r="AY6" s="7">
        <v>27.5</v>
      </c>
      <c r="AZ6" s="7">
        <v>40.4</v>
      </c>
      <c r="BA6" s="7">
        <v>54.4</v>
      </c>
      <c r="BB6" s="7">
        <v>82.3</v>
      </c>
      <c r="BC6" s="7">
        <v>-15.9</v>
      </c>
      <c r="BD6" s="7">
        <v>-8.5</v>
      </c>
      <c r="BE6" s="7">
        <v>-5.5</v>
      </c>
      <c r="BF6" s="7">
        <v>-5.2</v>
      </c>
      <c r="BG6" s="7">
        <v>-4.8</v>
      </c>
      <c r="BH6" s="7">
        <v>-4.7</v>
      </c>
      <c r="BI6" s="7">
        <v>-2.3</v>
      </c>
      <c r="BJ6" s="7">
        <v>-4</v>
      </c>
      <c r="BK6" s="7">
        <v>11.2</v>
      </c>
      <c r="BL6" s="7">
        <v>10.9</v>
      </c>
      <c r="BM6" s="7">
        <v>5.5</v>
      </c>
      <c r="BN6" s="7">
        <v>14.7</v>
      </c>
      <c r="BO6" s="7">
        <v>-7</v>
      </c>
      <c r="BP6" s="7">
        <v>19.7</v>
      </c>
      <c r="BQ6" s="7">
        <v>56.9</v>
      </c>
      <c r="BR6" s="7">
        <v>49.7</v>
      </c>
      <c r="BS6" s="7">
        <v>57.1</v>
      </c>
      <c r="BT6" s="7">
        <v>59.7</v>
      </c>
      <c r="BU6" s="7">
        <v>75.4</v>
      </c>
      <c r="BV6" s="7">
        <v>65.8</v>
      </c>
      <c r="BW6" s="7">
        <v>80.4</v>
      </c>
      <c r="BX6" s="7">
        <v>79.7</v>
      </c>
      <c r="BY6" s="7">
        <v>78.2</v>
      </c>
      <c r="BZ6" s="7">
        <v>126.4</v>
      </c>
      <c r="CA6" s="7">
        <v>-7.3</v>
      </c>
      <c r="CB6" s="7">
        <v>5.8</v>
      </c>
      <c r="CC6" s="7">
        <v>5.5</v>
      </c>
      <c r="CD6" s="7">
        <v>2.2</v>
      </c>
      <c r="CE6" s="7">
        <v>6.8</v>
      </c>
      <c r="CF6" s="7">
        <v>11</v>
      </c>
      <c r="CG6" s="7">
        <v>13</v>
      </c>
      <c r="CH6" s="7">
        <v>16.6</v>
      </c>
      <c r="CI6" s="7">
        <v>14.1</v>
      </c>
      <c r="CJ6" s="7">
        <v>0.1</v>
      </c>
      <c r="CK6" s="7">
        <v>-0.8</v>
      </c>
      <c r="CL6" s="7">
        <v>-2.5</v>
      </c>
      <c r="CM6" s="7">
        <v>3.1</v>
      </c>
      <c r="CN6" s="7">
        <v>7.9</v>
      </c>
      <c r="CO6" s="7">
        <v>7.8</v>
      </c>
      <c r="CP6" s="7">
        <v>4.8</v>
      </c>
      <c r="CQ6" s="7">
        <v>15.8</v>
      </c>
      <c r="CR6" s="7">
        <v>19.7</v>
      </c>
      <c r="CS6" s="7">
        <v>14.1</v>
      </c>
      <c r="CT6" s="7">
        <v>19.6</v>
      </c>
      <c r="CU6" s="7">
        <v>19.9</v>
      </c>
      <c r="CV6" s="7">
        <v>7.2</v>
      </c>
      <c r="CW6" s="7">
        <v>-11.3</v>
      </c>
      <c r="CX6" s="7">
        <v>4.2</v>
      </c>
      <c r="CY6" s="7">
        <v>33.3</v>
      </c>
      <c r="CZ6" s="7">
        <v>47.7</v>
      </c>
      <c r="DA6" s="7">
        <v>46.7</v>
      </c>
      <c r="DB6" s="7">
        <v>43.8</v>
      </c>
      <c r="DC6" s="7">
        <v>48.3</v>
      </c>
      <c r="DD6" s="7">
        <v>53</v>
      </c>
      <c r="DE6" s="7">
        <v>77.5</v>
      </c>
      <c r="DF6" s="7">
        <v>69</v>
      </c>
      <c r="DG6" s="7">
        <v>80.1</v>
      </c>
      <c r="DH6" s="7">
        <v>68.1</v>
      </c>
      <c r="DI6" s="7">
        <v>64.1</v>
      </c>
      <c r="DJ6" s="7">
        <v>60.7</v>
      </c>
      <c r="DK6" s="7">
        <v>5.5</v>
      </c>
      <c r="DL6" s="7">
        <v>8.2</v>
      </c>
      <c r="DM6" s="7">
        <v>11.6</v>
      </c>
      <c r="DN6" s="7">
        <v>8.2</v>
      </c>
      <c r="DO6" s="7">
        <v>2.8</v>
      </c>
      <c r="DP6" s="7">
        <v>11.7</v>
      </c>
      <c r="DQ6" s="7">
        <v>6.1</v>
      </c>
      <c r="DR6" s="7">
        <v>3</v>
      </c>
      <c r="DS6" s="7">
        <v>3.2</v>
      </c>
      <c r="DT6" s="7">
        <v>12</v>
      </c>
      <c r="DU6" s="7">
        <v>-3.2</v>
      </c>
      <c r="DV6" s="7">
        <v>5</v>
      </c>
      <c r="DW6" s="7">
        <v>2.7</v>
      </c>
      <c r="DX6" s="7">
        <v>2.3</v>
      </c>
      <c r="DY6" s="7">
        <v>9.3</v>
      </c>
      <c r="DZ6" s="7">
        <v>13</v>
      </c>
      <c r="EA6" s="7">
        <v>10.5</v>
      </c>
      <c r="EB6" s="7">
        <v>12.3</v>
      </c>
      <c r="EC6" s="7">
        <v>24.2</v>
      </c>
      <c r="ED6" s="7">
        <v>12.2</v>
      </c>
      <c r="EE6" s="7">
        <v>12.1</v>
      </c>
      <c r="EF6" s="7">
        <v>19.1</v>
      </c>
      <c r="EG6" s="7">
        <v>15.2</v>
      </c>
      <c r="EH6" s="7">
        <v>10.3</v>
      </c>
      <c r="EI6" s="7">
        <v>19.3</v>
      </c>
      <c r="EJ6" s="7">
        <v>22.3</v>
      </c>
      <c r="EK6" s="7">
        <v>15.7</v>
      </c>
      <c r="EL6" s="7">
        <v>23.1</v>
      </c>
      <c r="EM6" s="7">
        <v>16.5</v>
      </c>
      <c r="EN6" s="7">
        <v>21.8</v>
      </c>
      <c r="EO6" s="7">
        <v>4</v>
      </c>
      <c r="EP6" s="7">
        <v>-1</v>
      </c>
      <c r="EQ6" s="7">
        <v>4.1</v>
      </c>
      <c r="ER6" s="7">
        <v>-0.2</v>
      </c>
      <c r="ES6" s="7">
        <v>-5.3</v>
      </c>
      <c r="ET6" s="7">
        <v>1.9</v>
      </c>
      <c r="EU6" s="7">
        <v>-5</v>
      </c>
      <c r="EV6" s="7">
        <v>-9</v>
      </c>
      <c r="EW6" s="7">
        <v>5.4</v>
      </c>
      <c r="EX6" s="7">
        <v>-1.3</v>
      </c>
      <c r="EY6" s="7">
        <v>5.1</v>
      </c>
      <c r="EZ6" s="7">
        <v>7.1</v>
      </c>
      <c r="FA6" s="7">
        <v>7.6</v>
      </c>
      <c r="FB6" s="7">
        <v>0.6</v>
      </c>
      <c r="FC6" s="7">
        <v>-3.7</v>
      </c>
      <c r="FD6" s="7">
        <v>-3.9</v>
      </c>
      <c r="FE6" s="7">
        <v>-9.7</v>
      </c>
      <c r="FF6" s="7">
        <v>-2.2</v>
      </c>
      <c r="FG6" s="7">
        <v>1.2</v>
      </c>
      <c r="FH6" s="7">
        <v>14.7</v>
      </c>
      <c r="FI6" s="7">
        <v>20.6</v>
      </c>
      <c r="FJ6" s="7">
        <v>28.6</v>
      </c>
      <c r="FK6" s="7">
        <v>27.2</v>
      </c>
      <c r="FL6" s="7">
        <v>31.5</v>
      </c>
      <c r="FM6" s="7">
        <v>36.6</v>
      </c>
      <c r="FN6" s="7">
        <v>29.3</v>
      </c>
      <c r="FO6" s="7">
        <v>32.8</v>
      </c>
      <c r="FP6" s="7">
        <v>31.8</v>
      </c>
      <c r="FQ6" s="7">
        <v>20.8</v>
      </c>
      <c r="FR6" s="7">
        <v>20.8</v>
      </c>
      <c r="FS6" s="7">
        <v>-8.9</v>
      </c>
      <c r="FT6" s="7">
        <v>-7.9</v>
      </c>
      <c r="FU6" s="7">
        <v>-3.7</v>
      </c>
      <c r="FV6" s="7">
        <v>0.1</v>
      </c>
      <c r="FW6" s="7">
        <v>6.8</v>
      </c>
      <c r="FX6" s="7">
        <v>22.8</v>
      </c>
      <c r="FY6" s="7">
        <v>13.4</v>
      </c>
      <c r="FZ6" s="7">
        <v>26.2</v>
      </c>
      <c r="GA6" s="7">
        <v>36</v>
      </c>
      <c r="GB6" s="7">
        <v>37</v>
      </c>
      <c r="GC6" s="7">
        <v>41.1</v>
      </c>
      <c r="GD6" s="7">
        <v>39.2</v>
      </c>
      <c r="GE6" s="7">
        <v>-0.6</v>
      </c>
      <c r="GF6" s="7">
        <v>-3.9</v>
      </c>
      <c r="GG6" s="7">
        <v>5.1</v>
      </c>
      <c r="GH6" s="7">
        <v>-2.1</v>
      </c>
      <c r="GI6" s="7">
        <v>-5.4</v>
      </c>
      <c r="GJ6" s="7">
        <v>3</v>
      </c>
      <c r="GK6" s="7">
        <v>-6.3</v>
      </c>
      <c r="GL6" s="7">
        <v>-4.8</v>
      </c>
      <c r="GM6" s="7">
        <v>-2.2</v>
      </c>
      <c r="GN6" s="7">
        <v>-8.5</v>
      </c>
      <c r="GO6" s="7">
        <v>-1.7</v>
      </c>
      <c r="GP6" s="7">
        <v>8.7</v>
      </c>
      <c r="GQ6" s="7">
        <v>-9.4</v>
      </c>
      <c r="GR6" s="7">
        <v>-9.2</v>
      </c>
      <c r="GS6" s="7">
        <v>0.7</v>
      </c>
      <c r="GT6" s="7">
        <v>1.8</v>
      </c>
      <c r="GU6" s="7">
        <v>7.2</v>
      </c>
      <c r="GV6" s="7">
        <v>0.2</v>
      </c>
      <c r="GW6" s="7">
        <v>5.8</v>
      </c>
      <c r="GX6" s="7">
        <v>3.5</v>
      </c>
      <c r="GY6" s="7">
        <v>17.5</v>
      </c>
      <c r="GZ6" s="7">
        <v>10.2</v>
      </c>
      <c r="HA6" s="7">
        <v>12</v>
      </c>
      <c r="HB6" s="7">
        <v>7.3</v>
      </c>
      <c r="HC6" s="7">
        <v>-6</v>
      </c>
      <c r="HD6" s="7">
        <v>-11.7</v>
      </c>
      <c r="HE6" s="7">
        <v>-17.5</v>
      </c>
      <c r="HF6" s="7">
        <v>-13.3</v>
      </c>
      <c r="HG6" s="7">
        <v>-13.6</v>
      </c>
      <c r="HH6" s="7">
        <v>3.5</v>
      </c>
      <c r="HI6" s="7">
        <v>15</v>
      </c>
      <c r="HJ6" s="7">
        <v>10.5</v>
      </c>
      <c r="HK6" s="7">
        <v>11.6</v>
      </c>
      <c r="HL6" s="7">
        <v>4.7</v>
      </c>
      <c r="HM6" s="7">
        <v>8.2</v>
      </c>
      <c r="HN6" s="7">
        <v>20.1</v>
      </c>
      <c r="HO6" s="7">
        <v>5</v>
      </c>
      <c r="HP6" s="7">
        <v>-2</v>
      </c>
      <c r="HQ6" s="7">
        <v>-6.1</v>
      </c>
      <c r="HR6" s="7">
        <v>-14.4</v>
      </c>
      <c r="HS6" s="7">
        <v>-0.5</v>
      </c>
      <c r="HT6" s="7">
        <v>-4.6</v>
      </c>
      <c r="HU6" s="7">
        <v>6.4</v>
      </c>
      <c r="HV6" s="7">
        <v>-0.7</v>
      </c>
      <c r="HW6" s="7">
        <v>-1.8</v>
      </c>
      <c r="HX6" s="7">
        <v>6.1</v>
      </c>
      <c r="HY6" s="7">
        <v>1</v>
      </c>
      <c r="HZ6" s="7">
        <v>3.6</v>
      </c>
      <c r="IA6" s="7">
        <v>-9</v>
      </c>
      <c r="IB6" s="7">
        <v>-7.2</v>
      </c>
      <c r="IC6" s="7">
        <v>25.5</v>
      </c>
      <c r="ID6" s="7">
        <v>20.2</v>
      </c>
      <c r="IE6" s="7">
        <v>19.7</v>
      </c>
      <c r="IF6" s="7">
        <v>22.3</v>
      </c>
      <c r="IG6" s="7">
        <v>32</v>
      </c>
      <c r="IH6" s="7">
        <v>32.6</v>
      </c>
      <c r="II6" s="7">
        <v>30.9</v>
      </c>
      <c r="IJ6" s="7">
        <v>40.2</v>
      </c>
      <c r="IK6" s="7">
        <v>40.2</v>
      </c>
      <c r="IL6" s="7">
        <v>41.8</v>
      </c>
      <c r="IM6" s="7">
        <v>-6.2</v>
      </c>
      <c r="IN6" s="7">
        <v>-2.2</v>
      </c>
      <c r="IO6" s="7">
        <v>0.8</v>
      </c>
      <c r="IP6" s="7">
        <v>1</v>
      </c>
      <c r="IQ6" s="7">
        <v>5.5</v>
      </c>
      <c r="IR6" s="7">
        <v>5</v>
      </c>
      <c r="IS6" s="7">
        <v>5.3</v>
      </c>
      <c r="IT6" s="7">
        <v>5.3</v>
      </c>
      <c r="IU6" s="7">
        <v>9.3</v>
      </c>
      <c r="IV6" s="7">
        <v>6.4</v>
      </c>
      <c r="IW6" s="7">
        <v>7.1</v>
      </c>
      <c r="IX6" s="7">
        <v>12.1</v>
      </c>
      <c r="IY6" s="7">
        <v>-2.5</v>
      </c>
      <c r="IZ6" s="7">
        <v>-1.8</v>
      </c>
      <c r="JA6" s="7">
        <v>-1.5</v>
      </c>
      <c r="JB6" s="7">
        <v>-9</v>
      </c>
      <c r="JC6" s="7">
        <v>-9.9</v>
      </c>
      <c r="JD6" s="7">
        <v>-2.5</v>
      </c>
      <c r="JE6" s="7">
        <v>5.7</v>
      </c>
      <c r="JF6" s="7">
        <v>10.2</v>
      </c>
      <c r="JG6" s="7">
        <v>8.3</v>
      </c>
      <c r="JH6" s="7">
        <v>12.9</v>
      </c>
      <c r="JI6" s="7">
        <v>7</v>
      </c>
      <c r="JJ6" s="7">
        <v>8.4</v>
      </c>
      <c r="JK6" s="7">
        <v>-10.1</v>
      </c>
      <c r="JL6" s="7">
        <v>-15.4</v>
      </c>
      <c r="JM6" s="7">
        <v>-13.4</v>
      </c>
      <c r="JN6" s="7">
        <v>-17</v>
      </c>
      <c r="JO6" s="7">
        <v>-18.7</v>
      </c>
      <c r="JP6" s="7">
        <v>-12.1</v>
      </c>
      <c r="JQ6" s="7">
        <v>-19.3</v>
      </c>
      <c r="JR6" s="7">
        <v>-23.6</v>
      </c>
      <c r="JS6" s="7">
        <v>-25.5</v>
      </c>
      <c r="JT6" s="7">
        <v>-19</v>
      </c>
      <c r="JU6" s="7">
        <v>-14.7</v>
      </c>
      <c r="JV6" s="7">
        <v>-2.8</v>
      </c>
      <c r="JW6" s="7">
        <v>2.4</v>
      </c>
      <c r="JX6" s="7">
        <v>-0.1</v>
      </c>
      <c r="JY6" s="7">
        <v>6.6</v>
      </c>
      <c r="JZ6" s="7">
        <v>6.5</v>
      </c>
      <c r="KA6" s="7">
        <v>9.9</v>
      </c>
      <c r="KB6" s="7">
        <v>15</v>
      </c>
      <c r="KC6" s="7">
        <v>16.8</v>
      </c>
      <c r="KD6" s="7">
        <v>15.5</v>
      </c>
      <c r="KE6" s="7">
        <v>19.1</v>
      </c>
      <c r="KF6" s="7">
        <v>17.3</v>
      </c>
      <c r="KG6" s="7">
        <v>8.7</v>
      </c>
      <c r="KH6" s="7">
        <v>26.6</v>
      </c>
      <c r="KI6" s="7">
        <v>-4.1</v>
      </c>
      <c r="KJ6" s="7">
        <v>-6.5</v>
      </c>
      <c r="KK6" s="7">
        <v>-5.6</v>
      </c>
      <c r="KL6" s="7">
        <v>-7.3</v>
      </c>
      <c r="KM6" s="7">
        <v>-4.3</v>
      </c>
      <c r="KN6" s="7">
        <v>-4</v>
      </c>
      <c r="KO6" s="7">
        <v>0.6</v>
      </c>
      <c r="KP6" s="7">
        <v>3.2</v>
      </c>
      <c r="KQ6" s="7">
        <v>-1.8</v>
      </c>
      <c r="KR6" s="7">
        <v>1.6</v>
      </c>
      <c r="KS6" s="7">
        <v>-5.8</v>
      </c>
      <c r="KT6" s="7">
        <v>7.3</v>
      </c>
      <c r="KU6" s="7">
        <v>-2.6</v>
      </c>
      <c r="KV6" s="7">
        <v>-9</v>
      </c>
      <c r="KW6" s="7">
        <v>-5.9</v>
      </c>
      <c r="KX6" s="7">
        <v>-4.8</v>
      </c>
      <c r="KY6" s="7">
        <v>-5.3</v>
      </c>
      <c r="KZ6" s="7">
        <v>-0.6</v>
      </c>
    </row>
    <row r="7" spans="1:312">
      <c r="A7" s="6" t="s">
        <v>317</v>
      </c>
      <c r="B7" s="7">
        <v>105990</v>
      </c>
      <c r="C7" s="7">
        <v>113587</v>
      </c>
      <c r="D7" s="7">
        <v>113503</v>
      </c>
      <c r="E7" s="7">
        <v>106403</v>
      </c>
      <c r="F7" s="7">
        <v>116335</v>
      </c>
      <c r="G7" s="7">
        <v>104859</v>
      </c>
      <c r="H7" s="7">
        <v>108603</v>
      </c>
      <c r="I7" s="7">
        <v>110797</v>
      </c>
      <c r="J7" s="7">
        <v>114064</v>
      </c>
      <c r="K7" s="7">
        <v>113500</v>
      </c>
      <c r="L7" s="7">
        <v>119287</v>
      </c>
      <c r="M7" s="7">
        <v>124342</v>
      </c>
      <c r="N7" s="7">
        <v>126571</v>
      </c>
      <c r="O7" s="7">
        <v>133949</v>
      </c>
      <c r="P7" s="7">
        <v>133895</v>
      </c>
      <c r="Q7" s="7">
        <v>126916</v>
      </c>
      <c r="R7" s="7">
        <v>145477</v>
      </c>
      <c r="S7" s="7">
        <v>127461</v>
      </c>
      <c r="T7" s="7">
        <v>131313</v>
      </c>
      <c r="U7" s="7">
        <v>135943</v>
      </c>
      <c r="V7" s="7">
        <v>136447</v>
      </c>
      <c r="W7" s="7">
        <v>139130</v>
      </c>
      <c r="X7" s="7">
        <v>146897</v>
      </c>
      <c r="Y7" s="7">
        <v>150729</v>
      </c>
      <c r="Z7" s="7">
        <v>155044</v>
      </c>
      <c r="AA7" s="7">
        <v>155394</v>
      </c>
      <c r="AB7" s="7">
        <v>163828</v>
      </c>
      <c r="AC7" s="7">
        <v>161509</v>
      </c>
      <c r="AD7" s="7">
        <v>177899</v>
      </c>
      <c r="AE7" s="7">
        <v>156107</v>
      </c>
      <c r="AF7" s="7">
        <v>167172</v>
      </c>
      <c r="AG7" s="7">
        <v>175794</v>
      </c>
      <c r="AH7" s="7">
        <v>180744</v>
      </c>
      <c r="AI7" s="7">
        <v>188235</v>
      </c>
      <c r="AJ7" s="7">
        <v>206088</v>
      </c>
      <c r="AK7" s="7">
        <v>218205</v>
      </c>
      <c r="AL7" s="7">
        <v>224880</v>
      </c>
      <c r="AM7" s="7">
        <v>238636</v>
      </c>
      <c r="AN7" s="7">
        <v>255598</v>
      </c>
      <c r="AO7" s="7">
        <v>246799</v>
      </c>
      <c r="AP7" s="7">
        <v>262093</v>
      </c>
      <c r="AQ7" s="7">
        <v>250756</v>
      </c>
      <c r="AR7" s="7">
        <v>261604</v>
      </c>
      <c r="AS7" s="7">
        <v>264980</v>
      </c>
      <c r="AT7" s="7">
        <v>277575</v>
      </c>
      <c r="AU7" s="7">
        <v>283250</v>
      </c>
      <c r="AV7" s="7">
        <v>303204</v>
      </c>
      <c r="AW7" s="7">
        <v>321518</v>
      </c>
      <c r="AX7" s="7">
        <v>333384</v>
      </c>
      <c r="AY7" s="7">
        <v>338635</v>
      </c>
      <c r="AZ7" s="7">
        <v>359047</v>
      </c>
      <c r="BA7" s="7">
        <v>374640</v>
      </c>
      <c r="BB7" s="7">
        <v>410898</v>
      </c>
      <c r="BC7" s="7">
        <v>377357</v>
      </c>
      <c r="BD7" s="7">
        <v>388607</v>
      </c>
      <c r="BE7" s="7">
        <v>394110</v>
      </c>
      <c r="BF7" s="7">
        <v>409766</v>
      </c>
      <c r="BG7" s="7">
        <v>417143</v>
      </c>
      <c r="BH7" s="7">
        <v>425475</v>
      </c>
      <c r="BI7" s="7">
        <v>432873</v>
      </c>
      <c r="BJ7" s="7">
        <v>442329</v>
      </c>
      <c r="BK7" s="7">
        <v>452079</v>
      </c>
      <c r="BL7" s="7">
        <v>463750</v>
      </c>
      <c r="BM7" s="7">
        <v>442955</v>
      </c>
      <c r="BN7" s="7">
        <v>458518</v>
      </c>
      <c r="BO7" s="7">
        <v>426426</v>
      </c>
      <c r="BP7" s="7">
        <v>451229</v>
      </c>
      <c r="BQ7" s="7">
        <v>480293</v>
      </c>
      <c r="BR7" s="7">
        <v>505033</v>
      </c>
      <c r="BS7" s="7">
        <v>548513</v>
      </c>
      <c r="BT7" s="7">
        <v>597037</v>
      </c>
      <c r="BU7" s="7">
        <v>625884</v>
      </c>
      <c r="BV7" s="7">
        <v>619450</v>
      </c>
      <c r="BW7" s="7">
        <v>612971</v>
      </c>
      <c r="BX7" s="7">
        <v>597813</v>
      </c>
      <c r="BY7" s="7">
        <v>602662</v>
      </c>
      <c r="BZ7" s="7">
        <v>687257</v>
      </c>
      <c r="CA7" s="7">
        <v>679704</v>
      </c>
      <c r="CB7" s="7">
        <v>698594</v>
      </c>
      <c r="CC7" s="7">
        <v>739447</v>
      </c>
      <c r="CD7" s="7">
        <v>793795</v>
      </c>
      <c r="CE7" s="7">
        <v>847279</v>
      </c>
      <c r="CF7" s="7">
        <v>891254</v>
      </c>
      <c r="CG7" s="7">
        <v>926614</v>
      </c>
      <c r="CH7" s="7">
        <v>938128</v>
      </c>
      <c r="CI7" s="7">
        <v>881985</v>
      </c>
      <c r="CJ7" s="7">
        <v>842219</v>
      </c>
      <c r="CK7" s="7">
        <v>807899</v>
      </c>
      <c r="CL7" s="7">
        <v>859852</v>
      </c>
      <c r="CM7" s="7">
        <v>784885</v>
      </c>
      <c r="CN7" s="7">
        <v>789964</v>
      </c>
      <c r="CO7" s="7">
        <v>809238</v>
      </c>
      <c r="CP7" s="7">
        <v>828327</v>
      </c>
      <c r="CQ7" s="7">
        <v>847921</v>
      </c>
      <c r="CR7" s="7">
        <v>883103</v>
      </c>
      <c r="CS7" s="7">
        <v>895149</v>
      </c>
      <c r="CT7" s="7">
        <v>908295</v>
      </c>
      <c r="CU7" s="7">
        <v>920457</v>
      </c>
      <c r="CV7" s="7">
        <v>936012</v>
      </c>
      <c r="CW7" s="7">
        <v>923606</v>
      </c>
      <c r="CX7" s="7">
        <v>986856</v>
      </c>
      <c r="CY7" s="7">
        <v>839101</v>
      </c>
      <c r="CZ7" s="7">
        <v>829446</v>
      </c>
      <c r="DA7" s="7">
        <v>836807</v>
      </c>
      <c r="DB7" s="7">
        <v>866495</v>
      </c>
      <c r="DC7" s="7">
        <v>892756</v>
      </c>
      <c r="DD7" s="7">
        <v>933014</v>
      </c>
      <c r="DE7" s="7">
        <v>927522</v>
      </c>
      <c r="DF7" s="7">
        <v>929486</v>
      </c>
      <c r="DG7" s="7">
        <v>926969</v>
      </c>
      <c r="DH7" s="7">
        <v>939778</v>
      </c>
      <c r="DI7" s="7">
        <v>967795</v>
      </c>
      <c r="DJ7" s="7">
        <v>1047795</v>
      </c>
      <c r="DK7" s="7">
        <v>1005845</v>
      </c>
      <c r="DL7" s="7">
        <v>1012610</v>
      </c>
      <c r="DM7" s="7">
        <v>1025325</v>
      </c>
      <c r="DN7" s="7">
        <v>1085661</v>
      </c>
      <c r="DO7" s="7">
        <v>1126742</v>
      </c>
      <c r="DP7" s="7">
        <v>1162403</v>
      </c>
      <c r="DQ7" s="7">
        <v>1208896</v>
      </c>
      <c r="DR7" s="7">
        <v>1213858</v>
      </c>
      <c r="DS7" s="7">
        <v>1222987</v>
      </c>
      <c r="DT7" s="7">
        <v>1242113</v>
      </c>
      <c r="DU7" s="7">
        <v>1223546</v>
      </c>
      <c r="DV7" s="7">
        <v>1306208</v>
      </c>
      <c r="DW7" s="7">
        <v>1252898</v>
      </c>
      <c r="DX7" s="7">
        <v>1248329</v>
      </c>
      <c r="DY7" s="7">
        <v>1253260</v>
      </c>
      <c r="DZ7" s="7">
        <v>1279954</v>
      </c>
      <c r="EA7" s="7">
        <v>1301055</v>
      </c>
      <c r="EB7" s="7">
        <v>1350259</v>
      </c>
      <c r="EC7" s="7">
        <v>1387916</v>
      </c>
      <c r="ED7" s="7">
        <v>1419509</v>
      </c>
      <c r="EE7" s="7">
        <v>1427688</v>
      </c>
      <c r="EF7" s="7">
        <v>1430428</v>
      </c>
      <c r="EG7" s="7">
        <v>1414237</v>
      </c>
      <c r="EH7" s="7">
        <v>1548166</v>
      </c>
      <c r="EI7" s="7">
        <v>1483816</v>
      </c>
      <c r="EJ7" s="7">
        <v>1468570</v>
      </c>
      <c r="EK7" s="7">
        <v>1492278</v>
      </c>
      <c r="EL7" s="7">
        <v>1524936</v>
      </c>
      <c r="EM7" s="7">
        <v>1531051</v>
      </c>
      <c r="EN7" s="7">
        <v>1578851</v>
      </c>
      <c r="EO7" s="7">
        <v>1591455</v>
      </c>
      <c r="EP7" s="7">
        <v>1612091</v>
      </c>
      <c r="EQ7" s="7">
        <v>1614788</v>
      </c>
      <c r="ER7" s="7">
        <v>1607736</v>
      </c>
      <c r="ES7" s="7">
        <v>1574479</v>
      </c>
      <c r="ET7" s="7">
        <v>1736646</v>
      </c>
      <c r="EU7" s="7">
        <v>1623074</v>
      </c>
      <c r="EV7" s="7">
        <v>1616718</v>
      </c>
      <c r="EW7" s="7">
        <v>1651519</v>
      </c>
      <c r="EX7" s="7">
        <v>1655412</v>
      </c>
      <c r="EY7" s="7">
        <v>1665622</v>
      </c>
      <c r="EZ7" s="7">
        <v>1736736</v>
      </c>
      <c r="FA7" s="7">
        <v>1700515</v>
      </c>
      <c r="FB7" s="7">
        <v>1694860</v>
      </c>
      <c r="FC7" s="7">
        <v>1669076</v>
      </c>
      <c r="FD7" s="7">
        <v>1658487</v>
      </c>
      <c r="FE7" s="7">
        <v>1615766</v>
      </c>
      <c r="FF7" s="7">
        <v>1762907</v>
      </c>
      <c r="FG7" s="7">
        <v>1623028</v>
      </c>
      <c r="FH7" s="7">
        <v>1673638</v>
      </c>
      <c r="FI7" s="7">
        <v>1553022</v>
      </c>
      <c r="FJ7" s="7">
        <v>1595662</v>
      </c>
      <c r="FK7" s="7">
        <v>1622671</v>
      </c>
      <c r="FL7" s="7">
        <v>1674644</v>
      </c>
      <c r="FM7" s="7">
        <v>1677389</v>
      </c>
      <c r="FN7" s="7">
        <v>1614166</v>
      </c>
      <c r="FO7" s="7">
        <v>1598778</v>
      </c>
      <c r="FP7" s="7">
        <v>1508608</v>
      </c>
      <c r="FQ7" s="7">
        <v>1457919</v>
      </c>
      <c r="FR7" s="7">
        <v>1382183</v>
      </c>
      <c r="FS7" s="7">
        <v>1254094</v>
      </c>
      <c r="FT7" s="7">
        <v>1241507</v>
      </c>
      <c r="FU7" s="7">
        <v>1273493</v>
      </c>
      <c r="FV7" s="7">
        <v>1266328</v>
      </c>
      <c r="FW7" s="7">
        <v>1305871</v>
      </c>
      <c r="FX7" s="7">
        <v>1363086</v>
      </c>
      <c r="FY7" s="7">
        <v>1356580</v>
      </c>
      <c r="FZ7" s="7">
        <v>1433202</v>
      </c>
      <c r="GA7" s="7">
        <v>1421127</v>
      </c>
      <c r="GB7" s="7">
        <v>1433498</v>
      </c>
      <c r="GC7" s="7">
        <v>1443620</v>
      </c>
      <c r="GD7" s="7">
        <v>1494930</v>
      </c>
      <c r="GE7" s="7">
        <v>1394955</v>
      </c>
      <c r="GF7" s="7">
        <v>1469812</v>
      </c>
      <c r="GG7" s="7">
        <v>1537636</v>
      </c>
      <c r="GH7" s="7">
        <v>1647545</v>
      </c>
      <c r="GI7" s="7">
        <v>1727427</v>
      </c>
      <c r="GJ7" s="7">
        <v>1825191</v>
      </c>
      <c r="GK7" s="7">
        <v>1862000</v>
      </c>
      <c r="GL7" s="7">
        <v>1828619</v>
      </c>
      <c r="GM7" s="7">
        <v>1818787</v>
      </c>
      <c r="GN7" s="7">
        <v>1834827</v>
      </c>
      <c r="GO7" s="7">
        <v>1841542</v>
      </c>
      <c r="GP7" s="7">
        <v>2050087</v>
      </c>
      <c r="GQ7" s="7">
        <v>1912365</v>
      </c>
      <c r="GR7" s="7">
        <v>1937004</v>
      </c>
      <c r="GS7" s="7">
        <v>1961113</v>
      </c>
      <c r="GT7" s="7">
        <v>2029004</v>
      </c>
      <c r="GU7" s="7">
        <v>2030794</v>
      </c>
      <c r="GV7" s="7">
        <v>2132666</v>
      </c>
      <c r="GW7" s="7">
        <v>2179024</v>
      </c>
      <c r="GX7" s="7">
        <v>2171016</v>
      </c>
      <c r="GY7" s="7">
        <v>2120089</v>
      </c>
      <c r="GZ7" s="7">
        <v>2086632</v>
      </c>
      <c r="HA7" s="7">
        <v>2102739</v>
      </c>
      <c r="HB7" s="7">
        <v>2257218</v>
      </c>
      <c r="HC7" s="7">
        <v>2104909</v>
      </c>
      <c r="HD7" s="7">
        <v>2084574</v>
      </c>
      <c r="HE7" s="7">
        <v>2101125</v>
      </c>
      <c r="HF7" s="7">
        <v>2199421</v>
      </c>
      <c r="HG7" s="7">
        <v>2225974</v>
      </c>
      <c r="HH7" s="7">
        <v>2377051</v>
      </c>
      <c r="HI7" s="7">
        <v>2489122</v>
      </c>
      <c r="HJ7" s="7">
        <v>2423059</v>
      </c>
      <c r="HK7" s="7">
        <v>2381264</v>
      </c>
      <c r="HL7" s="7">
        <v>2390923</v>
      </c>
      <c r="HM7" s="7">
        <v>2428846</v>
      </c>
      <c r="HN7" s="7">
        <v>2618852</v>
      </c>
      <c r="HO7" s="7">
        <v>2471410</v>
      </c>
      <c r="HP7" s="7">
        <v>2458568</v>
      </c>
      <c r="HQ7" s="7">
        <v>2501173</v>
      </c>
      <c r="HR7" s="7">
        <v>2536209</v>
      </c>
      <c r="HS7" s="7">
        <v>2584479</v>
      </c>
      <c r="HT7" s="7">
        <v>2541174</v>
      </c>
      <c r="HU7" s="7">
        <v>2563232</v>
      </c>
      <c r="HV7" s="7">
        <v>2600097</v>
      </c>
      <c r="HW7" s="7">
        <v>2569470</v>
      </c>
      <c r="HX7" s="7">
        <v>2559787</v>
      </c>
      <c r="HY7" s="7">
        <v>2554685</v>
      </c>
      <c r="HZ7" s="7">
        <v>2688265</v>
      </c>
      <c r="IA7" s="7">
        <v>2538014</v>
      </c>
      <c r="IB7" s="7">
        <v>2581017</v>
      </c>
      <c r="IC7" s="7">
        <v>2703786</v>
      </c>
      <c r="ID7" s="7">
        <v>2955734</v>
      </c>
      <c r="IE7" s="7">
        <v>3145959</v>
      </c>
      <c r="IF7" s="7">
        <v>3184287</v>
      </c>
      <c r="IG7" s="7">
        <v>3274440</v>
      </c>
      <c r="IH7" s="7">
        <v>3311008</v>
      </c>
      <c r="II7" s="7">
        <v>3204061</v>
      </c>
      <c r="IJ7" s="7">
        <v>3183426</v>
      </c>
      <c r="IK7" s="7">
        <v>3117539</v>
      </c>
      <c r="IL7" s="7">
        <v>3250372</v>
      </c>
      <c r="IM7" s="7">
        <v>3081432</v>
      </c>
      <c r="IN7" s="7">
        <v>3109238</v>
      </c>
      <c r="IO7" s="7">
        <v>3189736</v>
      </c>
      <c r="IP7" s="7">
        <v>3323340</v>
      </c>
      <c r="IQ7" s="7">
        <v>3367646</v>
      </c>
      <c r="IR7" s="7">
        <v>3450950</v>
      </c>
      <c r="IS7" s="7">
        <v>3458788</v>
      </c>
      <c r="IT7" s="7">
        <v>3424734</v>
      </c>
      <c r="IU7" s="7">
        <v>3382482</v>
      </c>
      <c r="IV7" s="7">
        <v>3407310</v>
      </c>
      <c r="IW7" s="7">
        <v>3343569</v>
      </c>
      <c r="IX7" s="7">
        <v>3451715</v>
      </c>
      <c r="IY7" s="7">
        <v>3429933</v>
      </c>
      <c r="IZ7" s="7">
        <v>3408116</v>
      </c>
      <c r="JA7" s="7">
        <v>3523866</v>
      </c>
      <c r="JB7" s="7">
        <v>3574720</v>
      </c>
      <c r="JC7" s="7">
        <v>3520450</v>
      </c>
      <c r="JD7" s="7">
        <v>3674234</v>
      </c>
      <c r="JE7" s="7">
        <v>3779485</v>
      </c>
      <c r="JF7" s="7">
        <v>3762229</v>
      </c>
      <c r="JG7" s="7">
        <v>3762939</v>
      </c>
      <c r="JH7" s="7">
        <v>3765032</v>
      </c>
      <c r="JI7" s="7">
        <v>3701002</v>
      </c>
      <c r="JJ7" s="7">
        <v>3823793</v>
      </c>
      <c r="JK7" s="7">
        <v>3687694</v>
      </c>
      <c r="JL7" s="7">
        <v>3630271</v>
      </c>
      <c r="JM7" s="7">
        <v>3656211</v>
      </c>
      <c r="JN7" s="7">
        <v>3793068</v>
      </c>
      <c r="JO7" s="7">
        <v>3775641</v>
      </c>
      <c r="JP7" s="7">
        <v>3914126</v>
      </c>
      <c r="JQ7" s="7">
        <v>3919342</v>
      </c>
      <c r="JR7" s="7">
        <v>3950919</v>
      </c>
      <c r="JS7" s="7">
        <v>3960098</v>
      </c>
      <c r="JT7" s="7">
        <v>3965167</v>
      </c>
      <c r="JU7" s="7">
        <v>3902340</v>
      </c>
      <c r="JV7" s="7">
        <v>4109817</v>
      </c>
      <c r="JW7" s="7">
        <v>4039710</v>
      </c>
      <c r="JX7" s="7">
        <v>4028124</v>
      </c>
      <c r="JY7" s="7">
        <v>4060834</v>
      </c>
      <c r="JZ7" s="7">
        <v>4068003</v>
      </c>
      <c r="KA7" s="7">
        <v>4134431</v>
      </c>
      <c r="KB7" s="7">
        <v>4323683</v>
      </c>
      <c r="KC7" s="7">
        <v>4408645</v>
      </c>
      <c r="KD7" s="7">
        <v>4503882</v>
      </c>
      <c r="KE7" s="7">
        <v>4415747</v>
      </c>
      <c r="KF7" s="7">
        <v>4488750</v>
      </c>
      <c r="KG7" s="7">
        <v>4525368</v>
      </c>
      <c r="KH7" s="7">
        <v>4862203</v>
      </c>
      <c r="KI7" s="7">
        <v>4735682</v>
      </c>
      <c r="KJ7" s="7">
        <v>4681680</v>
      </c>
      <c r="KK7" s="7">
        <v>4725146</v>
      </c>
      <c r="KL7" s="7">
        <v>4874328</v>
      </c>
      <c r="KM7" s="7">
        <v>4934084</v>
      </c>
      <c r="KN7" s="7">
        <v>5158676</v>
      </c>
      <c r="KO7" s="7">
        <v>5259184</v>
      </c>
      <c r="KP7" s="7">
        <v>5286624</v>
      </c>
      <c r="KQ7" s="7">
        <v>5173407</v>
      </c>
      <c r="KR7" s="7">
        <v>5179134</v>
      </c>
      <c r="KS7" s="7">
        <v>5036725</v>
      </c>
      <c r="KT7" s="7">
        <v>5271109</v>
      </c>
      <c r="KU7" s="7">
        <v>5041049</v>
      </c>
      <c r="KV7" s="7">
        <v>4959162</v>
      </c>
      <c r="KW7" s="7">
        <v>4962080</v>
      </c>
      <c r="KX7" s="7">
        <v>5091844</v>
      </c>
      <c r="KY7" s="7">
        <v>5214053</v>
      </c>
      <c r="KZ7" s="7">
        <v>5339901</v>
      </c>
    </row>
    <row r="8" spans="1:312">
      <c r="A8" s="6" t="s">
        <v>318</v>
      </c>
      <c r="B8" s="7">
        <v>18425</v>
      </c>
      <c r="C8" s="7">
        <v>21831</v>
      </c>
      <c r="D8" s="7">
        <v>38855</v>
      </c>
      <c r="E8" s="7">
        <v>24848</v>
      </c>
      <c r="F8" s="7">
        <v>18081</v>
      </c>
      <c r="G8" s="7">
        <v>20174</v>
      </c>
      <c r="H8" s="7">
        <v>24087</v>
      </c>
      <c r="I8" s="7">
        <v>19968</v>
      </c>
      <c r="J8" s="7">
        <v>16896</v>
      </c>
      <c r="K8" s="7">
        <v>20893</v>
      </c>
      <c r="L8" s="7">
        <v>23540</v>
      </c>
      <c r="M8" s="7">
        <v>21545</v>
      </c>
      <c r="N8" s="7">
        <v>19960</v>
      </c>
      <c r="O8" s="7">
        <v>24047</v>
      </c>
      <c r="P8" s="7">
        <v>20327</v>
      </c>
      <c r="Q8" s="7">
        <v>30266</v>
      </c>
      <c r="R8" s="7">
        <v>29482</v>
      </c>
      <c r="S8" s="7">
        <v>32185</v>
      </c>
      <c r="T8" s="7">
        <v>22564</v>
      </c>
      <c r="U8" s="7">
        <v>18989</v>
      </c>
      <c r="V8" s="7">
        <v>18387</v>
      </c>
      <c r="W8" s="7">
        <v>17657</v>
      </c>
      <c r="X8" s="7">
        <v>27361</v>
      </c>
      <c r="Y8" s="7">
        <v>22354</v>
      </c>
      <c r="Z8" s="7">
        <v>24122</v>
      </c>
      <c r="AA8" s="7">
        <v>28338</v>
      </c>
      <c r="AB8" s="7">
        <v>28188</v>
      </c>
      <c r="AC8" s="7">
        <v>25952</v>
      </c>
      <c r="AD8" s="7">
        <v>30272</v>
      </c>
      <c r="AE8" s="7">
        <v>30819</v>
      </c>
      <c r="AF8" s="7">
        <v>33208</v>
      </c>
      <c r="AG8" s="7">
        <v>30202</v>
      </c>
      <c r="AH8" s="7">
        <v>33714</v>
      </c>
      <c r="AI8" s="7">
        <v>30593</v>
      </c>
      <c r="AJ8" s="7">
        <v>47989</v>
      </c>
      <c r="AK8" s="7">
        <v>39015</v>
      </c>
      <c r="AL8" s="7">
        <v>35090</v>
      </c>
      <c r="AM8" s="7">
        <v>55813</v>
      </c>
      <c r="AN8" s="7">
        <v>38517</v>
      </c>
      <c r="AO8" s="7">
        <v>45534</v>
      </c>
      <c r="AP8" s="7">
        <v>54869</v>
      </c>
      <c r="AQ8" s="7">
        <v>47765</v>
      </c>
      <c r="AR8" s="7">
        <v>46217</v>
      </c>
      <c r="AS8" s="7">
        <v>60610</v>
      </c>
      <c r="AT8" s="7">
        <v>38677</v>
      </c>
      <c r="AU8" s="7">
        <v>77110</v>
      </c>
      <c r="AV8" s="7">
        <v>85331</v>
      </c>
      <c r="AW8" s="7">
        <v>58774</v>
      </c>
      <c r="AX8" s="7">
        <v>52647</v>
      </c>
      <c r="AY8" s="7">
        <v>65574</v>
      </c>
      <c r="AZ8" s="7">
        <v>85958</v>
      </c>
      <c r="BA8" s="7">
        <v>114813</v>
      </c>
      <c r="BB8" s="7">
        <v>166943</v>
      </c>
      <c r="BC8" s="7">
        <v>108485</v>
      </c>
      <c r="BD8" s="7">
        <v>139877</v>
      </c>
      <c r="BE8" s="7">
        <v>151977</v>
      </c>
      <c r="BF8" s="7">
        <v>137917</v>
      </c>
      <c r="BG8" s="7">
        <v>132686</v>
      </c>
      <c r="BH8" s="7">
        <v>125154</v>
      </c>
      <c r="BI8" s="7">
        <v>131921</v>
      </c>
      <c r="BJ8" s="7">
        <v>112571</v>
      </c>
      <c r="BK8" s="7">
        <v>190254</v>
      </c>
      <c r="BL8" s="7">
        <v>176969</v>
      </c>
      <c r="BM8" s="7">
        <v>166768</v>
      </c>
      <c r="BN8" s="7">
        <v>204488</v>
      </c>
      <c r="BO8" s="7">
        <v>190213</v>
      </c>
      <c r="BP8" s="7">
        <v>342651</v>
      </c>
      <c r="BQ8" s="7">
        <v>560099</v>
      </c>
      <c r="BR8" s="7">
        <v>487675</v>
      </c>
      <c r="BS8" s="7">
        <v>493098</v>
      </c>
      <c r="BT8" s="7">
        <v>461947</v>
      </c>
      <c r="BU8" s="7">
        <v>536968</v>
      </c>
      <c r="BV8" s="7">
        <v>479506</v>
      </c>
      <c r="BW8" s="7">
        <v>583210</v>
      </c>
      <c r="BX8" s="7">
        <v>593277</v>
      </c>
      <c r="BY8" s="7">
        <v>578929</v>
      </c>
      <c r="BZ8" s="7">
        <v>814072</v>
      </c>
      <c r="CA8" s="7">
        <v>711298</v>
      </c>
      <c r="CB8" s="7">
        <v>889386</v>
      </c>
      <c r="CC8" s="7">
        <v>844523</v>
      </c>
      <c r="CD8" s="7">
        <v>740645</v>
      </c>
      <c r="CE8" s="7">
        <v>755468</v>
      </c>
      <c r="CF8" s="7">
        <v>775420</v>
      </c>
      <c r="CG8" s="7">
        <v>769783</v>
      </c>
      <c r="CH8" s="7">
        <v>813008</v>
      </c>
      <c r="CI8" s="7">
        <v>831154</v>
      </c>
      <c r="CJ8" s="7">
        <v>660438</v>
      </c>
      <c r="CK8" s="7">
        <v>682097</v>
      </c>
      <c r="CL8" s="7">
        <v>604283</v>
      </c>
      <c r="CM8" s="7">
        <v>724617</v>
      </c>
      <c r="CN8" s="7">
        <v>789532</v>
      </c>
      <c r="CO8" s="7">
        <v>769652</v>
      </c>
      <c r="CP8" s="7">
        <v>705881</v>
      </c>
      <c r="CQ8" s="7">
        <v>847152</v>
      </c>
      <c r="CR8" s="7">
        <v>869888</v>
      </c>
      <c r="CS8" s="7">
        <v>774708</v>
      </c>
      <c r="CT8" s="7">
        <v>842658</v>
      </c>
      <c r="CU8" s="7">
        <v>834457</v>
      </c>
      <c r="CV8" s="7">
        <v>634202</v>
      </c>
      <c r="CW8" s="7">
        <v>374946</v>
      </c>
      <c r="CX8" s="7">
        <v>538382</v>
      </c>
      <c r="CY8" s="7">
        <v>1193337</v>
      </c>
      <c r="CZ8" s="7">
        <v>1422642</v>
      </c>
      <c r="DA8" s="7">
        <v>1399965</v>
      </c>
      <c r="DB8" s="7">
        <v>1326840</v>
      </c>
      <c r="DC8" s="7">
        <v>1368511</v>
      </c>
      <c r="DD8" s="7">
        <v>1400753</v>
      </c>
      <c r="DE8" s="7">
        <v>1780314</v>
      </c>
      <c r="DF8" s="7">
        <v>1648204</v>
      </c>
      <c r="DG8" s="7">
        <v>1820679</v>
      </c>
      <c r="DH8" s="7">
        <v>1623934</v>
      </c>
      <c r="DI8" s="7">
        <v>1535110</v>
      </c>
      <c r="DJ8" s="7">
        <v>1403041</v>
      </c>
      <c r="DK8" s="7">
        <v>1578760</v>
      </c>
      <c r="DL8" s="7">
        <v>1640413</v>
      </c>
      <c r="DM8" s="7">
        <v>1710957</v>
      </c>
      <c r="DN8" s="7">
        <v>1565117</v>
      </c>
      <c r="DO8" s="7">
        <v>1391568</v>
      </c>
      <c r="DP8" s="7">
        <v>1575993</v>
      </c>
      <c r="DQ8" s="7">
        <v>1391140</v>
      </c>
      <c r="DR8" s="7">
        <v>1309545</v>
      </c>
      <c r="DS8" s="7">
        <v>1306914</v>
      </c>
      <c r="DT8" s="7">
        <v>1502260</v>
      </c>
      <c r="DU8" s="7">
        <v>1149033</v>
      </c>
      <c r="DV8" s="7">
        <v>1266009</v>
      </c>
      <c r="DW8" s="7">
        <v>1388608</v>
      </c>
      <c r="DX8" s="7">
        <v>1381808</v>
      </c>
      <c r="DY8" s="7">
        <v>1556971</v>
      </c>
      <c r="DZ8" s="7">
        <v>1626505</v>
      </c>
      <c r="EA8" s="7">
        <v>1541493</v>
      </c>
      <c r="EB8" s="7">
        <v>1537835</v>
      </c>
      <c r="EC8" s="7">
        <v>1807647</v>
      </c>
      <c r="ED8" s="7">
        <v>1466162</v>
      </c>
      <c r="EE8" s="7">
        <v>1455400</v>
      </c>
      <c r="EF8" s="7">
        <v>1633545</v>
      </c>
      <c r="EG8" s="7">
        <v>1550100</v>
      </c>
      <c r="EH8" s="7">
        <v>1289190</v>
      </c>
      <c r="EI8" s="7">
        <v>1900324</v>
      </c>
      <c r="EJ8" s="7">
        <v>2000902</v>
      </c>
      <c r="EK8" s="7">
        <v>1790387</v>
      </c>
      <c r="EL8" s="7">
        <v>1965294</v>
      </c>
      <c r="EM8" s="7">
        <v>1773472</v>
      </c>
      <c r="EN8" s="7">
        <v>1875833</v>
      </c>
      <c r="EO8" s="7">
        <v>1360446</v>
      </c>
      <c r="EP8" s="7">
        <v>1197879</v>
      </c>
      <c r="EQ8" s="7">
        <v>1338348</v>
      </c>
      <c r="ER8" s="7">
        <v>1224780</v>
      </c>
      <c r="ES8" s="7">
        <v>1111629</v>
      </c>
      <c r="ET8" s="7">
        <v>1153415</v>
      </c>
      <c r="EU8" s="7">
        <v>1123172</v>
      </c>
      <c r="EV8" s="7">
        <v>1012087</v>
      </c>
      <c r="EW8" s="7">
        <v>1393467</v>
      </c>
      <c r="EX8" s="7">
        <v>1197484</v>
      </c>
      <c r="EY8" s="7">
        <v>1373093</v>
      </c>
      <c r="EZ8" s="7">
        <v>1357945</v>
      </c>
      <c r="FA8" s="7">
        <v>1408682</v>
      </c>
      <c r="FB8" s="7">
        <v>1211181</v>
      </c>
      <c r="FC8" s="7">
        <v>1112744</v>
      </c>
      <c r="FD8" s="7">
        <v>1117807</v>
      </c>
      <c r="FE8" s="7">
        <v>993871</v>
      </c>
      <c r="FF8" s="7">
        <v>1063054</v>
      </c>
      <c r="FG8" s="7">
        <v>1237975</v>
      </c>
      <c r="FH8" s="7">
        <v>1566385</v>
      </c>
      <c r="FI8" s="7">
        <v>1855000</v>
      </c>
      <c r="FJ8" s="7">
        <v>2037654</v>
      </c>
      <c r="FK8" s="7">
        <v>1972910</v>
      </c>
      <c r="FL8" s="7">
        <v>2040614</v>
      </c>
      <c r="FM8" s="7">
        <v>2182341</v>
      </c>
      <c r="FN8" s="7">
        <v>2040561</v>
      </c>
      <c r="FO8" s="7">
        <v>2154357</v>
      </c>
      <c r="FP8" s="7">
        <v>2215018</v>
      </c>
      <c r="FQ8" s="7">
        <v>1956403</v>
      </c>
      <c r="FR8" s="7">
        <v>2031658</v>
      </c>
      <c r="FS8" s="7">
        <v>1854925</v>
      </c>
      <c r="FT8" s="7">
        <v>1903308</v>
      </c>
      <c r="FU8" s="7">
        <v>2013512</v>
      </c>
      <c r="FV8" s="7">
        <v>2152249</v>
      </c>
      <c r="FW8" s="7">
        <v>2338924</v>
      </c>
      <c r="FX8" s="7">
        <v>2828099</v>
      </c>
      <c r="FY8" s="7">
        <v>2515020</v>
      </c>
      <c r="FZ8" s="7">
        <v>2874068</v>
      </c>
      <c r="GA8" s="7">
        <v>3223151</v>
      </c>
      <c r="GB8" s="7">
        <v>3244547</v>
      </c>
      <c r="GC8" s="7">
        <v>3372604</v>
      </c>
      <c r="GD8" s="7">
        <v>3255816</v>
      </c>
      <c r="GE8" s="7">
        <v>3327075</v>
      </c>
      <c r="GF8" s="7">
        <v>3096377</v>
      </c>
      <c r="GG8" s="7">
        <v>3455522</v>
      </c>
      <c r="GH8" s="7">
        <v>3005476</v>
      </c>
      <c r="GI8" s="7">
        <v>2767686</v>
      </c>
      <c r="GJ8" s="7">
        <v>3068957</v>
      </c>
      <c r="GK8" s="7">
        <v>2590803</v>
      </c>
      <c r="GL8" s="7">
        <v>2695408</v>
      </c>
      <c r="GM8" s="7">
        <v>2828119</v>
      </c>
      <c r="GN8" s="7">
        <v>2512924</v>
      </c>
      <c r="GO8" s="7">
        <v>2829526</v>
      </c>
      <c r="GP8" s="7">
        <v>3112486</v>
      </c>
      <c r="GQ8" s="7">
        <v>2766440</v>
      </c>
      <c r="GR8" s="7">
        <v>2749890</v>
      </c>
      <c r="GS8" s="7">
        <v>3237694</v>
      </c>
      <c r="GT8" s="7">
        <v>3224530</v>
      </c>
      <c r="GU8" s="7">
        <v>3505436</v>
      </c>
      <c r="GV8" s="7">
        <v>3041231</v>
      </c>
      <c r="GW8" s="7">
        <v>3280593</v>
      </c>
      <c r="GX8" s="7">
        <v>3171881</v>
      </c>
      <c r="GY8" s="7">
        <v>3947894</v>
      </c>
      <c r="GZ8" s="7">
        <v>3604156</v>
      </c>
      <c r="HA8" s="7">
        <v>3679696</v>
      </c>
      <c r="HB8" s="7">
        <v>3279840</v>
      </c>
      <c r="HC8" s="7">
        <v>3103505</v>
      </c>
      <c r="HD8" s="7">
        <v>2808892</v>
      </c>
      <c r="HE8" s="7">
        <v>2464383</v>
      </c>
      <c r="HF8" s="7">
        <v>2600484</v>
      </c>
      <c r="HG8" s="7">
        <v>2561631</v>
      </c>
      <c r="HH8" s="7">
        <v>3357133</v>
      </c>
      <c r="HI8" s="7">
        <v>3878595</v>
      </c>
      <c r="HJ8" s="7">
        <v>3695613</v>
      </c>
      <c r="HK8" s="7">
        <v>3802485</v>
      </c>
      <c r="HL8" s="7">
        <v>3408402</v>
      </c>
      <c r="HM8" s="7">
        <v>3559526</v>
      </c>
      <c r="HN8" s="7">
        <v>4032021</v>
      </c>
      <c r="HO8" s="7">
        <v>4512543</v>
      </c>
      <c r="HP8" s="7">
        <v>4060445</v>
      </c>
      <c r="HQ8" s="7">
        <v>3747256</v>
      </c>
      <c r="HR8" s="7">
        <v>3158567</v>
      </c>
      <c r="HS8" s="7">
        <v>4032965</v>
      </c>
      <c r="HT8" s="7">
        <v>3804976</v>
      </c>
      <c r="HU8" s="7">
        <v>4515263</v>
      </c>
      <c r="HV8" s="7">
        <v>4002330</v>
      </c>
      <c r="HW8" s="7">
        <v>3958805</v>
      </c>
      <c r="HX8" s="7">
        <v>4499062</v>
      </c>
      <c r="HY8" s="7">
        <v>4163972</v>
      </c>
      <c r="HZ8" s="7">
        <v>4204912</v>
      </c>
      <c r="IA8" s="7">
        <v>3731508</v>
      </c>
      <c r="IB8" s="7">
        <v>3814182</v>
      </c>
      <c r="IC8" s="7">
        <v>5948715</v>
      </c>
      <c r="ID8" s="7">
        <v>5328486</v>
      </c>
      <c r="IE8" s="7">
        <v>5107708</v>
      </c>
      <c r="IF8" s="7">
        <v>5244034</v>
      </c>
      <c r="IG8" s="7">
        <v>5822678</v>
      </c>
      <c r="IH8" s="7">
        <v>5828670</v>
      </c>
      <c r="II8" s="7">
        <v>5818974</v>
      </c>
      <c r="IJ8" s="7">
        <v>6478377</v>
      </c>
      <c r="IK8" s="7">
        <v>6549999</v>
      </c>
      <c r="IL8" s="7">
        <v>6527179</v>
      </c>
      <c r="IM8" s="7">
        <v>6092390</v>
      </c>
      <c r="IN8" s="7">
        <v>6456053</v>
      </c>
      <c r="IO8" s="7">
        <v>6669782</v>
      </c>
      <c r="IP8" s="7">
        <v>6555093</v>
      </c>
      <c r="IQ8" s="7">
        <v>6949589</v>
      </c>
      <c r="IR8" s="7">
        <v>6819177</v>
      </c>
      <c r="IS8" s="7">
        <v>6841371</v>
      </c>
      <c r="IT8" s="7">
        <v>6873487</v>
      </c>
      <c r="IU8" s="7">
        <v>7307216</v>
      </c>
      <c r="IV8" s="7">
        <v>6994779</v>
      </c>
      <c r="IW8" s="7">
        <v>7132622</v>
      </c>
      <c r="IX8" s="7">
        <v>7505999</v>
      </c>
      <c r="IY8" s="7">
        <v>7254001</v>
      </c>
      <c r="IZ8" s="7">
        <v>7356747</v>
      </c>
      <c r="JA8" s="7">
        <v>7267934</v>
      </c>
      <c r="JB8" s="7">
        <v>6393329</v>
      </c>
      <c r="JC8" s="7">
        <v>6354557</v>
      </c>
      <c r="JD8" s="7">
        <v>7014538</v>
      </c>
      <c r="JE8" s="7">
        <v>7799589</v>
      </c>
      <c r="JF8" s="7">
        <v>8314247</v>
      </c>
      <c r="JG8" s="7">
        <v>8108445</v>
      </c>
      <c r="JH8" s="7">
        <v>8609400</v>
      </c>
      <c r="JI8" s="7">
        <v>8018900</v>
      </c>
      <c r="JJ8" s="7">
        <v>8050629</v>
      </c>
      <c r="JK8" s="7">
        <v>6991088</v>
      </c>
      <c r="JL8" s="7">
        <v>6416944</v>
      </c>
      <c r="JM8" s="7">
        <v>6628280</v>
      </c>
      <c r="JN8" s="7">
        <v>6061303</v>
      </c>
      <c r="JO8" s="7">
        <v>5878390</v>
      </c>
      <c r="JP8" s="7">
        <v>6526720</v>
      </c>
      <c r="JQ8" s="7">
        <v>5667625</v>
      </c>
      <c r="JR8" s="7">
        <v>5117238</v>
      </c>
      <c r="JS8" s="7">
        <v>4883397</v>
      </c>
      <c r="JT8" s="7">
        <v>5655448</v>
      </c>
      <c r="JU8" s="7">
        <v>6224124</v>
      </c>
      <c r="JV8" s="7">
        <v>7430156</v>
      </c>
      <c r="JW8" s="7">
        <v>7780133</v>
      </c>
      <c r="JX8" s="7">
        <v>7498526</v>
      </c>
      <c r="JY8" s="7">
        <v>8241754</v>
      </c>
      <c r="JZ8" s="7">
        <v>8222580</v>
      </c>
      <c r="KA8" s="7">
        <v>8547335</v>
      </c>
      <c r="KB8" s="7">
        <v>8952292</v>
      </c>
      <c r="KC8" s="7">
        <v>9068387</v>
      </c>
      <c r="KD8" s="7">
        <v>8820481</v>
      </c>
      <c r="KE8" s="7">
        <v>9325973</v>
      </c>
      <c r="KF8" s="7">
        <v>9051277</v>
      </c>
      <c r="KG8" s="7">
        <v>8020734</v>
      </c>
      <c r="KH8" s="7">
        <v>9744334</v>
      </c>
      <c r="KI8" s="7">
        <v>9276560</v>
      </c>
      <c r="KJ8" s="7">
        <v>8980946</v>
      </c>
      <c r="KK8" s="7">
        <v>9062064</v>
      </c>
      <c r="KL8" s="7">
        <v>8660467</v>
      </c>
      <c r="KM8" s="7">
        <v>9039664</v>
      </c>
      <c r="KN8" s="7">
        <v>8860441</v>
      </c>
      <c r="KO8" s="7">
        <v>9427863</v>
      </c>
      <c r="KP8" s="7">
        <v>9781320</v>
      </c>
      <c r="KQ8" s="7">
        <v>9170772</v>
      </c>
      <c r="KR8" s="7">
        <v>9663759</v>
      </c>
      <c r="KS8" s="7">
        <v>8728589</v>
      </c>
      <c r="KT8" s="7">
        <v>10407612</v>
      </c>
      <c r="KU8" s="7">
        <v>10232764</v>
      </c>
      <c r="KV8" s="7">
        <v>9303631</v>
      </c>
      <c r="KW8" s="7">
        <v>9787032</v>
      </c>
      <c r="KX8" s="7">
        <v>9827231</v>
      </c>
      <c r="KY8" s="7">
        <v>9626770</v>
      </c>
      <c r="KZ8" s="7">
        <v>10239802</v>
      </c>
    </row>
    <row r="9" spans="1:31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</row>
    <row r="10" spans="1:312">
      <c r="A10" s="8" t="s">
        <v>319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>
        <v>499087</v>
      </c>
      <c r="BC10" s="7">
        <v>456538</v>
      </c>
      <c r="BD10" s="7">
        <v>450069</v>
      </c>
      <c r="BE10" s="7">
        <v>471135</v>
      </c>
      <c r="BF10" s="7">
        <v>467848</v>
      </c>
      <c r="BG10" s="7">
        <v>477683</v>
      </c>
      <c r="BH10" s="7">
        <v>508180</v>
      </c>
      <c r="BI10" s="7">
        <v>517454</v>
      </c>
      <c r="BJ10" s="7">
        <v>521040</v>
      </c>
      <c r="BK10" s="7">
        <v>561381</v>
      </c>
      <c r="BL10" s="7">
        <v>577092</v>
      </c>
      <c r="BM10" s="7">
        <v>538086</v>
      </c>
      <c r="BN10" s="7">
        <v>576158</v>
      </c>
      <c r="BO10" s="7">
        <v>550390</v>
      </c>
      <c r="BP10" s="7">
        <v>644698</v>
      </c>
      <c r="BQ10" s="7">
        <v>667104</v>
      </c>
      <c r="BR10" s="7">
        <v>698783</v>
      </c>
      <c r="BS10" s="7">
        <v>764206</v>
      </c>
      <c r="BT10" s="7">
        <v>840162</v>
      </c>
      <c r="BU10" s="7">
        <v>1059969</v>
      </c>
      <c r="BV10" s="7">
        <v>1024531</v>
      </c>
      <c r="BW10" s="7">
        <v>1147889</v>
      </c>
      <c r="BX10" s="7">
        <v>1100663</v>
      </c>
      <c r="BY10" s="7">
        <v>1097734</v>
      </c>
      <c r="BZ10" s="7">
        <v>1369741</v>
      </c>
      <c r="CA10" s="7">
        <v>1234895</v>
      </c>
      <c r="CB10" s="7">
        <v>1414344</v>
      </c>
      <c r="CC10" s="7">
        <v>1274602</v>
      </c>
      <c r="CD10" s="7">
        <v>1481382</v>
      </c>
      <c r="CE10" s="7">
        <v>1481397</v>
      </c>
      <c r="CF10" s="7">
        <v>1598143</v>
      </c>
      <c r="CG10" s="7">
        <v>1678215</v>
      </c>
      <c r="CH10" s="7">
        <v>1746534</v>
      </c>
      <c r="CI10" s="7">
        <v>1708536</v>
      </c>
      <c r="CJ10" s="7">
        <v>1498706</v>
      </c>
      <c r="CK10" s="7">
        <v>1485224</v>
      </c>
      <c r="CL10" s="7">
        <v>1454198</v>
      </c>
      <c r="CM10" s="7">
        <v>1496026</v>
      </c>
      <c r="CN10" s="7">
        <v>1531857</v>
      </c>
      <c r="CO10" s="7">
        <v>1494327</v>
      </c>
      <c r="CP10" s="7">
        <v>1515879</v>
      </c>
      <c r="CQ10" s="7">
        <v>1550936</v>
      </c>
      <c r="CR10" s="7">
        <v>1532511</v>
      </c>
      <c r="CS10" s="7">
        <v>1499353</v>
      </c>
      <c r="CT10" s="7">
        <v>1479502</v>
      </c>
      <c r="CU10" s="7">
        <v>1546595</v>
      </c>
      <c r="CV10" s="7">
        <v>1461811</v>
      </c>
      <c r="CW10" s="7">
        <v>1255864</v>
      </c>
      <c r="CX10" s="7">
        <v>1492201</v>
      </c>
      <c r="CY10" s="7">
        <v>2005052</v>
      </c>
      <c r="CZ10" s="7">
        <v>2227678</v>
      </c>
      <c r="DA10" s="7">
        <v>2062628</v>
      </c>
      <c r="DB10" s="7">
        <v>2017871</v>
      </c>
      <c r="DC10" s="7">
        <v>2001691</v>
      </c>
      <c r="DD10" s="7">
        <v>1899960</v>
      </c>
      <c r="DE10" s="7">
        <v>2152736</v>
      </c>
      <c r="DF10" s="7">
        <v>2092547</v>
      </c>
      <c r="DG10" s="7">
        <v>2201643</v>
      </c>
      <c r="DH10" s="7">
        <v>2041655</v>
      </c>
      <c r="DI10" s="7">
        <v>1875175</v>
      </c>
      <c r="DJ10" s="7">
        <v>1961737</v>
      </c>
      <c r="DK10" s="7">
        <v>2045882</v>
      </c>
      <c r="DL10" s="7">
        <v>2041393</v>
      </c>
      <c r="DM10" s="7">
        <v>2027147</v>
      </c>
      <c r="DN10" s="7">
        <v>2047701</v>
      </c>
      <c r="DO10" s="7">
        <v>2057071</v>
      </c>
      <c r="DP10" s="7">
        <v>2218416</v>
      </c>
      <c r="DQ10" s="7">
        <v>2064170</v>
      </c>
      <c r="DR10" s="7">
        <v>2165466</v>
      </c>
      <c r="DS10" s="7">
        <v>2162184</v>
      </c>
      <c r="DT10" s="7">
        <v>2315949</v>
      </c>
      <c r="DU10" s="7">
        <v>2023387</v>
      </c>
      <c r="DV10" s="7">
        <v>2142999</v>
      </c>
      <c r="DW10" s="7">
        <v>2196323</v>
      </c>
      <c r="DX10" s="7">
        <v>2143030</v>
      </c>
      <c r="DY10" s="7">
        <v>2351402</v>
      </c>
      <c r="DZ10" s="7">
        <v>2350156</v>
      </c>
      <c r="EA10" s="7">
        <v>2307583</v>
      </c>
      <c r="EB10" s="7">
        <v>2358248</v>
      </c>
      <c r="EC10" s="7">
        <v>2496442</v>
      </c>
      <c r="ED10" s="7">
        <v>2620699</v>
      </c>
      <c r="EE10" s="7">
        <v>2621530</v>
      </c>
      <c r="EF10" s="7">
        <v>2874889</v>
      </c>
      <c r="EG10" s="7">
        <v>2836733</v>
      </c>
      <c r="EH10" s="7">
        <v>2740573</v>
      </c>
      <c r="EI10" s="7">
        <v>3167658</v>
      </c>
      <c r="EJ10" s="7">
        <v>3286759</v>
      </c>
      <c r="EK10" s="7">
        <v>2927870</v>
      </c>
      <c r="EL10" s="7">
        <v>3170720</v>
      </c>
      <c r="EM10" s="7">
        <v>3097798</v>
      </c>
      <c r="EN10" s="7">
        <v>3310638</v>
      </c>
      <c r="EO10" s="7">
        <v>2798001</v>
      </c>
      <c r="EP10" s="7">
        <v>2701777</v>
      </c>
      <c r="EQ10" s="7">
        <v>2856592</v>
      </c>
      <c r="ER10" s="7">
        <v>2767535</v>
      </c>
      <c r="ES10" s="7">
        <v>2645849</v>
      </c>
      <c r="ET10" s="7">
        <v>2831153</v>
      </c>
      <c r="EU10" s="7">
        <v>2669532</v>
      </c>
      <c r="EV10" s="7">
        <v>2559878</v>
      </c>
      <c r="EW10" s="7">
        <v>2835760</v>
      </c>
      <c r="EX10" s="7">
        <v>2773279</v>
      </c>
      <c r="EY10" s="7">
        <v>2975854</v>
      </c>
      <c r="EZ10" s="7">
        <v>3048522</v>
      </c>
      <c r="FA10" s="7">
        <v>3057183</v>
      </c>
      <c r="FB10" s="7">
        <v>2875535</v>
      </c>
      <c r="FC10" s="7">
        <v>2752314</v>
      </c>
      <c r="FD10" s="7">
        <v>2745289</v>
      </c>
      <c r="FE10" s="7">
        <v>2580632</v>
      </c>
      <c r="FF10" s="7">
        <v>2786556</v>
      </c>
      <c r="FG10" s="7">
        <v>2832999</v>
      </c>
      <c r="FH10" s="7">
        <v>3219520</v>
      </c>
      <c r="FI10" s="7">
        <v>3380012</v>
      </c>
      <c r="FJ10" s="7">
        <v>3461007</v>
      </c>
      <c r="FK10" s="7">
        <v>3393285</v>
      </c>
      <c r="FL10" s="7">
        <v>3524465</v>
      </c>
      <c r="FM10" s="7">
        <v>3633733</v>
      </c>
      <c r="FN10" s="7">
        <v>3529912</v>
      </c>
      <c r="FO10" s="7">
        <v>3574884</v>
      </c>
      <c r="FP10" s="7">
        <v>3654424</v>
      </c>
      <c r="FQ10" s="7">
        <v>3382108</v>
      </c>
      <c r="FR10" s="7">
        <v>3313211</v>
      </c>
      <c r="FS10" s="7">
        <v>3015908</v>
      </c>
      <c r="FT10" s="7">
        <v>3059874</v>
      </c>
      <c r="FU10" s="7">
        <v>3111316</v>
      </c>
      <c r="FV10" s="7">
        <v>3242518</v>
      </c>
      <c r="FW10" s="7">
        <v>3490223</v>
      </c>
      <c r="FX10" s="7">
        <v>3877907</v>
      </c>
      <c r="FY10" s="7">
        <v>3488674</v>
      </c>
      <c r="FZ10" s="7">
        <v>4173220</v>
      </c>
      <c r="GA10" s="7">
        <v>4535881</v>
      </c>
      <c r="GB10" s="7">
        <v>4569045</v>
      </c>
      <c r="GC10" s="7">
        <v>4704629</v>
      </c>
      <c r="GD10" s="7">
        <v>4670994</v>
      </c>
      <c r="GE10" s="7">
        <v>4637608</v>
      </c>
      <c r="GF10" s="7">
        <v>4286590</v>
      </c>
      <c r="GG10" s="7">
        <v>4127715</v>
      </c>
      <c r="GH10" s="7">
        <v>4237844</v>
      </c>
      <c r="GI10" s="7">
        <v>4108100</v>
      </c>
      <c r="GJ10" s="7">
        <v>4285886</v>
      </c>
      <c r="GK10" s="7">
        <v>4158349</v>
      </c>
      <c r="GL10" s="7">
        <v>4257599</v>
      </c>
      <c r="GM10" s="7">
        <v>4451053</v>
      </c>
      <c r="GN10" s="7">
        <v>4207541</v>
      </c>
      <c r="GO10" s="7">
        <v>4513819</v>
      </c>
      <c r="GP10" s="7">
        <v>4793020</v>
      </c>
      <c r="GQ10" s="7">
        <v>4214277</v>
      </c>
      <c r="GR10" s="7">
        <v>4136385</v>
      </c>
      <c r="GS10" s="7">
        <v>4706421</v>
      </c>
      <c r="GT10" s="7">
        <v>4778771</v>
      </c>
      <c r="GU10" s="7">
        <v>4978607</v>
      </c>
      <c r="GV10" s="7">
        <v>4862278</v>
      </c>
      <c r="GW10" s="7">
        <v>5209013</v>
      </c>
      <c r="GX10" s="7">
        <v>5049559</v>
      </c>
      <c r="GY10" s="7">
        <v>5669225</v>
      </c>
      <c r="GZ10" s="7">
        <v>5300765</v>
      </c>
      <c r="HA10" s="7">
        <v>5456802</v>
      </c>
      <c r="HB10" s="7">
        <v>5160654</v>
      </c>
      <c r="HC10" s="7">
        <v>4709222</v>
      </c>
      <c r="HD10" s="7">
        <v>4584149</v>
      </c>
      <c r="HE10" s="7">
        <v>4239021</v>
      </c>
      <c r="HF10" s="7">
        <v>4589974</v>
      </c>
      <c r="HG10" s="7">
        <v>4509878</v>
      </c>
      <c r="HH10" s="7">
        <v>5015211</v>
      </c>
      <c r="HI10" s="7">
        <v>5629231</v>
      </c>
      <c r="HJ10" s="7">
        <v>5961930</v>
      </c>
      <c r="HK10" s="7">
        <v>5844674</v>
      </c>
      <c r="HL10" s="7">
        <v>5313447</v>
      </c>
      <c r="HM10" s="7">
        <v>5749985</v>
      </c>
      <c r="HN10" s="7">
        <v>5995748</v>
      </c>
      <c r="HO10" s="7">
        <v>6452606</v>
      </c>
      <c r="HP10" s="7">
        <v>5874774</v>
      </c>
      <c r="HQ10" s="7">
        <v>5087549</v>
      </c>
      <c r="HR10" s="7">
        <v>5086454</v>
      </c>
      <c r="HS10" s="7">
        <v>5522555</v>
      </c>
      <c r="HT10" s="7">
        <v>5241736</v>
      </c>
      <c r="HU10" s="7">
        <v>6132164</v>
      </c>
      <c r="HV10" s="7">
        <v>5888989</v>
      </c>
      <c r="HW10" s="7">
        <v>5244379</v>
      </c>
      <c r="HX10" s="7">
        <v>5501981</v>
      </c>
      <c r="HY10" s="7">
        <v>5532865</v>
      </c>
      <c r="HZ10" s="7">
        <v>5430745</v>
      </c>
      <c r="IA10" s="7">
        <v>4978029</v>
      </c>
      <c r="IB10" s="7">
        <v>5347729</v>
      </c>
      <c r="IC10" s="7">
        <v>6475461</v>
      </c>
      <c r="ID10" s="7">
        <v>5196014</v>
      </c>
      <c r="IE10" s="7">
        <v>5209118</v>
      </c>
      <c r="IF10" s="7">
        <v>5036920</v>
      </c>
      <c r="IG10" s="7">
        <v>4864547</v>
      </c>
      <c r="IH10" s="7">
        <v>5230683</v>
      </c>
      <c r="II10" s="7">
        <v>4920428</v>
      </c>
      <c r="IJ10" s="7">
        <v>5317494</v>
      </c>
      <c r="IK10" s="7">
        <v>5633831</v>
      </c>
      <c r="IL10" s="7">
        <v>5087846</v>
      </c>
      <c r="IM10" s="7">
        <v>4919790</v>
      </c>
      <c r="IN10" s="7">
        <v>4874140</v>
      </c>
      <c r="IO10" s="7">
        <v>5336948</v>
      </c>
      <c r="IP10" s="7">
        <v>5743987</v>
      </c>
      <c r="IQ10" s="7">
        <v>6034911</v>
      </c>
      <c r="IR10" s="7">
        <v>6297037</v>
      </c>
      <c r="IS10" s="7">
        <v>6117688</v>
      </c>
      <c r="IT10" s="7">
        <v>6300172</v>
      </c>
      <c r="IU10" s="7">
        <v>5815599</v>
      </c>
      <c r="IV10" s="7">
        <v>5878235</v>
      </c>
      <c r="IW10" s="7">
        <v>6150888</v>
      </c>
      <c r="IX10" s="7">
        <v>6945442</v>
      </c>
      <c r="IY10" s="7">
        <v>7008007</v>
      </c>
      <c r="IZ10" s="7">
        <v>7909224</v>
      </c>
      <c r="JA10" s="7">
        <v>7211683</v>
      </c>
      <c r="JB10" s="7">
        <v>7242428</v>
      </c>
      <c r="JC10" s="7">
        <v>7037712</v>
      </c>
      <c r="JD10" s="7">
        <v>7096525</v>
      </c>
      <c r="JE10" s="7">
        <v>7574108</v>
      </c>
      <c r="JF10" s="7">
        <v>7941086</v>
      </c>
      <c r="JG10" s="7">
        <v>7210051</v>
      </c>
      <c r="JH10" s="7">
        <v>7570781</v>
      </c>
      <c r="JI10" s="7">
        <v>6897649</v>
      </c>
      <c r="JJ10" s="7">
        <v>7374898</v>
      </c>
      <c r="JK10" s="7">
        <v>6582257</v>
      </c>
      <c r="JL10" s="7">
        <v>6544293</v>
      </c>
      <c r="JM10" s="7">
        <v>6606830</v>
      </c>
      <c r="JN10" s="7">
        <v>6383209</v>
      </c>
      <c r="JO10" s="7">
        <v>6208576</v>
      </c>
      <c r="JP10" s="7">
        <v>6860013</v>
      </c>
      <c r="JQ10" s="7">
        <v>6491522</v>
      </c>
      <c r="JR10" s="7">
        <v>6551424</v>
      </c>
      <c r="JS10" s="7">
        <v>6493873</v>
      </c>
      <c r="JT10" s="7">
        <v>6529219</v>
      </c>
      <c r="JU10" s="7">
        <v>6577664</v>
      </c>
      <c r="JV10" s="7">
        <v>7142913</v>
      </c>
      <c r="JW10" s="7">
        <v>6831249</v>
      </c>
      <c r="JX10" s="7">
        <v>6713521</v>
      </c>
      <c r="JY10" s="7">
        <v>6278732</v>
      </c>
      <c r="JZ10" s="7">
        <v>6781258</v>
      </c>
      <c r="KA10" s="7">
        <v>6907991</v>
      </c>
      <c r="KB10" s="7">
        <v>6886619</v>
      </c>
      <c r="KC10" s="7">
        <v>6738224</v>
      </c>
      <c r="KD10" s="7">
        <v>6846525</v>
      </c>
      <c r="KE10" s="7">
        <v>6681236</v>
      </c>
      <c r="KF10" s="7">
        <v>6817764</v>
      </c>
      <c r="KG10" s="7">
        <v>6878649</v>
      </c>
      <c r="KH10" s="7">
        <v>7532310</v>
      </c>
      <c r="KI10" s="7">
        <v>7132184</v>
      </c>
      <c r="KJ10" s="7">
        <v>7222418</v>
      </c>
      <c r="KK10" s="7">
        <v>6912772</v>
      </c>
      <c r="KL10" s="7">
        <v>6927221</v>
      </c>
      <c r="KM10" s="7">
        <v>7058908</v>
      </c>
      <c r="KN10" s="7">
        <v>7110612</v>
      </c>
      <c r="KO10" s="7">
        <v>7539173</v>
      </c>
      <c r="KP10" s="7">
        <v>7661704</v>
      </c>
      <c r="KQ10" s="7">
        <v>8927040</v>
      </c>
      <c r="KR10" s="7">
        <v>9300659</v>
      </c>
      <c r="KS10" s="7">
        <v>9043566</v>
      </c>
      <c r="KT10" s="7">
        <v>10270708</v>
      </c>
      <c r="KU10" s="7">
        <v>9522696</v>
      </c>
      <c r="KV10" s="7">
        <v>9353794</v>
      </c>
      <c r="KW10" s="7">
        <v>9082143</v>
      </c>
      <c r="KX10" s="7">
        <v>10913338</v>
      </c>
      <c r="KY10" s="7">
        <v>10763937</v>
      </c>
      <c r="KZ10" s="7">
        <v>10898765</v>
      </c>
    </row>
    <row r="11" spans="1:312">
      <c r="A11" s="6" t="s">
        <v>315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>
        <v>14.9</v>
      </c>
      <c r="BC11" s="7">
        <v>-8.5</v>
      </c>
      <c r="BD11" s="7">
        <v>-1.4</v>
      </c>
      <c r="BE11" s="7">
        <v>4.7</v>
      </c>
      <c r="BF11" s="7">
        <v>-0.7</v>
      </c>
      <c r="BG11" s="7">
        <v>2.1</v>
      </c>
      <c r="BH11" s="7">
        <v>6.4</v>
      </c>
      <c r="BI11" s="7">
        <v>1.8</v>
      </c>
      <c r="BJ11" s="7">
        <v>0.7</v>
      </c>
      <c r="BK11" s="7">
        <v>7.7</v>
      </c>
      <c r="BL11" s="7">
        <v>2.8</v>
      </c>
      <c r="BM11" s="7">
        <v>-6.8</v>
      </c>
      <c r="BN11" s="7">
        <v>7.1</v>
      </c>
      <c r="BO11" s="7">
        <v>-4.5</v>
      </c>
      <c r="BP11" s="7">
        <v>17.1</v>
      </c>
      <c r="BQ11" s="7">
        <v>3.5</v>
      </c>
      <c r="BR11" s="7">
        <v>4.7</v>
      </c>
      <c r="BS11" s="7">
        <v>9.4</v>
      </c>
      <c r="BT11" s="7">
        <v>9.9</v>
      </c>
      <c r="BU11" s="7">
        <v>26.2</v>
      </c>
      <c r="BV11" s="7">
        <v>-3.3</v>
      </c>
      <c r="BW11" s="7">
        <v>12</v>
      </c>
      <c r="BX11" s="7">
        <v>-4.1</v>
      </c>
      <c r="BY11" s="7">
        <v>-0.3</v>
      </c>
      <c r="BZ11" s="7">
        <v>24.8</v>
      </c>
      <c r="CA11" s="7">
        <v>-9.8</v>
      </c>
      <c r="CB11" s="7">
        <v>14.5</v>
      </c>
      <c r="CC11" s="7">
        <v>-9.9</v>
      </c>
      <c r="CD11" s="7">
        <v>16.2</v>
      </c>
      <c r="CE11" s="7"/>
      <c r="CF11" s="7">
        <v>7.9</v>
      </c>
      <c r="CG11" s="7">
        <v>5</v>
      </c>
      <c r="CH11" s="7">
        <v>4.1</v>
      </c>
      <c r="CI11" s="7">
        <v>-2.2</v>
      </c>
      <c r="CJ11" s="7">
        <v>-12.3</v>
      </c>
      <c r="CK11" s="7">
        <v>-0.9</v>
      </c>
      <c r="CL11" s="7">
        <v>-2.1</v>
      </c>
      <c r="CM11" s="7">
        <v>2.9</v>
      </c>
      <c r="CN11" s="7">
        <v>2.4</v>
      </c>
      <c r="CO11" s="7">
        <v>-2.4</v>
      </c>
      <c r="CP11" s="7">
        <v>1.4</v>
      </c>
      <c r="CQ11" s="7">
        <v>2.3</v>
      </c>
      <c r="CR11" s="7">
        <v>-1.2</v>
      </c>
      <c r="CS11" s="7">
        <v>-2.2</v>
      </c>
      <c r="CT11" s="7">
        <v>-1.3</v>
      </c>
      <c r="CU11" s="7">
        <v>4.5</v>
      </c>
      <c r="CV11" s="7">
        <v>-5.5</v>
      </c>
      <c r="CW11" s="7">
        <v>-14.1</v>
      </c>
      <c r="CX11" s="7">
        <v>18.8</v>
      </c>
      <c r="CY11" s="7">
        <v>34.4</v>
      </c>
      <c r="CZ11" s="7">
        <v>11.1</v>
      </c>
      <c r="DA11" s="7">
        <v>-7.4</v>
      </c>
      <c r="DB11" s="7">
        <v>-2.2</v>
      </c>
      <c r="DC11" s="7">
        <v>-0.8</v>
      </c>
      <c r="DD11" s="7">
        <v>-5.1</v>
      </c>
      <c r="DE11" s="7">
        <v>13.3</v>
      </c>
      <c r="DF11" s="7">
        <v>-2.8</v>
      </c>
      <c r="DG11" s="7">
        <v>5.2</v>
      </c>
      <c r="DH11" s="7">
        <v>-7.3</v>
      </c>
      <c r="DI11" s="7">
        <v>-8.2</v>
      </c>
      <c r="DJ11" s="7">
        <v>4.6</v>
      </c>
      <c r="DK11" s="7">
        <v>4.3</v>
      </c>
      <c r="DL11" s="7">
        <v>-0.2</v>
      </c>
      <c r="DM11" s="7">
        <v>-0.7</v>
      </c>
      <c r="DN11" s="7">
        <v>1</v>
      </c>
      <c r="DO11" s="7">
        <v>0.5</v>
      </c>
      <c r="DP11" s="7">
        <v>7.8</v>
      </c>
      <c r="DQ11" s="7">
        <v>-7</v>
      </c>
      <c r="DR11" s="7">
        <v>4.9</v>
      </c>
      <c r="DS11" s="7">
        <v>-0.2</v>
      </c>
      <c r="DT11" s="7">
        <v>7.1</v>
      </c>
      <c r="DU11" s="7">
        <v>-12.6</v>
      </c>
      <c r="DV11" s="7">
        <v>5.9</v>
      </c>
      <c r="DW11" s="7">
        <v>2.5</v>
      </c>
      <c r="DX11" s="7">
        <v>-2.4</v>
      </c>
      <c r="DY11" s="7">
        <v>9.7</v>
      </c>
      <c r="DZ11" s="7">
        <v>-0.1</v>
      </c>
      <c r="EA11" s="7">
        <v>-1.8</v>
      </c>
      <c r="EB11" s="7">
        <v>2.2</v>
      </c>
      <c r="EC11" s="7">
        <v>5.9</v>
      </c>
      <c r="ED11" s="7">
        <v>5</v>
      </c>
      <c r="EE11" s="7"/>
      <c r="EF11" s="7">
        <v>9.7</v>
      </c>
      <c r="EG11" s="7">
        <v>-1.3</v>
      </c>
      <c r="EH11" s="7">
        <v>-3.4</v>
      </c>
      <c r="EI11" s="7">
        <v>15.6</v>
      </c>
      <c r="EJ11" s="7">
        <v>3.8</v>
      </c>
      <c r="EK11" s="7">
        <v>-10.9</v>
      </c>
      <c r="EL11" s="7">
        <v>8.3</v>
      </c>
      <c r="EM11" s="7">
        <v>-2.3</v>
      </c>
      <c r="EN11" s="7">
        <v>6.9</v>
      </c>
      <c r="EO11" s="7">
        <v>-15.5</v>
      </c>
      <c r="EP11" s="7">
        <v>-3.4</v>
      </c>
      <c r="EQ11" s="7">
        <v>5.7</v>
      </c>
      <c r="ER11" s="7">
        <v>-3.1</v>
      </c>
      <c r="ES11" s="7">
        <v>-4.4</v>
      </c>
      <c r="ET11" s="7">
        <v>7</v>
      </c>
      <c r="EU11" s="7">
        <v>-5.7</v>
      </c>
      <c r="EV11" s="7">
        <v>-4.1</v>
      </c>
      <c r="EW11" s="7">
        <v>10.8</v>
      </c>
      <c r="EX11" s="7">
        <v>-2.2</v>
      </c>
      <c r="EY11" s="7">
        <v>7.3</v>
      </c>
      <c r="EZ11" s="7">
        <v>2.4</v>
      </c>
      <c r="FA11" s="7">
        <v>0.3</v>
      </c>
      <c r="FB11" s="7">
        <v>-5.9</v>
      </c>
      <c r="FC11" s="7">
        <v>-4.3</v>
      </c>
      <c r="FD11" s="7">
        <v>-0.3</v>
      </c>
      <c r="FE11" s="7">
        <v>-6</v>
      </c>
      <c r="FF11" s="7">
        <v>8</v>
      </c>
      <c r="FG11" s="7">
        <v>1.7</v>
      </c>
      <c r="FH11" s="7">
        <v>13.6</v>
      </c>
      <c r="FI11" s="7">
        <v>5</v>
      </c>
      <c r="FJ11" s="7">
        <v>2.4</v>
      </c>
      <c r="FK11" s="7">
        <v>-2</v>
      </c>
      <c r="FL11" s="7">
        <v>3.9</v>
      </c>
      <c r="FM11" s="7">
        <v>3.1</v>
      </c>
      <c r="FN11" s="7">
        <v>-2.9</v>
      </c>
      <c r="FO11" s="7">
        <v>1.3</v>
      </c>
      <c r="FP11" s="7">
        <v>2.2</v>
      </c>
      <c r="FQ11" s="7">
        <v>-7.5</v>
      </c>
      <c r="FR11" s="7"/>
      <c r="FS11" s="7">
        <v>-9</v>
      </c>
      <c r="FT11" s="7">
        <v>1.5</v>
      </c>
      <c r="FU11" s="7">
        <v>1.7</v>
      </c>
      <c r="FV11" s="7">
        <v>4.2</v>
      </c>
      <c r="FW11" s="7">
        <v>7.6</v>
      </c>
      <c r="FX11" s="7">
        <v>11.1</v>
      </c>
      <c r="FY11" s="7">
        <v>-10</v>
      </c>
      <c r="FZ11" s="7">
        <v>19.6</v>
      </c>
      <c r="GA11" s="7">
        <v>8.7</v>
      </c>
      <c r="GB11" s="7">
        <v>0.7</v>
      </c>
      <c r="GC11" s="7">
        <v>3</v>
      </c>
      <c r="GD11" s="7">
        <v>-0.7</v>
      </c>
      <c r="GE11" s="7">
        <v>-0.7</v>
      </c>
      <c r="GF11" s="7">
        <v>-7.6</v>
      </c>
      <c r="GG11" s="7">
        <v>-3.7</v>
      </c>
      <c r="GH11" s="7">
        <v>2.7</v>
      </c>
      <c r="GI11" s="7">
        <v>-3.1</v>
      </c>
      <c r="GJ11" s="7">
        <v>4.3</v>
      </c>
      <c r="GK11" s="7">
        <v>-3</v>
      </c>
      <c r="GL11" s="7">
        <v>2.4</v>
      </c>
      <c r="GM11" s="7">
        <v>4.5</v>
      </c>
      <c r="GN11" s="7">
        <v>-5.5</v>
      </c>
      <c r="GO11" s="7">
        <v>7.3</v>
      </c>
      <c r="GP11" s="7">
        <v>6.2</v>
      </c>
      <c r="GQ11" s="7">
        <v>-12.1</v>
      </c>
      <c r="GR11" s="7">
        <v>-1.8</v>
      </c>
      <c r="GS11" s="7">
        <v>13.8</v>
      </c>
      <c r="GT11" s="7">
        <v>1.5</v>
      </c>
      <c r="GU11" s="7">
        <v>4.2</v>
      </c>
      <c r="GV11" s="7">
        <v>-2.3</v>
      </c>
      <c r="GW11" s="7">
        <v>7.1</v>
      </c>
      <c r="GX11" s="7">
        <v>-3.1</v>
      </c>
      <c r="GY11" s="7">
        <v>12.3</v>
      </c>
      <c r="GZ11" s="7">
        <v>-6.5</v>
      </c>
      <c r="HA11" s="7">
        <v>2.9</v>
      </c>
      <c r="HB11" s="7">
        <v>-5.4</v>
      </c>
      <c r="HC11" s="7">
        <v>-8.8</v>
      </c>
      <c r="HD11" s="7">
        <v>-2.7</v>
      </c>
      <c r="HE11" s="7">
        <v>-7.5</v>
      </c>
      <c r="HF11" s="7">
        <v>8.3</v>
      </c>
      <c r="HG11" s="7">
        <v>-1.7</v>
      </c>
      <c r="HH11" s="7">
        <v>11.2</v>
      </c>
      <c r="HI11" s="7">
        <v>12.2</v>
      </c>
      <c r="HJ11" s="7">
        <v>5.9</v>
      </c>
      <c r="HK11" s="7">
        <v>-2</v>
      </c>
      <c r="HL11" s="7">
        <v>-9.1</v>
      </c>
      <c r="HM11" s="7">
        <v>8.2</v>
      </c>
      <c r="HN11" s="7">
        <v>4.3</v>
      </c>
      <c r="HO11" s="7">
        <v>7.6</v>
      </c>
      <c r="HP11" s="7">
        <v>-9</v>
      </c>
      <c r="HQ11" s="7">
        <v>-13.4</v>
      </c>
      <c r="HR11" s="7"/>
      <c r="HS11" s="7">
        <v>8.6</v>
      </c>
      <c r="HT11" s="7">
        <v>-5.1</v>
      </c>
      <c r="HU11" s="7">
        <v>17</v>
      </c>
      <c r="HV11" s="7">
        <v>-4</v>
      </c>
      <c r="HW11" s="7">
        <v>-10.9</v>
      </c>
      <c r="HX11" s="7">
        <v>4.9</v>
      </c>
      <c r="HY11" s="7">
        <v>0.6</v>
      </c>
      <c r="HZ11" s="7">
        <v>-1.8</v>
      </c>
      <c r="IA11" s="7">
        <v>-8.3</v>
      </c>
      <c r="IB11" s="7">
        <v>7.4</v>
      </c>
      <c r="IC11" s="7">
        <v>21.1</v>
      </c>
      <c r="ID11" s="7">
        <v>-19.8</v>
      </c>
      <c r="IE11" s="7">
        <v>0.3</v>
      </c>
      <c r="IF11" s="7">
        <v>-3.3</v>
      </c>
      <c r="IG11" s="7">
        <v>-3.4</v>
      </c>
      <c r="IH11" s="7">
        <v>7.5</v>
      </c>
      <c r="II11" s="7">
        <v>-5.9</v>
      </c>
      <c r="IJ11" s="7">
        <v>8.1</v>
      </c>
      <c r="IK11" s="7">
        <v>5.9</v>
      </c>
      <c r="IL11" s="7">
        <v>-9.7</v>
      </c>
      <c r="IM11" s="7">
        <v>-3.3</v>
      </c>
      <c r="IN11" s="7">
        <v>-0.9</v>
      </c>
      <c r="IO11" s="7">
        <v>9.5</v>
      </c>
      <c r="IP11" s="7">
        <v>7.6</v>
      </c>
      <c r="IQ11" s="7">
        <v>5.1</v>
      </c>
      <c r="IR11" s="7">
        <v>4.3</v>
      </c>
      <c r="IS11" s="7">
        <v>-2.8</v>
      </c>
      <c r="IT11" s="7">
        <v>3</v>
      </c>
      <c r="IU11" s="7">
        <v>-7.7</v>
      </c>
      <c r="IV11" s="7">
        <v>1.1</v>
      </c>
      <c r="IW11" s="7">
        <v>4.6</v>
      </c>
      <c r="IX11" s="7">
        <v>12.9</v>
      </c>
      <c r="IY11" s="7">
        <v>0.9</v>
      </c>
      <c r="IZ11" s="7">
        <v>12.9</v>
      </c>
      <c r="JA11" s="7">
        <v>-8.8</v>
      </c>
      <c r="JB11" s="7">
        <v>0.4</v>
      </c>
      <c r="JC11" s="7">
        <v>-2.8</v>
      </c>
      <c r="JD11" s="7">
        <v>0.8</v>
      </c>
      <c r="JE11" s="7">
        <v>6.7</v>
      </c>
      <c r="JF11" s="7">
        <v>4.8</v>
      </c>
      <c r="JG11" s="7">
        <v>-9.2</v>
      </c>
      <c r="JH11" s="7">
        <v>5</v>
      </c>
      <c r="JI11" s="7">
        <v>-8.9</v>
      </c>
      <c r="JJ11" s="7">
        <v>6.9</v>
      </c>
      <c r="JK11" s="7">
        <v>-10.7</v>
      </c>
      <c r="JL11" s="7">
        <v>-0.6</v>
      </c>
      <c r="JM11" s="7">
        <v>1</v>
      </c>
      <c r="JN11" s="7">
        <v>-3.4</v>
      </c>
      <c r="JO11" s="7">
        <v>-2.7</v>
      </c>
      <c r="JP11" s="7">
        <v>10.5</v>
      </c>
      <c r="JQ11" s="7">
        <v>-5.4</v>
      </c>
      <c r="JR11" s="7">
        <v>0.9</v>
      </c>
      <c r="JS11" s="7">
        <v>-0.9</v>
      </c>
      <c r="JT11" s="7">
        <v>0.5</v>
      </c>
      <c r="JU11" s="7">
        <v>0.7</v>
      </c>
      <c r="JV11" s="7">
        <v>8.6</v>
      </c>
      <c r="JW11" s="7">
        <v>-4.4</v>
      </c>
      <c r="JX11" s="7">
        <v>-1.7</v>
      </c>
      <c r="JY11" s="7">
        <v>-6.5</v>
      </c>
      <c r="JZ11" s="7">
        <v>8</v>
      </c>
      <c r="KA11" s="7">
        <v>1.9</v>
      </c>
      <c r="KB11" s="7">
        <v>-0.3</v>
      </c>
      <c r="KC11" s="7">
        <v>-2.2</v>
      </c>
      <c r="KD11" s="7">
        <v>1.6</v>
      </c>
      <c r="KE11" s="7">
        <v>-2.4</v>
      </c>
      <c r="KF11" s="7">
        <v>2</v>
      </c>
      <c r="KG11" s="7">
        <v>0.9</v>
      </c>
      <c r="KH11" s="7">
        <v>9.5</v>
      </c>
      <c r="KI11" s="7">
        <v>-5.3</v>
      </c>
      <c r="KJ11" s="7">
        <v>1.3</v>
      </c>
      <c r="KK11" s="7">
        <v>-4.3</v>
      </c>
      <c r="KL11" s="7">
        <v>0.2</v>
      </c>
      <c r="KM11" s="7">
        <v>1.9</v>
      </c>
      <c r="KN11" s="7">
        <v>0.7</v>
      </c>
      <c r="KO11" s="7">
        <v>6</v>
      </c>
      <c r="KP11" s="7">
        <v>1.6</v>
      </c>
      <c r="KQ11" s="7">
        <v>16.5</v>
      </c>
      <c r="KR11" s="7">
        <v>4.2</v>
      </c>
      <c r="KS11" s="7">
        <v>-2.8</v>
      </c>
      <c r="KT11" s="7">
        <v>13.6</v>
      </c>
      <c r="KU11" s="7">
        <v>-7.3</v>
      </c>
      <c r="KV11" s="7">
        <v>-1.8</v>
      </c>
      <c r="KW11" s="7">
        <v>-2.9</v>
      </c>
      <c r="KX11" s="7">
        <v>20.2</v>
      </c>
      <c r="KY11" s="7">
        <v>-1.4</v>
      </c>
      <c r="KZ11" s="7">
        <v>1.3</v>
      </c>
    </row>
    <row r="12" spans="1:312">
      <c r="A12" s="6" t="s">
        <v>316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>
        <v>67.9</v>
      </c>
      <c r="BC12" s="7">
        <v>-8.5</v>
      </c>
      <c r="BD12" s="7">
        <v>-9.8</v>
      </c>
      <c r="BE12" s="7">
        <v>-5.6</v>
      </c>
      <c r="BF12" s="7">
        <v>-6.3</v>
      </c>
      <c r="BG12" s="7">
        <v>-4.3</v>
      </c>
      <c r="BH12" s="7">
        <v>1.8</v>
      </c>
      <c r="BI12" s="7">
        <v>3.7</v>
      </c>
      <c r="BJ12" s="7">
        <v>4.4</v>
      </c>
      <c r="BK12" s="7">
        <v>12.5</v>
      </c>
      <c r="BL12" s="7">
        <v>15.6</v>
      </c>
      <c r="BM12" s="7">
        <v>7.8</v>
      </c>
      <c r="BN12" s="7">
        <v>15.4</v>
      </c>
      <c r="BO12" s="7">
        <v>-4.5</v>
      </c>
      <c r="BP12" s="7">
        <v>11.9</v>
      </c>
      <c r="BQ12" s="7">
        <v>15.8</v>
      </c>
      <c r="BR12" s="7">
        <v>21.3</v>
      </c>
      <c r="BS12" s="7">
        <v>32.6</v>
      </c>
      <c r="BT12" s="7">
        <v>45.8</v>
      </c>
      <c r="BU12" s="7">
        <v>84</v>
      </c>
      <c r="BV12" s="7">
        <v>77.8</v>
      </c>
      <c r="BW12" s="7">
        <v>99.2</v>
      </c>
      <c r="BX12" s="7">
        <v>91</v>
      </c>
      <c r="BY12" s="7">
        <v>90.5</v>
      </c>
      <c r="BZ12" s="7">
        <v>137.7</v>
      </c>
      <c r="CA12" s="7">
        <v>-9.8</v>
      </c>
      <c r="CB12" s="7">
        <v>3.3</v>
      </c>
      <c r="CC12" s="7">
        <v>-6.9</v>
      </c>
      <c r="CD12" s="7">
        <v>8.2</v>
      </c>
      <c r="CE12" s="7">
        <v>8.2</v>
      </c>
      <c r="CF12" s="7">
        <v>16.7</v>
      </c>
      <c r="CG12" s="7">
        <v>22.5</v>
      </c>
      <c r="CH12" s="7">
        <v>27.5</v>
      </c>
      <c r="CI12" s="7">
        <v>24.7</v>
      </c>
      <c r="CJ12" s="7">
        <v>9.4</v>
      </c>
      <c r="CK12" s="7">
        <v>8.4</v>
      </c>
      <c r="CL12" s="7">
        <v>6.2</v>
      </c>
      <c r="CM12" s="7">
        <v>2.9</v>
      </c>
      <c r="CN12" s="7">
        <v>5.3</v>
      </c>
      <c r="CO12" s="7">
        <v>2.8</v>
      </c>
      <c r="CP12" s="7">
        <v>4.2</v>
      </c>
      <c r="CQ12" s="7">
        <v>6.7</v>
      </c>
      <c r="CR12" s="7">
        <v>5.4</v>
      </c>
      <c r="CS12" s="7">
        <v>3.1</v>
      </c>
      <c r="CT12" s="7">
        <v>1.7</v>
      </c>
      <c r="CU12" s="7">
        <v>6.4</v>
      </c>
      <c r="CV12" s="7">
        <v>0.5</v>
      </c>
      <c r="CW12" s="7">
        <v>-13.6</v>
      </c>
      <c r="CX12" s="7">
        <v>2.6</v>
      </c>
      <c r="CY12" s="7">
        <v>34.4</v>
      </c>
      <c r="CZ12" s="7">
        <v>49.3</v>
      </c>
      <c r="DA12" s="7">
        <v>38.2</v>
      </c>
      <c r="DB12" s="7">
        <v>35.2</v>
      </c>
      <c r="DC12" s="7">
        <v>34.1</v>
      </c>
      <c r="DD12" s="7">
        <v>27.3</v>
      </c>
      <c r="DE12" s="7">
        <v>44.3</v>
      </c>
      <c r="DF12" s="7">
        <v>40.2</v>
      </c>
      <c r="DG12" s="7">
        <v>47.5</v>
      </c>
      <c r="DH12" s="7">
        <v>36.8</v>
      </c>
      <c r="DI12" s="7">
        <v>25.7</v>
      </c>
      <c r="DJ12" s="7">
        <v>31.5</v>
      </c>
      <c r="DK12" s="7">
        <v>4.3</v>
      </c>
      <c r="DL12" s="7">
        <v>4.1</v>
      </c>
      <c r="DM12" s="7">
        <v>3.3</v>
      </c>
      <c r="DN12" s="7">
        <v>4.4</v>
      </c>
      <c r="DO12" s="7">
        <v>4.9</v>
      </c>
      <c r="DP12" s="7">
        <v>13.1</v>
      </c>
      <c r="DQ12" s="7">
        <v>5.2</v>
      </c>
      <c r="DR12" s="7">
        <v>10.4</v>
      </c>
      <c r="DS12" s="7">
        <v>10.2</v>
      </c>
      <c r="DT12" s="7">
        <v>18.1</v>
      </c>
      <c r="DU12" s="7">
        <v>3.1</v>
      </c>
      <c r="DV12" s="7">
        <v>9.2</v>
      </c>
      <c r="DW12" s="7">
        <v>2.5</v>
      </c>
      <c r="DX12" s="7"/>
      <c r="DY12" s="7">
        <v>9.7</v>
      </c>
      <c r="DZ12" s="7">
        <v>9.7</v>
      </c>
      <c r="EA12" s="7">
        <v>7.7</v>
      </c>
      <c r="EB12" s="7">
        <v>10</v>
      </c>
      <c r="EC12" s="7">
        <v>16.5</v>
      </c>
      <c r="ED12" s="7">
        <v>22.3</v>
      </c>
      <c r="EE12" s="7">
        <v>22.3</v>
      </c>
      <c r="EF12" s="7">
        <v>34.2</v>
      </c>
      <c r="EG12" s="7">
        <v>32.4</v>
      </c>
      <c r="EH12" s="7">
        <v>27.9</v>
      </c>
      <c r="EI12" s="7">
        <v>15.6</v>
      </c>
      <c r="EJ12" s="7">
        <v>20</v>
      </c>
      <c r="EK12" s="7">
        <v>6.9</v>
      </c>
      <c r="EL12" s="7">
        <v>15.7</v>
      </c>
      <c r="EM12" s="7">
        <v>13.1</v>
      </c>
      <c r="EN12" s="7">
        <v>20.9</v>
      </c>
      <c r="EO12" s="7">
        <v>2.1</v>
      </c>
      <c r="EP12" s="7">
        <v>-1.4</v>
      </c>
      <c r="EQ12" s="7">
        <v>4.2</v>
      </c>
      <c r="ER12" s="7">
        <v>1</v>
      </c>
      <c r="ES12" s="7">
        <v>-3.5</v>
      </c>
      <c r="ET12" s="7">
        <v>3.3</v>
      </c>
      <c r="EU12" s="7">
        <v>-5.7</v>
      </c>
      <c r="EV12" s="7">
        <v>-9.6</v>
      </c>
      <c r="EW12" s="7">
        <v>0.2</v>
      </c>
      <c r="EX12" s="7">
        <v>-2</v>
      </c>
      <c r="EY12" s="7">
        <v>5.1</v>
      </c>
      <c r="EZ12" s="7">
        <v>7.7</v>
      </c>
      <c r="FA12" s="7">
        <v>8</v>
      </c>
      <c r="FB12" s="7">
        <v>1.6</v>
      </c>
      <c r="FC12" s="7">
        <v>-2.8</v>
      </c>
      <c r="FD12" s="7">
        <v>-3</v>
      </c>
      <c r="FE12" s="7">
        <v>-8.8</v>
      </c>
      <c r="FF12" s="7">
        <v>-1.6</v>
      </c>
      <c r="FG12" s="7">
        <v>1.7</v>
      </c>
      <c r="FH12" s="7">
        <v>15.5</v>
      </c>
      <c r="FI12" s="7">
        <v>21.3</v>
      </c>
      <c r="FJ12" s="7">
        <v>24.2</v>
      </c>
      <c r="FK12" s="7">
        <v>21.8</v>
      </c>
      <c r="FL12" s="7">
        <v>26.5</v>
      </c>
      <c r="FM12" s="7">
        <v>30.4</v>
      </c>
      <c r="FN12" s="7">
        <v>26.7</v>
      </c>
      <c r="FO12" s="7">
        <v>28.3</v>
      </c>
      <c r="FP12" s="7">
        <v>31.1</v>
      </c>
      <c r="FQ12" s="7">
        <v>21.4</v>
      </c>
      <c r="FR12" s="7">
        <v>18.9</v>
      </c>
      <c r="FS12" s="7">
        <v>-9</v>
      </c>
      <c r="FT12" s="7">
        <v>-7.6</v>
      </c>
      <c r="FU12" s="7">
        <v>-6.1</v>
      </c>
      <c r="FV12" s="7">
        <v>-2.1</v>
      </c>
      <c r="FW12" s="7">
        <v>5.3</v>
      </c>
      <c r="FX12" s="7">
        <v>17</v>
      </c>
      <c r="FY12" s="7">
        <v>5.3</v>
      </c>
      <c r="FZ12" s="7">
        <v>26</v>
      </c>
      <c r="GA12" s="7">
        <v>36.9</v>
      </c>
      <c r="GB12" s="7">
        <v>37.9</v>
      </c>
      <c r="GC12" s="7">
        <v>42</v>
      </c>
      <c r="GD12" s="7">
        <v>41</v>
      </c>
      <c r="GE12" s="7">
        <v>-0.7</v>
      </c>
      <c r="GF12" s="7">
        <v>-8.2</v>
      </c>
      <c r="GG12" s="7">
        <v>-11.6</v>
      </c>
      <c r="GH12" s="7">
        <v>-9.3</v>
      </c>
      <c r="GI12" s="7">
        <v>-12</v>
      </c>
      <c r="GJ12" s="7">
        <v>-8.2</v>
      </c>
      <c r="GK12" s="7">
        <v>-11</v>
      </c>
      <c r="GL12" s="7">
        <v>-8.9</v>
      </c>
      <c r="GM12" s="7">
        <v>-4.7</v>
      </c>
      <c r="GN12" s="7">
        <v>-9.9</v>
      </c>
      <c r="GO12" s="7">
        <v>-3.4</v>
      </c>
      <c r="GP12" s="7">
        <v>2.6</v>
      </c>
      <c r="GQ12" s="7">
        <v>-12.1</v>
      </c>
      <c r="GR12" s="7">
        <v>-13.7</v>
      </c>
      <c r="GS12" s="7">
        <v>-1.8</v>
      </c>
      <c r="GT12" s="7">
        <v>-0.3</v>
      </c>
      <c r="GU12" s="7">
        <v>3.9</v>
      </c>
      <c r="GV12" s="7">
        <v>1.4</v>
      </c>
      <c r="GW12" s="7">
        <v>8.7</v>
      </c>
      <c r="GX12" s="7">
        <v>5.4</v>
      </c>
      <c r="GY12" s="7">
        <v>18.3</v>
      </c>
      <c r="GZ12" s="7">
        <v>10.6</v>
      </c>
      <c r="HA12" s="7">
        <v>13.8</v>
      </c>
      <c r="HB12" s="7">
        <v>7.7</v>
      </c>
      <c r="HC12" s="7">
        <v>-8.8</v>
      </c>
      <c r="HD12" s="7">
        <v>-11.2</v>
      </c>
      <c r="HE12" s="7">
        <v>-17.9</v>
      </c>
      <c r="HF12" s="7">
        <v>-11.1</v>
      </c>
      <c r="HG12" s="7">
        <v>-12.6</v>
      </c>
      <c r="HH12" s="7">
        <v>-2.9</v>
      </c>
      <c r="HI12" s="7">
        <v>9</v>
      </c>
      <c r="HJ12" s="7">
        <v>15.5</v>
      </c>
      <c r="HK12" s="7">
        <v>13.2</v>
      </c>
      <c r="HL12" s="7">
        <v>2.9</v>
      </c>
      <c r="HM12" s="7">
        <v>11.4</v>
      </c>
      <c r="HN12" s="7">
        <v>16.2</v>
      </c>
      <c r="HO12" s="7">
        <v>7.6</v>
      </c>
      <c r="HP12" s="7">
        <v>-2</v>
      </c>
      <c r="HQ12" s="7">
        <v>-15.1</v>
      </c>
      <c r="HR12" s="7">
        <v>-15.2</v>
      </c>
      <c r="HS12" s="7">
        <v>-7.9</v>
      </c>
      <c r="HT12" s="7">
        <v>-12.6</v>
      </c>
      <c r="HU12" s="7">
        <v>2.3</v>
      </c>
      <c r="HV12" s="7">
        <v>-1.8</v>
      </c>
      <c r="HW12" s="7">
        <v>-12.5</v>
      </c>
      <c r="HX12" s="7">
        <v>-8.2</v>
      </c>
      <c r="HY12" s="7">
        <v>-7.7</v>
      </c>
      <c r="HZ12" s="7">
        <v>-9.4</v>
      </c>
      <c r="IA12" s="7">
        <v>-8.3</v>
      </c>
      <c r="IB12" s="7">
        <v>-1.5</v>
      </c>
      <c r="IC12" s="7">
        <v>19.2</v>
      </c>
      <c r="ID12" s="7">
        <v>-4.3</v>
      </c>
      <c r="IE12" s="7">
        <v>-4.1</v>
      </c>
      <c r="IF12" s="7">
        <v>-7.3</v>
      </c>
      <c r="IG12" s="7">
        <v>-10.4</v>
      </c>
      <c r="IH12" s="7">
        <v>-3.7</v>
      </c>
      <c r="II12" s="7">
        <v>-9.4</v>
      </c>
      <c r="IJ12" s="7">
        <v>-2.1</v>
      </c>
      <c r="IK12" s="7">
        <v>3.7</v>
      </c>
      <c r="IL12" s="7">
        <v>-6.3</v>
      </c>
      <c r="IM12" s="7">
        <v>-3.3</v>
      </c>
      <c r="IN12" s="7">
        <v>-4.2</v>
      </c>
      <c r="IO12" s="7">
        <v>4.9</v>
      </c>
      <c r="IP12" s="7">
        <v>12.9</v>
      </c>
      <c r="IQ12" s="7">
        <v>18.6</v>
      </c>
      <c r="IR12" s="7">
        <v>23.8</v>
      </c>
      <c r="IS12" s="7">
        <v>20.2</v>
      </c>
      <c r="IT12" s="7">
        <v>23.8</v>
      </c>
      <c r="IU12" s="7">
        <v>14.3</v>
      </c>
      <c r="IV12" s="7">
        <v>15.5</v>
      </c>
      <c r="IW12" s="7">
        <v>20.9</v>
      </c>
      <c r="IX12" s="7">
        <v>36.5</v>
      </c>
      <c r="IY12" s="7">
        <v>0.9</v>
      </c>
      <c r="IZ12" s="7">
        <v>13.9</v>
      </c>
      <c r="JA12" s="7">
        <v>3.8</v>
      </c>
      <c r="JB12" s="7">
        <v>4.3</v>
      </c>
      <c r="JC12" s="7">
        <v>1.3</v>
      </c>
      <c r="JD12" s="7">
        <v>2.2</v>
      </c>
      <c r="JE12" s="7">
        <v>9.1</v>
      </c>
      <c r="JF12" s="7">
        <v>14.3</v>
      </c>
      <c r="JG12" s="7">
        <v>3.8</v>
      </c>
      <c r="JH12" s="7">
        <v>9</v>
      </c>
      <c r="JI12" s="7">
        <v>-0.7</v>
      </c>
      <c r="JJ12" s="7">
        <v>6.2</v>
      </c>
      <c r="JK12" s="7">
        <v>-10.7</v>
      </c>
      <c r="JL12" s="7">
        <v>-11.3</v>
      </c>
      <c r="JM12" s="7">
        <v>-10.4</v>
      </c>
      <c r="JN12" s="7">
        <v>-13.4</v>
      </c>
      <c r="JO12" s="7">
        <v>-15.8</v>
      </c>
      <c r="JP12" s="7">
        <v>-7</v>
      </c>
      <c r="JQ12" s="7">
        <v>-12</v>
      </c>
      <c r="JR12" s="7">
        <v>-11.2</v>
      </c>
      <c r="JS12" s="7">
        <v>-11.9</v>
      </c>
      <c r="JT12" s="7">
        <v>-11.5</v>
      </c>
      <c r="JU12" s="7">
        <v>-10.8</v>
      </c>
      <c r="JV12" s="7">
        <v>-3.1</v>
      </c>
      <c r="JW12" s="7">
        <v>-4.4</v>
      </c>
      <c r="JX12" s="7">
        <v>-6</v>
      </c>
      <c r="JY12" s="7">
        <v>-12.1</v>
      </c>
      <c r="JZ12" s="7">
        <v>-5.1</v>
      </c>
      <c r="KA12" s="7">
        <v>-3.3</v>
      </c>
      <c r="KB12" s="7">
        <v>-3.6</v>
      </c>
      <c r="KC12" s="7">
        <v>-5.7</v>
      </c>
      <c r="KD12" s="7">
        <v>-4.1</v>
      </c>
      <c r="KE12" s="7">
        <v>-6.5</v>
      </c>
      <c r="KF12" s="7">
        <v>-4.6</v>
      </c>
      <c r="KG12" s="7">
        <v>-3.7</v>
      </c>
      <c r="KH12" s="7">
        <v>5.5</v>
      </c>
      <c r="KI12" s="7">
        <v>-5.3</v>
      </c>
      <c r="KJ12" s="7">
        <v>-4.1</v>
      </c>
      <c r="KK12" s="7">
        <v>-8.2</v>
      </c>
      <c r="KL12" s="7">
        <v>-8</v>
      </c>
      <c r="KM12" s="7">
        <v>-6.3</v>
      </c>
      <c r="KN12" s="7">
        <v>-5.6</v>
      </c>
      <c r="KO12" s="7">
        <v>0.1</v>
      </c>
      <c r="KP12" s="7">
        <v>1.7</v>
      </c>
      <c r="KQ12" s="7">
        <v>18.5</v>
      </c>
      <c r="KR12" s="7">
        <v>23.5</v>
      </c>
      <c r="KS12" s="7">
        <v>20.1</v>
      </c>
      <c r="KT12" s="7">
        <v>36.4</v>
      </c>
      <c r="KU12" s="7">
        <v>-7.3</v>
      </c>
      <c r="KV12" s="7">
        <v>-8.9</v>
      </c>
      <c r="KW12" s="7">
        <v>-11.6</v>
      </c>
      <c r="KX12" s="7">
        <v>6.3</v>
      </c>
      <c r="KY12" s="7">
        <v>4.8</v>
      </c>
      <c r="KZ12" s="7">
        <v>6.1</v>
      </c>
    </row>
    <row r="13" spans="1:312">
      <c r="A13" s="6" t="s">
        <v>320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>
        <v>104246</v>
      </c>
      <c r="BP13" s="7">
        <v>167523</v>
      </c>
      <c r="BQ13" s="7">
        <v>168465</v>
      </c>
      <c r="BR13" s="7">
        <v>167478</v>
      </c>
      <c r="BS13" s="7">
        <v>198173</v>
      </c>
      <c r="BT13" s="7">
        <v>222582</v>
      </c>
      <c r="BU13" s="7">
        <v>400636</v>
      </c>
      <c r="BV13" s="7">
        <v>389420</v>
      </c>
      <c r="BW13" s="7">
        <v>499137</v>
      </c>
      <c r="BX13" s="7">
        <v>485688</v>
      </c>
      <c r="BY13" s="7">
        <v>475809</v>
      </c>
      <c r="BZ13" s="7">
        <v>665353</v>
      </c>
      <c r="CA13" s="7">
        <v>521119</v>
      </c>
      <c r="CB13" s="7">
        <v>690755</v>
      </c>
      <c r="CC13" s="7">
        <v>506133</v>
      </c>
      <c r="CD13" s="7">
        <v>650324</v>
      </c>
      <c r="CE13" s="7">
        <v>604213</v>
      </c>
      <c r="CF13" s="7">
        <v>679691</v>
      </c>
      <c r="CG13" s="7">
        <v>721718</v>
      </c>
      <c r="CH13" s="7">
        <v>784748</v>
      </c>
      <c r="CI13" s="7">
        <v>793870</v>
      </c>
      <c r="CJ13" s="7">
        <v>636931</v>
      </c>
      <c r="CK13" s="7">
        <v>633609</v>
      </c>
      <c r="CL13" s="7">
        <v>557755</v>
      </c>
      <c r="CM13" s="7">
        <v>654018</v>
      </c>
      <c r="CN13" s="7">
        <v>683779</v>
      </c>
      <c r="CO13" s="7">
        <v>630400</v>
      </c>
      <c r="CP13" s="7">
        <v>633113</v>
      </c>
      <c r="CQ13" s="7">
        <v>638629</v>
      </c>
      <c r="CR13" s="7">
        <v>591504</v>
      </c>
      <c r="CS13" s="7">
        <v>551683</v>
      </c>
      <c r="CT13" s="7">
        <v>497812</v>
      </c>
      <c r="CU13" s="7">
        <v>546268</v>
      </c>
      <c r="CV13" s="7">
        <v>457414</v>
      </c>
      <c r="CW13" s="7">
        <v>235496</v>
      </c>
      <c r="CX13" s="7">
        <v>295179</v>
      </c>
      <c r="CY13" s="7">
        <v>608632</v>
      </c>
      <c r="CZ13" s="7">
        <v>721496</v>
      </c>
      <c r="DA13" s="7">
        <v>592390</v>
      </c>
      <c r="DB13" s="7">
        <v>561115</v>
      </c>
      <c r="DC13" s="7">
        <v>550356</v>
      </c>
      <c r="DD13" s="7">
        <v>395346</v>
      </c>
      <c r="DE13" s="7">
        <v>469558</v>
      </c>
      <c r="DF13" s="7">
        <v>604502</v>
      </c>
      <c r="DG13" s="7">
        <v>695344</v>
      </c>
      <c r="DH13" s="7">
        <v>625205</v>
      </c>
      <c r="DI13" s="7">
        <v>437740</v>
      </c>
      <c r="DJ13" s="7">
        <v>460395</v>
      </c>
      <c r="DK13" s="7">
        <v>498421</v>
      </c>
      <c r="DL13" s="7">
        <v>478391</v>
      </c>
      <c r="DM13" s="7">
        <v>493153</v>
      </c>
      <c r="DN13" s="7">
        <v>452073</v>
      </c>
      <c r="DO13" s="7">
        <v>533216</v>
      </c>
      <c r="DP13" s="7">
        <v>570279</v>
      </c>
      <c r="DQ13" s="7">
        <v>400941</v>
      </c>
      <c r="DR13" s="7">
        <v>474798</v>
      </c>
      <c r="DS13" s="7">
        <v>355611</v>
      </c>
      <c r="DT13" s="7">
        <v>486109</v>
      </c>
      <c r="DU13" s="7">
        <v>372897</v>
      </c>
      <c r="DV13" s="7">
        <v>292371</v>
      </c>
      <c r="DW13" s="7">
        <v>387193</v>
      </c>
      <c r="DX13" s="7">
        <v>342311</v>
      </c>
      <c r="DY13" s="7">
        <v>499793</v>
      </c>
      <c r="DZ13" s="7">
        <v>454557</v>
      </c>
      <c r="EA13" s="7">
        <v>308051</v>
      </c>
      <c r="EB13" s="7">
        <v>329837</v>
      </c>
      <c r="EC13" s="7">
        <v>446864</v>
      </c>
      <c r="ED13" s="7">
        <v>536519</v>
      </c>
      <c r="EE13" s="7">
        <v>565031</v>
      </c>
      <c r="EF13" s="7">
        <v>849172</v>
      </c>
      <c r="EG13" s="7">
        <v>827655</v>
      </c>
      <c r="EH13" s="7">
        <v>631460</v>
      </c>
      <c r="EI13" s="7">
        <v>1091545</v>
      </c>
      <c r="EJ13" s="7">
        <v>1215195</v>
      </c>
      <c r="EK13" s="7">
        <v>806384</v>
      </c>
      <c r="EL13" s="7">
        <v>1183188</v>
      </c>
      <c r="EM13" s="7">
        <v>1096117</v>
      </c>
      <c r="EN13" s="7">
        <v>1245427</v>
      </c>
      <c r="EO13" s="7">
        <v>732578</v>
      </c>
      <c r="EP13" s="7">
        <v>656104</v>
      </c>
      <c r="EQ13" s="7">
        <v>717188</v>
      </c>
      <c r="ER13" s="7">
        <v>721985</v>
      </c>
      <c r="ES13" s="7">
        <v>672777</v>
      </c>
      <c r="ET13" s="7">
        <v>665236</v>
      </c>
      <c r="EU13" s="7">
        <v>620510</v>
      </c>
      <c r="EV13" s="7">
        <v>650272</v>
      </c>
      <c r="EW13" s="7">
        <v>904246</v>
      </c>
      <c r="EX13" s="7">
        <v>831399</v>
      </c>
      <c r="EY13" s="7">
        <v>1034969</v>
      </c>
      <c r="EZ13" s="7">
        <v>1035896</v>
      </c>
      <c r="FA13" s="7">
        <v>1079383</v>
      </c>
      <c r="FB13" s="7">
        <v>951687</v>
      </c>
      <c r="FC13" s="7">
        <v>834749</v>
      </c>
      <c r="FD13" s="7">
        <v>852001</v>
      </c>
      <c r="FE13" s="7">
        <v>747732</v>
      </c>
      <c r="FF13" s="7">
        <v>804426</v>
      </c>
      <c r="FG13" s="7">
        <v>968116</v>
      </c>
      <c r="FH13" s="7">
        <v>1257364</v>
      </c>
      <c r="FI13" s="7">
        <v>1313016</v>
      </c>
      <c r="FJ13" s="7">
        <v>1198748</v>
      </c>
      <c r="FK13" s="7">
        <v>1162201</v>
      </c>
      <c r="FL13" s="7">
        <v>1118926</v>
      </c>
      <c r="FM13" s="7">
        <v>1307312</v>
      </c>
      <c r="FN13" s="7">
        <v>1209355</v>
      </c>
      <c r="FO13" s="7">
        <v>1419282</v>
      </c>
      <c r="FP13" s="7">
        <v>1635563</v>
      </c>
      <c r="FQ13" s="7">
        <v>1517936</v>
      </c>
      <c r="FR13" s="7">
        <v>1399485</v>
      </c>
      <c r="FS13" s="7">
        <v>1309106</v>
      </c>
      <c r="FT13" s="7">
        <v>1325699</v>
      </c>
      <c r="FU13" s="7">
        <v>1360175</v>
      </c>
      <c r="FV13" s="7">
        <v>1433386</v>
      </c>
      <c r="FW13" s="7">
        <v>1446441</v>
      </c>
      <c r="FX13" s="7">
        <v>1837992</v>
      </c>
      <c r="FY13" s="7">
        <v>1555689</v>
      </c>
      <c r="FZ13" s="7">
        <v>2152225</v>
      </c>
      <c r="GA13" s="7">
        <v>2584821</v>
      </c>
      <c r="GB13" s="7">
        <v>2709436</v>
      </c>
      <c r="GC13" s="7">
        <v>2820049</v>
      </c>
      <c r="GD13" s="7">
        <v>2755913</v>
      </c>
      <c r="GE13" s="7">
        <v>2890292</v>
      </c>
      <c r="GF13" s="7">
        <v>2281180</v>
      </c>
      <c r="GG13" s="7">
        <v>2056893</v>
      </c>
      <c r="GH13" s="7">
        <v>2087059</v>
      </c>
      <c r="GI13" s="7">
        <v>1910325</v>
      </c>
      <c r="GJ13" s="7">
        <v>2041405</v>
      </c>
      <c r="GK13" s="7">
        <v>1692299</v>
      </c>
      <c r="GL13" s="7">
        <v>1954400</v>
      </c>
      <c r="GM13" s="7">
        <v>2109097</v>
      </c>
      <c r="GN13" s="7">
        <v>1985254</v>
      </c>
      <c r="GO13" s="7">
        <v>2140100</v>
      </c>
      <c r="GP13" s="7">
        <v>2310652</v>
      </c>
      <c r="GQ13" s="7">
        <v>1993542</v>
      </c>
      <c r="GR13" s="7">
        <v>1875978</v>
      </c>
      <c r="GS13" s="7">
        <v>1936390</v>
      </c>
      <c r="GT13" s="7">
        <v>1852155</v>
      </c>
      <c r="GU13" s="7">
        <v>2159960</v>
      </c>
      <c r="GV13" s="7">
        <v>1987952</v>
      </c>
      <c r="GW13" s="7">
        <v>2472084</v>
      </c>
      <c r="GX13" s="7">
        <v>2467920</v>
      </c>
      <c r="GY13" s="7">
        <v>2402189</v>
      </c>
      <c r="GZ13" s="7">
        <v>2409850</v>
      </c>
      <c r="HA13" s="7">
        <v>2652431</v>
      </c>
      <c r="HB13" s="7">
        <v>2314690</v>
      </c>
      <c r="HC13" s="7">
        <v>2088318</v>
      </c>
      <c r="HD13" s="7">
        <v>1879142</v>
      </c>
      <c r="HE13" s="7">
        <v>1600439</v>
      </c>
      <c r="HF13" s="7">
        <v>1747678</v>
      </c>
      <c r="HG13" s="7">
        <v>1644369</v>
      </c>
      <c r="HH13" s="7">
        <v>1733309</v>
      </c>
      <c r="HI13" s="7">
        <v>2543200</v>
      </c>
      <c r="HJ13" s="7">
        <v>2983842</v>
      </c>
      <c r="HK13" s="7">
        <v>2949889</v>
      </c>
      <c r="HL13" s="7">
        <v>2415811</v>
      </c>
      <c r="HM13" s="7">
        <v>2863210</v>
      </c>
      <c r="HN13" s="7">
        <v>2608448</v>
      </c>
      <c r="HO13" s="7">
        <v>2474568</v>
      </c>
      <c r="HP13" s="7">
        <v>2785612</v>
      </c>
      <c r="HQ13" s="7">
        <v>2105029</v>
      </c>
      <c r="HR13" s="7">
        <v>2035592</v>
      </c>
      <c r="HS13" s="7">
        <v>2048866</v>
      </c>
      <c r="HT13" s="7">
        <v>2078894</v>
      </c>
      <c r="HU13" s="7">
        <v>2459208</v>
      </c>
      <c r="HV13" s="7">
        <v>2523565</v>
      </c>
      <c r="HW13" s="7">
        <v>1873685</v>
      </c>
      <c r="HX13" s="7">
        <v>2140366</v>
      </c>
      <c r="HY13" s="7">
        <v>2148058</v>
      </c>
      <c r="HZ13" s="7">
        <v>1700882</v>
      </c>
      <c r="IA13" s="7">
        <v>1574798</v>
      </c>
      <c r="IB13" s="7">
        <v>1855039</v>
      </c>
      <c r="IC13" s="7">
        <v>2400428</v>
      </c>
      <c r="ID13" s="7">
        <v>1466597</v>
      </c>
      <c r="IE13" s="7">
        <v>1370114</v>
      </c>
      <c r="IF13" s="7">
        <v>1221236</v>
      </c>
      <c r="IG13" s="7">
        <v>1018849</v>
      </c>
      <c r="IH13" s="7">
        <v>1299999</v>
      </c>
      <c r="II13" s="7">
        <v>915136</v>
      </c>
      <c r="IJ13" s="7">
        <v>969462</v>
      </c>
      <c r="IK13" s="7">
        <v>1348357</v>
      </c>
      <c r="IL13" s="7">
        <v>1299270</v>
      </c>
      <c r="IM13" s="7">
        <v>1086564</v>
      </c>
      <c r="IN13" s="7">
        <v>1192837</v>
      </c>
      <c r="IO13" s="7">
        <v>1250191</v>
      </c>
      <c r="IP13" s="7">
        <v>1502393</v>
      </c>
      <c r="IQ13" s="7">
        <v>1756918</v>
      </c>
      <c r="IR13" s="7">
        <v>2018366</v>
      </c>
      <c r="IS13" s="7">
        <v>1687445</v>
      </c>
      <c r="IT13" s="7">
        <v>2038207</v>
      </c>
      <c r="IU13" s="7">
        <v>1584889</v>
      </c>
      <c r="IV13" s="7">
        <v>1691071</v>
      </c>
      <c r="IW13" s="7">
        <v>2131012</v>
      </c>
      <c r="IX13" s="7">
        <v>2074806</v>
      </c>
      <c r="IY13" s="7">
        <v>2355116</v>
      </c>
      <c r="IZ13" s="7">
        <v>3241122</v>
      </c>
      <c r="JA13" s="7">
        <v>2535485</v>
      </c>
      <c r="JB13" s="7">
        <v>2572547</v>
      </c>
      <c r="JC13" s="7">
        <v>2355292</v>
      </c>
      <c r="JD13" s="7">
        <v>2201695</v>
      </c>
      <c r="JE13" s="7">
        <v>2630146</v>
      </c>
      <c r="JF13" s="7">
        <v>2982461</v>
      </c>
      <c r="JG13" s="7">
        <v>2304152</v>
      </c>
      <c r="JH13" s="7">
        <v>2592492</v>
      </c>
      <c r="JI13" s="7">
        <v>1913640</v>
      </c>
      <c r="JJ13" s="7">
        <v>2202901</v>
      </c>
      <c r="JK13" s="7">
        <v>1643442</v>
      </c>
      <c r="JL13" s="7">
        <v>1659809</v>
      </c>
      <c r="JM13" s="7">
        <v>1654622</v>
      </c>
      <c r="JN13" s="7">
        <v>1292230</v>
      </c>
      <c r="JO13" s="7">
        <v>1139901</v>
      </c>
      <c r="JP13" s="7">
        <v>1309348</v>
      </c>
      <c r="JQ13" s="7">
        <v>1342609</v>
      </c>
      <c r="JR13" s="7">
        <v>1449843</v>
      </c>
      <c r="JS13" s="7">
        <v>1271845</v>
      </c>
      <c r="JT13" s="7">
        <v>1347906</v>
      </c>
      <c r="JU13" s="7">
        <v>1283778</v>
      </c>
      <c r="JV13" s="7">
        <v>1483719</v>
      </c>
      <c r="JW13" s="7">
        <v>1556051</v>
      </c>
      <c r="JX13" s="7">
        <v>1395575</v>
      </c>
      <c r="JY13" s="7">
        <v>1035162</v>
      </c>
      <c r="JZ13" s="7">
        <v>1209203</v>
      </c>
      <c r="KA13" s="7">
        <v>1190485</v>
      </c>
      <c r="KB13" s="7">
        <v>1073890</v>
      </c>
      <c r="KC13" s="7">
        <v>1004243</v>
      </c>
      <c r="KD13" s="7">
        <v>1084200</v>
      </c>
      <c r="KE13" s="7">
        <v>991225</v>
      </c>
      <c r="KF13" s="7">
        <v>1132641</v>
      </c>
      <c r="KG13" s="7">
        <v>1186766</v>
      </c>
      <c r="KH13" s="7">
        <v>1372456</v>
      </c>
      <c r="KI13" s="7">
        <v>1156468</v>
      </c>
      <c r="KJ13" s="7">
        <v>1255203</v>
      </c>
      <c r="KK13" s="7">
        <v>1220802</v>
      </c>
      <c r="KL13" s="7">
        <v>1130854</v>
      </c>
      <c r="KM13" s="7">
        <v>1199383</v>
      </c>
      <c r="KN13" s="7">
        <v>993761</v>
      </c>
      <c r="KO13" s="7">
        <v>1343839</v>
      </c>
      <c r="KP13" s="7">
        <v>1388616</v>
      </c>
      <c r="KQ13" s="7">
        <v>2745602</v>
      </c>
      <c r="KR13" s="7">
        <v>3093313</v>
      </c>
      <c r="KS13" s="7">
        <v>2779930</v>
      </c>
      <c r="KT13" s="7">
        <v>3742168</v>
      </c>
      <c r="KU13" s="7">
        <v>3157003</v>
      </c>
      <c r="KV13" s="7">
        <v>3078962</v>
      </c>
      <c r="KW13" s="7">
        <v>2799858</v>
      </c>
      <c r="KX13" s="7">
        <v>4494563</v>
      </c>
      <c r="KY13" s="7">
        <v>4195065</v>
      </c>
      <c r="KZ13" s="7">
        <v>4250443</v>
      </c>
    </row>
    <row r="14" spans="1:312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</row>
    <row r="15" spans="1:312">
      <c r="A15" s="8" t="s">
        <v>321</v>
      </c>
      <c r="B15" s="7">
        <v>98705</v>
      </c>
      <c r="C15" s="7">
        <v>106105</v>
      </c>
      <c r="D15" s="7">
        <v>104356</v>
      </c>
      <c r="E15" s="7">
        <v>97267</v>
      </c>
      <c r="F15" s="7">
        <v>106428</v>
      </c>
      <c r="G15" s="7">
        <v>96126</v>
      </c>
      <c r="H15" s="7">
        <v>100186</v>
      </c>
      <c r="I15" s="7">
        <v>101993</v>
      </c>
      <c r="J15" s="7">
        <v>106168</v>
      </c>
      <c r="K15" s="7">
        <v>104479</v>
      </c>
      <c r="L15" s="7">
        <v>110538</v>
      </c>
      <c r="M15" s="7">
        <v>113806</v>
      </c>
      <c r="N15" s="7">
        <v>116879</v>
      </c>
      <c r="O15" s="7">
        <v>124234</v>
      </c>
      <c r="P15" s="7">
        <v>123057</v>
      </c>
      <c r="Q15" s="7">
        <v>117054</v>
      </c>
      <c r="R15" s="7">
        <v>131175</v>
      </c>
      <c r="S15" s="7">
        <v>116261</v>
      </c>
      <c r="T15" s="7">
        <v>119925</v>
      </c>
      <c r="U15" s="7">
        <v>123915</v>
      </c>
      <c r="V15" s="7">
        <v>124695</v>
      </c>
      <c r="W15" s="7">
        <v>127581</v>
      </c>
      <c r="X15" s="7">
        <v>134966</v>
      </c>
      <c r="Y15" s="7">
        <v>138081</v>
      </c>
      <c r="Z15" s="7">
        <v>141823</v>
      </c>
      <c r="AA15" s="7">
        <v>141360</v>
      </c>
      <c r="AB15" s="7">
        <v>149144</v>
      </c>
      <c r="AC15" s="7">
        <v>148365</v>
      </c>
      <c r="AD15" s="7">
        <v>161701</v>
      </c>
      <c r="AE15" s="7">
        <v>143087</v>
      </c>
      <c r="AF15" s="7">
        <v>153620</v>
      </c>
      <c r="AG15" s="7">
        <v>159233</v>
      </c>
      <c r="AH15" s="7">
        <v>166954</v>
      </c>
      <c r="AI15" s="7">
        <v>174283</v>
      </c>
      <c r="AJ15" s="7">
        <v>190039</v>
      </c>
      <c r="AK15" s="7">
        <v>202822</v>
      </c>
      <c r="AL15" s="7">
        <v>207974</v>
      </c>
      <c r="AM15" s="7">
        <v>217967</v>
      </c>
      <c r="AN15" s="7">
        <v>231886</v>
      </c>
      <c r="AO15" s="7">
        <v>224752</v>
      </c>
      <c r="AP15" s="7">
        <v>238545</v>
      </c>
      <c r="AQ15" s="7">
        <v>231074</v>
      </c>
      <c r="AR15" s="7">
        <v>241154</v>
      </c>
      <c r="AS15" s="7">
        <v>244817</v>
      </c>
      <c r="AT15" s="7">
        <v>256876</v>
      </c>
      <c r="AU15" s="7">
        <v>260438</v>
      </c>
      <c r="AV15" s="7">
        <v>281457</v>
      </c>
      <c r="AW15" s="7">
        <v>299014</v>
      </c>
      <c r="AX15" s="7">
        <v>305738</v>
      </c>
      <c r="AY15" s="7">
        <v>312083</v>
      </c>
      <c r="AZ15" s="7">
        <v>332032</v>
      </c>
      <c r="BA15" s="7">
        <v>345937</v>
      </c>
      <c r="BB15" s="7">
        <v>379273</v>
      </c>
      <c r="BC15" s="7">
        <v>345726</v>
      </c>
      <c r="BD15" s="7">
        <v>356828</v>
      </c>
      <c r="BE15" s="7">
        <v>364830</v>
      </c>
      <c r="BF15" s="7">
        <v>379870</v>
      </c>
      <c r="BG15" s="7">
        <v>386205</v>
      </c>
      <c r="BH15" s="7">
        <v>389452</v>
      </c>
      <c r="BI15" s="7">
        <v>399519</v>
      </c>
      <c r="BJ15" s="7">
        <v>401956</v>
      </c>
      <c r="BK15" s="7">
        <v>414713</v>
      </c>
      <c r="BL15" s="7">
        <v>416768</v>
      </c>
      <c r="BM15" s="7">
        <v>395511</v>
      </c>
      <c r="BN15" s="7">
        <v>411813</v>
      </c>
      <c r="BO15" s="7">
        <v>385714</v>
      </c>
      <c r="BP15" s="7">
        <v>404446</v>
      </c>
      <c r="BQ15" s="7">
        <v>436668</v>
      </c>
      <c r="BR15" s="7">
        <v>462704</v>
      </c>
      <c r="BS15" s="7">
        <v>503411</v>
      </c>
      <c r="BT15" s="7">
        <v>550041</v>
      </c>
      <c r="BU15" s="7">
        <v>572149</v>
      </c>
      <c r="BV15" s="7">
        <v>554974</v>
      </c>
      <c r="BW15" s="7">
        <v>550931</v>
      </c>
      <c r="BX15" s="7">
        <v>529391</v>
      </c>
      <c r="BY15" s="7">
        <v>524663</v>
      </c>
      <c r="BZ15" s="7">
        <v>600832</v>
      </c>
      <c r="CA15" s="7">
        <v>599308</v>
      </c>
      <c r="CB15" s="7">
        <v>613245</v>
      </c>
      <c r="CC15" s="7">
        <v>652146</v>
      </c>
      <c r="CD15" s="7">
        <v>699939</v>
      </c>
      <c r="CE15" s="7">
        <v>750390</v>
      </c>
      <c r="CF15" s="7">
        <v>793088</v>
      </c>
      <c r="CG15" s="7">
        <v>815401</v>
      </c>
      <c r="CH15" s="7">
        <v>806070</v>
      </c>
      <c r="CI15" s="7">
        <v>770694</v>
      </c>
      <c r="CJ15" s="7">
        <v>724686</v>
      </c>
      <c r="CK15" s="7">
        <v>686061</v>
      </c>
      <c r="CL15" s="7">
        <v>739687</v>
      </c>
      <c r="CM15" s="7">
        <v>677389</v>
      </c>
      <c r="CN15" s="7">
        <v>683895</v>
      </c>
      <c r="CO15" s="7">
        <v>696403</v>
      </c>
      <c r="CP15" s="7">
        <v>719223</v>
      </c>
      <c r="CQ15" s="7">
        <v>741460</v>
      </c>
      <c r="CR15" s="7">
        <v>769601</v>
      </c>
      <c r="CS15" s="7">
        <v>786977</v>
      </c>
      <c r="CT15" s="7">
        <v>796755</v>
      </c>
      <c r="CU15" s="7">
        <v>806775</v>
      </c>
      <c r="CV15" s="7">
        <v>815935</v>
      </c>
      <c r="CW15" s="7">
        <v>806667</v>
      </c>
      <c r="CX15" s="7">
        <v>857842</v>
      </c>
      <c r="CY15" s="7">
        <v>714096</v>
      </c>
      <c r="CZ15" s="7">
        <v>701571</v>
      </c>
      <c r="DA15" s="7">
        <v>717865</v>
      </c>
      <c r="DB15" s="7">
        <v>747225</v>
      </c>
      <c r="DC15" s="7">
        <v>779827</v>
      </c>
      <c r="DD15" s="7">
        <v>818735</v>
      </c>
      <c r="DE15" s="7">
        <v>807319</v>
      </c>
      <c r="DF15" s="7">
        <v>807062</v>
      </c>
      <c r="DG15" s="7">
        <v>809662</v>
      </c>
      <c r="DH15" s="7">
        <v>820629</v>
      </c>
      <c r="DI15" s="7">
        <v>836670</v>
      </c>
      <c r="DJ15" s="7">
        <v>913443</v>
      </c>
      <c r="DK15" s="7">
        <v>874577</v>
      </c>
      <c r="DL15" s="7">
        <v>882451</v>
      </c>
      <c r="DM15" s="7">
        <v>898241</v>
      </c>
      <c r="DN15" s="7">
        <v>957620</v>
      </c>
      <c r="DO15" s="7">
        <v>990568</v>
      </c>
      <c r="DP15" s="7">
        <v>1033962</v>
      </c>
      <c r="DQ15" s="7">
        <v>1072300</v>
      </c>
      <c r="DR15" s="7">
        <v>1069834</v>
      </c>
      <c r="DS15" s="7">
        <v>1086459</v>
      </c>
      <c r="DT15" s="7">
        <v>1096039</v>
      </c>
      <c r="DU15" s="7">
        <v>1074837</v>
      </c>
      <c r="DV15" s="7">
        <v>1148489</v>
      </c>
      <c r="DW15" s="7">
        <v>1094781</v>
      </c>
      <c r="DX15" s="7">
        <v>1091552</v>
      </c>
      <c r="DY15" s="7">
        <v>1097141</v>
      </c>
      <c r="DZ15" s="7">
        <v>1124804</v>
      </c>
      <c r="EA15" s="7">
        <v>1142660</v>
      </c>
      <c r="EB15" s="7">
        <v>1191674</v>
      </c>
      <c r="EC15" s="7">
        <v>1234223</v>
      </c>
      <c r="ED15" s="7">
        <v>1254132</v>
      </c>
      <c r="EE15" s="7">
        <v>1260656</v>
      </c>
      <c r="EF15" s="7">
        <v>1260243</v>
      </c>
      <c r="EG15" s="7">
        <v>1234734</v>
      </c>
      <c r="EH15" s="7">
        <v>1365698</v>
      </c>
      <c r="EI15" s="7">
        <v>1301396</v>
      </c>
      <c r="EJ15" s="7">
        <v>1291276</v>
      </c>
      <c r="EK15" s="7">
        <v>1307762</v>
      </c>
      <c r="EL15" s="7">
        <v>1341433</v>
      </c>
      <c r="EM15" s="7">
        <v>1350136</v>
      </c>
      <c r="EN15" s="7">
        <v>1389424</v>
      </c>
      <c r="EO15" s="7">
        <v>1398763</v>
      </c>
      <c r="EP15" s="7">
        <v>1405179</v>
      </c>
      <c r="EQ15" s="7">
        <v>1421824</v>
      </c>
      <c r="ER15" s="7">
        <v>1407553</v>
      </c>
      <c r="ES15" s="7">
        <v>1379943</v>
      </c>
      <c r="ET15" s="7">
        <v>1528077</v>
      </c>
      <c r="EU15" s="7">
        <v>1422379</v>
      </c>
      <c r="EV15" s="7">
        <v>1409475</v>
      </c>
      <c r="EW15" s="7">
        <v>1428375</v>
      </c>
      <c r="EX15" s="7">
        <v>1438927</v>
      </c>
      <c r="EY15" s="7">
        <v>1460239</v>
      </c>
      <c r="EZ15" s="7">
        <v>1523517</v>
      </c>
      <c r="FA15" s="7">
        <v>1475865</v>
      </c>
      <c r="FB15" s="7">
        <v>1467659</v>
      </c>
      <c r="FC15" s="7">
        <v>1453566</v>
      </c>
      <c r="FD15" s="7">
        <v>1437651</v>
      </c>
      <c r="FE15" s="7">
        <v>1404152</v>
      </c>
      <c r="FF15" s="7">
        <v>1512261</v>
      </c>
      <c r="FG15" s="7">
        <v>1397708</v>
      </c>
      <c r="FH15" s="7">
        <v>1399675</v>
      </c>
      <c r="FI15" s="7">
        <v>1319887</v>
      </c>
      <c r="FJ15" s="7">
        <v>1359033</v>
      </c>
      <c r="FK15" s="7">
        <v>1397801</v>
      </c>
      <c r="FL15" s="7">
        <v>1452216</v>
      </c>
      <c r="FM15" s="7">
        <v>1439601</v>
      </c>
      <c r="FN15" s="7">
        <v>1382569</v>
      </c>
      <c r="FO15" s="7">
        <v>1369299</v>
      </c>
      <c r="FP15" s="7">
        <v>1274397</v>
      </c>
      <c r="FQ15" s="7">
        <v>1221633</v>
      </c>
      <c r="FR15" s="7">
        <v>1122319</v>
      </c>
      <c r="FS15" s="7">
        <v>1035712</v>
      </c>
      <c r="FT15" s="7">
        <v>1020848</v>
      </c>
      <c r="FU15" s="7">
        <v>1037126</v>
      </c>
      <c r="FV15" s="7">
        <v>1018439</v>
      </c>
      <c r="FW15" s="7">
        <v>1086948</v>
      </c>
      <c r="FX15" s="7">
        <v>1143598</v>
      </c>
      <c r="FY15" s="7">
        <v>1135293</v>
      </c>
      <c r="FZ15" s="7">
        <v>1186211</v>
      </c>
      <c r="GA15" s="7">
        <v>1199959</v>
      </c>
      <c r="GB15" s="7">
        <v>1201559</v>
      </c>
      <c r="GC15" s="7">
        <v>1190243</v>
      </c>
      <c r="GD15" s="7">
        <v>1236973</v>
      </c>
      <c r="GE15" s="7">
        <v>1174178</v>
      </c>
      <c r="GF15" s="7">
        <v>1237519</v>
      </c>
      <c r="GG15" s="7">
        <v>1302768</v>
      </c>
      <c r="GH15" s="7">
        <v>1395984</v>
      </c>
      <c r="GI15" s="7">
        <v>1485329</v>
      </c>
      <c r="GJ15" s="7">
        <v>1582258</v>
      </c>
      <c r="GK15" s="7">
        <v>1593378</v>
      </c>
      <c r="GL15" s="7">
        <v>1548974</v>
      </c>
      <c r="GM15" s="7">
        <v>1560761</v>
      </c>
      <c r="GN15" s="7">
        <v>1572842</v>
      </c>
      <c r="GO15" s="7">
        <v>1567794</v>
      </c>
      <c r="GP15" s="7">
        <v>1748810</v>
      </c>
      <c r="GQ15" s="7">
        <v>1619063</v>
      </c>
      <c r="GR15" s="7">
        <v>1640297</v>
      </c>
      <c r="GS15" s="7">
        <v>1645407</v>
      </c>
      <c r="GT15" s="7">
        <v>1724115</v>
      </c>
      <c r="GU15" s="7">
        <v>1741857</v>
      </c>
      <c r="GV15" s="7">
        <v>1830669</v>
      </c>
      <c r="GW15" s="7">
        <v>1869034</v>
      </c>
      <c r="GX15" s="7">
        <v>1820613</v>
      </c>
      <c r="GY15" s="7">
        <v>1816089</v>
      </c>
      <c r="GZ15" s="7">
        <v>1778145</v>
      </c>
      <c r="HA15" s="7">
        <v>1766492</v>
      </c>
      <c r="HB15" s="7">
        <v>1946338</v>
      </c>
      <c r="HC15" s="7">
        <v>1817235</v>
      </c>
      <c r="HD15" s="7">
        <v>1794473</v>
      </c>
      <c r="HE15" s="7">
        <v>1810244</v>
      </c>
      <c r="HF15" s="7">
        <v>1886063</v>
      </c>
      <c r="HG15" s="7">
        <v>1940652</v>
      </c>
      <c r="HH15" s="7">
        <v>2059000</v>
      </c>
      <c r="HI15" s="7">
        <v>2103425</v>
      </c>
      <c r="HJ15" s="7">
        <v>2100151</v>
      </c>
      <c r="HK15" s="7">
        <v>2067026</v>
      </c>
      <c r="HL15" s="7">
        <v>2102866</v>
      </c>
      <c r="HM15" s="7">
        <v>2082467</v>
      </c>
      <c r="HN15" s="7">
        <v>2260157</v>
      </c>
      <c r="HO15" s="7">
        <v>2170013</v>
      </c>
      <c r="HP15" s="7">
        <v>2134988</v>
      </c>
      <c r="HQ15" s="7">
        <v>2193233</v>
      </c>
      <c r="HR15" s="7">
        <v>2207421</v>
      </c>
      <c r="HS15" s="7">
        <v>2245869</v>
      </c>
      <c r="HT15" s="7">
        <v>2231486</v>
      </c>
      <c r="HU15" s="7">
        <v>2236207</v>
      </c>
      <c r="HV15" s="7">
        <v>2247723</v>
      </c>
      <c r="HW15" s="7">
        <v>2232862</v>
      </c>
      <c r="HX15" s="7">
        <v>2231036</v>
      </c>
      <c r="HY15" s="7">
        <v>2200878</v>
      </c>
      <c r="HZ15" s="7">
        <v>2300505</v>
      </c>
      <c r="IA15" s="7">
        <v>2189815</v>
      </c>
      <c r="IB15" s="7">
        <v>2215110</v>
      </c>
      <c r="IC15" s="7">
        <v>2301265</v>
      </c>
      <c r="ID15" s="7">
        <v>2572940</v>
      </c>
      <c r="IE15" s="7">
        <v>2766404</v>
      </c>
      <c r="IF15" s="7">
        <v>2784088</v>
      </c>
      <c r="IG15" s="7">
        <v>2885316</v>
      </c>
      <c r="IH15" s="7">
        <v>2922621</v>
      </c>
      <c r="II15" s="7">
        <v>2808870</v>
      </c>
      <c r="IJ15" s="7">
        <v>2804394</v>
      </c>
      <c r="IK15" s="7">
        <v>2707107</v>
      </c>
      <c r="IL15" s="7">
        <v>2828046</v>
      </c>
      <c r="IM15" s="7">
        <v>2716272</v>
      </c>
      <c r="IN15" s="7">
        <v>2746749</v>
      </c>
      <c r="IO15" s="7">
        <v>2793576</v>
      </c>
      <c r="IP15" s="7">
        <v>2884383</v>
      </c>
      <c r="IQ15" s="7">
        <v>2964596</v>
      </c>
      <c r="IR15" s="7">
        <v>3027160</v>
      </c>
      <c r="IS15" s="7">
        <v>3034440</v>
      </c>
      <c r="IT15" s="7">
        <v>3014468</v>
      </c>
      <c r="IU15" s="7">
        <v>2984325</v>
      </c>
      <c r="IV15" s="7">
        <v>3013564</v>
      </c>
      <c r="IW15" s="7">
        <v>2905399</v>
      </c>
      <c r="IX15" s="7">
        <v>2997723</v>
      </c>
      <c r="IY15" s="7">
        <v>2990997</v>
      </c>
      <c r="IZ15" s="7">
        <v>2992529</v>
      </c>
      <c r="JA15" s="7">
        <v>3058620</v>
      </c>
      <c r="JB15" s="7">
        <v>3106580</v>
      </c>
      <c r="JC15" s="7">
        <v>3076771</v>
      </c>
      <c r="JD15" s="7">
        <v>3260227</v>
      </c>
      <c r="JE15" s="7">
        <v>3344648</v>
      </c>
      <c r="JF15" s="7">
        <v>3296689</v>
      </c>
      <c r="JG15" s="7">
        <v>3316247</v>
      </c>
      <c r="JH15" s="7">
        <v>3309675</v>
      </c>
      <c r="JI15" s="7">
        <v>3251187</v>
      </c>
      <c r="JJ15" s="7">
        <v>3360653</v>
      </c>
      <c r="JK15" s="7">
        <v>3251127</v>
      </c>
      <c r="JL15" s="7">
        <v>3196089</v>
      </c>
      <c r="JM15" s="7">
        <v>3219144</v>
      </c>
      <c r="JN15" s="7">
        <v>3363522</v>
      </c>
      <c r="JO15" s="7">
        <v>3351386</v>
      </c>
      <c r="JP15" s="7">
        <v>3495339</v>
      </c>
      <c r="JQ15" s="7">
        <v>3506866</v>
      </c>
      <c r="JR15" s="7">
        <v>3514416</v>
      </c>
      <c r="JS15" s="7">
        <v>3553371</v>
      </c>
      <c r="JT15" s="7">
        <v>3531833</v>
      </c>
      <c r="JU15" s="7">
        <v>3471926</v>
      </c>
      <c r="JV15" s="7">
        <v>3639662</v>
      </c>
      <c r="JW15" s="7">
        <v>3614419</v>
      </c>
      <c r="JX15" s="7">
        <v>3620669</v>
      </c>
      <c r="JY15" s="7">
        <v>3639093</v>
      </c>
      <c r="JZ15" s="7">
        <v>3638486</v>
      </c>
      <c r="KA15" s="7">
        <v>3702853</v>
      </c>
      <c r="KB15" s="7">
        <v>3917267</v>
      </c>
      <c r="KC15" s="7">
        <v>3967485</v>
      </c>
      <c r="KD15" s="7">
        <v>4047903</v>
      </c>
      <c r="KE15" s="7">
        <v>3991214</v>
      </c>
      <c r="KF15" s="7">
        <v>4038230</v>
      </c>
      <c r="KG15" s="7">
        <v>4062417</v>
      </c>
      <c r="KH15" s="7">
        <v>4374546</v>
      </c>
      <c r="KI15" s="7">
        <v>4281381</v>
      </c>
      <c r="KJ15" s="7">
        <v>4224931</v>
      </c>
      <c r="KK15" s="7">
        <v>4281997</v>
      </c>
      <c r="KL15" s="7">
        <v>4419978</v>
      </c>
      <c r="KM15" s="7">
        <v>4501805</v>
      </c>
      <c r="KN15" s="7">
        <v>4723999</v>
      </c>
      <c r="KO15" s="7">
        <v>4796892</v>
      </c>
      <c r="KP15" s="7">
        <v>4822508</v>
      </c>
      <c r="KQ15" s="7">
        <v>4692018</v>
      </c>
      <c r="KR15" s="7">
        <v>4652724</v>
      </c>
      <c r="KS15" s="7">
        <v>4570342</v>
      </c>
      <c r="KT15" s="7">
        <v>4749199</v>
      </c>
      <c r="KU15" s="7">
        <v>4571140</v>
      </c>
      <c r="KV15" s="7">
        <v>4485043</v>
      </c>
      <c r="KW15" s="7">
        <v>4479899</v>
      </c>
      <c r="KX15" s="7">
        <v>4590886</v>
      </c>
      <c r="KY15" s="7">
        <v>4764859</v>
      </c>
      <c r="KZ15" s="7">
        <v>4864774</v>
      </c>
    </row>
    <row r="16" spans="1:312">
      <c r="A16" s="6" t="s">
        <v>315</v>
      </c>
      <c r="B16" s="7">
        <v>1.3</v>
      </c>
      <c r="C16" s="7">
        <v>7.5</v>
      </c>
      <c r="D16" s="7">
        <v>-1.6</v>
      </c>
      <c r="E16" s="7">
        <v>-6.8</v>
      </c>
      <c r="F16" s="7">
        <v>9.4</v>
      </c>
      <c r="G16" s="7">
        <v>-9.7</v>
      </c>
      <c r="H16" s="7">
        <v>4.2</v>
      </c>
      <c r="I16" s="7">
        <v>1.8</v>
      </c>
      <c r="J16" s="7">
        <v>4.1</v>
      </c>
      <c r="K16" s="7">
        <v>-1.6</v>
      </c>
      <c r="L16" s="7">
        <v>5.8</v>
      </c>
      <c r="M16" s="7">
        <v>3</v>
      </c>
      <c r="N16" s="7">
        <v>2.7</v>
      </c>
      <c r="O16" s="7">
        <v>6.3</v>
      </c>
      <c r="P16" s="7">
        <v>-0.9</v>
      </c>
      <c r="Q16" s="7">
        <v>-4.9</v>
      </c>
      <c r="R16" s="7">
        <v>12.1</v>
      </c>
      <c r="S16" s="7">
        <v>-11.4</v>
      </c>
      <c r="T16" s="7">
        <v>3.2</v>
      </c>
      <c r="U16" s="7">
        <v>3.3</v>
      </c>
      <c r="V16" s="7">
        <v>0.6</v>
      </c>
      <c r="W16" s="7">
        <v>2.3</v>
      </c>
      <c r="X16" s="7">
        <v>5.8</v>
      </c>
      <c r="Y16" s="7">
        <v>2.3</v>
      </c>
      <c r="Z16" s="7">
        <v>2.7</v>
      </c>
      <c r="AA16" s="7">
        <v>-0.3</v>
      </c>
      <c r="AB16" s="7">
        <v>5.5</v>
      </c>
      <c r="AC16" s="7">
        <v>-0.5</v>
      </c>
      <c r="AD16" s="7">
        <v>9</v>
      </c>
      <c r="AE16" s="7">
        <v>-11.5</v>
      </c>
      <c r="AF16" s="7">
        <v>7.4</v>
      </c>
      <c r="AG16" s="7">
        <v>3.7</v>
      </c>
      <c r="AH16" s="7">
        <v>4.8</v>
      </c>
      <c r="AI16" s="7">
        <v>4.4</v>
      </c>
      <c r="AJ16" s="7">
        <v>9</v>
      </c>
      <c r="AK16" s="7">
        <v>6.7</v>
      </c>
      <c r="AL16" s="7">
        <v>2.5</v>
      </c>
      <c r="AM16" s="7">
        <v>4.8</v>
      </c>
      <c r="AN16" s="7">
        <v>6.4</v>
      </c>
      <c r="AO16" s="7">
        <v>-3.1</v>
      </c>
      <c r="AP16" s="7">
        <v>6.1</v>
      </c>
      <c r="AQ16" s="7">
        <v>-3.1</v>
      </c>
      <c r="AR16" s="7">
        <v>4.4</v>
      </c>
      <c r="AS16" s="7">
        <v>1.5</v>
      </c>
      <c r="AT16" s="7">
        <v>4.9</v>
      </c>
      <c r="AU16" s="7">
        <v>1.4</v>
      </c>
      <c r="AV16" s="7">
        <v>8.1</v>
      </c>
      <c r="AW16" s="7">
        <v>6.2</v>
      </c>
      <c r="AX16" s="7">
        <v>2.2</v>
      </c>
      <c r="AY16" s="7">
        <v>2.1</v>
      </c>
      <c r="AZ16" s="7">
        <v>6.4</v>
      </c>
      <c r="BA16" s="7">
        <v>4.2</v>
      </c>
      <c r="BB16" s="7">
        <v>9.6</v>
      </c>
      <c r="BC16" s="7">
        <v>-8.8</v>
      </c>
      <c r="BD16" s="7">
        <v>3.2</v>
      </c>
      <c r="BE16" s="7">
        <v>2.2</v>
      </c>
      <c r="BF16" s="7">
        <v>4.1</v>
      </c>
      <c r="BG16" s="7">
        <v>1.7</v>
      </c>
      <c r="BH16" s="7">
        <v>0.8</v>
      </c>
      <c r="BI16" s="7">
        <v>2.6</v>
      </c>
      <c r="BJ16" s="7">
        <v>0.6</v>
      </c>
      <c r="BK16" s="7">
        <v>3.2</v>
      </c>
      <c r="BL16" s="7">
        <v>0.5</v>
      </c>
      <c r="BM16" s="7">
        <v>-5.1</v>
      </c>
      <c r="BN16" s="7">
        <v>4.1</v>
      </c>
      <c r="BO16" s="7">
        <v>-6.3</v>
      </c>
      <c r="BP16" s="7">
        <v>4.9</v>
      </c>
      <c r="BQ16" s="7">
        <v>8</v>
      </c>
      <c r="BR16" s="7">
        <v>6</v>
      </c>
      <c r="BS16" s="7">
        <v>8.8</v>
      </c>
      <c r="BT16" s="7">
        <v>9.3</v>
      </c>
      <c r="BU16" s="7">
        <v>4</v>
      </c>
      <c r="BV16" s="7">
        <v>-3</v>
      </c>
      <c r="BW16" s="7">
        <v>-0.7</v>
      </c>
      <c r="BX16" s="7">
        <v>-3.9</v>
      </c>
      <c r="BY16" s="7">
        <v>-0.9</v>
      </c>
      <c r="BZ16" s="7">
        <v>14.5</v>
      </c>
      <c r="CA16" s="7">
        <v>-0.3</v>
      </c>
      <c r="CB16" s="7">
        <v>2.3</v>
      </c>
      <c r="CC16" s="7">
        <v>6.3</v>
      </c>
      <c r="CD16" s="7">
        <v>7.3</v>
      </c>
      <c r="CE16" s="7">
        <v>7.2</v>
      </c>
      <c r="CF16" s="7">
        <v>5.7</v>
      </c>
      <c r="CG16" s="7">
        <v>2.8</v>
      </c>
      <c r="CH16" s="7">
        <v>-1.1</v>
      </c>
      <c r="CI16" s="7">
        <v>-4.4</v>
      </c>
      <c r="CJ16" s="7">
        <v>-6</v>
      </c>
      <c r="CK16" s="7">
        <v>-5.3</v>
      </c>
      <c r="CL16" s="7">
        <v>7.8</v>
      </c>
      <c r="CM16" s="7">
        <v>-8.4</v>
      </c>
      <c r="CN16" s="7">
        <v>1</v>
      </c>
      <c r="CO16" s="7">
        <v>1.8</v>
      </c>
      <c r="CP16" s="7">
        <v>3.3</v>
      </c>
      <c r="CQ16" s="7">
        <v>3.1</v>
      </c>
      <c r="CR16" s="7">
        <v>3.8</v>
      </c>
      <c r="CS16" s="7">
        <v>2.3</v>
      </c>
      <c r="CT16" s="7">
        <v>1.2</v>
      </c>
      <c r="CU16" s="7">
        <v>1.3</v>
      </c>
      <c r="CV16" s="7">
        <v>1.1</v>
      </c>
      <c r="CW16" s="7">
        <v>-1.1</v>
      </c>
      <c r="CX16" s="7">
        <v>6.3</v>
      </c>
      <c r="CY16" s="7">
        <v>-16.8</v>
      </c>
      <c r="CZ16" s="7">
        <v>-1.8</v>
      </c>
      <c r="DA16" s="7">
        <v>2.3</v>
      </c>
      <c r="DB16" s="7">
        <v>4.1</v>
      </c>
      <c r="DC16" s="7">
        <v>4.4</v>
      </c>
      <c r="DD16" s="7">
        <v>5</v>
      </c>
      <c r="DE16" s="7">
        <v>-1.4</v>
      </c>
      <c r="DF16" s="7"/>
      <c r="DG16" s="7">
        <v>0.3</v>
      </c>
      <c r="DH16" s="7">
        <v>1.4</v>
      </c>
      <c r="DI16" s="7">
        <v>2</v>
      </c>
      <c r="DJ16" s="7">
        <v>9.2</v>
      </c>
      <c r="DK16" s="7">
        <v>-4.3</v>
      </c>
      <c r="DL16" s="7">
        <v>0.9</v>
      </c>
      <c r="DM16" s="7">
        <v>1.8</v>
      </c>
      <c r="DN16" s="7">
        <v>6.6</v>
      </c>
      <c r="DO16" s="7">
        <v>3.4</v>
      </c>
      <c r="DP16" s="7">
        <v>4.4</v>
      </c>
      <c r="DQ16" s="7">
        <v>3.7</v>
      </c>
      <c r="DR16" s="7">
        <v>-0.2</v>
      </c>
      <c r="DS16" s="7">
        <v>1.6</v>
      </c>
      <c r="DT16" s="7">
        <v>0.9</v>
      </c>
      <c r="DU16" s="7">
        <v>-1.9</v>
      </c>
      <c r="DV16" s="7">
        <v>6.9</v>
      </c>
      <c r="DW16" s="7">
        <v>-4.7</v>
      </c>
      <c r="DX16" s="7">
        <v>-0.3</v>
      </c>
      <c r="DY16" s="7">
        <v>0.5</v>
      </c>
      <c r="DZ16" s="7">
        <v>2.5</v>
      </c>
      <c r="EA16" s="7">
        <v>1.6</v>
      </c>
      <c r="EB16" s="7">
        <v>4.3</v>
      </c>
      <c r="EC16" s="7">
        <v>3.6</v>
      </c>
      <c r="ED16" s="7">
        <v>1.6</v>
      </c>
      <c r="EE16" s="7">
        <v>0.5</v>
      </c>
      <c r="EF16" s="7"/>
      <c r="EG16" s="7">
        <v>-2</v>
      </c>
      <c r="EH16" s="7">
        <v>10.6</v>
      </c>
      <c r="EI16" s="7">
        <v>-4.7</v>
      </c>
      <c r="EJ16" s="7">
        <v>-0.8</v>
      </c>
      <c r="EK16" s="7">
        <v>1.3</v>
      </c>
      <c r="EL16" s="7">
        <v>2.6</v>
      </c>
      <c r="EM16" s="7">
        <v>0.6</v>
      </c>
      <c r="EN16" s="7">
        <v>2.9</v>
      </c>
      <c r="EO16" s="7">
        <v>0.7</v>
      </c>
      <c r="EP16" s="7">
        <v>0.5</v>
      </c>
      <c r="EQ16" s="7">
        <v>1.2</v>
      </c>
      <c r="ER16" s="7">
        <v>-1</v>
      </c>
      <c r="ES16" s="7">
        <v>-2</v>
      </c>
      <c r="ET16" s="7">
        <v>10.7</v>
      </c>
      <c r="EU16" s="7">
        <v>-6.9</v>
      </c>
      <c r="EV16" s="7">
        <v>-0.9</v>
      </c>
      <c r="EW16" s="7">
        <v>1.3</v>
      </c>
      <c r="EX16" s="7">
        <v>0.7</v>
      </c>
      <c r="EY16" s="7">
        <v>1.5</v>
      </c>
      <c r="EZ16" s="7">
        <v>4.3</v>
      </c>
      <c r="FA16" s="7">
        <v>-3.1</v>
      </c>
      <c r="FB16" s="7">
        <v>-0.6</v>
      </c>
      <c r="FC16" s="7">
        <v>-1</v>
      </c>
      <c r="FD16" s="7">
        <v>-1.1</v>
      </c>
      <c r="FE16" s="7">
        <v>-2.3</v>
      </c>
      <c r="FF16" s="7">
        <v>7.7</v>
      </c>
      <c r="FG16" s="7">
        <v>-7.6</v>
      </c>
      <c r="FH16" s="7">
        <v>0.1</v>
      </c>
      <c r="FI16" s="7">
        <v>-5.7</v>
      </c>
      <c r="FJ16" s="7">
        <v>3</v>
      </c>
      <c r="FK16" s="7">
        <v>2.9</v>
      </c>
      <c r="FL16" s="7">
        <v>3.9</v>
      </c>
      <c r="FM16" s="7">
        <v>-0.9</v>
      </c>
      <c r="FN16" s="7">
        <v>-4</v>
      </c>
      <c r="FO16" s="7">
        <v>-1</v>
      </c>
      <c r="FP16" s="7">
        <v>-6.9</v>
      </c>
      <c r="FQ16" s="7">
        <v>-4.1</v>
      </c>
      <c r="FR16" s="7"/>
      <c r="FS16" s="7">
        <v>-7.7</v>
      </c>
      <c r="FT16" s="7">
        <v>-1.4</v>
      </c>
      <c r="FU16" s="7">
        <v>1.6</v>
      </c>
      <c r="FV16" s="7">
        <v>-1.8</v>
      </c>
      <c r="FW16" s="7">
        <v>6.7</v>
      </c>
      <c r="FX16" s="7">
        <v>5.2</v>
      </c>
      <c r="FY16" s="7">
        <v>-0.7</v>
      </c>
      <c r="FZ16" s="7">
        <v>4.5</v>
      </c>
      <c r="GA16" s="7">
        <v>1.2</v>
      </c>
      <c r="GB16" s="7">
        <v>0.1</v>
      </c>
      <c r="GC16" s="7">
        <v>-0.9</v>
      </c>
      <c r="GD16" s="7">
        <v>3.9</v>
      </c>
      <c r="GE16" s="7">
        <v>-5.1</v>
      </c>
      <c r="GF16" s="7">
        <v>5.4</v>
      </c>
      <c r="GG16" s="7">
        <v>5.3</v>
      </c>
      <c r="GH16" s="7">
        <v>7.2</v>
      </c>
      <c r="GI16" s="7">
        <v>6.4</v>
      </c>
      <c r="GJ16" s="7">
        <v>6.5</v>
      </c>
      <c r="GK16" s="7">
        <v>0.7</v>
      </c>
      <c r="GL16" s="7">
        <v>-2.8</v>
      </c>
      <c r="GM16" s="7">
        <v>0.8</v>
      </c>
      <c r="GN16" s="7">
        <v>0.8</v>
      </c>
      <c r="GO16" s="7">
        <v>-0.3</v>
      </c>
      <c r="GP16" s="7">
        <v>11.5</v>
      </c>
      <c r="GQ16" s="7">
        <v>-7.4</v>
      </c>
      <c r="GR16" s="7">
        <v>1.3</v>
      </c>
      <c r="GS16" s="7">
        <v>0.3</v>
      </c>
      <c r="GT16" s="7">
        <v>4.8</v>
      </c>
      <c r="GU16" s="7">
        <v>1</v>
      </c>
      <c r="GV16" s="7">
        <v>5.1</v>
      </c>
      <c r="GW16" s="7">
        <v>2.1</v>
      </c>
      <c r="GX16" s="7">
        <v>-2.6</v>
      </c>
      <c r="GY16" s="7">
        <v>-0.2</v>
      </c>
      <c r="GZ16" s="7">
        <v>-2.1</v>
      </c>
      <c r="HA16" s="7">
        <v>-0.7</v>
      </c>
      <c r="HB16" s="7">
        <v>10.2</v>
      </c>
      <c r="HC16" s="7">
        <v>-6.6</v>
      </c>
      <c r="HD16" s="7">
        <v>-1.3</v>
      </c>
      <c r="HE16" s="7">
        <v>0.9</v>
      </c>
      <c r="HF16" s="7">
        <v>4.2</v>
      </c>
      <c r="HG16" s="7">
        <v>2.9</v>
      </c>
      <c r="HH16" s="7">
        <v>6.1</v>
      </c>
      <c r="HI16" s="7">
        <v>2.2</v>
      </c>
      <c r="HJ16" s="7">
        <v>-0.2</v>
      </c>
      <c r="HK16" s="7">
        <v>-1.6</v>
      </c>
      <c r="HL16" s="7">
        <v>1.7</v>
      </c>
      <c r="HM16" s="7">
        <v>-1</v>
      </c>
      <c r="HN16" s="7">
        <v>8.5</v>
      </c>
      <c r="HO16" s="7">
        <v>-4</v>
      </c>
      <c r="HP16" s="7">
        <v>-1.6</v>
      </c>
      <c r="HQ16" s="7">
        <v>2.7</v>
      </c>
      <c r="HR16" s="7">
        <v>0.6</v>
      </c>
      <c r="HS16" s="7">
        <v>1.7</v>
      </c>
      <c r="HT16" s="7">
        <v>-0.6</v>
      </c>
      <c r="HU16" s="7">
        <v>0.2</v>
      </c>
      <c r="HV16" s="7">
        <v>0.5</v>
      </c>
      <c r="HW16" s="7">
        <v>-0.7</v>
      </c>
      <c r="HX16" s="7">
        <v>-0.1</v>
      </c>
      <c r="HY16" s="7">
        <v>-1.4</v>
      </c>
      <c r="HZ16" s="7">
        <v>4.5</v>
      </c>
      <c r="IA16" s="7">
        <v>-4.8</v>
      </c>
      <c r="IB16" s="7">
        <v>1.2</v>
      </c>
      <c r="IC16" s="7">
        <v>3.9</v>
      </c>
      <c r="ID16" s="7">
        <v>11.8</v>
      </c>
      <c r="IE16" s="7">
        <v>7.5</v>
      </c>
      <c r="IF16" s="7">
        <v>0.6</v>
      </c>
      <c r="IG16" s="7">
        <v>3.6</v>
      </c>
      <c r="IH16" s="7">
        <v>1.3</v>
      </c>
      <c r="II16" s="7">
        <v>-3.9</v>
      </c>
      <c r="IJ16" s="7">
        <v>-0.2</v>
      </c>
      <c r="IK16" s="7">
        <v>-3.5</v>
      </c>
      <c r="IL16" s="7">
        <v>4.5</v>
      </c>
      <c r="IM16" s="7">
        <v>-4</v>
      </c>
      <c r="IN16" s="7">
        <v>1.1</v>
      </c>
      <c r="IO16" s="7">
        <v>1.7</v>
      </c>
      <c r="IP16" s="7">
        <v>3.3</v>
      </c>
      <c r="IQ16" s="7">
        <v>2.8</v>
      </c>
      <c r="IR16" s="7">
        <v>2.1</v>
      </c>
      <c r="IS16" s="7">
        <v>0.2</v>
      </c>
      <c r="IT16" s="7">
        <v>-0.7</v>
      </c>
      <c r="IU16" s="7">
        <v>-1</v>
      </c>
      <c r="IV16" s="7">
        <v>1</v>
      </c>
      <c r="IW16" s="7">
        <v>-3.6</v>
      </c>
      <c r="IX16" s="7">
        <v>3.2</v>
      </c>
      <c r="IY16" s="7">
        <v>-0.2</v>
      </c>
      <c r="IZ16" s="7">
        <v>0.1</v>
      </c>
      <c r="JA16" s="7">
        <v>2.2</v>
      </c>
      <c r="JB16" s="7">
        <v>1.6</v>
      </c>
      <c r="JC16" s="7">
        <v>-1</v>
      </c>
      <c r="JD16" s="7">
        <v>6</v>
      </c>
      <c r="JE16" s="7">
        <v>2.6</v>
      </c>
      <c r="JF16" s="7">
        <v>-1.4</v>
      </c>
      <c r="JG16" s="7">
        <v>0.6</v>
      </c>
      <c r="JH16" s="7">
        <v>-0.2</v>
      </c>
      <c r="JI16" s="7">
        <v>-1.8</v>
      </c>
      <c r="JJ16" s="7">
        <v>3.4</v>
      </c>
      <c r="JK16" s="7">
        <v>-3.3</v>
      </c>
      <c r="JL16" s="7">
        <v>-1.7</v>
      </c>
      <c r="JM16" s="7">
        <v>0.7</v>
      </c>
      <c r="JN16" s="7">
        <v>4.5</v>
      </c>
      <c r="JO16" s="7">
        <v>-0.4</v>
      </c>
      <c r="JP16" s="7">
        <v>4.3</v>
      </c>
      <c r="JQ16" s="7">
        <v>0.3</v>
      </c>
      <c r="JR16" s="7">
        <v>0.2</v>
      </c>
      <c r="JS16" s="7">
        <v>1.1</v>
      </c>
      <c r="JT16" s="7">
        <v>-0.6</v>
      </c>
      <c r="JU16" s="7">
        <v>-1.7</v>
      </c>
      <c r="JV16" s="7">
        <v>4.8</v>
      </c>
      <c r="JW16" s="7">
        <v>-0.7</v>
      </c>
      <c r="JX16" s="7">
        <v>0.2</v>
      </c>
      <c r="JY16" s="7">
        <v>0.5</v>
      </c>
      <c r="JZ16" s="7"/>
      <c r="KA16" s="7">
        <v>1.8</v>
      </c>
      <c r="KB16" s="7">
        <v>5.8</v>
      </c>
      <c r="KC16" s="7">
        <v>1.3</v>
      </c>
      <c r="KD16" s="7">
        <v>2</v>
      </c>
      <c r="KE16" s="7">
        <v>-1.4</v>
      </c>
      <c r="KF16" s="7">
        <v>1.2</v>
      </c>
      <c r="KG16" s="7">
        <v>0.6</v>
      </c>
      <c r="KH16" s="7">
        <v>7.7</v>
      </c>
      <c r="KI16" s="7">
        <v>-2.1</v>
      </c>
      <c r="KJ16" s="7">
        <v>-1.3</v>
      </c>
      <c r="KK16" s="7">
        <v>1.4</v>
      </c>
      <c r="KL16" s="7">
        <v>3.2</v>
      </c>
      <c r="KM16" s="7">
        <v>1.9</v>
      </c>
      <c r="KN16" s="7">
        <v>4.9</v>
      </c>
      <c r="KO16" s="7">
        <v>1.5</v>
      </c>
      <c r="KP16" s="7">
        <v>0.5</v>
      </c>
      <c r="KQ16" s="7">
        <v>-2.7</v>
      </c>
      <c r="KR16" s="7">
        <v>-0.8</v>
      </c>
      <c r="KS16" s="7">
        <v>-1.8</v>
      </c>
      <c r="KT16" s="7">
        <v>3.9</v>
      </c>
      <c r="KU16" s="7">
        <v>-3.7</v>
      </c>
      <c r="KV16" s="7">
        <v>-1.9</v>
      </c>
      <c r="KW16" s="7">
        <v>-0.1</v>
      </c>
      <c r="KX16" s="7">
        <v>2.5</v>
      </c>
      <c r="KY16" s="7">
        <v>3.8</v>
      </c>
      <c r="KZ16" s="7">
        <v>2.1</v>
      </c>
    </row>
    <row r="17" spans="1:312">
      <c r="A17" s="6" t="s">
        <v>316</v>
      </c>
      <c r="B17" s="7">
        <v>-4.6</v>
      </c>
      <c r="C17" s="7">
        <v>2.5</v>
      </c>
      <c r="D17" s="7">
        <v>0.8</v>
      </c>
      <c r="E17" s="7">
        <v>-6</v>
      </c>
      <c r="F17" s="7">
        <v>2.8</v>
      </c>
      <c r="G17" s="7">
        <v>-9.7</v>
      </c>
      <c r="H17" s="7">
        <v>-5.9</v>
      </c>
      <c r="I17" s="7">
        <v>-4.2</v>
      </c>
      <c r="J17" s="7">
        <v>-0.2</v>
      </c>
      <c r="K17" s="7">
        <v>-1.8</v>
      </c>
      <c r="L17" s="7">
        <v>3.9</v>
      </c>
      <c r="M17" s="7">
        <v>6.9</v>
      </c>
      <c r="N17" s="7">
        <v>9.8</v>
      </c>
      <c r="O17" s="7">
        <v>16.7</v>
      </c>
      <c r="P17" s="7">
        <v>15.6</v>
      </c>
      <c r="Q17" s="7">
        <v>10</v>
      </c>
      <c r="R17" s="7">
        <v>23.3</v>
      </c>
      <c r="S17" s="7">
        <v>-11.4</v>
      </c>
      <c r="T17" s="7">
        <v>-8.6</v>
      </c>
      <c r="U17" s="7">
        <v>-5.5</v>
      </c>
      <c r="V17" s="7">
        <v>-4.9</v>
      </c>
      <c r="W17" s="7">
        <v>-2.7</v>
      </c>
      <c r="X17" s="7">
        <v>2.9</v>
      </c>
      <c r="Y17" s="7">
        <v>5.3</v>
      </c>
      <c r="Z17" s="7">
        <v>8.1</v>
      </c>
      <c r="AA17" s="7">
        <v>7.8</v>
      </c>
      <c r="AB17" s="7">
        <v>13.7</v>
      </c>
      <c r="AC17" s="7">
        <v>13.1</v>
      </c>
      <c r="AD17" s="7">
        <v>23.3</v>
      </c>
      <c r="AE17" s="7">
        <v>-11.5</v>
      </c>
      <c r="AF17" s="7">
        <v>-5</v>
      </c>
      <c r="AG17" s="7">
        <v>-1.5</v>
      </c>
      <c r="AH17" s="7">
        <v>3.2</v>
      </c>
      <c r="AI17" s="7">
        <v>7.8</v>
      </c>
      <c r="AJ17" s="7">
        <v>17.5</v>
      </c>
      <c r="AK17" s="7">
        <v>25.4</v>
      </c>
      <c r="AL17" s="7">
        <v>28.6</v>
      </c>
      <c r="AM17" s="7">
        <v>34.8</v>
      </c>
      <c r="AN17" s="7">
        <v>43.4</v>
      </c>
      <c r="AO17" s="7">
        <v>39</v>
      </c>
      <c r="AP17" s="7">
        <v>47.5</v>
      </c>
      <c r="AQ17" s="7">
        <v>-3.1</v>
      </c>
      <c r="AR17" s="7">
        <v>1.1</v>
      </c>
      <c r="AS17" s="7">
        <v>2.6</v>
      </c>
      <c r="AT17" s="7">
        <v>7.7</v>
      </c>
      <c r="AU17" s="7">
        <v>9.2</v>
      </c>
      <c r="AV17" s="7">
        <v>18</v>
      </c>
      <c r="AW17" s="7">
        <v>25.3</v>
      </c>
      <c r="AX17" s="7">
        <v>28.2</v>
      </c>
      <c r="AY17" s="7">
        <v>30.8</v>
      </c>
      <c r="AZ17" s="7">
        <v>39.2</v>
      </c>
      <c r="BA17" s="7">
        <v>45</v>
      </c>
      <c r="BB17" s="7">
        <v>59</v>
      </c>
      <c r="BC17" s="7">
        <v>-8.8</v>
      </c>
      <c r="BD17" s="7">
        <v>-5.9</v>
      </c>
      <c r="BE17" s="7">
        <v>-3.8</v>
      </c>
      <c r="BF17" s="7">
        <v>0.2</v>
      </c>
      <c r="BG17" s="7">
        <v>1.8</v>
      </c>
      <c r="BH17" s="7">
        <v>2.7</v>
      </c>
      <c r="BI17" s="7">
        <v>5.3</v>
      </c>
      <c r="BJ17" s="7">
        <v>6</v>
      </c>
      <c r="BK17" s="7">
        <v>9.3</v>
      </c>
      <c r="BL17" s="7">
        <v>9.9</v>
      </c>
      <c r="BM17" s="7">
        <v>4.3</v>
      </c>
      <c r="BN17" s="7">
        <v>8.6</v>
      </c>
      <c r="BO17" s="7">
        <v>-6.3</v>
      </c>
      <c r="BP17" s="7">
        <v>-1.8</v>
      </c>
      <c r="BQ17" s="7">
        <v>6</v>
      </c>
      <c r="BR17" s="7">
        <v>12.4</v>
      </c>
      <c r="BS17" s="7">
        <v>22.2</v>
      </c>
      <c r="BT17" s="7">
        <v>33.6</v>
      </c>
      <c r="BU17" s="7">
        <v>38.9</v>
      </c>
      <c r="BV17" s="7">
        <v>34.8</v>
      </c>
      <c r="BW17" s="7">
        <v>33.8</v>
      </c>
      <c r="BX17" s="7">
        <v>28.6</v>
      </c>
      <c r="BY17" s="7">
        <v>27.4</v>
      </c>
      <c r="BZ17" s="7">
        <v>45.9</v>
      </c>
      <c r="CA17" s="7">
        <v>-0.3</v>
      </c>
      <c r="CB17" s="7">
        <v>2.1</v>
      </c>
      <c r="CC17" s="7">
        <v>8.5</v>
      </c>
      <c r="CD17" s="7">
        <v>16.5</v>
      </c>
      <c r="CE17" s="7">
        <v>24.9</v>
      </c>
      <c r="CF17" s="7">
        <v>32</v>
      </c>
      <c r="CG17" s="7">
        <v>35.7</v>
      </c>
      <c r="CH17" s="7">
        <v>34.2</v>
      </c>
      <c r="CI17" s="7">
        <v>28.3</v>
      </c>
      <c r="CJ17" s="7">
        <v>20.6</v>
      </c>
      <c r="CK17" s="7">
        <v>14.2</v>
      </c>
      <c r="CL17" s="7">
        <v>23.1</v>
      </c>
      <c r="CM17" s="7">
        <v>-8.4</v>
      </c>
      <c r="CN17" s="7">
        <v>-7.5</v>
      </c>
      <c r="CO17" s="7">
        <v>-5.9</v>
      </c>
      <c r="CP17" s="7">
        <v>-2.8</v>
      </c>
      <c r="CQ17" s="7">
        <v>0.2</v>
      </c>
      <c r="CR17" s="7">
        <v>4</v>
      </c>
      <c r="CS17" s="7">
        <v>6.4</v>
      </c>
      <c r="CT17" s="7">
        <v>7.7</v>
      </c>
      <c r="CU17" s="7">
        <v>9.1</v>
      </c>
      <c r="CV17" s="7">
        <v>10.3</v>
      </c>
      <c r="CW17" s="7">
        <v>9.1</v>
      </c>
      <c r="CX17" s="7">
        <v>16</v>
      </c>
      <c r="CY17" s="7">
        <v>-16.8</v>
      </c>
      <c r="CZ17" s="7">
        <v>-18.2</v>
      </c>
      <c r="DA17" s="7">
        <v>-16.3</v>
      </c>
      <c r="DB17" s="7">
        <v>-12.9</v>
      </c>
      <c r="DC17" s="7">
        <v>-9.1</v>
      </c>
      <c r="DD17" s="7">
        <v>-4.6</v>
      </c>
      <c r="DE17" s="7">
        <v>-5.9</v>
      </c>
      <c r="DF17" s="7">
        <v>-5.9</v>
      </c>
      <c r="DG17" s="7">
        <v>-5.6</v>
      </c>
      <c r="DH17" s="7">
        <v>-4.3</v>
      </c>
      <c r="DI17" s="7">
        <v>-2.5</v>
      </c>
      <c r="DJ17" s="7">
        <v>6.5</v>
      </c>
      <c r="DK17" s="7">
        <v>-4.3</v>
      </c>
      <c r="DL17" s="7">
        <v>-3.4</v>
      </c>
      <c r="DM17" s="7">
        <v>-1.7</v>
      </c>
      <c r="DN17" s="7">
        <v>4.8</v>
      </c>
      <c r="DO17" s="7">
        <v>8.4</v>
      </c>
      <c r="DP17" s="7">
        <v>13.2</v>
      </c>
      <c r="DQ17" s="7">
        <v>17.4</v>
      </c>
      <c r="DR17" s="7">
        <v>17.1</v>
      </c>
      <c r="DS17" s="7">
        <v>18.9</v>
      </c>
      <c r="DT17" s="7">
        <v>20</v>
      </c>
      <c r="DU17" s="7">
        <v>17.7</v>
      </c>
      <c r="DV17" s="7">
        <v>25.7</v>
      </c>
      <c r="DW17" s="7">
        <v>-4.7</v>
      </c>
      <c r="DX17" s="7">
        <v>-5</v>
      </c>
      <c r="DY17" s="7">
        <v>-4.5</v>
      </c>
      <c r="DZ17" s="7">
        <v>-2.1</v>
      </c>
      <c r="EA17" s="7">
        <v>-0.5</v>
      </c>
      <c r="EB17" s="7">
        <v>3.8</v>
      </c>
      <c r="EC17" s="7">
        <v>7.5</v>
      </c>
      <c r="ED17" s="7">
        <v>9.2</v>
      </c>
      <c r="EE17" s="7">
        <v>9.8</v>
      </c>
      <c r="EF17" s="7">
        <v>9.7</v>
      </c>
      <c r="EG17" s="7">
        <v>7.5</v>
      </c>
      <c r="EH17" s="7">
        <v>18.9</v>
      </c>
      <c r="EI17" s="7">
        <v>-4.7</v>
      </c>
      <c r="EJ17" s="7">
        <v>-5.4</v>
      </c>
      <c r="EK17" s="7">
        <v>-4.2</v>
      </c>
      <c r="EL17" s="7">
        <v>-1.8</v>
      </c>
      <c r="EM17" s="7">
        <v>-1.1</v>
      </c>
      <c r="EN17" s="7">
        <v>1.7</v>
      </c>
      <c r="EO17" s="7">
        <v>2.4</v>
      </c>
      <c r="EP17" s="7">
        <v>2.9</v>
      </c>
      <c r="EQ17" s="7">
        <v>4.1</v>
      </c>
      <c r="ER17" s="7">
        <v>3.1</v>
      </c>
      <c r="ES17" s="7">
        <v>1</v>
      </c>
      <c r="ET17" s="7">
        <v>11.9</v>
      </c>
      <c r="EU17" s="7">
        <v>-6.9</v>
      </c>
      <c r="EV17" s="7">
        <v>-7.8</v>
      </c>
      <c r="EW17" s="7">
        <v>-6.5</v>
      </c>
      <c r="EX17" s="7">
        <v>-5.8</v>
      </c>
      <c r="EY17" s="7">
        <v>-4.4</v>
      </c>
      <c r="EZ17" s="7">
        <v>-0.3</v>
      </c>
      <c r="FA17" s="7">
        <v>-3.4</v>
      </c>
      <c r="FB17" s="7">
        <v>-3.9</v>
      </c>
      <c r="FC17" s="7">
        <v>-4.9</v>
      </c>
      <c r="FD17" s="7">
        <v>-5.9</v>
      </c>
      <c r="FE17" s="7">
        <v>-8.1</v>
      </c>
      <c r="FF17" s="7">
        <v>-1</v>
      </c>
      <c r="FG17" s="7">
        <v>-7.6</v>
      </c>
      <c r="FH17" s="7">
        <v>-7.4</v>
      </c>
      <c r="FI17" s="7">
        <v>-12.7</v>
      </c>
      <c r="FJ17" s="7">
        <v>-10.1</v>
      </c>
      <c r="FK17" s="7">
        <v>-7.6</v>
      </c>
      <c r="FL17" s="7">
        <v>-4</v>
      </c>
      <c r="FM17" s="7">
        <v>-4.8</v>
      </c>
      <c r="FN17" s="7">
        <v>-8.6</v>
      </c>
      <c r="FO17" s="7">
        <v>-9.5</v>
      </c>
      <c r="FP17" s="7">
        <v>-15.7</v>
      </c>
      <c r="FQ17" s="7">
        <v>-19.2</v>
      </c>
      <c r="FR17" s="7">
        <v>-25.8</v>
      </c>
      <c r="FS17" s="7">
        <v>-7.7</v>
      </c>
      <c r="FT17" s="7">
        <v>-9</v>
      </c>
      <c r="FU17" s="7">
        <v>-7.6</v>
      </c>
      <c r="FV17" s="7">
        <v>-9.3</v>
      </c>
      <c r="FW17" s="7">
        <v>-3.2</v>
      </c>
      <c r="FX17" s="7">
        <v>1.9</v>
      </c>
      <c r="FY17" s="7">
        <v>1.2</v>
      </c>
      <c r="FZ17" s="7">
        <v>5.7</v>
      </c>
      <c r="GA17" s="7">
        <v>6.9</v>
      </c>
      <c r="GB17" s="7">
        <v>7.1</v>
      </c>
      <c r="GC17" s="7">
        <v>6.1</v>
      </c>
      <c r="GD17" s="7">
        <v>10.2</v>
      </c>
      <c r="GE17" s="7">
        <v>-5.1</v>
      </c>
      <c r="GF17" s="7"/>
      <c r="GG17" s="7">
        <v>5.3</v>
      </c>
      <c r="GH17" s="7">
        <v>12.9</v>
      </c>
      <c r="GI17" s="7">
        <v>20.1</v>
      </c>
      <c r="GJ17" s="7">
        <v>27.9</v>
      </c>
      <c r="GK17" s="7">
        <v>28.8</v>
      </c>
      <c r="GL17" s="7">
        <v>25.2</v>
      </c>
      <c r="GM17" s="7">
        <v>26.2</v>
      </c>
      <c r="GN17" s="7">
        <v>27.2</v>
      </c>
      <c r="GO17" s="7">
        <v>26.7</v>
      </c>
      <c r="GP17" s="7">
        <v>41.4</v>
      </c>
      <c r="GQ17" s="7">
        <v>-7.4</v>
      </c>
      <c r="GR17" s="7">
        <v>-6.2</v>
      </c>
      <c r="GS17" s="7">
        <v>-5.9</v>
      </c>
      <c r="GT17" s="7">
        <v>-1.4</v>
      </c>
      <c r="GU17" s="7">
        <v>-0.4</v>
      </c>
      <c r="GV17" s="7">
        <v>4.7</v>
      </c>
      <c r="GW17" s="7">
        <v>6.9</v>
      </c>
      <c r="GX17" s="7">
        <v>4.1</v>
      </c>
      <c r="GY17" s="7">
        <v>3.8</v>
      </c>
      <c r="GZ17" s="7">
        <v>1.7</v>
      </c>
      <c r="HA17" s="7">
        <v>1</v>
      </c>
      <c r="HB17" s="7">
        <v>11.3</v>
      </c>
      <c r="HC17" s="7">
        <v>-6.6</v>
      </c>
      <c r="HD17" s="7">
        <v>-7.8</v>
      </c>
      <c r="HE17" s="7">
        <v>-7</v>
      </c>
      <c r="HF17" s="7">
        <v>-3.1</v>
      </c>
      <c r="HG17" s="7">
        <v>-0.3</v>
      </c>
      <c r="HH17" s="7">
        <v>5.8</v>
      </c>
      <c r="HI17" s="7">
        <v>8.1</v>
      </c>
      <c r="HJ17" s="7">
        <v>7.9</v>
      </c>
      <c r="HK17" s="7">
        <v>6.2</v>
      </c>
      <c r="HL17" s="7">
        <v>8</v>
      </c>
      <c r="HM17" s="7">
        <v>7</v>
      </c>
      <c r="HN17" s="7">
        <v>16.1</v>
      </c>
      <c r="HO17" s="7">
        <v>-4</v>
      </c>
      <c r="HP17" s="7">
        <v>-5.5</v>
      </c>
      <c r="HQ17" s="7">
        <v>-3</v>
      </c>
      <c r="HR17" s="7">
        <v>-2.3</v>
      </c>
      <c r="HS17" s="7">
        <v>-0.6</v>
      </c>
      <c r="HT17" s="7">
        <v>-1.3</v>
      </c>
      <c r="HU17" s="7">
        <v>-1.1</v>
      </c>
      <c r="HV17" s="7">
        <v>-0.6</v>
      </c>
      <c r="HW17" s="7">
        <v>-1.2</v>
      </c>
      <c r="HX17" s="7">
        <v>-1.3</v>
      </c>
      <c r="HY17" s="7">
        <v>-2.6</v>
      </c>
      <c r="HZ17" s="7">
        <v>1.8</v>
      </c>
      <c r="IA17" s="7">
        <v>-4.8</v>
      </c>
      <c r="IB17" s="7">
        <v>-3.7</v>
      </c>
      <c r="IC17" s="7"/>
      <c r="ID17" s="7">
        <v>11.8</v>
      </c>
      <c r="IE17" s="7">
        <v>20.3</v>
      </c>
      <c r="IF17" s="7">
        <v>21</v>
      </c>
      <c r="IG17" s="7">
        <v>25.4</v>
      </c>
      <c r="IH17" s="7">
        <v>27</v>
      </c>
      <c r="II17" s="7">
        <v>22.1</v>
      </c>
      <c r="IJ17" s="7">
        <v>21.9</v>
      </c>
      <c r="IK17" s="7">
        <v>17.7</v>
      </c>
      <c r="IL17" s="7">
        <v>22.9</v>
      </c>
      <c r="IM17" s="7">
        <v>-4</v>
      </c>
      <c r="IN17" s="7">
        <v>-2.9</v>
      </c>
      <c r="IO17" s="7">
        <v>-1.2</v>
      </c>
      <c r="IP17" s="7">
        <v>2</v>
      </c>
      <c r="IQ17" s="7">
        <v>4.8</v>
      </c>
      <c r="IR17" s="7">
        <v>7</v>
      </c>
      <c r="IS17" s="7">
        <v>7.3</v>
      </c>
      <c r="IT17" s="7">
        <v>6.6</v>
      </c>
      <c r="IU17" s="7">
        <v>5.5</v>
      </c>
      <c r="IV17" s="7">
        <v>6.6</v>
      </c>
      <c r="IW17" s="7">
        <v>2.7</v>
      </c>
      <c r="IX17" s="7">
        <v>6</v>
      </c>
      <c r="IY17" s="7">
        <v>-0.2</v>
      </c>
      <c r="IZ17" s="7">
        <v>-0.2</v>
      </c>
      <c r="JA17" s="7">
        <v>2</v>
      </c>
      <c r="JB17" s="7">
        <v>3.6</v>
      </c>
      <c r="JC17" s="7">
        <v>2.6</v>
      </c>
      <c r="JD17" s="7">
        <v>8.8</v>
      </c>
      <c r="JE17" s="7">
        <v>11.6</v>
      </c>
      <c r="JF17" s="7">
        <v>10</v>
      </c>
      <c r="JG17" s="7">
        <v>10.6</v>
      </c>
      <c r="JH17" s="7">
        <v>10.4</v>
      </c>
      <c r="JI17" s="7">
        <v>8.5</v>
      </c>
      <c r="JJ17" s="7">
        <v>12.1</v>
      </c>
      <c r="JK17" s="7">
        <v>-3.3</v>
      </c>
      <c r="JL17" s="7">
        <v>-4.9</v>
      </c>
      <c r="JM17" s="7">
        <v>-4.2</v>
      </c>
      <c r="JN17" s="7">
        <v>0.1</v>
      </c>
      <c r="JO17" s="7">
        <v>-0.3</v>
      </c>
      <c r="JP17" s="7">
        <v>4</v>
      </c>
      <c r="JQ17" s="7">
        <v>4.4</v>
      </c>
      <c r="JR17" s="7">
        <v>4.6</v>
      </c>
      <c r="JS17" s="7">
        <v>5.7</v>
      </c>
      <c r="JT17" s="7">
        <v>5.1</v>
      </c>
      <c r="JU17" s="7">
        <v>3.3</v>
      </c>
      <c r="JV17" s="7">
        <v>8.3</v>
      </c>
      <c r="JW17" s="7">
        <v>-0.7</v>
      </c>
      <c r="JX17" s="7">
        <v>-0.5</v>
      </c>
      <c r="JY17" s="7"/>
      <c r="JZ17" s="7"/>
      <c r="KA17" s="7">
        <v>1.7</v>
      </c>
      <c r="KB17" s="7">
        <v>7.6</v>
      </c>
      <c r="KC17" s="7">
        <v>9</v>
      </c>
      <c r="KD17" s="7">
        <v>11.2</v>
      </c>
      <c r="KE17" s="7">
        <v>9.7</v>
      </c>
      <c r="KF17" s="7">
        <v>11</v>
      </c>
      <c r="KG17" s="7">
        <v>11.6</v>
      </c>
      <c r="KH17" s="7">
        <v>20.2</v>
      </c>
      <c r="KI17" s="7">
        <v>-2.1</v>
      </c>
      <c r="KJ17" s="7">
        <v>-3.4</v>
      </c>
      <c r="KK17" s="7">
        <v>-2.1</v>
      </c>
      <c r="KL17" s="7">
        <v>1</v>
      </c>
      <c r="KM17" s="7">
        <v>2.9</v>
      </c>
      <c r="KN17" s="7">
        <v>8</v>
      </c>
      <c r="KO17" s="7">
        <v>9.7</v>
      </c>
      <c r="KP17" s="7">
        <v>10.2</v>
      </c>
      <c r="KQ17" s="7">
        <v>7.3</v>
      </c>
      <c r="KR17" s="7">
        <v>6.4</v>
      </c>
      <c r="KS17" s="7">
        <v>4.5</v>
      </c>
      <c r="KT17" s="7">
        <v>8.6</v>
      </c>
      <c r="KU17" s="7">
        <v>-3.7</v>
      </c>
      <c r="KV17" s="7">
        <v>-5.6</v>
      </c>
      <c r="KW17" s="7">
        <v>-5.7</v>
      </c>
      <c r="KX17" s="7">
        <v>-3.3</v>
      </c>
      <c r="KY17" s="7">
        <v>0.3</v>
      </c>
      <c r="KZ17" s="7">
        <v>2.4</v>
      </c>
    </row>
    <row r="18" spans="1:312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</row>
    <row r="19" spans="1:312">
      <c r="A19" s="8" t="s">
        <v>322</v>
      </c>
      <c r="B19" s="7">
        <v>174309</v>
      </c>
      <c r="C19" s="7">
        <v>186625</v>
      </c>
      <c r="D19" s="7">
        <v>191640</v>
      </c>
      <c r="E19" s="7">
        <v>179668</v>
      </c>
      <c r="F19" s="7">
        <v>195442</v>
      </c>
      <c r="G19" s="7">
        <v>174647</v>
      </c>
      <c r="H19" s="7">
        <v>186169</v>
      </c>
      <c r="I19" s="7">
        <v>194454</v>
      </c>
      <c r="J19" s="7">
        <v>182772</v>
      </c>
      <c r="K19" s="7">
        <v>188735</v>
      </c>
      <c r="L19" s="7">
        <v>206902</v>
      </c>
      <c r="M19" s="7">
        <v>206182</v>
      </c>
      <c r="N19" s="7">
        <v>209814</v>
      </c>
      <c r="O19" s="7">
        <v>227332</v>
      </c>
      <c r="P19" s="7">
        <v>218044</v>
      </c>
      <c r="Q19" s="7">
        <v>213537</v>
      </c>
      <c r="R19" s="7">
        <v>224234</v>
      </c>
      <c r="S19" s="7">
        <v>193220</v>
      </c>
      <c r="T19" s="7">
        <v>193349</v>
      </c>
      <c r="U19" s="7">
        <v>207635</v>
      </c>
      <c r="V19" s="7">
        <v>208469</v>
      </c>
      <c r="W19" s="7">
        <v>212694</v>
      </c>
      <c r="X19" s="7">
        <v>221339</v>
      </c>
      <c r="Y19" s="7">
        <v>226896</v>
      </c>
      <c r="Z19" s="7">
        <v>239041</v>
      </c>
      <c r="AA19" s="7">
        <v>243626</v>
      </c>
      <c r="AB19" s="7">
        <v>252715</v>
      </c>
      <c r="AC19" s="7">
        <v>253642</v>
      </c>
      <c r="AD19" s="7">
        <v>287293</v>
      </c>
      <c r="AE19" s="7">
        <v>255430</v>
      </c>
      <c r="AF19" s="7">
        <v>276729</v>
      </c>
      <c r="AG19" s="7">
        <v>294907</v>
      </c>
      <c r="AH19" s="7">
        <v>307294</v>
      </c>
      <c r="AI19" s="7">
        <v>325559</v>
      </c>
      <c r="AJ19" s="7">
        <v>362465</v>
      </c>
      <c r="AK19" s="7">
        <v>370584</v>
      </c>
      <c r="AL19" s="7">
        <v>375752</v>
      </c>
      <c r="AM19" s="7">
        <v>407353</v>
      </c>
      <c r="AN19" s="7">
        <v>422702</v>
      </c>
      <c r="AO19" s="7">
        <v>420972</v>
      </c>
      <c r="AP19" s="7">
        <v>412139</v>
      </c>
      <c r="AQ19" s="7">
        <v>403279</v>
      </c>
      <c r="AR19" s="7">
        <v>427520</v>
      </c>
      <c r="AS19" s="7">
        <v>443087</v>
      </c>
      <c r="AT19" s="7">
        <v>453475</v>
      </c>
      <c r="AU19" s="7">
        <v>483869</v>
      </c>
      <c r="AV19" s="7">
        <v>515381</v>
      </c>
      <c r="AW19" s="7">
        <v>534930</v>
      </c>
      <c r="AX19" s="7">
        <v>557706</v>
      </c>
      <c r="AY19" s="7">
        <v>566350</v>
      </c>
      <c r="AZ19" s="7">
        <v>597639</v>
      </c>
      <c r="BA19" s="7">
        <v>633280</v>
      </c>
      <c r="BB19" s="7">
        <v>680632</v>
      </c>
      <c r="BC19" s="7">
        <v>616318</v>
      </c>
      <c r="BD19" s="7">
        <v>657619</v>
      </c>
      <c r="BE19" s="7">
        <v>687233</v>
      </c>
      <c r="BF19" s="7">
        <v>719537</v>
      </c>
      <c r="BG19" s="7">
        <v>719891</v>
      </c>
      <c r="BH19" s="7">
        <v>750368</v>
      </c>
      <c r="BI19" s="7">
        <v>750283</v>
      </c>
      <c r="BJ19" s="7">
        <v>757748</v>
      </c>
      <c r="BK19" s="7">
        <v>786047</v>
      </c>
      <c r="BL19" s="7">
        <v>775566</v>
      </c>
      <c r="BM19" s="7">
        <v>771401</v>
      </c>
      <c r="BN19" s="7">
        <v>799440</v>
      </c>
      <c r="BO19" s="7">
        <v>749574</v>
      </c>
      <c r="BP19" s="7">
        <v>867494</v>
      </c>
      <c r="BQ19" s="7">
        <v>913456</v>
      </c>
      <c r="BR19" s="7">
        <v>933727</v>
      </c>
      <c r="BS19" s="7">
        <v>1013748</v>
      </c>
      <c r="BT19" s="7">
        <v>1077420</v>
      </c>
      <c r="BU19" s="7">
        <v>1155872</v>
      </c>
      <c r="BV19" s="7">
        <v>1146848</v>
      </c>
      <c r="BW19" s="7">
        <v>1186755</v>
      </c>
      <c r="BX19" s="7">
        <v>1132520</v>
      </c>
      <c r="BY19" s="7">
        <v>1170277</v>
      </c>
      <c r="BZ19" s="7">
        <v>1281549</v>
      </c>
      <c r="CA19" s="7">
        <v>1250609</v>
      </c>
      <c r="CB19" s="7">
        <v>1344095</v>
      </c>
      <c r="CC19" s="7">
        <v>1393072</v>
      </c>
      <c r="CD19" s="7">
        <v>1501086</v>
      </c>
      <c r="CE19" s="7">
        <v>1586502</v>
      </c>
      <c r="CF19" s="7">
        <v>1719489</v>
      </c>
      <c r="CG19" s="7">
        <v>1666933</v>
      </c>
      <c r="CH19" s="7">
        <v>1622284</v>
      </c>
      <c r="CI19" s="7">
        <v>1649525</v>
      </c>
      <c r="CJ19" s="7">
        <v>1502444</v>
      </c>
      <c r="CK19" s="7">
        <v>1471317</v>
      </c>
      <c r="CL19" s="7">
        <v>1532688</v>
      </c>
      <c r="CM19" s="7">
        <v>1441389</v>
      </c>
      <c r="CN19" s="7">
        <v>1497436</v>
      </c>
      <c r="CO19" s="7">
        <v>1576730</v>
      </c>
      <c r="CP19" s="7">
        <v>1578419</v>
      </c>
      <c r="CQ19" s="7">
        <v>1710068</v>
      </c>
      <c r="CR19" s="7">
        <v>1778665</v>
      </c>
      <c r="CS19" s="7">
        <v>1812997</v>
      </c>
      <c r="CT19" s="7">
        <v>1808743</v>
      </c>
      <c r="CU19" s="7">
        <v>1929268</v>
      </c>
      <c r="CV19" s="7">
        <v>1786427</v>
      </c>
      <c r="CW19" s="7">
        <v>1805923</v>
      </c>
      <c r="CX19" s="7">
        <v>1947570</v>
      </c>
      <c r="CY19" s="7">
        <v>2006257</v>
      </c>
      <c r="CZ19" s="7">
        <v>2260440</v>
      </c>
      <c r="DA19" s="7">
        <v>2278690</v>
      </c>
      <c r="DB19" s="7">
        <v>2222349</v>
      </c>
      <c r="DC19" s="7">
        <v>2279615</v>
      </c>
      <c r="DD19" s="7">
        <v>2444213</v>
      </c>
      <c r="DE19" s="7">
        <v>2597617</v>
      </c>
      <c r="DF19" s="7">
        <v>2438362</v>
      </c>
      <c r="DG19" s="7">
        <v>2384658</v>
      </c>
      <c r="DH19" s="7">
        <v>2318943</v>
      </c>
      <c r="DI19" s="7">
        <v>2402657</v>
      </c>
      <c r="DJ19" s="7">
        <v>2457677</v>
      </c>
      <c r="DK19" s="7">
        <v>2536665</v>
      </c>
      <c r="DL19" s="7">
        <v>2595183</v>
      </c>
      <c r="DM19" s="7">
        <v>2707056</v>
      </c>
      <c r="DN19" s="7">
        <v>2788684</v>
      </c>
      <c r="DO19" s="7">
        <v>2641760</v>
      </c>
      <c r="DP19" s="7">
        <v>2863832</v>
      </c>
      <c r="DQ19" s="7">
        <v>2830371</v>
      </c>
      <c r="DR19" s="7">
        <v>2960520</v>
      </c>
      <c r="DS19" s="7">
        <v>3082180</v>
      </c>
      <c r="DT19" s="7">
        <v>3161605</v>
      </c>
      <c r="DU19" s="7">
        <v>2970451</v>
      </c>
      <c r="DV19" s="7">
        <v>3116049</v>
      </c>
      <c r="DW19" s="7">
        <v>3112623</v>
      </c>
      <c r="DX19" s="7">
        <v>3137096</v>
      </c>
      <c r="DY19" s="7">
        <v>3440728</v>
      </c>
      <c r="DZ19" s="7">
        <v>3489824</v>
      </c>
      <c r="EA19" s="7">
        <v>3519077</v>
      </c>
      <c r="EB19" s="7">
        <v>3684065</v>
      </c>
      <c r="EC19" s="7">
        <v>3866985</v>
      </c>
      <c r="ED19" s="7">
        <v>3673637</v>
      </c>
      <c r="EE19" s="7">
        <v>3704025</v>
      </c>
      <c r="EF19" s="7">
        <v>3627006</v>
      </c>
      <c r="EG19" s="7">
        <v>3537250</v>
      </c>
      <c r="EH19" s="7">
        <v>3844996</v>
      </c>
      <c r="EI19" s="7">
        <v>3614004</v>
      </c>
      <c r="EJ19" s="7">
        <v>3762159</v>
      </c>
      <c r="EK19" s="7">
        <v>3886272</v>
      </c>
      <c r="EL19" s="7">
        <v>3725310</v>
      </c>
      <c r="EM19" s="7">
        <v>3812954</v>
      </c>
      <c r="EN19" s="7">
        <v>3993464</v>
      </c>
      <c r="EO19" s="7">
        <v>3888499</v>
      </c>
      <c r="EP19" s="7">
        <v>3732979</v>
      </c>
      <c r="EQ19" s="7">
        <v>3811804</v>
      </c>
      <c r="ER19" s="7">
        <v>3759904</v>
      </c>
      <c r="ES19" s="7">
        <v>3579746</v>
      </c>
      <c r="ET19" s="7">
        <v>3880611</v>
      </c>
      <c r="EU19" s="7">
        <v>3719628</v>
      </c>
      <c r="EV19" s="7">
        <v>3759364</v>
      </c>
      <c r="EW19" s="7">
        <v>3844133</v>
      </c>
      <c r="EX19" s="7">
        <v>3884077</v>
      </c>
      <c r="EY19" s="7">
        <v>3811101</v>
      </c>
      <c r="EZ19" s="7">
        <v>3973997</v>
      </c>
      <c r="FA19" s="7">
        <v>3748696</v>
      </c>
      <c r="FB19" s="7">
        <v>3505672</v>
      </c>
      <c r="FC19" s="7">
        <v>3640006</v>
      </c>
      <c r="FD19" s="7">
        <v>3489379</v>
      </c>
      <c r="FE19" s="7">
        <v>3312367</v>
      </c>
      <c r="FF19" s="7">
        <v>3518418</v>
      </c>
      <c r="FG19" s="7">
        <v>3489766</v>
      </c>
      <c r="FH19" s="7">
        <v>3345979</v>
      </c>
      <c r="FI19" s="7">
        <v>3461744</v>
      </c>
      <c r="FJ19" s="7">
        <v>3559615</v>
      </c>
      <c r="FK19" s="7">
        <v>3583133</v>
      </c>
      <c r="FL19" s="7">
        <v>3958367</v>
      </c>
      <c r="FM19" s="7">
        <v>3863590</v>
      </c>
      <c r="FN19" s="7">
        <v>3773208</v>
      </c>
      <c r="FO19" s="7">
        <v>3639562</v>
      </c>
      <c r="FP19" s="7">
        <v>3406501</v>
      </c>
      <c r="FQ19" s="7">
        <v>3196190</v>
      </c>
      <c r="FR19" s="7">
        <v>2980974</v>
      </c>
      <c r="FS19" s="7">
        <v>2800476</v>
      </c>
      <c r="FT19" s="7">
        <v>2908663</v>
      </c>
      <c r="FU19" s="7">
        <v>3060341</v>
      </c>
      <c r="FV19" s="7">
        <v>3036984</v>
      </c>
      <c r="FW19" s="7">
        <v>3434338</v>
      </c>
      <c r="FX19" s="7">
        <v>3602481</v>
      </c>
      <c r="FY19" s="7">
        <v>3457335</v>
      </c>
      <c r="FZ19" s="7">
        <v>3340687</v>
      </c>
      <c r="GA19" s="7">
        <v>3284925</v>
      </c>
      <c r="GB19" s="7">
        <v>3139300</v>
      </c>
      <c r="GC19" s="7">
        <v>3012824</v>
      </c>
      <c r="GD19" s="7">
        <v>3032711</v>
      </c>
      <c r="GE19" s="7">
        <v>2971351</v>
      </c>
      <c r="GF19" s="7">
        <v>3140515</v>
      </c>
      <c r="GG19" s="7">
        <v>3587429</v>
      </c>
      <c r="GH19" s="7">
        <v>3866346</v>
      </c>
      <c r="GI19" s="7">
        <v>3955149</v>
      </c>
      <c r="GJ19" s="7">
        <v>4220880</v>
      </c>
      <c r="GK19" s="7">
        <v>4226445</v>
      </c>
      <c r="GL19" s="7">
        <v>4026363</v>
      </c>
      <c r="GM19" s="7">
        <v>4038754</v>
      </c>
      <c r="GN19" s="7">
        <v>4283330</v>
      </c>
      <c r="GO19" s="7">
        <v>4354953</v>
      </c>
      <c r="GP19" s="7">
        <v>4589768</v>
      </c>
      <c r="GQ19" s="7">
        <v>4310015</v>
      </c>
      <c r="GR19" s="7">
        <v>4454442</v>
      </c>
      <c r="GS19" s="7">
        <v>4927779</v>
      </c>
      <c r="GT19" s="7">
        <v>5046178</v>
      </c>
      <c r="GU19" s="7">
        <v>5127913</v>
      </c>
      <c r="GV19" s="7">
        <v>5010955</v>
      </c>
      <c r="GW19" s="7">
        <v>5143578</v>
      </c>
      <c r="GX19" s="7">
        <v>4738682</v>
      </c>
      <c r="GY19" s="7">
        <v>5476568</v>
      </c>
      <c r="GZ19" s="7">
        <v>4991002</v>
      </c>
      <c r="HA19" s="7">
        <v>4917595</v>
      </c>
      <c r="HB19" s="7">
        <v>4967992</v>
      </c>
      <c r="HC19" s="7">
        <v>4995811</v>
      </c>
      <c r="HD19" s="7">
        <v>4807891</v>
      </c>
      <c r="HE19" s="7">
        <v>4807409</v>
      </c>
      <c r="HF19" s="7">
        <v>4893766</v>
      </c>
      <c r="HG19" s="7">
        <v>5044409</v>
      </c>
      <c r="HH19" s="7">
        <v>5577251</v>
      </c>
      <c r="HI19" s="7">
        <v>5520420</v>
      </c>
      <c r="HJ19" s="7">
        <v>5252714</v>
      </c>
      <c r="HK19" s="7">
        <v>5122707</v>
      </c>
      <c r="HL19" s="7">
        <v>5305813</v>
      </c>
      <c r="HM19" s="7">
        <v>5051957</v>
      </c>
      <c r="HN19" s="7">
        <v>5605006</v>
      </c>
      <c r="HO19" s="7">
        <v>6412273</v>
      </c>
      <c r="HP19" s="7">
        <v>5507657</v>
      </c>
      <c r="HQ19" s="7">
        <v>5402116</v>
      </c>
      <c r="HR19" s="7">
        <v>5411541</v>
      </c>
      <c r="HS19" s="7">
        <v>5760725</v>
      </c>
      <c r="HT19" s="7">
        <v>5507695</v>
      </c>
      <c r="HU19" s="7">
        <v>5599015</v>
      </c>
      <c r="HV19" s="7">
        <v>5576525</v>
      </c>
      <c r="HW19" s="7">
        <v>5568288</v>
      </c>
      <c r="HX19" s="7">
        <v>5703278</v>
      </c>
      <c r="HY19" s="7">
        <v>5616375</v>
      </c>
      <c r="HZ19" s="7">
        <v>5928085</v>
      </c>
      <c r="IA19" s="7">
        <v>5616433</v>
      </c>
      <c r="IB19" s="7">
        <v>5687711</v>
      </c>
      <c r="IC19" s="7">
        <v>6164531</v>
      </c>
      <c r="ID19" s="7">
        <v>6251342</v>
      </c>
      <c r="IE19" s="7">
        <v>6414901</v>
      </c>
      <c r="IF19" s="7">
        <v>6640829</v>
      </c>
      <c r="IG19" s="7">
        <v>6758204</v>
      </c>
      <c r="IH19" s="7">
        <v>6760726</v>
      </c>
      <c r="II19" s="7">
        <v>6700333</v>
      </c>
      <c r="IJ19" s="7">
        <v>6864955</v>
      </c>
      <c r="IK19" s="7">
        <v>7199420</v>
      </c>
      <c r="IL19" s="7">
        <v>7186951</v>
      </c>
      <c r="IM19" s="7">
        <v>6927993</v>
      </c>
      <c r="IN19" s="7">
        <v>7292252</v>
      </c>
      <c r="IO19" s="7">
        <v>7531108</v>
      </c>
      <c r="IP19" s="7">
        <v>7514189</v>
      </c>
      <c r="IQ19" s="7">
        <v>7749131</v>
      </c>
      <c r="IR19" s="7">
        <v>7986212</v>
      </c>
      <c r="IS19" s="7">
        <v>7991971</v>
      </c>
      <c r="IT19" s="7">
        <v>7963959</v>
      </c>
      <c r="IU19" s="7">
        <v>7992290</v>
      </c>
      <c r="IV19" s="7">
        <v>7880492</v>
      </c>
      <c r="IW19" s="7">
        <v>7654661</v>
      </c>
      <c r="IX19" s="7">
        <v>8788006</v>
      </c>
      <c r="IY19" s="7">
        <v>8768737</v>
      </c>
      <c r="IZ19" s="7">
        <v>8944223</v>
      </c>
      <c r="JA19" s="7">
        <v>8926147</v>
      </c>
      <c r="JB19" s="7">
        <v>8498602</v>
      </c>
      <c r="JC19" s="7">
        <v>8378061</v>
      </c>
      <c r="JD19" s="7">
        <v>8891388</v>
      </c>
      <c r="JE19" s="7">
        <v>8884711</v>
      </c>
      <c r="JF19" s="7">
        <v>8801537</v>
      </c>
      <c r="JG19" s="7">
        <v>8707879</v>
      </c>
      <c r="JH19" s="7">
        <v>8846006</v>
      </c>
      <c r="JI19" s="7">
        <v>9042731</v>
      </c>
      <c r="JJ19" s="7">
        <v>9382455</v>
      </c>
      <c r="JK19" s="7">
        <v>8890492</v>
      </c>
      <c r="JL19" s="7">
        <v>8606227</v>
      </c>
      <c r="JM19" s="7">
        <v>8592426</v>
      </c>
      <c r="JN19" s="7">
        <v>8652229</v>
      </c>
      <c r="JO19" s="7">
        <v>8948466</v>
      </c>
      <c r="JP19" s="7">
        <v>9752118</v>
      </c>
      <c r="JQ19" s="7">
        <v>9446279</v>
      </c>
      <c r="JR19" s="7">
        <v>9358085</v>
      </c>
      <c r="JS19" s="7">
        <v>9416814</v>
      </c>
      <c r="JT19" s="7">
        <v>9421155</v>
      </c>
      <c r="JU19" s="7">
        <v>9431066</v>
      </c>
      <c r="JV19" s="7">
        <v>10380883</v>
      </c>
      <c r="JW19" s="7">
        <v>9553002</v>
      </c>
      <c r="JX19" s="7">
        <v>9658325</v>
      </c>
      <c r="JY19" s="7">
        <v>9402329</v>
      </c>
      <c r="JZ19" s="7">
        <v>9960431</v>
      </c>
      <c r="KA19" s="7">
        <v>10119371</v>
      </c>
      <c r="KB19" s="7">
        <v>10656953</v>
      </c>
      <c r="KC19" s="7">
        <v>11025171</v>
      </c>
      <c r="KD19" s="7">
        <v>10805253</v>
      </c>
      <c r="KE19" s="7">
        <v>10837433</v>
      </c>
      <c r="KF19" s="7">
        <v>10667791</v>
      </c>
      <c r="KG19" s="7">
        <v>10390724</v>
      </c>
      <c r="KH19" s="7">
        <v>11364043</v>
      </c>
      <c r="KI19" s="7">
        <v>10559684</v>
      </c>
      <c r="KJ19" s="7">
        <v>10530798</v>
      </c>
      <c r="KK19" s="7">
        <v>10231744</v>
      </c>
      <c r="KL19" s="7">
        <v>10578489</v>
      </c>
      <c r="KM19" s="7">
        <v>10607383</v>
      </c>
      <c r="KN19" s="7">
        <v>11332249</v>
      </c>
      <c r="KO19" s="7">
        <v>11072599</v>
      </c>
      <c r="KP19" s="7">
        <v>11199909</v>
      </c>
      <c r="KQ19" s="7">
        <v>11365179</v>
      </c>
      <c r="KR19" s="7">
        <v>11164141</v>
      </c>
      <c r="KS19" s="7">
        <v>11333866</v>
      </c>
      <c r="KT19" s="7">
        <v>11935072</v>
      </c>
      <c r="KU19" s="7">
        <v>11169443</v>
      </c>
      <c r="KV19" s="7">
        <v>11294457</v>
      </c>
      <c r="KW19" s="7">
        <v>11371521</v>
      </c>
      <c r="KX19" s="7">
        <v>11361233</v>
      </c>
      <c r="KY19" s="7">
        <v>11665814</v>
      </c>
      <c r="KZ19" s="7">
        <v>12114107</v>
      </c>
    </row>
    <row r="20" spans="1:312">
      <c r="A20" s="6" t="s">
        <v>315</v>
      </c>
      <c r="B20" s="7">
        <v>3.9</v>
      </c>
      <c r="C20" s="7">
        <v>7.1</v>
      </c>
      <c r="D20" s="7">
        <v>2.7</v>
      </c>
      <c r="E20" s="7">
        <v>-6.2</v>
      </c>
      <c r="F20" s="7">
        <v>8.8</v>
      </c>
      <c r="G20" s="7">
        <v>-10.6</v>
      </c>
      <c r="H20" s="7">
        <v>6.6</v>
      </c>
      <c r="I20" s="7">
        <v>4.4</v>
      </c>
      <c r="J20" s="7">
        <v>-6</v>
      </c>
      <c r="K20" s="7">
        <v>3.3</v>
      </c>
      <c r="L20" s="7">
        <v>9.6</v>
      </c>
      <c r="M20" s="7">
        <v>-0.3</v>
      </c>
      <c r="N20" s="7">
        <v>1.8</v>
      </c>
      <c r="O20" s="7">
        <v>8.3</v>
      </c>
      <c r="P20" s="7">
        <v>-4.1</v>
      </c>
      <c r="Q20" s="7">
        <v>-2.1</v>
      </c>
      <c r="R20" s="7">
        <v>5</v>
      </c>
      <c r="S20" s="7">
        <v>-13.8</v>
      </c>
      <c r="T20" s="7">
        <v>0.1</v>
      </c>
      <c r="U20" s="7">
        <v>7.4</v>
      </c>
      <c r="V20" s="7">
        <v>0.4</v>
      </c>
      <c r="W20" s="7">
        <v>2</v>
      </c>
      <c r="X20" s="7">
        <v>4.1</v>
      </c>
      <c r="Y20" s="7">
        <v>2.5</v>
      </c>
      <c r="Z20" s="7">
        <v>5.4</v>
      </c>
      <c r="AA20" s="7">
        <v>1.9</v>
      </c>
      <c r="AB20" s="7">
        <v>3.7</v>
      </c>
      <c r="AC20" s="7">
        <v>0.4</v>
      </c>
      <c r="AD20" s="7">
        <v>13.3</v>
      </c>
      <c r="AE20" s="7">
        <v>-11.1</v>
      </c>
      <c r="AF20" s="7">
        <v>8.3</v>
      </c>
      <c r="AG20" s="7">
        <v>6.6</v>
      </c>
      <c r="AH20" s="7">
        <v>4.2</v>
      </c>
      <c r="AI20" s="7">
        <v>5.9</v>
      </c>
      <c r="AJ20" s="7">
        <v>11.3</v>
      </c>
      <c r="AK20" s="7">
        <v>2.2</v>
      </c>
      <c r="AL20" s="7">
        <v>1.4</v>
      </c>
      <c r="AM20" s="7">
        <v>8.4</v>
      </c>
      <c r="AN20" s="7">
        <v>3.8</v>
      </c>
      <c r="AO20" s="7">
        <v>-0.4</v>
      </c>
      <c r="AP20" s="7">
        <v>-2.1</v>
      </c>
      <c r="AQ20" s="7">
        <v>-2.1</v>
      </c>
      <c r="AR20" s="7">
        <v>6</v>
      </c>
      <c r="AS20" s="7">
        <v>3.6</v>
      </c>
      <c r="AT20" s="7">
        <v>2.3</v>
      </c>
      <c r="AU20" s="7">
        <v>6.7</v>
      </c>
      <c r="AV20" s="7">
        <v>6.5</v>
      </c>
      <c r="AW20" s="7">
        <v>3.8</v>
      </c>
      <c r="AX20" s="7">
        <v>4.3</v>
      </c>
      <c r="AY20" s="7">
        <v>1.5</v>
      </c>
      <c r="AZ20" s="7">
        <v>5.5</v>
      </c>
      <c r="BA20" s="7">
        <v>6</v>
      </c>
      <c r="BB20" s="7">
        <v>7.5</v>
      </c>
      <c r="BC20" s="7">
        <v>-9.4</v>
      </c>
      <c r="BD20" s="7">
        <v>6.7</v>
      </c>
      <c r="BE20" s="7">
        <v>4.5</v>
      </c>
      <c r="BF20" s="7">
        <v>4.7</v>
      </c>
      <c r="BG20" s="7"/>
      <c r="BH20" s="7">
        <v>4.2</v>
      </c>
      <c r="BI20" s="7"/>
      <c r="BJ20" s="7">
        <v>1</v>
      </c>
      <c r="BK20" s="7">
        <v>3.7</v>
      </c>
      <c r="BL20" s="7">
        <v>-1.3</v>
      </c>
      <c r="BM20" s="7">
        <v>-0.5</v>
      </c>
      <c r="BN20" s="7">
        <v>3.6</v>
      </c>
      <c r="BO20" s="7">
        <v>-6.2</v>
      </c>
      <c r="BP20" s="7">
        <v>15.7</v>
      </c>
      <c r="BQ20" s="7">
        <v>5.3</v>
      </c>
      <c r="BR20" s="7">
        <v>2.2</v>
      </c>
      <c r="BS20" s="7">
        <v>8.6</v>
      </c>
      <c r="BT20" s="7">
        <v>6.3</v>
      </c>
      <c r="BU20" s="7">
        <v>7.3</v>
      </c>
      <c r="BV20" s="7">
        <v>-0.8</v>
      </c>
      <c r="BW20" s="7">
        <v>3.5</v>
      </c>
      <c r="BX20" s="7">
        <v>-4.6</v>
      </c>
      <c r="BY20" s="7">
        <v>3.3</v>
      </c>
      <c r="BZ20" s="7">
        <v>9.5</v>
      </c>
      <c r="CA20" s="7">
        <v>-2.4</v>
      </c>
      <c r="CB20" s="7">
        <v>7.5</v>
      </c>
      <c r="CC20" s="7">
        <v>3.6</v>
      </c>
      <c r="CD20" s="7">
        <v>7.8</v>
      </c>
      <c r="CE20" s="7">
        <v>5.7</v>
      </c>
      <c r="CF20" s="7">
        <v>8.4</v>
      </c>
      <c r="CG20" s="7">
        <v>-3.1</v>
      </c>
      <c r="CH20" s="7">
        <v>-2.7</v>
      </c>
      <c r="CI20" s="7">
        <v>1.7</v>
      </c>
      <c r="CJ20" s="7">
        <v>-8.9</v>
      </c>
      <c r="CK20" s="7">
        <v>-2.1</v>
      </c>
      <c r="CL20" s="7">
        <v>4.2</v>
      </c>
      <c r="CM20" s="7">
        <v>-6</v>
      </c>
      <c r="CN20" s="7">
        <v>3.9</v>
      </c>
      <c r="CO20" s="7">
        <v>5.3</v>
      </c>
      <c r="CP20" s="7">
        <v>0.1</v>
      </c>
      <c r="CQ20" s="7">
        <v>8.3</v>
      </c>
      <c r="CR20" s="7">
        <v>4</v>
      </c>
      <c r="CS20" s="7">
        <v>1.9</v>
      </c>
      <c r="CT20" s="7">
        <v>-0.2</v>
      </c>
      <c r="CU20" s="7">
        <v>6.7</v>
      </c>
      <c r="CV20" s="7">
        <v>-7.4</v>
      </c>
      <c r="CW20" s="7">
        <v>1.1</v>
      </c>
      <c r="CX20" s="7">
        <v>7.8</v>
      </c>
      <c r="CY20" s="7">
        <v>3</v>
      </c>
      <c r="CZ20" s="7">
        <v>12.7</v>
      </c>
      <c r="DA20" s="7">
        <v>0.8</v>
      </c>
      <c r="DB20" s="7">
        <v>-2.5</v>
      </c>
      <c r="DC20" s="7">
        <v>2.6</v>
      </c>
      <c r="DD20" s="7">
        <v>7.2</v>
      </c>
      <c r="DE20" s="7">
        <v>6.3</v>
      </c>
      <c r="DF20" s="7">
        <v>-6.1</v>
      </c>
      <c r="DG20" s="7">
        <v>-2.2</v>
      </c>
      <c r="DH20" s="7">
        <v>-2.8</v>
      </c>
      <c r="DI20" s="7">
        <v>3.6</v>
      </c>
      <c r="DJ20" s="7">
        <v>2.3</v>
      </c>
      <c r="DK20" s="7">
        <v>3.2</v>
      </c>
      <c r="DL20" s="7">
        <v>2.3</v>
      </c>
      <c r="DM20" s="7">
        <v>4.3</v>
      </c>
      <c r="DN20" s="7">
        <v>3</v>
      </c>
      <c r="DO20" s="7">
        <v>-5.3</v>
      </c>
      <c r="DP20" s="7">
        <v>8.4</v>
      </c>
      <c r="DQ20" s="7">
        <v>-1.2</v>
      </c>
      <c r="DR20" s="7">
        <v>4.6</v>
      </c>
      <c r="DS20" s="7">
        <v>4.1</v>
      </c>
      <c r="DT20" s="7">
        <v>2.6</v>
      </c>
      <c r="DU20" s="7">
        <v>-6</v>
      </c>
      <c r="DV20" s="7">
        <v>4.9</v>
      </c>
      <c r="DW20" s="7">
        <v>-0.1</v>
      </c>
      <c r="DX20" s="7">
        <v>0.8</v>
      </c>
      <c r="DY20" s="7">
        <v>9.7</v>
      </c>
      <c r="DZ20" s="7">
        <v>1.4</v>
      </c>
      <c r="EA20" s="7">
        <v>0.8</v>
      </c>
      <c r="EB20" s="7">
        <v>4.7</v>
      </c>
      <c r="EC20" s="7">
        <v>5</v>
      </c>
      <c r="ED20" s="7">
        <v>-5</v>
      </c>
      <c r="EE20" s="7">
        <v>0.8</v>
      </c>
      <c r="EF20" s="7">
        <v>-2.1</v>
      </c>
      <c r="EG20" s="7">
        <v>-2.5</v>
      </c>
      <c r="EH20" s="7">
        <v>8.7</v>
      </c>
      <c r="EI20" s="7">
        <v>-6</v>
      </c>
      <c r="EJ20" s="7">
        <v>4.1</v>
      </c>
      <c r="EK20" s="7">
        <v>3.3</v>
      </c>
      <c r="EL20" s="7">
        <v>-4.1</v>
      </c>
      <c r="EM20" s="7">
        <v>2.4</v>
      </c>
      <c r="EN20" s="7">
        <v>4.7</v>
      </c>
      <c r="EO20" s="7">
        <v>-2.6</v>
      </c>
      <c r="EP20" s="7">
        <v>-4</v>
      </c>
      <c r="EQ20" s="7">
        <v>2.1</v>
      </c>
      <c r="ER20" s="7">
        <v>-1.4</v>
      </c>
      <c r="ES20" s="7">
        <v>-4.8</v>
      </c>
      <c r="ET20" s="7">
        <v>8.4</v>
      </c>
      <c r="EU20" s="7">
        <v>-4.1</v>
      </c>
      <c r="EV20" s="7">
        <v>1.1</v>
      </c>
      <c r="EW20" s="7">
        <v>2.3</v>
      </c>
      <c r="EX20" s="7">
        <v>1</v>
      </c>
      <c r="EY20" s="7">
        <v>-1.9</v>
      </c>
      <c r="EZ20" s="7">
        <v>4.3</v>
      </c>
      <c r="FA20" s="7">
        <v>-5.7</v>
      </c>
      <c r="FB20" s="7">
        <v>-6.5</v>
      </c>
      <c r="FC20" s="7">
        <v>3.8</v>
      </c>
      <c r="FD20" s="7">
        <v>-4.1</v>
      </c>
      <c r="FE20" s="7">
        <v>-5.1</v>
      </c>
      <c r="FF20" s="7">
        <v>6.2</v>
      </c>
      <c r="FG20" s="7">
        <v>-0.8</v>
      </c>
      <c r="FH20" s="7">
        <v>-4.1</v>
      </c>
      <c r="FI20" s="7">
        <v>3.5</v>
      </c>
      <c r="FJ20" s="7">
        <v>2.8</v>
      </c>
      <c r="FK20" s="7">
        <v>0.7</v>
      </c>
      <c r="FL20" s="7">
        <v>10.5</v>
      </c>
      <c r="FM20" s="7">
        <v>-2.4</v>
      </c>
      <c r="FN20" s="7">
        <v>-2.3</v>
      </c>
      <c r="FO20" s="7">
        <v>-3.5</v>
      </c>
      <c r="FP20" s="7">
        <v>-6.4</v>
      </c>
      <c r="FQ20" s="7">
        <v>-6.2</v>
      </c>
      <c r="FR20" s="7"/>
      <c r="FS20" s="7">
        <v>-6.1</v>
      </c>
      <c r="FT20" s="7">
        <v>3.9</v>
      </c>
      <c r="FU20" s="7">
        <v>5.2</v>
      </c>
      <c r="FV20" s="7">
        <v>-0.8</v>
      </c>
      <c r="FW20" s="7">
        <v>13.1</v>
      </c>
      <c r="FX20" s="7">
        <v>4.9</v>
      </c>
      <c r="FY20" s="7">
        <v>-4</v>
      </c>
      <c r="FZ20" s="7">
        <v>-3.4</v>
      </c>
      <c r="GA20" s="7">
        <v>-1.7</v>
      </c>
      <c r="GB20" s="7">
        <v>-4.4</v>
      </c>
      <c r="GC20" s="7">
        <v>-4</v>
      </c>
      <c r="GD20" s="7">
        <v>0.7</v>
      </c>
      <c r="GE20" s="7">
        <v>-2</v>
      </c>
      <c r="GF20" s="7">
        <v>5.7</v>
      </c>
      <c r="GG20" s="7">
        <v>14.2</v>
      </c>
      <c r="GH20" s="7">
        <v>7.8</v>
      </c>
      <c r="GI20" s="7">
        <v>2.3</v>
      </c>
      <c r="GJ20" s="7">
        <v>6.7</v>
      </c>
      <c r="GK20" s="7">
        <v>0.1</v>
      </c>
      <c r="GL20" s="7">
        <v>-4.7</v>
      </c>
      <c r="GM20" s="7">
        <v>0.3</v>
      </c>
      <c r="GN20" s="7">
        <v>6.1</v>
      </c>
      <c r="GO20" s="7">
        <v>1.7</v>
      </c>
      <c r="GP20" s="7">
        <v>5.4</v>
      </c>
      <c r="GQ20" s="7">
        <v>-6.1</v>
      </c>
      <c r="GR20" s="7">
        <v>3.4</v>
      </c>
      <c r="GS20" s="7">
        <v>10.6</v>
      </c>
      <c r="GT20" s="7">
        <v>2.4</v>
      </c>
      <c r="GU20" s="7">
        <v>1.6</v>
      </c>
      <c r="GV20" s="7">
        <v>-2.3</v>
      </c>
      <c r="GW20" s="7">
        <v>2.6</v>
      </c>
      <c r="GX20" s="7">
        <v>-7.9</v>
      </c>
      <c r="GY20" s="7">
        <v>15.6</v>
      </c>
      <c r="GZ20" s="7">
        <v>-8.9</v>
      </c>
      <c r="HA20" s="7">
        <v>-1.5</v>
      </c>
      <c r="HB20" s="7">
        <v>1</v>
      </c>
      <c r="HC20" s="7">
        <v>0.6</v>
      </c>
      <c r="HD20" s="7">
        <v>-3.8</v>
      </c>
      <c r="HE20" s="7"/>
      <c r="HF20" s="7">
        <v>1.8</v>
      </c>
      <c r="HG20" s="7">
        <v>3.1</v>
      </c>
      <c r="HH20" s="7">
        <v>10.6</v>
      </c>
      <c r="HI20" s="7">
        <v>-1</v>
      </c>
      <c r="HJ20" s="7">
        <v>-4.8</v>
      </c>
      <c r="HK20" s="7">
        <v>-2.5</v>
      </c>
      <c r="HL20" s="7">
        <v>3.6</v>
      </c>
      <c r="HM20" s="7">
        <v>-4.8</v>
      </c>
      <c r="HN20" s="7">
        <v>10.9</v>
      </c>
      <c r="HO20" s="7">
        <v>14.4</v>
      </c>
      <c r="HP20" s="7">
        <v>-14.1</v>
      </c>
      <c r="HQ20" s="7">
        <v>-1.9</v>
      </c>
      <c r="HR20" s="7">
        <v>0.2</v>
      </c>
      <c r="HS20" s="7">
        <v>6.5</v>
      </c>
      <c r="HT20" s="7">
        <v>-4.4</v>
      </c>
      <c r="HU20" s="7">
        <v>1.7</v>
      </c>
      <c r="HV20" s="7">
        <v>-0.4</v>
      </c>
      <c r="HW20" s="7">
        <v>-0.1</v>
      </c>
      <c r="HX20" s="7">
        <v>2.4</v>
      </c>
      <c r="HY20" s="7">
        <v>-1.5</v>
      </c>
      <c r="HZ20" s="7">
        <v>5.6</v>
      </c>
      <c r="IA20" s="7">
        <v>-5.3</v>
      </c>
      <c r="IB20" s="7">
        <v>1.3</v>
      </c>
      <c r="IC20" s="7">
        <v>8.4</v>
      </c>
      <c r="ID20" s="7">
        <v>1.4</v>
      </c>
      <c r="IE20" s="7">
        <v>2.6</v>
      </c>
      <c r="IF20" s="7">
        <v>3.5</v>
      </c>
      <c r="IG20" s="7">
        <v>1.8</v>
      </c>
      <c r="IH20" s="7"/>
      <c r="II20" s="7">
        <v>-0.9</v>
      </c>
      <c r="IJ20" s="7">
        <v>2.5</v>
      </c>
      <c r="IK20" s="7">
        <v>4.9</v>
      </c>
      <c r="IL20" s="7">
        <v>-0.2</v>
      </c>
      <c r="IM20" s="7">
        <v>-3.6</v>
      </c>
      <c r="IN20" s="7">
        <v>5.3</v>
      </c>
      <c r="IO20" s="7">
        <v>3.3</v>
      </c>
      <c r="IP20" s="7">
        <v>-0.2</v>
      </c>
      <c r="IQ20" s="7">
        <v>3.1</v>
      </c>
      <c r="IR20" s="7">
        <v>3.1</v>
      </c>
      <c r="IS20" s="7">
        <v>0.1</v>
      </c>
      <c r="IT20" s="7">
        <v>-0.4</v>
      </c>
      <c r="IU20" s="7">
        <v>0.4</v>
      </c>
      <c r="IV20" s="7">
        <v>-1.4</v>
      </c>
      <c r="IW20" s="7">
        <v>-2.9</v>
      </c>
      <c r="IX20" s="7">
        <v>14.8</v>
      </c>
      <c r="IY20" s="7">
        <v>-0.2</v>
      </c>
      <c r="IZ20" s="7">
        <v>2</v>
      </c>
      <c r="JA20" s="7">
        <v>-0.2</v>
      </c>
      <c r="JB20" s="7">
        <v>-4.8</v>
      </c>
      <c r="JC20" s="7">
        <v>-1.4</v>
      </c>
      <c r="JD20" s="7">
        <v>6.1</v>
      </c>
      <c r="JE20" s="7">
        <v>-0.1</v>
      </c>
      <c r="JF20" s="7">
        <v>-0.9</v>
      </c>
      <c r="JG20" s="7">
        <v>-1.1</v>
      </c>
      <c r="JH20" s="7">
        <v>1.6</v>
      </c>
      <c r="JI20" s="7">
        <v>2.2</v>
      </c>
      <c r="JJ20" s="7">
        <v>3.8</v>
      </c>
      <c r="JK20" s="7">
        <v>-5.2</v>
      </c>
      <c r="JL20" s="7">
        <v>-3.2</v>
      </c>
      <c r="JM20" s="7">
        <v>-0.2</v>
      </c>
      <c r="JN20" s="7">
        <v>0.7</v>
      </c>
      <c r="JO20" s="7">
        <v>3.4</v>
      </c>
      <c r="JP20" s="7">
        <v>9</v>
      </c>
      <c r="JQ20" s="7">
        <v>-3.1</v>
      </c>
      <c r="JR20" s="7">
        <v>-0.9</v>
      </c>
      <c r="JS20" s="7">
        <v>0.6</v>
      </c>
      <c r="JT20" s="7"/>
      <c r="JU20" s="7">
        <v>0.1</v>
      </c>
      <c r="JV20" s="7">
        <v>10.1</v>
      </c>
      <c r="JW20" s="7">
        <v>-8</v>
      </c>
      <c r="JX20" s="7">
        <v>1.1</v>
      </c>
      <c r="JY20" s="7">
        <v>-2.7</v>
      </c>
      <c r="JZ20" s="7">
        <v>5.9</v>
      </c>
      <c r="KA20" s="7">
        <v>1.6</v>
      </c>
      <c r="KB20" s="7">
        <v>5.3</v>
      </c>
      <c r="KC20" s="7">
        <v>3.5</v>
      </c>
      <c r="KD20" s="7">
        <v>-2</v>
      </c>
      <c r="KE20" s="7">
        <v>0.3</v>
      </c>
      <c r="KF20" s="7">
        <v>-1.6</v>
      </c>
      <c r="KG20" s="7">
        <v>-2.6</v>
      </c>
      <c r="KH20" s="7">
        <v>9.4</v>
      </c>
      <c r="KI20" s="7">
        <v>-7.1</v>
      </c>
      <c r="KJ20" s="7">
        <v>-0.3</v>
      </c>
      <c r="KK20" s="7">
        <v>-2.8</v>
      </c>
      <c r="KL20" s="7">
        <v>3.4</v>
      </c>
      <c r="KM20" s="7">
        <v>0.3</v>
      </c>
      <c r="KN20" s="7">
        <v>6.8</v>
      </c>
      <c r="KO20" s="7">
        <v>-2.3</v>
      </c>
      <c r="KP20" s="7">
        <v>1.1</v>
      </c>
      <c r="KQ20" s="7">
        <v>1.5</v>
      </c>
      <c r="KR20" s="7">
        <v>-1.8</v>
      </c>
      <c r="KS20" s="7">
        <v>1.5</v>
      </c>
      <c r="KT20" s="7">
        <v>5.3</v>
      </c>
      <c r="KU20" s="7">
        <v>-6.4</v>
      </c>
      <c r="KV20" s="7">
        <v>1.1</v>
      </c>
      <c r="KW20" s="7">
        <v>0.7</v>
      </c>
      <c r="KX20" s="7">
        <v>-0.1</v>
      </c>
      <c r="KY20" s="7">
        <v>2.7</v>
      </c>
      <c r="KZ20" s="7">
        <v>3.8</v>
      </c>
    </row>
    <row r="21" spans="1:312">
      <c r="A21" s="6" t="s">
        <v>323</v>
      </c>
      <c r="B21" s="7">
        <v>7.5</v>
      </c>
      <c r="C21" s="7">
        <v>15.1</v>
      </c>
      <c r="D21" s="7">
        <v>18.2</v>
      </c>
      <c r="E21" s="7">
        <v>10.8</v>
      </c>
      <c r="F21" s="7">
        <v>20.6</v>
      </c>
      <c r="G21" s="7">
        <v>-10.6</v>
      </c>
      <c r="H21" s="7">
        <v>-4.7</v>
      </c>
      <c r="I21" s="7">
        <v>-0.5</v>
      </c>
      <c r="J21" s="7">
        <v>-6.5</v>
      </c>
      <c r="K21" s="7">
        <v>-3.4</v>
      </c>
      <c r="L21" s="7">
        <v>5.9</v>
      </c>
      <c r="M21" s="7">
        <v>5.5</v>
      </c>
      <c r="N21" s="7">
        <v>7.4</v>
      </c>
      <c r="O21" s="7">
        <v>16.3</v>
      </c>
      <c r="P21" s="7">
        <v>11.6</v>
      </c>
      <c r="Q21" s="7">
        <v>9.3</v>
      </c>
      <c r="R21" s="7">
        <v>14.7</v>
      </c>
      <c r="S21" s="7">
        <v>-13.8</v>
      </c>
      <c r="T21" s="7">
        <v>-13.8</v>
      </c>
      <c r="U21" s="7">
        <v>-7.4</v>
      </c>
      <c r="V21" s="7">
        <v>-7</v>
      </c>
      <c r="W21" s="7">
        <v>-5.1</v>
      </c>
      <c r="X21" s="7">
        <v>-1.3</v>
      </c>
      <c r="Y21" s="7">
        <v>1.2</v>
      </c>
      <c r="Z21" s="7">
        <v>6.6</v>
      </c>
      <c r="AA21" s="7">
        <v>8.6</v>
      </c>
      <c r="AB21" s="7">
        <v>12.7</v>
      </c>
      <c r="AC21" s="7">
        <v>13.1</v>
      </c>
      <c r="AD21" s="7">
        <v>28.1</v>
      </c>
      <c r="AE21" s="7">
        <v>-11.1</v>
      </c>
      <c r="AF21" s="7">
        <v>-3.7</v>
      </c>
      <c r="AG21" s="7">
        <v>2.7</v>
      </c>
      <c r="AH21" s="7">
        <v>7</v>
      </c>
      <c r="AI21" s="7">
        <v>13.3</v>
      </c>
      <c r="AJ21" s="7">
        <v>26.2</v>
      </c>
      <c r="AK21" s="7">
        <v>29</v>
      </c>
      <c r="AL21" s="7">
        <v>30.8</v>
      </c>
      <c r="AM21" s="7">
        <v>41.8</v>
      </c>
      <c r="AN21" s="7">
        <v>47.1</v>
      </c>
      <c r="AO21" s="7">
        <v>46.5</v>
      </c>
      <c r="AP21" s="7">
        <v>43.5</v>
      </c>
      <c r="AQ21" s="7">
        <v>-2.1</v>
      </c>
      <c r="AR21" s="7">
        <v>3.7</v>
      </c>
      <c r="AS21" s="7">
        <v>7.5</v>
      </c>
      <c r="AT21" s="7">
        <v>10</v>
      </c>
      <c r="AU21" s="7">
        <v>17.4</v>
      </c>
      <c r="AV21" s="7">
        <v>25.1</v>
      </c>
      <c r="AW21" s="7">
        <v>29.8</v>
      </c>
      <c r="AX21" s="7">
        <v>35.3</v>
      </c>
      <c r="AY21" s="7">
        <v>37.4</v>
      </c>
      <c r="AZ21" s="7">
        <v>45</v>
      </c>
      <c r="BA21" s="7">
        <v>53.7</v>
      </c>
      <c r="BB21" s="7">
        <v>65.1</v>
      </c>
      <c r="BC21" s="7">
        <v>-9.4</v>
      </c>
      <c r="BD21" s="7">
        <v>-3.4</v>
      </c>
      <c r="BE21" s="7">
        <v>1</v>
      </c>
      <c r="BF21" s="7">
        <v>5.7</v>
      </c>
      <c r="BG21" s="7">
        <v>5.8</v>
      </c>
      <c r="BH21" s="7">
        <v>10.2</v>
      </c>
      <c r="BI21" s="7">
        <v>10.2</v>
      </c>
      <c r="BJ21" s="7">
        <v>11.3</v>
      </c>
      <c r="BK21" s="7">
        <v>15.5</v>
      </c>
      <c r="BL21" s="7">
        <v>13.9</v>
      </c>
      <c r="BM21" s="7">
        <v>13.3</v>
      </c>
      <c r="BN21" s="7">
        <v>17.5</v>
      </c>
      <c r="BO21" s="7">
        <v>-6.2</v>
      </c>
      <c r="BP21" s="7">
        <v>8.5</v>
      </c>
      <c r="BQ21" s="7">
        <v>14.3</v>
      </c>
      <c r="BR21" s="7">
        <v>16.8</v>
      </c>
      <c r="BS21" s="7">
        <v>26.8</v>
      </c>
      <c r="BT21" s="7">
        <v>34.8</v>
      </c>
      <c r="BU21" s="7">
        <v>44.6</v>
      </c>
      <c r="BV21" s="7">
        <v>43.5</v>
      </c>
      <c r="BW21" s="7">
        <v>48.4</v>
      </c>
      <c r="BX21" s="7">
        <v>41.7</v>
      </c>
      <c r="BY21" s="7">
        <v>46.4</v>
      </c>
      <c r="BZ21" s="7">
        <v>60.3</v>
      </c>
      <c r="CA21" s="7">
        <v>-2.4</v>
      </c>
      <c r="CB21" s="7">
        <v>4.9</v>
      </c>
      <c r="CC21" s="7">
        <v>8.7</v>
      </c>
      <c r="CD21" s="7">
        <v>17.1</v>
      </c>
      <c r="CE21" s="7">
        <v>23.8</v>
      </c>
      <c r="CF21" s="7">
        <v>34.2</v>
      </c>
      <c r="CG21" s="7">
        <v>30.1</v>
      </c>
      <c r="CH21" s="7">
        <v>26.6</v>
      </c>
      <c r="CI21" s="7">
        <v>28.7</v>
      </c>
      <c r="CJ21" s="7">
        <v>17.2</v>
      </c>
      <c r="CK21" s="7">
        <v>14.8</v>
      </c>
      <c r="CL21" s="7">
        <v>19.6</v>
      </c>
      <c r="CM21" s="7">
        <v>-6</v>
      </c>
      <c r="CN21" s="7">
        <v>-2.3</v>
      </c>
      <c r="CO21" s="7">
        <v>2.9</v>
      </c>
      <c r="CP21" s="7">
        <v>3</v>
      </c>
      <c r="CQ21" s="7">
        <v>11.6</v>
      </c>
      <c r="CR21" s="7">
        <v>16</v>
      </c>
      <c r="CS21" s="7">
        <v>18.3</v>
      </c>
      <c r="CT21" s="7">
        <v>18</v>
      </c>
      <c r="CU21" s="7">
        <v>25.9</v>
      </c>
      <c r="CV21" s="7">
        <v>16.6</v>
      </c>
      <c r="CW21" s="7">
        <v>17.8</v>
      </c>
      <c r="CX21" s="7">
        <v>27.1</v>
      </c>
      <c r="CY21" s="7">
        <v>3</v>
      </c>
      <c r="CZ21" s="7">
        <v>16.1</v>
      </c>
      <c r="DA21" s="7">
        <v>17</v>
      </c>
      <c r="DB21" s="7">
        <v>14.1</v>
      </c>
      <c r="DC21" s="7">
        <v>17</v>
      </c>
      <c r="DD21" s="7">
        <v>25.5</v>
      </c>
      <c r="DE21" s="7">
        <v>33.4</v>
      </c>
      <c r="DF21" s="7">
        <v>25.2</v>
      </c>
      <c r="DG21" s="7">
        <v>22.4</v>
      </c>
      <c r="DH21" s="7">
        <v>19.1</v>
      </c>
      <c r="DI21" s="7">
        <v>23.4</v>
      </c>
      <c r="DJ21" s="7">
        <v>26.2</v>
      </c>
      <c r="DK21" s="7">
        <v>3.2</v>
      </c>
      <c r="DL21" s="7">
        <v>5.6</v>
      </c>
      <c r="DM21" s="7">
        <v>10.1</v>
      </c>
      <c r="DN21" s="7">
        <v>13.5</v>
      </c>
      <c r="DO21" s="7">
        <v>7.5</v>
      </c>
      <c r="DP21" s="7">
        <v>16.5</v>
      </c>
      <c r="DQ21" s="7">
        <v>15.2</v>
      </c>
      <c r="DR21" s="7">
        <v>20.5</v>
      </c>
      <c r="DS21" s="7">
        <v>25.4</v>
      </c>
      <c r="DT21" s="7">
        <v>28.6</v>
      </c>
      <c r="DU21" s="7">
        <v>20.9</v>
      </c>
      <c r="DV21" s="7">
        <v>26.8</v>
      </c>
      <c r="DW21" s="7">
        <v>-0.1</v>
      </c>
      <c r="DX21" s="7">
        <v>0.7</v>
      </c>
      <c r="DY21" s="7">
        <v>10.4</v>
      </c>
      <c r="DZ21" s="7">
        <v>12</v>
      </c>
      <c r="EA21" s="7">
        <v>12.9</v>
      </c>
      <c r="EB21" s="7">
        <v>18.2</v>
      </c>
      <c r="EC21" s="7">
        <v>24.1</v>
      </c>
      <c r="ED21" s="7">
        <v>17.9</v>
      </c>
      <c r="EE21" s="7">
        <v>18.9</v>
      </c>
      <c r="EF21" s="7">
        <v>16.4</v>
      </c>
      <c r="EG21" s="7">
        <v>13.5</v>
      </c>
      <c r="EH21" s="7">
        <v>23.4</v>
      </c>
      <c r="EI21" s="7">
        <v>-6</v>
      </c>
      <c r="EJ21" s="7">
        <v>-2.2</v>
      </c>
      <c r="EK21" s="7">
        <v>1.1</v>
      </c>
      <c r="EL21" s="7">
        <v>-3.1</v>
      </c>
      <c r="EM21" s="7">
        <v>-0.8</v>
      </c>
      <c r="EN21" s="7">
        <v>3.9</v>
      </c>
      <c r="EO21" s="7">
        <v>1.1</v>
      </c>
      <c r="EP21" s="7">
        <v>-2.9</v>
      </c>
      <c r="EQ21" s="7">
        <v>-0.9</v>
      </c>
      <c r="ER21" s="7">
        <v>-2.2</v>
      </c>
      <c r="ES21" s="7">
        <v>-6.9</v>
      </c>
      <c r="ET21" s="7">
        <v>0.9</v>
      </c>
      <c r="EU21" s="7">
        <v>-4.1</v>
      </c>
      <c r="EV21" s="7">
        <v>-3.1</v>
      </c>
      <c r="EW21" s="7">
        <v>-0.9</v>
      </c>
      <c r="EX21" s="7">
        <v>0.1</v>
      </c>
      <c r="EY21" s="7">
        <v>-1.8</v>
      </c>
      <c r="EZ21" s="7">
        <v>2.4</v>
      </c>
      <c r="FA21" s="7">
        <v>-3.4</v>
      </c>
      <c r="FB21" s="7">
        <v>-9.7</v>
      </c>
      <c r="FC21" s="7">
        <v>-6.2</v>
      </c>
      <c r="FD21" s="7">
        <v>-10.1</v>
      </c>
      <c r="FE21" s="7">
        <v>-14.6</v>
      </c>
      <c r="FF21" s="7">
        <v>-9.3</v>
      </c>
      <c r="FG21" s="7">
        <v>-0.8</v>
      </c>
      <c r="FH21" s="7">
        <v>-4.9</v>
      </c>
      <c r="FI21" s="7">
        <v>-1.6</v>
      </c>
      <c r="FJ21" s="7">
        <v>1.2</v>
      </c>
      <c r="FK21" s="7">
        <v>1.8</v>
      </c>
      <c r="FL21" s="7">
        <v>12.5</v>
      </c>
      <c r="FM21" s="7">
        <v>9.8</v>
      </c>
      <c r="FN21" s="7">
        <v>7.2</v>
      </c>
      <c r="FO21" s="7">
        <v>3.4</v>
      </c>
      <c r="FP21" s="7">
        <v>-3.2</v>
      </c>
      <c r="FQ21" s="7">
        <v>-9.2</v>
      </c>
      <c r="FR21" s="7">
        <v>-15.3</v>
      </c>
      <c r="FS21" s="7">
        <v>-6.1</v>
      </c>
      <c r="FT21" s="7">
        <v>-2.4</v>
      </c>
      <c r="FU21" s="7">
        <v>2.7</v>
      </c>
      <c r="FV21" s="7">
        <v>1.9</v>
      </c>
      <c r="FW21" s="7">
        <v>15.2</v>
      </c>
      <c r="FX21" s="7">
        <v>20.8</v>
      </c>
      <c r="FY21" s="7">
        <v>16</v>
      </c>
      <c r="FZ21" s="7">
        <v>12.1</v>
      </c>
      <c r="GA21" s="7">
        <v>10.2</v>
      </c>
      <c r="GB21" s="7">
        <v>5.3</v>
      </c>
      <c r="GC21" s="7">
        <v>1.1</v>
      </c>
      <c r="GD21" s="7">
        <v>1.7</v>
      </c>
      <c r="GE21" s="7">
        <v>-2</v>
      </c>
      <c r="GF21" s="7">
        <v>3.6</v>
      </c>
      <c r="GG21" s="7">
        <v>18.3</v>
      </c>
      <c r="GH21" s="7">
        <v>27.5</v>
      </c>
      <c r="GI21" s="7">
        <v>30.4</v>
      </c>
      <c r="GJ21" s="7">
        <v>39.2</v>
      </c>
      <c r="GK21" s="7">
        <v>39.4</v>
      </c>
      <c r="GL21" s="7">
        <v>32.8</v>
      </c>
      <c r="GM21" s="7">
        <v>33.2</v>
      </c>
      <c r="GN21" s="7">
        <v>41.2</v>
      </c>
      <c r="GO21" s="7">
        <v>43.6</v>
      </c>
      <c r="GP21" s="7">
        <v>51.3</v>
      </c>
      <c r="GQ21" s="7">
        <v>-6.1</v>
      </c>
      <c r="GR21" s="7">
        <v>-2.9</v>
      </c>
      <c r="GS21" s="7">
        <v>7.4</v>
      </c>
      <c r="GT21" s="7">
        <v>9.9</v>
      </c>
      <c r="GU21" s="7">
        <v>11.7</v>
      </c>
      <c r="GV21" s="7">
        <v>9.2</v>
      </c>
      <c r="GW21" s="7">
        <v>12.1</v>
      </c>
      <c r="GX21" s="7">
        <v>3.2</v>
      </c>
      <c r="GY21" s="7">
        <v>19.3</v>
      </c>
      <c r="GZ21" s="7">
        <v>8.7</v>
      </c>
      <c r="HA21" s="7">
        <v>7.1</v>
      </c>
      <c r="HB21" s="7">
        <v>8.2</v>
      </c>
      <c r="HC21" s="7">
        <v>0.6</v>
      </c>
      <c r="HD21" s="7">
        <v>-3.2</v>
      </c>
      <c r="HE21" s="7">
        <v>-3.2</v>
      </c>
      <c r="HF21" s="7">
        <v>-1.5</v>
      </c>
      <c r="HG21" s="7">
        <v>1.5</v>
      </c>
      <c r="HH21" s="7">
        <v>12.3</v>
      </c>
      <c r="HI21" s="7">
        <v>11.1</v>
      </c>
      <c r="HJ21" s="7">
        <v>5.7</v>
      </c>
      <c r="HK21" s="7">
        <v>3.1</v>
      </c>
      <c r="HL21" s="7">
        <v>6.8</v>
      </c>
      <c r="HM21" s="7">
        <v>1.7</v>
      </c>
      <c r="HN21" s="7">
        <v>12.8</v>
      </c>
      <c r="HO21" s="7">
        <v>14.4</v>
      </c>
      <c r="HP21" s="7">
        <v>-1.7</v>
      </c>
      <c r="HQ21" s="7">
        <v>-3.6</v>
      </c>
      <c r="HR21" s="7">
        <v>-3.5</v>
      </c>
      <c r="HS21" s="7">
        <v>2.8</v>
      </c>
      <c r="HT21" s="7">
        <v>-1.7</v>
      </c>
      <c r="HU21" s="7">
        <v>-0.1</v>
      </c>
      <c r="HV21" s="7">
        <v>-0.5</v>
      </c>
      <c r="HW21" s="7">
        <v>-0.7</v>
      </c>
      <c r="HX21" s="7">
        <v>1.8</v>
      </c>
      <c r="HY21" s="7">
        <v>0.2</v>
      </c>
      <c r="HZ21" s="7">
        <v>5.8</v>
      </c>
      <c r="IA21" s="7">
        <v>-5.3</v>
      </c>
      <c r="IB21" s="7">
        <v>-4.1</v>
      </c>
      <c r="IC21" s="7">
        <v>4</v>
      </c>
      <c r="ID21" s="7">
        <v>5.5</v>
      </c>
      <c r="IE21" s="7">
        <v>8.2</v>
      </c>
      <c r="IF21" s="7">
        <v>12</v>
      </c>
      <c r="IG21" s="7">
        <v>14</v>
      </c>
      <c r="IH21" s="7">
        <v>14</v>
      </c>
      <c r="II21" s="7">
        <v>13</v>
      </c>
      <c r="IJ21" s="7">
        <v>15.8</v>
      </c>
      <c r="IK21" s="7">
        <v>21.4</v>
      </c>
      <c r="IL21" s="7">
        <v>21.2</v>
      </c>
      <c r="IM21" s="7">
        <v>-3.6</v>
      </c>
      <c r="IN21" s="7">
        <v>1.5</v>
      </c>
      <c r="IO21" s="7">
        <v>4.8</v>
      </c>
      <c r="IP21" s="7">
        <v>4.6</v>
      </c>
      <c r="IQ21" s="7">
        <v>7.8</v>
      </c>
      <c r="IR21" s="7">
        <v>11.1</v>
      </c>
      <c r="IS21" s="7">
        <v>11.2</v>
      </c>
      <c r="IT21" s="7">
        <v>10.8</v>
      </c>
      <c r="IU21" s="7">
        <v>11.2</v>
      </c>
      <c r="IV21" s="7">
        <v>9.6</v>
      </c>
      <c r="IW21" s="7">
        <v>6.5</v>
      </c>
      <c r="IX21" s="7">
        <v>22.3</v>
      </c>
      <c r="IY21" s="7">
        <v>-0.2</v>
      </c>
      <c r="IZ21" s="7">
        <v>1.8</v>
      </c>
      <c r="JA21" s="7">
        <v>1.6</v>
      </c>
      <c r="JB21" s="7">
        <v>-3.3</v>
      </c>
      <c r="JC21" s="7">
        <v>-4.7</v>
      </c>
      <c r="JD21" s="7">
        <v>1.2</v>
      </c>
      <c r="JE21" s="7">
        <v>1.1</v>
      </c>
      <c r="JF21" s="7">
        <v>0.2</v>
      </c>
      <c r="JG21" s="7">
        <v>-0.9</v>
      </c>
      <c r="JH21" s="7">
        <v>0.7</v>
      </c>
      <c r="JI21" s="7">
        <v>2.9</v>
      </c>
      <c r="JJ21" s="7">
        <v>6.8</v>
      </c>
      <c r="JK21" s="7">
        <v>-5.2</v>
      </c>
      <c r="JL21" s="7">
        <v>-8.3</v>
      </c>
      <c r="JM21" s="7">
        <v>-8.4</v>
      </c>
      <c r="JN21" s="7">
        <v>-7.8</v>
      </c>
      <c r="JO21" s="7">
        <v>-4.6</v>
      </c>
      <c r="JP21" s="7">
        <v>3.9</v>
      </c>
      <c r="JQ21" s="7">
        <v>0.7</v>
      </c>
      <c r="JR21" s="7">
        <v>-0.3</v>
      </c>
      <c r="JS21" s="7">
        <v>0.4</v>
      </c>
      <c r="JT21" s="7">
        <v>0.4</v>
      </c>
      <c r="JU21" s="7">
        <v>0.5</v>
      </c>
      <c r="JV21" s="7">
        <v>10.6</v>
      </c>
      <c r="JW21" s="7">
        <v>-8</v>
      </c>
      <c r="JX21" s="7">
        <v>-7</v>
      </c>
      <c r="JY21" s="7">
        <v>-9.4</v>
      </c>
      <c r="JZ21" s="7">
        <v>-4.1</v>
      </c>
      <c r="KA21" s="7">
        <v>-2.5</v>
      </c>
      <c r="KB21" s="7">
        <v>2.7</v>
      </c>
      <c r="KC21" s="7">
        <v>6.2</v>
      </c>
      <c r="KD21" s="7">
        <v>4.1</v>
      </c>
      <c r="KE21" s="7">
        <v>4.4</v>
      </c>
      <c r="KF21" s="7">
        <v>2.8</v>
      </c>
      <c r="KG21" s="7">
        <v>0.1</v>
      </c>
      <c r="KH21" s="7">
        <v>9.5</v>
      </c>
      <c r="KI21" s="7">
        <v>-7.1</v>
      </c>
      <c r="KJ21" s="7">
        <v>-7.3</v>
      </c>
      <c r="KK21" s="7">
        <v>-10</v>
      </c>
      <c r="KL21" s="7">
        <v>-6.9</v>
      </c>
      <c r="KM21" s="7">
        <v>-6.7</v>
      </c>
      <c r="KN21" s="7">
        <v>-0.3</v>
      </c>
      <c r="KO21" s="7">
        <v>-2.6</v>
      </c>
      <c r="KP21" s="7">
        <v>-1.4</v>
      </c>
      <c r="KQ21" s="7"/>
      <c r="KR21" s="7">
        <v>-1.8</v>
      </c>
      <c r="KS21" s="7">
        <v>-0.3</v>
      </c>
      <c r="KT21" s="7">
        <v>5</v>
      </c>
      <c r="KU21" s="7">
        <v>-6.4</v>
      </c>
      <c r="KV21" s="7">
        <v>-5.4</v>
      </c>
      <c r="KW21" s="7">
        <v>-4.7</v>
      </c>
      <c r="KX21" s="7">
        <v>-4.8</v>
      </c>
      <c r="KY21" s="7">
        <v>-2.3</v>
      </c>
      <c r="KZ21" s="7">
        <v>1.5</v>
      </c>
    </row>
    <row r="22" spans="1:312">
      <c r="A22" s="6" t="s">
        <v>324</v>
      </c>
      <c r="B22" s="7">
        <v>13161</v>
      </c>
      <c r="C22" s="7">
        <v>13593</v>
      </c>
      <c r="D22" s="7">
        <v>13570</v>
      </c>
      <c r="E22" s="7">
        <v>13917</v>
      </c>
      <c r="F22" s="7">
        <v>15245</v>
      </c>
      <c r="G22" s="7">
        <v>14406</v>
      </c>
      <c r="H22" s="7">
        <v>14973</v>
      </c>
      <c r="I22" s="7">
        <v>15203</v>
      </c>
      <c r="J22" s="7">
        <v>15502</v>
      </c>
      <c r="K22" s="7">
        <v>15683</v>
      </c>
      <c r="L22" s="7">
        <v>16523</v>
      </c>
      <c r="M22" s="7">
        <v>17593</v>
      </c>
      <c r="N22" s="7">
        <v>16762</v>
      </c>
      <c r="O22" s="7">
        <v>16840</v>
      </c>
      <c r="P22" s="7">
        <v>16241</v>
      </c>
      <c r="Q22" s="7">
        <v>16286</v>
      </c>
      <c r="R22" s="7">
        <v>1912</v>
      </c>
      <c r="S22" s="7">
        <v>1548</v>
      </c>
      <c r="T22" s="7">
        <v>1511</v>
      </c>
      <c r="U22" s="7">
        <v>1649</v>
      </c>
      <c r="V22" s="7">
        <v>1739</v>
      </c>
      <c r="W22" s="7">
        <v>1935</v>
      </c>
      <c r="X22" s="7">
        <v>2115</v>
      </c>
      <c r="Y22" s="7">
        <v>2108</v>
      </c>
      <c r="Z22" s="7">
        <v>2107</v>
      </c>
      <c r="AA22" s="7">
        <v>2409</v>
      </c>
      <c r="AB22" s="7">
        <v>2648</v>
      </c>
      <c r="AC22" s="7">
        <v>9224</v>
      </c>
      <c r="AD22" s="7">
        <v>17799</v>
      </c>
      <c r="AE22" s="7">
        <v>16208</v>
      </c>
      <c r="AF22" s="7">
        <v>17996</v>
      </c>
      <c r="AG22" s="7">
        <v>18884</v>
      </c>
      <c r="AH22" s="7">
        <v>20256</v>
      </c>
      <c r="AI22" s="7">
        <v>21493</v>
      </c>
      <c r="AJ22" s="7">
        <v>23261</v>
      </c>
      <c r="AK22" s="7">
        <v>23733</v>
      </c>
      <c r="AL22" s="7">
        <v>25114</v>
      </c>
      <c r="AM22" s="7">
        <v>25039</v>
      </c>
      <c r="AN22" s="7">
        <v>26577</v>
      </c>
      <c r="AO22" s="7">
        <v>27130</v>
      </c>
      <c r="AP22" s="7">
        <v>29840</v>
      </c>
      <c r="AQ22" s="7">
        <v>26790</v>
      </c>
      <c r="AR22" s="7">
        <v>28855</v>
      </c>
      <c r="AS22" s="7">
        <v>29401</v>
      </c>
      <c r="AT22" s="7">
        <v>31038</v>
      </c>
      <c r="AU22" s="7">
        <v>31584</v>
      </c>
      <c r="AV22" s="7">
        <v>34274</v>
      </c>
      <c r="AW22" s="7">
        <v>35935</v>
      </c>
      <c r="AX22" s="7">
        <v>35560</v>
      </c>
      <c r="AY22" s="7">
        <v>35950</v>
      </c>
      <c r="AZ22" s="7">
        <v>37389</v>
      </c>
      <c r="BA22" s="7">
        <v>38357</v>
      </c>
      <c r="BB22" s="7">
        <v>44164</v>
      </c>
      <c r="BC22" s="7">
        <v>36921</v>
      </c>
      <c r="BD22" s="7">
        <v>40496</v>
      </c>
      <c r="BE22" s="7">
        <v>42892</v>
      </c>
      <c r="BF22" s="7">
        <v>46797</v>
      </c>
      <c r="BG22" s="7">
        <v>47147</v>
      </c>
      <c r="BH22" s="7">
        <v>48045</v>
      </c>
      <c r="BI22" s="7">
        <v>52333</v>
      </c>
      <c r="BJ22" s="7">
        <v>51206</v>
      </c>
      <c r="BK22" s="7">
        <v>52431</v>
      </c>
      <c r="BL22" s="7">
        <v>53677</v>
      </c>
      <c r="BM22" s="7">
        <v>52796</v>
      </c>
      <c r="BN22" s="7">
        <v>57879</v>
      </c>
      <c r="BO22" s="7">
        <v>54339</v>
      </c>
      <c r="BP22" s="7">
        <v>59455</v>
      </c>
      <c r="BQ22" s="7">
        <v>64364</v>
      </c>
      <c r="BR22" s="7">
        <v>68100</v>
      </c>
      <c r="BS22" s="7">
        <v>72343</v>
      </c>
      <c r="BT22" s="7">
        <v>81582</v>
      </c>
      <c r="BU22" s="7">
        <v>82085</v>
      </c>
      <c r="BV22" s="7">
        <v>80994</v>
      </c>
      <c r="BW22" s="7">
        <v>82380</v>
      </c>
      <c r="BX22" s="7">
        <v>81835</v>
      </c>
      <c r="BY22" s="7">
        <v>85340</v>
      </c>
      <c r="BZ22" s="7">
        <v>101242</v>
      </c>
      <c r="CA22" s="7">
        <v>96190</v>
      </c>
      <c r="CB22" s="7">
        <v>104629</v>
      </c>
      <c r="CC22" s="7">
        <v>107396</v>
      </c>
      <c r="CD22" s="7">
        <v>120771</v>
      </c>
      <c r="CE22" s="7">
        <v>141388</v>
      </c>
      <c r="CF22" s="7">
        <v>139533</v>
      </c>
      <c r="CG22" s="7">
        <v>137755</v>
      </c>
      <c r="CH22" s="7">
        <v>135602</v>
      </c>
      <c r="CI22" s="7">
        <v>128284</v>
      </c>
      <c r="CJ22" s="7">
        <v>119059</v>
      </c>
      <c r="CK22" s="7">
        <v>121320</v>
      </c>
      <c r="CL22" s="7">
        <v>135140</v>
      </c>
      <c r="CM22" s="7">
        <v>121082</v>
      </c>
      <c r="CN22" s="7">
        <v>128433</v>
      </c>
      <c r="CO22" s="7">
        <v>128716</v>
      </c>
      <c r="CP22" s="7">
        <v>136167</v>
      </c>
      <c r="CQ22" s="7">
        <v>138919</v>
      </c>
      <c r="CR22" s="7">
        <v>144242</v>
      </c>
      <c r="CS22" s="7">
        <v>146147</v>
      </c>
      <c r="CT22" s="7">
        <v>150223</v>
      </c>
      <c r="CU22" s="7">
        <v>145111</v>
      </c>
      <c r="CV22" s="7">
        <v>143032</v>
      </c>
      <c r="CW22" s="7">
        <v>142265</v>
      </c>
      <c r="CX22" s="7">
        <v>148793</v>
      </c>
      <c r="CY22" s="7">
        <v>129880</v>
      </c>
      <c r="CZ22" s="7">
        <v>129920</v>
      </c>
      <c r="DA22" s="7">
        <v>127220</v>
      </c>
      <c r="DB22" s="7">
        <v>136909</v>
      </c>
      <c r="DC22" s="7">
        <v>143464</v>
      </c>
      <c r="DD22" s="7">
        <v>149592</v>
      </c>
      <c r="DE22" s="7">
        <v>151743</v>
      </c>
      <c r="DF22" s="7">
        <v>180587</v>
      </c>
      <c r="DG22" s="7">
        <v>160379</v>
      </c>
      <c r="DH22" s="7">
        <v>150194</v>
      </c>
      <c r="DI22" s="7">
        <v>150252</v>
      </c>
      <c r="DJ22" s="7">
        <v>169592</v>
      </c>
      <c r="DK22" s="7">
        <v>161717</v>
      </c>
      <c r="DL22" s="7">
        <v>172135</v>
      </c>
      <c r="DM22" s="7">
        <v>166646</v>
      </c>
      <c r="DN22" s="7">
        <v>186987</v>
      </c>
      <c r="DO22" s="7">
        <v>187080</v>
      </c>
      <c r="DP22" s="7">
        <v>205639</v>
      </c>
      <c r="DQ22" s="7">
        <v>213345</v>
      </c>
      <c r="DR22" s="7">
        <v>199537</v>
      </c>
      <c r="DS22" s="7">
        <v>202811</v>
      </c>
      <c r="DT22" s="7">
        <v>205008</v>
      </c>
      <c r="DU22" s="7">
        <v>202636</v>
      </c>
      <c r="DV22" s="7">
        <v>226520</v>
      </c>
      <c r="DW22" s="7">
        <v>204599</v>
      </c>
      <c r="DX22" s="7">
        <v>215104</v>
      </c>
      <c r="DY22" s="7">
        <v>218561</v>
      </c>
      <c r="DZ22" s="7">
        <v>226724</v>
      </c>
      <c r="EA22" s="7">
        <v>222000</v>
      </c>
      <c r="EB22" s="7">
        <v>246215</v>
      </c>
      <c r="EC22" s="7">
        <v>259915</v>
      </c>
      <c r="ED22" s="7">
        <v>246697</v>
      </c>
      <c r="EE22" s="7">
        <v>250892</v>
      </c>
      <c r="EF22" s="7">
        <v>246835</v>
      </c>
      <c r="EG22" s="7">
        <v>251448</v>
      </c>
      <c r="EH22" s="7">
        <v>296807</v>
      </c>
      <c r="EI22" s="7">
        <v>262837</v>
      </c>
      <c r="EJ22" s="7">
        <v>272902</v>
      </c>
      <c r="EK22" s="7">
        <v>284395</v>
      </c>
      <c r="EL22" s="7">
        <v>303980</v>
      </c>
      <c r="EM22" s="7">
        <v>299923</v>
      </c>
      <c r="EN22" s="7">
        <v>326537</v>
      </c>
      <c r="EO22" s="7">
        <v>321080</v>
      </c>
      <c r="EP22" s="7">
        <v>314401</v>
      </c>
      <c r="EQ22" s="7">
        <v>318440</v>
      </c>
      <c r="ER22" s="7">
        <v>310089</v>
      </c>
      <c r="ES22" s="7">
        <v>317738</v>
      </c>
      <c r="ET22" s="7">
        <v>370978</v>
      </c>
      <c r="EU22" s="7">
        <v>323680</v>
      </c>
      <c r="EV22" s="7">
        <v>335744</v>
      </c>
      <c r="EW22" s="7">
        <v>345557</v>
      </c>
      <c r="EX22" s="7">
        <v>334819</v>
      </c>
      <c r="EY22" s="7">
        <v>346737</v>
      </c>
      <c r="EZ22" s="7">
        <v>377341</v>
      </c>
      <c r="FA22" s="7">
        <v>364402</v>
      </c>
      <c r="FB22" s="7">
        <v>359325</v>
      </c>
      <c r="FC22" s="7">
        <v>348368</v>
      </c>
      <c r="FD22" s="7">
        <v>343643</v>
      </c>
      <c r="FE22" s="7">
        <v>357649</v>
      </c>
      <c r="FF22" s="7">
        <v>401524</v>
      </c>
      <c r="FG22" s="7">
        <v>356605</v>
      </c>
      <c r="FH22" s="7">
        <v>345475</v>
      </c>
      <c r="FI22" s="7">
        <v>334118</v>
      </c>
      <c r="FJ22" s="7">
        <v>356584</v>
      </c>
      <c r="FK22" s="7">
        <v>363006</v>
      </c>
      <c r="FL22" s="7">
        <v>388557</v>
      </c>
      <c r="FM22" s="7">
        <v>392184</v>
      </c>
      <c r="FN22" s="7">
        <v>382754</v>
      </c>
      <c r="FO22" s="7">
        <v>364822</v>
      </c>
      <c r="FP22" s="7">
        <v>355264</v>
      </c>
      <c r="FQ22" s="7">
        <v>361868</v>
      </c>
      <c r="FR22" s="7">
        <v>359567</v>
      </c>
      <c r="FS22" s="7">
        <v>318649</v>
      </c>
      <c r="FT22" s="7">
        <v>318292</v>
      </c>
      <c r="FU22" s="7">
        <v>311498</v>
      </c>
      <c r="FV22" s="7">
        <v>311544</v>
      </c>
      <c r="FW22" s="7">
        <v>332371</v>
      </c>
      <c r="FX22" s="7">
        <v>359429</v>
      </c>
      <c r="FY22" s="7">
        <v>351050</v>
      </c>
      <c r="FZ22" s="7">
        <v>341449</v>
      </c>
      <c r="GA22" s="7">
        <v>325200</v>
      </c>
      <c r="GB22" s="7">
        <v>331750</v>
      </c>
      <c r="GC22" s="7">
        <v>334882</v>
      </c>
      <c r="GD22" s="7">
        <v>395630</v>
      </c>
      <c r="GE22" s="7">
        <v>345394</v>
      </c>
      <c r="GF22" s="7">
        <v>344655</v>
      </c>
      <c r="GG22" s="7">
        <v>359619</v>
      </c>
      <c r="GH22" s="7">
        <v>398783</v>
      </c>
      <c r="GI22" s="7">
        <v>406821</v>
      </c>
      <c r="GJ22" s="7">
        <v>454767</v>
      </c>
      <c r="GK22" s="7">
        <v>456231</v>
      </c>
      <c r="GL22" s="7">
        <v>422334</v>
      </c>
      <c r="GM22" s="7">
        <v>440333</v>
      </c>
      <c r="GN22" s="7">
        <v>438295</v>
      </c>
      <c r="GO22" s="7">
        <v>463615</v>
      </c>
      <c r="GP22" s="7">
        <v>548379</v>
      </c>
      <c r="GQ22" s="7">
        <v>460869</v>
      </c>
      <c r="GR22" s="7">
        <v>466511</v>
      </c>
      <c r="GS22" s="7">
        <v>471456</v>
      </c>
      <c r="GT22" s="7">
        <v>508767</v>
      </c>
      <c r="GU22" s="7">
        <v>506423</v>
      </c>
      <c r="GV22" s="7">
        <v>553514</v>
      </c>
      <c r="GW22" s="7">
        <v>547975</v>
      </c>
      <c r="GX22" s="7">
        <v>525540</v>
      </c>
      <c r="GY22" s="7">
        <v>528709</v>
      </c>
      <c r="GZ22" s="7">
        <v>515507</v>
      </c>
      <c r="HA22" s="7">
        <v>544401</v>
      </c>
      <c r="HB22" s="7">
        <v>632797</v>
      </c>
      <c r="HC22" s="7">
        <v>548919</v>
      </c>
      <c r="HD22" s="7">
        <v>559793</v>
      </c>
      <c r="HE22" s="7">
        <v>570050</v>
      </c>
      <c r="HF22" s="7">
        <v>617531</v>
      </c>
      <c r="HG22" s="7">
        <v>624858</v>
      </c>
      <c r="HH22" s="7">
        <v>695955</v>
      </c>
      <c r="HI22" s="7">
        <v>671920</v>
      </c>
      <c r="HJ22" s="7">
        <v>659038</v>
      </c>
      <c r="HK22" s="7">
        <v>633659</v>
      </c>
      <c r="HL22" s="7">
        <v>648451</v>
      </c>
      <c r="HM22" s="7">
        <v>678454</v>
      </c>
      <c r="HN22" s="7">
        <v>775726</v>
      </c>
      <c r="HO22" s="7">
        <v>675818</v>
      </c>
      <c r="HP22" s="7">
        <v>693459</v>
      </c>
      <c r="HQ22" s="7">
        <v>695011</v>
      </c>
      <c r="HR22" s="7">
        <v>731417</v>
      </c>
      <c r="HS22" s="7">
        <v>769245</v>
      </c>
      <c r="HT22" s="7">
        <v>805969</v>
      </c>
      <c r="HU22" s="7">
        <v>803220</v>
      </c>
      <c r="HV22" s="7">
        <v>794257</v>
      </c>
      <c r="HW22" s="7">
        <v>821208</v>
      </c>
      <c r="HX22" s="7">
        <v>808321</v>
      </c>
      <c r="HY22" s="7">
        <v>833526</v>
      </c>
      <c r="HZ22" s="7">
        <v>978601</v>
      </c>
      <c r="IA22" s="7">
        <v>837226</v>
      </c>
      <c r="IB22" s="7">
        <v>877002</v>
      </c>
      <c r="IC22" s="7">
        <v>876162</v>
      </c>
      <c r="ID22" s="7">
        <v>1098146</v>
      </c>
      <c r="IE22" s="7">
        <v>1116370</v>
      </c>
      <c r="IF22" s="7">
        <v>1147519</v>
      </c>
      <c r="IG22" s="7">
        <v>1195681</v>
      </c>
      <c r="IH22" s="7">
        <v>1166802</v>
      </c>
      <c r="II22" s="7">
        <v>1151833</v>
      </c>
      <c r="IJ22" s="7">
        <v>1129899</v>
      </c>
      <c r="IK22" s="7">
        <v>1151110</v>
      </c>
      <c r="IL22" s="7">
        <v>1319207</v>
      </c>
      <c r="IM22" s="7">
        <v>1117630</v>
      </c>
      <c r="IN22" s="7">
        <v>1518564</v>
      </c>
      <c r="IO22" s="7">
        <v>1519336</v>
      </c>
      <c r="IP22" s="7">
        <v>1527855</v>
      </c>
      <c r="IQ22" s="7">
        <v>1539645</v>
      </c>
      <c r="IR22" s="7">
        <v>1631996</v>
      </c>
      <c r="IS22" s="7">
        <v>1608622</v>
      </c>
      <c r="IT22" s="7">
        <v>1549049</v>
      </c>
      <c r="IU22" s="7">
        <v>1570849</v>
      </c>
      <c r="IV22" s="7">
        <v>1542950</v>
      </c>
      <c r="IW22" s="7">
        <v>1496477</v>
      </c>
      <c r="IX22" s="7">
        <v>1871282</v>
      </c>
      <c r="IY22" s="7">
        <v>1529328</v>
      </c>
      <c r="IZ22" s="7">
        <v>1554692</v>
      </c>
      <c r="JA22" s="7">
        <v>1620655</v>
      </c>
      <c r="JB22" s="7">
        <v>1476162</v>
      </c>
      <c r="JC22" s="7">
        <v>1423016</v>
      </c>
      <c r="JD22" s="7">
        <v>1601670</v>
      </c>
      <c r="JE22" s="7">
        <v>1551299</v>
      </c>
      <c r="JF22" s="7">
        <v>1493737</v>
      </c>
      <c r="JG22" s="7">
        <v>1555820</v>
      </c>
      <c r="JH22" s="7">
        <v>1538998</v>
      </c>
      <c r="JI22" s="7">
        <v>1563366</v>
      </c>
      <c r="JJ22" s="7">
        <v>1805022</v>
      </c>
      <c r="JK22" s="7">
        <v>1488592</v>
      </c>
      <c r="JL22" s="7">
        <v>1530180</v>
      </c>
      <c r="JM22" s="7">
        <v>1626215</v>
      </c>
      <c r="JN22" s="7">
        <v>1646464</v>
      </c>
      <c r="JO22" s="7">
        <v>1704746</v>
      </c>
      <c r="JP22" s="7">
        <v>1901905</v>
      </c>
      <c r="JQ22" s="7">
        <v>1854063</v>
      </c>
      <c r="JR22" s="7">
        <v>1762992</v>
      </c>
      <c r="JS22" s="7">
        <v>1818823</v>
      </c>
      <c r="JT22" s="7">
        <v>1822901</v>
      </c>
      <c r="JU22" s="7">
        <v>1792237</v>
      </c>
      <c r="JV22" s="7">
        <v>2132362</v>
      </c>
      <c r="JW22" s="7">
        <v>1714094</v>
      </c>
      <c r="JX22" s="7">
        <v>1784260</v>
      </c>
      <c r="JY22" s="7">
        <v>1765178</v>
      </c>
      <c r="JZ22" s="7">
        <v>1850628</v>
      </c>
      <c r="KA22" s="7">
        <v>1922026</v>
      </c>
      <c r="KB22" s="7">
        <v>2133732</v>
      </c>
      <c r="KC22" s="7">
        <v>2107354</v>
      </c>
      <c r="KD22" s="7">
        <v>2074544</v>
      </c>
      <c r="KE22" s="7">
        <v>2003948</v>
      </c>
      <c r="KF22" s="7">
        <v>2024988</v>
      </c>
      <c r="KG22" s="7">
        <v>1972671</v>
      </c>
      <c r="KH22" s="7">
        <v>2395216</v>
      </c>
      <c r="KI22" s="7">
        <v>1965188</v>
      </c>
      <c r="KJ22" s="7">
        <v>1963022</v>
      </c>
      <c r="KK22" s="7">
        <v>1943759</v>
      </c>
      <c r="KL22" s="7">
        <v>2066041</v>
      </c>
      <c r="KM22" s="7">
        <v>2074611</v>
      </c>
      <c r="KN22" s="7">
        <v>2234722</v>
      </c>
      <c r="KO22" s="7">
        <v>2185806</v>
      </c>
      <c r="KP22" s="7">
        <v>2164098</v>
      </c>
      <c r="KQ22" s="7">
        <v>2166156</v>
      </c>
      <c r="KR22" s="7">
        <v>2195308</v>
      </c>
      <c r="KS22" s="7">
        <v>2113425</v>
      </c>
      <c r="KT22" s="7">
        <v>2580055</v>
      </c>
      <c r="KU22" s="7">
        <v>2020379</v>
      </c>
      <c r="KV22" s="7">
        <v>2028445</v>
      </c>
      <c r="KW22" s="7">
        <v>2053353</v>
      </c>
      <c r="KX22" s="7">
        <v>2179568</v>
      </c>
      <c r="KY22" s="7">
        <v>2212075</v>
      </c>
      <c r="KZ22" s="7">
        <v>2409600</v>
      </c>
    </row>
    <row r="23" spans="1:312">
      <c r="A23" s="6" t="s">
        <v>325</v>
      </c>
      <c r="B23" s="7">
        <v>62443</v>
      </c>
      <c r="C23" s="7">
        <v>66927</v>
      </c>
      <c r="D23" s="7">
        <v>73714</v>
      </c>
      <c r="E23" s="7">
        <v>68484</v>
      </c>
      <c r="F23" s="7">
        <v>73769</v>
      </c>
      <c r="G23" s="7">
        <v>64115</v>
      </c>
      <c r="H23" s="7">
        <v>71010</v>
      </c>
      <c r="I23" s="7">
        <v>77257</v>
      </c>
      <c r="J23" s="7">
        <v>61102</v>
      </c>
      <c r="K23" s="7">
        <v>68573</v>
      </c>
      <c r="L23" s="7">
        <v>79840</v>
      </c>
      <c r="M23" s="7">
        <v>74782</v>
      </c>
      <c r="N23" s="7">
        <v>76173</v>
      </c>
      <c r="O23" s="7">
        <v>86258</v>
      </c>
      <c r="P23" s="7">
        <v>78746</v>
      </c>
      <c r="Q23" s="7">
        <v>80197</v>
      </c>
      <c r="R23" s="7">
        <v>91148</v>
      </c>
      <c r="S23" s="7">
        <v>75412</v>
      </c>
      <c r="T23" s="7">
        <v>71913</v>
      </c>
      <c r="U23" s="7">
        <v>82072</v>
      </c>
      <c r="V23" s="7">
        <v>82035</v>
      </c>
      <c r="W23" s="7">
        <v>83178</v>
      </c>
      <c r="X23" s="7">
        <v>84258</v>
      </c>
      <c r="Y23" s="7">
        <v>86707</v>
      </c>
      <c r="Z23" s="7">
        <v>95111</v>
      </c>
      <c r="AA23" s="7">
        <v>99858</v>
      </c>
      <c r="AB23" s="7">
        <v>100922</v>
      </c>
      <c r="AC23" s="7">
        <v>96054</v>
      </c>
      <c r="AD23" s="7">
        <v>107792</v>
      </c>
      <c r="AE23" s="7">
        <v>96135</v>
      </c>
      <c r="AF23" s="7">
        <v>105113</v>
      </c>
      <c r="AG23" s="7">
        <v>116790</v>
      </c>
      <c r="AH23" s="7">
        <v>120084</v>
      </c>
      <c r="AI23" s="7">
        <v>129783</v>
      </c>
      <c r="AJ23" s="7">
        <v>149166</v>
      </c>
      <c r="AK23" s="7">
        <v>144028</v>
      </c>
      <c r="AL23" s="7">
        <v>142664</v>
      </c>
      <c r="AM23" s="7">
        <v>164346</v>
      </c>
      <c r="AN23" s="7">
        <v>164239</v>
      </c>
      <c r="AO23" s="7">
        <v>169090</v>
      </c>
      <c r="AP23" s="7">
        <v>143754</v>
      </c>
      <c r="AQ23" s="7">
        <v>145415</v>
      </c>
      <c r="AR23" s="7">
        <v>157511</v>
      </c>
      <c r="AS23" s="7">
        <v>168870</v>
      </c>
      <c r="AT23" s="7">
        <v>165561</v>
      </c>
      <c r="AU23" s="7">
        <v>191846</v>
      </c>
      <c r="AV23" s="7">
        <v>199650</v>
      </c>
      <c r="AW23" s="7">
        <v>199980</v>
      </c>
      <c r="AX23" s="7">
        <v>216408</v>
      </c>
      <c r="AY23" s="7">
        <v>218317</v>
      </c>
      <c r="AZ23" s="7">
        <v>228218</v>
      </c>
      <c r="BA23" s="7">
        <v>248985</v>
      </c>
      <c r="BB23" s="7">
        <v>257196</v>
      </c>
      <c r="BC23" s="7">
        <v>233670</v>
      </c>
      <c r="BD23" s="7">
        <v>260295</v>
      </c>
      <c r="BE23" s="7">
        <v>279511</v>
      </c>
      <c r="BF23" s="7">
        <v>292871</v>
      </c>
      <c r="BG23" s="7">
        <v>286540</v>
      </c>
      <c r="BH23" s="7">
        <v>312871</v>
      </c>
      <c r="BI23" s="7">
        <v>298431</v>
      </c>
      <c r="BJ23" s="7">
        <v>304586</v>
      </c>
      <c r="BK23" s="7">
        <v>318902</v>
      </c>
      <c r="BL23" s="7">
        <v>305121</v>
      </c>
      <c r="BM23" s="7">
        <v>323094</v>
      </c>
      <c r="BN23" s="7">
        <v>329748</v>
      </c>
      <c r="BO23" s="7">
        <v>309522</v>
      </c>
      <c r="BP23" s="7">
        <v>403592</v>
      </c>
      <c r="BQ23" s="7">
        <v>412424</v>
      </c>
      <c r="BR23" s="7">
        <v>402924</v>
      </c>
      <c r="BS23" s="7">
        <v>437994</v>
      </c>
      <c r="BT23" s="7">
        <v>445797</v>
      </c>
      <c r="BU23" s="7">
        <v>501638</v>
      </c>
      <c r="BV23" s="7">
        <v>510879</v>
      </c>
      <c r="BW23" s="7">
        <v>553444</v>
      </c>
      <c r="BX23" s="7">
        <v>521294</v>
      </c>
      <c r="BY23" s="7">
        <v>560274</v>
      </c>
      <c r="BZ23" s="7">
        <v>579475</v>
      </c>
      <c r="CA23" s="7">
        <v>555110</v>
      </c>
      <c r="CB23" s="7">
        <v>626221</v>
      </c>
      <c r="CC23" s="7">
        <v>633531</v>
      </c>
      <c r="CD23" s="7">
        <v>680375</v>
      </c>
      <c r="CE23" s="7">
        <v>694723</v>
      </c>
      <c r="CF23" s="7">
        <v>786868</v>
      </c>
      <c r="CG23" s="7">
        <v>713777</v>
      </c>
      <c r="CH23" s="7">
        <v>680612</v>
      </c>
      <c r="CI23" s="7">
        <v>750547</v>
      </c>
      <c r="CJ23" s="7">
        <v>658699</v>
      </c>
      <c r="CK23" s="7">
        <v>663936</v>
      </c>
      <c r="CL23" s="7">
        <v>657862</v>
      </c>
      <c r="CM23" s="7">
        <v>642918</v>
      </c>
      <c r="CN23" s="7">
        <v>685107</v>
      </c>
      <c r="CO23" s="7">
        <v>751611</v>
      </c>
      <c r="CP23" s="7">
        <v>723028</v>
      </c>
      <c r="CQ23" s="7">
        <v>829689</v>
      </c>
      <c r="CR23" s="7">
        <v>864821</v>
      </c>
      <c r="CS23" s="7">
        <v>879873</v>
      </c>
      <c r="CT23" s="7">
        <v>861765</v>
      </c>
      <c r="CU23" s="7">
        <v>977383</v>
      </c>
      <c r="CV23" s="7">
        <v>827460</v>
      </c>
      <c r="CW23" s="7">
        <v>856991</v>
      </c>
      <c r="CX23" s="7">
        <v>940935</v>
      </c>
      <c r="CY23" s="7">
        <v>1162281</v>
      </c>
      <c r="CZ23" s="7">
        <v>1428949</v>
      </c>
      <c r="DA23" s="7">
        <v>1433604</v>
      </c>
      <c r="DB23" s="7">
        <v>1338216</v>
      </c>
      <c r="DC23" s="7">
        <v>1356324</v>
      </c>
      <c r="DD23" s="7">
        <v>1475886</v>
      </c>
      <c r="DE23" s="7">
        <v>1638555</v>
      </c>
      <c r="DF23" s="7">
        <v>1450713</v>
      </c>
      <c r="DG23" s="7">
        <v>1414617</v>
      </c>
      <c r="DH23" s="7">
        <v>1348119</v>
      </c>
      <c r="DI23" s="7">
        <v>1415734</v>
      </c>
      <c r="DJ23" s="7">
        <v>1374642</v>
      </c>
      <c r="DK23" s="7">
        <v>1500371</v>
      </c>
      <c r="DL23" s="7">
        <v>1540596</v>
      </c>
      <c r="DM23" s="7">
        <v>1642169</v>
      </c>
      <c r="DN23" s="7">
        <v>1644078</v>
      </c>
      <c r="DO23" s="7">
        <v>1464112</v>
      </c>
      <c r="DP23" s="7">
        <v>1624231</v>
      </c>
      <c r="DQ23" s="7">
        <v>1544726</v>
      </c>
      <c r="DR23" s="7">
        <v>1691150</v>
      </c>
      <c r="DS23" s="7">
        <v>1792910</v>
      </c>
      <c r="DT23" s="7">
        <v>1860558</v>
      </c>
      <c r="DU23" s="7">
        <v>1692978</v>
      </c>
      <c r="DV23" s="7">
        <v>1741040</v>
      </c>
      <c r="DW23" s="7">
        <v>1813243</v>
      </c>
      <c r="DX23" s="7">
        <v>1830440</v>
      </c>
      <c r="DY23" s="7">
        <v>2125027</v>
      </c>
      <c r="DZ23" s="7">
        <v>2138295</v>
      </c>
      <c r="EA23" s="7">
        <v>2154417</v>
      </c>
      <c r="EB23" s="7">
        <v>2246175</v>
      </c>
      <c r="EC23" s="7">
        <v>2372848</v>
      </c>
      <c r="ED23" s="7">
        <v>2172808</v>
      </c>
      <c r="EE23" s="7">
        <v>2192477</v>
      </c>
      <c r="EF23" s="7">
        <v>2119928</v>
      </c>
      <c r="EG23" s="7">
        <v>2051068</v>
      </c>
      <c r="EH23" s="7">
        <v>2182491</v>
      </c>
      <c r="EI23" s="7">
        <v>2049771</v>
      </c>
      <c r="EJ23" s="7">
        <v>2197982</v>
      </c>
      <c r="EK23" s="7">
        <v>2294115</v>
      </c>
      <c r="EL23" s="7">
        <v>2079897</v>
      </c>
      <c r="EM23" s="7">
        <v>2162895</v>
      </c>
      <c r="EN23" s="7">
        <v>2277503</v>
      </c>
      <c r="EO23" s="7">
        <v>2168656</v>
      </c>
      <c r="EP23" s="7">
        <v>2013400</v>
      </c>
      <c r="EQ23" s="7">
        <v>2071540</v>
      </c>
      <c r="ER23" s="7">
        <v>2042263</v>
      </c>
      <c r="ES23" s="7">
        <v>1882065</v>
      </c>
      <c r="ET23" s="7">
        <v>1981556</v>
      </c>
      <c r="EU23" s="7">
        <v>1973569</v>
      </c>
      <c r="EV23" s="7">
        <v>2014145</v>
      </c>
      <c r="EW23" s="7">
        <v>2070202</v>
      </c>
      <c r="EX23" s="7">
        <v>2110332</v>
      </c>
      <c r="EY23" s="7">
        <v>2004125</v>
      </c>
      <c r="EZ23" s="7">
        <v>2073138</v>
      </c>
      <c r="FA23" s="7">
        <v>1908428</v>
      </c>
      <c r="FB23" s="7">
        <v>1678688</v>
      </c>
      <c r="FC23" s="7">
        <v>1838072</v>
      </c>
      <c r="FD23" s="7">
        <v>1708085</v>
      </c>
      <c r="FE23" s="7">
        <v>1550566</v>
      </c>
      <c r="FF23" s="7">
        <v>1604634</v>
      </c>
      <c r="FG23" s="7">
        <v>1735452</v>
      </c>
      <c r="FH23" s="7">
        <v>1600829</v>
      </c>
      <c r="FI23" s="7">
        <v>1807739</v>
      </c>
      <c r="FJ23" s="7">
        <v>1843998</v>
      </c>
      <c r="FK23" s="7">
        <v>1822325</v>
      </c>
      <c r="FL23" s="7">
        <v>2117594</v>
      </c>
      <c r="FM23" s="7">
        <v>2031805</v>
      </c>
      <c r="FN23" s="7">
        <v>2007885</v>
      </c>
      <c r="FO23" s="7">
        <v>1905441</v>
      </c>
      <c r="FP23" s="7">
        <v>1776840</v>
      </c>
      <c r="FQ23" s="7">
        <v>1612689</v>
      </c>
      <c r="FR23" s="7">
        <v>1499088</v>
      </c>
      <c r="FS23" s="7">
        <v>1446115</v>
      </c>
      <c r="FT23" s="7">
        <v>1569523</v>
      </c>
      <c r="FU23" s="7">
        <v>1711718</v>
      </c>
      <c r="FV23" s="7">
        <v>1707001</v>
      </c>
      <c r="FW23" s="7">
        <v>2015020</v>
      </c>
      <c r="FX23" s="7">
        <v>2099454</v>
      </c>
      <c r="FY23" s="7">
        <v>1970992</v>
      </c>
      <c r="FZ23" s="7">
        <v>1813028</v>
      </c>
      <c r="GA23" s="7">
        <v>1759767</v>
      </c>
      <c r="GB23" s="7">
        <v>1605992</v>
      </c>
      <c r="GC23" s="7">
        <v>1487700</v>
      </c>
      <c r="GD23" s="7">
        <v>1400109</v>
      </c>
      <c r="GE23" s="7">
        <v>1451779</v>
      </c>
      <c r="GF23" s="7">
        <v>1558341</v>
      </c>
      <c r="GG23" s="7">
        <v>1925042</v>
      </c>
      <c r="GH23" s="7">
        <v>2071580</v>
      </c>
      <c r="GI23" s="7">
        <v>2062999</v>
      </c>
      <c r="GJ23" s="7">
        <v>2183856</v>
      </c>
      <c r="GK23" s="7">
        <v>2176836</v>
      </c>
      <c r="GL23" s="7">
        <v>2055055</v>
      </c>
      <c r="GM23" s="7">
        <v>2037661</v>
      </c>
      <c r="GN23" s="7">
        <v>2272192</v>
      </c>
      <c r="GO23" s="7">
        <v>2323543</v>
      </c>
      <c r="GP23" s="7">
        <v>2292579</v>
      </c>
      <c r="GQ23" s="7">
        <v>2230083</v>
      </c>
      <c r="GR23" s="7">
        <v>2347635</v>
      </c>
      <c r="GS23" s="7">
        <v>2810916</v>
      </c>
      <c r="GT23" s="7">
        <v>2813296</v>
      </c>
      <c r="GU23" s="7">
        <v>2879633</v>
      </c>
      <c r="GV23" s="7">
        <v>2626772</v>
      </c>
      <c r="GW23" s="7">
        <v>2726568</v>
      </c>
      <c r="GX23" s="7">
        <v>2392529</v>
      </c>
      <c r="GY23" s="7">
        <v>3131770</v>
      </c>
      <c r="GZ23" s="7">
        <v>2697350</v>
      </c>
      <c r="HA23" s="7">
        <v>2606701</v>
      </c>
      <c r="HB23" s="7">
        <v>2388856</v>
      </c>
      <c r="HC23" s="7">
        <v>2629656</v>
      </c>
      <c r="HD23" s="7">
        <v>2453625</v>
      </c>
      <c r="HE23" s="7">
        <v>2427115</v>
      </c>
      <c r="HF23" s="7">
        <v>2390171</v>
      </c>
      <c r="HG23" s="7">
        <v>2478900</v>
      </c>
      <c r="HH23" s="7">
        <v>2822296</v>
      </c>
      <c r="HI23" s="7">
        <v>2745075</v>
      </c>
      <c r="HJ23" s="7">
        <v>2493525</v>
      </c>
      <c r="HK23" s="7">
        <v>2422022</v>
      </c>
      <c r="HL23" s="7">
        <v>2554496</v>
      </c>
      <c r="HM23" s="7">
        <v>2291036</v>
      </c>
      <c r="HN23" s="7">
        <v>2569122</v>
      </c>
      <c r="HO23" s="7">
        <v>3566442</v>
      </c>
      <c r="HP23" s="7">
        <v>2679210</v>
      </c>
      <c r="HQ23" s="7">
        <v>2513872</v>
      </c>
      <c r="HR23" s="7">
        <v>2472702</v>
      </c>
      <c r="HS23" s="7">
        <v>2745611</v>
      </c>
      <c r="HT23" s="7">
        <v>2470241</v>
      </c>
      <c r="HU23" s="7">
        <v>2559588</v>
      </c>
      <c r="HV23" s="7">
        <v>2534545</v>
      </c>
      <c r="HW23" s="7">
        <v>2514218</v>
      </c>
      <c r="HX23" s="7">
        <v>2663921</v>
      </c>
      <c r="HY23" s="7">
        <v>2581970</v>
      </c>
      <c r="HZ23" s="7">
        <v>2648979</v>
      </c>
      <c r="IA23" s="7">
        <v>2589392</v>
      </c>
      <c r="IB23" s="7">
        <v>2595599</v>
      </c>
      <c r="IC23" s="7">
        <v>2987105</v>
      </c>
      <c r="ID23" s="7">
        <v>2580257</v>
      </c>
      <c r="IE23" s="7">
        <v>2532127</v>
      </c>
      <c r="IF23" s="7">
        <v>2709221</v>
      </c>
      <c r="IG23" s="7">
        <v>2677206</v>
      </c>
      <c r="IH23" s="7">
        <v>2671303</v>
      </c>
      <c r="II23" s="7">
        <v>2739629</v>
      </c>
      <c r="IJ23" s="7">
        <v>2930663</v>
      </c>
      <c r="IK23" s="7">
        <v>3341203</v>
      </c>
      <c r="IL23" s="7">
        <v>3039698</v>
      </c>
      <c r="IM23" s="7">
        <v>3094090</v>
      </c>
      <c r="IN23" s="7">
        <v>3026939</v>
      </c>
      <c r="IO23" s="7">
        <v>3218196</v>
      </c>
      <c r="IP23" s="7">
        <v>3101952</v>
      </c>
      <c r="IQ23" s="7">
        <v>3244889</v>
      </c>
      <c r="IR23" s="7">
        <v>3327055</v>
      </c>
      <c r="IS23" s="7">
        <v>3348910</v>
      </c>
      <c r="IT23" s="7">
        <v>3400441</v>
      </c>
      <c r="IU23" s="7">
        <v>3437116</v>
      </c>
      <c r="IV23" s="7">
        <v>3323978</v>
      </c>
      <c r="IW23" s="7">
        <v>3252785</v>
      </c>
      <c r="IX23" s="7">
        <v>3919000</v>
      </c>
      <c r="IY23" s="7">
        <v>4248413</v>
      </c>
      <c r="IZ23" s="7">
        <v>4397002</v>
      </c>
      <c r="JA23" s="7">
        <v>4246873</v>
      </c>
      <c r="JB23" s="7">
        <v>3915859</v>
      </c>
      <c r="JC23" s="7">
        <v>3878273</v>
      </c>
      <c r="JD23" s="7">
        <v>4029491</v>
      </c>
      <c r="JE23" s="7">
        <v>3988764</v>
      </c>
      <c r="JF23" s="7">
        <v>4011111</v>
      </c>
      <c r="JG23" s="7">
        <v>3835813</v>
      </c>
      <c r="JH23" s="7">
        <v>3997333</v>
      </c>
      <c r="JI23" s="7">
        <v>4228178</v>
      </c>
      <c r="JJ23" s="7">
        <v>4216780</v>
      </c>
      <c r="JK23" s="7">
        <v>4150773</v>
      </c>
      <c r="JL23" s="7">
        <v>3879959</v>
      </c>
      <c r="JM23" s="7">
        <v>3747066</v>
      </c>
      <c r="JN23" s="7">
        <v>3642243</v>
      </c>
      <c r="JO23" s="7">
        <v>3892334</v>
      </c>
      <c r="JP23" s="7">
        <v>4354873</v>
      </c>
      <c r="JQ23" s="7">
        <v>4085351</v>
      </c>
      <c r="JR23" s="7">
        <v>4080677</v>
      </c>
      <c r="JS23" s="7">
        <v>4044620</v>
      </c>
      <c r="JT23" s="7">
        <v>4066421</v>
      </c>
      <c r="JU23" s="7">
        <v>4166904</v>
      </c>
      <c r="JV23" s="7">
        <v>4608860</v>
      </c>
      <c r="JW23" s="7">
        <v>4224489</v>
      </c>
      <c r="JX23" s="7">
        <v>4253396</v>
      </c>
      <c r="JY23" s="7">
        <v>3998057</v>
      </c>
      <c r="JZ23" s="7">
        <v>4471317</v>
      </c>
      <c r="KA23" s="7">
        <v>4494492</v>
      </c>
      <c r="KB23" s="7">
        <v>4605954</v>
      </c>
      <c r="KC23" s="7">
        <v>4950332</v>
      </c>
      <c r="KD23" s="7">
        <v>4682805</v>
      </c>
      <c r="KE23" s="7">
        <v>4842271</v>
      </c>
      <c r="KF23" s="7">
        <v>4604572</v>
      </c>
      <c r="KG23" s="7">
        <v>4355637</v>
      </c>
      <c r="KH23" s="7">
        <v>4594281</v>
      </c>
      <c r="KI23" s="7">
        <v>4313115</v>
      </c>
      <c r="KJ23" s="7">
        <v>4342844</v>
      </c>
      <c r="KK23" s="7">
        <v>4005988</v>
      </c>
      <c r="KL23" s="7">
        <v>4092470</v>
      </c>
      <c r="KM23" s="7">
        <v>4030967</v>
      </c>
      <c r="KN23" s="7">
        <v>4373529</v>
      </c>
      <c r="KO23" s="7">
        <v>4089901</v>
      </c>
      <c r="KP23" s="7">
        <v>4213304</v>
      </c>
      <c r="KQ23" s="7">
        <v>4507004</v>
      </c>
      <c r="KR23" s="7">
        <v>4316110</v>
      </c>
      <c r="KS23" s="7">
        <v>4650099</v>
      </c>
      <c r="KT23" s="7">
        <v>4605818</v>
      </c>
      <c r="KU23" s="7">
        <v>4577924</v>
      </c>
      <c r="KV23" s="7">
        <v>4780969</v>
      </c>
      <c r="KW23" s="7">
        <v>4838269</v>
      </c>
      <c r="KX23" s="7">
        <v>4590779</v>
      </c>
      <c r="KY23" s="7">
        <v>4688879</v>
      </c>
      <c r="KZ23" s="7">
        <v>4839732</v>
      </c>
    </row>
    <row r="24" spans="1:312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</row>
    <row r="25" spans="1:312">
      <c r="A25" s="8" t="s">
        <v>326</v>
      </c>
      <c r="B25" s="7">
        <v>263580</v>
      </c>
      <c r="C25" s="7">
        <v>278501</v>
      </c>
      <c r="D25" s="7">
        <v>294928</v>
      </c>
      <c r="E25" s="7">
        <v>283324</v>
      </c>
      <c r="F25" s="7">
        <v>290643</v>
      </c>
      <c r="G25" s="7">
        <v>271849</v>
      </c>
      <c r="H25" s="7">
        <v>290975</v>
      </c>
      <c r="I25" s="7">
        <v>311455</v>
      </c>
      <c r="J25" s="7">
        <v>295745</v>
      </c>
      <c r="K25" s="7">
        <v>306972</v>
      </c>
      <c r="L25" s="7">
        <v>347105</v>
      </c>
      <c r="M25" s="7">
        <v>353279</v>
      </c>
      <c r="N25" s="7">
        <v>338510</v>
      </c>
      <c r="O25" s="7">
        <v>355646</v>
      </c>
      <c r="P25" s="7">
        <v>346173</v>
      </c>
      <c r="Q25" s="7">
        <v>326428</v>
      </c>
      <c r="R25" s="7">
        <v>337980</v>
      </c>
      <c r="S25" s="7">
        <v>315711</v>
      </c>
      <c r="T25" s="7">
        <v>309127</v>
      </c>
      <c r="U25" s="7">
        <v>328982</v>
      </c>
      <c r="V25" s="7">
        <v>344634</v>
      </c>
      <c r="W25" s="7">
        <v>350423</v>
      </c>
      <c r="X25" s="7">
        <v>364286</v>
      </c>
      <c r="Y25" s="7">
        <v>389855</v>
      </c>
      <c r="Z25" s="7">
        <v>395426</v>
      </c>
      <c r="AA25" s="7">
        <v>419268</v>
      </c>
      <c r="AB25" s="7">
        <v>446155</v>
      </c>
      <c r="AC25" s="7">
        <v>442830</v>
      </c>
      <c r="AD25" s="7">
        <v>498071</v>
      </c>
      <c r="AE25" s="7">
        <v>441962</v>
      </c>
      <c r="AF25" s="7">
        <v>484256</v>
      </c>
      <c r="AG25" s="7">
        <v>524631</v>
      </c>
      <c r="AH25" s="7">
        <v>533893</v>
      </c>
      <c r="AI25" s="7">
        <v>568857</v>
      </c>
      <c r="AJ25" s="7">
        <v>620186</v>
      </c>
      <c r="AK25" s="7">
        <v>640074</v>
      </c>
      <c r="AL25" s="7">
        <v>637244</v>
      </c>
      <c r="AM25" s="7">
        <v>683429</v>
      </c>
      <c r="AN25" s="7">
        <v>705866</v>
      </c>
      <c r="AO25" s="7">
        <v>701251</v>
      </c>
      <c r="AP25" s="7">
        <v>693381</v>
      </c>
      <c r="AQ25" s="7">
        <v>700991</v>
      </c>
      <c r="AR25" s="7">
        <v>733245</v>
      </c>
      <c r="AS25" s="7">
        <v>770676</v>
      </c>
      <c r="AT25" s="7">
        <v>784654</v>
      </c>
      <c r="AU25" s="7">
        <v>852629</v>
      </c>
      <c r="AV25" s="7">
        <v>891766</v>
      </c>
      <c r="AW25" s="7">
        <v>896585</v>
      </c>
      <c r="AX25" s="7">
        <v>932505</v>
      </c>
      <c r="AY25" s="7">
        <v>974227</v>
      </c>
      <c r="AZ25" s="7">
        <v>1003156</v>
      </c>
      <c r="BA25" s="7">
        <v>1173890</v>
      </c>
      <c r="BB25" s="7">
        <v>1175491</v>
      </c>
      <c r="BC25" s="7">
        <v>1108353</v>
      </c>
      <c r="BD25" s="7">
        <v>1167898</v>
      </c>
      <c r="BE25" s="7">
        <v>1263662</v>
      </c>
      <c r="BF25" s="7">
        <v>1271707</v>
      </c>
      <c r="BG25" s="7">
        <v>1321824</v>
      </c>
      <c r="BH25" s="7">
        <v>1363526</v>
      </c>
      <c r="BI25" s="7">
        <v>1359235</v>
      </c>
      <c r="BJ25" s="7">
        <v>1391764</v>
      </c>
      <c r="BK25" s="7">
        <v>1450385</v>
      </c>
      <c r="BL25" s="7">
        <v>1474028</v>
      </c>
      <c r="BM25" s="7">
        <v>1459131</v>
      </c>
      <c r="BN25" s="7">
        <v>1515970</v>
      </c>
      <c r="BO25" s="7">
        <v>1478931</v>
      </c>
      <c r="BP25" s="7">
        <v>1617525</v>
      </c>
      <c r="BQ25" s="7">
        <v>1749189</v>
      </c>
      <c r="BR25" s="7">
        <v>1779603</v>
      </c>
      <c r="BS25" s="7">
        <v>1943181</v>
      </c>
      <c r="BT25" s="7">
        <v>2097516</v>
      </c>
      <c r="BU25" s="7">
        <v>2214767</v>
      </c>
      <c r="BV25" s="7">
        <v>2264265</v>
      </c>
      <c r="BW25" s="7">
        <v>2300468</v>
      </c>
      <c r="BX25" s="7">
        <v>2416745</v>
      </c>
      <c r="BY25" s="7">
        <v>2530079</v>
      </c>
      <c r="BZ25" s="7">
        <v>2814551</v>
      </c>
      <c r="CA25" s="7">
        <v>2867170</v>
      </c>
      <c r="CB25" s="7">
        <v>2989009</v>
      </c>
      <c r="CC25" s="7">
        <v>3130333</v>
      </c>
      <c r="CD25" s="7">
        <v>3260921</v>
      </c>
      <c r="CE25" s="7">
        <v>3454167</v>
      </c>
      <c r="CF25" s="7">
        <v>3723349</v>
      </c>
      <c r="CG25" s="7">
        <v>3759581</v>
      </c>
      <c r="CH25" s="7">
        <v>3651989</v>
      </c>
      <c r="CI25" s="7">
        <v>3555596</v>
      </c>
      <c r="CJ25" s="7">
        <v>3422035</v>
      </c>
      <c r="CK25" s="7">
        <v>3470733</v>
      </c>
      <c r="CL25" s="7">
        <v>3553643</v>
      </c>
      <c r="CM25" s="7">
        <v>3443604</v>
      </c>
      <c r="CN25" s="7">
        <v>3485034</v>
      </c>
      <c r="CO25" s="7">
        <v>3606858</v>
      </c>
      <c r="CP25" s="7">
        <v>3617487</v>
      </c>
      <c r="CQ25" s="7">
        <v>3781139</v>
      </c>
      <c r="CR25" s="7">
        <v>3913425</v>
      </c>
      <c r="CS25" s="7">
        <v>4045590</v>
      </c>
      <c r="CT25" s="7">
        <v>4120310</v>
      </c>
      <c r="CU25" s="7">
        <v>4314343</v>
      </c>
      <c r="CV25" s="7">
        <v>4105566</v>
      </c>
      <c r="CW25" s="7">
        <v>4378167</v>
      </c>
      <c r="CX25" s="7">
        <v>4620329</v>
      </c>
      <c r="CY25" s="7">
        <v>4207184</v>
      </c>
      <c r="CZ25" s="7">
        <v>4476698</v>
      </c>
      <c r="DA25" s="7">
        <v>4416658</v>
      </c>
      <c r="DB25" s="7">
        <v>4391502</v>
      </c>
      <c r="DC25" s="7">
        <v>4419187</v>
      </c>
      <c r="DD25" s="7">
        <v>4736890</v>
      </c>
      <c r="DE25" s="7">
        <v>4993239</v>
      </c>
      <c r="DF25" s="7">
        <v>4857713</v>
      </c>
      <c r="DG25" s="7">
        <v>4909233</v>
      </c>
      <c r="DH25" s="7">
        <v>4796942</v>
      </c>
      <c r="DI25" s="7">
        <v>4829444</v>
      </c>
      <c r="DJ25" s="7">
        <v>5335204</v>
      </c>
      <c r="DK25" s="7">
        <v>5394164</v>
      </c>
      <c r="DL25" s="7">
        <v>5544467</v>
      </c>
      <c r="DM25" s="7">
        <v>5709675</v>
      </c>
      <c r="DN25" s="7">
        <v>5914060</v>
      </c>
      <c r="DO25" s="7">
        <v>6015559</v>
      </c>
      <c r="DP25" s="7">
        <v>6124467</v>
      </c>
      <c r="DQ25" s="7">
        <v>6300518</v>
      </c>
      <c r="DR25" s="7">
        <v>6367061</v>
      </c>
      <c r="DS25" s="7">
        <v>6581709</v>
      </c>
      <c r="DT25" s="7">
        <v>6693128</v>
      </c>
      <c r="DU25" s="7">
        <v>6615320</v>
      </c>
      <c r="DV25" s="7">
        <v>6570099</v>
      </c>
      <c r="DW25" s="7">
        <v>6649830</v>
      </c>
      <c r="DX25" s="7">
        <v>6802837</v>
      </c>
      <c r="DY25" s="7">
        <v>7167153</v>
      </c>
      <c r="DZ25" s="7">
        <v>7252484</v>
      </c>
      <c r="EA25" s="7">
        <v>7209417</v>
      </c>
      <c r="EB25" s="7">
        <v>7568969</v>
      </c>
      <c r="EC25" s="7">
        <v>8014382</v>
      </c>
      <c r="ED25" s="7">
        <v>7769597</v>
      </c>
      <c r="EE25" s="7">
        <v>8006900</v>
      </c>
      <c r="EF25" s="7">
        <v>7909954</v>
      </c>
      <c r="EG25" s="7">
        <v>7754881</v>
      </c>
      <c r="EH25" s="7">
        <v>7967502</v>
      </c>
      <c r="EI25" s="7">
        <v>7783105</v>
      </c>
      <c r="EJ25" s="7">
        <v>8050932</v>
      </c>
      <c r="EK25" s="7">
        <v>8418579</v>
      </c>
      <c r="EL25" s="7">
        <v>8618624</v>
      </c>
      <c r="EM25" s="7">
        <v>8454048</v>
      </c>
      <c r="EN25" s="7">
        <v>8490391</v>
      </c>
      <c r="EO25" s="7">
        <v>8602644</v>
      </c>
      <c r="EP25" s="7">
        <v>8409751</v>
      </c>
      <c r="EQ25" s="7">
        <v>8481616</v>
      </c>
      <c r="ER25" s="7">
        <v>8761681</v>
      </c>
      <c r="ES25" s="7">
        <v>8513774</v>
      </c>
      <c r="ET25" s="7">
        <v>8546937</v>
      </c>
      <c r="EU25" s="7">
        <v>8565684</v>
      </c>
      <c r="EV25" s="7">
        <v>8625526</v>
      </c>
      <c r="EW25" s="7">
        <v>9055443</v>
      </c>
      <c r="EX25" s="7">
        <v>9054066</v>
      </c>
      <c r="EY25" s="7">
        <v>9217374</v>
      </c>
      <c r="EZ25" s="7">
        <v>9142394</v>
      </c>
      <c r="FA25" s="7">
        <v>9015157</v>
      </c>
      <c r="FB25" s="7">
        <v>8597672</v>
      </c>
      <c r="FC25" s="7">
        <v>8767001</v>
      </c>
      <c r="FD25" s="7">
        <v>8845021</v>
      </c>
      <c r="FE25" s="7">
        <v>8553673</v>
      </c>
      <c r="FF25" s="7">
        <v>8677614</v>
      </c>
      <c r="FG25" s="7">
        <v>8852992</v>
      </c>
      <c r="FH25" s="7">
        <v>8885360</v>
      </c>
      <c r="FI25" s="7">
        <v>8929836</v>
      </c>
      <c r="FJ25" s="7">
        <v>8958985</v>
      </c>
      <c r="FK25" s="7">
        <v>9207866</v>
      </c>
      <c r="FL25" s="7">
        <v>9735037</v>
      </c>
      <c r="FM25" s="7">
        <v>9753108</v>
      </c>
      <c r="FN25" s="7">
        <v>9567604</v>
      </c>
      <c r="FO25" s="7">
        <v>9550238</v>
      </c>
      <c r="FP25" s="7">
        <v>9203084</v>
      </c>
      <c r="FQ25" s="7">
        <v>8583963</v>
      </c>
      <c r="FR25" s="7">
        <v>7963822</v>
      </c>
      <c r="FS25" s="7">
        <v>7629678</v>
      </c>
      <c r="FT25" s="7">
        <v>7652501</v>
      </c>
      <c r="FU25" s="7">
        <v>7792061</v>
      </c>
      <c r="FV25" s="7">
        <v>7593353</v>
      </c>
      <c r="FW25" s="7">
        <v>7828329</v>
      </c>
      <c r="FX25" s="7">
        <v>8521942</v>
      </c>
      <c r="FY25" s="7">
        <v>8178410</v>
      </c>
      <c r="FZ25" s="7">
        <v>8231989</v>
      </c>
      <c r="GA25" s="7">
        <v>8427924</v>
      </c>
      <c r="GB25" s="7">
        <v>8494047</v>
      </c>
      <c r="GC25" s="7">
        <v>8910779</v>
      </c>
      <c r="GD25" s="7">
        <v>8597832</v>
      </c>
      <c r="GE25" s="7">
        <v>8565618</v>
      </c>
      <c r="GF25" s="7">
        <v>8781806</v>
      </c>
      <c r="GG25" s="7">
        <v>9736667</v>
      </c>
      <c r="GH25" s="7">
        <v>9800259</v>
      </c>
      <c r="GI25" s="7">
        <v>10170296</v>
      </c>
      <c r="GJ25" s="7">
        <v>10695805</v>
      </c>
      <c r="GK25" s="7">
        <v>11270623</v>
      </c>
      <c r="GL25" s="7">
        <v>10963323</v>
      </c>
      <c r="GM25" s="7">
        <v>11214404</v>
      </c>
      <c r="GN25" s="7">
        <v>11436887</v>
      </c>
      <c r="GO25" s="7">
        <v>11861815</v>
      </c>
      <c r="GP25" s="7">
        <v>12566465</v>
      </c>
      <c r="GQ25" s="7">
        <v>12121436</v>
      </c>
      <c r="GR25" s="7">
        <v>11974737</v>
      </c>
      <c r="GS25" s="7">
        <v>12746522</v>
      </c>
      <c r="GT25" s="7">
        <v>13031740</v>
      </c>
      <c r="GU25" s="7">
        <v>13204302</v>
      </c>
      <c r="GV25" s="7">
        <v>13612005</v>
      </c>
      <c r="GW25" s="7">
        <v>13312280</v>
      </c>
      <c r="GX25" s="7">
        <v>12997472</v>
      </c>
      <c r="GY25" s="7">
        <v>14096004</v>
      </c>
      <c r="GZ25" s="7">
        <v>13643958</v>
      </c>
      <c r="HA25" s="7">
        <v>13557746</v>
      </c>
      <c r="HB25" s="7">
        <v>13513732</v>
      </c>
      <c r="HC25" s="7">
        <v>13338598</v>
      </c>
      <c r="HD25" s="7">
        <v>13291605</v>
      </c>
      <c r="HE25" s="7">
        <v>13351482</v>
      </c>
      <c r="HF25" s="7">
        <v>13537134</v>
      </c>
      <c r="HG25" s="7">
        <v>13591199</v>
      </c>
      <c r="HH25" s="7">
        <v>14433228</v>
      </c>
      <c r="HI25" s="7">
        <v>14696593</v>
      </c>
      <c r="HJ25" s="7">
        <v>13832165</v>
      </c>
      <c r="HK25" s="7">
        <v>13677123</v>
      </c>
      <c r="HL25" s="7">
        <v>13909606</v>
      </c>
      <c r="HM25" s="7">
        <v>14041534</v>
      </c>
      <c r="HN25" s="7">
        <v>14467056</v>
      </c>
      <c r="HO25" s="7">
        <v>15842962</v>
      </c>
      <c r="HP25" s="7">
        <v>14814967</v>
      </c>
      <c r="HQ25" s="7">
        <v>14641941</v>
      </c>
      <c r="HR25" s="7">
        <v>14587125</v>
      </c>
      <c r="HS25" s="7">
        <v>15132393</v>
      </c>
      <c r="HT25" s="7">
        <v>14549374</v>
      </c>
      <c r="HU25" s="7">
        <v>14960666</v>
      </c>
      <c r="HV25" s="7">
        <v>14629505</v>
      </c>
      <c r="HW25" s="7">
        <v>15200475</v>
      </c>
      <c r="HX25" s="7">
        <v>15612256</v>
      </c>
      <c r="HY25" s="7">
        <v>15276017</v>
      </c>
      <c r="HZ25" s="7">
        <v>16054341</v>
      </c>
      <c r="IA25" s="7">
        <v>15538391</v>
      </c>
      <c r="IB25" s="7">
        <v>15507593</v>
      </c>
      <c r="IC25" s="7">
        <v>16407064</v>
      </c>
      <c r="ID25" s="7">
        <v>16406269</v>
      </c>
      <c r="IE25" s="7">
        <v>16797971</v>
      </c>
      <c r="IF25" s="7">
        <v>17214619</v>
      </c>
      <c r="IG25" s="7">
        <v>17930687</v>
      </c>
      <c r="IH25" s="7">
        <v>18022538</v>
      </c>
      <c r="II25" s="7">
        <v>18379007</v>
      </c>
      <c r="IJ25" s="7">
        <v>18792360</v>
      </c>
      <c r="IK25" s="7">
        <v>18748810</v>
      </c>
      <c r="IL25" s="7">
        <v>19134928</v>
      </c>
      <c r="IM25" s="7">
        <v>19607153</v>
      </c>
      <c r="IN25" s="7">
        <v>19513171</v>
      </c>
      <c r="IO25" s="7">
        <v>20328120</v>
      </c>
      <c r="IP25" s="7">
        <v>20814132</v>
      </c>
      <c r="IQ25" s="7">
        <v>21277202</v>
      </c>
      <c r="IR25" s="7">
        <v>22005814</v>
      </c>
      <c r="IS25" s="7">
        <v>22155383</v>
      </c>
      <c r="IT25" s="7">
        <v>21887518</v>
      </c>
      <c r="IU25" s="7">
        <v>22572364</v>
      </c>
      <c r="IV25" s="7">
        <v>22746598</v>
      </c>
      <c r="IW25" s="7">
        <v>22276425</v>
      </c>
      <c r="IX25" s="7">
        <v>23750269</v>
      </c>
      <c r="IY25" s="7">
        <v>23424245</v>
      </c>
      <c r="IZ25" s="7">
        <v>23868588</v>
      </c>
      <c r="JA25" s="7">
        <v>23388580</v>
      </c>
      <c r="JB25" s="7">
        <v>23174386</v>
      </c>
      <c r="JC25" s="7">
        <v>22903738</v>
      </c>
      <c r="JD25" s="7">
        <v>24147388</v>
      </c>
      <c r="JE25" s="7">
        <v>25032674</v>
      </c>
      <c r="JF25" s="7">
        <v>24940660</v>
      </c>
      <c r="JG25" s="7">
        <v>25826059</v>
      </c>
      <c r="JH25" s="7">
        <v>26810878</v>
      </c>
      <c r="JI25" s="7">
        <v>26259950</v>
      </c>
      <c r="JJ25" s="7">
        <v>28025384</v>
      </c>
      <c r="JK25" s="7">
        <v>27666853</v>
      </c>
      <c r="JL25" s="7">
        <v>27173136</v>
      </c>
      <c r="JM25" s="7">
        <v>28110277</v>
      </c>
      <c r="JN25" s="7">
        <v>27970918</v>
      </c>
      <c r="JO25" s="7">
        <v>28327691</v>
      </c>
      <c r="JP25" s="7">
        <v>29274455</v>
      </c>
      <c r="JQ25" s="7">
        <v>28852963</v>
      </c>
      <c r="JR25" s="7">
        <v>29291631</v>
      </c>
      <c r="JS25" s="7">
        <v>29720800</v>
      </c>
      <c r="JT25" s="7">
        <v>30356335</v>
      </c>
      <c r="JU25" s="7">
        <v>30487873</v>
      </c>
      <c r="JV25" s="7">
        <v>32746913</v>
      </c>
      <c r="JW25" s="7">
        <v>32108968</v>
      </c>
      <c r="JX25" s="7">
        <v>32282269</v>
      </c>
      <c r="JY25" s="7">
        <v>32535362</v>
      </c>
      <c r="JZ25" s="7">
        <v>32526218</v>
      </c>
      <c r="KA25" s="7">
        <v>32798150</v>
      </c>
      <c r="KB25" s="7">
        <v>34127039</v>
      </c>
      <c r="KC25" s="7">
        <v>34948176</v>
      </c>
      <c r="KD25" s="7">
        <v>34791388</v>
      </c>
      <c r="KE25" s="7">
        <v>35352799</v>
      </c>
      <c r="KF25" s="7">
        <v>36406866</v>
      </c>
      <c r="KG25" s="7">
        <v>36507596</v>
      </c>
      <c r="KH25" s="7">
        <v>39254670</v>
      </c>
      <c r="KI25" s="7">
        <v>38324394</v>
      </c>
      <c r="KJ25" s="7">
        <v>38215991</v>
      </c>
      <c r="KK25" s="7">
        <v>38357906</v>
      </c>
      <c r="KL25" s="7">
        <v>39185725</v>
      </c>
      <c r="KM25" s="7">
        <v>39492750</v>
      </c>
      <c r="KN25" s="7">
        <v>40623855</v>
      </c>
      <c r="KO25" s="7">
        <v>40746378</v>
      </c>
      <c r="KP25" s="7">
        <v>41091093</v>
      </c>
      <c r="KQ25" s="7">
        <v>41626870</v>
      </c>
      <c r="KR25" s="7">
        <v>42462331</v>
      </c>
      <c r="KS25" s="7">
        <v>42192683</v>
      </c>
      <c r="KT25" s="7">
        <v>45805638</v>
      </c>
      <c r="KU25" s="7">
        <v>43816020</v>
      </c>
      <c r="KV25" s="7">
        <v>43771946</v>
      </c>
      <c r="KW25" s="7">
        <v>44720043</v>
      </c>
      <c r="KX25" s="7">
        <v>44943739</v>
      </c>
      <c r="KY25" s="7">
        <v>45687177</v>
      </c>
      <c r="KZ25" s="7">
        <v>48128861</v>
      </c>
    </row>
    <row r="26" spans="1:312">
      <c r="A26" s="6" t="s">
        <v>315</v>
      </c>
      <c r="B26" s="7">
        <v>1.1</v>
      </c>
      <c r="C26" s="7">
        <v>5.7</v>
      </c>
      <c r="D26" s="7">
        <v>5.9</v>
      </c>
      <c r="E26" s="7">
        <v>-3.9</v>
      </c>
      <c r="F26" s="7">
        <v>2.6</v>
      </c>
      <c r="G26" s="7">
        <v>-6.5</v>
      </c>
      <c r="H26" s="7">
        <v>7</v>
      </c>
      <c r="I26" s="7">
        <v>7</v>
      </c>
      <c r="J26" s="7">
        <v>-5</v>
      </c>
      <c r="K26" s="7">
        <v>3.8</v>
      </c>
      <c r="L26" s="7">
        <v>13.1</v>
      </c>
      <c r="M26" s="7">
        <v>1.8</v>
      </c>
      <c r="N26" s="7">
        <v>-4.2</v>
      </c>
      <c r="O26" s="7">
        <v>5.1</v>
      </c>
      <c r="P26" s="7">
        <v>-2.7</v>
      </c>
      <c r="Q26" s="7">
        <v>-5.7</v>
      </c>
      <c r="R26" s="7">
        <v>3.5</v>
      </c>
      <c r="S26" s="7">
        <v>-6.6</v>
      </c>
      <c r="T26" s="7">
        <v>-2.1</v>
      </c>
      <c r="U26" s="7">
        <v>6.4</v>
      </c>
      <c r="V26" s="7">
        <v>4.8</v>
      </c>
      <c r="W26" s="7">
        <v>1.7</v>
      </c>
      <c r="X26" s="7">
        <v>4</v>
      </c>
      <c r="Y26" s="7">
        <v>7</v>
      </c>
      <c r="Z26" s="7">
        <v>1.4</v>
      </c>
      <c r="AA26" s="7">
        <v>6</v>
      </c>
      <c r="AB26" s="7">
        <v>6.4</v>
      </c>
      <c r="AC26" s="7">
        <v>-0.7</v>
      </c>
      <c r="AD26" s="7">
        <v>12.5</v>
      </c>
      <c r="AE26" s="7">
        <v>-11.3</v>
      </c>
      <c r="AF26" s="7">
        <v>9.6</v>
      </c>
      <c r="AG26" s="7">
        <v>8.3</v>
      </c>
      <c r="AH26" s="7">
        <v>1.8</v>
      </c>
      <c r="AI26" s="7">
        <v>6.5</v>
      </c>
      <c r="AJ26" s="7">
        <v>9</v>
      </c>
      <c r="AK26" s="7">
        <v>3.2</v>
      </c>
      <c r="AL26" s="7">
        <v>-0.4</v>
      </c>
      <c r="AM26" s="7">
        <v>7.2</v>
      </c>
      <c r="AN26" s="7">
        <v>3.3</v>
      </c>
      <c r="AO26" s="7">
        <v>-0.7</v>
      </c>
      <c r="AP26" s="7">
        <v>-1.1</v>
      </c>
      <c r="AQ26" s="7">
        <v>1.1</v>
      </c>
      <c r="AR26" s="7">
        <v>4.6</v>
      </c>
      <c r="AS26" s="7">
        <v>5.1</v>
      </c>
      <c r="AT26" s="7">
        <v>1.8</v>
      </c>
      <c r="AU26" s="7">
        <v>8.7</v>
      </c>
      <c r="AV26" s="7">
        <v>4.6</v>
      </c>
      <c r="AW26" s="7">
        <v>0.5</v>
      </c>
      <c r="AX26" s="7">
        <v>4</v>
      </c>
      <c r="AY26" s="7">
        <v>4.5</v>
      </c>
      <c r="AZ26" s="7">
        <v>3</v>
      </c>
      <c r="BA26" s="7">
        <v>17</v>
      </c>
      <c r="BB26" s="7">
        <v>0.1</v>
      </c>
      <c r="BC26" s="7">
        <v>-5.7</v>
      </c>
      <c r="BD26" s="7">
        <v>5.4</v>
      </c>
      <c r="BE26" s="7">
        <v>8.2</v>
      </c>
      <c r="BF26" s="7">
        <v>0.6</v>
      </c>
      <c r="BG26" s="7">
        <v>3.9</v>
      </c>
      <c r="BH26" s="7">
        <v>3.2</v>
      </c>
      <c r="BI26" s="7">
        <v>-0.3</v>
      </c>
      <c r="BJ26" s="7">
        <v>2.4</v>
      </c>
      <c r="BK26" s="7">
        <v>4.2</v>
      </c>
      <c r="BL26" s="7">
        <v>1.6</v>
      </c>
      <c r="BM26" s="7">
        <v>-1</v>
      </c>
      <c r="BN26" s="7">
        <v>3.9</v>
      </c>
      <c r="BO26" s="7">
        <v>-2.4</v>
      </c>
      <c r="BP26" s="7">
        <v>9.4</v>
      </c>
      <c r="BQ26" s="7">
        <v>8.1</v>
      </c>
      <c r="BR26" s="7">
        <v>1.7</v>
      </c>
      <c r="BS26" s="7">
        <v>9.2</v>
      </c>
      <c r="BT26" s="7">
        <v>7.9</v>
      </c>
      <c r="BU26" s="7">
        <v>5.6</v>
      </c>
      <c r="BV26" s="7">
        <v>2.2</v>
      </c>
      <c r="BW26" s="7">
        <v>1.6</v>
      </c>
      <c r="BX26" s="7">
        <v>5.1</v>
      </c>
      <c r="BY26" s="7">
        <v>4.7</v>
      </c>
      <c r="BZ26" s="7">
        <v>11.2</v>
      </c>
      <c r="CA26" s="7">
        <v>1.9</v>
      </c>
      <c r="CB26" s="7">
        <v>4.2</v>
      </c>
      <c r="CC26" s="7">
        <v>4.7</v>
      </c>
      <c r="CD26" s="7">
        <v>4.2</v>
      </c>
      <c r="CE26" s="7">
        <v>5.9</v>
      </c>
      <c r="CF26" s="7">
        <v>7.8</v>
      </c>
      <c r="CG26" s="7">
        <v>1</v>
      </c>
      <c r="CH26" s="7">
        <v>-2.9</v>
      </c>
      <c r="CI26" s="7">
        <v>-2.6</v>
      </c>
      <c r="CJ26" s="7">
        <v>-3.8</v>
      </c>
      <c r="CK26" s="7">
        <v>1.4</v>
      </c>
      <c r="CL26" s="7">
        <v>2.4</v>
      </c>
      <c r="CM26" s="7">
        <v>-3.1</v>
      </c>
      <c r="CN26" s="7">
        <v>1.2</v>
      </c>
      <c r="CO26" s="7">
        <v>3.5</v>
      </c>
      <c r="CP26" s="7">
        <v>0.3</v>
      </c>
      <c r="CQ26" s="7">
        <v>4.5</v>
      </c>
      <c r="CR26" s="7">
        <v>3.5</v>
      </c>
      <c r="CS26" s="7">
        <v>3.4</v>
      </c>
      <c r="CT26" s="7">
        <v>1.8</v>
      </c>
      <c r="CU26" s="7">
        <v>4.7</v>
      </c>
      <c r="CV26" s="7">
        <v>-4.8</v>
      </c>
      <c r="CW26" s="7">
        <v>6.6</v>
      </c>
      <c r="CX26" s="7">
        <v>5.5</v>
      </c>
      <c r="CY26" s="7">
        <v>-8.9</v>
      </c>
      <c r="CZ26" s="7">
        <v>6.4</v>
      </c>
      <c r="DA26" s="7">
        <v>-1.3</v>
      </c>
      <c r="DB26" s="7">
        <v>-0.6</v>
      </c>
      <c r="DC26" s="7">
        <v>0.6</v>
      </c>
      <c r="DD26" s="7">
        <v>7.2</v>
      </c>
      <c r="DE26" s="7">
        <v>5.4</v>
      </c>
      <c r="DF26" s="7">
        <v>-2.7</v>
      </c>
      <c r="DG26" s="7">
        <v>1.1</v>
      </c>
      <c r="DH26" s="7">
        <v>-2.3</v>
      </c>
      <c r="DI26" s="7">
        <v>0.7</v>
      </c>
      <c r="DJ26" s="7">
        <v>10.5</v>
      </c>
      <c r="DK26" s="7">
        <v>1.1</v>
      </c>
      <c r="DL26" s="7">
        <v>2.8</v>
      </c>
      <c r="DM26" s="7">
        <v>3</v>
      </c>
      <c r="DN26" s="7">
        <v>3.6</v>
      </c>
      <c r="DO26" s="7">
        <v>1.7</v>
      </c>
      <c r="DP26" s="7">
        <v>1.8</v>
      </c>
      <c r="DQ26" s="7">
        <v>2.9</v>
      </c>
      <c r="DR26" s="7">
        <v>1.1</v>
      </c>
      <c r="DS26" s="7">
        <v>3.4</v>
      </c>
      <c r="DT26" s="7">
        <v>1.7</v>
      </c>
      <c r="DU26" s="7">
        <v>-1.2</v>
      </c>
      <c r="DV26" s="7">
        <v>-0.7</v>
      </c>
      <c r="DW26" s="7">
        <v>1.2</v>
      </c>
      <c r="DX26" s="7">
        <v>2.3</v>
      </c>
      <c r="DY26" s="7">
        <v>5.4</v>
      </c>
      <c r="DZ26" s="7">
        <v>1.2</v>
      </c>
      <c r="EA26" s="7">
        <v>-0.6</v>
      </c>
      <c r="EB26" s="7">
        <v>5</v>
      </c>
      <c r="EC26" s="7">
        <v>5.9</v>
      </c>
      <c r="ED26" s="7">
        <v>-3.1</v>
      </c>
      <c r="EE26" s="7">
        <v>3.1</v>
      </c>
      <c r="EF26" s="7">
        <v>-1.2</v>
      </c>
      <c r="EG26" s="7">
        <v>-2</v>
      </c>
      <c r="EH26" s="7">
        <v>2.7</v>
      </c>
      <c r="EI26" s="7">
        <v>-2.3</v>
      </c>
      <c r="EJ26" s="7">
        <v>3.4</v>
      </c>
      <c r="EK26" s="7">
        <v>4.6</v>
      </c>
      <c r="EL26" s="7">
        <v>2.4</v>
      </c>
      <c r="EM26" s="7">
        <v>-1.9</v>
      </c>
      <c r="EN26" s="7">
        <v>0.4</v>
      </c>
      <c r="EO26" s="7">
        <v>1.3</v>
      </c>
      <c r="EP26" s="7">
        <v>-2.2</v>
      </c>
      <c r="EQ26" s="7">
        <v>0.9</v>
      </c>
      <c r="ER26" s="7">
        <v>3.3</v>
      </c>
      <c r="ES26" s="7">
        <v>-2.8</v>
      </c>
      <c r="ET26" s="7">
        <v>0.4</v>
      </c>
      <c r="EU26" s="7">
        <v>0.2</v>
      </c>
      <c r="EV26" s="7">
        <v>0.7</v>
      </c>
      <c r="EW26" s="7">
        <v>5</v>
      </c>
      <c r="EX26" s="7"/>
      <c r="EY26" s="7">
        <v>1.8</v>
      </c>
      <c r="EZ26" s="7">
        <v>-0.8</v>
      </c>
      <c r="FA26" s="7">
        <v>-1.4</v>
      </c>
      <c r="FB26" s="7">
        <v>-4.6</v>
      </c>
      <c r="FC26" s="7">
        <v>2</v>
      </c>
      <c r="FD26" s="7">
        <v>0.9</v>
      </c>
      <c r="FE26" s="7">
        <v>-3.3</v>
      </c>
      <c r="FF26" s="7">
        <v>1.4</v>
      </c>
      <c r="FG26" s="7">
        <v>2</v>
      </c>
      <c r="FH26" s="7">
        <v>0.4</v>
      </c>
      <c r="FI26" s="7">
        <v>0.5</v>
      </c>
      <c r="FJ26" s="7">
        <v>0.3</v>
      </c>
      <c r="FK26" s="7">
        <v>2.8</v>
      </c>
      <c r="FL26" s="7">
        <v>5.7</v>
      </c>
      <c r="FM26" s="7">
        <v>0.2</v>
      </c>
      <c r="FN26" s="7">
        <v>-1.9</v>
      </c>
      <c r="FO26" s="7">
        <v>-0.2</v>
      </c>
      <c r="FP26" s="7">
        <v>-3.6</v>
      </c>
      <c r="FQ26" s="7">
        <v>-6.7</v>
      </c>
      <c r="FR26" s="7"/>
      <c r="FS26" s="7">
        <v>-4.2</v>
      </c>
      <c r="FT26" s="7">
        <v>0.3</v>
      </c>
      <c r="FU26" s="7">
        <v>1.8</v>
      </c>
      <c r="FV26" s="7">
        <v>-2.6</v>
      </c>
      <c r="FW26" s="7">
        <v>3.1</v>
      </c>
      <c r="FX26" s="7">
        <v>8.9</v>
      </c>
      <c r="FY26" s="7">
        <v>-4</v>
      </c>
      <c r="FZ26" s="7">
        <v>0.7</v>
      </c>
      <c r="GA26" s="7">
        <v>2.4</v>
      </c>
      <c r="GB26" s="7">
        <v>0.8</v>
      </c>
      <c r="GC26" s="7">
        <v>4.9</v>
      </c>
      <c r="GD26" s="7">
        <v>-3.5</v>
      </c>
      <c r="GE26" s="7">
        <v>-0.4</v>
      </c>
      <c r="GF26" s="7">
        <v>2.5</v>
      </c>
      <c r="GG26" s="7">
        <v>10.9</v>
      </c>
      <c r="GH26" s="7">
        <v>0.7</v>
      </c>
      <c r="GI26" s="7">
        <v>3.8</v>
      </c>
      <c r="GJ26" s="7">
        <v>5.2</v>
      </c>
      <c r="GK26" s="7">
        <v>5.4</v>
      </c>
      <c r="GL26" s="7">
        <v>-2.7</v>
      </c>
      <c r="GM26" s="7">
        <v>2.3</v>
      </c>
      <c r="GN26" s="7">
        <v>2</v>
      </c>
      <c r="GO26" s="7">
        <v>3.7</v>
      </c>
      <c r="GP26" s="7">
        <v>5.9</v>
      </c>
      <c r="GQ26" s="7">
        <v>-3.5</v>
      </c>
      <c r="GR26" s="7">
        <v>-1.2</v>
      </c>
      <c r="GS26" s="7">
        <v>6.4</v>
      </c>
      <c r="GT26" s="7">
        <v>2.2</v>
      </c>
      <c r="GU26" s="7">
        <v>1.3</v>
      </c>
      <c r="GV26" s="7">
        <v>3.1</v>
      </c>
      <c r="GW26" s="7">
        <v>-2.2</v>
      </c>
      <c r="GX26" s="7">
        <v>-2.4</v>
      </c>
      <c r="GY26" s="7">
        <v>8.5</v>
      </c>
      <c r="GZ26" s="7">
        <v>-3.2</v>
      </c>
      <c r="HA26" s="7">
        <v>-0.6</v>
      </c>
      <c r="HB26" s="7">
        <v>-0.3</v>
      </c>
      <c r="HC26" s="7">
        <v>-1.3</v>
      </c>
      <c r="HD26" s="7">
        <v>-0.4</v>
      </c>
      <c r="HE26" s="7">
        <v>0.5</v>
      </c>
      <c r="HF26" s="7">
        <v>1.4</v>
      </c>
      <c r="HG26" s="7">
        <v>0.4</v>
      </c>
      <c r="HH26" s="7">
        <v>6.2</v>
      </c>
      <c r="HI26" s="7">
        <v>1.8</v>
      </c>
      <c r="HJ26" s="7">
        <v>-5.9</v>
      </c>
      <c r="HK26" s="7">
        <v>-1.1</v>
      </c>
      <c r="HL26" s="7">
        <v>1.7</v>
      </c>
      <c r="HM26" s="7">
        <v>0.9</v>
      </c>
      <c r="HN26" s="7">
        <v>3</v>
      </c>
      <c r="HO26" s="7">
        <v>9.5</v>
      </c>
      <c r="HP26" s="7">
        <v>-6.5</v>
      </c>
      <c r="HQ26" s="7">
        <v>-1.2</v>
      </c>
      <c r="HR26" s="7">
        <v>-0.4</v>
      </c>
      <c r="HS26" s="7">
        <v>3.7</v>
      </c>
      <c r="HT26" s="7">
        <v>-3.9</v>
      </c>
      <c r="HU26" s="7">
        <v>2.8</v>
      </c>
      <c r="HV26" s="7">
        <v>-2.2</v>
      </c>
      <c r="HW26" s="7">
        <v>3.9</v>
      </c>
      <c r="HX26" s="7">
        <v>2.7</v>
      </c>
      <c r="HY26" s="7">
        <v>-2.2</v>
      </c>
      <c r="HZ26" s="7">
        <v>5.1</v>
      </c>
      <c r="IA26" s="7">
        <v>-3.2</v>
      </c>
      <c r="IB26" s="7">
        <v>-0.2</v>
      </c>
      <c r="IC26" s="7">
        <v>5.8</v>
      </c>
      <c r="ID26" s="7"/>
      <c r="IE26" s="7">
        <v>2.4</v>
      </c>
      <c r="IF26" s="7">
        <v>2.5</v>
      </c>
      <c r="IG26" s="7">
        <v>4.2</v>
      </c>
      <c r="IH26" s="7">
        <v>0.5</v>
      </c>
      <c r="II26" s="7">
        <v>2</v>
      </c>
      <c r="IJ26" s="7">
        <v>2.2</v>
      </c>
      <c r="IK26" s="7">
        <v>-0.2</v>
      </c>
      <c r="IL26" s="7">
        <v>2.1</v>
      </c>
      <c r="IM26" s="7">
        <v>2.5</v>
      </c>
      <c r="IN26" s="7">
        <v>-0.5</v>
      </c>
      <c r="IO26" s="7">
        <v>4.2</v>
      </c>
      <c r="IP26" s="7">
        <v>2.4</v>
      </c>
      <c r="IQ26" s="7">
        <v>2.2</v>
      </c>
      <c r="IR26" s="7">
        <v>3.4</v>
      </c>
      <c r="IS26" s="7">
        <v>0.7</v>
      </c>
      <c r="IT26" s="7">
        <v>-1.2</v>
      </c>
      <c r="IU26" s="7">
        <v>3.1</v>
      </c>
      <c r="IV26" s="7">
        <v>0.8</v>
      </c>
      <c r="IW26" s="7">
        <v>-2.1</v>
      </c>
      <c r="IX26" s="7">
        <v>6.6</v>
      </c>
      <c r="IY26" s="7">
        <v>-1.4</v>
      </c>
      <c r="IZ26" s="7">
        <v>1.9</v>
      </c>
      <c r="JA26" s="7">
        <v>-2</v>
      </c>
      <c r="JB26" s="7">
        <v>-0.9</v>
      </c>
      <c r="JC26" s="7">
        <v>-1.2</v>
      </c>
      <c r="JD26" s="7">
        <v>5.4</v>
      </c>
      <c r="JE26" s="7">
        <v>3.7</v>
      </c>
      <c r="JF26" s="7">
        <v>-0.4</v>
      </c>
      <c r="JG26" s="7">
        <v>3.6</v>
      </c>
      <c r="JH26" s="7">
        <v>3.8</v>
      </c>
      <c r="JI26" s="7">
        <v>-2.1</v>
      </c>
      <c r="JJ26" s="7">
        <v>6.7</v>
      </c>
      <c r="JK26" s="7">
        <v>-1.3</v>
      </c>
      <c r="JL26" s="7">
        <v>-1.8</v>
      </c>
      <c r="JM26" s="7">
        <v>3.4</v>
      </c>
      <c r="JN26" s="7">
        <v>-0.5</v>
      </c>
      <c r="JO26" s="7">
        <v>1.3</v>
      </c>
      <c r="JP26" s="7">
        <v>3.3</v>
      </c>
      <c r="JQ26" s="7">
        <v>-1.4</v>
      </c>
      <c r="JR26" s="7">
        <v>1.5</v>
      </c>
      <c r="JS26" s="7">
        <v>1.5</v>
      </c>
      <c r="JT26" s="7">
        <v>2.1</v>
      </c>
      <c r="JU26" s="7">
        <v>0.4</v>
      </c>
      <c r="JV26" s="7">
        <v>7.4</v>
      </c>
      <c r="JW26" s="7">
        <v>-1.9</v>
      </c>
      <c r="JX26" s="7">
        <v>0.5</v>
      </c>
      <c r="JY26" s="7">
        <v>0.8</v>
      </c>
      <c r="JZ26" s="7"/>
      <c r="KA26" s="7">
        <v>0.8</v>
      </c>
      <c r="KB26" s="7">
        <v>4.1</v>
      </c>
      <c r="KC26" s="7">
        <v>2.4</v>
      </c>
      <c r="KD26" s="7">
        <v>-0.4</v>
      </c>
      <c r="KE26" s="7">
        <v>1.6</v>
      </c>
      <c r="KF26" s="7">
        <v>3</v>
      </c>
      <c r="KG26" s="7">
        <v>0.3</v>
      </c>
      <c r="KH26" s="7">
        <v>7.5</v>
      </c>
      <c r="KI26" s="7">
        <v>-2.4</v>
      </c>
      <c r="KJ26" s="7">
        <v>-0.3</v>
      </c>
      <c r="KK26" s="7">
        <v>0.4</v>
      </c>
      <c r="KL26" s="7">
        <v>2.2</v>
      </c>
      <c r="KM26" s="7">
        <v>0.8</v>
      </c>
      <c r="KN26" s="7">
        <v>2.9</v>
      </c>
      <c r="KO26" s="7">
        <v>0.3</v>
      </c>
      <c r="KP26" s="7">
        <v>0.8</v>
      </c>
      <c r="KQ26" s="7">
        <v>1.3</v>
      </c>
      <c r="KR26" s="7">
        <v>2</v>
      </c>
      <c r="KS26" s="7">
        <v>-0.6</v>
      </c>
      <c r="KT26" s="7">
        <v>8.6</v>
      </c>
      <c r="KU26" s="7">
        <v>-4.3</v>
      </c>
      <c r="KV26" s="7">
        <v>-0.1</v>
      </c>
      <c r="KW26" s="7">
        <v>2.2</v>
      </c>
      <c r="KX26" s="7">
        <v>0.5</v>
      </c>
      <c r="KY26" s="7">
        <v>1.7</v>
      </c>
      <c r="KZ26" s="7">
        <v>5.3</v>
      </c>
    </row>
    <row r="27" spans="1:312">
      <c r="A27" s="6" t="s">
        <v>316</v>
      </c>
      <c r="B27" s="7">
        <v>11.1</v>
      </c>
      <c r="C27" s="7">
        <v>17.4</v>
      </c>
      <c r="D27" s="7">
        <v>24.3</v>
      </c>
      <c r="E27" s="7">
        <v>19.4</v>
      </c>
      <c r="F27" s="7">
        <v>22.5</v>
      </c>
      <c r="G27" s="7">
        <v>-6.5</v>
      </c>
      <c r="H27" s="7">
        <v>0.1</v>
      </c>
      <c r="I27" s="7">
        <v>7.2</v>
      </c>
      <c r="J27" s="7">
        <v>1.8</v>
      </c>
      <c r="K27" s="7">
        <v>5.6</v>
      </c>
      <c r="L27" s="7">
        <v>19.4</v>
      </c>
      <c r="M27" s="7">
        <v>21.6</v>
      </c>
      <c r="N27" s="7">
        <v>16.5</v>
      </c>
      <c r="O27" s="7">
        <v>22.4</v>
      </c>
      <c r="P27" s="7">
        <v>19.1</v>
      </c>
      <c r="Q27" s="7">
        <v>12.3</v>
      </c>
      <c r="R27" s="7">
        <v>16.3</v>
      </c>
      <c r="S27" s="7">
        <v>-6.6</v>
      </c>
      <c r="T27" s="7">
        <v>-8.5</v>
      </c>
      <c r="U27" s="7">
        <v>-2.7</v>
      </c>
      <c r="V27" s="7">
        <v>2</v>
      </c>
      <c r="W27" s="7">
        <v>3.7</v>
      </c>
      <c r="X27" s="7">
        <v>7.8</v>
      </c>
      <c r="Y27" s="7">
        <v>15.3</v>
      </c>
      <c r="Z27" s="7">
        <v>17</v>
      </c>
      <c r="AA27" s="7">
        <v>24.1</v>
      </c>
      <c r="AB27" s="7">
        <v>32</v>
      </c>
      <c r="AC27" s="7">
        <v>31</v>
      </c>
      <c r="AD27" s="7">
        <v>47.4</v>
      </c>
      <c r="AE27" s="7">
        <v>-11.3</v>
      </c>
      <c r="AF27" s="7">
        <v>-2.8</v>
      </c>
      <c r="AG27" s="7">
        <v>5.3</v>
      </c>
      <c r="AH27" s="7">
        <v>7.2</v>
      </c>
      <c r="AI27" s="7">
        <v>14.2</v>
      </c>
      <c r="AJ27" s="7">
        <v>24.5</v>
      </c>
      <c r="AK27" s="7">
        <v>28.5</v>
      </c>
      <c r="AL27" s="7">
        <v>27.9</v>
      </c>
      <c r="AM27" s="7">
        <v>37.2</v>
      </c>
      <c r="AN27" s="7">
        <v>41.7</v>
      </c>
      <c r="AO27" s="7">
        <v>40.8</v>
      </c>
      <c r="AP27" s="7">
        <v>39.2</v>
      </c>
      <c r="AQ27" s="7">
        <v>1.1</v>
      </c>
      <c r="AR27" s="7">
        <v>5.7</v>
      </c>
      <c r="AS27" s="7">
        <v>11.1</v>
      </c>
      <c r="AT27" s="7">
        <v>13.2</v>
      </c>
      <c r="AU27" s="7">
        <v>23</v>
      </c>
      <c r="AV27" s="7">
        <v>28.6</v>
      </c>
      <c r="AW27" s="7">
        <v>29.3</v>
      </c>
      <c r="AX27" s="7">
        <v>34.5</v>
      </c>
      <c r="AY27" s="7">
        <v>40.5</v>
      </c>
      <c r="AZ27" s="7">
        <v>44.7</v>
      </c>
      <c r="BA27" s="7">
        <v>69.3</v>
      </c>
      <c r="BB27" s="7">
        <v>69.5</v>
      </c>
      <c r="BC27" s="7">
        <v>-5.7</v>
      </c>
      <c r="BD27" s="7">
        <v>-0.6</v>
      </c>
      <c r="BE27" s="7">
        <v>7.5</v>
      </c>
      <c r="BF27" s="7">
        <v>8.2</v>
      </c>
      <c r="BG27" s="7">
        <v>12.4</v>
      </c>
      <c r="BH27" s="7">
        <v>16</v>
      </c>
      <c r="BI27" s="7">
        <v>15.6</v>
      </c>
      <c r="BJ27" s="7">
        <v>18.4</v>
      </c>
      <c r="BK27" s="7">
        <v>23.4</v>
      </c>
      <c r="BL27" s="7">
        <v>25.4</v>
      </c>
      <c r="BM27" s="7">
        <v>24.1</v>
      </c>
      <c r="BN27" s="7">
        <v>29</v>
      </c>
      <c r="BO27" s="7">
        <v>-2.4</v>
      </c>
      <c r="BP27" s="7">
        <v>6.7</v>
      </c>
      <c r="BQ27" s="7">
        <v>15.4</v>
      </c>
      <c r="BR27" s="7">
        <v>17.4</v>
      </c>
      <c r="BS27" s="7">
        <v>28.2</v>
      </c>
      <c r="BT27" s="7">
        <v>38.4</v>
      </c>
      <c r="BU27" s="7">
        <v>46.1</v>
      </c>
      <c r="BV27" s="7">
        <v>49.4</v>
      </c>
      <c r="BW27" s="7">
        <v>51.7</v>
      </c>
      <c r="BX27" s="7">
        <v>59.4</v>
      </c>
      <c r="BY27" s="7">
        <v>66.9</v>
      </c>
      <c r="BZ27" s="7">
        <v>85.7</v>
      </c>
      <c r="CA27" s="7">
        <v>1.9</v>
      </c>
      <c r="CB27" s="7">
        <v>6.2</v>
      </c>
      <c r="CC27" s="7">
        <v>11.2</v>
      </c>
      <c r="CD27" s="7">
        <v>15.9</v>
      </c>
      <c r="CE27" s="7">
        <v>22.7</v>
      </c>
      <c r="CF27" s="7">
        <v>32.3</v>
      </c>
      <c r="CG27" s="7">
        <v>33.6</v>
      </c>
      <c r="CH27" s="7">
        <v>29.8</v>
      </c>
      <c r="CI27" s="7">
        <v>26.3</v>
      </c>
      <c r="CJ27" s="7">
        <v>21.6</v>
      </c>
      <c r="CK27" s="7">
        <v>23.3</v>
      </c>
      <c r="CL27" s="7">
        <v>26.3</v>
      </c>
      <c r="CM27" s="7">
        <v>-3.1</v>
      </c>
      <c r="CN27" s="7">
        <v>-1.9</v>
      </c>
      <c r="CO27" s="7">
        <v>1.5</v>
      </c>
      <c r="CP27" s="7">
        <v>1.8</v>
      </c>
      <c r="CQ27" s="7">
        <v>6.4</v>
      </c>
      <c r="CR27" s="7">
        <v>10.1</v>
      </c>
      <c r="CS27" s="7">
        <v>13.8</v>
      </c>
      <c r="CT27" s="7">
        <v>15.9</v>
      </c>
      <c r="CU27" s="7">
        <v>21.4</v>
      </c>
      <c r="CV27" s="7">
        <v>15.5</v>
      </c>
      <c r="CW27" s="7">
        <v>23.2</v>
      </c>
      <c r="CX27" s="7">
        <v>30</v>
      </c>
      <c r="CY27" s="7">
        <v>-8.9</v>
      </c>
      <c r="CZ27" s="7">
        <v>-3.1</v>
      </c>
      <c r="DA27" s="7">
        <v>-4.4</v>
      </c>
      <c r="DB27" s="7">
        <v>-5</v>
      </c>
      <c r="DC27" s="7">
        <v>-4.4</v>
      </c>
      <c r="DD27" s="7">
        <v>2.5</v>
      </c>
      <c r="DE27" s="7">
        <v>8.1</v>
      </c>
      <c r="DF27" s="7">
        <v>5.1</v>
      </c>
      <c r="DG27" s="7">
        <v>6.3</v>
      </c>
      <c r="DH27" s="7">
        <v>3.8</v>
      </c>
      <c r="DI27" s="7">
        <v>4.5</v>
      </c>
      <c r="DJ27" s="7">
        <v>15.5</v>
      </c>
      <c r="DK27" s="7">
        <v>1.1</v>
      </c>
      <c r="DL27" s="7">
        <v>3.9</v>
      </c>
      <c r="DM27" s="7">
        <v>7</v>
      </c>
      <c r="DN27" s="7">
        <v>10.8</v>
      </c>
      <c r="DO27" s="7">
        <v>12.8</v>
      </c>
      <c r="DP27" s="7">
        <v>14.8</v>
      </c>
      <c r="DQ27" s="7">
        <v>18.1</v>
      </c>
      <c r="DR27" s="7">
        <v>19.3</v>
      </c>
      <c r="DS27" s="7">
        <v>23.4</v>
      </c>
      <c r="DT27" s="7">
        <v>25.5</v>
      </c>
      <c r="DU27" s="7">
        <v>24</v>
      </c>
      <c r="DV27" s="7">
        <v>23.1</v>
      </c>
      <c r="DW27" s="7">
        <v>1.2</v>
      </c>
      <c r="DX27" s="7">
        <v>3.5</v>
      </c>
      <c r="DY27" s="7">
        <v>9.1</v>
      </c>
      <c r="DZ27" s="7">
        <v>10.4</v>
      </c>
      <c r="EA27" s="7">
        <v>9.7</v>
      </c>
      <c r="EB27" s="7">
        <v>15.2</v>
      </c>
      <c r="EC27" s="7">
        <v>22</v>
      </c>
      <c r="ED27" s="7">
        <v>18.3</v>
      </c>
      <c r="EE27" s="7">
        <v>21.9</v>
      </c>
      <c r="EF27" s="7">
        <v>20.4</v>
      </c>
      <c r="EG27" s="7">
        <v>18</v>
      </c>
      <c r="EH27" s="7">
        <v>21.3</v>
      </c>
      <c r="EI27" s="7">
        <v>-2.3</v>
      </c>
      <c r="EJ27" s="7">
        <v>1</v>
      </c>
      <c r="EK27" s="7">
        <v>5.7</v>
      </c>
      <c r="EL27" s="7">
        <v>8.2</v>
      </c>
      <c r="EM27" s="7">
        <v>6.1</v>
      </c>
      <c r="EN27" s="7">
        <v>6.6</v>
      </c>
      <c r="EO27" s="7">
        <v>8</v>
      </c>
      <c r="EP27" s="7">
        <v>5.6</v>
      </c>
      <c r="EQ27" s="7">
        <v>6.5</v>
      </c>
      <c r="ER27" s="7">
        <v>10</v>
      </c>
      <c r="ES27" s="7">
        <v>6.9</v>
      </c>
      <c r="ET27" s="7">
        <v>7.3</v>
      </c>
      <c r="EU27" s="7">
        <v>0.2</v>
      </c>
      <c r="EV27" s="7">
        <v>0.9</v>
      </c>
      <c r="EW27" s="7">
        <v>6</v>
      </c>
      <c r="EX27" s="7">
        <v>5.9</v>
      </c>
      <c r="EY27" s="7">
        <v>7.8</v>
      </c>
      <c r="EZ27" s="7">
        <v>7</v>
      </c>
      <c r="FA27" s="7">
        <v>5.5</v>
      </c>
      <c r="FB27" s="7">
        <v>0.6</v>
      </c>
      <c r="FC27" s="7">
        <v>2.6</v>
      </c>
      <c r="FD27" s="7">
        <v>3.5</v>
      </c>
      <c r="FE27" s="7">
        <v>0.1</v>
      </c>
      <c r="FF27" s="7">
        <v>1.5</v>
      </c>
      <c r="FG27" s="7">
        <v>2</v>
      </c>
      <c r="FH27" s="7">
        <v>2.4</v>
      </c>
      <c r="FI27" s="7">
        <v>2.9</v>
      </c>
      <c r="FJ27" s="7">
        <v>3.2</v>
      </c>
      <c r="FK27" s="7">
        <v>6.1</v>
      </c>
      <c r="FL27" s="7">
        <v>12.1</v>
      </c>
      <c r="FM27" s="7">
        <v>12.4</v>
      </c>
      <c r="FN27" s="7">
        <v>10.3</v>
      </c>
      <c r="FO27" s="7">
        <v>10.1</v>
      </c>
      <c r="FP27" s="7">
        <v>6</v>
      </c>
      <c r="FQ27" s="7">
        <v>-1.1</v>
      </c>
      <c r="FR27" s="7">
        <v>-8.2</v>
      </c>
      <c r="FS27" s="7">
        <v>-4.2</v>
      </c>
      <c r="FT27" s="7">
        <v>-3.9</v>
      </c>
      <c r="FU27" s="7">
        <v>-2.2</v>
      </c>
      <c r="FV27" s="7">
        <v>-4.7</v>
      </c>
      <c r="FW27" s="7">
        <v>-1.7</v>
      </c>
      <c r="FX27" s="7">
        <v>7</v>
      </c>
      <c r="FY27" s="7">
        <v>2.7</v>
      </c>
      <c r="FZ27" s="7">
        <v>3.4</v>
      </c>
      <c r="GA27" s="7">
        <v>5.8</v>
      </c>
      <c r="GB27" s="7">
        <v>6.7</v>
      </c>
      <c r="GC27" s="7">
        <v>11.9</v>
      </c>
      <c r="GD27" s="7">
        <v>8</v>
      </c>
      <c r="GE27" s="7">
        <v>-0.4</v>
      </c>
      <c r="GF27" s="7">
        <v>2.1</v>
      </c>
      <c r="GG27" s="7">
        <v>13.2</v>
      </c>
      <c r="GH27" s="7">
        <v>14</v>
      </c>
      <c r="GI27" s="7">
        <v>18.3</v>
      </c>
      <c r="GJ27" s="7">
        <v>24.4</v>
      </c>
      <c r="GK27" s="7">
        <v>31.1</v>
      </c>
      <c r="GL27" s="7">
        <v>27.5</v>
      </c>
      <c r="GM27" s="7">
        <v>30.4</v>
      </c>
      <c r="GN27" s="7">
        <v>33</v>
      </c>
      <c r="GO27" s="7">
        <v>38</v>
      </c>
      <c r="GP27" s="7">
        <v>46.2</v>
      </c>
      <c r="GQ27" s="7">
        <v>-3.5</v>
      </c>
      <c r="GR27" s="7">
        <v>-4.7</v>
      </c>
      <c r="GS27" s="7">
        <v>1.4</v>
      </c>
      <c r="GT27" s="7">
        <v>3.7</v>
      </c>
      <c r="GU27" s="7">
        <v>5.1</v>
      </c>
      <c r="GV27" s="7">
        <v>8.3</v>
      </c>
      <c r="GW27" s="7">
        <v>5.9</v>
      </c>
      <c r="GX27" s="7">
        <v>3.4</v>
      </c>
      <c r="GY27" s="7">
        <v>12.2</v>
      </c>
      <c r="GZ27" s="7">
        <v>8.6</v>
      </c>
      <c r="HA27" s="7">
        <v>7.9</v>
      </c>
      <c r="HB27" s="7">
        <v>7.5</v>
      </c>
      <c r="HC27" s="7">
        <v>-1.3</v>
      </c>
      <c r="HD27" s="7">
        <v>-1.6</v>
      </c>
      <c r="HE27" s="7">
        <v>-1.2</v>
      </c>
      <c r="HF27" s="7">
        <v>0.2</v>
      </c>
      <c r="HG27" s="7">
        <v>0.6</v>
      </c>
      <c r="HH27" s="7">
        <v>6.8</v>
      </c>
      <c r="HI27" s="7">
        <v>8.8</v>
      </c>
      <c r="HJ27" s="7">
        <v>2.4</v>
      </c>
      <c r="HK27" s="7">
        <v>1.2</v>
      </c>
      <c r="HL27" s="7">
        <v>2.9</v>
      </c>
      <c r="HM27" s="7">
        <v>3.9</v>
      </c>
      <c r="HN27" s="7">
        <v>7.1</v>
      </c>
      <c r="HO27" s="7">
        <v>9.5</v>
      </c>
      <c r="HP27" s="7">
        <v>2.4</v>
      </c>
      <c r="HQ27" s="7">
        <v>1.2</v>
      </c>
      <c r="HR27" s="7">
        <v>0.8</v>
      </c>
      <c r="HS27" s="7">
        <v>4.6</v>
      </c>
      <c r="HT27" s="7">
        <v>0.6</v>
      </c>
      <c r="HU27" s="7">
        <v>3.4</v>
      </c>
      <c r="HV27" s="7">
        <v>1.1</v>
      </c>
      <c r="HW27" s="7">
        <v>5.1</v>
      </c>
      <c r="HX27" s="7">
        <v>7.9</v>
      </c>
      <c r="HY27" s="7">
        <v>5.6</v>
      </c>
      <c r="HZ27" s="7">
        <v>11</v>
      </c>
      <c r="IA27" s="7">
        <v>-3.2</v>
      </c>
      <c r="IB27" s="7">
        <v>-3.4</v>
      </c>
      <c r="IC27" s="7">
        <v>2.2</v>
      </c>
      <c r="ID27" s="7">
        <v>2.2</v>
      </c>
      <c r="IE27" s="7">
        <v>4.6</v>
      </c>
      <c r="IF27" s="7">
        <v>7.2</v>
      </c>
      <c r="IG27" s="7">
        <v>11.7</v>
      </c>
      <c r="IH27" s="7">
        <v>12.3</v>
      </c>
      <c r="II27" s="7">
        <v>14.5</v>
      </c>
      <c r="IJ27" s="7">
        <v>17.1</v>
      </c>
      <c r="IK27" s="7">
        <v>16.8</v>
      </c>
      <c r="IL27" s="7">
        <v>19.2</v>
      </c>
      <c r="IM27" s="7">
        <v>2.5</v>
      </c>
      <c r="IN27" s="7">
        <v>2</v>
      </c>
      <c r="IO27" s="7">
        <v>6.2</v>
      </c>
      <c r="IP27" s="7">
        <v>8.8</v>
      </c>
      <c r="IQ27" s="7">
        <v>11.2</v>
      </c>
      <c r="IR27" s="7">
        <v>15</v>
      </c>
      <c r="IS27" s="7">
        <v>15.8</v>
      </c>
      <c r="IT27" s="7">
        <v>14.4</v>
      </c>
      <c r="IU27" s="7">
        <v>18</v>
      </c>
      <c r="IV27" s="7">
        <v>18.9</v>
      </c>
      <c r="IW27" s="7">
        <v>16.4</v>
      </c>
      <c r="IX27" s="7">
        <v>24.1</v>
      </c>
      <c r="IY27" s="7">
        <v>-1.4</v>
      </c>
      <c r="IZ27" s="7">
        <v>0.5</v>
      </c>
      <c r="JA27" s="7">
        <v>-1.5</v>
      </c>
      <c r="JB27" s="7">
        <v>-2.4</v>
      </c>
      <c r="JC27" s="7">
        <v>-3.6</v>
      </c>
      <c r="JD27" s="7">
        <v>1.7</v>
      </c>
      <c r="JE27" s="7">
        <v>5.4</v>
      </c>
      <c r="JF27" s="7">
        <v>5</v>
      </c>
      <c r="JG27" s="7">
        <v>8.7</v>
      </c>
      <c r="JH27" s="7">
        <v>12.9</v>
      </c>
      <c r="JI27" s="7">
        <v>10.6</v>
      </c>
      <c r="JJ27" s="7">
        <v>18</v>
      </c>
      <c r="JK27" s="7">
        <v>-1.3</v>
      </c>
      <c r="JL27" s="7">
        <v>-3</v>
      </c>
      <c r="JM27" s="7">
        <v>0.3</v>
      </c>
      <c r="JN27" s="7">
        <v>-0.2</v>
      </c>
      <c r="JO27" s="7">
        <v>1.1</v>
      </c>
      <c r="JP27" s="7">
        <v>4.5</v>
      </c>
      <c r="JQ27" s="7">
        <v>3</v>
      </c>
      <c r="JR27" s="7">
        <v>4.5</v>
      </c>
      <c r="JS27" s="7">
        <v>6</v>
      </c>
      <c r="JT27" s="7">
        <v>8.3</v>
      </c>
      <c r="JU27" s="7">
        <v>8.8</v>
      </c>
      <c r="JV27" s="7">
        <v>16.8</v>
      </c>
      <c r="JW27" s="7">
        <v>-1.9</v>
      </c>
      <c r="JX27" s="7">
        <v>-1.4</v>
      </c>
      <c r="JY27" s="7">
        <v>-0.6</v>
      </c>
      <c r="JZ27" s="7">
        <v>-0.7</v>
      </c>
      <c r="KA27" s="7">
        <v>0.2</v>
      </c>
      <c r="KB27" s="7">
        <v>4.2</v>
      </c>
      <c r="KC27" s="7">
        <v>6.7</v>
      </c>
      <c r="KD27" s="7">
        <v>6.2</v>
      </c>
      <c r="KE27" s="7">
        <v>8</v>
      </c>
      <c r="KF27" s="7">
        <v>11.2</v>
      </c>
      <c r="KG27" s="7">
        <v>11.5</v>
      </c>
      <c r="KH27" s="7">
        <v>19.9</v>
      </c>
      <c r="KI27" s="7">
        <v>-2.4</v>
      </c>
      <c r="KJ27" s="7">
        <v>-2.6</v>
      </c>
      <c r="KK27" s="7">
        <v>-2.3</v>
      </c>
      <c r="KL27" s="7">
        <v>-0.2</v>
      </c>
      <c r="KM27" s="7">
        <v>0.6</v>
      </c>
      <c r="KN27" s="7">
        <v>3.5</v>
      </c>
      <c r="KO27" s="7">
        <v>3.8</v>
      </c>
      <c r="KP27" s="7">
        <v>4.7</v>
      </c>
      <c r="KQ27" s="7">
        <v>6</v>
      </c>
      <c r="KR27" s="7">
        <v>8.2</v>
      </c>
      <c r="KS27" s="7">
        <v>7.5</v>
      </c>
      <c r="KT27" s="7">
        <v>16.7</v>
      </c>
      <c r="KU27" s="7">
        <v>-4.3</v>
      </c>
      <c r="KV27" s="7">
        <v>-4.4</v>
      </c>
      <c r="KW27" s="7">
        <v>-2.4</v>
      </c>
      <c r="KX27" s="7">
        <v>-1.9</v>
      </c>
      <c r="KY27" s="7">
        <v>-0.3</v>
      </c>
      <c r="KZ27" s="7">
        <v>5.1</v>
      </c>
    </row>
    <row r="28" spans="1:312">
      <c r="A28" s="6" t="s">
        <v>327</v>
      </c>
      <c r="B28" s="7">
        <v>19582</v>
      </c>
      <c r="C28" s="7">
        <v>19647</v>
      </c>
      <c r="D28" s="7">
        <v>21363</v>
      </c>
      <c r="E28" s="7">
        <v>21704</v>
      </c>
      <c r="F28" s="7">
        <v>21662</v>
      </c>
      <c r="G28" s="7">
        <v>22027</v>
      </c>
      <c r="H28" s="7">
        <v>23238</v>
      </c>
      <c r="I28" s="7">
        <v>24622</v>
      </c>
      <c r="J28" s="7">
        <v>26567</v>
      </c>
      <c r="K28" s="7">
        <v>29144</v>
      </c>
      <c r="L28" s="7">
        <v>36393</v>
      </c>
      <c r="M28" s="7">
        <v>48403</v>
      </c>
      <c r="N28" s="7">
        <v>39742</v>
      </c>
      <c r="O28" s="7">
        <v>36281</v>
      </c>
      <c r="P28" s="7">
        <v>41712</v>
      </c>
      <c r="Q28" s="7">
        <v>37061</v>
      </c>
      <c r="R28" s="7">
        <v>48876</v>
      </c>
      <c r="S28" s="7">
        <v>48515</v>
      </c>
      <c r="T28" s="7">
        <v>51186</v>
      </c>
      <c r="U28" s="7">
        <v>52865</v>
      </c>
      <c r="V28" s="7">
        <v>54663</v>
      </c>
      <c r="W28" s="7">
        <v>55925</v>
      </c>
      <c r="X28" s="7">
        <v>58158</v>
      </c>
      <c r="Y28" s="7">
        <v>60721</v>
      </c>
      <c r="Z28" s="7">
        <v>61047</v>
      </c>
      <c r="AA28" s="7">
        <v>62958</v>
      </c>
      <c r="AB28" s="7">
        <v>63630</v>
      </c>
      <c r="AC28" s="7">
        <v>68618</v>
      </c>
      <c r="AD28" s="7">
        <v>61442</v>
      </c>
      <c r="AE28" s="7">
        <v>63275</v>
      </c>
      <c r="AF28" s="7">
        <v>66484</v>
      </c>
      <c r="AG28" s="7">
        <v>69634</v>
      </c>
      <c r="AH28" s="7">
        <v>74247</v>
      </c>
      <c r="AI28" s="7">
        <v>78387</v>
      </c>
      <c r="AJ28" s="7">
        <v>83818</v>
      </c>
      <c r="AK28" s="7">
        <v>89925</v>
      </c>
      <c r="AL28" s="7">
        <v>92378</v>
      </c>
      <c r="AM28" s="7">
        <v>94396</v>
      </c>
      <c r="AN28" s="7">
        <v>101493</v>
      </c>
      <c r="AO28" s="7">
        <v>105344</v>
      </c>
      <c r="AP28" s="7">
        <v>111214</v>
      </c>
      <c r="AQ28" s="7">
        <v>127027</v>
      </c>
      <c r="AR28" s="7">
        <v>133241</v>
      </c>
      <c r="AS28" s="7">
        <v>138438</v>
      </c>
      <c r="AT28" s="7">
        <v>142493</v>
      </c>
      <c r="AU28" s="7">
        <v>150019</v>
      </c>
      <c r="AV28" s="7">
        <v>157730</v>
      </c>
      <c r="AW28" s="7">
        <v>163754</v>
      </c>
      <c r="AX28" s="7">
        <v>170214</v>
      </c>
      <c r="AY28" s="7">
        <v>174354</v>
      </c>
      <c r="AZ28" s="7">
        <v>184508</v>
      </c>
      <c r="BA28" s="7">
        <v>200683</v>
      </c>
      <c r="BB28" s="7">
        <v>226189</v>
      </c>
      <c r="BC28" s="7">
        <v>229943</v>
      </c>
      <c r="BD28" s="7">
        <v>236683</v>
      </c>
      <c r="BE28" s="7">
        <v>244869</v>
      </c>
      <c r="BF28" s="7">
        <v>251539</v>
      </c>
      <c r="BG28" s="7">
        <v>255119</v>
      </c>
      <c r="BH28" s="7">
        <v>248452</v>
      </c>
      <c r="BI28" s="7">
        <v>247547</v>
      </c>
      <c r="BJ28" s="7">
        <v>249464</v>
      </c>
      <c r="BK28" s="7">
        <v>255486</v>
      </c>
      <c r="BL28" s="7">
        <v>261296</v>
      </c>
      <c r="BM28" s="7">
        <v>263139</v>
      </c>
      <c r="BN28" s="7">
        <v>277720</v>
      </c>
      <c r="BO28" s="7">
        <v>282946</v>
      </c>
      <c r="BP28" s="7">
        <v>299855</v>
      </c>
      <c r="BQ28" s="7">
        <v>323388</v>
      </c>
      <c r="BR28" s="7">
        <v>353556</v>
      </c>
      <c r="BS28" s="7">
        <v>400866</v>
      </c>
      <c r="BT28" s="7">
        <v>435202</v>
      </c>
      <c r="BU28" s="7">
        <v>457356</v>
      </c>
      <c r="BV28" s="7">
        <v>469794</v>
      </c>
      <c r="BW28" s="7">
        <v>482056</v>
      </c>
      <c r="BX28" s="7">
        <v>500098</v>
      </c>
      <c r="BY28" s="7">
        <v>549423</v>
      </c>
      <c r="BZ28" s="7">
        <v>613834</v>
      </c>
      <c r="CA28" s="7">
        <v>669699</v>
      </c>
      <c r="CB28" s="7">
        <v>690320</v>
      </c>
      <c r="CC28" s="7">
        <v>768079</v>
      </c>
      <c r="CD28" s="7">
        <v>783590</v>
      </c>
      <c r="CE28" s="7">
        <v>828721</v>
      </c>
      <c r="CF28" s="7">
        <v>908716</v>
      </c>
      <c r="CG28" s="7">
        <v>983641</v>
      </c>
      <c r="CH28" s="7">
        <v>884791</v>
      </c>
      <c r="CI28" s="7">
        <v>823775</v>
      </c>
      <c r="CJ28" s="7">
        <v>799199</v>
      </c>
      <c r="CK28" s="7">
        <v>794298</v>
      </c>
      <c r="CL28" s="7">
        <v>794117</v>
      </c>
      <c r="CM28" s="7">
        <v>791620</v>
      </c>
      <c r="CN28" s="7">
        <v>797793</v>
      </c>
      <c r="CO28" s="7">
        <v>827335</v>
      </c>
      <c r="CP28" s="7">
        <v>835099</v>
      </c>
      <c r="CQ28" s="7">
        <v>822009</v>
      </c>
      <c r="CR28" s="7">
        <v>805110</v>
      </c>
      <c r="CS28" s="7">
        <v>819067</v>
      </c>
      <c r="CT28" s="7">
        <v>880283</v>
      </c>
      <c r="CU28" s="7">
        <v>876600</v>
      </c>
      <c r="CV28" s="7">
        <v>857539</v>
      </c>
      <c r="CW28" s="7">
        <v>786881</v>
      </c>
      <c r="CX28" s="7">
        <v>739684</v>
      </c>
      <c r="CY28" s="7">
        <v>594499</v>
      </c>
      <c r="CZ28" s="7">
        <v>504678</v>
      </c>
      <c r="DA28" s="7">
        <v>517403</v>
      </c>
      <c r="DB28" s="7">
        <v>530155</v>
      </c>
      <c r="DC28" s="7">
        <v>527625</v>
      </c>
      <c r="DD28" s="7">
        <v>573394</v>
      </c>
      <c r="DE28" s="7">
        <v>546694</v>
      </c>
      <c r="DF28" s="7">
        <v>636919</v>
      </c>
      <c r="DG28" s="7">
        <v>645250</v>
      </c>
      <c r="DH28" s="7">
        <v>616691</v>
      </c>
      <c r="DI28" s="7">
        <v>665937</v>
      </c>
      <c r="DJ28" s="7">
        <v>730160</v>
      </c>
      <c r="DK28" s="7">
        <v>725149</v>
      </c>
      <c r="DL28" s="7">
        <v>766758</v>
      </c>
      <c r="DM28" s="7">
        <v>821117</v>
      </c>
      <c r="DN28" s="7">
        <v>835721</v>
      </c>
      <c r="DO28" s="7">
        <v>858162</v>
      </c>
      <c r="DP28" s="7">
        <v>881640</v>
      </c>
      <c r="DQ28" s="7">
        <v>910814</v>
      </c>
      <c r="DR28" s="7">
        <v>929226</v>
      </c>
      <c r="DS28" s="7">
        <v>942513</v>
      </c>
      <c r="DT28" s="7">
        <v>974186</v>
      </c>
      <c r="DU28" s="7">
        <v>1002259</v>
      </c>
      <c r="DV28" s="7">
        <v>1042679</v>
      </c>
      <c r="DW28" s="7">
        <v>1068366</v>
      </c>
      <c r="DX28" s="7">
        <v>1102930</v>
      </c>
      <c r="DY28" s="7">
        <v>1129511</v>
      </c>
      <c r="DZ28" s="7">
        <v>1159940</v>
      </c>
      <c r="EA28" s="7">
        <v>1179218</v>
      </c>
      <c r="EB28" s="7">
        <v>1221544</v>
      </c>
      <c r="EC28" s="7">
        <v>1249985</v>
      </c>
      <c r="ED28" s="7">
        <v>1274869</v>
      </c>
      <c r="EE28" s="7">
        <v>1286340</v>
      </c>
      <c r="EF28" s="7">
        <v>1268775</v>
      </c>
      <c r="EG28" s="7">
        <v>1283193</v>
      </c>
      <c r="EH28" s="7">
        <v>1332203</v>
      </c>
      <c r="EI28" s="7">
        <v>1351834</v>
      </c>
      <c r="EJ28" s="7">
        <v>1382704</v>
      </c>
      <c r="EK28" s="7">
        <v>1418215</v>
      </c>
      <c r="EL28" s="7">
        <v>1497246</v>
      </c>
      <c r="EM28" s="7">
        <v>1499367</v>
      </c>
      <c r="EN28" s="7">
        <v>1478703</v>
      </c>
      <c r="EO28" s="7">
        <v>1496522</v>
      </c>
      <c r="EP28" s="7">
        <v>1522210</v>
      </c>
      <c r="EQ28" s="7">
        <v>1561947</v>
      </c>
      <c r="ER28" s="7">
        <v>1588930</v>
      </c>
      <c r="ES28" s="7">
        <v>1634724</v>
      </c>
      <c r="ET28" s="7">
        <v>1727479</v>
      </c>
      <c r="EU28" s="7">
        <v>1800685</v>
      </c>
      <c r="EV28" s="7">
        <v>1817950</v>
      </c>
      <c r="EW28" s="7">
        <v>1846139</v>
      </c>
      <c r="EX28" s="7">
        <v>1854729</v>
      </c>
      <c r="EY28" s="7">
        <v>1861642</v>
      </c>
      <c r="EZ28" s="7">
        <v>1872456</v>
      </c>
      <c r="FA28" s="7">
        <v>1771987</v>
      </c>
      <c r="FB28" s="7">
        <v>1750162</v>
      </c>
      <c r="FC28" s="7">
        <v>1788618</v>
      </c>
      <c r="FD28" s="7">
        <v>1775117</v>
      </c>
      <c r="FE28" s="7">
        <v>1781520</v>
      </c>
      <c r="FF28" s="7">
        <v>1835828</v>
      </c>
      <c r="FG28" s="7">
        <v>1846041</v>
      </c>
      <c r="FH28" s="7">
        <v>1665053</v>
      </c>
      <c r="FI28" s="7">
        <v>1597565</v>
      </c>
      <c r="FJ28" s="7">
        <v>1644896</v>
      </c>
      <c r="FK28" s="7">
        <v>1704215</v>
      </c>
      <c r="FL28" s="7">
        <v>1690364</v>
      </c>
      <c r="FM28" s="7">
        <v>1731900</v>
      </c>
      <c r="FN28" s="7">
        <v>1625170</v>
      </c>
      <c r="FO28" s="7">
        <v>1651651</v>
      </c>
      <c r="FP28" s="7">
        <v>1489773</v>
      </c>
      <c r="FQ28" s="7">
        <v>1436935</v>
      </c>
      <c r="FR28" s="7">
        <v>1163579</v>
      </c>
      <c r="FS28" s="7">
        <v>1142768</v>
      </c>
      <c r="FT28" s="7">
        <v>1149253</v>
      </c>
      <c r="FU28" s="7">
        <v>1196232</v>
      </c>
      <c r="FV28" s="7">
        <v>1112093</v>
      </c>
      <c r="FW28" s="7">
        <v>1134317</v>
      </c>
      <c r="FX28" s="7">
        <v>1183756</v>
      </c>
      <c r="FY28" s="7">
        <v>1159464</v>
      </c>
      <c r="FZ28" s="7">
        <v>1156420</v>
      </c>
      <c r="GA28" s="7">
        <v>1150329</v>
      </c>
      <c r="GB28" s="7">
        <v>1149105</v>
      </c>
      <c r="GC28" s="7">
        <v>1190355</v>
      </c>
      <c r="GD28" s="7">
        <v>1184228</v>
      </c>
      <c r="GE28" s="7">
        <v>1238199</v>
      </c>
      <c r="GF28" s="7">
        <v>1338701</v>
      </c>
      <c r="GG28" s="7">
        <v>1535304</v>
      </c>
      <c r="GH28" s="7">
        <v>1652952</v>
      </c>
      <c r="GI28" s="7">
        <v>1800194</v>
      </c>
      <c r="GJ28" s="7">
        <v>1981845</v>
      </c>
      <c r="GK28" s="7">
        <v>2092021</v>
      </c>
      <c r="GL28" s="7">
        <v>2039956</v>
      </c>
      <c r="GM28" s="7">
        <v>2109994</v>
      </c>
      <c r="GN28" s="7">
        <v>2312069</v>
      </c>
      <c r="GO28" s="7">
        <v>2444260</v>
      </c>
      <c r="GP28" s="7">
        <v>2621803</v>
      </c>
      <c r="GQ28" s="7">
        <v>2718751</v>
      </c>
      <c r="GR28" s="7">
        <v>2774742</v>
      </c>
      <c r="GS28" s="7">
        <v>2814148</v>
      </c>
      <c r="GT28" s="7">
        <v>2961979</v>
      </c>
      <c r="GU28" s="7">
        <v>3024442</v>
      </c>
      <c r="GV28" s="7">
        <v>3128482</v>
      </c>
      <c r="GW28" s="7">
        <v>3189352</v>
      </c>
      <c r="GX28" s="7">
        <v>3115835</v>
      </c>
      <c r="GY28" s="7">
        <v>3158659</v>
      </c>
      <c r="GZ28" s="7">
        <v>3163014</v>
      </c>
      <c r="HA28" s="7">
        <v>3258909</v>
      </c>
      <c r="HB28" s="7">
        <v>3428213</v>
      </c>
      <c r="HC28" s="7">
        <v>3581342</v>
      </c>
      <c r="HD28" s="7">
        <v>3628951</v>
      </c>
      <c r="HE28" s="7">
        <v>3674848</v>
      </c>
      <c r="HF28" s="7">
        <v>3721590</v>
      </c>
      <c r="HG28" s="7">
        <v>3816593</v>
      </c>
      <c r="HH28" s="7">
        <v>3948838</v>
      </c>
      <c r="HI28" s="7">
        <v>4002867</v>
      </c>
      <c r="HJ28" s="7">
        <v>3872950</v>
      </c>
      <c r="HK28" s="7">
        <v>3799668</v>
      </c>
      <c r="HL28" s="7">
        <v>3805458</v>
      </c>
      <c r="HM28" s="7">
        <v>3838430</v>
      </c>
      <c r="HN28" s="7">
        <v>4017509</v>
      </c>
      <c r="HO28" s="7">
        <v>4184585</v>
      </c>
      <c r="HP28" s="7">
        <v>4194789</v>
      </c>
      <c r="HQ28" s="7">
        <v>4244008</v>
      </c>
      <c r="HR28" s="7">
        <v>4375453</v>
      </c>
      <c r="HS28" s="7">
        <v>4349043</v>
      </c>
      <c r="HT28" s="7">
        <v>4095920</v>
      </c>
      <c r="HU28" s="7">
        <v>4186851</v>
      </c>
      <c r="HV28" s="7">
        <v>4185089</v>
      </c>
      <c r="HW28" s="7">
        <v>4275268</v>
      </c>
      <c r="HX28" s="7">
        <v>4400070</v>
      </c>
      <c r="HY28" s="7">
        <v>4536391</v>
      </c>
      <c r="HZ28" s="7">
        <v>4630021</v>
      </c>
      <c r="IA28" s="7">
        <v>4719849</v>
      </c>
      <c r="IB28" s="7">
        <v>4816323</v>
      </c>
      <c r="IC28" s="7">
        <v>4555337</v>
      </c>
      <c r="ID28" s="7">
        <v>4628436</v>
      </c>
      <c r="IE28" s="7">
        <v>4688806</v>
      </c>
      <c r="IF28" s="7">
        <v>4812826</v>
      </c>
      <c r="IG28" s="7">
        <v>4952043</v>
      </c>
      <c r="IH28" s="7">
        <v>5057049</v>
      </c>
      <c r="II28" s="7">
        <v>5147742</v>
      </c>
      <c r="IJ28" s="7">
        <v>5250872</v>
      </c>
      <c r="IK28" s="7">
        <v>5348426</v>
      </c>
      <c r="IL28" s="7">
        <v>5612324</v>
      </c>
      <c r="IM28" s="7">
        <v>5713194</v>
      </c>
      <c r="IN28" s="7">
        <v>5846944</v>
      </c>
      <c r="IO28" s="7">
        <v>6127564</v>
      </c>
      <c r="IP28" s="7">
        <v>6321434</v>
      </c>
      <c r="IQ28" s="7">
        <v>6458667</v>
      </c>
      <c r="IR28" s="7">
        <v>6667427</v>
      </c>
      <c r="IS28" s="7">
        <v>6748196</v>
      </c>
      <c r="IT28" s="7">
        <v>6824695</v>
      </c>
      <c r="IU28" s="7">
        <v>6898798</v>
      </c>
      <c r="IV28" s="7">
        <v>7024149</v>
      </c>
      <c r="IW28" s="7">
        <v>7194766</v>
      </c>
      <c r="IX28" s="7">
        <v>7243362</v>
      </c>
      <c r="IY28" s="7">
        <v>7247166</v>
      </c>
      <c r="IZ28" s="7">
        <v>7416232</v>
      </c>
      <c r="JA28" s="7">
        <v>7232975</v>
      </c>
      <c r="JB28" s="7">
        <v>7299062</v>
      </c>
      <c r="JC28" s="7">
        <v>7409708</v>
      </c>
      <c r="JD28" s="7">
        <v>7701985</v>
      </c>
      <c r="JE28" s="7">
        <v>7956284</v>
      </c>
      <c r="JF28" s="7">
        <v>8120771</v>
      </c>
      <c r="JG28" s="7">
        <v>8364771</v>
      </c>
      <c r="JH28" s="7">
        <v>8644433</v>
      </c>
      <c r="JI28" s="7">
        <v>8884439</v>
      </c>
      <c r="JJ28" s="7">
        <v>9651760</v>
      </c>
      <c r="JK28" s="7">
        <v>9774903</v>
      </c>
      <c r="JL28" s="7">
        <v>9915763</v>
      </c>
      <c r="JM28" s="7">
        <v>10162080</v>
      </c>
      <c r="JN28" s="7">
        <v>10243922</v>
      </c>
      <c r="JO28" s="7">
        <v>10398117</v>
      </c>
      <c r="JP28" s="7">
        <v>10788267</v>
      </c>
      <c r="JQ28" s="7">
        <v>11056279</v>
      </c>
      <c r="JR28" s="7">
        <v>11249417</v>
      </c>
      <c r="JS28" s="7">
        <v>11562867</v>
      </c>
      <c r="JT28" s="7">
        <v>11813809</v>
      </c>
      <c r="JU28" s="7">
        <v>12055329</v>
      </c>
      <c r="JV28" s="7">
        <v>12884736</v>
      </c>
      <c r="JW28" s="7">
        <v>13000075</v>
      </c>
      <c r="JX28" s="7">
        <v>13182736</v>
      </c>
      <c r="JY28" s="7">
        <v>13355270</v>
      </c>
      <c r="JZ28" s="7">
        <v>13477555</v>
      </c>
      <c r="KA28" s="7">
        <v>13702633</v>
      </c>
      <c r="KB28" s="7">
        <v>14029811</v>
      </c>
      <c r="KC28" s="7">
        <v>14370902</v>
      </c>
      <c r="KD28" s="7">
        <v>14683593</v>
      </c>
      <c r="KE28" s="7">
        <v>14950784</v>
      </c>
      <c r="KF28" s="7">
        <v>15283071</v>
      </c>
      <c r="KG28" s="7">
        <v>15397428</v>
      </c>
      <c r="KH28" s="7">
        <v>16026936</v>
      </c>
      <c r="KI28" s="7">
        <v>16034376</v>
      </c>
      <c r="KJ28" s="7">
        <v>16004874</v>
      </c>
      <c r="KK28" s="7">
        <v>16171105</v>
      </c>
      <c r="KL28" s="7">
        <v>16573144</v>
      </c>
      <c r="KM28" s="7">
        <v>16795584</v>
      </c>
      <c r="KN28" s="7">
        <v>17278540</v>
      </c>
      <c r="KO28" s="7">
        <v>17674053</v>
      </c>
      <c r="KP28" s="7">
        <v>17974984</v>
      </c>
      <c r="KQ28" s="7">
        <v>18295122</v>
      </c>
      <c r="KR28" s="7">
        <v>18447225</v>
      </c>
      <c r="KS28" s="7">
        <v>18502600</v>
      </c>
      <c r="KT28" s="7">
        <v>19379302</v>
      </c>
      <c r="KU28" s="7">
        <v>19673375</v>
      </c>
      <c r="KV28" s="7">
        <v>19965126</v>
      </c>
      <c r="KW28" s="7">
        <v>20102826</v>
      </c>
      <c r="KX28" s="7">
        <v>20498155</v>
      </c>
      <c r="KY28" s="7">
        <v>20886514</v>
      </c>
      <c r="KZ28" s="7">
        <v>21600384</v>
      </c>
    </row>
    <row r="29" spans="1:312">
      <c r="A29" s="6" t="s">
        <v>328</v>
      </c>
      <c r="B29" s="7">
        <v>69690</v>
      </c>
      <c r="C29" s="7">
        <v>72229</v>
      </c>
      <c r="D29" s="7">
        <v>81924</v>
      </c>
      <c r="E29" s="7">
        <v>81951</v>
      </c>
      <c r="F29" s="7">
        <v>73539</v>
      </c>
      <c r="G29" s="7">
        <v>75176</v>
      </c>
      <c r="H29" s="7">
        <v>81568</v>
      </c>
      <c r="I29" s="7">
        <v>92379</v>
      </c>
      <c r="J29" s="7">
        <v>86407</v>
      </c>
      <c r="K29" s="7">
        <v>89093</v>
      </c>
      <c r="L29" s="7">
        <v>103810</v>
      </c>
      <c r="M29" s="7">
        <v>98695</v>
      </c>
      <c r="N29" s="7">
        <v>88953</v>
      </c>
      <c r="O29" s="7">
        <v>92033</v>
      </c>
      <c r="P29" s="7">
        <v>86418</v>
      </c>
      <c r="Q29" s="7">
        <v>75831</v>
      </c>
      <c r="R29" s="7">
        <v>64870</v>
      </c>
      <c r="S29" s="7">
        <v>73975</v>
      </c>
      <c r="T29" s="7">
        <v>64593</v>
      </c>
      <c r="U29" s="7">
        <v>68482</v>
      </c>
      <c r="V29" s="7">
        <v>81502</v>
      </c>
      <c r="W29" s="7">
        <v>81803</v>
      </c>
      <c r="X29" s="7">
        <v>84789</v>
      </c>
      <c r="Y29" s="7">
        <v>102239</v>
      </c>
      <c r="Z29" s="7">
        <v>95338</v>
      </c>
      <c r="AA29" s="7">
        <v>112683</v>
      </c>
      <c r="AB29" s="7">
        <v>129809</v>
      </c>
      <c r="AC29" s="7">
        <v>120569</v>
      </c>
      <c r="AD29" s="7">
        <v>149336</v>
      </c>
      <c r="AE29" s="7">
        <v>123258</v>
      </c>
      <c r="AF29" s="7">
        <v>141044</v>
      </c>
      <c r="AG29" s="7">
        <v>160091</v>
      </c>
      <c r="AH29" s="7">
        <v>152353</v>
      </c>
      <c r="AI29" s="7">
        <v>164912</v>
      </c>
      <c r="AJ29" s="7">
        <v>173903</v>
      </c>
      <c r="AK29" s="7">
        <v>179565</v>
      </c>
      <c r="AL29" s="7">
        <v>169114</v>
      </c>
      <c r="AM29" s="7">
        <v>181680</v>
      </c>
      <c r="AN29" s="7">
        <v>181671</v>
      </c>
      <c r="AO29" s="7">
        <v>174935</v>
      </c>
      <c r="AP29" s="7">
        <v>170028</v>
      </c>
      <c r="AQ29" s="7">
        <v>170685</v>
      </c>
      <c r="AR29" s="7">
        <v>172484</v>
      </c>
      <c r="AS29" s="7">
        <v>189151</v>
      </c>
      <c r="AT29" s="7">
        <v>188687</v>
      </c>
      <c r="AU29" s="7">
        <v>218742</v>
      </c>
      <c r="AV29" s="7">
        <v>218655</v>
      </c>
      <c r="AW29" s="7">
        <v>197901</v>
      </c>
      <c r="AX29" s="7">
        <v>204586</v>
      </c>
      <c r="AY29" s="7">
        <v>233523</v>
      </c>
      <c r="AZ29" s="7">
        <v>221009</v>
      </c>
      <c r="BA29" s="7">
        <v>339927</v>
      </c>
      <c r="BB29" s="7">
        <v>268670</v>
      </c>
      <c r="BC29" s="7">
        <v>262092</v>
      </c>
      <c r="BD29" s="7">
        <v>273596</v>
      </c>
      <c r="BE29" s="7">
        <v>331560</v>
      </c>
      <c r="BF29" s="7">
        <v>300632</v>
      </c>
      <c r="BG29" s="7">
        <v>346814</v>
      </c>
      <c r="BH29" s="7">
        <v>364707</v>
      </c>
      <c r="BI29" s="7">
        <v>361405</v>
      </c>
      <c r="BJ29" s="7">
        <v>384552</v>
      </c>
      <c r="BK29" s="7">
        <v>408852</v>
      </c>
      <c r="BL29" s="7">
        <v>437166</v>
      </c>
      <c r="BM29" s="7">
        <v>424592</v>
      </c>
      <c r="BN29" s="7">
        <v>438810</v>
      </c>
      <c r="BO29" s="7">
        <v>446410</v>
      </c>
      <c r="BP29" s="7">
        <v>450177</v>
      </c>
      <c r="BQ29" s="7">
        <v>512344</v>
      </c>
      <c r="BR29" s="7">
        <v>492321</v>
      </c>
      <c r="BS29" s="7">
        <v>528568</v>
      </c>
      <c r="BT29" s="7">
        <v>584893</v>
      </c>
      <c r="BU29" s="7">
        <v>601539</v>
      </c>
      <c r="BV29" s="7">
        <v>647624</v>
      </c>
      <c r="BW29" s="7">
        <v>631658</v>
      </c>
      <c r="BX29" s="7">
        <v>784127</v>
      </c>
      <c r="BY29" s="7">
        <v>810379</v>
      </c>
      <c r="BZ29" s="7">
        <v>919168</v>
      </c>
      <c r="CA29" s="7">
        <v>946862</v>
      </c>
      <c r="CB29" s="7">
        <v>954593</v>
      </c>
      <c r="CC29" s="7">
        <v>969183</v>
      </c>
      <c r="CD29" s="7">
        <v>976246</v>
      </c>
      <c r="CE29" s="7">
        <v>1038944</v>
      </c>
      <c r="CF29" s="7">
        <v>1095144</v>
      </c>
      <c r="CG29" s="7">
        <v>1109007</v>
      </c>
      <c r="CH29" s="7">
        <v>1144915</v>
      </c>
      <c r="CI29" s="7">
        <v>1082296</v>
      </c>
      <c r="CJ29" s="7">
        <v>1120393</v>
      </c>
      <c r="CK29" s="7">
        <v>1205119</v>
      </c>
      <c r="CL29" s="7">
        <v>1226837</v>
      </c>
      <c r="CM29" s="7">
        <v>1210595</v>
      </c>
      <c r="CN29" s="7">
        <v>1189805</v>
      </c>
      <c r="CO29" s="7">
        <v>1202793</v>
      </c>
      <c r="CP29" s="7">
        <v>1203970</v>
      </c>
      <c r="CQ29" s="7">
        <v>1249062</v>
      </c>
      <c r="CR29" s="7">
        <v>1329650</v>
      </c>
      <c r="CS29" s="7">
        <v>1413526</v>
      </c>
      <c r="CT29" s="7">
        <v>1431283</v>
      </c>
      <c r="CU29" s="7">
        <v>1508474</v>
      </c>
      <c r="CV29" s="7">
        <v>1461600</v>
      </c>
      <c r="CW29" s="7">
        <v>1785363</v>
      </c>
      <c r="CX29" s="7">
        <v>1933074</v>
      </c>
      <c r="CY29" s="7">
        <v>1606428</v>
      </c>
      <c r="CZ29" s="7">
        <v>1711581</v>
      </c>
      <c r="DA29" s="7">
        <v>1620565</v>
      </c>
      <c r="DB29" s="7">
        <v>1638998</v>
      </c>
      <c r="DC29" s="7">
        <v>1611946</v>
      </c>
      <c r="DD29" s="7">
        <v>1719284</v>
      </c>
      <c r="DE29" s="7">
        <v>1848928</v>
      </c>
      <c r="DF29" s="7">
        <v>1782432</v>
      </c>
      <c r="DG29" s="7">
        <v>1879324</v>
      </c>
      <c r="DH29" s="7">
        <v>1861309</v>
      </c>
      <c r="DI29" s="7">
        <v>1760851</v>
      </c>
      <c r="DJ29" s="7">
        <v>2147367</v>
      </c>
      <c r="DK29" s="7">
        <v>2132349</v>
      </c>
      <c r="DL29" s="7">
        <v>2182526</v>
      </c>
      <c r="DM29" s="7">
        <v>2181502</v>
      </c>
      <c r="DN29" s="7">
        <v>2289654</v>
      </c>
      <c r="DO29" s="7">
        <v>2515637</v>
      </c>
      <c r="DP29" s="7">
        <v>2378995</v>
      </c>
      <c r="DQ29" s="7">
        <v>2559332</v>
      </c>
      <c r="DR29" s="7">
        <v>2477315</v>
      </c>
      <c r="DS29" s="7">
        <v>2557015</v>
      </c>
      <c r="DT29" s="7">
        <v>2557337</v>
      </c>
      <c r="DU29" s="7">
        <v>2642609</v>
      </c>
      <c r="DV29" s="7">
        <v>2411371</v>
      </c>
      <c r="DW29" s="7">
        <v>2468841</v>
      </c>
      <c r="DX29" s="7">
        <v>2562811</v>
      </c>
      <c r="DY29" s="7">
        <v>2596914</v>
      </c>
      <c r="DZ29" s="7">
        <v>2602721</v>
      </c>
      <c r="EA29" s="7">
        <v>2511122</v>
      </c>
      <c r="EB29" s="7">
        <v>2663360</v>
      </c>
      <c r="EC29" s="7">
        <v>2897412</v>
      </c>
      <c r="ED29" s="7">
        <v>2821091</v>
      </c>
      <c r="EE29" s="7">
        <v>3016534</v>
      </c>
      <c r="EF29" s="7">
        <v>3014173</v>
      </c>
      <c r="EG29" s="7">
        <v>2934438</v>
      </c>
      <c r="EH29" s="7">
        <v>2790303</v>
      </c>
      <c r="EI29" s="7">
        <v>2817267</v>
      </c>
      <c r="EJ29" s="7">
        <v>2906069</v>
      </c>
      <c r="EK29" s="7">
        <v>3114092</v>
      </c>
      <c r="EL29" s="7">
        <v>3396068</v>
      </c>
      <c r="EM29" s="7">
        <v>3141727</v>
      </c>
      <c r="EN29" s="7">
        <v>3018224</v>
      </c>
      <c r="EO29" s="7">
        <v>3217622</v>
      </c>
      <c r="EP29" s="7">
        <v>3154562</v>
      </c>
      <c r="EQ29" s="7">
        <v>3107865</v>
      </c>
      <c r="ER29" s="7">
        <v>3412847</v>
      </c>
      <c r="ES29" s="7">
        <v>3299305</v>
      </c>
      <c r="ET29" s="7">
        <v>2938846</v>
      </c>
      <c r="EU29" s="7">
        <v>3045372</v>
      </c>
      <c r="EV29" s="7">
        <v>3048212</v>
      </c>
      <c r="EW29" s="7">
        <v>3365171</v>
      </c>
      <c r="EX29" s="7">
        <v>3315259</v>
      </c>
      <c r="EY29" s="7">
        <v>3544631</v>
      </c>
      <c r="EZ29" s="7">
        <v>3295941</v>
      </c>
      <c r="FA29" s="7">
        <v>3494474</v>
      </c>
      <c r="FB29" s="7">
        <v>3341837</v>
      </c>
      <c r="FC29" s="7">
        <v>3338376</v>
      </c>
      <c r="FD29" s="7">
        <v>3580524</v>
      </c>
      <c r="FE29" s="7">
        <v>3459785</v>
      </c>
      <c r="FF29" s="7">
        <v>3323367</v>
      </c>
      <c r="FG29" s="7">
        <v>3517185</v>
      </c>
      <c r="FH29" s="7">
        <v>3874329</v>
      </c>
      <c r="FI29" s="7">
        <v>3870527</v>
      </c>
      <c r="FJ29" s="7">
        <v>3754474</v>
      </c>
      <c r="FK29" s="7">
        <v>3920519</v>
      </c>
      <c r="FL29" s="7">
        <v>4086307</v>
      </c>
      <c r="FM29" s="7">
        <v>4157618</v>
      </c>
      <c r="FN29" s="7">
        <v>4169226</v>
      </c>
      <c r="FO29" s="7">
        <v>4259025</v>
      </c>
      <c r="FP29" s="7">
        <v>4306810</v>
      </c>
      <c r="FQ29" s="7">
        <v>3950838</v>
      </c>
      <c r="FR29" s="7">
        <v>3819270</v>
      </c>
      <c r="FS29" s="7">
        <v>3686434</v>
      </c>
      <c r="FT29" s="7">
        <v>3594585</v>
      </c>
      <c r="FU29" s="7">
        <v>3535488</v>
      </c>
      <c r="FV29" s="7">
        <v>3444277</v>
      </c>
      <c r="FW29" s="7">
        <v>3259673</v>
      </c>
      <c r="FX29" s="7">
        <v>3735704</v>
      </c>
      <c r="FY29" s="7">
        <v>3561610</v>
      </c>
      <c r="FZ29" s="7">
        <v>3734882</v>
      </c>
      <c r="GA29" s="7">
        <v>3992671</v>
      </c>
      <c r="GB29" s="7">
        <v>4205642</v>
      </c>
      <c r="GC29" s="7">
        <v>4707599</v>
      </c>
      <c r="GD29" s="7">
        <v>4380893</v>
      </c>
      <c r="GE29" s="7">
        <v>4356068</v>
      </c>
      <c r="GF29" s="7">
        <v>4302590</v>
      </c>
      <c r="GG29" s="7">
        <v>4613934</v>
      </c>
      <c r="GH29" s="7">
        <v>4280961</v>
      </c>
      <c r="GI29" s="7">
        <v>4414953</v>
      </c>
      <c r="GJ29" s="7">
        <v>4493080</v>
      </c>
      <c r="GK29" s="7">
        <v>4952158</v>
      </c>
      <c r="GL29" s="7">
        <v>4897004</v>
      </c>
      <c r="GM29" s="7">
        <v>5065655</v>
      </c>
      <c r="GN29" s="7">
        <v>4841489</v>
      </c>
      <c r="GO29" s="7">
        <v>5062602</v>
      </c>
      <c r="GP29" s="7">
        <v>5354894</v>
      </c>
      <c r="GQ29" s="7">
        <v>5092670</v>
      </c>
      <c r="GR29" s="7">
        <v>4745552</v>
      </c>
      <c r="GS29" s="7">
        <v>5004595</v>
      </c>
      <c r="GT29" s="7">
        <v>5023584</v>
      </c>
      <c r="GU29" s="7">
        <v>5051946</v>
      </c>
      <c r="GV29" s="7">
        <v>5472567</v>
      </c>
      <c r="GW29" s="7">
        <v>4979351</v>
      </c>
      <c r="GX29" s="7">
        <v>5142955</v>
      </c>
      <c r="GY29" s="7">
        <v>5460778</v>
      </c>
      <c r="GZ29" s="7">
        <v>5489941</v>
      </c>
      <c r="HA29" s="7">
        <v>5381242</v>
      </c>
      <c r="HB29" s="7">
        <v>5117528</v>
      </c>
      <c r="HC29" s="7">
        <v>4761445</v>
      </c>
      <c r="HD29" s="7">
        <v>4854763</v>
      </c>
      <c r="HE29" s="7">
        <v>4869225</v>
      </c>
      <c r="HF29" s="7">
        <v>4921778</v>
      </c>
      <c r="HG29" s="7">
        <v>4730197</v>
      </c>
      <c r="HH29" s="7">
        <v>4907139</v>
      </c>
      <c r="HI29" s="7">
        <v>5173306</v>
      </c>
      <c r="HJ29" s="7">
        <v>4706501</v>
      </c>
      <c r="HK29" s="7">
        <v>4754748</v>
      </c>
      <c r="HL29" s="7">
        <v>4798336</v>
      </c>
      <c r="HM29" s="7">
        <v>5151147</v>
      </c>
      <c r="HN29" s="7">
        <v>4844542</v>
      </c>
      <c r="HO29" s="7">
        <v>5246105</v>
      </c>
      <c r="HP29" s="7">
        <v>5112520</v>
      </c>
      <c r="HQ29" s="7">
        <v>4995817</v>
      </c>
      <c r="HR29" s="7">
        <v>4800131</v>
      </c>
      <c r="HS29" s="7">
        <v>5022625</v>
      </c>
      <c r="HT29" s="7">
        <v>4945759</v>
      </c>
      <c r="HU29" s="7">
        <v>5174800</v>
      </c>
      <c r="HV29" s="7">
        <v>4867891</v>
      </c>
      <c r="HW29" s="7">
        <v>5356919</v>
      </c>
      <c r="HX29" s="7">
        <v>5508908</v>
      </c>
      <c r="HY29" s="7">
        <v>5123251</v>
      </c>
      <c r="HZ29" s="7">
        <v>5496235</v>
      </c>
      <c r="IA29" s="7">
        <v>5202109</v>
      </c>
      <c r="IB29" s="7">
        <v>5003559</v>
      </c>
      <c r="IC29" s="7">
        <v>5687195</v>
      </c>
      <c r="ID29" s="7">
        <v>5526491</v>
      </c>
      <c r="IE29" s="7">
        <v>5694263</v>
      </c>
      <c r="IF29" s="7">
        <v>5760963</v>
      </c>
      <c r="IG29" s="7">
        <v>6220440</v>
      </c>
      <c r="IH29" s="7">
        <v>6204763</v>
      </c>
      <c r="II29" s="7">
        <v>6530931</v>
      </c>
      <c r="IJ29" s="7">
        <v>6676533</v>
      </c>
      <c r="IK29" s="7">
        <v>6200963</v>
      </c>
      <c r="IL29" s="7">
        <v>6335653</v>
      </c>
      <c r="IM29" s="7">
        <v>6965966</v>
      </c>
      <c r="IN29" s="7">
        <v>6373976</v>
      </c>
      <c r="IO29" s="7">
        <v>6669449</v>
      </c>
      <c r="IP29" s="7">
        <v>6978508</v>
      </c>
      <c r="IQ29" s="7">
        <v>7069404</v>
      </c>
      <c r="IR29" s="7">
        <v>7352175</v>
      </c>
      <c r="IS29" s="7">
        <v>7415215</v>
      </c>
      <c r="IT29" s="7">
        <v>7098864</v>
      </c>
      <c r="IU29" s="7">
        <v>7681275</v>
      </c>
      <c r="IV29" s="7">
        <v>7841957</v>
      </c>
      <c r="IW29" s="7">
        <v>7426998</v>
      </c>
      <c r="IX29" s="7">
        <v>7718900</v>
      </c>
      <c r="IY29" s="7">
        <v>7408342</v>
      </c>
      <c r="IZ29" s="7">
        <v>7508133</v>
      </c>
      <c r="JA29" s="7">
        <v>7229458</v>
      </c>
      <c r="JB29" s="7">
        <v>7376722</v>
      </c>
      <c r="JC29" s="7">
        <v>7115970</v>
      </c>
      <c r="JD29" s="7">
        <v>7554016</v>
      </c>
      <c r="JE29" s="7">
        <v>8191680</v>
      </c>
      <c r="JF29" s="7">
        <v>8018352</v>
      </c>
      <c r="JG29" s="7">
        <v>8753408</v>
      </c>
      <c r="JH29" s="7">
        <v>9320439</v>
      </c>
      <c r="JI29" s="7">
        <v>8332781</v>
      </c>
      <c r="JJ29" s="7">
        <v>8991169</v>
      </c>
      <c r="JK29" s="7">
        <v>9001458</v>
      </c>
      <c r="JL29" s="7">
        <v>8651145</v>
      </c>
      <c r="JM29" s="7">
        <v>9355771</v>
      </c>
      <c r="JN29" s="7">
        <v>9074767</v>
      </c>
      <c r="JO29" s="7">
        <v>8981108</v>
      </c>
      <c r="JP29" s="7">
        <v>8734070</v>
      </c>
      <c r="JQ29" s="7">
        <v>8350405</v>
      </c>
      <c r="JR29" s="7">
        <v>8684129</v>
      </c>
      <c r="JS29" s="7">
        <v>8741118</v>
      </c>
      <c r="JT29" s="7">
        <v>9121371</v>
      </c>
      <c r="JU29" s="7">
        <v>9001478</v>
      </c>
      <c r="JV29" s="7">
        <v>9481293</v>
      </c>
      <c r="JW29" s="7">
        <v>9555891</v>
      </c>
      <c r="JX29" s="7">
        <v>9441208</v>
      </c>
      <c r="JY29" s="7">
        <v>9777764</v>
      </c>
      <c r="JZ29" s="7">
        <v>9088232</v>
      </c>
      <c r="KA29" s="7">
        <v>8976146</v>
      </c>
      <c r="KB29" s="7">
        <v>9440275</v>
      </c>
      <c r="KC29" s="7">
        <v>9552103</v>
      </c>
      <c r="KD29" s="7">
        <v>9302542</v>
      </c>
      <c r="KE29" s="7">
        <v>9564583</v>
      </c>
      <c r="KF29" s="7">
        <v>10456005</v>
      </c>
      <c r="KG29" s="7">
        <v>10719443</v>
      </c>
      <c r="KH29" s="7">
        <v>11863691</v>
      </c>
      <c r="KI29" s="7">
        <v>11730333</v>
      </c>
      <c r="KJ29" s="7">
        <v>11680319</v>
      </c>
      <c r="KK29" s="7">
        <v>11955057</v>
      </c>
      <c r="KL29" s="7">
        <v>12034091</v>
      </c>
      <c r="KM29" s="7">
        <v>12089783</v>
      </c>
      <c r="KN29" s="7">
        <v>12013065</v>
      </c>
      <c r="KO29" s="7">
        <v>11999727</v>
      </c>
      <c r="KP29" s="7">
        <v>11916199</v>
      </c>
      <c r="KQ29" s="7">
        <v>11966569</v>
      </c>
      <c r="KR29" s="7">
        <v>12850965</v>
      </c>
      <c r="KS29" s="7">
        <v>12356218</v>
      </c>
      <c r="KT29" s="7">
        <v>14491303</v>
      </c>
      <c r="KU29" s="7">
        <v>12973202</v>
      </c>
      <c r="KV29" s="7">
        <v>12512364</v>
      </c>
      <c r="KW29" s="7">
        <v>13245696</v>
      </c>
      <c r="KX29" s="7">
        <v>13084351</v>
      </c>
      <c r="KY29" s="7">
        <v>13134849</v>
      </c>
      <c r="KZ29" s="7">
        <v>14414370</v>
      </c>
    </row>
    <row r="30" spans="1:312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</row>
    <row r="31" spans="1:312">
      <c r="A31" s="8" t="s">
        <v>329</v>
      </c>
      <c r="B31" s="7">
        <v>347456</v>
      </c>
      <c r="C31" s="7">
        <v>359759</v>
      </c>
      <c r="D31" s="7">
        <v>386547</v>
      </c>
      <c r="E31" s="7">
        <v>384154</v>
      </c>
      <c r="F31" s="7">
        <v>397015</v>
      </c>
      <c r="G31" s="7">
        <v>380659</v>
      </c>
      <c r="H31" s="7">
        <v>401351</v>
      </c>
      <c r="I31" s="7">
        <v>418733</v>
      </c>
      <c r="J31" s="7">
        <v>408343</v>
      </c>
      <c r="K31" s="7">
        <v>412231</v>
      </c>
      <c r="L31" s="7">
        <v>468080</v>
      </c>
      <c r="M31" s="7">
        <v>507000</v>
      </c>
      <c r="N31" s="7">
        <v>508342</v>
      </c>
      <c r="O31" s="7">
        <v>533824</v>
      </c>
      <c r="P31" s="7">
        <v>523677</v>
      </c>
      <c r="Q31" s="7">
        <v>522239</v>
      </c>
      <c r="R31" s="7">
        <v>576023</v>
      </c>
      <c r="S31" s="7">
        <v>536985</v>
      </c>
      <c r="T31" s="7">
        <v>537735</v>
      </c>
      <c r="U31" s="7">
        <v>557682</v>
      </c>
      <c r="V31" s="7">
        <v>580237</v>
      </c>
      <c r="W31" s="7">
        <v>602079</v>
      </c>
      <c r="X31" s="7">
        <v>615729</v>
      </c>
      <c r="Y31" s="7">
        <v>634204</v>
      </c>
      <c r="Z31" s="7">
        <v>639726</v>
      </c>
      <c r="AA31" s="7">
        <v>671735</v>
      </c>
      <c r="AB31" s="7">
        <v>705723</v>
      </c>
      <c r="AC31" s="7">
        <v>694716</v>
      </c>
      <c r="AD31" s="7">
        <v>764954</v>
      </c>
      <c r="AE31" s="7">
        <v>725019</v>
      </c>
      <c r="AF31" s="7">
        <v>772479</v>
      </c>
      <c r="AG31" s="7">
        <v>793018</v>
      </c>
      <c r="AH31" s="7">
        <v>816507</v>
      </c>
      <c r="AI31" s="7">
        <v>853347</v>
      </c>
      <c r="AJ31" s="7">
        <v>892320</v>
      </c>
      <c r="AK31" s="7">
        <v>906156</v>
      </c>
      <c r="AL31" s="7">
        <v>911109</v>
      </c>
      <c r="AM31" s="7">
        <v>984875</v>
      </c>
      <c r="AN31" s="7">
        <v>991048</v>
      </c>
      <c r="AO31" s="7">
        <v>985804</v>
      </c>
      <c r="AP31" s="7">
        <v>971749</v>
      </c>
      <c r="AQ31" s="7">
        <v>970542</v>
      </c>
      <c r="AR31" s="7">
        <v>1017163</v>
      </c>
      <c r="AS31" s="7">
        <v>1054109</v>
      </c>
      <c r="AT31" s="7">
        <v>1090911</v>
      </c>
      <c r="AU31" s="7">
        <v>1147810</v>
      </c>
      <c r="AV31" s="7">
        <v>1220688</v>
      </c>
      <c r="AW31" s="7">
        <v>1231690</v>
      </c>
      <c r="AX31" s="7">
        <v>1280031</v>
      </c>
      <c r="AY31" s="7">
        <v>1329156</v>
      </c>
      <c r="AZ31" s="7">
        <v>1376670</v>
      </c>
      <c r="BA31" s="7">
        <v>1532934</v>
      </c>
      <c r="BB31" s="7">
        <v>1650115</v>
      </c>
      <c r="BC31" s="7">
        <v>1564903</v>
      </c>
      <c r="BD31" s="7">
        <v>1638876</v>
      </c>
      <c r="BE31" s="7">
        <v>1746058</v>
      </c>
      <c r="BF31" s="7">
        <v>1689293</v>
      </c>
      <c r="BG31" s="7">
        <v>1779627</v>
      </c>
      <c r="BH31" s="7">
        <v>1833320</v>
      </c>
      <c r="BI31" s="7">
        <v>1866063</v>
      </c>
      <c r="BJ31" s="7">
        <v>1881296</v>
      </c>
      <c r="BK31" s="7">
        <v>2015827</v>
      </c>
      <c r="BL31" s="7">
        <v>2035676</v>
      </c>
      <c r="BM31" s="7">
        <v>2012511</v>
      </c>
      <c r="BN31" s="7">
        <v>2065348</v>
      </c>
      <c r="BO31" s="7">
        <v>1999223</v>
      </c>
      <c r="BP31" s="7">
        <v>2175908</v>
      </c>
      <c r="BQ31" s="7">
        <v>2332591</v>
      </c>
      <c r="BR31" s="7">
        <v>2319429</v>
      </c>
      <c r="BS31" s="7">
        <v>2513937</v>
      </c>
      <c r="BT31" s="7">
        <v>2704125</v>
      </c>
      <c r="BU31" s="7">
        <v>2813266</v>
      </c>
      <c r="BV31" s="7">
        <v>2965144</v>
      </c>
      <c r="BW31" s="7">
        <v>3053146</v>
      </c>
      <c r="BX31" s="7">
        <v>3238079</v>
      </c>
      <c r="BY31" s="7">
        <v>3387724</v>
      </c>
      <c r="BZ31" s="7">
        <v>3677561</v>
      </c>
      <c r="CA31" s="7">
        <v>3608049</v>
      </c>
      <c r="CB31" s="7">
        <v>3793972</v>
      </c>
      <c r="CC31" s="7">
        <v>3935686</v>
      </c>
      <c r="CD31" s="7">
        <v>3978254</v>
      </c>
      <c r="CE31" s="7">
        <v>4231060</v>
      </c>
      <c r="CF31" s="7">
        <v>4489209</v>
      </c>
      <c r="CG31" s="7">
        <v>4617639</v>
      </c>
      <c r="CH31" s="7">
        <v>4572106</v>
      </c>
      <c r="CI31" s="7">
        <v>4478710</v>
      </c>
      <c r="CJ31" s="7">
        <v>4351803</v>
      </c>
      <c r="CK31" s="7">
        <v>4520981</v>
      </c>
      <c r="CL31" s="7">
        <v>4629829</v>
      </c>
      <c r="CM31" s="7">
        <v>4596133</v>
      </c>
      <c r="CN31" s="7">
        <v>4651452</v>
      </c>
      <c r="CO31" s="7">
        <v>4815185</v>
      </c>
      <c r="CP31" s="7">
        <v>4852705</v>
      </c>
      <c r="CQ31" s="7">
        <v>5108144</v>
      </c>
      <c r="CR31" s="7">
        <v>5195154</v>
      </c>
      <c r="CS31" s="7">
        <v>5418313</v>
      </c>
      <c r="CT31" s="7">
        <v>5887672</v>
      </c>
      <c r="CU31" s="7">
        <v>5885793</v>
      </c>
      <c r="CV31" s="7">
        <v>5685066</v>
      </c>
      <c r="CW31" s="7">
        <v>6017826</v>
      </c>
      <c r="CX31" s="7">
        <v>6267201</v>
      </c>
      <c r="CY31" s="7">
        <v>5970359</v>
      </c>
      <c r="CZ31" s="7">
        <v>6780765</v>
      </c>
      <c r="DA31" s="7">
        <v>6688419</v>
      </c>
      <c r="DB31" s="7">
        <v>6556048</v>
      </c>
      <c r="DC31" s="7">
        <v>6587385</v>
      </c>
      <c r="DD31" s="7">
        <v>6786278</v>
      </c>
      <c r="DE31" s="7">
        <v>7091743</v>
      </c>
      <c r="DF31" s="7">
        <v>7064482</v>
      </c>
      <c r="DG31" s="7">
        <v>7254980</v>
      </c>
      <c r="DH31" s="7">
        <v>7310697</v>
      </c>
      <c r="DI31" s="7">
        <v>7094533</v>
      </c>
      <c r="DJ31" s="7">
        <v>7487306</v>
      </c>
      <c r="DK31" s="7">
        <v>7496070</v>
      </c>
      <c r="DL31" s="7">
        <v>7650126</v>
      </c>
      <c r="DM31" s="7">
        <v>7758511</v>
      </c>
      <c r="DN31" s="7">
        <v>8008973</v>
      </c>
      <c r="DO31" s="7">
        <v>8050539</v>
      </c>
      <c r="DP31" s="7">
        <v>8287944</v>
      </c>
      <c r="DQ31" s="7">
        <v>8402482</v>
      </c>
      <c r="DR31" s="7">
        <v>8424651</v>
      </c>
      <c r="DS31" s="7">
        <v>8411134</v>
      </c>
      <c r="DT31" s="7">
        <v>8660047</v>
      </c>
      <c r="DU31" s="7">
        <v>8526184</v>
      </c>
      <c r="DV31" s="7">
        <v>8482828</v>
      </c>
      <c r="DW31" s="7">
        <v>8608602</v>
      </c>
      <c r="DX31" s="7">
        <v>8605665</v>
      </c>
      <c r="DY31" s="7">
        <v>8923852</v>
      </c>
      <c r="DZ31" s="7">
        <v>9016130</v>
      </c>
      <c r="EA31" s="7">
        <v>8968234</v>
      </c>
      <c r="EB31" s="7">
        <v>9360212</v>
      </c>
      <c r="EC31" s="7">
        <v>9741556</v>
      </c>
      <c r="ED31" s="7">
        <v>9514333</v>
      </c>
      <c r="EE31" s="7">
        <v>9820950</v>
      </c>
      <c r="EF31" s="7">
        <v>9818461</v>
      </c>
      <c r="EG31" s="7">
        <v>9607044</v>
      </c>
      <c r="EH31" s="7">
        <v>9752236</v>
      </c>
      <c r="EI31" s="7">
        <v>9622127</v>
      </c>
      <c r="EJ31" s="7">
        <v>9911587</v>
      </c>
      <c r="EK31" s="7">
        <v>10293056</v>
      </c>
      <c r="EL31" s="7">
        <v>10393216</v>
      </c>
      <c r="EM31" s="7">
        <v>10334946</v>
      </c>
      <c r="EN31" s="7">
        <v>10405602</v>
      </c>
      <c r="EO31" s="7">
        <v>10582891</v>
      </c>
      <c r="EP31" s="7">
        <v>10328235</v>
      </c>
      <c r="EQ31" s="7">
        <v>10514793</v>
      </c>
      <c r="ER31" s="7">
        <v>10686225</v>
      </c>
      <c r="ES31" s="7">
        <v>10465453</v>
      </c>
      <c r="ET31" s="7">
        <v>10522812</v>
      </c>
      <c r="EU31" s="7">
        <v>10495911</v>
      </c>
      <c r="EV31" s="7">
        <v>10536193</v>
      </c>
      <c r="EW31" s="7">
        <v>11078229</v>
      </c>
      <c r="EX31" s="7">
        <v>11051547</v>
      </c>
      <c r="EY31" s="7">
        <v>11318411</v>
      </c>
      <c r="EZ31" s="7">
        <v>11578872</v>
      </c>
      <c r="FA31" s="7">
        <v>11681691</v>
      </c>
      <c r="FB31" s="7">
        <v>11350572</v>
      </c>
      <c r="FC31" s="7">
        <v>11558265</v>
      </c>
      <c r="FD31" s="7">
        <v>11680146</v>
      </c>
      <c r="FE31" s="7">
        <v>11339404</v>
      </c>
      <c r="FF31" s="7">
        <v>11598118</v>
      </c>
      <c r="FG31" s="7">
        <v>11882162</v>
      </c>
      <c r="FH31" s="7">
        <v>12432486</v>
      </c>
      <c r="FI31" s="7">
        <v>12796182</v>
      </c>
      <c r="FJ31" s="7">
        <v>12782103</v>
      </c>
      <c r="FK31" s="7">
        <v>12921548</v>
      </c>
      <c r="FL31" s="7">
        <v>13411461</v>
      </c>
      <c r="FM31" s="7">
        <v>13424662</v>
      </c>
      <c r="FN31" s="7">
        <v>13352628</v>
      </c>
      <c r="FO31" s="7">
        <v>13466829</v>
      </c>
      <c r="FP31" s="7">
        <v>13550620</v>
      </c>
      <c r="FQ31" s="7">
        <v>12973924</v>
      </c>
      <c r="FR31" s="7">
        <v>12801495</v>
      </c>
      <c r="FS31" s="7">
        <v>12389730</v>
      </c>
      <c r="FT31" s="7">
        <v>12271762</v>
      </c>
      <c r="FU31" s="7">
        <v>12308527</v>
      </c>
      <c r="FV31" s="7">
        <v>12250000</v>
      </c>
      <c r="FW31" s="7">
        <v>12514449</v>
      </c>
      <c r="FX31" s="7">
        <v>13061565</v>
      </c>
      <c r="FY31" s="7">
        <v>12910216</v>
      </c>
      <c r="FZ31" s="7">
        <v>14356579</v>
      </c>
      <c r="GA31" s="7">
        <v>15460006</v>
      </c>
      <c r="GB31" s="7">
        <v>15709825</v>
      </c>
      <c r="GC31" s="7">
        <v>16616282</v>
      </c>
      <c r="GD31" s="7">
        <v>17125875</v>
      </c>
      <c r="GE31" s="7">
        <v>17618433</v>
      </c>
      <c r="GF31" s="7">
        <v>17347937</v>
      </c>
      <c r="GG31" s="7">
        <v>17715668</v>
      </c>
      <c r="GH31" s="7">
        <v>17673456</v>
      </c>
      <c r="GI31" s="7">
        <v>17929948</v>
      </c>
      <c r="GJ31" s="7">
        <v>18351082</v>
      </c>
      <c r="GK31" s="7">
        <v>19443342</v>
      </c>
      <c r="GL31" s="7">
        <v>18864139</v>
      </c>
      <c r="GM31" s="7">
        <v>19156875</v>
      </c>
      <c r="GN31" s="7">
        <v>19295184</v>
      </c>
      <c r="GO31" s="7">
        <v>19690861</v>
      </c>
      <c r="GP31" s="7">
        <v>19798592</v>
      </c>
      <c r="GQ31" s="7">
        <v>19037212</v>
      </c>
      <c r="GR31" s="7">
        <v>18649438</v>
      </c>
      <c r="GS31" s="7">
        <v>19250778</v>
      </c>
      <c r="GT31" s="7">
        <v>19425747</v>
      </c>
      <c r="GU31" s="7">
        <v>19429278</v>
      </c>
      <c r="GV31" s="7">
        <v>19638683</v>
      </c>
      <c r="GW31" s="7">
        <v>19452259</v>
      </c>
      <c r="GX31" s="7">
        <v>19414561</v>
      </c>
      <c r="GY31" s="7">
        <v>20452183</v>
      </c>
      <c r="GZ31" s="7">
        <v>19768109</v>
      </c>
      <c r="HA31" s="7">
        <v>19375573</v>
      </c>
      <c r="HB31" s="7">
        <v>19456330</v>
      </c>
      <c r="HC31" s="7">
        <v>19262850</v>
      </c>
      <c r="HD31" s="7">
        <v>19013572</v>
      </c>
      <c r="HE31" s="7">
        <v>18950272</v>
      </c>
      <c r="HF31" s="7">
        <v>19269608</v>
      </c>
      <c r="HG31" s="7">
        <v>19168274</v>
      </c>
      <c r="HH31" s="7">
        <v>19908202</v>
      </c>
      <c r="HI31" s="7">
        <v>20251145</v>
      </c>
      <c r="HJ31" s="7">
        <v>19780029</v>
      </c>
      <c r="HK31" s="7">
        <v>19715125</v>
      </c>
      <c r="HL31" s="7">
        <v>19744282</v>
      </c>
      <c r="HM31" s="7">
        <v>19896584</v>
      </c>
      <c r="HN31" s="7">
        <v>20813371</v>
      </c>
      <c r="HO31" s="7">
        <v>21412108</v>
      </c>
      <c r="HP31" s="7">
        <v>19720819</v>
      </c>
      <c r="HQ31" s="7">
        <v>19401091</v>
      </c>
      <c r="HR31" s="7">
        <v>19353989</v>
      </c>
      <c r="HS31" s="7">
        <v>19737432</v>
      </c>
      <c r="HT31" s="7">
        <v>19537417</v>
      </c>
      <c r="HU31" s="7">
        <v>19899608</v>
      </c>
      <c r="HV31" s="7">
        <v>19782528</v>
      </c>
      <c r="HW31" s="7">
        <v>20341711</v>
      </c>
      <c r="HX31" s="7">
        <v>21008255</v>
      </c>
      <c r="HY31" s="7">
        <v>20485224</v>
      </c>
      <c r="HZ31" s="7">
        <v>21322070</v>
      </c>
      <c r="IA31" s="7">
        <v>20875848</v>
      </c>
      <c r="IB31" s="7">
        <v>20793931</v>
      </c>
      <c r="IC31" s="7">
        <v>22577476</v>
      </c>
      <c r="ID31" s="7">
        <v>22222626</v>
      </c>
      <c r="IE31" s="7">
        <v>22438151</v>
      </c>
      <c r="IF31" s="7">
        <v>22651473</v>
      </c>
      <c r="IG31" s="7">
        <v>23570750</v>
      </c>
      <c r="IH31" s="7">
        <v>23603790</v>
      </c>
      <c r="II31" s="7">
        <v>24180061</v>
      </c>
      <c r="IJ31" s="7">
        <v>24741875</v>
      </c>
      <c r="IK31" s="7">
        <v>24647549</v>
      </c>
      <c r="IL31" s="7">
        <v>24917785</v>
      </c>
      <c r="IM31" s="7">
        <v>25391985</v>
      </c>
      <c r="IN31" s="7">
        <v>25293917</v>
      </c>
      <c r="IO31" s="7">
        <v>26171930</v>
      </c>
      <c r="IP31" s="7">
        <v>26853866</v>
      </c>
      <c r="IQ31" s="7">
        <v>27446609</v>
      </c>
      <c r="IR31" s="7">
        <v>28161720</v>
      </c>
      <c r="IS31" s="7">
        <v>28239533</v>
      </c>
      <c r="IT31" s="7">
        <v>28056223</v>
      </c>
      <c r="IU31" s="7">
        <v>28850310</v>
      </c>
      <c r="IV31" s="7">
        <v>29024816</v>
      </c>
      <c r="IW31" s="7">
        <v>28695916</v>
      </c>
      <c r="IX31" s="7">
        <v>30099291</v>
      </c>
      <c r="IY31" s="7">
        <v>29800211</v>
      </c>
      <c r="IZ31" s="7">
        <v>30711812</v>
      </c>
      <c r="JA31" s="7">
        <v>29516985</v>
      </c>
      <c r="JB31" s="7">
        <v>28984211</v>
      </c>
      <c r="JC31" s="7">
        <v>28319198</v>
      </c>
      <c r="JD31" s="7">
        <v>30423168</v>
      </c>
      <c r="JE31" s="7">
        <v>31396334</v>
      </c>
      <c r="JF31" s="7">
        <v>31568273</v>
      </c>
      <c r="JG31" s="7">
        <v>32479007</v>
      </c>
      <c r="JH31" s="7">
        <v>33311554</v>
      </c>
      <c r="JI31" s="7">
        <v>32768405</v>
      </c>
      <c r="JJ31" s="7">
        <v>34295955</v>
      </c>
      <c r="JK31" s="7">
        <v>33834408</v>
      </c>
      <c r="JL31" s="7">
        <v>32982975</v>
      </c>
      <c r="JM31" s="7">
        <v>33902054</v>
      </c>
      <c r="JN31" s="7">
        <v>33644434</v>
      </c>
      <c r="JO31" s="7">
        <v>33980560</v>
      </c>
      <c r="JP31" s="7">
        <v>34713586</v>
      </c>
      <c r="JQ31" s="7">
        <v>34215812</v>
      </c>
      <c r="JR31" s="7">
        <v>34486768</v>
      </c>
      <c r="JS31" s="7">
        <v>34975250</v>
      </c>
      <c r="JT31" s="7">
        <v>35566812</v>
      </c>
      <c r="JU31" s="7">
        <v>35674585</v>
      </c>
      <c r="JV31" s="7">
        <v>38301572</v>
      </c>
      <c r="JW31" s="7">
        <v>37395436</v>
      </c>
      <c r="JX31" s="7">
        <v>37751784</v>
      </c>
      <c r="JY31" s="7">
        <v>38103439</v>
      </c>
      <c r="JZ31" s="7">
        <v>37917435</v>
      </c>
      <c r="KA31" s="7">
        <v>38160695</v>
      </c>
      <c r="KB31" s="7">
        <v>39657718</v>
      </c>
      <c r="KC31" s="7">
        <v>40470122</v>
      </c>
      <c r="KD31" s="7">
        <v>40251757</v>
      </c>
      <c r="KE31" s="7">
        <v>40719718</v>
      </c>
      <c r="KF31" s="7">
        <v>41896992</v>
      </c>
      <c r="KG31" s="7">
        <v>42612787</v>
      </c>
      <c r="KH31" s="7">
        <v>45660003</v>
      </c>
      <c r="KI31" s="7">
        <v>44684135</v>
      </c>
      <c r="KJ31" s="7">
        <v>44674562</v>
      </c>
      <c r="KK31" s="7">
        <v>44753027</v>
      </c>
      <c r="KL31" s="7">
        <v>45724073</v>
      </c>
      <c r="KM31" s="7">
        <v>45942565</v>
      </c>
      <c r="KN31" s="7">
        <v>46895559</v>
      </c>
      <c r="KO31" s="7">
        <v>47189297</v>
      </c>
      <c r="KP31" s="7">
        <v>47618385</v>
      </c>
      <c r="KQ31" s="7">
        <v>48139408</v>
      </c>
      <c r="KR31" s="7">
        <v>49331768</v>
      </c>
      <c r="KS31" s="7">
        <v>49027468</v>
      </c>
      <c r="KT31" s="7">
        <v>52751740</v>
      </c>
      <c r="KU31" s="7">
        <v>50734418</v>
      </c>
      <c r="KV31" s="7">
        <v>50664257</v>
      </c>
      <c r="KW31" s="7">
        <v>51109916</v>
      </c>
      <c r="KX31" s="7">
        <v>51730547</v>
      </c>
      <c r="KY31" s="7">
        <v>52675375</v>
      </c>
      <c r="KZ31" s="7">
        <v>55000217</v>
      </c>
    </row>
    <row r="32" spans="1:312">
      <c r="A32" s="6" t="s">
        <v>315</v>
      </c>
      <c r="B32" s="7">
        <v>1.6</v>
      </c>
      <c r="C32" s="7">
        <v>3.5</v>
      </c>
      <c r="D32" s="7">
        <v>7.4</v>
      </c>
      <c r="E32" s="7">
        <v>-0.6</v>
      </c>
      <c r="F32" s="7">
        <v>3.3</v>
      </c>
      <c r="G32" s="7">
        <v>-4.1</v>
      </c>
      <c r="H32" s="7">
        <v>5.4</v>
      </c>
      <c r="I32" s="7">
        <v>4.3</v>
      </c>
      <c r="J32" s="7">
        <v>-2.5</v>
      </c>
      <c r="K32" s="7">
        <v>1</v>
      </c>
      <c r="L32" s="7">
        <v>13.5</v>
      </c>
      <c r="M32" s="7">
        <v>8.3</v>
      </c>
      <c r="N32" s="7">
        <v>0.3</v>
      </c>
      <c r="O32" s="7">
        <v>5</v>
      </c>
      <c r="P32" s="7">
        <v>-1.9</v>
      </c>
      <c r="Q32" s="7">
        <v>-0.3</v>
      </c>
      <c r="R32" s="7">
        <v>10.3</v>
      </c>
      <c r="S32" s="7">
        <v>-6.8</v>
      </c>
      <c r="T32" s="7">
        <v>0.1</v>
      </c>
      <c r="U32" s="7">
        <v>3.7</v>
      </c>
      <c r="V32" s="7">
        <v>4</v>
      </c>
      <c r="W32" s="7">
        <v>3.8</v>
      </c>
      <c r="X32" s="7">
        <v>2.3</v>
      </c>
      <c r="Y32" s="7">
        <v>3</v>
      </c>
      <c r="Z32" s="7">
        <v>0.9</v>
      </c>
      <c r="AA32" s="7">
        <v>5</v>
      </c>
      <c r="AB32" s="7">
        <v>5.1</v>
      </c>
      <c r="AC32" s="7">
        <v>-1.6</v>
      </c>
      <c r="AD32" s="7">
        <v>10.1</v>
      </c>
      <c r="AE32" s="7">
        <v>-5.2</v>
      </c>
      <c r="AF32" s="7">
        <v>6.5</v>
      </c>
      <c r="AG32" s="7">
        <v>2.7</v>
      </c>
      <c r="AH32" s="7">
        <v>3</v>
      </c>
      <c r="AI32" s="7">
        <v>4.5</v>
      </c>
      <c r="AJ32" s="7">
        <v>4.6</v>
      </c>
      <c r="AK32" s="7">
        <v>1.6</v>
      </c>
      <c r="AL32" s="7">
        <v>0.5</v>
      </c>
      <c r="AM32" s="7">
        <v>8.1</v>
      </c>
      <c r="AN32" s="7">
        <v>0.6</v>
      </c>
      <c r="AO32" s="7">
        <v>-0.5</v>
      </c>
      <c r="AP32" s="7">
        <v>-1.4</v>
      </c>
      <c r="AQ32" s="7">
        <v>-0.1</v>
      </c>
      <c r="AR32" s="7">
        <v>4.8</v>
      </c>
      <c r="AS32" s="7">
        <v>3.6</v>
      </c>
      <c r="AT32" s="7">
        <v>3.5</v>
      </c>
      <c r="AU32" s="7">
        <v>5.2</v>
      </c>
      <c r="AV32" s="7">
        <v>6.3</v>
      </c>
      <c r="AW32" s="7">
        <v>0.9</v>
      </c>
      <c r="AX32" s="7">
        <v>3.9</v>
      </c>
      <c r="AY32" s="7">
        <v>3.8</v>
      </c>
      <c r="AZ32" s="7">
        <v>3.6</v>
      </c>
      <c r="BA32" s="7">
        <v>11.4</v>
      </c>
      <c r="BB32" s="7">
        <v>7.6</v>
      </c>
      <c r="BC32" s="7">
        <v>-5.2</v>
      </c>
      <c r="BD32" s="7">
        <v>4.7</v>
      </c>
      <c r="BE32" s="7">
        <v>6.5</v>
      </c>
      <c r="BF32" s="7">
        <v>-3.3</v>
      </c>
      <c r="BG32" s="7">
        <v>5.3</v>
      </c>
      <c r="BH32" s="7">
        <v>3</v>
      </c>
      <c r="BI32" s="7">
        <v>1.8</v>
      </c>
      <c r="BJ32" s="7">
        <v>0.8</v>
      </c>
      <c r="BK32" s="7">
        <v>7.2</v>
      </c>
      <c r="BL32" s="7">
        <v>1</v>
      </c>
      <c r="BM32" s="7">
        <v>-1.1</v>
      </c>
      <c r="BN32" s="7">
        <v>2.6</v>
      </c>
      <c r="BO32" s="7">
        <v>-3.2</v>
      </c>
      <c r="BP32" s="7">
        <v>8.8</v>
      </c>
      <c r="BQ32" s="7">
        <v>7.2</v>
      </c>
      <c r="BR32" s="7">
        <v>-0.6</v>
      </c>
      <c r="BS32" s="7">
        <v>8.4</v>
      </c>
      <c r="BT32" s="7">
        <v>7.6</v>
      </c>
      <c r="BU32" s="7">
        <v>4</v>
      </c>
      <c r="BV32" s="7">
        <v>5.4</v>
      </c>
      <c r="BW32" s="7">
        <v>3</v>
      </c>
      <c r="BX32" s="7">
        <v>6.1</v>
      </c>
      <c r="BY32" s="7">
        <v>4.6</v>
      </c>
      <c r="BZ32" s="7">
        <v>8.6</v>
      </c>
      <c r="CA32" s="7">
        <v>-1.9</v>
      </c>
      <c r="CB32" s="7">
        <v>5.2</v>
      </c>
      <c r="CC32" s="7">
        <v>3.7</v>
      </c>
      <c r="CD32" s="7">
        <v>1.1</v>
      </c>
      <c r="CE32" s="7">
        <v>6.4</v>
      </c>
      <c r="CF32" s="7">
        <v>6.1</v>
      </c>
      <c r="CG32" s="7">
        <v>2.9</v>
      </c>
      <c r="CH32" s="7">
        <v>-1</v>
      </c>
      <c r="CI32" s="7">
        <v>-2</v>
      </c>
      <c r="CJ32" s="7">
        <v>-2.8</v>
      </c>
      <c r="CK32" s="7">
        <v>3.9</v>
      </c>
      <c r="CL32" s="7">
        <v>2.4</v>
      </c>
      <c r="CM32" s="7">
        <v>-0.7</v>
      </c>
      <c r="CN32" s="7">
        <v>1.2</v>
      </c>
      <c r="CO32" s="7">
        <v>3.5</v>
      </c>
      <c r="CP32" s="7">
        <v>0.8</v>
      </c>
      <c r="CQ32" s="7">
        <v>5.3</v>
      </c>
      <c r="CR32" s="7">
        <v>1.7</v>
      </c>
      <c r="CS32" s="7">
        <v>4.3</v>
      </c>
      <c r="CT32" s="7">
        <v>8.7</v>
      </c>
      <c r="CU32" s="7"/>
      <c r="CV32" s="7">
        <v>-3.4</v>
      </c>
      <c r="CW32" s="7">
        <v>5.9</v>
      </c>
      <c r="CX32" s="7">
        <v>4.1</v>
      </c>
      <c r="CY32" s="7">
        <v>-4.7</v>
      </c>
      <c r="CZ32" s="7">
        <v>13.6</v>
      </c>
      <c r="DA32" s="7">
        <v>-1.4</v>
      </c>
      <c r="DB32" s="7">
        <v>-2</v>
      </c>
      <c r="DC32" s="7">
        <v>0.5</v>
      </c>
      <c r="DD32" s="7">
        <v>3</v>
      </c>
      <c r="DE32" s="7">
        <v>4.5</v>
      </c>
      <c r="DF32" s="7">
        <v>-0.4</v>
      </c>
      <c r="DG32" s="7">
        <v>2.7</v>
      </c>
      <c r="DH32" s="7">
        <v>0.8</v>
      </c>
      <c r="DI32" s="7">
        <v>-3</v>
      </c>
      <c r="DJ32" s="7">
        <v>5.5</v>
      </c>
      <c r="DK32" s="7">
        <v>0.1</v>
      </c>
      <c r="DL32" s="7">
        <v>2.1</v>
      </c>
      <c r="DM32" s="7">
        <v>1.4</v>
      </c>
      <c r="DN32" s="7">
        <v>3.2</v>
      </c>
      <c r="DO32" s="7">
        <v>0.5</v>
      </c>
      <c r="DP32" s="7">
        <v>2.9</v>
      </c>
      <c r="DQ32" s="7">
        <v>1.4</v>
      </c>
      <c r="DR32" s="7">
        <v>0.3</v>
      </c>
      <c r="DS32" s="7">
        <v>-0.2</v>
      </c>
      <c r="DT32" s="7">
        <v>3</v>
      </c>
      <c r="DU32" s="7">
        <v>-1.5</v>
      </c>
      <c r="DV32" s="7">
        <v>-0.5</v>
      </c>
      <c r="DW32" s="7">
        <v>1.5</v>
      </c>
      <c r="DX32" s="7"/>
      <c r="DY32" s="7">
        <v>3.7</v>
      </c>
      <c r="DZ32" s="7">
        <v>1</v>
      </c>
      <c r="EA32" s="7">
        <v>-0.5</v>
      </c>
      <c r="EB32" s="7">
        <v>4.4</v>
      </c>
      <c r="EC32" s="7">
        <v>4.1</v>
      </c>
      <c r="ED32" s="7">
        <v>-2.3</v>
      </c>
      <c r="EE32" s="7">
        <v>3.2</v>
      </c>
      <c r="EF32" s="7"/>
      <c r="EG32" s="7">
        <v>-2.2</v>
      </c>
      <c r="EH32" s="7">
        <v>1.5</v>
      </c>
      <c r="EI32" s="7">
        <v>-1.3</v>
      </c>
      <c r="EJ32" s="7">
        <v>3</v>
      </c>
      <c r="EK32" s="7">
        <v>3.8</v>
      </c>
      <c r="EL32" s="7">
        <v>1</v>
      </c>
      <c r="EM32" s="7">
        <v>-0.6</v>
      </c>
      <c r="EN32" s="7">
        <v>0.7</v>
      </c>
      <c r="EO32" s="7">
        <v>1.7</v>
      </c>
      <c r="EP32" s="7">
        <v>-2.4</v>
      </c>
      <c r="EQ32" s="7">
        <v>1.8</v>
      </c>
      <c r="ER32" s="7">
        <v>1.6</v>
      </c>
      <c r="ES32" s="7">
        <v>-2.1</v>
      </c>
      <c r="ET32" s="7">
        <v>0.5</v>
      </c>
      <c r="EU32" s="7">
        <v>-0.3</v>
      </c>
      <c r="EV32" s="7">
        <v>0.4</v>
      </c>
      <c r="EW32" s="7">
        <v>5.1</v>
      </c>
      <c r="EX32" s="7">
        <v>-0.2</v>
      </c>
      <c r="EY32" s="7">
        <v>2.4</v>
      </c>
      <c r="EZ32" s="7">
        <v>2.3</v>
      </c>
      <c r="FA32" s="7">
        <v>0.9</v>
      </c>
      <c r="FB32" s="7">
        <v>-2.8</v>
      </c>
      <c r="FC32" s="7">
        <v>1.8</v>
      </c>
      <c r="FD32" s="7">
        <v>1.1</v>
      </c>
      <c r="FE32" s="7">
        <v>-2.9</v>
      </c>
      <c r="FF32" s="7">
        <v>2.3</v>
      </c>
      <c r="FG32" s="7">
        <v>2.4</v>
      </c>
      <c r="FH32" s="7">
        <v>4.6</v>
      </c>
      <c r="FI32" s="7">
        <v>2.9</v>
      </c>
      <c r="FJ32" s="7">
        <v>-0.1</v>
      </c>
      <c r="FK32" s="7">
        <v>1.1</v>
      </c>
      <c r="FL32" s="7">
        <v>3.8</v>
      </c>
      <c r="FM32" s="7">
        <v>0.1</v>
      </c>
      <c r="FN32" s="7">
        <v>-0.5</v>
      </c>
      <c r="FO32" s="7">
        <v>0.9</v>
      </c>
      <c r="FP32" s="7">
        <v>0.6</v>
      </c>
      <c r="FQ32" s="7">
        <v>-4.3</v>
      </c>
      <c r="FR32" s="7">
        <v>-0.1</v>
      </c>
      <c r="FS32" s="7">
        <v>-3.2</v>
      </c>
      <c r="FT32" s="7">
        <v>-1</v>
      </c>
      <c r="FU32" s="7">
        <v>0.3</v>
      </c>
      <c r="FV32" s="7">
        <v>-0.5</v>
      </c>
      <c r="FW32" s="7">
        <v>2.2</v>
      </c>
      <c r="FX32" s="7">
        <v>4.4</v>
      </c>
      <c r="FY32" s="7">
        <v>-1.2</v>
      </c>
      <c r="FZ32" s="7">
        <v>11.2</v>
      </c>
      <c r="GA32" s="7">
        <v>7.7</v>
      </c>
      <c r="GB32" s="7">
        <v>1.6</v>
      </c>
      <c r="GC32" s="7">
        <v>5.8</v>
      </c>
      <c r="GD32" s="7">
        <v>3.1</v>
      </c>
      <c r="GE32" s="7">
        <v>2.9</v>
      </c>
      <c r="GF32" s="7">
        <v>-1.5</v>
      </c>
      <c r="GG32" s="7">
        <v>2.1</v>
      </c>
      <c r="GH32" s="7">
        <v>-0.2</v>
      </c>
      <c r="GI32" s="7">
        <v>1.5</v>
      </c>
      <c r="GJ32" s="7">
        <v>2.3</v>
      </c>
      <c r="GK32" s="7">
        <v>6</v>
      </c>
      <c r="GL32" s="7">
        <v>-3</v>
      </c>
      <c r="GM32" s="7">
        <v>1.6</v>
      </c>
      <c r="GN32" s="7">
        <v>0.7</v>
      </c>
      <c r="GO32" s="7">
        <v>2.1</v>
      </c>
      <c r="GP32" s="7">
        <v>0.5</v>
      </c>
      <c r="GQ32" s="7">
        <v>-3.8</v>
      </c>
      <c r="GR32" s="7">
        <v>-2</v>
      </c>
      <c r="GS32" s="7">
        <v>3.2</v>
      </c>
      <c r="GT32" s="7">
        <v>0.9</v>
      </c>
      <c r="GU32" s="7"/>
      <c r="GV32" s="7">
        <v>1.1</v>
      </c>
      <c r="GW32" s="7">
        <v>-0.9</v>
      </c>
      <c r="GX32" s="7">
        <v>-0.2</v>
      </c>
      <c r="GY32" s="7">
        <v>5.3</v>
      </c>
      <c r="GZ32" s="7">
        <v>-3.3</v>
      </c>
      <c r="HA32" s="7">
        <v>-2</v>
      </c>
      <c r="HB32" s="7">
        <v>0.4</v>
      </c>
      <c r="HC32" s="7">
        <v>-1</v>
      </c>
      <c r="HD32" s="7">
        <v>-1.3</v>
      </c>
      <c r="HE32" s="7">
        <v>-0.3</v>
      </c>
      <c r="HF32" s="7">
        <v>1.7</v>
      </c>
      <c r="HG32" s="7">
        <v>-0.5</v>
      </c>
      <c r="HH32" s="7">
        <v>3.9</v>
      </c>
      <c r="HI32" s="7">
        <v>1.7</v>
      </c>
      <c r="HJ32" s="7">
        <v>-2.3</v>
      </c>
      <c r="HK32" s="7">
        <v>-0.3</v>
      </c>
      <c r="HL32" s="7">
        <v>0.1</v>
      </c>
      <c r="HM32" s="7">
        <v>0.8</v>
      </c>
      <c r="HN32" s="7">
        <v>4.6</v>
      </c>
      <c r="HO32" s="7">
        <v>2.9</v>
      </c>
      <c r="HP32" s="7">
        <v>-7.9</v>
      </c>
      <c r="HQ32" s="7">
        <v>-1.6</v>
      </c>
      <c r="HR32" s="7">
        <v>-0.2</v>
      </c>
      <c r="HS32" s="7">
        <v>2</v>
      </c>
      <c r="HT32" s="7">
        <v>-1</v>
      </c>
      <c r="HU32" s="7">
        <v>1.9</v>
      </c>
      <c r="HV32" s="7">
        <v>-0.6</v>
      </c>
      <c r="HW32" s="7">
        <v>2.8</v>
      </c>
      <c r="HX32" s="7">
        <v>3.3</v>
      </c>
      <c r="HY32" s="7">
        <v>-2.5</v>
      </c>
      <c r="HZ32" s="7">
        <v>4.1</v>
      </c>
      <c r="IA32" s="7">
        <v>-2.1</v>
      </c>
      <c r="IB32" s="7">
        <v>-0.4</v>
      </c>
      <c r="IC32" s="7">
        <v>8.6</v>
      </c>
      <c r="ID32" s="7">
        <v>-1.6</v>
      </c>
      <c r="IE32" s="7">
        <v>1</v>
      </c>
      <c r="IF32" s="7">
        <v>1</v>
      </c>
      <c r="IG32" s="7">
        <v>4.1</v>
      </c>
      <c r="IH32" s="7">
        <v>0.1</v>
      </c>
      <c r="II32" s="7">
        <v>2.4</v>
      </c>
      <c r="IJ32" s="7">
        <v>2.3</v>
      </c>
      <c r="IK32" s="7">
        <v>-0.4</v>
      </c>
      <c r="IL32" s="7">
        <v>1.1</v>
      </c>
      <c r="IM32" s="7">
        <v>1.9</v>
      </c>
      <c r="IN32" s="7">
        <v>-0.4</v>
      </c>
      <c r="IO32" s="7">
        <v>3.5</v>
      </c>
      <c r="IP32" s="7">
        <v>2.6</v>
      </c>
      <c r="IQ32" s="7">
        <v>2.2</v>
      </c>
      <c r="IR32" s="7">
        <v>2.6</v>
      </c>
      <c r="IS32" s="7">
        <v>0.3</v>
      </c>
      <c r="IT32" s="7">
        <v>-0.6</v>
      </c>
      <c r="IU32" s="7">
        <v>2.8</v>
      </c>
      <c r="IV32" s="7">
        <v>0.6</v>
      </c>
      <c r="IW32" s="7">
        <v>-1.1</v>
      </c>
      <c r="IX32" s="7">
        <v>4.9</v>
      </c>
      <c r="IY32" s="7">
        <v>-1</v>
      </c>
      <c r="IZ32" s="7">
        <v>3.1</v>
      </c>
      <c r="JA32" s="7">
        <v>-3.9</v>
      </c>
      <c r="JB32" s="7">
        <v>-1.8</v>
      </c>
      <c r="JC32" s="7">
        <v>-2.3</v>
      </c>
      <c r="JD32" s="7">
        <v>7.4</v>
      </c>
      <c r="JE32" s="7">
        <v>3.2</v>
      </c>
      <c r="JF32" s="7">
        <v>0.5</v>
      </c>
      <c r="JG32" s="7">
        <v>2.9</v>
      </c>
      <c r="JH32" s="7">
        <v>2.6</v>
      </c>
      <c r="JI32" s="7">
        <v>-1.6</v>
      </c>
      <c r="JJ32" s="7">
        <v>4.7</v>
      </c>
      <c r="JK32" s="7">
        <v>-1.3</v>
      </c>
      <c r="JL32" s="7">
        <v>-2.5</v>
      </c>
      <c r="JM32" s="7">
        <v>2.8</v>
      </c>
      <c r="JN32" s="7">
        <v>-0.8</v>
      </c>
      <c r="JO32" s="7">
        <v>1</v>
      </c>
      <c r="JP32" s="7">
        <v>2.2</v>
      </c>
      <c r="JQ32" s="7">
        <v>-1.4</v>
      </c>
      <c r="JR32" s="7">
        <v>0.8</v>
      </c>
      <c r="JS32" s="7">
        <v>1.4</v>
      </c>
      <c r="JT32" s="7">
        <v>1.7</v>
      </c>
      <c r="JU32" s="7">
        <v>0.3</v>
      </c>
      <c r="JV32" s="7">
        <v>7.4</v>
      </c>
      <c r="JW32" s="7">
        <v>-2.4</v>
      </c>
      <c r="JX32" s="7">
        <v>1</v>
      </c>
      <c r="JY32" s="7">
        <v>0.9</v>
      </c>
      <c r="JZ32" s="7">
        <v>-0.5</v>
      </c>
      <c r="KA32" s="7">
        <v>0.6</v>
      </c>
      <c r="KB32" s="7">
        <v>3.9</v>
      </c>
      <c r="KC32" s="7">
        <v>2</v>
      </c>
      <c r="KD32" s="7">
        <v>-0.5</v>
      </c>
      <c r="KE32" s="7">
        <v>1.2</v>
      </c>
      <c r="KF32" s="7">
        <v>2.9</v>
      </c>
      <c r="KG32" s="7">
        <v>1.7</v>
      </c>
      <c r="KH32" s="7">
        <v>7.2</v>
      </c>
      <c r="KI32" s="7">
        <v>-2.1</v>
      </c>
      <c r="KJ32" s="7"/>
      <c r="KK32" s="7">
        <v>0.2</v>
      </c>
      <c r="KL32" s="7">
        <v>2.2</v>
      </c>
      <c r="KM32" s="7">
        <v>0.5</v>
      </c>
      <c r="KN32" s="7">
        <v>2.1</v>
      </c>
      <c r="KO32" s="7">
        <v>0.6</v>
      </c>
      <c r="KP32" s="7">
        <v>0.9</v>
      </c>
      <c r="KQ32" s="7">
        <v>1.1</v>
      </c>
      <c r="KR32" s="7">
        <v>2.5</v>
      </c>
      <c r="KS32" s="7">
        <v>-0.6</v>
      </c>
      <c r="KT32" s="7">
        <v>7.6</v>
      </c>
      <c r="KU32" s="7">
        <v>-3.8</v>
      </c>
      <c r="KV32" s="7">
        <v>-0.1</v>
      </c>
      <c r="KW32" s="7">
        <v>0.9</v>
      </c>
      <c r="KX32" s="7">
        <v>1.2</v>
      </c>
      <c r="KY32" s="7">
        <v>1.8</v>
      </c>
      <c r="KZ32" s="7">
        <v>4.4</v>
      </c>
    </row>
    <row r="33" spans="1:312">
      <c r="A33" s="6" t="s">
        <v>316</v>
      </c>
      <c r="B33" s="7">
        <v>26.9</v>
      </c>
      <c r="C33" s="7">
        <v>31.4</v>
      </c>
      <c r="D33" s="7">
        <v>41.1</v>
      </c>
      <c r="E33" s="7">
        <v>40.3</v>
      </c>
      <c r="F33" s="7">
        <v>45</v>
      </c>
      <c r="G33" s="7">
        <v>-4.1</v>
      </c>
      <c r="H33" s="7">
        <v>1.1</v>
      </c>
      <c r="I33" s="7">
        <v>5.5</v>
      </c>
      <c r="J33" s="7">
        <v>2.9</v>
      </c>
      <c r="K33" s="7">
        <v>3.8</v>
      </c>
      <c r="L33" s="7">
        <v>17.9</v>
      </c>
      <c r="M33" s="7">
        <v>27.7</v>
      </c>
      <c r="N33" s="7">
        <v>28</v>
      </c>
      <c r="O33" s="7">
        <v>34.5</v>
      </c>
      <c r="P33" s="7">
        <v>31.9</v>
      </c>
      <c r="Q33" s="7">
        <v>31.5</v>
      </c>
      <c r="R33" s="7">
        <v>45.1</v>
      </c>
      <c r="S33" s="7">
        <v>-6.8</v>
      </c>
      <c r="T33" s="7">
        <v>-6.6</v>
      </c>
      <c r="U33" s="7">
        <v>-3.2</v>
      </c>
      <c r="V33" s="7">
        <v>0.7</v>
      </c>
      <c r="W33" s="7">
        <v>4.5</v>
      </c>
      <c r="X33" s="7">
        <v>6.9</v>
      </c>
      <c r="Y33" s="7">
        <v>10.1</v>
      </c>
      <c r="Z33" s="7">
        <v>11.1</v>
      </c>
      <c r="AA33" s="7">
        <v>16.6</v>
      </c>
      <c r="AB33" s="7">
        <v>22.5</v>
      </c>
      <c r="AC33" s="7">
        <v>20.6</v>
      </c>
      <c r="AD33" s="7">
        <v>32.8</v>
      </c>
      <c r="AE33" s="7">
        <v>-5.2</v>
      </c>
      <c r="AF33" s="7">
        <v>1</v>
      </c>
      <c r="AG33" s="7">
        <v>3.7</v>
      </c>
      <c r="AH33" s="7">
        <v>6.7</v>
      </c>
      <c r="AI33" s="7">
        <v>11.6</v>
      </c>
      <c r="AJ33" s="7">
        <v>16.7</v>
      </c>
      <c r="AK33" s="7">
        <v>18.5</v>
      </c>
      <c r="AL33" s="7">
        <v>19.1</v>
      </c>
      <c r="AM33" s="7">
        <v>28.7</v>
      </c>
      <c r="AN33" s="7">
        <v>29.6</v>
      </c>
      <c r="AO33" s="7">
        <v>28.9</v>
      </c>
      <c r="AP33" s="7">
        <v>27</v>
      </c>
      <c r="AQ33" s="7">
        <v>-0.1</v>
      </c>
      <c r="AR33" s="7">
        <v>4.7</v>
      </c>
      <c r="AS33" s="7">
        <v>8.5</v>
      </c>
      <c r="AT33" s="7">
        <v>12.3</v>
      </c>
      <c r="AU33" s="7">
        <v>18.1</v>
      </c>
      <c r="AV33" s="7">
        <v>25.6</v>
      </c>
      <c r="AW33" s="7">
        <v>26.7</v>
      </c>
      <c r="AX33" s="7">
        <v>31.7</v>
      </c>
      <c r="AY33" s="7">
        <v>36.8</v>
      </c>
      <c r="AZ33" s="7">
        <v>41.7</v>
      </c>
      <c r="BA33" s="7">
        <v>57.7</v>
      </c>
      <c r="BB33" s="7">
        <v>69.8</v>
      </c>
      <c r="BC33" s="7">
        <v>-5.2</v>
      </c>
      <c r="BD33" s="7">
        <v>-0.7</v>
      </c>
      <c r="BE33" s="7">
        <v>5.8</v>
      </c>
      <c r="BF33" s="7">
        <v>2.4</v>
      </c>
      <c r="BG33" s="7">
        <v>7.8</v>
      </c>
      <c r="BH33" s="7">
        <v>11.1</v>
      </c>
      <c r="BI33" s="7">
        <v>13.1</v>
      </c>
      <c r="BJ33" s="7">
        <v>14</v>
      </c>
      <c r="BK33" s="7">
        <v>22.2</v>
      </c>
      <c r="BL33" s="7">
        <v>23.4</v>
      </c>
      <c r="BM33" s="7">
        <v>22</v>
      </c>
      <c r="BN33" s="7">
        <v>25.2</v>
      </c>
      <c r="BO33" s="7">
        <v>-3.2</v>
      </c>
      <c r="BP33" s="7">
        <v>5.4</v>
      </c>
      <c r="BQ33" s="7">
        <v>12.9</v>
      </c>
      <c r="BR33" s="7">
        <v>12.3</v>
      </c>
      <c r="BS33" s="7">
        <v>21.7</v>
      </c>
      <c r="BT33" s="7">
        <v>30.9</v>
      </c>
      <c r="BU33" s="7">
        <v>36.2</v>
      </c>
      <c r="BV33" s="7">
        <v>43.6</v>
      </c>
      <c r="BW33" s="7">
        <v>47.8</v>
      </c>
      <c r="BX33" s="7">
        <v>56.8</v>
      </c>
      <c r="BY33" s="7">
        <v>64</v>
      </c>
      <c r="BZ33" s="7">
        <v>78.1</v>
      </c>
      <c r="CA33" s="7">
        <v>-1.9</v>
      </c>
      <c r="CB33" s="7">
        <v>3.2</v>
      </c>
      <c r="CC33" s="7">
        <v>7</v>
      </c>
      <c r="CD33" s="7">
        <v>8.2</v>
      </c>
      <c r="CE33" s="7">
        <v>15.1</v>
      </c>
      <c r="CF33" s="7">
        <v>22.1</v>
      </c>
      <c r="CG33" s="7">
        <v>25.6</v>
      </c>
      <c r="CH33" s="7">
        <v>24.3</v>
      </c>
      <c r="CI33" s="7">
        <v>21.8</v>
      </c>
      <c r="CJ33" s="7">
        <v>18.3</v>
      </c>
      <c r="CK33" s="7">
        <v>22.9</v>
      </c>
      <c r="CL33" s="7">
        <v>25.9</v>
      </c>
      <c r="CM33" s="7">
        <v>-0.7</v>
      </c>
      <c r="CN33" s="7">
        <v>0.5</v>
      </c>
      <c r="CO33" s="7">
        <v>4</v>
      </c>
      <c r="CP33" s="7">
        <v>4.8</v>
      </c>
      <c r="CQ33" s="7">
        <v>10.3</v>
      </c>
      <c r="CR33" s="7">
        <v>12.2</v>
      </c>
      <c r="CS33" s="7">
        <v>17</v>
      </c>
      <c r="CT33" s="7">
        <v>27.2</v>
      </c>
      <c r="CU33" s="7">
        <v>27.1</v>
      </c>
      <c r="CV33" s="7">
        <v>22.8</v>
      </c>
      <c r="CW33" s="7">
        <v>30</v>
      </c>
      <c r="CX33" s="7">
        <v>35.4</v>
      </c>
      <c r="CY33" s="7">
        <v>-4.7</v>
      </c>
      <c r="CZ33" s="7">
        <v>8.2</v>
      </c>
      <c r="DA33" s="7">
        <v>6.7</v>
      </c>
      <c r="DB33" s="7">
        <v>4.6</v>
      </c>
      <c r="DC33" s="7">
        <v>5.1</v>
      </c>
      <c r="DD33" s="7">
        <v>8.3</v>
      </c>
      <c r="DE33" s="7">
        <v>13.2</v>
      </c>
      <c r="DF33" s="7">
        <v>12.7</v>
      </c>
      <c r="DG33" s="7">
        <v>15.8</v>
      </c>
      <c r="DH33" s="7">
        <v>16.7</v>
      </c>
      <c r="DI33" s="7">
        <v>13.2</v>
      </c>
      <c r="DJ33" s="7">
        <v>19.5</v>
      </c>
      <c r="DK33" s="7">
        <v>0.1</v>
      </c>
      <c r="DL33" s="7">
        <v>2.2</v>
      </c>
      <c r="DM33" s="7">
        <v>3.6</v>
      </c>
      <c r="DN33" s="7">
        <v>7</v>
      </c>
      <c r="DO33" s="7">
        <v>7.5</v>
      </c>
      <c r="DP33" s="7">
        <v>10.7</v>
      </c>
      <c r="DQ33" s="7">
        <v>12.2</v>
      </c>
      <c r="DR33" s="7">
        <v>12.5</v>
      </c>
      <c r="DS33" s="7">
        <v>12.3</v>
      </c>
      <c r="DT33" s="7">
        <v>15.7</v>
      </c>
      <c r="DU33" s="7">
        <v>13.9</v>
      </c>
      <c r="DV33" s="7">
        <v>13.3</v>
      </c>
      <c r="DW33" s="7">
        <v>1.5</v>
      </c>
      <c r="DX33" s="7">
        <v>1.4</v>
      </c>
      <c r="DY33" s="7">
        <v>5.2</v>
      </c>
      <c r="DZ33" s="7">
        <v>6.3</v>
      </c>
      <c r="EA33" s="7">
        <v>5.7</v>
      </c>
      <c r="EB33" s="7">
        <v>10.3</v>
      </c>
      <c r="EC33" s="7">
        <v>14.8</v>
      </c>
      <c r="ED33" s="7">
        <v>12.2</v>
      </c>
      <c r="EE33" s="7">
        <v>15.8</v>
      </c>
      <c r="EF33" s="7">
        <v>15.7</v>
      </c>
      <c r="EG33" s="7">
        <v>13.3</v>
      </c>
      <c r="EH33" s="7">
        <v>15</v>
      </c>
      <c r="EI33" s="7">
        <v>-1.3</v>
      </c>
      <c r="EJ33" s="7">
        <v>1.6</v>
      </c>
      <c r="EK33" s="7">
        <v>5.5</v>
      </c>
      <c r="EL33" s="7">
        <v>6.6</v>
      </c>
      <c r="EM33" s="7">
        <v>6</v>
      </c>
      <c r="EN33" s="7">
        <v>6.7</v>
      </c>
      <c r="EO33" s="7">
        <v>8.5</v>
      </c>
      <c r="EP33" s="7">
        <v>5.9</v>
      </c>
      <c r="EQ33" s="7">
        <v>7.8</v>
      </c>
      <c r="ER33" s="7">
        <v>9.6</v>
      </c>
      <c r="ES33" s="7">
        <v>7.3</v>
      </c>
      <c r="ET33" s="7">
        <v>7.9</v>
      </c>
      <c r="EU33" s="7">
        <v>-0.3</v>
      </c>
      <c r="EV33" s="7">
        <v>0.1</v>
      </c>
      <c r="EW33" s="7">
        <v>5.3</v>
      </c>
      <c r="EX33" s="7">
        <v>5</v>
      </c>
      <c r="EY33" s="7">
        <v>7.6</v>
      </c>
      <c r="EZ33" s="7">
        <v>10</v>
      </c>
      <c r="FA33" s="7">
        <v>11</v>
      </c>
      <c r="FB33" s="7">
        <v>7.9</v>
      </c>
      <c r="FC33" s="7">
        <v>9.8</v>
      </c>
      <c r="FD33" s="7">
        <v>11</v>
      </c>
      <c r="FE33" s="7">
        <v>7.8</v>
      </c>
      <c r="FF33" s="7">
        <v>10.2</v>
      </c>
      <c r="FG33" s="7">
        <v>2.4</v>
      </c>
      <c r="FH33" s="7">
        <v>7.2</v>
      </c>
      <c r="FI33" s="7">
        <v>10.3</v>
      </c>
      <c r="FJ33" s="7">
        <v>10.2</v>
      </c>
      <c r="FK33" s="7">
        <v>11.4</v>
      </c>
      <c r="FL33" s="7">
        <v>15.6</v>
      </c>
      <c r="FM33" s="7">
        <v>15.7</v>
      </c>
      <c r="FN33" s="7">
        <v>15.1</v>
      </c>
      <c r="FO33" s="7">
        <v>16.1</v>
      </c>
      <c r="FP33" s="7">
        <v>16.8</v>
      </c>
      <c r="FQ33" s="7">
        <v>11.9</v>
      </c>
      <c r="FR33" s="7">
        <v>10.4</v>
      </c>
      <c r="FS33" s="7">
        <v>-3.2</v>
      </c>
      <c r="FT33" s="7">
        <v>-4.1</v>
      </c>
      <c r="FU33" s="7">
        <v>-3.9</v>
      </c>
      <c r="FV33" s="7">
        <v>-4.3</v>
      </c>
      <c r="FW33" s="7">
        <v>-2.2</v>
      </c>
      <c r="FX33" s="7">
        <v>2</v>
      </c>
      <c r="FY33" s="7">
        <v>0.8</v>
      </c>
      <c r="FZ33" s="7">
        <v>12.1</v>
      </c>
      <c r="GA33" s="7">
        <v>20.8</v>
      </c>
      <c r="GB33" s="7">
        <v>22.7</v>
      </c>
      <c r="GC33" s="7">
        <v>29.8</v>
      </c>
      <c r="GD33" s="7">
        <v>33.8</v>
      </c>
      <c r="GE33" s="7">
        <v>2.9</v>
      </c>
      <c r="GF33" s="7">
        <v>1.3</v>
      </c>
      <c r="GG33" s="7">
        <v>3.4</v>
      </c>
      <c r="GH33" s="7">
        <v>3.2</v>
      </c>
      <c r="GI33" s="7">
        <v>4.7</v>
      </c>
      <c r="GJ33" s="7">
        <v>7.2</v>
      </c>
      <c r="GK33" s="7">
        <v>13.5</v>
      </c>
      <c r="GL33" s="7">
        <v>10.1</v>
      </c>
      <c r="GM33" s="7">
        <v>11.9</v>
      </c>
      <c r="GN33" s="7">
        <v>12.7</v>
      </c>
      <c r="GO33" s="7">
        <v>15</v>
      </c>
      <c r="GP33" s="7">
        <v>15.6</v>
      </c>
      <c r="GQ33" s="7">
        <v>-3.8</v>
      </c>
      <c r="GR33" s="7">
        <v>-5.8</v>
      </c>
      <c r="GS33" s="7">
        <v>-2.8</v>
      </c>
      <c r="GT33" s="7">
        <v>-1.9</v>
      </c>
      <c r="GU33" s="7">
        <v>-1.9</v>
      </c>
      <c r="GV33" s="7">
        <v>-0.8</v>
      </c>
      <c r="GW33" s="7">
        <v>-1.7</v>
      </c>
      <c r="GX33" s="7">
        <v>-1.9</v>
      </c>
      <c r="GY33" s="7">
        <v>3.3</v>
      </c>
      <c r="GZ33" s="7">
        <v>-0.2</v>
      </c>
      <c r="HA33" s="7">
        <v>-2.1</v>
      </c>
      <c r="HB33" s="7">
        <v>-1.7</v>
      </c>
      <c r="HC33" s="7">
        <v>-1</v>
      </c>
      <c r="HD33" s="7">
        <v>-2.3</v>
      </c>
      <c r="HE33" s="7">
        <v>-2.6</v>
      </c>
      <c r="HF33" s="7">
        <v>-1</v>
      </c>
      <c r="HG33" s="7">
        <v>-1.5</v>
      </c>
      <c r="HH33" s="7">
        <v>2.3</v>
      </c>
      <c r="HI33" s="7">
        <v>4.1</v>
      </c>
      <c r="HJ33" s="7">
        <v>1.7</v>
      </c>
      <c r="HK33" s="7">
        <v>1.3</v>
      </c>
      <c r="HL33" s="7">
        <v>1.5</v>
      </c>
      <c r="HM33" s="7">
        <v>2.3</v>
      </c>
      <c r="HN33" s="7">
        <v>7</v>
      </c>
      <c r="HO33" s="7">
        <v>2.9</v>
      </c>
      <c r="HP33" s="7">
        <v>-5.2</v>
      </c>
      <c r="HQ33" s="7">
        <v>-6.8</v>
      </c>
      <c r="HR33" s="7">
        <v>-7</v>
      </c>
      <c r="HS33" s="7">
        <v>-5.2</v>
      </c>
      <c r="HT33" s="7">
        <v>-6.1</v>
      </c>
      <c r="HU33" s="7">
        <v>-4.4</v>
      </c>
      <c r="HV33" s="7">
        <v>-5</v>
      </c>
      <c r="HW33" s="7">
        <v>-2.3</v>
      </c>
      <c r="HX33" s="7">
        <v>0.9</v>
      </c>
      <c r="HY33" s="7">
        <v>-1.6</v>
      </c>
      <c r="HZ33" s="7">
        <v>2.4</v>
      </c>
      <c r="IA33" s="7">
        <v>-2.1</v>
      </c>
      <c r="IB33" s="7">
        <v>-2.5</v>
      </c>
      <c r="IC33" s="7">
        <v>5.9</v>
      </c>
      <c r="ID33" s="7">
        <v>4.2</v>
      </c>
      <c r="IE33" s="7">
        <v>5.2</v>
      </c>
      <c r="IF33" s="7">
        <v>6.2</v>
      </c>
      <c r="IG33" s="7">
        <v>10.5</v>
      </c>
      <c r="IH33" s="7">
        <v>10.7</v>
      </c>
      <c r="II33" s="7">
        <v>13.4</v>
      </c>
      <c r="IJ33" s="7">
        <v>16</v>
      </c>
      <c r="IK33" s="7">
        <v>15.6</v>
      </c>
      <c r="IL33" s="7">
        <v>16.9</v>
      </c>
      <c r="IM33" s="7">
        <v>1.9</v>
      </c>
      <c r="IN33" s="7">
        <v>1.5</v>
      </c>
      <c r="IO33" s="7">
        <v>5</v>
      </c>
      <c r="IP33" s="7">
        <v>7.8</v>
      </c>
      <c r="IQ33" s="7">
        <v>10.1</v>
      </c>
      <c r="IR33" s="7">
        <v>13</v>
      </c>
      <c r="IS33" s="7">
        <v>13.3</v>
      </c>
      <c r="IT33" s="7">
        <v>12.6</v>
      </c>
      <c r="IU33" s="7">
        <v>15.8</v>
      </c>
      <c r="IV33" s="7">
        <v>16.5</v>
      </c>
      <c r="IW33" s="7">
        <v>15.2</v>
      </c>
      <c r="IX33" s="7">
        <v>20.8</v>
      </c>
      <c r="IY33" s="7">
        <v>-1</v>
      </c>
      <c r="IZ33" s="7">
        <v>2</v>
      </c>
      <c r="JA33" s="7">
        <v>-1.9</v>
      </c>
      <c r="JB33" s="7">
        <v>-3.7</v>
      </c>
      <c r="JC33" s="7">
        <v>-5.9</v>
      </c>
      <c r="JD33" s="7">
        <v>1.1</v>
      </c>
      <c r="JE33" s="7">
        <v>4.3</v>
      </c>
      <c r="JF33" s="7">
        <v>4.9</v>
      </c>
      <c r="JG33" s="7">
        <v>7.9</v>
      </c>
      <c r="JH33" s="7">
        <v>10.7</v>
      </c>
      <c r="JI33" s="7">
        <v>8.9</v>
      </c>
      <c r="JJ33" s="7">
        <v>13.9</v>
      </c>
      <c r="JK33" s="7">
        <v>-1.3</v>
      </c>
      <c r="JL33" s="7">
        <v>-3.8</v>
      </c>
      <c r="JM33" s="7">
        <v>-1.1</v>
      </c>
      <c r="JN33" s="7">
        <v>-1.9</v>
      </c>
      <c r="JO33" s="7">
        <v>-0.9</v>
      </c>
      <c r="JP33" s="7">
        <v>1.2</v>
      </c>
      <c r="JQ33" s="7">
        <v>-0.2</v>
      </c>
      <c r="JR33" s="7">
        <v>0.6</v>
      </c>
      <c r="JS33" s="7">
        <v>2</v>
      </c>
      <c r="JT33" s="7">
        <v>3.7</v>
      </c>
      <c r="JU33" s="7">
        <v>4</v>
      </c>
      <c r="JV33" s="7">
        <v>11.7</v>
      </c>
      <c r="JW33" s="7">
        <v>-2.4</v>
      </c>
      <c r="JX33" s="7">
        <v>-1.4</v>
      </c>
      <c r="JY33" s="7">
        <v>-0.5</v>
      </c>
      <c r="JZ33" s="7">
        <v>-1</v>
      </c>
      <c r="KA33" s="7">
        <v>-0.4</v>
      </c>
      <c r="KB33" s="7">
        <v>3.5</v>
      </c>
      <c r="KC33" s="7">
        <v>5.7</v>
      </c>
      <c r="KD33" s="7">
        <v>5.1</v>
      </c>
      <c r="KE33" s="7">
        <v>6.3</v>
      </c>
      <c r="KF33" s="7">
        <v>9.4</v>
      </c>
      <c r="KG33" s="7">
        <v>11.3</v>
      </c>
      <c r="KH33" s="7">
        <v>19.2</v>
      </c>
      <c r="KI33" s="7">
        <v>-2.1</v>
      </c>
      <c r="KJ33" s="7">
        <v>-2.2</v>
      </c>
      <c r="KK33" s="7">
        <v>-2</v>
      </c>
      <c r="KL33" s="7">
        <v>0.1</v>
      </c>
      <c r="KM33" s="7">
        <v>0.6</v>
      </c>
      <c r="KN33" s="7">
        <v>2.7</v>
      </c>
      <c r="KO33" s="7">
        <v>3.3</v>
      </c>
      <c r="KP33" s="7">
        <v>4.3</v>
      </c>
      <c r="KQ33" s="7">
        <v>5.4</v>
      </c>
      <c r="KR33" s="7">
        <v>8</v>
      </c>
      <c r="KS33" s="7">
        <v>7.4</v>
      </c>
      <c r="KT33" s="7">
        <v>15.5</v>
      </c>
      <c r="KU33" s="7">
        <v>-3.8</v>
      </c>
      <c r="KV33" s="7">
        <v>-4</v>
      </c>
      <c r="KW33" s="7">
        <v>-3.1</v>
      </c>
      <c r="KX33" s="7">
        <v>-1.9</v>
      </c>
      <c r="KY33" s="7">
        <v>-0.1</v>
      </c>
      <c r="KZ33" s="7">
        <v>4.3</v>
      </c>
    </row>
    <row r="34" spans="1:312">
      <c r="A34" s="6" t="s">
        <v>330</v>
      </c>
      <c r="B34" s="7">
        <v>40347</v>
      </c>
      <c r="C34" s="7">
        <v>42035</v>
      </c>
      <c r="D34" s="7">
        <v>43369</v>
      </c>
      <c r="E34" s="7">
        <v>46521</v>
      </c>
      <c r="F34" s="7">
        <v>51373</v>
      </c>
      <c r="G34" s="7">
        <v>55274</v>
      </c>
      <c r="H34" s="7">
        <v>57964</v>
      </c>
      <c r="I34" s="7">
        <v>60728</v>
      </c>
      <c r="J34" s="7">
        <v>62160</v>
      </c>
      <c r="K34" s="7">
        <v>63373</v>
      </c>
      <c r="L34" s="7">
        <v>79709</v>
      </c>
      <c r="M34" s="7">
        <v>91648</v>
      </c>
      <c r="N34" s="7">
        <v>108186</v>
      </c>
      <c r="O34" s="7">
        <v>115200</v>
      </c>
      <c r="P34" s="7">
        <v>113178</v>
      </c>
      <c r="Q34" s="7">
        <v>121337</v>
      </c>
      <c r="R34" s="7">
        <v>134077</v>
      </c>
      <c r="S34" s="7">
        <v>137407</v>
      </c>
      <c r="T34" s="7">
        <v>138773</v>
      </c>
      <c r="U34" s="7">
        <v>139990</v>
      </c>
      <c r="V34" s="7">
        <v>144544</v>
      </c>
      <c r="W34" s="7">
        <v>147241</v>
      </c>
      <c r="X34" s="7">
        <v>151534</v>
      </c>
      <c r="Y34" s="7">
        <v>154850</v>
      </c>
      <c r="Z34" s="7">
        <v>159103</v>
      </c>
      <c r="AA34" s="7">
        <v>162806</v>
      </c>
      <c r="AB34" s="7">
        <v>167578</v>
      </c>
      <c r="AC34" s="7">
        <v>162678</v>
      </c>
      <c r="AD34" s="7">
        <v>171439</v>
      </c>
      <c r="AE34" s="7">
        <v>174641</v>
      </c>
      <c r="AF34" s="7">
        <v>173574</v>
      </c>
      <c r="AG34" s="7">
        <v>176721</v>
      </c>
      <c r="AH34" s="7">
        <v>178339</v>
      </c>
      <c r="AI34" s="7">
        <v>180004</v>
      </c>
      <c r="AJ34" s="7">
        <v>177870</v>
      </c>
      <c r="AK34" s="7">
        <v>179088</v>
      </c>
      <c r="AL34" s="7">
        <v>181693</v>
      </c>
      <c r="AM34" s="7">
        <v>188566</v>
      </c>
      <c r="AN34" s="7">
        <v>191757</v>
      </c>
      <c r="AO34" s="7">
        <v>193106</v>
      </c>
      <c r="AP34" s="7">
        <v>194357</v>
      </c>
      <c r="AQ34" s="7">
        <v>180736</v>
      </c>
      <c r="AR34" s="7">
        <v>182862</v>
      </c>
      <c r="AS34" s="7">
        <v>183620</v>
      </c>
      <c r="AT34" s="7">
        <v>190740</v>
      </c>
      <c r="AU34" s="7">
        <v>188749</v>
      </c>
      <c r="AV34" s="7">
        <v>190630</v>
      </c>
      <c r="AW34" s="7">
        <v>188562</v>
      </c>
      <c r="AX34" s="7">
        <v>189310</v>
      </c>
      <c r="AY34" s="7">
        <v>188999</v>
      </c>
      <c r="AZ34" s="7">
        <v>184999</v>
      </c>
      <c r="BA34" s="7">
        <v>175168</v>
      </c>
      <c r="BB34" s="7">
        <v>170823</v>
      </c>
      <c r="BC34" s="7">
        <v>170579</v>
      </c>
      <c r="BD34" s="7">
        <v>172998</v>
      </c>
      <c r="BE34" s="7">
        <v>180161</v>
      </c>
      <c r="BF34" s="7">
        <v>185184</v>
      </c>
      <c r="BG34" s="7">
        <v>188418</v>
      </c>
      <c r="BH34" s="7">
        <v>205771</v>
      </c>
      <c r="BI34" s="7">
        <v>212197</v>
      </c>
      <c r="BJ34" s="7">
        <v>214852</v>
      </c>
      <c r="BK34" s="7">
        <v>215897</v>
      </c>
      <c r="BL34" s="7">
        <v>223222</v>
      </c>
      <c r="BM34" s="7">
        <v>234504</v>
      </c>
      <c r="BN34" s="7">
        <v>251747</v>
      </c>
      <c r="BO34" s="7">
        <v>256070</v>
      </c>
      <c r="BP34" s="7">
        <v>250988</v>
      </c>
      <c r="BQ34" s="7">
        <v>242005</v>
      </c>
      <c r="BR34" s="7">
        <v>238492</v>
      </c>
      <c r="BS34" s="7">
        <v>230333</v>
      </c>
      <c r="BT34" s="7">
        <v>223255</v>
      </c>
      <c r="BU34" s="7">
        <v>221468</v>
      </c>
      <c r="BV34" s="7">
        <v>254589</v>
      </c>
      <c r="BW34" s="7">
        <v>274906</v>
      </c>
      <c r="BX34" s="7">
        <v>286901</v>
      </c>
      <c r="BY34" s="7">
        <v>293170</v>
      </c>
      <c r="BZ34" s="7">
        <v>304628</v>
      </c>
      <c r="CA34" s="7">
        <v>283496</v>
      </c>
      <c r="CB34" s="7">
        <v>282484</v>
      </c>
      <c r="CC34" s="7">
        <v>292154</v>
      </c>
      <c r="CD34" s="7">
        <v>285711</v>
      </c>
      <c r="CE34" s="7">
        <v>297314</v>
      </c>
      <c r="CF34" s="7">
        <v>306426</v>
      </c>
      <c r="CG34" s="7">
        <v>330553</v>
      </c>
      <c r="CH34" s="7">
        <v>416819</v>
      </c>
      <c r="CI34" s="7">
        <v>441244</v>
      </c>
      <c r="CJ34" s="7">
        <v>465468</v>
      </c>
      <c r="CK34" s="7">
        <v>494954</v>
      </c>
      <c r="CL34" s="7">
        <v>503341</v>
      </c>
      <c r="CM34" s="7">
        <v>522011</v>
      </c>
      <c r="CN34" s="7">
        <v>529213</v>
      </c>
      <c r="CO34" s="7">
        <v>523699</v>
      </c>
      <c r="CP34" s="7">
        <v>518972</v>
      </c>
      <c r="CQ34" s="7">
        <v>511083</v>
      </c>
      <c r="CR34" s="7">
        <v>502988</v>
      </c>
      <c r="CS34" s="7">
        <v>505525</v>
      </c>
      <c r="CT34" s="7">
        <v>502312</v>
      </c>
      <c r="CU34" s="7">
        <v>500615</v>
      </c>
      <c r="CV34" s="7">
        <v>455131</v>
      </c>
      <c r="CW34" s="7">
        <v>514205</v>
      </c>
      <c r="CX34" s="7">
        <v>584497</v>
      </c>
      <c r="CY34" s="7">
        <v>756445</v>
      </c>
      <c r="CZ34" s="7">
        <v>958305</v>
      </c>
      <c r="DA34" s="7">
        <v>942606</v>
      </c>
      <c r="DB34" s="7">
        <v>908969</v>
      </c>
      <c r="DC34" s="7">
        <v>891744</v>
      </c>
      <c r="DD34" s="7">
        <v>883719</v>
      </c>
      <c r="DE34" s="7">
        <v>930631</v>
      </c>
      <c r="DF34" s="7">
        <v>1013364</v>
      </c>
      <c r="DG34" s="7">
        <v>1031317</v>
      </c>
      <c r="DH34" s="7">
        <v>1042400</v>
      </c>
      <c r="DI34" s="7">
        <v>990643</v>
      </c>
      <c r="DJ34" s="7">
        <v>993711</v>
      </c>
      <c r="DK34" s="7">
        <v>1004418</v>
      </c>
      <c r="DL34" s="7">
        <v>1009807</v>
      </c>
      <c r="DM34" s="7">
        <v>945586</v>
      </c>
      <c r="DN34" s="7">
        <v>941195</v>
      </c>
      <c r="DO34" s="7">
        <v>893591</v>
      </c>
      <c r="DP34" s="7">
        <v>900740</v>
      </c>
      <c r="DQ34" s="7">
        <v>921349</v>
      </c>
      <c r="DR34" s="7">
        <v>914535</v>
      </c>
      <c r="DS34" s="7">
        <v>936492</v>
      </c>
      <c r="DT34" s="7">
        <v>945968</v>
      </c>
      <c r="DU34" s="7">
        <v>938746</v>
      </c>
      <c r="DV34" s="7">
        <v>925678</v>
      </c>
      <c r="DW34" s="7">
        <v>935916</v>
      </c>
      <c r="DX34" s="7">
        <v>929259</v>
      </c>
      <c r="DY34" s="7">
        <v>928641</v>
      </c>
      <c r="DZ34" s="7">
        <v>935429</v>
      </c>
      <c r="EA34" s="7">
        <v>931758</v>
      </c>
      <c r="EB34" s="7">
        <v>972201</v>
      </c>
      <c r="EC34" s="7">
        <v>988666</v>
      </c>
      <c r="ED34" s="7">
        <v>993858</v>
      </c>
      <c r="EE34" s="7">
        <v>1033405</v>
      </c>
      <c r="EF34" s="7">
        <v>1080627</v>
      </c>
      <c r="EG34" s="7">
        <v>1082696</v>
      </c>
      <c r="EH34" s="7">
        <v>1095174</v>
      </c>
      <c r="EI34" s="7">
        <v>1121549</v>
      </c>
      <c r="EJ34" s="7">
        <v>1134042</v>
      </c>
      <c r="EK34" s="7">
        <v>1138068</v>
      </c>
      <c r="EL34" s="7">
        <v>1141496</v>
      </c>
      <c r="EM34" s="7">
        <v>1156385</v>
      </c>
      <c r="EN34" s="7">
        <v>1207406</v>
      </c>
      <c r="EO34" s="7">
        <v>1240022</v>
      </c>
      <c r="EP34" s="7">
        <v>1249345</v>
      </c>
      <c r="EQ34" s="7">
        <v>1254740</v>
      </c>
      <c r="ER34" s="7">
        <v>1257495</v>
      </c>
      <c r="ES34" s="7">
        <v>1258673</v>
      </c>
      <c r="ET34" s="7">
        <v>1273316</v>
      </c>
      <c r="EU34" s="7">
        <v>1278082</v>
      </c>
      <c r="EV34" s="7">
        <v>1317587</v>
      </c>
      <c r="EW34" s="7">
        <v>1303987</v>
      </c>
      <c r="EX34" s="7">
        <v>1320005</v>
      </c>
      <c r="EY34" s="7">
        <v>1345587</v>
      </c>
      <c r="EZ34" s="7">
        <v>1356201</v>
      </c>
      <c r="FA34" s="7">
        <v>1530277</v>
      </c>
      <c r="FB34" s="7">
        <v>1564578</v>
      </c>
      <c r="FC34" s="7">
        <v>1578634</v>
      </c>
      <c r="FD34" s="7">
        <v>1626908</v>
      </c>
      <c r="FE34" s="7">
        <v>1644616</v>
      </c>
      <c r="FF34" s="7">
        <v>1667788</v>
      </c>
      <c r="FG34" s="7">
        <v>1726384</v>
      </c>
      <c r="FH34" s="7">
        <v>2033615</v>
      </c>
      <c r="FI34" s="7">
        <v>2164007</v>
      </c>
      <c r="FJ34" s="7">
        <v>2192876</v>
      </c>
      <c r="FK34" s="7">
        <v>2175315</v>
      </c>
      <c r="FL34" s="7">
        <v>2244490</v>
      </c>
      <c r="FM34" s="7">
        <v>2282282</v>
      </c>
      <c r="FN34" s="7">
        <v>2375423</v>
      </c>
      <c r="FO34" s="7">
        <v>2327820</v>
      </c>
      <c r="FP34" s="7">
        <v>2495756</v>
      </c>
      <c r="FQ34" s="7">
        <v>2549405</v>
      </c>
      <c r="FR34" s="7">
        <v>2874239</v>
      </c>
      <c r="FS34" s="7">
        <v>2836471</v>
      </c>
      <c r="FT34" s="7">
        <v>2820003</v>
      </c>
      <c r="FU34" s="7">
        <v>2753533</v>
      </c>
      <c r="FV34" s="7">
        <v>2836077</v>
      </c>
      <c r="FW34" s="7">
        <v>2806132</v>
      </c>
      <c r="FX34" s="7">
        <v>2784054</v>
      </c>
      <c r="FY34" s="7">
        <v>2876374</v>
      </c>
      <c r="FZ34" s="7">
        <v>3670237</v>
      </c>
      <c r="GA34" s="7">
        <v>4191243</v>
      </c>
      <c r="GB34" s="7">
        <v>4350495</v>
      </c>
      <c r="GC34" s="7">
        <v>4724807</v>
      </c>
      <c r="GD34" s="7">
        <v>5212670</v>
      </c>
      <c r="GE34" s="7">
        <v>5516174</v>
      </c>
      <c r="GF34" s="7">
        <v>5241874</v>
      </c>
      <c r="GG34" s="7">
        <v>4972273</v>
      </c>
      <c r="GH34" s="7">
        <v>4641043</v>
      </c>
      <c r="GI34" s="7">
        <v>4703286</v>
      </c>
      <c r="GJ34" s="7">
        <v>4598750</v>
      </c>
      <c r="GK34" s="7">
        <v>4791204</v>
      </c>
      <c r="GL34" s="7">
        <v>4698013</v>
      </c>
      <c r="GM34" s="7">
        <v>4652607</v>
      </c>
      <c r="GN34" s="7">
        <v>4580094</v>
      </c>
      <c r="GO34" s="7">
        <v>4711237</v>
      </c>
      <c r="GP34" s="7">
        <v>4659311</v>
      </c>
      <c r="GQ34" s="7">
        <v>4443925</v>
      </c>
      <c r="GR34" s="7">
        <v>4276982</v>
      </c>
      <c r="GS34" s="7">
        <v>4215145</v>
      </c>
      <c r="GT34" s="7">
        <v>4105578</v>
      </c>
      <c r="GU34" s="7">
        <v>4045519</v>
      </c>
      <c r="GV34" s="7">
        <v>4119646</v>
      </c>
      <c r="GW34" s="7">
        <v>4203166</v>
      </c>
      <c r="GX34" s="7">
        <v>4395847</v>
      </c>
      <c r="GY34" s="7">
        <v>4431958</v>
      </c>
      <c r="GZ34" s="7">
        <v>4314723</v>
      </c>
      <c r="HA34" s="7">
        <v>4122435</v>
      </c>
      <c r="HB34" s="7">
        <v>4059908</v>
      </c>
      <c r="HC34" s="7">
        <v>3927317</v>
      </c>
      <c r="HD34" s="7">
        <v>3841910</v>
      </c>
      <c r="HE34" s="7">
        <v>3751666</v>
      </c>
      <c r="HF34" s="7">
        <v>3810504</v>
      </c>
      <c r="HG34" s="7">
        <v>3699671</v>
      </c>
      <c r="HH34" s="7">
        <v>3739978</v>
      </c>
      <c r="HI34" s="7">
        <v>3732550</v>
      </c>
      <c r="HJ34" s="7">
        <v>3987158</v>
      </c>
      <c r="HK34" s="7">
        <v>3930274</v>
      </c>
      <c r="HL34" s="7">
        <v>3869570</v>
      </c>
      <c r="HM34" s="7">
        <v>3835666</v>
      </c>
      <c r="HN34" s="7">
        <v>3863520</v>
      </c>
      <c r="HO34" s="7">
        <v>3664291</v>
      </c>
      <c r="HP34" s="7">
        <v>3549308</v>
      </c>
      <c r="HQ34" s="7">
        <v>3510953</v>
      </c>
      <c r="HR34" s="7">
        <v>3363253</v>
      </c>
      <c r="HS34" s="7">
        <v>3389088</v>
      </c>
      <c r="HT34" s="7">
        <v>3665219</v>
      </c>
      <c r="HU34" s="7">
        <v>3621814</v>
      </c>
      <c r="HV34" s="7">
        <v>3661451</v>
      </c>
      <c r="HW34" s="7">
        <v>3614161</v>
      </c>
      <c r="HX34" s="7">
        <v>3595496</v>
      </c>
      <c r="HY34" s="7">
        <v>3513397</v>
      </c>
      <c r="HZ34" s="7">
        <v>3562238</v>
      </c>
      <c r="IA34" s="7">
        <v>3538363</v>
      </c>
      <c r="IB34" s="7">
        <v>3704135</v>
      </c>
      <c r="IC34" s="7">
        <v>4312000</v>
      </c>
      <c r="ID34" s="7">
        <v>3988058</v>
      </c>
      <c r="IE34" s="7">
        <v>3839247</v>
      </c>
      <c r="IF34" s="7">
        <v>3735592</v>
      </c>
      <c r="IG34" s="7">
        <v>3834842</v>
      </c>
      <c r="IH34" s="7">
        <v>3796175</v>
      </c>
      <c r="II34" s="7">
        <v>3930644</v>
      </c>
      <c r="IJ34" s="7">
        <v>3957148</v>
      </c>
      <c r="IK34" s="7">
        <v>3917571</v>
      </c>
      <c r="IL34" s="7">
        <v>3860519</v>
      </c>
      <c r="IM34" s="7">
        <v>3900912</v>
      </c>
      <c r="IN34" s="7">
        <v>3823013</v>
      </c>
      <c r="IO34" s="7">
        <v>3835081</v>
      </c>
      <c r="IP34" s="7">
        <v>3854288</v>
      </c>
      <c r="IQ34" s="7">
        <v>3804197</v>
      </c>
      <c r="IR34" s="7">
        <v>3898335</v>
      </c>
      <c r="IS34" s="7">
        <v>3891059</v>
      </c>
      <c r="IT34" s="7">
        <v>3909554</v>
      </c>
      <c r="IU34" s="7">
        <v>3902819</v>
      </c>
      <c r="IV34" s="7">
        <v>3894609</v>
      </c>
      <c r="IW34" s="7">
        <v>4033255</v>
      </c>
      <c r="IX34" s="7">
        <v>4150280</v>
      </c>
      <c r="IY34" s="7">
        <v>4147588</v>
      </c>
      <c r="IZ34" s="7">
        <v>4625646</v>
      </c>
      <c r="JA34" s="7">
        <v>4082538</v>
      </c>
      <c r="JB34" s="7">
        <v>3873735</v>
      </c>
      <c r="JC34" s="7">
        <v>3654508</v>
      </c>
      <c r="JD34" s="7">
        <v>4058040</v>
      </c>
      <c r="JE34" s="7">
        <v>4083224</v>
      </c>
      <c r="JF34" s="7">
        <v>4025625</v>
      </c>
      <c r="JG34" s="7">
        <v>3999253</v>
      </c>
      <c r="JH34" s="7">
        <v>3949852</v>
      </c>
      <c r="JI34" s="7">
        <v>4130530</v>
      </c>
      <c r="JJ34" s="7">
        <v>4190457</v>
      </c>
      <c r="JK34" s="7">
        <v>4201277</v>
      </c>
      <c r="JL34" s="7">
        <v>4001288</v>
      </c>
      <c r="JM34" s="7">
        <v>3942882</v>
      </c>
      <c r="JN34" s="7">
        <v>3881839</v>
      </c>
      <c r="JO34" s="7">
        <v>3814890</v>
      </c>
      <c r="JP34" s="7">
        <v>3751752</v>
      </c>
      <c r="JQ34" s="7">
        <v>3652335</v>
      </c>
      <c r="JR34" s="7">
        <v>3573457</v>
      </c>
      <c r="JS34" s="7">
        <v>3609473</v>
      </c>
      <c r="JT34" s="7">
        <v>3537966</v>
      </c>
      <c r="JU34" s="7">
        <v>3457374</v>
      </c>
      <c r="JV34" s="7">
        <v>3822940</v>
      </c>
      <c r="JW34" s="7">
        <v>3660999</v>
      </c>
      <c r="JX34" s="7">
        <v>3670439</v>
      </c>
      <c r="JY34" s="7">
        <v>3617963</v>
      </c>
      <c r="JZ34" s="7">
        <v>3574906</v>
      </c>
      <c r="KA34" s="7">
        <v>3557901</v>
      </c>
      <c r="KB34" s="7">
        <v>3715633</v>
      </c>
      <c r="KC34" s="7">
        <v>3653248</v>
      </c>
      <c r="KD34" s="7">
        <v>3620692</v>
      </c>
      <c r="KE34" s="7">
        <v>3597405</v>
      </c>
      <c r="KF34" s="7">
        <v>3614476</v>
      </c>
      <c r="KG34" s="7">
        <v>3913530</v>
      </c>
      <c r="KH34" s="7">
        <v>4167527</v>
      </c>
      <c r="KI34" s="7">
        <v>4144374</v>
      </c>
      <c r="KJ34" s="7">
        <v>4202305</v>
      </c>
      <c r="KK34" s="7">
        <v>4190245</v>
      </c>
      <c r="KL34" s="7">
        <v>4195182</v>
      </c>
      <c r="KM34" s="7">
        <v>4066498</v>
      </c>
      <c r="KN34" s="7">
        <v>3983156</v>
      </c>
      <c r="KO34" s="7">
        <v>4012507</v>
      </c>
      <c r="KP34" s="7">
        <v>3988416</v>
      </c>
      <c r="KQ34" s="7">
        <v>3993516</v>
      </c>
      <c r="KR34" s="7">
        <v>4136643</v>
      </c>
      <c r="KS34" s="7">
        <v>4020078</v>
      </c>
      <c r="KT34" s="7">
        <v>4209139</v>
      </c>
      <c r="KU34" s="7">
        <v>4288074</v>
      </c>
      <c r="KV34" s="7">
        <v>4235442</v>
      </c>
      <c r="KW34" s="7">
        <v>4079475</v>
      </c>
      <c r="KX34" s="7">
        <v>3933904</v>
      </c>
      <c r="KY34" s="7">
        <v>4109894</v>
      </c>
      <c r="KZ34" s="7">
        <v>4027153</v>
      </c>
    </row>
    <row r="35" spans="1:312">
      <c r="A35" s="6" t="s">
        <v>331</v>
      </c>
      <c r="B35" s="7">
        <v>43528</v>
      </c>
      <c r="C35" s="7">
        <v>39223</v>
      </c>
      <c r="D35" s="7">
        <v>48250</v>
      </c>
      <c r="E35" s="7">
        <v>54309</v>
      </c>
      <c r="F35" s="7">
        <v>54999</v>
      </c>
      <c r="G35" s="7">
        <v>53536</v>
      </c>
      <c r="H35" s="7">
        <v>52412</v>
      </c>
      <c r="I35" s="7">
        <v>46551</v>
      </c>
      <c r="J35" s="7">
        <v>50438</v>
      </c>
      <c r="K35" s="7">
        <v>41885</v>
      </c>
      <c r="L35" s="7">
        <v>41267</v>
      </c>
      <c r="M35" s="7">
        <v>62073</v>
      </c>
      <c r="N35" s="7">
        <v>61646</v>
      </c>
      <c r="O35" s="7">
        <v>62977</v>
      </c>
      <c r="P35" s="7">
        <v>64326</v>
      </c>
      <c r="Q35" s="7">
        <v>74474</v>
      </c>
      <c r="R35" s="7">
        <v>103967</v>
      </c>
      <c r="S35" s="7">
        <v>83868</v>
      </c>
      <c r="T35" s="7">
        <v>89834</v>
      </c>
      <c r="U35" s="7">
        <v>88709</v>
      </c>
      <c r="V35" s="7">
        <v>91059</v>
      </c>
      <c r="W35" s="7">
        <v>104416</v>
      </c>
      <c r="X35" s="7">
        <v>99909</v>
      </c>
      <c r="Y35" s="7">
        <v>89498</v>
      </c>
      <c r="Z35" s="7">
        <v>85198</v>
      </c>
      <c r="AA35" s="7">
        <v>89660</v>
      </c>
      <c r="AB35" s="7">
        <v>91991</v>
      </c>
      <c r="AC35" s="7">
        <v>89208</v>
      </c>
      <c r="AD35" s="7">
        <v>95443</v>
      </c>
      <c r="AE35" s="7">
        <v>108416</v>
      </c>
      <c r="AF35" s="7">
        <v>114649</v>
      </c>
      <c r="AG35" s="7">
        <v>91666</v>
      </c>
      <c r="AH35" s="7">
        <v>104274</v>
      </c>
      <c r="AI35" s="7">
        <v>104485</v>
      </c>
      <c r="AJ35" s="7">
        <v>94264</v>
      </c>
      <c r="AK35" s="7">
        <v>86994</v>
      </c>
      <c r="AL35" s="7">
        <v>92172</v>
      </c>
      <c r="AM35" s="7">
        <v>112880</v>
      </c>
      <c r="AN35" s="7">
        <v>93425</v>
      </c>
      <c r="AO35" s="7">
        <v>91446</v>
      </c>
      <c r="AP35" s="7">
        <v>84011</v>
      </c>
      <c r="AQ35" s="7">
        <v>88816</v>
      </c>
      <c r="AR35" s="7">
        <v>101056</v>
      </c>
      <c r="AS35" s="7">
        <v>99813</v>
      </c>
      <c r="AT35" s="7">
        <v>115517</v>
      </c>
      <c r="AU35" s="7">
        <v>106432</v>
      </c>
      <c r="AV35" s="7">
        <v>138293</v>
      </c>
      <c r="AW35" s="7">
        <v>146542</v>
      </c>
      <c r="AX35" s="7">
        <v>158216</v>
      </c>
      <c r="AY35" s="7">
        <v>165929</v>
      </c>
      <c r="AZ35" s="7">
        <v>188514</v>
      </c>
      <c r="BA35" s="7">
        <v>183876</v>
      </c>
      <c r="BB35" s="7">
        <v>303802</v>
      </c>
      <c r="BC35" s="7">
        <v>285971</v>
      </c>
      <c r="BD35" s="7">
        <v>297980</v>
      </c>
      <c r="BE35" s="7">
        <v>302236</v>
      </c>
      <c r="BF35" s="7">
        <v>232402</v>
      </c>
      <c r="BG35" s="7">
        <v>269385</v>
      </c>
      <c r="BH35" s="7">
        <v>264023</v>
      </c>
      <c r="BI35" s="7">
        <v>294630</v>
      </c>
      <c r="BJ35" s="7">
        <v>274680</v>
      </c>
      <c r="BK35" s="7">
        <v>349544</v>
      </c>
      <c r="BL35" s="7">
        <v>338426</v>
      </c>
      <c r="BM35" s="7">
        <v>318876</v>
      </c>
      <c r="BN35" s="7">
        <v>297631</v>
      </c>
      <c r="BO35" s="7">
        <v>264223</v>
      </c>
      <c r="BP35" s="7">
        <v>307395</v>
      </c>
      <c r="BQ35" s="7">
        <v>341398</v>
      </c>
      <c r="BR35" s="7">
        <v>301333</v>
      </c>
      <c r="BS35" s="7">
        <v>340424</v>
      </c>
      <c r="BT35" s="7">
        <v>383355</v>
      </c>
      <c r="BU35" s="7">
        <v>377031</v>
      </c>
      <c r="BV35" s="7">
        <v>446289</v>
      </c>
      <c r="BW35" s="7">
        <v>477772</v>
      </c>
      <c r="BX35" s="7">
        <v>534433</v>
      </c>
      <c r="BY35" s="7">
        <v>564475</v>
      </c>
      <c r="BZ35" s="7">
        <v>558381</v>
      </c>
      <c r="CA35" s="7">
        <v>457382</v>
      </c>
      <c r="CB35" s="7">
        <v>522478</v>
      </c>
      <c r="CC35" s="7">
        <v>513199</v>
      </c>
      <c r="CD35" s="7">
        <v>431621</v>
      </c>
      <c r="CE35" s="7">
        <v>479579</v>
      </c>
      <c r="CF35" s="7">
        <v>459433</v>
      </c>
      <c r="CG35" s="7">
        <v>527505</v>
      </c>
      <c r="CH35" s="7">
        <v>503298</v>
      </c>
      <c r="CI35" s="7">
        <v>481870</v>
      </c>
      <c r="CJ35" s="7">
        <v>464300</v>
      </c>
      <c r="CK35" s="7">
        <v>555294</v>
      </c>
      <c r="CL35" s="7">
        <v>572846</v>
      </c>
      <c r="CM35" s="7">
        <v>630518</v>
      </c>
      <c r="CN35" s="7">
        <v>637205</v>
      </c>
      <c r="CO35" s="7">
        <v>684628</v>
      </c>
      <c r="CP35" s="7">
        <v>716246</v>
      </c>
      <c r="CQ35" s="7">
        <v>815921</v>
      </c>
      <c r="CR35" s="7">
        <v>778740</v>
      </c>
      <c r="CS35" s="7">
        <v>867198</v>
      </c>
      <c r="CT35" s="7">
        <v>1265051</v>
      </c>
      <c r="CU35" s="7">
        <v>1070836</v>
      </c>
      <c r="CV35" s="7">
        <v>1124368</v>
      </c>
      <c r="CW35" s="7">
        <v>1125454</v>
      </c>
      <c r="CX35" s="7">
        <v>1062375</v>
      </c>
      <c r="CY35" s="7">
        <v>1006730</v>
      </c>
      <c r="CZ35" s="7">
        <v>1345762</v>
      </c>
      <c r="DA35" s="7">
        <v>1329154</v>
      </c>
      <c r="DB35" s="7">
        <v>1255578</v>
      </c>
      <c r="DC35" s="7">
        <v>1276454</v>
      </c>
      <c r="DD35" s="7">
        <v>1165669</v>
      </c>
      <c r="DE35" s="7">
        <v>1167873</v>
      </c>
      <c r="DF35" s="7">
        <v>1193405</v>
      </c>
      <c r="DG35" s="7">
        <v>1314430</v>
      </c>
      <c r="DH35" s="7">
        <v>1471355</v>
      </c>
      <c r="DI35" s="7">
        <v>1274446</v>
      </c>
      <c r="DJ35" s="7">
        <v>1158391</v>
      </c>
      <c r="DK35" s="7">
        <v>1097489</v>
      </c>
      <c r="DL35" s="7">
        <v>1095852</v>
      </c>
      <c r="DM35" s="7">
        <v>1103250</v>
      </c>
      <c r="DN35" s="7">
        <v>1153718</v>
      </c>
      <c r="DO35" s="7">
        <v>1141390</v>
      </c>
      <c r="DP35" s="7">
        <v>1262737</v>
      </c>
      <c r="DQ35" s="7">
        <v>1180615</v>
      </c>
      <c r="DR35" s="7">
        <v>1143056</v>
      </c>
      <c r="DS35" s="7">
        <v>892933</v>
      </c>
      <c r="DT35" s="7">
        <v>1020951</v>
      </c>
      <c r="DU35" s="7">
        <v>972118</v>
      </c>
      <c r="DV35" s="7">
        <v>987051</v>
      </c>
      <c r="DW35" s="7">
        <v>1022856</v>
      </c>
      <c r="DX35" s="7">
        <v>873569</v>
      </c>
      <c r="DY35" s="7">
        <v>828059</v>
      </c>
      <c r="DZ35" s="7">
        <v>828217</v>
      </c>
      <c r="EA35" s="7">
        <v>827059</v>
      </c>
      <c r="EB35" s="7">
        <v>819042</v>
      </c>
      <c r="EC35" s="7">
        <v>738507</v>
      </c>
      <c r="ED35" s="7">
        <v>750877</v>
      </c>
      <c r="EE35" s="7">
        <v>780645</v>
      </c>
      <c r="EF35" s="7">
        <v>827880</v>
      </c>
      <c r="EG35" s="7">
        <v>769467</v>
      </c>
      <c r="EH35" s="7">
        <v>689560</v>
      </c>
      <c r="EI35" s="7">
        <v>717473</v>
      </c>
      <c r="EJ35" s="7">
        <v>726613</v>
      </c>
      <c r="EK35" s="7">
        <v>736409</v>
      </c>
      <c r="EL35" s="7">
        <v>633096</v>
      </c>
      <c r="EM35" s="7">
        <v>724513</v>
      </c>
      <c r="EN35" s="7">
        <v>707804</v>
      </c>
      <c r="EO35" s="7">
        <v>740226</v>
      </c>
      <c r="EP35" s="7">
        <v>669138</v>
      </c>
      <c r="EQ35" s="7">
        <v>778437</v>
      </c>
      <c r="ER35" s="7">
        <v>667050</v>
      </c>
      <c r="ES35" s="7">
        <v>693006</v>
      </c>
      <c r="ET35" s="7">
        <v>702559</v>
      </c>
      <c r="EU35" s="7">
        <v>652145</v>
      </c>
      <c r="EV35" s="7">
        <v>593080</v>
      </c>
      <c r="EW35" s="7">
        <v>718798</v>
      </c>
      <c r="EX35" s="7">
        <v>677476</v>
      </c>
      <c r="EY35" s="7">
        <v>755451</v>
      </c>
      <c r="EZ35" s="7">
        <v>1080278</v>
      </c>
      <c r="FA35" s="7">
        <v>1136257</v>
      </c>
      <c r="FB35" s="7">
        <v>1188321</v>
      </c>
      <c r="FC35" s="7">
        <v>1212630</v>
      </c>
      <c r="FD35" s="7">
        <v>1208217</v>
      </c>
      <c r="FE35" s="7">
        <v>1141115</v>
      </c>
      <c r="FF35" s="7">
        <v>1252716</v>
      </c>
      <c r="FG35" s="7">
        <v>1302786</v>
      </c>
      <c r="FH35" s="7">
        <v>1513510</v>
      </c>
      <c r="FI35" s="7">
        <v>1702339</v>
      </c>
      <c r="FJ35" s="7">
        <v>1630243</v>
      </c>
      <c r="FK35" s="7">
        <v>1538366</v>
      </c>
      <c r="FL35" s="7">
        <v>1431933</v>
      </c>
      <c r="FM35" s="7">
        <v>1389273</v>
      </c>
      <c r="FN35" s="7">
        <v>1409602</v>
      </c>
      <c r="FO35" s="7">
        <v>1588771</v>
      </c>
      <c r="FP35" s="7">
        <v>1851780</v>
      </c>
      <c r="FQ35" s="7">
        <v>1840556</v>
      </c>
      <c r="FR35" s="7">
        <v>1963434</v>
      </c>
      <c r="FS35" s="7">
        <v>1923580</v>
      </c>
      <c r="FT35" s="7">
        <v>1799258</v>
      </c>
      <c r="FU35" s="7">
        <v>1762933</v>
      </c>
      <c r="FV35" s="7">
        <v>1820569</v>
      </c>
      <c r="FW35" s="7">
        <v>1879988</v>
      </c>
      <c r="FX35" s="7">
        <v>1755570</v>
      </c>
      <c r="FY35" s="7">
        <v>1855433</v>
      </c>
      <c r="FZ35" s="7">
        <v>2454352</v>
      </c>
      <c r="GA35" s="7">
        <v>2840838</v>
      </c>
      <c r="GB35" s="7">
        <v>2865283</v>
      </c>
      <c r="GC35" s="7">
        <v>2980696</v>
      </c>
      <c r="GD35" s="7">
        <v>3315372</v>
      </c>
      <c r="GE35" s="7">
        <v>3536641</v>
      </c>
      <c r="GF35" s="7">
        <v>3324257</v>
      </c>
      <c r="GG35" s="7">
        <v>3006728</v>
      </c>
      <c r="GH35" s="7">
        <v>3232155</v>
      </c>
      <c r="GI35" s="7">
        <v>3056366</v>
      </c>
      <c r="GJ35" s="7">
        <v>3056526</v>
      </c>
      <c r="GK35" s="7">
        <v>3381514</v>
      </c>
      <c r="GL35" s="7">
        <v>3202804</v>
      </c>
      <c r="GM35" s="7">
        <v>3289864</v>
      </c>
      <c r="GN35" s="7">
        <v>3278203</v>
      </c>
      <c r="GO35" s="7">
        <v>3117808</v>
      </c>
      <c r="GP35" s="7">
        <v>2572815</v>
      </c>
      <c r="GQ35" s="7">
        <v>2471851</v>
      </c>
      <c r="GR35" s="7">
        <v>2397719</v>
      </c>
      <c r="GS35" s="7">
        <v>2289111</v>
      </c>
      <c r="GT35" s="7">
        <v>2288428</v>
      </c>
      <c r="GU35" s="7">
        <v>2179457</v>
      </c>
      <c r="GV35" s="7">
        <v>1907032</v>
      </c>
      <c r="GW35" s="7">
        <v>1936812</v>
      </c>
      <c r="GX35" s="7">
        <v>2021242</v>
      </c>
      <c r="GY35" s="7">
        <v>1924221</v>
      </c>
      <c r="GZ35" s="7">
        <v>1809428</v>
      </c>
      <c r="HA35" s="7">
        <v>1695392</v>
      </c>
      <c r="HB35" s="7">
        <v>1882691</v>
      </c>
      <c r="HC35" s="7">
        <v>1996934</v>
      </c>
      <c r="HD35" s="7">
        <v>1880056</v>
      </c>
      <c r="HE35" s="7">
        <v>1847125</v>
      </c>
      <c r="HF35" s="7">
        <v>1921970</v>
      </c>
      <c r="HG35" s="7">
        <v>1877404</v>
      </c>
      <c r="HH35" s="7">
        <v>1734996</v>
      </c>
      <c r="HI35" s="7">
        <v>1822002</v>
      </c>
      <c r="HJ35" s="7">
        <v>1960706</v>
      </c>
      <c r="HK35" s="7">
        <v>2107727</v>
      </c>
      <c r="HL35" s="7">
        <v>1965106</v>
      </c>
      <c r="HM35" s="7">
        <v>2019384</v>
      </c>
      <c r="HN35" s="7">
        <v>2482795</v>
      </c>
      <c r="HO35" s="7">
        <v>1904855</v>
      </c>
      <c r="HP35" s="7">
        <v>1356544</v>
      </c>
      <c r="HQ35" s="7">
        <v>1248198</v>
      </c>
      <c r="HR35" s="7">
        <v>1403610</v>
      </c>
      <c r="HS35" s="7">
        <v>1215951</v>
      </c>
      <c r="HT35" s="7">
        <v>1322824</v>
      </c>
      <c r="HU35" s="7">
        <v>1317128</v>
      </c>
      <c r="HV35" s="7">
        <v>1491573</v>
      </c>
      <c r="HW35" s="7">
        <v>1527075</v>
      </c>
      <c r="HX35" s="7">
        <v>1800502</v>
      </c>
      <c r="HY35" s="7">
        <v>1695810</v>
      </c>
      <c r="HZ35" s="7">
        <v>1705491</v>
      </c>
      <c r="IA35" s="7">
        <v>1799094</v>
      </c>
      <c r="IB35" s="7">
        <v>1582203</v>
      </c>
      <c r="IC35" s="7">
        <v>1858413</v>
      </c>
      <c r="ID35" s="7">
        <v>1828300</v>
      </c>
      <c r="IE35" s="7">
        <v>1800933</v>
      </c>
      <c r="IF35" s="7">
        <v>1701262</v>
      </c>
      <c r="IG35" s="7">
        <v>1805221</v>
      </c>
      <c r="IH35" s="7">
        <v>1785077</v>
      </c>
      <c r="II35" s="7">
        <v>1870410</v>
      </c>
      <c r="IJ35" s="7">
        <v>1992367</v>
      </c>
      <c r="IK35" s="7">
        <v>1981168</v>
      </c>
      <c r="IL35" s="7">
        <v>1922337</v>
      </c>
      <c r="IM35" s="7">
        <v>1883919</v>
      </c>
      <c r="IN35" s="7">
        <v>1957732</v>
      </c>
      <c r="IO35" s="7">
        <v>2008728</v>
      </c>
      <c r="IP35" s="7">
        <v>2185447</v>
      </c>
      <c r="IQ35" s="7">
        <v>2365210</v>
      </c>
      <c r="IR35" s="7">
        <v>2257571</v>
      </c>
      <c r="IS35" s="7">
        <v>2193091</v>
      </c>
      <c r="IT35" s="7">
        <v>2259151</v>
      </c>
      <c r="IU35" s="7">
        <v>2375128</v>
      </c>
      <c r="IV35" s="7">
        <v>2383608</v>
      </c>
      <c r="IW35" s="7">
        <v>2386236</v>
      </c>
      <c r="IX35" s="7">
        <v>2198742</v>
      </c>
      <c r="IY35" s="7">
        <v>2228378</v>
      </c>
      <c r="IZ35" s="7">
        <v>2217578</v>
      </c>
      <c r="JA35" s="7">
        <v>2045866</v>
      </c>
      <c r="JB35" s="7">
        <v>1936090</v>
      </c>
      <c r="JC35" s="7">
        <v>1760951</v>
      </c>
      <c r="JD35" s="7">
        <v>2217740</v>
      </c>
      <c r="JE35" s="7">
        <v>2280435</v>
      </c>
      <c r="JF35" s="7">
        <v>2601987</v>
      </c>
      <c r="JG35" s="7">
        <v>2653695</v>
      </c>
      <c r="JH35" s="7">
        <v>2550823</v>
      </c>
      <c r="JI35" s="7">
        <v>2377925</v>
      </c>
      <c r="JJ35" s="7">
        <v>2080113</v>
      </c>
      <c r="JK35" s="7">
        <v>1966278</v>
      </c>
      <c r="JL35" s="7">
        <v>1808551</v>
      </c>
      <c r="JM35" s="7">
        <v>1848895</v>
      </c>
      <c r="JN35" s="7">
        <v>1791677</v>
      </c>
      <c r="JO35" s="7">
        <v>1837979</v>
      </c>
      <c r="JP35" s="7">
        <v>1687379</v>
      </c>
      <c r="JQ35" s="7">
        <v>1710513</v>
      </c>
      <c r="JR35" s="7">
        <v>1621680</v>
      </c>
      <c r="JS35" s="7">
        <v>1644978</v>
      </c>
      <c r="JT35" s="7">
        <v>1672512</v>
      </c>
      <c r="JU35" s="7">
        <v>1729339</v>
      </c>
      <c r="JV35" s="7">
        <v>1731719</v>
      </c>
      <c r="JW35" s="7">
        <v>1625470</v>
      </c>
      <c r="JX35" s="7">
        <v>1799076</v>
      </c>
      <c r="JY35" s="7">
        <v>1950114</v>
      </c>
      <c r="JZ35" s="7">
        <v>1816311</v>
      </c>
      <c r="KA35" s="7">
        <v>1804643</v>
      </c>
      <c r="KB35" s="7">
        <v>1815046</v>
      </c>
      <c r="KC35" s="7">
        <v>1868699</v>
      </c>
      <c r="KD35" s="7">
        <v>1839677</v>
      </c>
      <c r="KE35" s="7">
        <v>1769513</v>
      </c>
      <c r="KF35" s="7">
        <v>1875650</v>
      </c>
      <c r="KG35" s="7">
        <v>2191662</v>
      </c>
      <c r="KH35" s="7">
        <v>2237805</v>
      </c>
      <c r="KI35" s="7">
        <v>2215367</v>
      </c>
      <c r="KJ35" s="7">
        <v>2256266</v>
      </c>
      <c r="KK35" s="7">
        <v>2204877</v>
      </c>
      <c r="KL35" s="7">
        <v>2343167</v>
      </c>
      <c r="KM35" s="7">
        <v>2383316</v>
      </c>
      <c r="KN35" s="7">
        <v>2288548</v>
      </c>
      <c r="KO35" s="7">
        <v>2430411</v>
      </c>
      <c r="KP35" s="7">
        <v>2538876</v>
      </c>
      <c r="KQ35" s="7">
        <v>2519022</v>
      </c>
      <c r="KR35" s="7">
        <v>2732795</v>
      </c>
      <c r="KS35" s="7">
        <v>2814706</v>
      </c>
      <c r="KT35" s="7">
        <v>2736963</v>
      </c>
      <c r="KU35" s="7">
        <v>2630325</v>
      </c>
      <c r="KV35" s="7">
        <v>2656868</v>
      </c>
      <c r="KW35" s="7">
        <v>2310398</v>
      </c>
      <c r="KX35" s="7">
        <v>2852904</v>
      </c>
      <c r="KY35" s="7">
        <v>2878304</v>
      </c>
      <c r="KZ35" s="7">
        <v>2844203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2"/>
  <sheetViews>
    <sheetView workbookViewId="0">
      <selection activeCell="D1" sqref="D1"/>
    </sheetView>
  </sheetViews>
  <sheetFormatPr defaultColWidth="9" defaultRowHeight="16.8" outlineLevelCol="4"/>
  <cols>
    <col min="2" max="2" width="9.625" customWidth="1"/>
    <col min="3" max="3" width="11" customWidth="1"/>
    <col min="4" max="4" width="11.6875"/>
    <col min="5" max="5" width="12.6875"/>
  </cols>
  <sheetData>
    <row r="1" spans="1:5">
      <c r="A1" s="1" t="str" cm="1">
        <f t="array" ref="A1:A312">TRANSPOSE(Worksheet!A3:KZ3)</f>
        <v>Initial date</v>
      </c>
      <c r="B1" t="s">
        <v>332</v>
      </c>
      <c r="C1" t="s">
        <v>333</v>
      </c>
      <c r="D1" s="1" t="str" cm="1">
        <f t="array" ref="D1:D312">TRANSPOSE(Worksheet!A25:KZ25)</f>
        <v>M2</v>
      </c>
      <c r="E1" t="s">
        <v>315</v>
      </c>
    </row>
    <row r="2" spans="1:5">
      <c r="A2" s="1" t="str">
        <v> 08.00</v>
      </c>
      <c r="B2" s="2">
        <f>DATE(2000+VALUE(RIGHT(TEXT(A2,"00.00"),2)),VALUE(LEFT(TEXT(A2,"00.00"),2)),1)</f>
        <v>36739</v>
      </c>
      <c r="C2" t="str">
        <f>TEXT(B2,"yyyy-mm-01")</f>
        <v>2000-08-01</v>
      </c>
      <c r="D2" s="3">
        <v>263580</v>
      </c>
      <c r="E2" s="4">
        <f>Worksheet!B26%</f>
        <v>0.011</v>
      </c>
    </row>
    <row r="3" spans="1:5">
      <c r="A3" s="1" t="str">
        <v> 09.00</v>
      </c>
      <c r="B3" s="2">
        <f t="shared" ref="B2:B65" si="0">DATE(2000+VALUE(RIGHT(TEXT(A3,"00.00"),2)),VALUE(LEFT(TEXT(A3,"00.00"),2)),1)</f>
        <v>36770</v>
      </c>
      <c r="C3" t="str">
        <f t="shared" ref="C2:C65" si="1">TEXT(B3,"yyyy-mm-01")</f>
        <v>2000-09-01</v>
      </c>
      <c r="D3" s="3">
        <v>278501</v>
      </c>
      <c r="E3" s="4">
        <f t="shared" ref="E3:E66" si="2">LN(D3/D2)</f>
        <v>0.0550647228094221</v>
      </c>
    </row>
    <row r="4" spans="1:5">
      <c r="A4" s="1" t="str">
        <v> 10.00</v>
      </c>
      <c r="B4" s="2">
        <f t="shared" si="0"/>
        <v>36800</v>
      </c>
      <c r="C4" t="str">
        <f t="shared" si="1"/>
        <v>2000-10-01</v>
      </c>
      <c r="D4" s="3">
        <v>294928</v>
      </c>
      <c r="E4" s="4">
        <f t="shared" si="2"/>
        <v>0.0573096087286527</v>
      </c>
    </row>
    <row r="5" spans="1:5">
      <c r="A5" s="1" t="str">
        <v> 11.00</v>
      </c>
      <c r="B5" s="2">
        <f t="shared" si="0"/>
        <v>36831</v>
      </c>
      <c r="C5" t="str">
        <f t="shared" si="1"/>
        <v>2000-11-01</v>
      </c>
      <c r="D5" s="3">
        <v>283324</v>
      </c>
      <c r="E5" s="4">
        <f t="shared" si="2"/>
        <v>-0.0401401396566084</v>
      </c>
    </row>
    <row r="6" spans="1:5">
      <c r="A6" s="1" t="str">
        <v> 12.00</v>
      </c>
      <c r="B6" s="2">
        <f t="shared" si="0"/>
        <v>36861</v>
      </c>
      <c r="C6" t="str">
        <f t="shared" si="1"/>
        <v>2000-12-01</v>
      </c>
      <c r="D6" s="3">
        <v>290643</v>
      </c>
      <c r="E6" s="4">
        <f t="shared" si="2"/>
        <v>0.0255045908103595</v>
      </c>
    </row>
    <row r="7" spans="1:5">
      <c r="A7" s="1" t="str">
        <v> 01.01</v>
      </c>
      <c r="B7" s="2">
        <f t="shared" si="0"/>
        <v>36892</v>
      </c>
      <c r="C7" t="str">
        <f t="shared" si="1"/>
        <v>2001-01-01</v>
      </c>
      <c r="D7" s="3">
        <v>271849</v>
      </c>
      <c r="E7" s="4">
        <f t="shared" si="2"/>
        <v>-0.0668489448215773</v>
      </c>
    </row>
    <row r="8" spans="1:5">
      <c r="A8" s="1" t="str">
        <v> 02.01</v>
      </c>
      <c r="B8" s="2">
        <f t="shared" si="0"/>
        <v>36923</v>
      </c>
      <c r="C8" t="str">
        <f t="shared" si="1"/>
        <v>2001-02-01</v>
      </c>
      <c r="D8" s="3">
        <v>290975</v>
      </c>
      <c r="E8" s="4">
        <f t="shared" si="2"/>
        <v>0.0679905877420484</v>
      </c>
    </row>
    <row r="9" spans="1:5">
      <c r="A9" s="1" t="str">
        <v> 03.01</v>
      </c>
      <c r="B9" s="2">
        <f t="shared" si="0"/>
        <v>36951</v>
      </c>
      <c r="C9" t="str">
        <f t="shared" si="1"/>
        <v>2001-03-01</v>
      </c>
      <c r="D9" s="3">
        <v>311455</v>
      </c>
      <c r="E9" s="4">
        <f t="shared" si="2"/>
        <v>0.0680175126844939</v>
      </c>
    </row>
    <row r="10" spans="1:5">
      <c r="A10" s="1" t="str">
        <v> 04.01</v>
      </c>
      <c r="B10" s="2">
        <f t="shared" si="0"/>
        <v>36982</v>
      </c>
      <c r="C10" t="str">
        <f t="shared" si="1"/>
        <v>2001-04-01</v>
      </c>
      <c r="D10" s="3">
        <v>295745</v>
      </c>
      <c r="E10" s="4">
        <f t="shared" si="2"/>
        <v>-0.0517572689677011</v>
      </c>
    </row>
    <row r="11" spans="1:5">
      <c r="A11" s="1" t="str">
        <v> 05.01</v>
      </c>
      <c r="B11" s="2">
        <f t="shared" si="0"/>
        <v>37012</v>
      </c>
      <c r="C11" t="str">
        <f t="shared" si="1"/>
        <v>2001-05-01</v>
      </c>
      <c r="D11" s="3">
        <v>306972</v>
      </c>
      <c r="E11" s="4">
        <f t="shared" si="2"/>
        <v>0.0372589416711896</v>
      </c>
    </row>
    <row r="12" spans="1:5">
      <c r="A12" s="1" t="str">
        <v> 06.01</v>
      </c>
      <c r="B12" s="2">
        <f t="shared" si="0"/>
        <v>37043</v>
      </c>
      <c r="C12" t="str">
        <f t="shared" si="1"/>
        <v>2001-06-01</v>
      </c>
      <c r="D12" s="3">
        <v>347105</v>
      </c>
      <c r="E12" s="4">
        <f t="shared" si="2"/>
        <v>0.122870789618551</v>
      </c>
    </row>
    <row r="13" spans="1:5">
      <c r="A13" s="1" t="str">
        <v> 07.01</v>
      </c>
      <c r="B13" s="2">
        <f t="shared" si="0"/>
        <v>37073</v>
      </c>
      <c r="C13" t="str">
        <f t="shared" si="1"/>
        <v>2001-07-01</v>
      </c>
      <c r="D13" s="3">
        <v>353279</v>
      </c>
      <c r="E13" s="4">
        <f t="shared" si="2"/>
        <v>0.0176307851941541</v>
      </c>
    </row>
    <row r="14" spans="1:5">
      <c r="A14" s="1" t="str">
        <v> 08.01</v>
      </c>
      <c r="B14" s="2">
        <f t="shared" si="0"/>
        <v>37104</v>
      </c>
      <c r="C14" t="str">
        <f t="shared" si="1"/>
        <v>2001-08-01</v>
      </c>
      <c r="D14" s="3">
        <v>338510</v>
      </c>
      <c r="E14" s="4">
        <f t="shared" si="2"/>
        <v>-0.0427044790152681</v>
      </c>
    </row>
    <row r="15" spans="1:5">
      <c r="A15" s="1" t="str">
        <v> 09.01</v>
      </c>
      <c r="B15" s="2">
        <f t="shared" si="0"/>
        <v>37135</v>
      </c>
      <c r="C15" t="str">
        <f t="shared" si="1"/>
        <v>2001-09-01</v>
      </c>
      <c r="D15" s="3">
        <v>355646</v>
      </c>
      <c r="E15" s="4">
        <f t="shared" si="2"/>
        <v>0.0493822200903042</v>
      </c>
    </row>
    <row r="16" spans="1:5">
      <c r="A16" s="1" t="str">
        <v> 10.01</v>
      </c>
      <c r="B16" s="2">
        <f t="shared" si="0"/>
        <v>37165</v>
      </c>
      <c r="C16" t="str">
        <f t="shared" si="1"/>
        <v>2001-10-01</v>
      </c>
      <c r="D16" s="3">
        <v>346173</v>
      </c>
      <c r="E16" s="4">
        <f t="shared" si="2"/>
        <v>-0.0269972040043885</v>
      </c>
    </row>
    <row r="17" spans="1:5">
      <c r="A17" s="1" t="str">
        <v> 11.01</v>
      </c>
      <c r="B17" s="2">
        <f t="shared" si="0"/>
        <v>37196</v>
      </c>
      <c r="C17" t="str">
        <f t="shared" si="1"/>
        <v>2001-11-01</v>
      </c>
      <c r="D17" s="3">
        <v>326428</v>
      </c>
      <c r="E17" s="4">
        <f t="shared" si="2"/>
        <v>-0.0587292463749618</v>
      </c>
    </row>
    <row r="18" spans="1:5">
      <c r="A18" s="1" t="str">
        <v> 12.01</v>
      </c>
      <c r="B18" s="2">
        <f t="shared" si="0"/>
        <v>37226</v>
      </c>
      <c r="C18" t="str">
        <f t="shared" si="1"/>
        <v>2001-12-01</v>
      </c>
      <c r="D18" s="3">
        <v>337980</v>
      </c>
      <c r="E18" s="4">
        <f t="shared" si="2"/>
        <v>0.0347773184102639</v>
      </c>
    </row>
    <row r="19" spans="1:5">
      <c r="A19" s="1" t="str">
        <v> 01.02</v>
      </c>
      <c r="B19" s="2">
        <f t="shared" si="0"/>
        <v>37257</v>
      </c>
      <c r="C19" t="str">
        <f t="shared" si="1"/>
        <v>2002-01-01</v>
      </c>
      <c r="D19" s="3">
        <v>315711</v>
      </c>
      <c r="E19" s="4">
        <f t="shared" si="2"/>
        <v>-0.0681594839721671</v>
      </c>
    </row>
    <row r="20" spans="1:5">
      <c r="A20" s="1" t="str">
        <v> 02.02</v>
      </c>
      <c r="B20" s="2">
        <f t="shared" si="0"/>
        <v>37288</v>
      </c>
      <c r="C20" t="str">
        <f t="shared" si="1"/>
        <v>2002-02-01</v>
      </c>
      <c r="D20" s="3">
        <v>309127</v>
      </c>
      <c r="E20" s="4">
        <f t="shared" si="2"/>
        <v>-0.0210750424672136</v>
      </c>
    </row>
    <row r="21" spans="1:5">
      <c r="A21" s="1" t="str">
        <v> 03.02</v>
      </c>
      <c r="B21" s="2">
        <f t="shared" si="0"/>
        <v>37316</v>
      </c>
      <c r="C21" t="str">
        <f t="shared" si="1"/>
        <v>2002-03-01</v>
      </c>
      <c r="D21" s="3">
        <v>328982</v>
      </c>
      <c r="E21" s="4">
        <f t="shared" si="2"/>
        <v>0.0622508423271597</v>
      </c>
    </row>
    <row r="22" spans="1:5">
      <c r="A22" s="1" t="str">
        <v> 04.02</v>
      </c>
      <c r="B22" s="2">
        <f t="shared" si="0"/>
        <v>37347</v>
      </c>
      <c r="C22" t="str">
        <f t="shared" si="1"/>
        <v>2002-04-01</v>
      </c>
      <c r="D22" s="3">
        <v>344634</v>
      </c>
      <c r="E22" s="4">
        <f t="shared" si="2"/>
        <v>0.0464799463232685</v>
      </c>
    </row>
    <row r="23" spans="1:5">
      <c r="A23" s="1" t="str">
        <v> 05.02</v>
      </c>
      <c r="B23" s="2">
        <f t="shared" si="0"/>
        <v>37377</v>
      </c>
      <c r="C23" t="str">
        <f t="shared" si="1"/>
        <v>2002-05-01</v>
      </c>
      <c r="D23" s="3">
        <v>350423</v>
      </c>
      <c r="E23" s="4">
        <f t="shared" si="2"/>
        <v>0.0166580118317551</v>
      </c>
    </row>
    <row r="24" spans="1:5">
      <c r="A24" s="1" t="str">
        <v> 06.02</v>
      </c>
      <c r="B24" s="2">
        <f t="shared" si="0"/>
        <v>37408</v>
      </c>
      <c r="C24" t="str">
        <f t="shared" si="1"/>
        <v>2002-06-01</v>
      </c>
      <c r="D24" s="3">
        <v>364286</v>
      </c>
      <c r="E24" s="4">
        <f t="shared" si="2"/>
        <v>0.0387982772330963</v>
      </c>
    </row>
    <row r="25" spans="1:5">
      <c r="A25" s="1" t="str">
        <v> 07.02</v>
      </c>
      <c r="B25" s="2">
        <f t="shared" si="0"/>
        <v>37438</v>
      </c>
      <c r="C25" t="str">
        <f t="shared" si="1"/>
        <v>2002-07-01</v>
      </c>
      <c r="D25" s="3">
        <v>389855</v>
      </c>
      <c r="E25" s="4">
        <f t="shared" si="2"/>
        <v>0.0678356017084714</v>
      </c>
    </row>
    <row r="26" spans="1:5">
      <c r="A26" s="1" t="str">
        <v> 08.02</v>
      </c>
      <c r="B26" s="2">
        <f t="shared" si="0"/>
        <v>37469</v>
      </c>
      <c r="C26" t="str">
        <f t="shared" si="1"/>
        <v>2002-08-01</v>
      </c>
      <c r="D26" s="3">
        <v>395426</v>
      </c>
      <c r="E26" s="4">
        <f t="shared" si="2"/>
        <v>0.0141887896518818</v>
      </c>
    </row>
    <row r="27" spans="1:5">
      <c r="A27" s="1" t="str">
        <v> 09.02</v>
      </c>
      <c r="B27" s="2">
        <f t="shared" si="0"/>
        <v>37500</v>
      </c>
      <c r="C27" t="str">
        <f t="shared" si="1"/>
        <v>2002-09-01</v>
      </c>
      <c r="D27" s="3">
        <v>419268</v>
      </c>
      <c r="E27" s="4">
        <f t="shared" si="2"/>
        <v>0.0585466688211347</v>
      </c>
    </row>
    <row r="28" spans="1:5">
      <c r="A28" s="1" t="str">
        <v> 10.02</v>
      </c>
      <c r="B28" s="2">
        <f t="shared" si="0"/>
        <v>37530</v>
      </c>
      <c r="C28" t="str">
        <f t="shared" si="1"/>
        <v>2002-10-01</v>
      </c>
      <c r="D28" s="3">
        <v>446155</v>
      </c>
      <c r="E28" s="4">
        <f t="shared" si="2"/>
        <v>0.0621560916844622</v>
      </c>
    </row>
    <row r="29" spans="1:5">
      <c r="A29" s="1" t="str">
        <v> 11.02</v>
      </c>
      <c r="B29" s="2">
        <f t="shared" si="0"/>
        <v>37561</v>
      </c>
      <c r="C29" t="str">
        <f t="shared" si="1"/>
        <v>2002-11-01</v>
      </c>
      <c r="D29" s="3">
        <v>442830</v>
      </c>
      <c r="E29" s="4">
        <f t="shared" si="2"/>
        <v>-0.00748047605951119</v>
      </c>
    </row>
    <row r="30" spans="1:5">
      <c r="A30" s="1" t="str">
        <v> 12.02</v>
      </c>
      <c r="B30" s="2">
        <f t="shared" si="0"/>
        <v>37591</v>
      </c>
      <c r="C30" t="str">
        <f t="shared" si="1"/>
        <v>2002-12-01</v>
      </c>
      <c r="D30" s="3">
        <v>498071</v>
      </c>
      <c r="E30" s="4">
        <f t="shared" si="2"/>
        <v>0.117556687926586</v>
      </c>
    </row>
    <row r="31" spans="1:5">
      <c r="A31" s="1" t="str">
        <v> 01.03</v>
      </c>
      <c r="B31" s="2">
        <f t="shared" si="0"/>
        <v>37622</v>
      </c>
      <c r="C31" t="str">
        <f t="shared" si="1"/>
        <v>2003-01-01</v>
      </c>
      <c r="D31" s="3">
        <v>441962</v>
      </c>
      <c r="E31" s="4">
        <f t="shared" si="2"/>
        <v>-0.119518731612459</v>
      </c>
    </row>
    <row r="32" spans="1:5">
      <c r="A32" s="1" t="str">
        <v> 02.03</v>
      </c>
      <c r="B32" s="2">
        <f t="shared" si="0"/>
        <v>37653</v>
      </c>
      <c r="C32" t="str">
        <f t="shared" si="1"/>
        <v>2003-02-01</v>
      </c>
      <c r="D32" s="3">
        <v>484256</v>
      </c>
      <c r="E32" s="4">
        <f t="shared" si="2"/>
        <v>0.0913897869734737</v>
      </c>
    </row>
    <row r="33" spans="1:5">
      <c r="A33" s="1" t="str">
        <v> 03.03</v>
      </c>
      <c r="B33" s="2">
        <f t="shared" si="0"/>
        <v>37681</v>
      </c>
      <c r="C33" t="str">
        <f t="shared" si="1"/>
        <v>2003-03-01</v>
      </c>
      <c r="D33" s="3">
        <v>524631</v>
      </c>
      <c r="E33" s="4">
        <f t="shared" si="2"/>
        <v>0.0800814658242691</v>
      </c>
    </row>
    <row r="34" spans="1:5">
      <c r="A34" s="1" t="str">
        <v> 04.03</v>
      </c>
      <c r="B34" s="2">
        <f t="shared" si="0"/>
        <v>37712</v>
      </c>
      <c r="C34" t="str">
        <f t="shared" si="1"/>
        <v>2003-04-01</v>
      </c>
      <c r="D34" s="3">
        <v>533893</v>
      </c>
      <c r="E34" s="4">
        <f t="shared" si="2"/>
        <v>0.0175002860218161</v>
      </c>
    </row>
    <row r="35" spans="1:5">
      <c r="A35" s="1" t="str">
        <v> 05.03</v>
      </c>
      <c r="B35" s="2">
        <f t="shared" si="0"/>
        <v>37742</v>
      </c>
      <c r="C35" t="str">
        <f t="shared" si="1"/>
        <v>2003-05-01</v>
      </c>
      <c r="D35" s="3">
        <v>568857</v>
      </c>
      <c r="E35" s="4">
        <f t="shared" si="2"/>
        <v>0.0634336400880102</v>
      </c>
    </row>
    <row r="36" spans="1:5">
      <c r="A36" s="1" t="str">
        <v> 06.03</v>
      </c>
      <c r="B36" s="2">
        <f t="shared" si="0"/>
        <v>37773</v>
      </c>
      <c r="C36" t="str">
        <f t="shared" si="1"/>
        <v>2003-06-01</v>
      </c>
      <c r="D36" s="3">
        <v>620186</v>
      </c>
      <c r="E36" s="4">
        <f t="shared" si="2"/>
        <v>0.0863903486094238</v>
      </c>
    </row>
    <row r="37" spans="1:5">
      <c r="A37" s="1" t="str">
        <v> 07.03</v>
      </c>
      <c r="B37" s="2">
        <f t="shared" si="0"/>
        <v>37803</v>
      </c>
      <c r="C37" t="str">
        <f t="shared" si="1"/>
        <v>2003-07-01</v>
      </c>
      <c r="D37" s="3">
        <v>640074</v>
      </c>
      <c r="E37" s="4">
        <f t="shared" si="2"/>
        <v>0.0315643616215272</v>
      </c>
    </row>
    <row r="38" spans="1:5">
      <c r="A38" s="1" t="str">
        <v> 08.03</v>
      </c>
      <c r="B38" s="2">
        <f t="shared" si="0"/>
        <v>37834</v>
      </c>
      <c r="C38" t="str">
        <f t="shared" si="1"/>
        <v>2003-08-01</v>
      </c>
      <c r="D38" s="3">
        <v>637244</v>
      </c>
      <c r="E38" s="4">
        <f t="shared" si="2"/>
        <v>-0.00443116691480529</v>
      </c>
    </row>
    <row r="39" spans="1:5">
      <c r="A39" s="1" t="str">
        <v> 09.03</v>
      </c>
      <c r="B39" s="2">
        <f t="shared" si="0"/>
        <v>37865</v>
      </c>
      <c r="C39" t="str">
        <f t="shared" si="1"/>
        <v>2003-09-01</v>
      </c>
      <c r="D39" s="3">
        <v>683429</v>
      </c>
      <c r="E39" s="4">
        <f t="shared" si="2"/>
        <v>0.0699701459104016</v>
      </c>
    </row>
    <row r="40" spans="1:5">
      <c r="A40" s="1" t="str">
        <v> 10.03</v>
      </c>
      <c r="B40" s="2">
        <f t="shared" si="0"/>
        <v>37895</v>
      </c>
      <c r="C40" t="str">
        <f t="shared" si="1"/>
        <v>2003-10-01</v>
      </c>
      <c r="D40" s="3">
        <v>705866</v>
      </c>
      <c r="E40" s="4">
        <f t="shared" si="2"/>
        <v>0.0323026441136446</v>
      </c>
    </row>
    <row r="41" spans="1:5">
      <c r="A41" s="1" t="str">
        <v> 11.03</v>
      </c>
      <c r="B41" s="2">
        <f t="shared" si="0"/>
        <v>37926</v>
      </c>
      <c r="C41" t="str">
        <f t="shared" si="1"/>
        <v>2003-11-01</v>
      </c>
      <c r="D41" s="3">
        <v>701251</v>
      </c>
      <c r="E41" s="4">
        <f t="shared" si="2"/>
        <v>-0.0065595349180585</v>
      </c>
    </row>
    <row r="42" spans="1:5">
      <c r="A42" s="1" t="str">
        <v> 12.03</v>
      </c>
      <c r="B42" s="2">
        <f t="shared" si="0"/>
        <v>37956</v>
      </c>
      <c r="C42" t="str">
        <f t="shared" si="1"/>
        <v>2003-12-01</v>
      </c>
      <c r="D42" s="3">
        <v>693381</v>
      </c>
      <c r="E42" s="4">
        <f t="shared" si="2"/>
        <v>-0.0112862511967637</v>
      </c>
    </row>
    <row r="43" spans="1:5">
      <c r="A43" s="1" t="str">
        <v> 01.04</v>
      </c>
      <c r="B43" s="2">
        <f t="shared" si="0"/>
        <v>37987</v>
      </c>
      <c r="C43" t="str">
        <f t="shared" si="1"/>
        <v>2004-01-01</v>
      </c>
      <c r="D43" s="3">
        <v>700991</v>
      </c>
      <c r="E43" s="4">
        <f t="shared" si="2"/>
        <v>0.010915416486379</v>
      </c>
    </row>
    <row r="44" spans="1:5">
      <c r="A44" s="1" t="str">
        <v> 02.04</v>
      </c>
      <c r="B44" s="2">
        <f t="shared" si="0"/>
        <v>38018</v>
      </c>
      <c r="C44" t="str">
        <f t="shared" si="1"/>
        <v>2004-02-01</v>
      </c>
      <c r="D44" s="3">
        <v>733245</v>
      </c>
      <c r="E44" s="4">
        <f t="shared" si="2"/>
        <v>0.0449848407271515</v>
      </c>
    </row>
    <row r="45" spans="1:5">
      <c r="A45" s="1" t="str">
        <v> 03.04</v>
      </c>
      <c r="B45" s="2">
        <f t="shared" si="0"/>
        <v>38047</v>
      </c>
      <c r="C45" t="str">
        <f t="shared" si="1"/>
        <v>2004-03-01</v>
      </c>
      <c r="D45" s="3">
        <v>770676</v>
      </c>
      <c r="E45" s="4">
        <f t="shared" si="2"/>
        <v>0.0497881628998561</v>
      </c>
    </row>
    <row r="46" spans="1:5">
      <c r="A46" s="1" t="str">
        <v> 04.04</v>
      </c>
      <c r="B46" s="2">
        <f t="shared" si="0"/>
        <v>38078</v>
      </c>
      <c r="C46" t="str">
        <f t="shared" si="1"/>
        <v>2004-04-01</v>
      </c>
      <c r="D46" s="3">
        <v>784654</v>
      </c>
      <c r="E46" s="4">
        <f t="shared" si="2"/>
        <v>0.0179748045085804</v>
      </c>
    </row>
    <row r="47" spans="1:5">
      <c r="A47" s="1" t="str">
        <v> 05.04</v>
      </c>
      <c r="B47" s="2">
        <f t="shared" si="0"/>
        <v>38108</v>
      </c>
      <c r="C47" t="str">
        <f t="shared" si="1"/>
        <v>2004-05-01</v>
      </c>
      <c r="D47" s="3">
        <v>852629</v>
      </c>
      <c r="E47" s="4">
        <f t="shared" si="2"/>
        <v>0.0830816610720546</v>
      </c>
    </row>
    <row r="48" spans="1:5">
      <c r="A48" s="1" t="str">
        <v> 06.04</v>
      </c>
      <c r="B48" s="2">
        <f t="shared" si="0"/>
        <v>38139</v>
      </c>
      <c r="C48" t="str">
        <f t="shared" si="1"/>
        <v>2004-06-01</v>
      </c>
      <c r="D48" s="3">
        <v>891766</v>
      </c>
      <c r="E48" s="4">
        <f t="shared" si="2"/>
        <v>0.0448792489683261</v>
      </c>
    </row>
    <row r="49" spans="1:5">
      <c r="A49" s="1" t="str">
        <v> 07.04</v>
      </c>
      <c r="B49" s="2">
        <f t="shared" si="0"/>
        <v>38169</v>
      </c>
      <c r="C49" t="str">
        <f t="shared" si="1"/>
        <v>2004-07-01</v>
      </c>
      <c r="D49" s="3">
        <v>896585</v>
      </c>
      <c r="E49" s="4">
        <f t="shared" si="2"/>
        <v>0.00538933538657285</v>
      </c>
    </row>
    <row r="50" spans="1:5">
      <c r="A50" s="1" t="str">
        <v> 08.04</v>
      </c>
      <c r="B50" s="2">
        <f t="shared" si="0"/>
        <v>38200</v>
      </c>
      <c r="C50" t="str">
        <f t="shared" si="1"/>
        <v>2004-08-01</v>
      </c>
      <c r="D50" s="3">
        <v>932505</v>
      </c>
      <c r="E50" s="4">
        <f t="shared" si="2"/>
        <v>0.0392814117208888</v>
      </c>
    </row>
    <row r="51" spans="1:5">
      <c r="A51" s="1" t="str">
        <v> 09.04</v>
      </c>
      <c r="B51" s="2">
        <f t="shared" si="0"/>
        <v>38231</v>
      </c>
      <c r="C51" t="str">
        <f t="shared" si="1"/>
        <v>2004-09-01</v>
      </c>
      <c r="D51" s="3">
        <v>974227</v>
      </c>
      <c r="E51" s="4">
        <f t="shared" si="2"/>
        <v>0.0437698226027418</v>
      </c>
    </row>
    <row r="52" spans="1:5">
      <c r="A52" s="1" t="str">
        <v> 10.04</v>
      </c>
      <c r="B52" s="2">
        <f t="shared" si="0"/>
        <v>38261</v>
      </c>
      <c r="C52" t="str">
        <f t="shared" si="1"/>
        <v>2004-10-01</v>
      </c>
      <c r="D52" s="3">
        <v>1003156</v>
      </c>
      <c r="E52" s="4">
        <f t="shared" si="2"/>
        <v>0.0292619732310387</v>
      </c>
    </row>
    <row r="53" spans="1:5">
      <c r="A53" s="1" t="str">
        <v> 11.04</v>
      </c>
      <c r="B53" s="2">
        <f t="shared" si="0"/>
        <v>38292</v>
      </c>
      <c r="C53" t="str">
        <f t="shared" si="1"/>
        <v>2004-11-01</v>
      </c>
      <c r="D53" s="3">
        <v>1173890</v>
      </c>
      <c r="E53" s="4">
        <f t="shared" si="2"/>
        <v>0.157171989967352</v>
      </c>
    </row>
    <row r="54" spans="1:5">
      <c r="A54" s="1" t="str">
        <v> 12.04</v>
      </c>
      <c r="B54" s="2">
        <f t="shared" si="0"/>
        <v>38322</v>
      </c>
      <c r="C54" t="str">
        <f t="shared" si="1"/>
        <v>2004-12-01</v>
      </c>
      <c r="D54" s="3">
        <v>1175491</v>
      </c>
      <c r="E54" s="4">
        <f t="shared" si="2"/>
        <v>0.00136291239933028</v>
      </c>
    </row>
    <row r="55" spans="1:5">
      <c r="A55" s="1" t="str">
        <v> 01.05</v>
      </c>
      <c r="B55" s="2">
        <f t="shared" si="0"/>
        <v>38353</v>
      </c>
      <c r="C55" t="str">
        <f t="shared" si="1"/>
        <v>2005-01-01</v>
      </c>
      <c r="D55" s="3">
        <v>1108353</v>
      </c>
      <c r="E55" s="4">
        <f t="shared" si="2"/>
        <v>-0.0588108030090357</v>
      </c>
    </row>
    <row r="56" spans="1:5">
      <c r="A56" s="1" t="str">
        <v> 02.05</v>
      </c>
      <c r="B56" s="2">
        <f t="shared" si="0"/>
        <v>38384</v>
      </c>
      <c r="C56" t="str">
        <f t="shared" si="1"/>
        <v>2005-02-01</v>
      </c>
      <c r="D56" s="3">
        <v>1167898</v>
      </c>
      <c r="E56" s="4">
        <f t="shared" si="2"/>
        <v>0.0523304221823526</v>
      </c>
    </row>
    <row r="57" spans="1:5">
      <c r="A57" s="1" t="str">
        <v> 03.05</v>
      </c>
      <c r="B57" s="2">
        <f t="shared" si="0"/>
        <v>38412</v>
      </c>
      <c r="C57" t="str">
        <f t="shared" si="1"/>
        <v>2005-03-01</v>
      </c>
      <c r="D57" s="3">
        <v>1263662</v>
      </c>
      <c r="E57" s="4">
        <f t="shared" si="2"/>
        <v>0.0788083030767325</v>
      </c>
    </row>
    <row r="58" spans="1:5">
      <c r="A58" s="1" t="str">
        <v> 04.05</v>
      </c>
      <c r="B58" s="2">
        <f t="shared" si="0"/>
        <v>38443</v>
      </c>
      <c r="C58" t="str">
        <f t="shared" si="1"/>
        <v>2005-04-01</v>
      </c>
      <c r="D58" s="3">
        <v>1271707</v>
      </c>
      <c r="E58" s="4">
        <f t="shared" si="2"/>
        <v>0.00634623757002065</v>
      </c>
    </row>
    <row r="59" spans="1:5">
      <c r="A59" s="1" t="str">
        <v> 05.05</v>
      </c>
      <c r="B59" s="2">
        <f t="shared" si="0"/>
        <v>38473</v>
      </c>
      <c r="C59" t="str">
        <f t="shared" si="1"/>
        <v>2005-05-01</v>
      </c>
      <c r="D59" s="3">
        <v>1321824</v>
      </c>
      <c r="E59" s="4">
        <f t="shared" si="2"/>
        <v>0.038652508475648</v>
      </c>
    </row>
    <row r="60" spans="1:5">
      <c r="A60" s="1" t="str">
        <v> 06.05</v>
      </c>
      <c r="B60" s="2">
        <f t="shared" si="0"/>
        <v>38504</v>
      </c>
      <c r="C60" t="str">
        <f t="shared" si="1"/>
        <v>2005-06-01</v>
      </c>
      <c r="D60" s="3">
        <v>1363526</v>
      </c>
      <c r="E60" s="4">
        <f t="shared" si="2"/>
        <v>0.0310613907472928</v>
      </c>
    </row>
    <row r="61" spans="1:5">
      <c r="A61" s="1" t="str">
        <v> 07.05</v>
      </c>
      <c r="B61" s="2">
        <f t="shared" si="0"/>
        <v>38534</v>
      </c>
      <c r="C61" t="str">
        <f t="shared" si="1"/>
        <v>2005-07-01</v>
      </c>
      <c r="D61" s="3">
        <v>1359235</v>
      </c>
      <c r="E61" s="4">
        <f t="shared" si="2"/>
        <v>-0.00315195020974277</v>
      </c>
    </row>
    <row r="62" spans="1:5">
      <c r="A62" s="1" t="str">
        <v> 08.05</v>
      </c>
      <c r="B62" s="2">
        <f t="shared" si="0"/>
        <v>38565</v>
      </c>
      <c r="C62" t="str">
        <f t="shared" si="1"/>
        <v>2005-08-01</v>
      </c>
      <c r="D62" s="3">
        <v>1391764</v>
      </c>
      <c r="E62" s="4">
        <f t="shared" si="2"/>
        <v>0.0236499658232889</v>
      </c>
    </row>
    <row r="63" spans="1:5">
      <c r="A63" s="1" t="str">
        <v> 09.05</v>
      </c>
      <c r="B63" s="2">
        <f t="shared" si="0"/>
        <v>38596</v>
      </c>
      <c r="C63" t="str">
        <f t="shared" si="1"/>
        <v>2005-09-01</v>
      </c>
      <c r="D63" s="3">
        <v>1450385</v>
      </c>
      <c r="E63" s="4">
        <f t="shared" si="2"/>
        <v>0.0412570311216246</v>
      </c>
    </row>
    <row r="64" spans="1:5">
      <c r="A64" s="1" t="str">
        <v> 10.05</v>
      </c>
      <c r="B64" s="2">
        <f t="shared" si="0"/>
        <v>38626</v>
      </c>
      <c r="C64" t="str">
        <f t="shared" si="1"/>
        <v>2005-10-01</v>
      </c>
      <c r="D64" s="3">
        <v>1474028</v>
      </c>
      <c r="E64" s="4">
        <f t="shared" si="2"/>
        <v>0.0161697510857702</v>
      </c>
    </row>
    <row r="65" spans="1:5">
      <c r="A65" s="1" t="str">
        <v> 11.05</v>
      </c>
      <c r="B65" s="2">
        <f t="shared" si="0"/>
        <v>38657</v>
      </c>
      <c r="C65" t="str">
        <f t="shared" si="1"/>
        <v>2005-11-01</v>
      </c>
      <c r="D65" s="3">
        <v>1459131</v>
      </c>
      <c r="E65" s="4">
        <f t="shared" si="2"/>
        <v>-0.0101577364804757</v>
      </c>
    </row>
    <row r="66" spans="1:5">
      <c r="A66" s="1" t="str">
        <v> 12.05</v>
      </c>
      <c r="B66" s="2">
        <f t="shared" ref="B66:B129" si="3">DATE(2000+VALUE(RIGHT(TEXT(A66,"00.00"),2)),VALUE(LEFT(TEXT(A66,"00.00"),2)),1)</f>
        <v>38687</v>
      </c>
      <c r="C66" t="str">
        <f t="shared" ref="C66:C129" si="4">TEXT(B66,"yyyy-mm-01")</f>
        <v>2005-12-01</v>
      </c>
      <c r="D66" s="3">
        <v>1515970</v>
      </c>
      <c r="E66" s="4">
        <f t="shared" si="2"/>
        <v>0.0382144450704783</v>
      </c>
    </row>
    <row r="67" spans="1:5">
      <c r="A67" s="1" t="str">
        <v> 01.06</v>
      </c>
      <c r="B67" s="2">
        <f t="shared" si="3"/>
        <v>38718</v>
      </c>
      <c r="C67" t="str">
        <f t="shared" si="4"/>
        <v>2006-01-01</v>
      </c>
      <c r="D67" s="3">
        <v>1478931</v>
      </c>
      <c r="E67" s="4">
        <f t="shared" ref="E67:E130" si="5">LN(D67/D66)</f>
        <v>-0.0247359686098162</v>
      </c>
    </row>
    <row r="68" spans="1:5">
      <c r="A68" s="1" t="str">
        <v> 02.06</v>
      </c>
      <c r="B68" s="2">
        <f t="shared" si="3"/>
        <v>38749</v>
      </c>
      <c r="C68" t="str">
        <f t="shared" si="4"/>
        <v>2006-02-01</v>
      </c>
      <c r="D68" s="3">
        <v>1617525</v>
      </c>
      <c r="E68" s="4">
        <f t="shared" si="5"/>
        <v>0.0895776737276629</v>
      </c>
    </row>
    <row r="69" spans="1:5">
      <c r="A69" s="1" t="str">
        <v> 03.06</v>
      </c>
      <c r="B69" s="2">
        <f t="shared" si="3"/>
        <v>38777</v>
      </c>
      <c r="C69" t="str">
        <f t="shared" si="4"/>
        <v>2006-03-01</v>
      </c>
      <c r="D69" s="3">
        <v>1749189</v>
      </c>
      <c r="E69" s="4">
        <f t="shared" si="5"/>
        <v>0.0782550487237684</v>
      </c>
    </row>
    <row r="70" spans="1:5">
      <c r="A70" s="1" t="str">
        <v> 04.06</v>
      </c>
      <c r="B70" s="2">
        <f t="shared" si="3"/>
        <v>38808</v>
      </c>
      <c r="C70" t="str">
        <f t="shared" si="4"/>
        <v>2006-04-01</v>
      </c>
      <c r="D70" s="3">
        <v>1779603</v>
      </c>
      <c r="E70" s="4">
        <f t="shared" si="5"/>
        <v>0.0172380537726264</v>
      </c>
    </row>
    <row r="71" spans="1:5">
      <c r="A71" s="1" t="str">
        <v> 05.06</v>
      </c>
      <c r="B71" s="2">
        <f t="shared" si="3"/>
        <v>38838</v>
      </c>
      <c r="C71" t="str">
        <f t="shared" si="4"/>
        <v>2006-05-01</v>
      </c>
      <c r="D71" s="3">
        <v>1943181</v>
      </c>
      <c r="E71" s="4">
        <f t="shared" si="5"/>
        <v>0.0879360152513208</v>
      </c>
    </row>
    <row r="72" spans="1:5">
      <c r="A72" s="1" t="str">
        <v> 06.06</v>
      </c>
      <c r="B72" s="2">
        <f t="shared" si="3"/>
        <v>38869</v>
      </c>
      <c r="C72" t="str">
        <f t="shared" si="4"/>
        <v>2006-06-01</v>
      </c>
      <c r="D72" s="3">
        <v>2097516</v>
      </c>
      <c r="E72" s="4">
        <f t="shared" si="5"/>
        <v>0.0764274664871217</v>
      </c>
    </row>
    <row r="73" spans="1:5">
      <c r="A73" s="1" t="str">
        <v> 07.06</v>
      </c>
      <c r="B73" s="2">
        <f t="shared" si="3"/>
        <v>38899</v>
      </c>
      <c r="C73" t="str">
        <f t="shared" si="4"/>
        <v>2006-07-01</v>
      </c>
      <c r="D73" s="3">
        <v>2214767</v>
      </c>
      <c r="E73" s="4">
        <f t="shared" si="5"/>
        <v>0.0543934186316019</v>
      </c>
    </row>
    <row r="74" spans="1:5">
      <c r="A74" s="1" t="str">
        <v> 08.06</v>
      </c>
      <c r="B74" s="2">
        <f t="shared" si="3"/>
        <v>38930</v>
      </c>
      <c r="C74" t="str">
        <f t="shared" si="4"/>
        <v>2006-08-01</v>
      </c>
      <c r="D74" s="3">
        <v>2264265</v>
      </c>
      <c r="E74" s="4">
        <f t="shared" si="5"/>
        <v>0.0221029968706899</v>
      </c>
    </row>
    <row r="75" spans="1:5">
      <c r="A75" s="1" t="str">
        <v> 09.06</v>
      </c>
      <c r="B75" s="2">
        <f t="shared" si="3"/>
        <v>38961</v>
      </c>
      <c r="C75" t="str">
        <f t="shared" si="4"/>
        <v>2006-09-01</v>
      </c>
      <c r="D75" s="3">
        <v>2300468</v>
      </c>
      <c r="E75" s="4">
        <f t="shared" si="5"/>
        <v>0.0158623775359337</v>
      </c>
    </row>
    <row r="76" spans="1:5">
      <c r="A76" s="1" t="str">
        <v> 10.06</v>
      </c>
      <c r="B76" s="2">
        <f t="shared" si="3"/>
        <v>38991</v>
      </c>
      <c r="C76" t="str">
        <f t="shared" si="4"/>
        <v>2006-10-01</v>
      </c>
      <c r="D76" s="3">
        <v>2416745</v>
      </c>
      <c r="E76" s="4">
        <f t="shared" si="5"/>
        <v>0.0493090129691815</v>
      </c>
    </row>
    <row r="77" spans="1:5">
      <c r="A77" s="1" t="str">
        <v> 11.06</v>
      </c>
      <c r="B77" s="2">
        <f t="shared" si="3"/>
        <v>39022</v>
      </c>
      <c r="C77" t="str">
        <f t="shared" si="4"/>
        <v>2006-11-01</v>
      </c>
      <c r="D77" s="3">
        <v>2530079</v>
      </c>
      <c r="E77" s="4">
        <f t="shared" si="5"/>
        <v>0.0458289340821107</v>
      </c>
    </row>
    <row r="78" spans="1:5">
      <c r="A78" s="1" t="str">
        <v> 12.06</v>
      </c>
      <c r="B78" s="2">
        <f t="shared" si="3"/>
        <v>39052</v>
      </c>
      <c r="C78" t="str">
        <f t="shared" si="4"/>
        <v>2006-12-01</v>
      </c>
      <c r="D78" s="3">
        <v>2814551</v>
      </c>
      <c r="E78" s="4">
        <f t="shared" si="5"/>
        <v>0.10655221865708</v>
      </c>
    </row>
    <row r="79" spans="1:5">
      <c r="A79" s="1" t="str">
        <v> 01.07</v>
      </c>
      <c r="B79" s="2">
        <f t="shared" si="3"/>
        <v>39083</v>
      </c>
      <c r="C79" t="str">
        <f t="shared" si="4"/>
        <v>2007-01-01</v>
      </c>
      <c r="D79" s="3">
        <v>2867170</v>
      </c>
      <c r="E79" s="4">
        <f t="shared" si="5"/>
        <v>0.0185227343686396</v>
      </c>
    </row>
    <row r="80" spans="1:5">
      <c r="A80" s="1" t="str">
        <v> 02.07</v>
      </c>
      <c r="B80" s="2">
        <f t="shared" si="3"/>
        <v>39114</v>
      </c>
      <c r="C80" t="str">
        <f t="shared" si="4"/>
        <v>2007-02-01</v>
      </c>
      <c r="D80" s="3">
        <v>2989009</v>
      </c>
      <c r="E80" s="4">
        <f t="shared" si="5"/>
        <v>0.0416164137636573</v>
      </c>
    </row>
    <row r="81" spans="1:5">
      <c r="A81" s="1" t="str">
        <v> 03.07</v>
      </c>
      <c r="B81" s="2">
        <f t="shared" si="3"/>
        <v>39142</v>
      </c>
      <c r="C81" t="str">
        <f t="shared" si="4"/>
        <v>2007-03-01</v>
      </c>
      <c r="D81" s="3">
        <v>3130333</v>
      </c>
      <c r="E81" s="4">
        <f t="shared" si="5"/>
        <v>0.0461974943316795</v>
      </c>
    </row>
    <row r="82" spans="1:5">
      <c r="A82" s="1" t="str">
        <v> 04.07</v>
      </c>
      <c r="B82" s="2">
        <f t="shared" si="3"/>
        <v>39173</v>
      </c>
      <c r="C82" t="str">
        <f t="shared" si="4"/>
        <v>2007-04-01</v>
      </c>
      <c r="D82" s="3">
        <v>3260921</v>
      </c>
      <c r="E82" s="4">
        <f t="shared" si="5"/>
        <v>0.0408702821466675</v>
      </c>
    </row>
    <row r="83" spans="1:5">
      <c r="A83" s="1" t="str">
        <v> 05.07</v>
      </c>
      <c r="B83" s="2">
        <f t="shared" si="3"/>
        <v>39203</v>
      </c>
      <c r="C83" t="str">
        <f t="shared" si="4"/>
        <v>2007-05-01</v>
      </c>
      <c r="D83" s="3">
        <v>3454167</v>
      </c>
      <c r="E83" s="4">
        <f t="shared" si="5"/>
        <v>0.0575716574790121</v>
      </c>
    </row>
    <row r="84" spans="1:5">
      <c r="A84" s="1" t="str">
        <v> 06.07</v>
      </c>
      <c r="B84" s="2">
        <f t="shared" si="3"/>
        <v>39234</v>
      </c>
      <c r="C84" t="str">
        <f t="shared" si="4"/>
        <v>2007-06-01</v>
      </c>
      <c r="D84" s="3">
        <v>3723349</v>
      </c>
      <c r="E84" s="4">
        <f t="shared" si="5"/>
        <v>0.0750422038082331</v>
      </c>
    </row>
    <row r="85" spans="1:5">
      <c r="A85" s="1" t="str">
        <v> 07.07</v>
      </c>
      <c r="B85" s="2">
        <f t="shared" si="3"/>
        <v>39264</v>
      </c>
      <c r="C85" t="str">
        <f t="shared" si="4"/>
        <v>2007-07-01</v>
      </c>
      <c r="D85" s="3">
        <v>3759581</v>
      </c>
      <c r="E85" s="4">
        <f t="shared" si="5"/>
        <v>0.00968398291877738</v>
      </c>
    </row>
    <row r="86" spans="1:5">
      <c r="A86" s="1" t="str">
        <v> 08.07</v>
      </c>
      <c r="B86" s="2">
        <f t="shared" si="3"/>
        <v>39295</v>
      </c>
      <c r="C86" t="str">
        <f t="shared" si="4"/>
        <v>2007-08-01</v>
      </c>
      <c r="D86" s="3">
        <v>3651989</v>
      </c>
      <c r="E86" s="4">
        <f t="shared" si="5"/>
        <v>-0.0290355643421261</v>
      </c>
    </row>
    <row r="87" spans="1:5">
      <c r="A87" s="1" t="str">
        <v> 09.07</v>
      </c>
      <c r="B87" s="2">
        <f t="shared" si="3"/>
        <v>39326</v>
      </c>
      <c r="C87" t="str">
        <f t="shared" si="4"/>
        <v>2007-09-01</v>
      </c>
      <c r="D87" s="3">
        <v>3555596</v>
      </c>
      <c r="E87" s="4">
        <f t="shared" si="5"/>
        <v>-0.0267492502811807</v>
      </c>
    </row>
    <row r="88" spans="1:5">
      <c r="A88" s="1" t="str">
        <v> 10.07</v>
      </c>
      <c r="B88" s="2">
        <f t="shared" si="3"/>
        <v>39356</v>
      </c>
      <c r="C88" t="str">
        <f t="shared" si="4"/>
        <v>2007-10-01</v>
      </c>
      <c r="D88" s="3">
        <v>3422035</v>
      </c>
      <c r="E88" s="4">
        <f t="shared" si="5"/>
        <v>-0.0382872970442366</v>
      </c>
    </row>
    <row r="89" spans="1:5">
      <c r="A89" s="1" t="str">
        <v> 11.07</v>
      </c>
      <c r="B89" s="2">
        <f t="shared" si="3"/>
        <v>39387</v>
      </c>
      <c r="C89" t="str">
        <f t="shared" si="4"/>
        <v>2007-11-01</v>
      </c>
      <c r="D89" s="3">
        <v>3470733</v>
      </c>
      <c r="E89" s="4">
        <f t="shared" si="5"/>
        <v>0.0141304074894188</v>
      </c>
    </row>
    <row r="90" spans="1:5">
      <c r="A90" s="1" t="str">
        <v> 12.07</v>
      </c>
      <c r="B90" s="2">
        <f t="shared" si="3"/>
        <v>39417</v>
      </c>
      <c r="C90" t="str">
        <f t="shared" si="4"/>
        <v>2007-12-01</v>
      </c>
      <c r="D90" s="3">
        <v>3553643</v>
      </c>
      <c r="E90" s="4">
        <f t="shared" si="5"/>
        <v>0.023607463646045</v>
      </c>
    </row>
    <row r="91" spans="1:5">
      <c r="A91" s="1" t="str">
        <v> 01.08</v>
      </c>
      <c r="B91" s="2">
        <f t="shared" si="3"/>
        <v>39448</v>
      </c>
      <c r="C91" t="str">
        <f t="shared" si="4"/>
        <v>2008-01-01</v>
      </c>
      <c r="D91" s="3">
        <v>3443604</v>
      </c>
      <c r="E91" s="4">
        <f t="shared" si="5"/>
        <v>-0.0314546771139558</v>
      </c>
    </row>
    <row r="92" spans="1:5">
      <c r="A92" s="1" t="str">
        <v> 02.08</v>
      </c>
      <c r="B92" s="2">
        <f t="shared" si="3"/>
        <v>39479</v>
      </c>
      <c r="C92" t="str">
        <f t="shared" si="4"/>
        <v>2008-02-01</v>
      </c>
      <c r="D92" s="3">
        <v>3485034</v>
      </c>
      <c r="E92" s="4">
        <f t="shared" si="5"/>
        <v>0.0119592028863741</v>
      </c>
    </row>
    <row r="93" spans="1:5">
      <c r="A93" s="1" t="str">
        <v> 03.08</v>
      </c>
      <c r="B93" s="2">
        <f t="shared" si="3"/>
        <v>39508</v>
      </c>
      <c r="C93" t="str">
        <f t="shared" si="4"/>
        <v>2008-03-01</v>
      </c>
      <c r="D93" s="3">
        <v>3606858</v>
      </c>
      <c r="E93" s="4">
        <f t="shared" si="5"/>
        <v>0.03435923298825</v>
      </c>
    </row>
    <row r="94" spans="1:5">
      <c r="A94" s="1" t="str">
        <v> 04.08</v>
      </c>
      <c r="B94" s="2">
        <f t="shared" si="3"/>
        <v>39539</v>
      </c>
      <c r="C94" t="str">
        <f t="shared" si="4"/>
        <v>2008-04-01</v>
      </c>
      <c r="D94" s="3">
        <v>3617487</v>
      </c>
      <c r="E94" s="4">
        <f t="shared" si="5"/>
        <v>0.00294255262431898</v>
      </c>
    </row>
    <row r="95" spans="1:5">
      <c r="A95" s="1" t="str">
        <v> 05.08</v>
      </c>
      <c r="B95" s="2">
        <f t="shared" si="3"/>
        <v>39569</v>
      </c>
      <c r="C95" t="str">
        <f t="shared" si="4"/>
        <v>2008-05-01</v>
      </c>
      <c r="D95" s="3">
        <v>3781139</v>
      </c>
      <c r="E95" s="4">
        <f t="shared" si="5"/>
        <v>0.0442457011192097</v>
      </c>
    </row>
    <row r="96" spans="1:5">
      <c r="A96" s="1" t="str">
        <v> 06.08</v>
      </c>
      <c r="B96" s="2">
        <f t="shared" si="3"/>
        <v>39600</v>
      </c>
      <c r="C96" t="str">
        <f t="shared" si="4"/>
        <v>2008-06-01</v>
      </c>
      <c r="D96" s="3">
        <v>3913425</v>
      </c>
      <c r="E96" s="4">
        <f t="shared" si="5"/>
        <v>0.034387662654063</v>
      </c>
    </row>
    <row r="97" spans="1:5">
      <c r="A97" s="1" t="str">
        <v> 07.08</v>
      </c>
      <c r="B97" s="2">
        <f t="shared" si="3"/>
        <v>39630</v>
      </c>
      <c r="C97" t="str">
        <f t="shared" si="4"/>
        <v>2008-07-01</v>
      </c>
      <c r="D97" s="3">
        <v>4045590</v>
      </c>
      <c r="E97" s="4">
        <f t="shared" si="5"/>
        <v>0.033214449311044</v>
      </c>
    </row>
    <row r="98" spans="1:5">
      <c r="A98" s="1" t="str">
        <v> 08.08</v>
      </c>
      <c r="B98" s="2">
        <f t="shared" si="3"/>
        <v>39661</v>
      </c>
      <c r="C98" t="str">
        <f t="shared" si="4"/>
        <v>2008-08-01</v>
      </c>
      <c r="D98" s="3">
        <v>4120310</v>
      </c>
      <c r="E98" s="4">
        <f t="shared" si="5"/>
        <v>0.018301004289947</v>
      </c>
    </row>
    <row r="99" spans="1:5">
      <c r="A99" s="1" t="str">
        <v> 09.08</v>
      </c>
      <c r="B99" s="2">
        <f t="shared" si="3"/>
        <v>39692</v>
      </c>
      <c r="C99" t="str">
        <f t="shared" si="4"/>
        <v>2008-09-01</v>
      </c>
      <c r="D99" s="3">
        <v>4314343</v>
      </c>
      <c r="E99" s="4">
        <f t="shared" si="5"/>
        <v>0.046016650133762</v>
      </c>
    </row>
    <row r="100" spans="1:5">
      <c r="A100" s="1" t="str">
        <v> 10.08</v>
      </c>
      <c r="B100" s="2">
        <f t="shared" si="3"/>
        <v>39722</v>
      </c>
      <c r="C100" t="str">
        <f t="shared" si="4"/>
        <v>2008-10-01</v>
      </c>
      <c r="D100" s="3">
        <v>4105566</v>
      </c>
      <c r="E100" s="4">
        <f t="shared" si="5"/>
        <v>-0.0496014393499477</v>
      </c>
    </row>
    <row r="101" spans="1:5">
      <c r="A101" s="1" t="str">
        <v> 11.08</v>
      </c>
      <c r="B101" s="2">
        <f t="shared" si="3"/>
        <v>39753</v>
      </c>
      <c r="C101" t="str">
        <f t="shared" si="4"/>
        <v>2008-11-01</v>
      </c>
      <c r="D101" s="3">
        <v>4378167</v>
      </c>
      <c r="E101" s="4">
        <f t="shared" si="5"/>
        <v>0.0642865296118679</v>
      </c>
    </row>
    <row r="102" spans="1:5">
      <c r="A102" s="1" t="str">
        <v> 12.08</v>
      </c>
      <c r="B102" s="2">
        <f t="shared" si="3"/>
        <v>39783</v>
      </c>
      <c r="C102" t="str">
        <f t="shared" si="4"/>
        <v>2008-12-01</v>
      </c>
      <c r="D102" s="3">
        <v>4620329</v>
      </c>
      <c r="E102" s="4">
        <f t="shared" si="5"/>
        <v>0.0538357710344244</v>
      </c>
    </row>
    <row r="103" spans="1:5">
      <c r="A103" s="1" t="str">
        <v> 01.09</v>
      </c>
      <c r="B103" s="2">
        <f t="shared" si="3"/>
        <v>39814</v>
      </c>
      <c r="C103" t="str">
        <f t="shared" si="4"/>
        <v>2009-01-01</v>
      </c>
      <c r="D103" s="3">
        <v>4207184</v>
      </c>
      <c r="E103" s="4">
        <f t="shared" si="5"/>
        <v>-0.0936723743980044</v>
      </c>
    </row>
    <row r="104" spans="1:5">
      <c r="A104" s="1" t="str">
        <v> 02.09</v>
      </c>
      <c r="B104" s="2">
        <f t="shared" si="3"/>
        <v>39845</v>
      </c>
      <c r="C104" t="str">
        <f t="shared" si="4"/>
        <v>2009-02-01</v>
      </c>
      <c r="D104" s="3">
        <v>4476698</v>
      </c>
      <c r="E104" s="4">
        <f t="shared" si="5"/>
        <v>0.0620921808165476</v>
      </c>
    </row>
    <row r="105" spans="1:5">
      <c r="A105" s="1" t="str">
        <v> 03.09</v>
      </c>
      <c r="B105" s="2">
        <f t="shared" si="3"/>
        <v>39873</v>
      </c>
      <c r="C105" t="str">
        <f t="shared" si="4"/>
        <v>2009-03-01</v>
      </c>
      <c r="D105" s="3">
        <v>4416658</v>
      </c>
      <c r="E105" s="4">
        <f t="shared" si="5"/>
        <v>-0.0135024195998948</v>
      </c>
    </row>
    <row r="106" spans="1:5">
      <c r="A106" s="1" t="str">
        <v> 04.09</v>
      </c>
      <c r="B106" s="2">
        <f t="shared" si="3"/>
        <v>39904</v>
      </c>
      <c r="C106" t="str">
        <f t="shared" si="4"/>
        <v>2009-04-01</v>
      </c>
      <c r="D106" s="3">
        <v>4391502</v>
      </c>
      <c r="E106" s="4">
        <f t="shared" si="5"/>
        <v>-0.00571199169786063</v>
      </c>
    </row>
    <row r="107" spans="1:5">
      <c r="A107" s="1" t="str">
        <v> 05.09</v>
      </c>
      <c r="B107" s="2">
        <f t="shared" si="3"/>
        <v>39934</v>
      </c>
      <c r="C107" t="str">
        <f t="shared" si="4"/>
        <v>2009-05-01</v>
      </c>
      <c r="D107" s="3">
        <v>4419187</v>
      </c>
      <c r="E107" s="4">
        <f t="shared" si="5"/>
        <v>0.00628443271941776</v>
      </c>
    </row>
    <row r="108" spans="1:5">
      <c r="A108" s="1" t="str">
        <v> 06.09</v>
      </c>
      <c r="B108" s="2">
        <f t="shared" si="3"/>
        <v>39965</v>
      </c>
      <c r="C108" t="str">
        <f t="shared" si="4"/>
        <v>2009-06-01</v>
      </c>
      <c r="D108" s="3">
        <v>4736890</v>
      </c>
      <c r="E108" s="4">
        <f t="shared" si="5"/>
        <v>0.0694250597042162</v>
      </c>
    </row>
    <row r="109" spans="1:5">
      <c r="A109" s="1" t="str">
        <v> 07.09</v>
      </c>
      <c r="B109" s="2">
        <f t="shared" si="3"/>
        <v>39995</v>
      </c>
      <c r="C109" t="str">
        <f t="shared" si="4"/>
        <v>2009-07-01</v>
      </c>
      <c r="D109" s="3">
        <v>4993239</v>
      </c>
      <c r="E109" s="4">
        <f t="shared" si="5"/>
        <v>0.0527039951628838</v>
      </c>
    </row>
    <row r="110" spans="1:5">
      <c r="A110" s="1" t="str">
        <v> 08.09</v>
      </c>
      <c r="B110" s="2">
        <f t="shared" si="3"/>
        <v>40026</v>
      </c>
      <c r="C110" t="str">
        <f t="shared" si="4"/>
        <v>2009-08-01</v>
      </c>
      <c r="D110" s="3">
        <v>4857713</v>
      </c>
      <c r="E110" s="4">
        <f t="shared" si="5"/>
        <v>-0.0275170463616827</v>
      </c>
    </row>
    <row r="111" spans="1:5">
      <c r="A111" s="1" t="str">
        <v> 09.09</v>
      </c>
      <c r="B111" s="2">
        <f t="shared" si="3"/>
        <v>40057</v>
      </c>
      <c r="C111" t="str">
        <f t="shared" si="4"/>
        <v>2009-09-01</v>
      </c>
      <c r="D111" s="3">
        <v>4909233</v>
      </c>
      <c r="E111" s="4">
        <f t="shared" si="5"/>
        <v>0.010549966766446</v>
      </c>
    </row>
    <row r="112" spans="1:5">
      <c r="A112" s="1" t="str">
        <v> 10.09</v>
      </c>
      <c r="B112" s="2">
        <f t="shared" si="3"/>
        <v>40087</v>
      </c>
      <c r="C112" t="str">
        <f t="shared" si="4"/>
        <v>2009-10-01</v>
      </c>
      <c r="D112" s="3">
        <v>4796942</v>
      </c>
      <c r="E112" s="4">
        <f t="shared" si="5"/>
        <v>-0.0231390862347742</v>
      </c>
    </row>
    <row r="113" spans="1:5">
      <c r="A113" s="1" t="str">
        <v> 11.09</v>
      </c>
      <c r="B113" s="2">
        <f t="shared" si="3"/>
        <v>40118</v>
      </c>
      <c r="C113" t="str">
        <f t="shared" si="4"/>
        <v>2009-11-01</v>
      </c>
      <c r="D113" s="3">
        <v>4829444</v>
      </c>
      <c r="E113" s="4">
        <f t="shared" si="5"/>
        <v>0.00675271561004369</v>
      </c>
    </row>
    <row r="114" spans="1:5">
      <c r="A114" s="1" t="str">
        <v> 12.09</v>
      </c>
      <c r="B114" s="2">
        <f t="shared" si="3"/>
        <v>40148</v>
      </c>
      <c r="C114" t="str">
        <f t="shared" si="4"/>
        <v>2009-12-01</v>
      </c>
      <c r="D114" s="3">
        <v>5335204</v>
      </c>
      <c r="E114" s="4">
        <f t="shared" si="5"/>
        <v>0.0995957749065348</v>
      </c>
    </row>
    <row r="115" spans="1:5">
      <c r="A115" s="1" t="str">
        <v> 01.10</v>
      </c>
      <c r="B115" s="2">
        <f t="shared" si="3"/>
        <v>40179</v>
      </c>
      <c r="C115" t="str">
        <f t="shared" si="4"/>
        <v>2010-01-01</v>
      </c>
      <c r="D115" s="3">
        <v>5394164</v>
      </c>
      <c r="E115" s="4">
        <f t="shared" si="5"/>
        <v>0.0109905063348333</v>
      </c>
    </row>
    <row r="116" spans="1:5">
      <c r="A116" s="1" t="str">
        <v> 02.10</v>
      </c>
      <c r="B116" s="2">
        <f t="shared" si="3"/>
        <v>40210</v>
      </c>
      <c r="C116" t="str">
        <f t="shared" si="4"/>
        <v>2010-02-01</v>
      </c>
      <c r="D116" s="3">
        <v>5544467</v>
      </c>
      <c r="E116" s="4">
        <f t="shared" si="5"/>
        <v>0.0274828651411476</v>
      </c>
    </row>
    <row r="117" spans="1:5">
      <c r="A117" s="1" t="str">
        <v> 03.10</v>
      </c>
      <c r="B117" s="2">
        <f t="shared" si="3"/>
        <v>40238</v>
      </c>
      <c r="C117" t="str">
        <f t="shared" si="4"/>
        <v>2010-03-01</v>
      </c>
      <c r="D117" s="3">
        <v>5709675</v>
      </c>
      <c r="E117" s="4">
        <f t="shared" si="5"/>
        <v>0.0293616108105282</v>
      </c>
    </row>
    <row r="118" spans="1:5">
      <c r="A118" s="1" t="str">
        <v> 04.10</v>
      </c>
      <c r="B118" s="2">
        <f t="shared" si="3"/>
        <v>40269</v>
      </c>
      <c r="C118" t="str">
        <f t="shared" si="4"/>
        <v>2010-04-01</v>
      </c>
      <c r="D118" s="3">
        <v>5914060</v>
      </c>
      <c r="E118" s="4">
        <f t="shared" si="5"/>
        <v>0.0351704624366946</v>
      </c>
    </row>
    <row r="119" spans="1:5">
      <c r="A119" s="1" t="str">
        <v> 05.10</v>
      </c>
      <c r="B119" s="2">
        <f t="shared" si="3"/>
        <v>40299</v>
      </c>
      <c r="C119" t="str">
        <f t="shared" si="4"/>
        <v>2010-05-01</v>
      </c>
      <c r="D119" s="3">
        <v>6015559</v>
      </c>
      <c r="E119" s="4">
        <f t="shared" si="5"/>
        <v>0.0170167126428802</v>
      </c>
    </row>
    <row r="120" spans="1:5">
      <c r="A120" s="1" t="str">
        <v> 06.10</v>
      </c>
      <c r="B120" s="2">
        <f t="shared" si="3"/>
        <v>40330</v>
      </c>
      <c r="C120" t="str">
        <f t="shared" si="4"/>
        <v>2010-06-01</v>
      </c>
      <c r="D120" s="3">
        <v>6124467</v>
      </c>
      <c r="E120" s="4">
        <f t="shared" si="5"/>
        <v>0.0179424527967776</v>
      </c>
    </row>
    <row r="121" spans="1:5">
      <c r="A121" s="1" t="str">
        <v> 07.10</v>
      </c>
      <c r="B121" s="2">
        <f t="shared" si="3"/>
        <v>40360</v>
      </c>
      <c r="C121" t="str">
        <f t="shared" si="4"/>
        <v>2010-07-01</v>
      </c>
      <c r="D121" s="3">
        <v>6300518</v>
      </c>
      <c r="E121" s="4">
        <f t="shared" si="5"/>
        <v>0.0283401200035155</v>
      </c>
    </row>
    <row r="122" spans="1:5">
      <c r="A122" s="1" t="str">
        <v> 08.10</v>
      </c>
      <c r="B122" s="2">
        <f t="shared" si="3"/>
        <v>40391</v>
      </c>
      <c r="C122" t="str">
        <f t="shared" si="4"/>
        <v>2010-08-01</v>
      </c>
      <c r="D122" s="3">
        <v>6367061</v>
      </c>
      <c r="E122" s="4">
        <f t="shared" si="5"/>
        <v>0.0105061293995742</v>
      </c>
    </row>
    <row r="123" spans="1:5">
      <c r="A123" s="1" t="str">
        <v> 09.10</v>
      </c>
      <c r="B123" s="2">
        <f t="shared" si="3"/>
        <v>40422</v>
      </c>
      <c r="C123" t="str">
        <f t="shared" si="4"/>
        <v>2010-09-01</v>
      </c>
      <c r="D123" s="3">
        <v>6581709</v>
      </c>
      <c r="E123" s="4">
        <f t="shared" si="5"/>
        <v>0.0331564564186992</v>
      </c>
    </row>
    <row r="124" spans="1:5">
      <c r="A124" s="1" t="str">
        <v> 10.10</v>
      </c>
      <c r="B124" s="2">
        <f t="shared" si="3"/>
        <v>40452</v>
      </c>
      <c r="C124" t="str">
        <f t="shared" si="4"/>
        <v>2010-10-01</v>
      </c>
      <c r="D124" s="3">
        <v>6693128</v>
      </c>
      <c r="E124" s="4">
        <f t="shared" si="5"/>
        <v>0.0167868903361033</v>
      </c>
    </row>
    <row r="125" spans="1:5">
      <c r="A125" s="1" t="str">
        <v> 11.10</v>
      </c>
      <c r="B125" s="2">
        <f t="shared" si="3"/>
        <v>40483</v>
      </c>
      <c r="C125" t="str">
        <f t="shared" si="4"/>
        <v>2010-11-01</v>
      </c>
      <c r="D125" s="3">
        <v>6615320</v>
      </c>
      <c r="E125" s="4">
        <f t="shared" si="5"/>
        <v>-0.0116931570916156</v>
      </c>
    </row>
    <row r="126" spans="1:5">
      <c r="A126" s="1" t="str">
        <v> 12.10</v>
      </c>
      <c r="B126" s="2">
        <f t="shared" si="3"/>
        <v>40513</v>
      </c>
      <c r="C126" t="str">
        <f t="shared" si="4"/>
        <v>2010-12-01</v>
      </c>
      <c r="D126" s="3">
        <v>6570099</v>
      </c>
      <c r="E126" s="4">
        <f t="shared" si="5"/>
        <v>-0.00685927042626749</v>
      </c>
    </row>
    <row r="127" spans="1:5">
      <c r="A127" s="1" t="str">
        <v> 01.11</v>
      </c>
      <c r="B127" s="2">
        <f t="shared" si="3"/>
        <v>40544</v>
      </c>
      <c r="C127" t="str">
        <f t="shared" si="4"/>
        <v>2011-01-01</v>
      </c>
      <c r="D127" s="3">
        <v>6649830</v>
      </c>
      <c r="E127" s="4">
        <f t="shared" si="5"/>
        <v>0.0120623895550848</v>
      </c>
    </row>
    <row r="128" spans="1:5">
      <c r="A128" s="1" t="str">
        <v> 02.11</v>
      </c>
      <c r="B128" s="2">
        <f t="shared" si="3"/>
        <v>40575</v>
      </c>
      <c r="C128" t="str">
        <f t="shared" si="4"/>
        <v>2011-02-01</v>
      </c>
      <c r="D128" s="3">
        <v>6802837</v>
      </c>
      <c r="E128" s="4">
        <f t="shared" si="5"/>
        <v>0.0227484406270126</v>
      </c>
    </row>
    <row r="129" spans="1:5">
      <c r="A129" s="1" t="str">
        <v> 03.11</v>
      </c>
      <c r="B129" s="2">
        <f t="shared" si="3"/>
        <v>40603</v>
      </c>
      <c r="C129" t="str">
        <f t="shared" si="4"/>
        <v>2011-03-01</v>
      </c>
      <c r="D129" s="3">
        <v>7167153</v>
      </c>
      <c r="E129" s="4">
        <f t="shared" si="5"/>
        <v>0.0521687735699679</v>
      </c>
    </row>
    <row r="130" spans="1:5">
      <c r="A130" s="1" t="str">
        <v> 04.11</v>
      </c>
      <c r="B130" s="2">
        <f t="shared" ref="B130:B193" si="6">DATE(2000+VALUE(RIGHT(TEXT(A130,"00.00"),2)),VALUE(LEFT(TEXT(A130,"00.00"),2)),1)</f>
        <v>40634</v>
      </c>
      <c r="C130" t="str">
        <f t="shared" ref="C130:C193" si="7">TEXT(B130,"yyyy-mm-01")</f>
        <v>2011-04-01</v>
      </c>
      <c r="D130" s="3">
        <v>7252484</v>
      </c>
      <c r="E130" s="4">
        <f t="shared" si="5"/>
        <v>0.0118355262469669</v>
      </c>
    </row>
    <row r="131" spans="1:5">
      <c r="A131" s="1" t="str">
        <v> 05.11</v>
      </c>
      <c r="B131" s="2">
        <f t="shared" si="6"/>
        <v>40664</v>
      </c>
      <c r="C131" t="str">
        <f t="shared" si="7"/>
        <v>2011-05-01</v>
      </c>
      <c r="D131" s="3">
        <v>7209417</v>
      </c>
      <c r="E131" s="4">
        <f t="shared" ref="E131:E194" si="8">LN(D131/D130)</f>
        <v>-0.00595594276443716</v>
      </c>
    </row>
    <row r="132" spans="1:5">
      <c r="A132" s="1" t="str">
        <v> 06.11</v>
      </c>
      <c r="B132" s="2">
        <f t="shared" si="6"/>
        <v>40695</v>
      </c>
      <c r="C132" t="str">
        <f t="shared" si="7"/>
        <v>2011-06-01</v>
      </c>
      <c r="D132" s="3">
        <v>7568969</v>
      </c>
      <c r="E132" s="4">
        <f t="shared" si="8"/>
        <v>0.0486687745545842</v>
      </c>
    </row>
    <row r="133" spans="1:5">
      <c r="A133" s="1" t="str">
        <v> 07.11</v>
      </c>
      <c r="B133" s="2">
        <f t="shared" si="6"/>
        <v>40725</v>
      </c>
      <c r="C133" t="str">
        <f t="shared" si="7"/>
        <v>2011-07-01</v>
      </c>
      <c r="D133" s="3">
        <v>8014382</v>
      </c>
      <c r="E133" s="4">
        <f t="shared" si="8"/>
        <v>0.0571808149960958</v>
      </c>
    </row>
    <row r="134" spans="1:5">
      <c r="A134" s="1" t="str">
        <v> 08.11</v>
      </c>
      <c r="B134" s="2">
        <f t="shared" si="6"/>
        <v>40756</v>
      </c>
      <c r="C134" t="str">
        <f t="shared" si="7"/>
        <v>2011-08-01</v>
      </c>
      <c r="D134" s="3">
        <v>7769597</v>
      </c>
      <c r="E134" s="4">
        <f t="shared" si="8"/>
        <v>-0.0310193807788217</v>
      </c>
    </row>
    <row r="135" spans="1:5">
      <c r="A135" s="1" t="str">
        <v> 09.11</v>
      </c>
      <c r="B135" s="2">
        <f t="shared" si="6"/>
        <v>40787</v>
      </c>
      <c r="C135" t="str">
        <f t="shared" si="7"/>
        <v>2011-09-01</v>
      </c>
      <c r="D135" s="3">
        <v>8006900</v>
      </c>
      <c r="E135" s="4">
        <f t="shared" si="8"/>
        <v>0.0300853730578512</v>
      </c>
    </row>
    <row r="136" spans="1:5">
      <c r="A136" s="1" t="str">
        <v> 10.11</v>
      </c>
      <c r="B136" s="2">
        <f t="shared" si="6"/>
        <v>40817</v>
      </c>
      <c r="C136" t="str">
        <f t="shared" si="7"/>
        <v>2011-10-01</v>
      </c>
      <c r="D136" s="3">
        <v>7909954</v>
      </c>
      <c r="E136" s="4">
        <f t="shared" si="8"/>
        <v>-0.0121817036013074</v>
      </c>
    </row>
    <row r="137" spans="1:5">
      <c r="A137" s="1" t="str">
        <v> 11.11</v>
      </c>
      <c r="B137" s="2">
        <f t="shared" si="6"/>
        <v>40848</v>
      </c>
      <c r="C137" t="str">
        <f t="shared" si="7"/>
        <v>2011-11-01</v>
      </c>
      <c r="D137" s="3">
        <v>7754881</v>
      </c>
      <c r="E137" s="4">
        <f t="shared" si="8"/>
        <v>-0.0197995147671202</v>
      </c>
    </row>
    <row r="138" spans="1:5">
      <c r="A138" s="1" t="str">
        <v> 12.11</v>
      </c>
      <c r="B138" s="2">
        <f t="shared" si="6"/>
        <v>40878</v>
      </c>
      <c r="C138" t="str">
        <f t="shared" si="7"/>
        <v>2011-12-01</v>
      </c>
      <c r="D138" s="3">
        <v>7967502</v>
      </c>
      <c r="E138" s="4">
        <f t="shared" si="8"/>
        <v>0.0270485667570726</v>
      </c>
    </row>
    <row r="139" spans="1:5">
      <c r="A139" s="1" t="str">
        <v> 01.12</v>
      </c>
      <c r="B139" s="2">
        <f t="shared" si="6"/>
        <v>40909</v>
      </c>
      <c r="C139" t="str">
        <f t="shared" si="7"/>
        <v>2012-01-01</v>
      </c>
      <c r="D139" s="3">
        <v>7783105</v>
      </c>
      <c r="E139" s="4">
        <f t="shared" si="8"/>
        <v>-0.0234156595010453</v>
      </c>
    </row>
    <row r="140" spans="1:5">
      <c r="A140" s="1" t="str">
        <v> 02.12</v>
      </c>
      <c r="B140" s="2">
        <f t="shared" si="6"/>
        <v>40940</v>
      </c>
      <c r="C140" t="str">
        <f t="shared" si="7"/>
        <v>2012-02-01</v>
      </c>
      <c r="D140" s="3">
        <v>8050932</v>
      </c>
      <c r="E140" s="4">
        <f t="shared" si="8"/>
        <v>0.0338325022983722</v>
      </c>
    </row>
    <row r="141" spans="1:5">
      <c r="A141" s="1" t="str">
        <v> 03.12</v>
      </c>
      <c r="B141" s="2">
        <f t="shared" si="6"/>
        <v>40969</v>
      </c>
      <c r="C141" t="str">
        <f t="shared" si="7"/>
        <v>2012-03-01</v>
      </c>
      <c r="D141" s="3">
        <v>8418579</v>
      </c>
      <c r="E141" s="4">
        <f t="shared" si="8"/>
        <v>0.044653188039823</v>
      </c>
    </row>
    <row r="142" spans="1:5">
      <c r="A142" s="1" t="str">
        <v> 04.12</v>
      </c>
      <c r="B142" s="2">
        <f t="shared" si="6"/>
        <v>41000</v>
      </c>
      <c r="C142" t="str">
        <f t="shared" si="7"/>
        <v>2012-04-01</v>
      </c>
      <c r="D142" s="3">
        <v>8618624</v>
      </c>
      <c r="E142" s="4">
        <f t="shared" si="8"/>
        <v>0.0234843939970314</v>
      </c>
    </row>
    <row r="143" spans="1:5">
      <c r="A143" s="1" t="str">
        <v> 05.12</v>
      </c>
      <c r="B143" s="2">
        <f t="shared" si="6"/>
        <v>41030</v>
      </c>
      <c r="C143" t="str">
        <f t="shared" si="7"/>
        <v>2012-05-01</v>
      </c>
      <c r="D143" s="3">
        <v>8454048</v>
      </c>
      <c r="E143" s="4">
        <f t="shared" si="8"/>
        <v>-0.0192800632491287</v>
      </c>
    </row>
    <row r="144" spans="1:5">
      <c r="A144" s="1" t="str">
        <v> 06.12</v>
      </c>
      <c r="B144" s="2">
        <f t="shared" si="6"/>
        <v>41061</v>
      </c>
      <c r="C144" t="str">
        <f t="shared" si="7"/>
        <v>2012-06-01</v>
      </c>
      <c r="D144" s="3">
        <v>8490391</v>
      </c>
      <c r="E144" s="4">
        <f t="shared" si="8"/>
        <v>0.00428967353004136</v>
      </c>
    </row>
    <row r="145" spans="1:5">
      <c r="A145" s="1" t="str">
        <v> 07.12</v>
      </c>
      <c r="B145" s="2">
        <f t="shared" si="6"/>
        <v>41091</v>
      </c>
      <c r="C145" t="str">
        <f t="shared" si="7"/>
        <v>2012-07-01</v>
      </c>
      <c r="D145" s="3">
        <v>8602644</v>
      </c>
      <c r="E145" s="4">
        <f t="shared" si="8"/>
        <v>0.0131345444251781</v>
      </c>
    </row>
    <row r="146" spans="1:5">
      <c r="A146" s="1" t="str">
        <v> 08.12</v>
      </c>
      <c r="B146" s="2">
        <f t="shared" si="6"/>
        <v>41122</v>
      </c>
      <c r="C146" t="str">
        <f t="shared" si="7"/>
        <v>2012-08-01</v>
      </c>
      <c r="D146" s="3">
        <v>8409751</v>
      </c>
      <c r="E146" s="4">
        <f t="shared" si="8"/>
        <v>-0.022677731932808</v>
      </c>
    </row>
    <row r="147" spans="1:5">
      <c r="A147" s="1" t="str">
        <v> 09.12</v>
      </c>
      <c r="B147" s="2">
        <f t="shared" si="6"/>
        <v>41153</v>
      </c>
      <c r="C147" t="str">
        <f t="shared" si="7"/>
        <v>2012-09-01</v>
      </c>
      <c r="D147" s="3">
        <v>8481616</v>
      </c>
      <c r="E147" s="4">
        <f t="shared" si="8"/>
        <v>0.00850913174959207</v>
      </c>
    </row>
    <row r="148" spans="1:5">
      <c r="A148" s="1" t="str">
        <v> 10.12</v>
      </c>
      <c r="B148" s="2">
        <f t="shared" si="6"/>
        <v>41183</v>
      </c>
      <c r="C148" t="str">
        <f t="shared" si="7"/>
        <v>2012-10-01</v>
      </c>
      <c r="D148" s="3">
        <v>8761681</v>
      </c>
      <c r="E148" s="4">
        <f t="shared" si="8"/>
        <v>0.0324867838298362</v>
      </c>
    </row>
    <row r="149" spans="1:5">
      <c r="A149" s="1" t="str">
        <v> 11.12</v>
      </c>
      <c r="B149" s="2">
        <f t="shared" si="6"/>
        <v>41214</v>
      </c>
      <c r="C149" t="str">
        <f t="shared" si="7"/>
        <v>2012-11-01</v>
      </c>
      <c r="D149" s="3">
        <v>8513774</v>
      </c>
      <c r="E149" s="4">
        <f t="shared" si="8"/>
        <v>-0.0287024589772508</v>
      </c>
    </row>
    <row r="150" spans="1:5">
      <c r="A150" s="1" t="str">
        <v> 12.12</v>
      </c>
      <c r="B150" s="2">
        <f t="shared" si="6"/>
        <v>41244</v>
      </c>
      <c r="C150" t="str">
        <f t="shared" si="7"/>
        <v>2012-12-01</v>
      </c>
      <c r="D150" s="3">
        <v>8546937</v>
      </c>
      <c r="E150" s="4">
        <f t="shared" si="8"/>
        <v>0.0038876506106117</v>
      </c>
    </row>
    <row r="151" spans="1:5">
      <c r="A151" s="1" t="str">
        <v> 01.13</v>
      </c>
      <c r="B151" s="2">
        <f t="shared" si="6"/>
        <v>41275</v>
      </c>
      <c r="C151" t="str">
        <f t="shared" si="7"/>
        <v>2013-01-01</v>
      </c>
      <c r="D151" s="3">
        <v>8565684</v>
      </c>
      <c r="E151" s="4">
        <f t="shared" si="8"/>
        <v>0.00219101533302881</v>
      </c>
    </row>
    <row r="152" spans="1:5">
      <c r="A152" s="1" t="str">
        <v> 02.13</v>
      </c>
      <c r="B152" s="2">
        <f t="shared" si="6"/>
        <v>41306</v>
      </c>
      <c r="C152" t="str">
        <f t="shared" si="7"/>
        <v>2013-02-01</v>
      </c>
      <c r="D152" s="3">
        <v>8625526</v>
      </c>
      <c r="E152" s="4">
        <f t="shared" si="8"/>
        <v>0.00696195808275671</v>
      </c>
    </row>
    <row r="153" spans="1:5">
      <c r="A153" s="1" t="str">
        <v> 03.13</v>
      </c>
      <c r="B153" s="2">
        <f t="shared" si="6"/>
        <v>41334</v>
      </c>
      <c r="C153" t="str">
        <f t="shared" si="7"/>
        <v>2013-03-01</v>
      </c>
      <c r="D153" s="3">
        <v>9055443</v>
      </c>
      <c r="E153" s="4">
        <f t="shared" si="8"/>
        <v>0.0486400668203692</v>
      </c>
    </row>
    <row r="154" spans="1:5">
      <c r="A154" s="1" t="str">
        <v> 04.13</v>
      </c>
      <c r="B154" s="2">
        <f t="shared" si="6"/>
        <v>41365</v>
      </c>
      <c r="C154" t="str">
        <f t="shared" si="7"/>
        <v>2013-04-01</v>
      </c>
      <c r="D154" s="3">
        <v>9054066</v>
      </c>
      <c r="E154" s="4">
        <f t="shared" si="8"/>
        <v>-0.000152074802542003</v>
      </c>
    </row>
    <row r="155" spans="1:5">
      <c r="A155" s="1" t="str">
        <v> 05.13</v>
      </c>
      <c r="B155" s="2">
        <f t="shared" si="6"/>
        <v>41395</v>
      </c>
      <c r="C155" t="str">
        <f t="shared" si="7"/>
        <v>2013-05-01</v>
      </c>
      <c r="D155" s="3">
        <v>9217374</v>
      </c>
      <c r="E155" s="4">
        <f t="shared" si="8"/>
        <v>0.0178762427996534</v>
      </c>
    </row>
    <row r="156" spans="1:5">
      <c r="A156" s="1" t="str">
        <v> 06.13</v>
      </c>
      <c r="B156" s="2">
        <f t="shared" si="6"/>
        <v>41426</v>
      </c>
      <c r="C156" t="str">
        <f t="shared" si="7"/>
        <v>2013-06-01</v>
      </c>
      <c r="D156" s="3">
        <v>9142394</v>
      </c>
      <c r="E156" s="4">
        <f t="shared" si="8"/>
        <v>-0.00816790461132253</v>
      </c>
    </row>
    <row r="157" spans="1:5">
      <c r="A157" s="1" t="str">
        <v> 07.13</v>
      </c>
      <c r="B157" s="2">
        <f t="shared" si="6"/>
        <v>41456</v>
      </c>
      <c r="C157" t="str">
        <f t="shared" si="7"/>
        <v>2013-07-01</v>
      </c>
      <c r="D157" s="3">
        <v>9015157</v>
      </c>
      <c r="E157" s="4">
        <f t="shared" si="8"/>
        <v>-0.0140150048489069</v>
      </c>
    </row>
    <row r="158" spans="1:5">
      <c r="A158" s="1" t="str">
        <v> 08.13</v>
      </c>
      <c r="B158" s="2">
        <f t="shared" si="6"/>
        <v>41487</v>
      </c>
      <c r="C158" t="str">
        <f t="shared" si="7"/>
        <v>2013-08-01</v>
      </c>
      <c r="D158" s="3">
        <v>8597672</v>
      </c>
      <c r="E158" s="4">
        <f t="shared" si="8"/>
        <v>-0.0474158029825659</v>
      </c>
    </row>
    <row r="159" spans="1:5">
      <c r="A159" s="1" t="str">
        <v> 09.13</v>
      </c>
      <c r="B159" s="2">
        <f t="shared" si="6"/>
        <v>41518</v>
      </c>
      <c r="C159" t="str">
        <f t="shared" si="7"/>
        <v>2013-09-01</v>
      </c>
      <c r="D159" s="3">
        <v>8767001</v>
      </c>
      <c r="E159" s="4">
        <f t="shared" si="8"/>
        <v>0.0195033177307313</v>
      </c>
    </row>
    <row r="160" spans="1:5">
      <c r="A160" s="1" t="str">
        <v> 10.13</v>
      </c>
      <c r="B160" s="2">
        <f t="shared" si="6"/>
        <v>41548</v>
      </c>
      <c r="C160" t="str">
        <f t="shared" si="7"/>
        <v>2013-10-01</v>
      </c>
      <c r="D160" s="3">
        <v>8845021</v>
      </c>
      <c r="E160" s="4">
        <f t="shared" si="8"/>
        <v>0.00885991516110874</v>
      </c>
    </row>
    <row r="161" spans="1:5">
      <c r="A161" s="1" t="str">
        <v> 11.13</v>
      </c>
      <c r="B161" s="2">
        <f t="shared" si="6"/>
        <v>41579</v>
      </c>
      <c r="C161" t="str">
        <f t="shared" si="7"/>
        <v>2013-11-01</v>
      </c>
      <c r="D161" s="3">
        <v>8553673</v>
      </c>
      <c r="E161" s="4">
        <f t="shared" si="8"/>
        <v>-0.0334939204873533</v>
      </c>
    </row>
    <row r="162" spans="1:5">
      <c r="A162" s="1" t="str">
        <v> 12.13</v>
      </c>
      <c r="B162" s="2">
        <f t="shared" si="6"/>
        <v>41609</v>
      </c>
      <c r="C162" t="str">
        <f t="shared" si="7"/>
        <v>2013-12-01</v>
      </c>
      <c r="D162" s="3">
        <v>8677614</v>
      </c>
      <c r="E162" s="4">
        <f t="shared" si="8"/>
        <v>0.014385824747581</v>
      </c>
    </row>
    <row r="163" spans="1:5">
      <c r="A163" s="1" t="str">
        <v> 01.14</v>
      </c>
      <c r="B163" s="2">
        <f t="shared" si="6"/>
        <v>41640</v>
      </c>
      <c r="C163" t="str">
        <f t="shared" si="7"/>
        <v>2014-01-01</v>
      </c>
      <c r="D163" s="3">
        <v>8852992</v>
      </c>
      <c r="E163" s="4">
        <f t="shared" si="8"/>
        <v>0.0200088748881406</v>
      </c>
    </row>
    <row r="164" spans="1:5">
      <c r="A164" s="1" t="str">
        <v> 02.14</v>
      </c>
      <c r="B164" s="2">
        <f t="shared" si="6"/>
        <v>41671</v>
      </c>
      <c r="C164" t="str">
        <f t="shared" si="7"/>
        <v>2014-02-01</v>
      </c>
      <c r="D164" s="3">
        <v>8885360</v>
      </c>
      <c r="E164" s="4">
        <f t="shared" si="8"/>
        <v>0.003649497532276</v>
      </c>
    </row>
    <row r="165" spans="1:5">
      <c r="A165" s="1" t="str">
        <v> 03.14</v>
      </c>
      <c r="B165" s="2">
        <f t="shared" si="6"/>
        <v>41699</v>
      </c>
      <c r="C165" t="str">
        <f t="shared" si="7"/>
        <v>2014-03-01</v>
      </c>
      <c r="D165" s="3">
        <v>8929836</v>
      </c>
      <c r="E165" s="4">
        <f t="shared" si="8"/>
        <v>0.00499305114587871</v>
      </c>
    </row>
    <row r="166" spans="1:5">
      <c r="A166" s="1" t="str">
        <v> 04.14</v>
      </c>
      <c r="B166" s="2">
        <f t="shared" si="6"/>
        <v>41730</v>
      </c>
      <c r="C166" t="str">
        <f t="shared" si="7"/>
        <v>2014-04-01</v>
      </c>
      <c r="D166" s="3">
        <v>8958985</v>
      </c>
      <c r="E166" s="4">
        <f t="shared" si="8"/>
        <v>0.00325890966185599</v>
      </c>
    </row>
    <row r="167" spans="1:5">
      <c r="A167" s="1" t="str">
        <v> 05.14</v>
      </c>
      <c r="B167" s="2">
        <f t="shared" si="6"/>
        <v>41760</v>
      </c>
      <c r="C167" t="str">
        <f t="shared" si="7"/>
        <v>2014-05-01</v>
      </c>
      <c r="D167" s="3">
        <v>9207866</v>
      </c>
      <c r="E167" s="4">
        <f t="shared" si="8"/>
        <v>0.0274011794306696</v>
      </c>
    </row>
    <row r="168" spans="1:5">
      <c r="A168" s="1" t="str">
        <v> 06.14</v>
      </c>
      <c r="B168" s="2">
        <f t="shared" si="6"/>
        <v>41791</v>
      </c>
      <c r="C168" t="str">
        <f t="shared" si="7"/>
        <v>2014-06-01</v>
      </c>
      <c r="D168" s="3">
        <v>9735037</v>
      </c>
      <c r="E168" s="4">
        <f t="shared" si="8"/>
        <v>0.0556733207852921</v>
      </c>
    </row>
    <row r="169" spans="1:5">
      <c r="A169" s="1" t="str">
        <v> 07.14</v>
      </c>
      <c r="B169" s="2">
        <f t="shared" si="6"/>
        <v>41821</v>
      </c>
      <c r="C169" t="str">
        <f t="shared" si="7"/>
        <v>2014-07-01</v>
      </c>
      <c r="D169" s="3">
        <v>9753108</v>
      </c>
      <c r="E169" s="4">
        <f t="shared" si="8"/>
        <v>0.00185456390841298</v>
      </c>
    </row>
    <row r="170" spans="1:5">
      <c r="A170" s="1" t="str">
        <v> 08.14</v>
      </c>
      <c r="B170" s="2">
        <f t="shared" si="6"/>
        <v>41852</v>
      </c>
      <c r="C170" t="str">
        <f t="shared" si="7"/>
        <v>2014-08-01</v>
      </c>
      <c r="D170" s="3">
        <v>9567604</v>
      </c>
      <c r="E170" s="4">
        <f t="shared" si="8"/>
        <v>-0.0192031950525039</v>
      </c>
    </row>
    <row r="171" spans="1:5">
      <c r="A171" s="1" t="str">
        <v> 09.14</v>
      </c>
      <c r="B171" s="2">
        <f t="shared" si="6"/>
        <v>41883</v>
      </c>
      <c r="C171" t="str">
        <f t="shared" si="7"/>
        <v>2014-09-01</v>
      </c>
      <c r="D171" s="3">
        <v>9550238</v>
      </c>
      <c r="E171" s="4">
        <f t="shared" si="8"/>
        <v>-0.0018167327438316</v>
      </c>
    </row>
    <row r="172" spans="1:5">
      <c r="A172" s="1" t="str">
        <v> 10.14</v>
      </c>
      <c r="B172" s="2">
        <f t="shared" si="6"/>
        <v>41913</v>
      </c>
      <c r="C172" t="str">
        <f t="shared" si="7"/>
        <v>2014-10-01</v>
      </c>
      <c r="D172" s="3">
        <v>9203084</v>
      </c>
      <c r="E172" s="4">
        <f t="shared" si="8"/>
        <v>-0.0370274303745706</v>
      </c>
    </row>
    <row r="173" spans="1:5">
      <c r="A173" s="1" t="str">
        <v> 11.14</v>
      </c>
      <c r="B173" s="2">
        <f t="shared" si="6"/>
        <v>41944</v>
      </c>
      <c r="C173" t="str">
        <f t="shared" si="7"/>
        <v>2014-11-01</v>
      </c>
      <c r="D173" s="3">
        <v>8583963</v>
      </c>
      <c r="E173" s="4">
        <f t="shared" si="8"/>
        <v>-0.0696429502992221</v>
      </c>
    </row>
    <row r="174" spans="1:5">
      <c r="A174" s="1" t="str">
        <v> 12.14</v>
      </c>
      <c r="B174" s="2">
        <f t="shared" si="6"/>
        <v>41974</v>
      </c>
      <c r="C174" t="str">
        <f t="shared" si="7"/>
        <v>2014-12-01</v>
      </c>
      <c r="D174" s="3">
        <v>7963822</v>
      </c>
      <c r="E174" s="4">
        <f t="shared" si="8"/>
        <v>-0.0749866595997075</v>
      </c>
    </row>
    <row r="175" spans="1:5">
      <c r="A175" s="1" t="str">
        <v> 01.15</v>
      </c>
      <c r="B175" s="2">
        <f t="shared" si="6"/>
        <v>42005</v>
      </c>
      <c r="C175" t="str">
        <f t="shared" si="7"/>
        <v>2015-01-01</v>
      </c>
      <c r="D175" s="3">
        <v>7629678</v>
      </c>
      <c r="E175" s="4">
        <f t="shared" si="8"/>
        <v>-0.0428633928035921</v>
      </c>
    </row>
    <row r="176" spans="1:5">
      <c r="A176" s="1" t="str">
        <v> 02.15</v>
      </c>
      <c r="B176" s="2">
        <f t="shared" si="6"/>
        <v>42036</v>
      </c>
      <c r="C176" t="str">
        <f t="shared" si="7"/>
        <v>2015-02-01</v>
      </c>
      <c r="D176" s="3">
        <v>7652501</v>
      </c>
      <c r="E176" s="4">
        <f t="shared" si="8"/>
        <v>0.00298687994269079</v>
      </c>
    </row>
    <row r="177" spans="1:5">
      <c r="A177" s="1" t="str">
        <v> 03.15</v>
      </c>
      <c r="B177" s="2">
        <f t="shared" si="6"/>
        <v>42064</v>
      </c>
      <c r="C177" t="str">
        <f t="shared" si="7"/>
        <v>2015-03-01</v>
      </c>
      <c r="D177" s="3">
        <v>7792061</v>
      </c>
      <c r="E177" s="4">
        <f t="shared" si="8"/>
        <v>0.0180728723380139</v>
      </c>
    </row>
    <row r="178" spans="1:5">
      <c r="A178" s="1" t="str">
        <v> 04.15</v>
      </c>
      <c r="B178" s="2">
        <f t="shared" si="6"/>
        <v>42095</v>
      </c>
      <c r="C178" t="str">
        <f t="shared" si="7"/>
        <v>2015-04-01</v>
      </c>
      <c r="D178" s="3">
        <v>7593353</v>
      </c>
      <c r="E178" s="4">
        <f t="shared" si="8"/>
        <v>-0.0258321355128928</v>
      </c>
    </row>
    <row r="179" spans="1:5">
      <c r="A179" s="1" t="str">
        <v> 05.15</v>
      </c>
      <c r="B179" s="2">
        <f t="shared" si="6"/>
        <v>42125</v>
      </c>
      <c r="C179" t="str">
        <f t="shared" si="7"/>
        <v>2015-05-01</v>
      </c>
      <c r="D179" s="3">
        <v>7828329</v>
      </c>
      <c r="E179" s="4">
        <f t="shared" si="8"/>
        <v>0.0304758179270868</v>
      </c>
    </row>
    <row r="180" spans="1:5">
      <c r="A180" s="1" t="str">
        <v> 06.15</v>
      </c>
      <c r="B180" s="2">
        <f t="shared" si="6"/>
        <v>42156</v>
      </c>
      <c r="C180" t="str">
        <f t="shared" si="7"/>
        <v>2015-06-01</v>
      </c>
      <c r="D180" s="3">
        <v>8521942</v>
      </c>
      <c r="E180" s="4">
        <f t="shared" si="8"/>
        <v>0.0848951718745756</v>
      </c>
    </row>
    <row r="181" spans="1:5">
      <c r="A181" s="1" t="str">
        <v> 07.15</v>
      </c>
      <c r="B181" s="2">
        <f t="shared" si="6"/>
        <v>42186</v>
      </c>
      <c r="C181" t="str">
        <f t="shared" si="7"/>
        <v>2015-07-01</v>
      </c>
      <c r="D181" s="3">
        <v>8178410</v>
      </c>
      <c r="E181" s="4">
        <f t="shared" si="8"/>
        <v>-0.0411464939474827</v>
      </c>
    </row>
    <row r="182" spans="1:5">
      <c r="A182" s="1" t="str">
        <v> 08.15</v>
      </c>
      <c r="B182" s="2">
        <f t="shared" si="6"/>
        <v>42217</v>
      </c>
      <c r="C182" t="str">
        <f t="shared" si="7"/>
        <v>2015-08-01</v>
      </c>
      <c r="D182" s="3">
        <v>8231989</v>
      </c>
      <c r="E182" s="4">
        <f t="shared" si="8"/>
        <v>0.00652990708909784</v>
      </c>
    </row>
    <row r="183" spans="1:5">
      <c r="A183" s="1" t="str">
        <v> 09.15</v>
      </c>
      <c r="B183" s="2">
        <f t="shared" si="6"/>
        <v>42248</v>
      </c>
      <c r="C183" t="str">
        <f t="shared" si="7"/>
        <v>2015-09-01</v>
      </c>
      <c r="D183" s="3">
        <v>8427924</v>
      </c>
      <c r="E183" s="4">
        <f t="shared" si="8"/>
        <v>0.0235228160587011</v>
      </c>
    </row>
    <row r="184" spans="1:5">
      <c r="A184" s="1" t="str">
        <v> 10.15</v>
      </c>
      <c r="B184" s="2">
        <f t="shared" si="6"/>
        <v>42278</v>
      </c>
      <c r="C184" t="str">
        <f t="shared" si="7"/>
        <v>2015-10-01</v>
      </c>
      <c r="D184" s="3">
        <v>8494047</v>
      </c>
      <c r="E184" s="4">
        <f t="shared" si="8"/>
        <v>0.00781508685263518</v>
      </c>
    </row>
    <row r="185" spans="1:5">
      <c r="A185" s="1" t="str">
        <v> 11.15</v>
      </c>
      <c r="B185" s="2">
        <f t="shared" si="6"/>
        <v>42309</v>
      </c>
      <c r="C185" t="str">
        <f t="shared" si="7"/>
        <v>2015-11-01</v>
      </c>
      <c r="D185" s="3">
        <v>8910779</v>
      </c>
      <c r="E185" s="4">
        <f t="shared" si="8"/>
        <v>0.0478961023216408</v>
      </c>
    </row>
    <row r="186" spans="1:5">
      <c r="A186" s="1" t="str">
        <v> 12.15</v>
      </c>
      <c r="B186" s="2">
        <f t="shared" si="6"/>
        <v>42339</v>
      </c>
      <c r="C186" t="str">
        <f t="shared" si="7"/>
        <v>2015-12-01</v>
      </c>
      <c r="D186" s="3">
        <v>8597832</v>
      </c>
      <c r="E186" s="4">
        <f t="shared" si="8"/>
        <v>-0.0357515890596288</v>
      </c>
    </row>
    <row r="187" spans="1:5">
      <c r="A187" s="1" t="str">
        <v> 01.16</v>
      </c>
      <c r="B187" s="2">
        <f t="shared" si="6"/>
        <v>42370</v>
      </c>
      <c r="C187" t="str">
        <f t="shared" si="7"/>
        <v>2016-01-01</v>
      </c>
      <c r="D187" s="3">
        <v>8565618</v>
      </c>
      <c r="E187" s="4">
        <f t="shared" si="8"/>
        <v>-0.00375379516673181</v>
      </c>
    </row>
    <row r="188" spans="1:5">
      <c r="A188" s="1" t="str">
        <v> 02.16</v>
      </c>
      <c r="B188" s="2">
        <f t="shared" si="6"/>
        <v>42401</v>
      </c>
      <c r="C188" t="str">
        <f t="shared" si="7"/>
        <v>2016-02-01</v>
      </c>
      <c r="D188" s="3">
        <v>8781806</v>
      </c>
      <c r="E188" s="4">
        <f t="shared" si="8"/>
        <v>0.0249257979668917</v>
      </c>
    </row>
    <row r="189" spans="1:5">
      <c r="A189" s="1" t="str">
        <v> 03.16</v>
      </c>
      <c r="B189" s="2">
        <f t="shared" si="6"/>
        <v>42430</v>
      </c>
      <c r="C189" t="str">
        <f t="shared" si="7"/>
        <v>2016-03-01</v>
      </c>
      <c r="D189" s="3">
        <v>9736667</v>
      </c>
      <c r="E189" s="4">
        <f t="shared" si="8"/>
        <v>0.103216780710812</v>
      </c>
    </row>
    <row r="190" spans="1:5">
      <c r="A190" s="1" t="str">
        <v> 04.16</v>
      </c>
      <c r="B190" s="2">
        <f t="shared" si="6"/>
        <v>42461</v>
      </c>
      <c r="C190" t="str">
        <f t="shared" si="7"/>
        <v>2016-04-01</v>
      </c>
      <c r="D190" s="3">
        <v>9800259</v>
      </c>
      <c r="E190" s="4">
        <f t="shared" si="8"/>
        <v>0.00650995193233582</v>
      </c>
    </row>
    <row r="191" spans="1:5">
      <c r="A191" s="1" t="str">
        <v> 05.16</v>
      </c>
      <c r="B191" s="2">
        <f t="shared" si="6"/>
        <v>42491</v>
      </c>
      <c r="C191" t="str">
        <f t="shared" si="7"/>
        <v>2016-05-01</v>
      </c>
      <c r="D191" s="3">
        <v>10170296</v>
      </c>
      <c r="E191" s="4">
        <f t="shared" si="8"/>
        <v>0.0370625009495999</v>
      </c>
    </row>
    <row r="192" spans="1:5">
      <c r="A192" s="1" t="str">
        <v> 06.16</v>
      </c>
      <c r="B192" s="2">
        <f t="shared" si="6"/>
        <v>42522</v>
      </c>
      <c r="C192" t="str">
        <f t="shared" si="7"/>
        <v>2016-06-01</v>
      </c>
      <c r="D192" s="3">
        <v>10695805</v>
      </c>
      <c r="E192" s="4">
        <f t="shared" si="8"/>
        <v>0.0503802936706918</v>
      </c>
    </row>
    <row r="193" spans="1:5">
      <c r="A193" s="1" t="str">
        <v> 07.16</v>
      </c>
      <c r="B193" s="2">
        <f t="shared" si="6"/>
        <v>42552</v>
      </c>
      <c r="C193" t="str">
        <f t="shared" si="7"/>
        <v>2016-07-01</v>
      </c>
      <c r="D193" s="3">
        <v>11270623</v>
      </c>
      <c r="E193" s="4">
        <f t="shared" si="8"/>
        <v>0.0523479975079171</v>
      </c>
    </row>
    <row r="194" spans="1:5">
      <c r="A194" s="1" t="str">
        <v> 08.16</v>
      </c>
      <c r="B194" s="2">
        <f t="shared" ref="B194:B257" si="9">DATE(2000+VALUE(RIGHT(TEXT(A194,"00.00"),2)),VALUE(LEFT(TEXT(A194,"00.00"),2)),1)</f>
        <v>42583</v>
      </c>
      <c r="C194" t="str">
        <f t="shared" ref="C194:C257" si="10">TEXT(B194,"yyyy-mm-01")</f>
        <v>2016-08-01</v>
      </c>
      <c r="D194" s="3">
        <v>10963323</v>
      </c>
      <c r="E194" s="4">
        <f t="shared" si="8"/>
        <v>-0.0276441770302485</v>
      </c>
    </row>
    <row r="195" spans="1:5">
      <c r="A195" s="1" t="str">
        <v> 09.16</v>
      </c>
      <c r="B195" s="2">
        <f t="shared" si="9"/>
        <v>42614</v>
      </c>
      <c r="C195" t="str">
        <f t="shared" si="10"/>
        <v>2016-09-01</v>
      </c>
      <c r="D195" s="3">
        <v>11214404</v>
      </c>
      <c r="E195" s="4">
        <f t="shared" ref="E195:E258" si="11">LN(D195/D194)</f>
        <v>0.0226435944514362</v>
      </c>
    </row>
    <row r="196" spans="1:5">
      <c r="A196" s="1" t="str">
        <v> 10.16</v>
      </c>
      <c r="B196" s="2">
        <f t="shared" si="9"/>
        <v>42644</v>
      </c>
      <c r="C196" t="str">
        <f t="shared" si="10"/>
        <v>2016-10-01</v>
      </c>
      <c r="D196" s="3">
        <v>11436887</v>
      </c>
      <c r="E196" s="4">
        <f t="shared" si="11"/>
        <v>0.0196448100888046</v>
      </c>
    </row>
    <row r="197" spans="1:5">
      <c r="A197" s="1" t="str">
        <v> 11.16</v>
      </c>
      <c r="B197" s="2">
        <f t="shared" si="9"/>
        <v>42675</v>
      </c>
      <c r="C197" t="str">
        <f t="shared" si="10"/>
        <v>2016-11-01</v>
      </c>
      <c r="D197" s="3">
        <v>11861815</v>
      </c>
      <c r="E197" s="4">
        <f t="shared" si="11"/>
        <v>0.0364805837370812</v>
      </c>
    </row>
    <row r="198" spans="1:5">
      <c r="A198" s="1" t="str">
        <v> 12.16</v>
      </c>
      <c r="B198" s="2">
        <f t="shared" si="9"/>
        <v>42705</v>
      </c>
      <c r="C198" t="str">
        <f t="shared" si="10"/>
        <v>2016-12-01</v>
      </c>
      <c r="D198" s="3">
        <v>12566465</v>
      </c>
      <c r="E198" s="4">
        <f t="shared" si="11"/>
        <v>0.0577073406377223</v>
      </c>
    </row>
    <row r="199" spans="1:5">
      <c r="A199" s="1" t="str">
        <v> 01.17</v>
      </c>
      <c r="B199" s="2">
        <f t="shared" si="9"/>
        <v>42736</v>
      </c>
      <c r="C199" t="str">
        <f t="shared" si="10"/>
        <v>2017-01-01</v>
      </c>
      <c r="D199" s="3">
        <v>12121436</v>
      </c>
      <c r="E199" s="4">
        <f t="shared" si="11"/>
        <v>-0.0360563024407974</v>
      </c>
    </row>
    <row r="200" spans="1:5">
      <c r="A200" s="1" t="str">
        <v> 02.17</v>
      </c>
      <c r="B200" s="2">
        <f t="shared" si="9"/>
        <v>42767</v>
      </c>
      <c r="C200" t="str">
        <f t="shared" si="10"/>
        <v>2017-02-01</v>
      </c>
      <c r="D200" s="3">
        <v>11974737</v>
      </c>
      <c r="E200" s="4">
        <f t="shared" si="11"/>
        <v>-0.0121762748368438</v>
      </c>
    </row>
    <row r="201" spans="1:5">
      <c r="A201" s="1" t="str">
        <v> 03.17</v>
      </c>
      <c r="B201" s="2">
        <f t="shared" si="9"/>
        <v>42795</v>
      </c>
      <c r="C201" t="str">
        <f t="shared" si="10"/>
        <v>2017-03-01</v>
      </c>
      <c r="D201" s="3">
        <v>12746522</v>
      </c>
      <c r="E201" s="4">
        <f t="shared" si="11"/>
        <v>0.0624592694442118</v>
      </c>
    </row>
    <row r="202" spans="1:5">
      <c r="A202" s="1" t="str">
        <v> 04.17</v>
      </c>
      <c r="B202" s="2">
        <f t="shared" si="9"/>
        <v>42826</v>
      </c>
      <c r="C202" t="str">
        <f t="shared" si="10"/>
        <v>2017-04-01</v>
      </c>
      <c r="D202" s="3">
        <v>13031740</v>
      </c>
      <c r="E202" s="4">
        <f t="shared" si="11"/>
        <v>0.0221294701323044</v>
      </c>
    </row>
    <row r="203" spans="1:5">
      <c r="A203" s="1" t="str">
        <v> 05.17</v>
      </c>
      <c r="B203" s="2">
        <f t="shared" si="9"/>
        <v>42856</v>
      </c>
      <c r="C203" t="str">
        <f t="shared" si="10"/>
        <v>2017-05-01</v>
      </c>
      <c r="D203" s="3">
        <v>13204302</v>
      </c>
      <c r="E203" s="4">
        <f t="shared" si="11"/>
        <v>0.0131547653757969</v>
      </c>
    </row>
    <row r="204" spans="1:5">
      <c r="A204" s="1" t="str">
        <v> 06.17</v>
      </c>
      <c r="B204" s="2">
        <f t="shared" si="9"/>
        <v>42887</v>
      </c>
      <c r="C204" t="str">
        <f t="shared" si="10"/>
        <v>2017-06-01</v>
      </c>
      <c r="D204" s="3">
        <v>13612005</v>
      </c>
      <c r="E204" s="4">
        <f t="shared" si="11"/>
        <v>0.0304094383751394</v>
      </c>
    </row>
    <row r="205" spans="1:5">
      <c r="A205" s="1" t="str">
        <v> 07.17</v>
      </c>
      <c r="B205" s="2">
        <f t="shared" si="9"/>
        <v>42917</v>
      </c>
      <c r="C205" t="str">
        <f t="shared" si="10"/>
        <v>2017-07-01</v>
      </c>
      <c r="D205" s="3">
        <v>13312280</v>
      </c>
      <c r="E205" s="4">
        <f t="shared" si="11"/>
        <v>-0.0222652064500474</v>
      </c>
    </row>
    <row r="206" spans="1:5">
      <c r="A206" s="1" t="str">
        <v> 08.17</v>
      </c>
      <c r="B206" s="2">
        <f t="shared" si="9"/>
        <v>42948</v>
      </c>
      <c r="C206" t="str">
        <f t="shared" si="10"/>
        <v>2017-08-01</v>
      </c>
      <c r="D206" s="3">
        <v>12997472</v>
      </c>
      <c r="E206" s="4">
        <f t="shared" si="11"/>
        <v>-0.023932040498516</v>
      </c>
    </row>
    <row r="207" spans="1:5">
      <c r="A207" s="1" t="str">
        <v> 09.17</v>
      </c>
      <c r="B207" s="2">
        <f t="shared" si="9"/>
        <v>42979</v>
      </c>
      <c r="C207" t="str">
        <f t="shared" si="10"/>
        <v>2017-09-01</v>
      </c>
      <c r="D207" s="3">
        <v>14096004</v>
      </c>
      <c r="E207" s="4">
        <f t="shared" si="11"/>
        <v>0.0811364759492497</v>
      </c>
    </row>
    <row r="208" spans="1:5">
      <c r="A208" s="1" t="str">
        <v> 10.17</v>
      </c>
      <c r="B208" s="2">
        <f t="shared" si="9"/>
        <v>43009</v>
      </c>
      <c r="C208" t="str">
        <f t="shared" si="10"/>
        <v>2017-10-01</v>
      </c>
      <c r="D208" s="3">
        <v>13643958</v>
      </c>
      <c r="E208" s="4">
        <f t="shared" si="11"/>
        <v>-0.0325945666867323</v>
      </c>
    </row>
    <row r="209" spans="1:5">
      <c r="A209" s="1" t="str">
        <v> 11.17</v>
      </c>
      <c r="B209" s="2">
        <f t="shared" si="9"/>
        <v>43040</v>
      </c>
      <c r="C209" t="str">
        <f t="shared" si="10"/>
        <v>2017-11-01</v>
      </c>
      <c r="D209" s="3">
        <v>13557746</v>
      </c>
      <c r="E209" s="4">
        <f t="shared" si="11"/>
        <v>-0.00633874176880869</v>
      </c>
    </row>
    <row r="210" spans="1:5">
      <c r="A210" s="1" t="str">
        <v> 12.17</v>
      </c>
      <c r="B210" s="2">
        <f t="shared" si="9"/>
        <v>43070</v>
      </c>
      <c r="C210" t="str">
        <f t="shared" si="10"/>
        <v>2017-12-01</v>
      </c>
      <c r="D210" s="3">
        <v>13513732</v>
      </c>
      <c r="E210" s="4">
        <f t="shared" si="11"/>
        <v>-0.00325169085942079</v>
      </c>
    </row>
    <row r="211" spans="1:5">
      <c r="A211" s="1" t="str">
        <v> 01.18</v>
      </c>
      <c r="B211" s="2">
        <f t="shared" si="9"/>
        <v>43101</v>
      </c>
      <c r="C211" t="str">
        <f t="shared" si="10"/>
        <v>2018-01-01</v>
      </c>
      <c r="D211" s="3">
        <v>13338598</v>
      </c>
      <c r="E211" s="4">
        <f t="shared" si="11"/>
        <v>-0.0130444161341874</v>
      </c>
    </row>
    <row r="212" spans="1:5">
      <c r="A212" s="1" t="str">
        <v> 02.18</v>
      </c>
      <c r="B212" s="2">
        <f t="shared" si="9"/>
        <v>43132</v>
      </c>
      <c r="C212" t="str">
        <f t="shared" si="10"/>
        <v>2018-02-01</v>
      </c>
      <c r="D212" s="3">
        <v>13291605</v>
      </c>
      <c r="E212" s="4">
        <f t="shared" si="11"/>
        <v>-0.0035293045853753</v>
      </c>
    </row>
    <row r="213" spans="1:5">
      <c r="A213" s="1" t="str">
        <v> 03.18</v>
      </c>
      <c r="B213" s="2">
        <f t="shared" si="9"/>
        <v>43160</v>
      </c>
      <c r="C213" t="str">
        <f t="shared" si="10"/>
        <v>2018-03-01</v>
      </c>
      <c r="D213" s="3">
        <v>13351482</v>
      </c>
      <c r="E213" s="4">
        <f t="shared" si="11"/>
        <v>0.0044947569932185</v>
      </c>
    </row>
    <row r="214" spans="1:5">
      <c r="A214" s="1" t="str">
        <v> 04.18</v>
      </c>
      <c r="B214" s="2">
        <f t="shared" si="9"/>
        <v>43191</v>
      </c>
      <c r="C214" t="str">
        <f t="shared" si="10"/>
        <v>2018-04-01</v>
      </c>
      <c r="D214" s="3">
        <v>13537134</v>
      </c>
      <c r="E214" s="4">
        <f t="shared" si="11"/>
        <v>0.0138091860296268</v>
      </c>
    </row>
    <row r="215" spans="1:5">
      <c r="A215" s="1" t="str">
        <v> 05.18</v>
      </c>
      <c r="B215" s="2">
        <f t="shared" si="9"/>
        <v>43221</v>
      </c>
      <c r="C215" t="str">
        <f t="shared" si="10"/>
        <v>2018-05-01</v>
      </c>
      <c r="D215" s="3">
        <v>13591199</v>
      </c>
      <c r="E215" s="4">
        <f t="shared" si="11"/>
        <v>0.00398587495799569</v>
      </c>
    </row>
    <row r="216" spans="1:5">
      <c r="A216" s="1" t="str">
        <v> 06.18</v>
      </c>
      <c r="B216" s="2">
        <f t="shared" si="9"/>
        <v>43252</v>
      </c>
      <c r="C216" t="str">
        <f t="shared" si="10"/>
        <v>2018-06-01</v>
      </c>
      <c r="D216" s="3">
        <v>14433228</v>
      </c>
      <c r="E216" s="4">
        <f t="shared" si="11"/>
        <v>0.0601105974836818</v>
      </c>
    </row>
    <row r="217" spans="1:5">
      <c r="A217" s="1" t="str">
        <v> 07.18</v>
      </c>
      <c r="B217" s="2">
        <f t="shared" si="9"/>
        <v>43282</v>
      </c>
      <c r="C217" t="str">
        <f t="shared" si="10"/>
        <v>2018-07-01</v>
      </c>
      <c r="D217" s="3">
        <v>14696593</v>
      </c>
      <c r="E217" s="4">
        <f t="shared" si="11"/>
        <v>0.0180826498224637</v>
      </c>
    </row>
    <row r="218" spans="1:5">
      <c r="A218" s="1" t="str">
        <v> 08.18</v>
      </c>
      <c r="B218" s="2">
        <f t="shared" si="9"/>
        <v>43313</v>
      </c>
      <c r="C218" t="str">
        <f t="shared" si="10"/>
        <v>2018-08-01</v>
      </c>
      <c r="D218" s="3">
        <v>13832165</v>
      </c>
      <c r="E218" s="4">
        <f t="shared" si="11"/>
        <v>-0.0606190210442359</v>
      </c>
    </row>
    <row r="219" spans="1:5">
      <c r="A219" s="1" t="str">
        <v> 09.18</v>
      </c>
      <c r="B219" s="2">
        <f t="shared" si="9"/>
        <v>43344</v>
      </c>
      <c r="C219" t="str">
        <f t="shared" si="10"/>
        <v>2018-09-01</v>
      </c>
      <c r="D219" s="3">
        <v>13677123</v>
      </c>
      <c r="E219" s="4">
        <f t="shared" si="11"/>
        <v>-0.0112720941112155</v>
      </c>
    </row>
    <row r="220" spans="1:5">
      <c r="A220" s="1" t="str">
        <v> 10.18</v>
      </c>
      <c r="B220" s="2">
        <f t="shared" si="9"/>
        <v>43374</v>
      </c>
      <c r="C220" t="str">
        <f t="shared" si="10"/>
        <v>2018-10-01</v>
      </c>
      <c r="D220" s="3">
        <v>13909606</v>
      </c>
      <c r="E220" s="4">
        <f t="shared" si="11"/>
        <v>0.0168550975288721</v>
      </c>
    </row>
    <row r="221" spans="1:5">
      <c r="A221" s="1" t="str">
        <v> 11.18</v>
      </c>
      <c r="B221" s="2">
        <f t="shared" si="9"/>
        <v>43405</v>
      </c>
      <c r="C221" t="str">
        <f t="shared" si="10"/>
        <v>2018-11-01</v>
      </c>
      <c r="D221" s="3">
        <v>14041534</v>
      </c>
      <c r="E221" s="4">
        <f t="shared" si="11"/>
        <v>0.00943997130045536</v>
      </c>
    </row>
    <row r="222" spans="1:5">
      <c r="A222" s="1" t="str">
        <v> 12.18</v>
      </c>
      <c r="B222" s="2">
        <f t="shared" si="9"/>
        <v>43435</v>
      </c>
      <c r="C222" t="str">
        <f t="shared" si="10"/>
        <v>2018-12-01</v>
      </c>
      <c r="D222" s="3">
        <v>14467056</v>
      </c>
      <c r="E222" s="4">
        <f t="shared" si="11"/>
        <v>0.0298544126299463</v>
      </c>
    </row>
    <row r="223" spans="1:5">
      <c r="A223" s="1" t="str">
        <v> 01.19</v>
      </c>
      <c r="B223" s="2">
        <f t="shared" si="9"/>
        <v>43466</v>
      </c>
      <c r="C223" t="str">
        <f t="shared" si="10"/>
        <v>2019-01-01</v>
      </c>
      <c r="D223" s="3">
        <v>15842962</v>
      </c>
      <c r="E223" s="4">
        <f t="shared" si="11"/>
        <v>0.0908512993358858</v>
      </c>
    </row>
    <row r="224" spans="1:5">
      <c r="A224" s="1" t="str">
        <v> 02.19</v>
      </c>
      <c r="B224" s="2">
        <f t="shared" si="9"/>
        <v>43497</v>
      </c>
      <c r="C224" t="str">
        <f t="shared" si="10"/>
        <v>2019-02-01</v>
      </c>
      <c r="D224" s="3">
        <v>14814967</v>
      </c>
      <c r="E224" s="4">
        <f t="shared" si="11"/>
        <v>-0.0670874103035072</v>
      </c>
    </row>
    <row r="225" spans="1:5">
      <c r="A225" s="1" t="str">
        <v> 03.19</v>
      </c>
      <c r="B225" s="2">
        <f t="shared" si="9"/>
        <v>43525</v>
      </c>
      <c r="C225" t="str">
        <f t="shared" si="10"/>
        <v>2019-03-01</v>
      </c>
      <c r="D225" s="3">
        <v>14641941</v>
      </c>
      <c r="E225" s="4">
        <f t="shared" si="11"/>
        <v>-0.0117478718387248</v>
      </c>
    </row>
    <row r="226" spans="1:5">
      <c r="A226" s="1" t="str">
        <v> 04.19</v>
      </c>
      <c r="B226" s="2">
        <f t="shared" si="9"/>
        <v>43556</v>
      </c>
      <c r="C226" t="str">
        <f t="shared" si="10"/>
        <v>2019-04-01</v>
      </c>
      <c r="D226" s="3">
        <v>14587125</v>
      </c>
      <c r="E226" s="4">
        <f t="shared" si="11"/>
        <v>-0.00375079137079512</v>
      </c>
    </row>
    <row r="227" spans="1:5">
      <c r="A227" s="1" t="str">
        <v> 05.19</v>
      </c>
      <c r="B227" s="2">
        <f t="shared" si="9"/>
        <v>43586</v>
      </c>
      <c r="C227" t="str">
        <f t="shared" si="10"/>
        <v>2019-05-01</v>
      </c>
      <c r="D227" s="3">
        <v>15132393</v>
      </c>
      <c r="E227" s="4">
        <f t="shared" si="11"/>
        <v>0.0366983875433884</v>
      </c>
    </row>
    <row r="228" spans="1:5">
      <c r="A228" s="1" t="str">
        <v> 06.19</v>
      </c>
      <c r="B228" s="2">
        <f t="shared" si="9"/>
        <v>43617</v>
      </c>
      <c r="C228" t="str">
        <f t="shared" si="10"/>
        <v>2019-06-01</v>
      </c>
      <c r="D228" s="3">
        <v>14549374</v>
      </c>
      <c r="E228" s="4">
        <f t="shared" si="11"/>
        <v>-0.0392897092478022</v>
      </c>
    </row>
    <row r="229" spans="1:5">
      <c r="A229" s="1" t="str">
        <v> 07.19</v>
      </c>
      <c r="B229" s="2">
        <f t="shared" si="9"/>
        <v>43647</v>
      </c>
      <c r="C229" t="str">
        <f t="shared" si="10"/>
        <v>2019-07-01</v>
      </c>
      <c r="D229" s="3">
        <v>14960666</v>
      </c>
      <c r="E229" s="4">
        <f t="shared" si="11"/>
        <v>0.0278765216350227</v>
      </c>
    </row>
    <row r="230" spans="1:5">
      <c r="A230" s="1" t="str">
        <v> 08.19</v>
      </c>
      <c r="B230" s="2">
        <f t="shared" si="9"/>
        <v>43678</v>
      </c>
      <c r="C230" t="str">
        <f t="shared" si="10"/>
        <v>2019-08-01</v>
      </c>
      <c r="D230" s="3">
        <v>14629505</v>
      </c>
      <c r="E230" s="4">
        <f t="shared" si="11"/>
        <v>-0.0223841103988158</v>
      </c>
    </row>
    <row r="231" spans="1:5">
      <c r="A231" s="1" t="str">
        <v> 09.19</v>
      </c>
      <c r="B231" s="2">
        <f t="shared" si="9"/>
        <v>43709</v>
      </c>
      <c r="C231" t="str">
        <f t="shared" si="10"/>
        <v>2019-09-01</v>
      </c>
      <c r="D231" s="3">
        <v>15200475</v>
      </c>
      <c r="E231" s="4">
        <f t="shared" si="11"/>
        <v>0.0382862974907954</v>
      </c>
    </row>
    <row r="232" spans="1:5">
      <c r="A232" s="1" t="str">
        <v> 10.19</v>
      </c>
      <c r="B232" s="2">
        <f t="shared" si="9"/>
        <v>43739</v>
      </c>
      <c r="C232" t="str">
        <f t="shared" si="10"/>
        <v>2019-10-01</v>
      </c>
      <c r="D232" s="3">
        <v>15612256</v>
      </c>
      <c r="E232" s="4">
        <f t="shared" si="11"/>
        <v>0.0267295694628079</v>
      </c>
    </row>
    <row r="233" spans="1:5">
      <c r="A233" s="1" t="str">
        <v> 11.19</v>
      </c>
      <c r="B233" s="2">
        <f t="shared" si="9"/>
        <v>43770</v>
      </c>
      <c r="C233" t="str">
        <f t="shared" si="10"/>
        <v>2019-11-01</v>
      </c>
      <c r="D233" s="3">
        <v>15276017</v>
      </c>
      <c r="E233" s="4">
        <f t="shared" si="11"/>
        <v>-0.0217721646073482</v>
      </c>
    </row>
    <row r="234" spans="1:5">
      <c r="A234" s="1" t="str">
        <v> 12.19</v>
      </c>
      <c r="B234" s="2">
        <f t="shared" si="9"/>
        <v>43800</v>
      </c>
      <c r="C234" t="str">
        <f t="shared" si="10"/>
        <v>2019-12-01</v>
      </c>
      <c r="D234" s="3">
        <v>16054341</v>
      </c>
      <c r="E234" s="4">
        <f t="shared" si="11"/>
        <v>0.0496951980766415</v>
      </c>
    </row>
    <row r="235" spans="1:5">
      <c r="A235" s="1" t="str">
        <v> 01.20</v>
      </c>
      <c r="B235" s="2">
        <f t="shared" si="9"/>
        <v>43831</v>
      </c>
      <c r="C235" t="str">
        <f t="shared" si="10"/>
        <v>2020-01-01</v>
      </c>
      <c r="D235" s="3">
        <v>15538391</v>
      </c>
      <c r="E235" s="4">
        <f t="shared" si="11"/>
        <v>-0.0326654799706573</v>
      </c>
    </row>
    <row r="236" spans="1:5">
      <c r="A236" s="1" t="str">
        <v> 02.20</v>
      </c>
      <c r="B236" s="2">
        <f t="shared" si="9"/>
        <v>43862</v>
      </c>
      <c r="C236" t="str">
        <f t="shared" si="10"/>
        <v>2020-02-01</v>
      </c>
      <c r="D236" s="3">
        <v>15507593</v>
      </c>
      <c r="E236" s="4">
        <f t="shared" si="11"/>
        <v>-0.00198402538007231</v>
      </c>
    </row>
    <row r="237" spans="1:5">
      <c r="A237" s="1" t="str">
        <v> 03.20</v>
      </c>
      <c r="B237" s="2">
        <f t="shared" si="9"/>
        <v>43891</v>
      </c>
      <c r="C237" t="str">
        <f t="shared" si="10"/>
        <v>2020-03-01</v>
      </c>
      <c r="D237" s="3">
        <v>16407064</v>
      </c>
      <c r="E237" s="4">
        <f t="shared" si="11"/>
        <v>0.0563821988538659</v>
      </c>
    </row>
    <row r="238" spans="1:5">
      <c r="A238" s="1" t="str">
        <v> 04.20</v>
      </c>
      <c r="B238" s="2">
        <f t="shared" si="9"/>
        <v>43922</v>
      </c>
      <c r="C238" t="str">
        <f t="shared" si="10"/>
        <v>2020-04-01</v>
      </c>
      <c r="D238" s="3">
        <v>16406269</v>
      </c>
      <c r="E238" s="4">
        <f t="shared" si="11"/>
        <v>-4.84559127324698e-5</v>
      </c>
    </row>
    <row r="239" spans="1:5">
      <c r="A239" s="1" t="str">
        <v> 05.20</v>
      </c>
      <c r="B239" s="2">
        <f t="shared" si="9"/>
        <v>43952</v>
      </c>
      <c r="C239" t="str">
        <f t="shared" si="10"/>
        <v>2020-05-01</v>
      </c>
      <c r="D239" s="3">
        <v>16797971</v>
      </c>
      <c r="E239" s="4">
        <f t="shared" si="11"/>
        <v>0.0235945874194809</v>
      </c>
    </row>
    <row r="240" spans="1:5">
      <c r="A240" s="1" t="str">
        <v> 06.20</v>
      </c>
      <c r="B240" s="2">
        <f t="shared" si="9"/>
        <v>43983</v>
      </c>
      <c r="C240" t="str">
        <f t="shared" si="10"/>
        <v>2020-06-01</v>
      </c>
      <c r="D240" s="3">
        <v>17214619</v>
      </c>
      <c r="E240" s="4">
        <f t="shared" si="11"/>
        <v>0.0245008593778798</v>
      </c>
    </row>
    <row r="241" spans="1:5">
      <c r="A241" s="1" t="str">
        <v> 07.20</v>
      </c>
      <c r="B241" s="2">
        <f t="shared" si="9"/>
        <v>44013</v>
      </c>
      <c r="C241" t="str">
        <f t="shared" si="10"/>
        <v>2020-07-01</v>
      </c>
      <c r="D241" s="3">
        <v>17930687</v>
      </c>
      <c r="E241" s="4">
        <f t="shared" si="11"/>
        <v>0.0407546378712476</v>
      </c>
    </row>
    <row r="242" spans="1:5">
      <c r="A242" s="1" t="str">
        <v> 08.20</v>
      </c>
      <c r="B242" s="2">
        <f t="shared" si="9"/>
        <v>44044</v>
      </c>
      <c r="C242" t="str">
        <f t="shared" si="10"/>
        <v>2020-08-01</v>
      </c>
      <c r="D242" s="3">
        <v>18022538</v>
      </c>
      <c r="E242" s="4">
        <f t="shared" si="11"/>
        <v>0.00510948321481751</v>
      </c>
    </row>
    <row r="243" spans="1:5">
      <c r="A243" s="1" t="str">
        <v> 09.20</v>
      </c>
      <c r="B243" s="2">
        <f t="shared" si="9"/>
        <v>44075</v>
      </c>
      <c r="C243" t="str">
        <f t="shared" si="10"/>
        <v>2020-09-01</v>
      </c>
      <c r="D243" s="3">
        <v>18379007</v>
      </c>
      <c r="E243" s="4">
        <f t="shared" si="11"/>
        <v>0.0195860035828446</v>
      </c>
    </row>
    <row r="244" spans="1:5">
      <c r="A244" s="1" t="str">
        <v> 10.20</v>
      </c>
      <c r="B244" s="2">
        <f t="shared" si="9"/>
        <v>44105</v>
      </c>
      <c r="C244" t="str">
        <f t="shared" si="10"/>
        <v>2020-10-01</v>
      </c>
      <c r="D244" s="3">
        <v>18792360</v>
      </c>
      <c r="E244" s="4">
        <f t="shared" si="11"/>
        <v>0.0222413149085045</v>
      </c>
    </row>
    <row r="245" spans="1:5">
      <c r="A245" s="1" t="str">
        <v> 11.20</v>
      </c>
      <c r="B245" s="2">
        <f t="shared" si="9"/>
        <v>44136</v>
      </c>
      <c r="C245" t="str">
        <f t="shared" si="10"/>
        <v>2020-11-01</v>
      </c>
      <c r="D245" s="3">
        <v>18748810</v>
      </c>
      <c r="E245" s="4">
        <f t="shared" si="11"/>
        <v>-0.00232012052558061</v>
      </c>
    </row>
    <row r="246" spans="1:5">
      <c r="A246" s="1" t="str">
        <v> 12.20</v>
      </c>
      <c r="B246" s="2">
        <f t="shared" si="9"/>
        <v>44166</v>
      </c>
      <c r="C246" t="str">
        <f t="shared" si="10"/>
        <v>2020-12-01</v>
      </c>
      <c r="D246" s="3">
        <v>19134928</v>
      </c>
      <c r="E246" s="4">
        <f t="shared" si="11"/>
        <v>0.02038507239649</v>
      </c>
    </row>
    <row r="247" spans="1:5">
      <c r="A247" s="1" t="str">
        <v> 01.21</v>
      </c>
      <c r="B247" s="2">
        <f t="shared" si="9"/>
        <v>44197</v>
      </c>
      <c r="C247" t="str">
        <f t="shared" si="10"/>
        <v>2021-01-01</v>
      </c>
      <c r="D247" s="3">
        <v>19607153</v>
      </c>
      <c r="E247" s="4">
        <f t="shared" si="11"/>
        <v>0.0243790925062332</v>
      </c>
    </row>
    <row r="248" spans="1:5">
      <c r="A248" s="1" t="str">
        <v> 02.21</v>
      </c>
      <c r="B248" s="2">
        <f t="shared" si="9"/>
        <v>44228</v>
      </c>
      <c r="C248" t="str">
        <f t="shared" si="10"/>
        <v>2021-02-01</v>
      </c>
      <c r="D248" s="3">
        <v>19513171</v>
      </c>
      <c r="E248" s="4">
        <f t="shared" si="11"/>
        <v>-0.00480477517540872</v>
      </c>
    </row>
    <row r="249" spans="1:5">
      <c r="A249" s="1" t="str">
        <v> 03.21</v>
      </c>
      <c r="B249" s="2">
        <f t="shared" si="9"/>
        <v>44256</v>
      </c>
      <c r="C249" t="str">
        <f t="shared" si="10"/>
        <v>2021-03-01</v>
      </c>
      <c r="D249" s="3">
        <v>20328120</v>
      </c>
      <c r="E249" s="4">
        <f t="shared" si="11"/>
        <v>0.040915475725187</v>
      </c>
    </row>
    <row r="250" spans="1:5">
      <c r="A250" s="1" t="str">
        <v> 04.21</v>
      </c>
      <c r="B250" s="2">
        <f t="shared" si="9"/>
        <v>44287</v>
      </c>
      <c r="C250" t="str">
        <f t="shared" si="10"/>
        <v>2021-04-01</v>
      </c>
      <c r="D250" s="3">
        <v>20814132</v>
      </c>
      <c r="E250" s="4">
        <f t="shared" si="11"/>
        <v>0.023627029892667</v>
      </c>
    </row>
    <row r="251" spans="1:5">
      <c r="A251" s="1" t="str">
        <v> 05.21</v>
      </c>
      <c r="B251" s="2">
        <f t="shared" si="9"/>
        <v>44317</v>
      </c>
      <c r="C251" t="str">
        <f t="shared" si="10"/>
        <v>2021-05-01</v>
      </c>
      <c r="D251" s="3">
        <v>21277202</v>
      </c>
      <c r="E251" s="4">
        <f t="shared" si="11"/>
        <v>0.0220039917853046</v>
      </c>
    </row>
    <row r="252" spans="1:5">
      <c r="A252" s="1" t="str">
        <v> 06.21</v>
      </c>
      <c r="B252" s="2">
        <f t="shared" si="9"/>
        <v>44348</v>
      </c>
      <c r="C252" t="str">
        <f t="shared" si="10"/>
        <v>2021-06-01</v>
      </c>
      <c r="D252" s="3">
        <v>22005814</v>
      </c>
      <c r="E252" s="4">
        <f t="shared" si="11"/>
        <v>0.0336705203055702</v>
      </c>
    </row>
    <row r="253" spans="1:5">
      <c r="A253" s="1" t="str">
        <v> 07.21</v>
      </c>
      <c r="B253" s="2">
        <f t="shared" si="9"/>
        <v>44378</v>
      </c>
      <c r="C253" t="str">
        <f t="shared" si="10"/>
        <v>2021-07-01</v>
      </c>
      <c r="D253" s="3">
        <v>22155383</v>
      </c>
      <c r="E253" s="4">
        <f t="shared" si="11"/>
        <v>0.00677380062439128</v>
      </c>
    </row>
    <row r="254" spans="1:5">
      <c r="A254" s="1" t="str">
        <v> 08.21</v>
      </c>
      <c r="B254" s="2">
        <f t="shared" si="9"/>
        <v>44409</v>
      </c>
      <c r="C254" t="str">
        <f t="shared" si="10"/>
        <v>2021-08-01</v>
      </c>
      <c r="D254" s="3">
        <v>21887518</v>
      </c>
      <c r="E254" s="4">
        <f t="shared" si="11"/>
        <v>-0.0121639717972544</v>
      </c>
    </row>
    <row r="255" spans="1:5">
      <c r="A255" s="1" t="str">
        <v> 09.21</v>
      </c>
      <c r="B255" s="2">
        <f t="shared" si="9"/>
        <v>44440</v>
      </c>
      <c r="C255" t="str">
        <f t="shared" si="10"/>
        <v>2021-09-01</v>
      </c>
      <c r="D255" s="3">
        <v>22572364</v>
      </c>
      <c r="E255" s="4">
        <f t="shared" si="11"/>
        <v>0.0308098061520498</v>
      </c>
    </row>
    <row r="256" spans="1:5">
      <c r="A256" s="1" t="str">
        <v> 10.21</v>
      </c>
      <c r="B256" s="2">
        <f t="shared" si="9"/>
        <v>44470</v>
      </c>
      <c r="C256" t="str">
        <f t="shared" si="10"/>
        <v>2021-10-01</v>
      </c>
      <c r="D256" s="3">
        <v>22746598</v>
      </c>
      <c r="E256" s="4">
        <f t="shared" si="11"/>
        <v>0.00768926960254132</v>
      </c>
    </row>
    <row r="257" spans="1:5">
      <c r="A257" s="1" t="str">
        <v> 11.21</v>
      </c>
      <c r="B257" s="2">
        <f t="shared" si="9"/>
        <v>44501</v>
      </c>
      <c r="C257" t="str">
        <f t="shared" si="10"/>
        <v>2021-11-01</v>
      </c>
      <c r="D257" s="3">
        <v>22276425</v>
      </c>
      <c r="E257" s="4">
        <f t="shared" si="11"/>
        <v>-0.0208866513787735</v>
      </c>
    </row>
    <row r="258" spans="1:5">
      <c r="A258" s="1" t="str">
        <v> 12.21</v>
      </c>
      <c r="B258" s="2">
        <f t="shared" ref="B258:B312" si="12">DATE(2000+VALUE(RIGHT(TEXT(A258,"00.00"),2)),VALUE(LEFT(TEXT(A258,"00.00"),2)),1)</f>
        <v>44531</v>
      </c>
      <c r="C258" t="str">
        <f t="shared" ref="C258:C312" si="13">TEXT(B258,"yyyy-mm-01")</f>
        <v>2021-12-01</v>
      </c>
      <c r="D258" s="3">
        <v>23750269</v>
      </c>
      <c r="E258" s="4">
        <f t="shared" si="11"/>
        <v>0.0640649123576406</v>
      </c>
    </row>
    <row r="259" spans="1:5">
      <c r="A259" s="1" t="str">
        <v> 01.22</v>
      </c>
      <c r="B259" s="2">
        <f t="shared" si="12"/>
        <v>44562</v>
      </c>
      <c r="C259" t="str">
        <f t="shared" si="13"/>
        <v>2022-01-01</v>
      </c>
      <c r="D259" s="3">
        <v>23424245</v>
      </c>
      <c r="E259" s="4">
        <f t="shared" ref="E259:E312" si="14">LN(D259/D258)</f>
        <v>-0.0138222596501716</v>
      </c>
    </row>
    <row r="260" spans="1:5">
      <c r="A260" s="1" t="str">
        <v> 02.22</v>
      </c>
      <c r="B260" s="2">
        <f t="shared" si="12"/>
        <v>44593</v>
      </c>
      <c r="C260" t="str">
        <f t="shared" si="13"/>
        <v>2022-02-01</v>
      </c>
      <c r="D260" s="3">
        <v>23868588</v>
      </c>
      <c r="E260" s="4">
        <f t="shared" si="14"/>
        <v>0.0187916877694846</v>
      </c>
    </row>
    <row r="261" spans="1:5">
      <c r="A261" s="1" t="str">
        <v> 03.22</v>
      </c>
      <c r="B261" s="2">
        <f t="shared" si="12"/>
        <v>44621</v>
      </c>
      <c r="C261" t="str">
        <f t="shared" si="13"/>
        <v>2022-03-01</v>
      </c>
      <c r="D261" s="3">
        <v>23388580</v>
      </c>
      <c r="E261" s="4">
        <f t="shared" si="14"/>
        <v>-0.0203154158034336</v>
      </c>
    </row>
    <row r="262" spans="1:5">
      <c r="A262" s="1" t="str">
        <v> 04.22</v>
      </c>
      <c r="B262" s="2">
        <f t="shared" si="12"/>
        <v>44652</v>
      </c>
      <c r="C262" t="str">
        <f t="shared" si="13"/>
        <v>2022-04-01</v>
      </c>
      <c r="D262" s="3">
        <v>23174386</v>
      </c>
      <c r="E262" s="4">
        <f t="shared" si="14"/>
        <v>-0.00920025201411429</v>
      </c>
    </row>
    <row r="263" spans="1:5">
      <c r="A263" s="1" t="str">
        <v> 05.22</v>
      </c>
      <c r="B263" s="2">
        <f t="shared" si="12"/>
        <v>44682</v>
      </c>
      <c r="C263" t="str">
        <f t="shared" si="13"/>
        <v>2022-05-01</v>
      </c>
      <c r="D263" s="3">
        <v>22903738</v>
      </c>
      <c r="E263" s="4">
        <f t="shared" si="14"/>
        <v>-0.0117474883536225</v>
      </c>
    </row>
    <row r="264" spans="1:5">
      <c r="A264" s="1" t="str">
        <v> 06.22</v>
      </c>
      <c r="B264" s="2">
        <f t="shared" si="12"/>
        <v>44713</v>
      </c>
      <c r="C264" t="str">
        <f t="shared" si="13"/>
        <v>2022-06-01</v>
      </c>
      <c r="D264" s="3">
        <v>24147388</v>
      </c>
      <c r="E264" s="4">
        <f t="shared" si="14"/>
        <v>0.0528760882188174</v>
      </c>
    </row>
    <row r="265" spans="1:5">
      <c r="A265" s="1" t="str">
        <v> 07.22</v>
      </c>
      <c r="B265" s="2">
        <f t="shared" si="12"/>
        <v>44743</v>
      </c>
      <c r="C265" t="str">
        <f t="shared" si="13"/>
        <v>2022-07-01</v>
      </c>
      <c r="D265" s="3">
        <v>25032674</v>
      </c>
      <c r="E265" s="4">
        <f t="shared" si="14"/>
        <v>0.0360057146401529</v>
      </c>
    </row>
    <row r="266" spans="1:5">
      <c r="A266" s="1" t="str">
        <v> 08.22</v>
      </c>
      <c r="B266" s="2">
        <f t="shared" si="12"/>
        <v>44774</v>
      </c>
      <c r="C266" t="str">
        <f t="shared" si="13"/>
        <v>2022-08-01</v>
      </c>
      <c r="D266" s="3">
        <v>24940660</v>
      </c>
      <c r="E266" s="4">
        <f t="shared" si="14"/>
        <v>-0.00368252812524244</v>
      </c>
    </row>
    <row r="267" spans="1:5">
      <c r="A267" s="1" t="str">
        <v> 09.22</v>
      </c>
      <c r="B267" s="2">
        <f t="shared" si="12"/>
        <v>44805</v>
      </c>
      <c r="C267" t="str">
        <f t="shared" si="13"/>
        <v>2022-09-01</v>
      </c>
      <c r="D267" s="3">
        <v>25826059</v>
      </c>
      <c r="E267" s="4">
        <f t="shared" si="14"/>
        <v>0.0348846175271592</v>
      </c>
    </row>
    <row r="268" spans="1:5">
      <c r="A268" s="1" t="str">
        <v> 10.22</v>
      </c>
      <c r="B268" s="2">
        <f t="shared" si="12"/>
        <v>44835</v>
      </c>
      <c r="C268" t="str">
        <f t="shared" si="13"/>
        <v>2022-10-01</v>
      </c>
      <c r="D268" s="3">
        <v>26810878</v>
      </c>
      <c r="E268" s="4">
        <f t="shared" si="14"/>
        <v>0.0374236797445684</v>
      </c>
    </row>
    <row r="269" spans="1:5">
      <c r="A269" s="1" t="str">
        <v> 11.22</v>
      </c>
      <c r="B269" s="2">
        <f t="shared" si="12"/>
        <v>44866</v>
      </c>
      <c r="C269" t="str">
        <f t="shared" si="13"/>
        <v>2022-11-01</v>
      </c>
      <c r="D269" s="3">
        <v>26259950</v>
      </c>
      <c r="E269" s="4">
        <f t="shared" si="14"/>
        <v>-0.0207627358496153</v>
      </c>
    </row>
    <row r="270" spans="1:5">
      <c r="A270" s="1" t="str">
        <v> 12.22</v>
      </c>
      <c r="B270" s="2">
        <f t="shared" si="12"/>
        <v>44896</v>
      </c>
      <c r="C270" t="str">
        <f t="shared" si="13"/>
        <v>2022-12-01</v>
      </c>
      <c r="D270" s="3">
        <v>28025384</v>
      </c>
      <c r="E270" s="4">
        <f t="shared" si="14"/>
        <v>0.0650657060798109</v>
      </c>
    </row>
    <row r="271" spans="1:5">
      <c r="A271" s="1" t="str">
        <v> 01.23</v>
      </c>
      <c r="B271" s="2">
        <f t="shared" si="12"/>
        <v>44927</v>
      </c>
      <c r="C271" t="str">
        <f t="shared" si="13"/>
        <v>2023-01-01</v>
      </c>
      <c r="D271" s="3">
        <v>27666853</v>
      </c>
      <c r="E271" s="4">
        <f t="shared" si="14"/>
        <v>-0.0128756168705233</v>
      </c>
    </row>
    <row r="272" spans="1:5">
      <c r="A272" s="1" t="str">
        <v> 02.23</v>
      </c>
      <c r="B272" s="2">
        <f t="shared" si="12"/>
        <v>44958</v>
      </c>
      <c r="C272" t="str">
        <f t="shared" si="13"/>
        <v>2023-02-01</v>
      </c>
      <c r="D272" s="3">
        <v>27173136</v>
      </c>
      <c r="E272" s="4">
        <f t="shared" si="14"/>
        <v>-0.0180062158471663</v>
      </c>
    </row>
    <row r="273" spans="1:5">
      <c r="A273" s="1" t="str">
        <v> 03.23</v>
      </c>
      <c r="B273" s="2">
        <f t="shared" si="12"/>
        <v>44986</v>
      </c>
      <c r="C273" t="str">
        <f t="shared" si="13"/>
        <v>2023-03-01</v>
      </c>
      <c r="D273" s="3">
        <v>28110277</v>
      </c>
      <c r="E273" s="4">
        <f t="shared" si="14"/>
        <v>0.03390640081592</v>
      </c>
    </row>
    <row r="274" spans="1:5">
      <c r="A274" s="1" t="str">
        <v> 04.23</v>
      </c>
      <c r="B274" s="2">
        <f t="shared" si="12"/>
        <v>45017</v>
      </c>
      <c r="C274" t="str">
        <f t="shared" si="13"/>
        <v>2023-04-01</v>
      </c>
      <c r="D274" s="3">
        <v>27970918</v>
      </c>
      <c r="E274" s="4">
        <f t="shared" si="14"/>
        <v>-0.00496991145953247</v>
      </c>
    </row>
    <row r="275" spans="1:5">
      <c r="A275" s="1" t="str">
        <v> 05.23</v>
      </c>
      <c r="B275" s="2">
        <f t="shared" si="12"/>
        <v>45047</v>
      </c>
      <c r="C275" t="str">
        <f t="shared" si="13"/>
        <v>2023-05-01</v>
      </c>
      <c r="D275" s="3">
        <v>28327691</v>
      </c>
      <c r="E275" s="4">
        <f t="shared" si="14"/>
        <v>0.0126744792597103</v>
      </c>
    </row>
    <row r="276" spans="1:5">
      <c r="A276" s="1" t="str">
        <v> 06.23</v>
      </c>
      <c r="B276" s="2">
        <f t="shared" si="12"/>
        <v>45078</v>
      </c>
      <c r="C276" t="str">
        <f t="shared" si="13"/>
        <v>2023-06-01</v>
      </c>
      <c r="D276" s="3">
        <v>29274455</v>
      </c>
      <c r="E276" s="4">
        <f t="shared" si="14"/>
        <v>0.0328754859289547</v>
      </c>
    </row>
    <row r="277" spans="1:5">
      <c r="A277" s="1" t="str">
        <v> 07.23</v>
      </c>
      <c r="B277" s="2">
        <f t="shared" si="12"/>
        <v>45108</v>
      </c>
      <c r="C277" t="str">
        <f t="shared" si="13"/>
        <v>2023-07-01</v>
      </c>
      <c r="D277" s="3">
        <v>28852963</v>
      </c>
      <c r="E277" s="4">
        <f t="shared" si="14"/>
        <v>-0.0145026014234883</v>
      </c>
    </row>
    <row r="278" spans="1:5">
      <c r="A278" s="1" t="str">
        <v> 08.23</v>
      </c>
      <c r="B278" s="2">
        <f t="shared" si="12"/>
        <v>45139</v>
      </c>
      <c r="C278" t="str">
        <f t="shared" si="13"/>
        <v>2023-08-01</v>
      </c>
      <c r="D278" s="3">
        <v>29291631</v>
      </c>
      <c r="E278" s="4">
        <f t="shared" si="14"/>
        <v>0.015089152503321</v>
      </c>
    </row>
    <row r="279" spans="1:5">
      <c r="A279" s="1" t="str">
        <v> 09.23</v>
      </c>
      <c r="B279" s="2">
        <f t="shared" si="12"/>
        <v>45170</v>
      </c>
      <c r="C279" t="str">
        <f t="shared" si="13"/>
        <v>2023-09-01</v>
      </c>
      <c r="D279" s="3">
        <v>29720800</v>
      </c>
      <c r="E279" s="4">
        <f t="shared" si="14"/>
        <v>0.0145452935643954</v>
      </c>
    </row>
    <row r="280" spans="1:5">
      <c r="A280" s="1" t="str">
        <v> 10.23</v>
      </c>
      <c r="B280" s="2">
        <f t="shared" si="12"/>
        <v>45200</v>
      </c>
      <c r="C280" t="str">
        <f t="shared" si="13"/>
        <v>2023-10-01</v>
      </c>
      <c r="D280" s="3">
        <v>30356335</v>
      </c>
      <c r="E280" s="4">
        <f t="shared" si="14"/>
        <v>0.0211580898026711</v>
      </c>
    </row>
    <row r="281" spans="1:5">
      <c r="A281" s="1" t="str">
        <v> 11.23</v>
      </c>
      <c r="B281" s="2">
        <f t="shared" si="12"/>
        <v>45231</v>
      </c>
      <c r="C281" t="str">
        <f t="shared" si="13"/>
        <v>2023-11-01</v>
      </c>
      <c r="D281" s="3">
        <v>30487873</v>
      </c>
      <c r="E281" s="4">
        <f t="shared" si="14"/>
        <v>0.00432377079918966</v>
      </c>
    </row>
    <row r="282" spans="1:5">
      <c r="A282" s="1" t="str">
        <v> 12.23</v>
      </c>
      <c r="B282" s="2">
        <f t="shared" si="12"/>
        <v>45261</v>
      </c>
      <c r="C282" t="str">
        <f t="shared" si="13"/>
        <v>2023-12-01</v>
      </c>
      <c r="D282" s="3">
        <v>32746913</v>
      </c>
      <c r="E282" s="4">
        <f t="shared" si="14"/>
        <v>0.0714797001070237</v>
      </c>
    </row>
    <row r="283" spans="1:5">
      <c r="A283" s="1" t="str">
        <v> 01.24</v>
      </c>
      <c r="B283" s="2">
        <f t="shared" si="12"/>
        <v>45292</v>
      </c>
      <c r="C283" t="str">
        <f t="shared" si="13"/>
        <v>2024-01-01</v>
      </c>
      <c r="D283" s="3">
        <v>32108968</v>
      </c>
      <c r="E283" s="4">
        <f t="shared" si="14"/>
        <v>-0.0196733300320279</v>
      </c>
    </row>
    <row r="284" spans="1:5">
      <c r="A284" s="1" t="str">
        <v> 02.24</v>
      </c>
      <c r="B284" s="2">
        <f t="shared" si="12"/>
        <v>45323</v>
      </c>
      <c r="C284" t="str">
        <f t="shared" si="13"/>
        <v>2024-02-01</v>
      </c>
      <c r="D284" s="3">
        <v>32282269</v>
      </c>
      <c r="E284" s="4">
        <f t="shared" si="14"/>
        <v>0.0053827640688815</v>
      </c>
    </row>
    <row r="285" spans="1:5">
      <c r="A285" s="1" t="str">
        <v> 03.24</v>
      </c>
      <c r="B285" s="2">
        <f t="shared" si="12"/>
        <v>45352</v>
      </c>
      <c r="C285" t="str">
        <f t="shared" si="13"/>
        <v>2024-03-01</v>
      </c>
      <c r="D285" s="3">
        <v>32535362</v>
      </c>
      <c r="E285" s="4">
        <f t="shared" si="14"/>
        <v>0.00780942723080493</v>
      </c>
    </row>
    <row r="286" spans="1:5">
      <c r="A286" s="1" t="str">
        <v> 04.24</v>
      </c>
      <c r="B286" s="2">
        <f t="shared" si="12"/>
        <v>45383</v>
      </c>
      <c r="C286" t="str">
        <f t="shared" si="13"/>
        <v>2024-04-01</v>
      </c>
      <c r="D286" s="3">
        <v>32526218</v>
      </c>
      <c r="E286" s="4">
        <f t="shared" si="14"/>
        <v>-0.00028108754998593</v>
      </c>
    </row>
    <row r="287" spans="1:5">
      <c r="A287" s="1" t="str">
        <v> 05.24</v>
      </c>
      <c r="B287" s="2">
        <f t="shared" si="12"/>
        <v>45413</v>
      </c>
      <c r="C287" t="str">
        <f t="shared" si="13"/>
        <v>2024-05-01</v>
      </c>
      <c r="D287" s="3">
        <v>32798150</v>
      </c>
      <c r="E287" s="4">
        <f t="shared" si="14"/>
        <v>0.00832563954615728</v>
      </c>
    </row>
    <row r="288" spans="1:5">
      <c r="A288" s="1" t="str">
        <v> 06.24</v>
      </c>
      <c r="B288" s="2">
        <f t="shared" si="12"/>
        <v>45444</v>
      </c>
      <c r="C288" t="str">
        <f t="shared" si="13"/>
        <v>2024-06-01</v>
      </c>
      <c r="D288" s="3">
        <v>34127039</v>
      </c>
      <c r="E288" s="4">
        <f t="shared" si="14"/>
        <v>0.0397178912754635</v>
      </c>
    </row>
    <row r="289" spans="1:5">
      <c r="A289" s="1" t="str">
        <v> 07.24</v>
      </c>
      <c r="B289" s="2">
        <f t="shared" si="12"/>
        <v>45474</v>
      </c>
      <c r="C289" t="str">
        <f t="shared" si="13"/>
        <v>2024-07-01</v>
      </c>
      <c r="D289" s="3">
        <v>34948176</v>
      </c>
      <c r="E289" s="4">
        <f t="shared" si="14"/>
        <v>0.0237762758408728</v>
      </c>
    </row>
    <row r="290" spans="1:5">
      <c r="A290" s="1" t="str">
        <v> 08.24</v>
      </c>
      <c r="B290" s="2">
        <f t="shared" si="12"/>
        <v>45505</v>
      </c>
      <c r="C290" t="str">
        <f t="shared" si="13"/>
        <v>2024-08-01</v>
      </c>
      <c r="D290" s="3">
        <v>34791388</v>
      </c>
      <c r="E290" s="4">
        <f t="shared" si="14"/>
        <v>-0.00449639358673794</v>
      </c>
    </row>
    <row r="291" spans="1:5">
      <c r="A291" s="1" t="str">
        <v> 09.24</v>
      </c>
      <c r="B291" s="2">
        <f t="shared" si="12"/>
        <v>45536</v>
      </c>
      <c r="C291" t="str">
        <f t="shared" si="13"/>
        <v>2024-09-01</v>
      </c>
      <c r="D291" s="3">
        <v>35352799</v>
      </c>
      <c r="E291" s="4">
        <f t="shared" si="14"/>
        <v>0.0160076839502945</v>
      </c>
    </row>
    <row r="292" spans="1:5">
      <c r="A292" s="1" t="str">
        <v> 10.24</v>
      </c>
      <c r="B292" s="2">
        <f t="shared" si="12"/>
        <v>45566</v>
      </c>
      <c r="C292" t="str">
        <f t="shared" si="13"/>
        <v>2024-10-01</v>
      </c>
      <c r="D292" s="3">
        <v>36406866</v>
      </c>
      <c r="E292" s="4">
        <f t="shared" si="14"/>
        <v>0.0293798143883146</v>
      </c>
    </row>
    <row r="293" spans="1:5">
      <c r="A293" s="1" t="str">
        <v> 11.24</v>
      </c>
      <c r="B293" s="2">
        <f t="shared" si="12"/>
        <v>45597</v>
      </c>
      <c r="C293" t="str">
        <f t="shared" si="13"/>
        <v>2024-11-01</v>
      </c>
      <c r="D293" s="3">
        <v>36507596</v>
      </c>
      <c r="E293" s="4">
        <f t="shared" si="14"/>
        <v>0.00276296529708656</v>
      </c>
    </row>
    <row r="294" spans="1:5">
      <c r="A294" s="1" t="str">
        <v> 12.24</v>
      </c>
      <c r="B294" s="2">
        <f t="shared" si="12"/>
        <v>45627</v>
      </c>
      <c r="C294" t="str">
        <f t="shared" si="13"/>
        <v>2024-12-01</v>
      </c>
      <c r="D294" s="3">
        <v>39254670</v>
      </c>
      <c r="E294" s="4">
        <f t="shared" si="14"/>
        <v>0.072550069516782</v>
      </c>
    </row>
    <row r="295" spans="1:5">
      <c r="A295" s="1" t="str">
        <v> 01.25</v>
      </c>
      <c r="B295" s="2">
        <f t="shared" si="12"/>
        <v>45658</v>
      </c>
      <c r="C295" t="str">
        <f t="shared" si="13"/>
        <v>2025-01-01</v>
      </c>
      <c r="D295" s="3">
        <v>38324394</v>
      </c>
      <c r="E295" s="4">
        <f t="shared" si="14"/>
        <v>-0.02398380554268</v>
      </c>
    </row>
    <row r="296" spans="1:5">
      <c r="A296" s="1" t="str">
        <v> 02.25</v>
      </c>
      <c r="B296" s="2">
        <f t="shared" si="12"/>
        <v>45689</v>
      </c>
      <c r="C296" t="str">
        <f t="shared" si="13"/>
        <v>2025-02-01</v>
      </c>
      <c r="D296" s="3">
        <v>38215991</v>
      </c>
      <c r="E296" s="4">
        <f t="shared" si="14"/>
        <v>-0.00283257191561334</v>
      </c>
    </row>
    <row r="297" spans="1:5">
      <c r="A297" s="1" t="str">
        <v> 03.25</v>
      </c>
      <c r="B297" s="2">
        <f t="shared" si="12"/>
        <v>45717</v>
      </c>
      <c r="C297" t="str">
        <f t="shared" si="13"/>
        <v>2025-03-01</v>
      </c>
      <c r="D297" s="3">
        <v>38357906</v>
      </c>
      <c r="E297" s="4">
        <f t="shared" si="14"/>
        <v>0.00370661982845601</v>
      </c>
    </row>
    <row r="298" spans="1:5">
      <c r="A298" s="1" t="str">
        <v> 04.25</v>
      </c>
      <c r="B298" s="2">
        <f t="shared" si="12"/>
        <v>45748</v>
      </c>
      <c r="C298" t="str">
        <f t="shared" si="13"/>
        <v>2025-04-01</v>
      </c>
      <c r="D298" s="3">
        <v>39185725</v>
      </c>
      <c r="E298" s="4">
        <f t="shared" si="14"/>
        <v>0.0213518618988312</v>
      </c>
    </row>
    <row r="299" spans="1:5">
      <c r="A299" s="1" t="str">
        <v> 05.25</v>
      </c>
      <c r="B299" s="2">
        <f t="shared" si="12"/>
        <v>45778</v>
      </c>
      <c r="C299" t="str">
        <f t="shared" si="13"/>
        <v>2025-05-01</v>
      </c>
      <c r="D299" s="3">
        <v>39492750</v>
      </c>
      <c r="E299" s="4">
        <f t="shared" si="14"/>
        <v>0.00780458844549547</v>
      </c>
    </row>
    <row r="300" spans="1:5">
      <c r="A300" s="1" t="str">
        <v> 06.25</v>
      </c>
      <c r="B300" s="2">
        <f t="shared" si="12"/>
        <v>45809</v>
      </c>
      <c r="C300" t="str">
        <f t="shared" si="13"/>
        <v>2025-06-01</v>
      </c>
      <c r="D300" s="3">
        <v>40623855</v>
      </c>
      <c r="E300" s="4">
        <f t="shared" si="14"/>
        <v>0.0282383448803616</v>
      </c>
    </row>
    <row r="301" spans="1:5">
      <c r="A301" s="1" t="str">
        <v> 07.25</v>
      </c>
      <c r="B301" s="2">
        <f t="shared" si="12"/>
        <v>45839</v>
      </c>
      <c r="C301" t="str">
        <f t="shared" si="13"/>
        <v>2025-07-01</v>
      </c>
      <c r="D301" s="3">
        <v>40746378</v>
      </c>
      <c r="E301" s="4">
        <f t="shared" si="14"/>
        <v>0.00301149666359903</v>
      </c>
    </row>
    <row r="302" spans="1:5">
      <c r="A302" s="1" t="str">
        <v> 08.25</v>
      </c>
      <c r="B302" s="2">
        <f t="shared" si="12"/>
        <v>45870</v>
      </c>
      <c r="C302" t="str">
        <f t="shared" si="13"/>
        <v>2025-08-01</v>
      </c>
      <c r="D302" s="3">
        <v>41091093</v>
      </c>
      <c r="E302" s="4">
        <f t="shared" si="14"/>
        <v>0.00842443038663946</v>
      </c>
    </row>
    <row r="303" spans="1:5">
      <c r="A303" s="1" t="str">
        <v> 09.25</v>
      </c>
      <c r="B303" s="2">
        <f t="shared" si="12"/>
        <v>45901</v>
      </c>
      <c r="C303" t="str">
        <f t="shared" si="13"/>
        <v>2025-09-01</v>
      </c>
      <c r="D303" s="3">
        <v>41626870</v>
      </c>
      <c r="E303" s="4">
        <f t="shared" si="14"/>
        <v>0.0129544895288769</v>
      </c>
    </row>
    <row r="304" spans="1:5">
      <c r="A304" s="1" t="str">
        <v> 10.25</v>
      </c>
      <c r="B304" s="2">
        <f t="shared" si="12"/>
        <v>45931</v>
      </c>
      <c r="C304" t="str">
        <f t="shared" si="13"/>
        <v>2025-10-01</v>
      </c>
      <c r="D304" s="3">
        <v>42462331</v>
      </c>
      <c r="E304" s="4">
        <f t="shared" si="14"/>
        <v>0.0198714812800061</v>
      </c>
    </row>
    <row r="305" spans="1:5">
      <c r="A305" s="1" t="str">
        <v> 11.25</v>
      </c>
      <c r="B305" s="2">
        <f t="shared" si="12"/>
        <v>45962</v>
      </c>
      <c r="C305" t="str">
        <f t="shared" si="13"/>
        <v>2025-11-01</v>
      </c>
      <c r="D305" s="3">
        <v>42192683</v>
      </c>
      <c r="E305" s="4">
        <f t="shared" si="14"/>
        <v>-0.00637053611361668</v>
      </c>
    </row>
    <row r="306" spans="1:5">
      <c r="A306" s="1" t="str">
        <v> 12.25</v>
      </c>
      <c r="B306" s="2">
        <f t="shared" si="12"/>
        <v>45992</v>
      </c>
      <c r="C306" t="str">
        <f t="shared" si="13"/>
        <v>2025-12-01</v>
      </c>
      <c r="D306" s="3">
        <v>45805638</v>
      </c>
      <c r="E306" s="4">
        <f t="shared" si="14"/>
        <v>0.0821603665977553</v>
      </c>
    </row>
    <row r="307" spans="1:5">
      <c r="A307" s="1" t="str">
        <v> 01.26</v>
      </c>
      <c r="B307" s="2">
        <f t="shared" si="12"/>
        <v>46023</v>
      </c>
      <c r="C307" t="str">
        <f t="shared" si="13"/>
        <v>2026-01-01</v>
      </c>
      <c r="D307" s="3">
        <v>43816020</v>
      </c>
      <c r="E307" s="4">
        <f t="shared" si="14"/>
        <v>-0.0444076800450041</v>
      </c>
    </row>
    <row r="308" spans="1:5">
      <c r="A308" s="1" t="str">
        <v> 02.26</v>
      </c>
      <c r="B308" s="2">
        <f t="shared" si="12"/>
        <v>46054</v>
      </c>
      <c r="C308" t="str">
        <f t="shared" si="13"/>
        <v>2026-02-01</v>
      </c>
      <c r="D308" s="3">
        <v>43771946</v>
      </c>
      <c r="E308" s="4">
        <f t="shared" si="14"/>
        <v>-0.0010063940455005</v>
      </c>
    </row>
    <row r="309" spans="1:5">
      <c r="A309" s="1" t="str">
        <v> 03.26</v>
      </c>
      <c r="B309" s="2">
        <f t="shared" si="12"/>
        <v>46082</v>
      </c>
      <c r="C309" t="str">
        <f t="shared" si="13"/>
        <v>2026-03-01</v>
      </c>
      <c r="D309" s="3">
        <v>44720043</v>
      </c>
      <c r="E309" s="4">
        <f t="shared" si="14"/>
        <v>0.0214286804947643</v>
      </c>
    </row>
    <row r="310" spans="1:5">
      <c r="A310" s="1" t="str">
        <v> 04.26</v>
      </c>
      <c r="B310" s="2">
        <f t="shared" si="12"/>
        <v>46113</v>
      </c>
      <c r="C310" t="str">
        <f t="shared" si="13"/>
        <v>2026-04-01</v>
      </c>
      <c r="D310" s="3">
        <v>44943739</v>
      </c>
      <c r="E310" s="4">
        <f t="shared" si="14"/>
        <v>0.00498967273341188</v>
      </c>
    </row>
    <row r="311" spans="1:5">
      <c r="A311" s="1" t="str">
        <v> 05.26</v>
      </c>
      <c r="B311" s="2">
        <f t="shared" si="12"/>
        <v>46143</v>
      </c>
      <c r="C311" t="str">
        <f t="shared" si="13"/>
        <v>2026-05-01</v>
      </c>
      <c r="D311" s="3">
        <v>45687177</v>
      </c>
      <c r="E311" s="4">
        <f t="shared" si="14"/>
        <v>0.0164062045993096</v>
      </c>
    </row>
    <row r="312" spans="1:5">
      <c r="A312" s="1" t="str">
        <v> 06.26</v>
      </c>
      <c r="B312" s="2">
        <f t="shared" si="12"/>
        <v>46174</v>
      </c>
      <c r="C312" t="str">
        <f t="shared" si="13"/>
        <v>2026-06-01</v>
      </c>
      <c r="D312" s="3">
        <v>48128861</v>
      </c>
      <c r="E312" s="4">
        <f t="shared" si="14"/>
        <v>0.0520643502436726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2"/>
  <sheetViews>
    <sheetView tabSelected="1" workbookViewId="0">
      <selection activeCell="D5" sqref="D5"/>
    </sheetView>
  </sheetViews>
  <sheetFormatPr defaultColWidth="9" defaultRowHeight="16.8" outlineLevelCol="1"/>
  <cols>
    <col min="1" max="1" width="11" customWidth="1"/>
    <col min="2" max="2" width="9.5" customWidth="1"/>
  </cols>
  <sheetData>
    <row r="1" spans="1:2">
      <c r="A1" t="s">
        <v>334</v>
      </c>
      <c r="B1" t="s">
        <v>335</v>
      </c>
    </row>
    <row r="2" spans="1:2">
      <c r="A2" t="str">
        <f>'Final Clea'!C2</f>
        <v>2000-08-01</v>
      </c>
      <c r="B2">
        <f>'Final Clea'!D2</f>
        <v>263580</v>
      </c>
    </row>
    <row r="3" spans="1:2">
      <c r="A3" t="str">
        <f>'Final Clea'!C3</f>
        <v>2000-09-01</v>
      </c>
      <c r="B3">
        <f>'Final Clea'!D3</f>
        <v>278501</v>
      </c>
    </row>
    <row r="4" spans="1:2">
      <c r="A4" t="str">
        <f>'Final Clea'!C4</f>
        <v>2000-10-01</v>
      </c>
      <c r="B4">
        <f>'Final Clea'!D4</f>
        <v>294928</v>
      </c>
    </row>
    <row r="5" spans="1:2">
      <c r="A5" t="str">
        <f>'Final Clea'!C5</f>
        <v>2000-11-01</v>
      </c>
      <c r="B5">
        <f>'Final Clea'!D5</f>
        <v>283324</v>
      </c>
    </row>
    <row r="6" spans="1:2">
      <c r="A6" t="str">
        <f>'Final Clea'!C6</f>
        <v>2000-12-01</v>
      </c>
      <c r="B6">
        <f>'Final Clea'!D6</f>
        <v>290643</v>
      </c>
    </row>
    <row r="7" spans="1:2">
      <c r="A7" t="str">
        <f>'Final Clea'!C7</f>
        <v>2001-01-01</v>
      </c>
      <c r="B7">
        <f>'Final Clea'!D7</f>
        <v>271849</v>
      </c>
    </row>
    <row r="8" spans="1:2">
      <c r="A8" t="str">
        <f>'Final Clea'!C8</f>
        <v>2001-02-01</v>
      </c>
      <c r="B8">
        <f>'Final Clea'!D8</f>
        <v>290975</v>
      </c>
    </row>
    <row r="9" spans="1:2">
      <c r="A9" t="str">
        <f>'Final Clea'!C9</f>
        <v>2001-03-01</v>
      </c>
      <c r="B9">
        <f>'Final Clea'!D9</f>
        <v>311455</v>
      </c>
    </row>
    <row r="10" spans="1:2">
      <c r="A10" t="str">
        <f>'Final Clea'!C10</f>
        <v>2001-04-01</v>
      </c>
      <c r="B10">
        <f>'Final Clea'!D10</f>
        <v>295745</v>
      </c>
    </row>
    <row r="11" spans="1:2">
      <c r="A11" t="str">
        <f>'Final Clea'!C11</f>
        <v>2001-05-01</v>
      </c>
      <c r="B11">
        <f>'Final Clea'!D11</f>
        <v>306972</v>
      </c>
    </row>
    <row r="12" spans="1:2">
      <c r="A12" t="str">
        <f>'Final Clea'!C12</f>
        <v>2001-06-01</v>
      </c>
      <c r="B12">
        <f>'Final Clea'!D12</f>
        <v>347105</v>
      </c>
    </row>
    <row r="13" spans="1:2">
      <c r="A13" t="str">
        <f>'Final Clea'!C13</f>
        <v>2001-07-01</v>
      </c>
      <c r="B13">
        <f>'Final Clea'!D13</f>
        <v>353279</v>
      </c>
    </row>
    <row r="14" spans="1:2">
      <c r="A14" t="str">
        <f>'Final Clea'!C14</f>
        <v>2001-08-01</v>
      </c>
      <c r="B14">
        <f>'Final Clea'!D14</f>
        <v>338510</v>
      </c>
    </row>
    <row r="15" spans="1:2">
      <c r="A15" t="str">
        <f>'Final Clea'!C15</f>
        <v>2001-09-01</v>
      </c>
      <c r="B15">
        <f>'Final Clea'!D15</f>
        <v>355646</v>
      </c>
    </row>
    <row r="16" spans="1:2">
      <c r="A16" t="str">
        <f>'Final Clea'!C16</f>
        <v>2001-10-01</v>
      </c>
      <c r="B16">
        <f>'Final Clea'!D16</f>
        <v>346173</v>
      </c>
    </row>
    <row r="17" spans="1:2">
      <c r="A17" t="str">
        <f>'Final Clea'!C17</f>
        <v>2001-11-01</v>
      </c>
      <c r="B17">
        <f>'Final Clea'!D17</f>
        <v>326428</v>
      </c>
    </row>
    <row r="18" spans="1:2">
      <c r="A18" t="str">
        <f>'Final Clea'!C18</f>
        <v>2001-12-01</v>
      </c>
      <c r="B18">
        <f>'Final Clea'!D18</f>
        <v>337980</v>
      </c>
    </row>
    <row r="19" spans="1:2">
      <c r="A19" t="str">
        <f>'Final Clea'!C19</f>
        <v>2002-01-01</v>
      </c>
      <c r="B19">
        <f>'Final Clea'!D19</f>
        <v>315711</v>
      </c>
    </row>
    <row r="20" spans="1:2">
      <c r="A20" t="str">
        <f>'Final Clea'!C20</f>
        <v>2002-02-01</v>
      </c>
      <c r="B20">
        <f>'Final Clea'!D20</f>
        <v>309127</v>
      </c>
    </row>
    <row r="21" spans="1:2">
      <c r="A21" t="str">
        <f>'Final Clea'!C21</f>
        <v>2002-03-01</v>
      </c>
      <c r="B21">
        <f>'Final Clea'!D21</f>
        <v>328982</v>
      </c>
    </row>
    <row r="22" spans="1:2">
      <c r="A22" t="str">
        <f>'Final Clea'!C22</f>
        <v>2002-04-01</v>
      </c>
      <c r="B22">
        <f>'Final Clea'!D22</f>
        <v>344634</v>
      </c>
    </row>
    <row r="23" spans="1:2">
      <c r="A23" t="str">
        <f>'Final Clea'!C23</f>
        <v>2002-05-01</v>
      </c>
      <c r="B23">
        <f>'Final Clea'!D23</f>
        <v>350423</v>
      </c>
    </row>
    <row r="24" spans="1:2">
      <c r="A24" t="str">
        <f>'Final Clea'!C24</f>
        <v>2002-06-01</v>
      </c>
      <c r="B24">
        <f>'Final Clea'!D24</f>
        <v>364286</v>
      </c>
    </row>
    <row r="25" spans="1:2">
      <c r="A25" t="str">
        <f>'Final Clea'!C25</f>
        <v>2002-07-01</v>
      </c>
      <c r="B25">
        <f>'Final Clea'!D25</f>
        <v>389855</v>
      </c>
    </row>
    <row r="26" spans="1:2">
      <c r="A26" t="str">
        <f>'Final Clea'!C26</f>
        <v>2002-08-01</v>
      </c>
      <c r="B26">
        <f>'Final Clea'!D26</f>
        <v>395426</v>
      </c>
    </row>
    <row r="27" spans="1:2">
      <c r="A27" t="str">
        <f>'Final Clea'!C27</f>
        <v>2002-09-01</v>
      </c>
      <c r="B27">
        <f>'Final Clea'!D27</f>
        <v>419268</v>
      </c>
    </row>
    <row r="28" spans="1:2">
      <c r="A28" t="str">
        <f>'Final Clea'!C28</f>
        <v>2002-10-01</v>
      </c>
      <c r="B28">
        <f>'Final Clea'!D28</f>
        <v>446155</v>
      </c>
    </row>
    <row r="29" spans="1:2">
      <c r="A29" t="str">
        <f>'Final Clea'!C29</f>
        <v>2002-11-01</v>
      </c>
      <c r="B29">
        <f>'Final Clea'!D29</f>
        <v>442830</v>
      </c>
    </row>
    <row r="30" spans="1:2">
      <c r="A30" t="str">
        <f>'Final Clea'!C30</f>
        <v>2002-12-01</v>
      </c>
      <c r="B30">
        <f>'Final Clea'!D30</f>
        <v>498071</v>
      </c>
    </row>
    <row r="31" spans="1:2">
      <c r="A31" t="str">
        <f>'Final Clea'!C31</f>
        <v>2003-01-01</v>
      </c>
      <c r="B31">
        <f>'Final Clea'!D31</f>
        <v>441962</v>
      </c>
    </row>
    <row r="32" spans="1:2">
      <c r="A32" t="str">
        <f>'Final Clea'!C32</f>
        <v>2003-02-01</v>
      </c>
      <c r="B32">
        <f>'Final Clea'!D32</f>
        <v>484256</v>
      </c>
    </row>
    <row r="33" spans="1:2">
      <c r="A33" t="str">
        <f>'Final Clea'!C33</f>
        <v>2003-03-01</v>
      </c>
      <c r="B33">
        <f>'Final Clea'!D33</f>
        <v>524631</v>
      </c>
    </row>
    <row r="34" spans="1:2">
      <c r="A34" t="str">
        <f>'Final Clea'!C34</f>
        <v>2003-04-01</v>
      </c>
      <c r="B34">
        <f>'Final Clea'!D34</f>
        <v>533893</v>
      </c>
    </row>
    <row r="35" spans="1:2">
      <c r="A35" t="str">
        <f>'Final Clea'!C35</f>
        <v>2003-05-01</v>
      </c>
      <c r="B35">
        <f>'Final Clea'!D35</f>
        <v>568857</v>
      </c>
    </row>
    <row r="36" spans="1:2">
      <c r="A36" t="str">
        <f>'Final Clea'!C36</f>
        <v>2003-06-01</v>
      </c>
      <c r="B36">
        <f>'Final Clea'!D36</f>
        <v>620186</v>
      </c>
    </row>
    <row r="37" spans="1:2">
      <c r="A37" t="str">
        <f>'Final Clea'!C37</f>
        <v>2003-07-01</v>
      </c>
      <c r="B37">
        <f>'Final Clea'!D37</f>
        <v>640074</v>
      </c>
    </row>
    <row r="38" spans="1:2">
      <c r="A38" t="str">
        <f>'Final Clea'!C38</f>
        <v>2003-08-01</v>
      </c>
      <c r="B38">
        <f>'Final Clea'!D38</f>
        <v>637244</v>
      </c>
    </row>
    <row r="39" spans="1:2">
      <c r="A39" t="str">
        <f>'Final Clea'!C39</f>
        <v>2003-09-01</v>
      </c>
      <c r="B39">
        <f>'Final Clea'!D39</f>
        <v>683429</v>
      </c>
    </row>
    <row r="40" spans="1:2">
      <c r="A40" t="str">
        <f>'Final Clea'!C40</f>
        <v>2003-10-01</v>
      </c>
      <c r="B40">
        <f>'Final Clea'!D40</f>
        <v>705866</v>
      </c>
    </row>
    <row r="41" spans="1:2">
      <c r="A41" t="str">
        <f>'Final Clea'!C41</f>
        <v>2003-11-01</v>
      </c>
      <c r="B41">
        <f>'Final Clea'!D41</f>
        <v>701251</v>
      </c>
    </row>
    <row r="42" spans="1:2">
      <c r="A42" t="str">
        <f>'Final Clea'!C42</f>
        <v>2003-12-01</v>
      </c>
      <c r="B42">
        <f>'Final Clea'!D42</f>
        <v>693381</v>
      </c>
    </row>
    <row r="43" spans="1:2">
      <c r="A43" t="str">
        <f>'Final Clea'!C43</f>
        <v>2004-01-01</v>
      </c>
      <c r="B43">
        <f>'Final Clea'!D43</f>
        <v>700991</v>
      </c>
    </row>
    <row r="44" spans="1:2">
      <c r="A44" t="str">
        <f>'Final Clea'!C44</f>
        <v>2004-02-01</v>
      </c>
      <c r="B44">
        <f>'Final Clea'!D44</f>
        <v>733245</v>
      </c>
    </row>
    <row r="45" spans="1:2">
      <c r="A45" t="str">
        <f>'Final Clea'!C45</f>
        <v>2004-03-01</v>
      </c>
      <c r="B45">
        <f>'Final Clea'!D45</f>
        <v>770676</v>
      </c>
    </row>
    <row r="46" spans="1:2">
      <c r="A46" t="str">
        <f>'Final Clea'!C46</f>
        <v>2004-04-01</v>
      </c>
      <c r="B46">
        <f>'Final Clea'!D46</f>
        <v>784654</v>
      </c>
    </row>
    <row r="47" spans="1:2">
      <c r="A47" t="str">
        <f>'Final Clea'!C47</f>
        <v>2004-05-01</v>
      </c>
      <c r="B47">
        <f>'Final Clea'!D47</f>
        <v>852629</v>
      </c>
    </row>
    <row r="48" spans="1:2">
      <c r="A48" t="str">
        <f>'Final Clea'!C48</f>
        <v>2004-06-01</v>
      </c>
      <c r="B48">
        <f>'Final Clea'!D48</f>
        <v>891766</v>
      </c>
    </row>
    <row r="49" spans="1:2">
      <c r="A49" t="str">
        <f>'Final Clea'!C49</f>
        <v>2004-07-01</v>
      </c>
      <c r="B49">
        <f>'Final Clea'!D49</f>
        <v>896585</v>
      </c>
    </row>
    <row r="50" spans="1:2">
      <c r="A50" t="str">
        <f>'Final Clea'!C50</f>
        <v>2004-08-01</v>
      </c>
      <c r="B50">
        <f>'Final Clea'!D50</f>
        <v>932505</v>
      </c>
    </row>
    <row r="51" spans="1:2">
      <c r="A51" t="str">
        <f>'Final Clea'!C51</f>
        <v>2004-09-01</v>
      </c>
      <c r="B51">
        <f>'Final Clea'!D51</f>
        <v>974227</v>
      </c>
    </row>
    <row r="52" spans="1:2">
      <c r="A52" t="str">
        <f>'Final Clea'!C52</f>
        <v>2004-10-01</v>
      </c>
      <c r="B52">
        <f>'Final Clea'!D52</f>
        <v>1003156</v>
      </c>
    </row>
    <row r="53" spans="1:2">
      <c r="A53" t="str">
        <f>'Final Clea'!C53</f>
        <v>2004-11-01</v>
      </c>
      <c r="B53">
        <f>'Final Clea'!D53</f>
        <v>1173890</v>
      </c>
    </row>
    <row r="54" spans="1:2">
      <c r="A54" t="str">
        <f>'Final Clea'!C54</f>
        <v>2004-12-01</v>
      </c>
      <c r="B54">
        <f>'Final Clea'!D54</f>
        <v>1175491</v>
      </c>
    </row>
    <row r="55" spans="1:2">
      <c r="A55" t="str">
        <f>'Final Clea'!C55</f>
        <v>2005-01-01</v>
      </c>
      <c r="B55">
        <f>'Final Clea'!D55</f>
        <v>1108353</v>
      </c>
    </row>
    <row r="56" spans="1:2">
      <c r="A56" t="str">
        <f>'Final Clea'!C56</f>
        <v>2005-02-01</v>
      </c>
      <c r="B56">
        <f>'Final Clea'!D56</f>
        <v>1167898</v>
      </c>
    </row>
    <row r="57" spans="1:2">
      <c r="A57" t="str">
        <f>'Final Clea'!C57</f>
        <v>2005-03-01</v>
      </c>
      <c r="B57">
        <f>'Final Clea'!D57</f>
        <v>1263662</v>
      </c>
    </row>
    <row r="58" spans="1:2">
      <c r="A58" t="str">
        <f>'Final Clea'!C58</f>
        <v>2005-04-01</v>
      </c>
      <c r="B58">
        <f>'Final Clea'!D58</f>
        <v>1271707</v>
      </c>
    </row>
    <row r="59" spans="1:2">
      <c r="A59" t="str">
        <f>'Final Clea'!C59</f>
        <v>2005-05-01</v>
      </c>
      <c r="B59">
        <f>'Final Clea'!D59</f>
        <v>1321824</v>
      </c>
    </row>
    <row r="60" spans="1:2">
      <c r="A60" t="str">
        <f>'Final Clea'!C60</f>
        <v>2005-06-01</v>
      </c>
      <c r="B60">
        <f>'Final Clea'!D60</f>
        <v>1363526</v>
      </c>
    </row>
    <row r="61" spans="1:2">
      <c r="A61" t="str">
        <f>'Final Clea'!C61</f>
        <v>2005-07-01</v>
      </c>
      <c r="B61">
        <f>'Final Clea'!D61</f>
        <v>1359235</v>
      </c>
    </row>
    <row r="62" spans="1:2">
      <c r="A62" t="str">
        <f>'Final Clea'!C62</f>
        <v>2005-08-01</v>
      </c>
      <c r="B62">
        <f>'Final Clea'!D62</f>
        <v>1391764</v>
      </c>
    </row>
    <row r="63" spans="1:2">
      <c r="A63" t="str">
        <f>'Final Clea'!C63</f>
        <v>2005-09-01</v>
      </c>
      <c r="B63">
        <f>'Final Clea'!D63</f>
        <v>1450385</v>
      </c>
    </row>
    <row r="64" spans="1:2">
      <c r="A64" t="str">
        <f>'Final Clea'!C64</f>
        <v>2005-10-01</v>
      </c>
      <c r="B64">
        <f>'Final Clea'!D64</f>
        <v>1474028</v>
      </c>
    </row>
    <row r="65" spans="1:2">
      <c r="A65" t="str">
        <f>'Final Clea'!C65</f>
        <v>2005-11-01</v>
      </c>
      <c r="B65">
        <f>'Final Clea'!D65</f>
        <v>1459131</v>
      </c>
    </row>
    <row r="66" spans="1:2">
      <c r="A66" t="str">
        <f>'Final Clea'!C66</f>
        <v>2005-12-01</v>
      </c>
      <c r="B66">
        <f>'Final Clea'!D66</f>
        <v>1515970</v>
      </c>
    </row>
    <row r="67" spans="1:2">
      <c r="A67" t="str">
        <f>'Final Clea'!C67</f>
        <v>2006-01-01</v>
      </c>
      <c r="B67">
        <f>'Final Clea'!D67</f>
        <v>1478931</v>
      </c>
    </row>
    <row r="68" spans="1:2">
      <c r="A68" t="str">
        <f>'Final Clea'!C68</f>
        <v>2006-02-01</v>
      </c>
      <c r="B68">
        <f>'Final Clea'!D68</f>
        <v>1617525</v>
      </c>
    </row>
    <row r="69" spans="1:2">
      <c r="A69" t="str">
        <f>'Final Clea'!C69</f>
        <v>2006-03-01</v>
      </c>
      <c r="B69">
        <f>'Final Clea'!D69</f>
        <v>1749189</v>
      </c>
    </row>
    <row r="70" spans="1:2">
      <c r="A70" t="str">
        <f>'Final Clea'!C70</f>
        <v>2006-04-01</v>
      </c>
      <c r="B70">
        <f>'Final Clea'!D70</f>
        <v>1779603</v>
      </c>
    </row>
    <row r="71" spans="1:2">
      <c r="A71" t="str">
        <f>'Final Clea'!C71</f>
        <v>2006-05-01</v>
      </c>
      <c r="B71">
        <f>'Final Clea'!D71</f>
        <v>1943181</v>
      </c>
    </row>
    <row r="72" spans="1:2">
      <c r="A72" t="str">
        <f>'Final Clea'!C72</f>
        <v>2006-06-01</v>
      </c>
      <c r="B72">
        <f>'Final Clea'!D72</f>
        <v>2097516</v>
      </c>
    </row>
    <row r="73" spans="1:2">
      <c r="A73" t="str">
        <f>'Final Clea'!C73</f>
        <v>2006-07-01</v>
      </c>
      <c r="B73">
        <f>'Final Clea'!D73</f>
        <v>2214767</v>
      </c>
    </row>
    <row r="74" spans="1:2">
      <c r="A74" t="str">
        <f>'Final Clea'!C74</f>
        <v>2006-08-01</v>
      </c>
      <c r="B74">
        <f>'Final Clea'!D74</f>
        <v>2264265</v>
      </c>
    </row>
    <row r="75" spans="1:2">
      <c r="A75" t="str">
        <f>'Final Clea'!C75</f>
        <v>2006-09-01</v>
      </c>
      <c r="B75">
        <f>'Final Clea'!D75</f>
        <v>2300468</v>
      </c>
    </row>
    <row r="76" spans="1:2">
      <c r="A76" t="str">
        <f>'Final Clea'!C76</f>
        <v>2006-10-01</v>
      </c>
      <c r="B76">
        <f>'Final Clea'!D76</f>
        <v>2416745</v>
      </c>
    </row>
    <row r="77" spans="1:2">
      <c r="A77" t="str">
        <f>'Final Clea'!C77</f>
        <v>2006-11-01</v>
      </c>
      <c r="B77">
        <f>'Final Clea'!D77</f>
        <v>2530079</v>
      </c>
    </row>
    <row r="78" spans="1:2">
      <c r="A78" t="str">
        <f>'Final Clea'!C78</f>
        <v>2006-12-01</v>
      </c>
      <c r="B78">
        <f>'Final Clea'!D78</f>
        <v>2814551</v>
      </c>
    </row>
    <row r="79" spans="1:2">
      <c r="A79" t="str">
        <f>'Final Clea'!C79</f>
        <v>2007-01-01</v>
      </c>
      <c r="B79">
        <f>'Final Clea'!D79</f>
        <v>2867170</v>
      </c>
    </row>
    <row r="80" spans="1:2">
      <c r="A80" t="str">
        <f>'Final Clea'!C80</f>
        <v>2007-02-01</v>
      </c>
      <c r="B80">
        <f>'Final Clea'!D80</f>
        <v>2989009</v>
      </c>
    </row>
    <row r="81" spans="1:2">
      <c r="A81" t="str">
        <f>'Final Clea'!C81</f>
        <v>2007-03-01</v>
      </c>
      <c r="B81">
        <f>'Final Clea'!D81</f>
        <v>3130333</v>
      </c>
    </row>
    <row r="82" spans="1:2">
      <c r="A82" t="str">
        <f>'Final Clea'!C82</f>
        <v>2007-04-01</v>
      </c>
      <c r="B82">
        <f>'Final Clea'!D82</f>
        <v>3260921</v>
      </c>
    </row>
    <row r="83" spans="1:2">
      <c r="A83" t="str">
        <f>'Final Clea'!C83</f>
        <v>2007-05-01</v>
      </c>
      <c r="B83">
        <f>'Final Clea'!D83</f>
        <v>3454167</v>
      </c>
    </row>
    <row r="84" spans="1:2">
      <c r="A84" t="str">
        <f>'Final Clea'!C84</f>
        <v>2007-06-01</v>
      </c>
      <c r="B84">
        <f>'Final Clea'!D84</f>
        <v>3723349</v>
      </c>
    </row>
    <row r="85" spans="1:2">
      <c r="A85" t="str">
        <f>'Final Clea'!C85</f>
        <v>2007-07-01</v>
      </c>
      <c r="B85">
        <f>'Final Clea'!D85</f>
        <v>3759581</v>
      </c>
    </row>
    <row r="86" spans="1:2">
      <c r="A86" t="str">
        <f>'Final Clea'!C86</f>
        <v>2007-08-01</v>
      </c>
      <c r="B86">
        <f>'Final Clea'!D86</f>
        <v>3651989</v>
      </c>
    </row>
    <row r="87" spans="1:2">
      <c r="A87" t="str">
        <f>'Final Clea'!C87</f>
        <v>2007-09-01</v>
      </c>
      <c r="B87">
        <f>'Final Clea'!D87</f>
        <v>3555596</v>
      </c>
    </row>
    <row r="88" spans="1:2">
      <c r="A88" t="str">
        <f>'Final Clea'!C88</f>
        <v>2007-10-01</v>
      </c>
      <c r="B88">
        <f>'Final Clea'!D88</f>
        <v>3422035</v>
      </c>
    </row>
    <row r="89" spans="1:2">
      <c r="A89" t="str">
        <f>'Final Clea'!C89</f>
        <v>2007-11-01</v>
      </c>
      <c r="B89">
        <f>'Final Clea'!D89</f>
        <v>3470733</v>
      </c>
    </row>
    <row r="90" spans="1:2">
      <c r="A90" t="str">
        <f>'Final Clea'!C90</f>
        <v>2007-12-01</v>
      </c>
      <c r="B90">
        <f>'Final Clea'!D90</f>
        <v>3553643</v>
      </c>
    </row>
    <row r="91" spans="1:2">
      <c r="A91" t="str">
        <f>'Final Clea'!C91</f>
        <v>2008-01-01</v>
      </c>
      <c r="B91">
        <f>'Final Clea'!D91</f>
        <v>3443604</v>
      </c>
    </row>
    <row r="92" spans="1:2">
      <c r="A92" t="str">
        <f>'Final Clea'!C92</f>
        <v>2008-02-01</v>
      </c>
      <c r="B92">
        <f>'Final Clea'!D92</f>
        <v>3485034</v>
      </c>
    </row>
    <row r="93" spans="1:2">
      <c r="A93" t="str">
        <f>'Final Clea'!C93</f>
        <v>2008-03-01</v>
      </c>
      <c r="B93">
        <f>'Final Clea'!D93</f>
        <v>3606858</v>
      </c>
    </row>
    <row r="94" spans="1:2">
      <c r="A94" t="str">
        <f>'Final Clea'!C94</f>
        <v>2008-04-01</v>
      </c>
      <c r="B94">
        <f>'Final Clea'!D94</f>
        <v>3617487</v>
      </c>
    </row>
    <row r="95" spans="1:2">
      <c r="A95" t="str">
        <f>'Final Clea'!C95</f>
        <v>2008-05-01</v>
      </c>
      <c r="B95">
        <f>'Final Clea'!D95</f>
        <v>3781139</v>
      </c>
    </row>
    <row r="96" spans="1:2">
      <c r="A96" t="str">
        <f>'Final Clea'!C96</f>
        <v>2008-06-01</v>
      </c>
      <c r="B96">
        <f>'Final Clea'!D96</f>
        <v>3913425</v>
      </c>
    </row>
    <row r="97" spans="1:2">
      <c r="A97" t="str">
        <f>'Final Clea'!C97</f>
        <v>2008-07-01</v>
      </c>
      <c r="B97">
        <f>'Final Clea'!D97</f>
        <v>4045590</v>
      </c>
    </row>
    <row r="98" spans="1:2">
      <c r="A98" t="str">
        <f>'Final Clea'!C98</f>
        <v>2008-08-01</v>
      </c>
      <c r="B98">
        <f>'Final Clea'!D98</f>
        <v>4120310</v>
      </c>
    </row>
    <row r="99" spans="1:2">
      <c r="A99" t="str">
        <f>'Final Clea'!C99</f>
        <v>2008-09-01</v>
      </c>
      <c r="B99">
        <f>'Final Clea'!D99</f>
        <v>4314343</v>
      </c>
    </row>
    <row r="100" spans="1:2">
      <c r="A100" t="str">
        <f>'Final Clea'!C100</f>
        <v>2008-10-01</v>
      </c>
      <c r="B100">
        <f>'Final Clea'!D100</f>
        <v>4105566</v>
      </c>
    </row>
    <row r="101" spans="1:2">
      <c r="A101" t="str">
        <f>'Final Clea'!C101</f>
        <v>2008-11-01</v>
      </c>
      <c r="B101">
        <f>'Final Clea'!D101</f>
        <v>4378167</v>
      </c>
    </row>
    <row r="102" spans="1:2">
      <c r="A102" t="str">
        <f>'Final Clea'!C102</f>
        <v>2008-12-01</v>
      </c>
      <c r="B102">
        <f>'Final Clea'!D102</f>
        <v>4620329</v>
      </c>
    </row>
    <row r="103" spans="1:2">
      <c r="A103" t="str">
        <f>'Final Clea'!C103</f>
        <v>2009-01-01</v>
      </c>
      <c r="B103">
        <f>'Final Clea'!D103</f>
        <v>4207184</v>
      </c>
    </row>
    <row r="104" spans="1:2">
      <c r="A104" t="str">
        <f>'Final Clea'!C104</f>
        <v>2009-02-01</v>
      </c>
      <c r="B104">
        <f>'Final Clea'!D104</f>
        <v>4476698</v>
      </c>
    </row>
    <row r="105" spans="1:2">
      <c r="A105" t="str">
        <f>'Final Clea'!C105</f>
        <v>2009-03-01</v>
      </c>
      <c r="B105">
        <f>'Final Clea'!D105</f>
        <v>4416658</v>
      </c>
    </row>
    <row r="106" spans="1:2">
      <c r="A106" t="str">
        <f>'Final Clea'!C106</f>
        <v>2009-04-01</v>
      </c>
      <c r="B106">
        <f>'Final Clea'!D106</f>
        <v>4391502</v>
      </c>
    </row>
    <row r="107" spans="1:2">
      <c r="A107" t="str">
        <f>'Final Clea'!C107</f>
        <v>2009-05-01</v>
      </c>
      <c r="B107">
        <f>'Final Clea'!D107</f>
        <v>4419187</v>
      </c>
    </row>
    <row r="108" spans="1:2">
      <c r="A108" t="str">
        <f>'Final Clea'!C108</f>
        <v>2009-06-01</v>
      </c>
      <c r="B108">
        <f>'Final Clea'!D108</f>
        <v>4736890</v>
      </c>
    </row>
    <row r="109" spans="1:2">
      <c r="A109" t="str">
        <f>'Final Clea'!C109</f>
        <v>2009-07-01</v>
      </c>
      <c r="B109">
        <f>'Final Clea'!D109</f>
        <v>4993239</v>
      </c>
    </row>
    <row r="110" spans="1:2">
      <c r="A110" t="str">
        <f>'Final Clea'!C110</f>
        <v>2009-08-01</v>
      </c>
      <c r="B110">
        <f>'Final Clea'!D110</f>
        <v>4857713</v>
      </c>
    </row>
    <row r="111" spans="1:2">
      <c r="A111" t="str">
        <f>'Final Clea'!C111</f>
        <v>2009-09-01</v>
      </c>
      <c r="B111">
        <f>'Final Clea'!D111</f>
        <v>4909233</v>
      </c>
    </row>
    <row r="112" spans="1:2">
      <c r="A112" t="str">
        <f>'Final Clea'!C112</f>
        <v>2009-10-01</v>
      </c>
      <c r="B112">
        <f>'Final Clea'!D112</f>
        <v>4796942</v>
      </c>
    </row>
    <row r="113" spans="1:2">
      <c r="A113" t="str">
        <f>'Final Clea'!C113</f>
        <v>2009-11-01</v>
      </c>
      <c r="B113">
        <f>'Final Clea'!D113</f>
        <v>4829444</v>
      </c>
    </row>
    <row r="114" spans="1:2">
      <c r="A114" t="str">
        <f>'Final Clea'!C114</f>
        <v>2009-12-01</v>
      </c>
      <c r="B114">
        <f>'Final Clea'!D114</f>
        <v>5335204</v>
      </c>
    </row>
    <row r="115" spans="1:2">
      <c r="A115" t="str">
        <f>'Final Clea'!C115</f>
        <v>2010-01-01</v>
      </c>
      <c r="B115">
        <f>'Final Clea'!D115</f>
        <v>5394164</v>
      </c>
    </row>
    <row r="116" spans="1:2">
      <c r="A116" t="str">
        <f>'Final Clea'!C116</f>
        <v>2010-02-01</v>
      </c>
      <c r="B116">
        <f>'Final Clea'!D116</f>
        <v>5544467</v>
      </c>
    </row>
    <row r="117" spans="1:2">
      <c r="A117" t="str">
        <f>'Final Clea'!C117</f>
        <v>2010-03-01</v>
      </c>
      <c r="B117">
        <f>'Final Clea'!D117</f>
        <v>5709675</v>
      </c>
    </row>
    <row r="118" spans="1:2">
      <c r="A118" t="str">
        <f>'Final Clea'!C118</f>
        <v>2010-04-01</v>
      </c>
      <c r="B118">
        <f>'Final Clea'!D118</f>
        <v>5914060</v>
      </c>
    </row>
    <row r="119" spans="1:2">
      <c r="A119" t="str">
        <f>'Final Clea'!C119</f>
        <v>2010-05-01</v>
      </c>
      <c r="B119">
        <f>'Final Clea'!D119</f>
        <v>6015559</v>
      </c>
    </row>
    <row r="120" spans="1:2">
      <c r="A120" t="str">
        <f>'Final Clea'!C120</f>
        <v>2010-06-01</v>
      </c>
      <c r="B120">
        <f>'Final Clea'!D120</f>
        <v>6124467</v>
      </c>
    </row>
    <row r="121" spans="1:2">
      <c r="A121" t="str">
        <f>'Final Clea'!C121</f>
        <v>2010-07-01</v>
      </c>
      <c r="B121">
        <f>'Final Clea'!D121</f>
        <v>6300518</v>
      </c>
    </row>
    <row r="122" spans="1:2">
      <c r="A122" t="str">
        <f>'Final Clea'!C122</f>
        <v>2010-08-01</v>
      </c>
      <c r="B122">
        <f>'Final Clea'!D122</f>
        <v>6367061</v>
      </c>
    </row>
    <row r="123" spans="1:2">
      <c r="A123" t="str">
        <f>'Final Clea'!C123</f>
        <v>2010-09-01</v>
      </c>
      <c r="B123">
        <f>'Final Clea'!D123</f>
        <v>6581709</v>
      </c>
    </row>
    <row r="124" spans="1:2">
      <c r="A124" t="str">
        <f>'Final Clea'!C124</f>
        <v>2010-10-01</v>
      </c>
      <c r="B124">
        <f>'Final Clea'!D124</f>
        <v>6693128</v>
      </c>
    </row>
    <row r="125" spans="1:2">
      <c r="A125" t="str">
        <f>'Final Clea'!C125</f>
        <v>2010-11-01</v>
      </c>
      <c r="B125">
        <f>'Final Clea'!D125</f>
        <v>6615320</v>
      </c>
    </row>
    <row r="126" spans="1:2">
      <c r="A126" t="str">
        <f>'Final Clea'!C126</f>
        <v>2010-12-01</v>
      </c>
      <c r="B126">
        <f>'Final Clea'!D126</f>
        <v>6570099</v>
      </c>
    </row>
    <row r="127" spans="1:2">
      <c r="A127" t="str">
        <f>'Final Clea'!C127</f>
        <v>2011-01-01</v>
      </c>
      <c r="B127">
        <f>'Final Clea'!D127</f>
        <v>6649830</v>
      </c>
    </row>
    <row r="128" spans="1:2">
      <c r="A128" t="str">
        <f>'Final Clea'!C128</f>
        <v>2011-02-01</v>
      </c>
      <c r="B128">
        <f>'Final Clea'!D128</f>
        <v>6802837</v>
      </c>
    </row>
    <row r="129" spans="1:2">
      <c r="A129" t="str">
        <f>'Final Clea'!C129</f>
        <v>2011-03-01</v>
      </c>
      <c r="B129">
        <f>'Final Clea'!D129</f>
        <v>7167153</v>
      </c>
    </row>
    <row r="130" spans="1:2">
      <c r="A130" t="str">
        <f>'Final Clea'!C130</f>
        <v>2011-04-01</v>
      </c>
      <c r="B130">
        <f>'Final Clea'!D130</f>
        <v>7252484</v>
      </c>
    </row>
    <row r="131" spans="1:2">
      <c r="A131" t="str">
        <f>'Final Clea'!C131</f>
        <v>2011-05-01</v>
      </c>
      <c r="B131">
        <f>'Final Clea'!D131</f>
        <v>7209417</v>
      </c>
    </row>
    <row r="132" spans="1:2">
      <c r="A132" t="str">
        <f>'Final Clea'!C132</f>
        <v>2011-06-01</v>
      </c>
      <c r="B132">
        <f>'Final Clea'!D132</f>
        <v>7568969</v>
      </c>
    </row>
    <row r="133" spans="1:2">
      <c r="A133" t="str">
        <f>'Final Clea'!C133</f>
        <v>2011-07-01</v>
      </c>
      <c r="B133">
        <f>'Final Clea'!D133</f>
        <v>8014382</v>
      </c>
    </row>
    <row r="134" spans="1:2">
      <c r="A134" t="str">
        <f>'Final Clea'!C134</f>
        <v>2011-08-01</v>
      </c>
      <c r="B134">
        <f>'Final Clea'!D134</f>
        <v>7769597</v>
      </c>
    </row>
    <row r="135" spans="1:2">
      <c r="A135" t="str">
        <f>'Final Clea'!C135</f>
        <v>2011-09-01</v>
      </c>
      <c r="B135">
        <f>'Final Clea'!D135</f>
        <v>8006900</v>
      </c>
    </row>
    <row r="136" spans="1:2">
      <c r="A136" t="str">
        <f>'Final Clea'!C136</f>
        <v>2011-10-01</v>
      </c>
      <c r="B136">
        <f>'Final Clea'!D136</f>
        <v>7909954</v>
      </c>
    </row>
    <row r="137" spans="1:2">
      <c r="A137" t="str">
        <f>'Final Clea'!C137</f>
        <v>2011-11-01</v>
      </c>
      <c r="B137">
        <f>'Final Clea'!D137</f>
        <v>7754881</v>
      </c>
    </row>
    <row r="138" spans="1:2">
      <c r="A138" t="str">
        <f>'Final Clea'!C138</f>
        <v>2011-12-01</v>
      </c>
      <c r="B138">
        <f>'Final Clea'!D138</f>
        <v>7967502</v>
      </c>
    </row>
    <row r="139" spans="1:2">
      <c r="A139" t="str">
        <f>'Final Clea'!C139</f>
        <v>2012-01-01</v>
      </c>
      <c r="B139">
        <f>'Final Clea'!D139</f>
        <v>7783105</v>
      </c>
    </row>
    <row r="140" spans="1:2">
      <c r="A140" t="str">
        <f>'Final Clea'!C140</f>
        <v>2012-02-01</v>
      </c>
      <c r="B140">
        <f>'Final Clea'!D140</f>
        <v>8050932</v>
      </c>
    </row>
    <row r="141" spans="1:2">
      <c r="A141" t="str">
        <f>'Final Clea'!C141</f>
        <v>2012-03-01</v>
      </c>
      <c r="B141">
        <f>'Final Clea'!D141</f>
        <v>8418579</v>
      </c>
    </row>
    <row r="142" spans="1:2">
      <c r="A142" t="str">
        <f>'Final Clea'!C142</f>
        <v>2012-04-01</v>
      </c>
      <c r="B142">
        <f>'Final Clea'!D142</f>
        <v>8618624</v>
      </c>
    </row>
    <row r="143" spans="1:2">
      <c r="A143" t="str">
        <f>'Final Clea'!C143</f>
        <v>2012-05-01</v>
      </c>
      <c r="B143">
        <f>'Final Clea'!D143</f>
        <v>8454048</v>
      </c>
    </row>
    <row r="144" spans="1:2">
      <c r="A144" t="str">
        <f>'Final Clea'!C144</f>
        <v>2012-06-01</v>
      </c>
      <c r="B144">
        <f>'Final Clea'!D144</f>
        <v>8490391</v>
      </c>
    </row>
    <row r="145" spans="1:2">
      <c r="A145" t="str">
        <f>'Final Clea'!C145</f>
        <v>2012-07-01</v>
      </c>
      <c r="B145">
        <f>'Final Clea'!D145</f>
        <v>8602644</v>
      </c>
    </row>
    <row r="146" spans="1:2">
      <c r="A146" t="str">
        <f>'Final Clea'!C146</f>
        <v>2012-08-01</v>
      </c>
      <c r="B146">
        <f>'Final Clea'!D146</f>
        <v>8409751</v>
      </c>
    </row>
    <row r="147" spans="1:2">
      <c r="A147" t="str">
        <f>'Final Clea'!C147</f>
        <v>2012-09-01</v>
      </c>
      <c r="B147">
        <f>'Final Clea'!D147</f>
        <v>8481616</v>
      </c>
    </row>
    <row r="148" spans="1:2">
      <c r="A148" t="str">
        <f>'Final Clea'!C148</f>
        <v>2012-10-01</v>
      </c>
      <c r="B148">
        <f>'Final Clea'!D148</f>
        <v>8761681</v>
      </c>
    </row>
    <row r="149" spans="1:2">
      <c r="A149" t="str">
        <f>'Final Clea'!C149</f>
        <v>2012-11-01</v>
      </c>
      <c r="B149">
        <f>'Final Clea'!D149</f>
        <v>8513774</v>
      </c>
    </row>
    <row r="150" spans="1:2">
      <c r="A150" t="str">
        <f>'Final Clea'!C150</f>
        <v>2012-12-01</v>
      </c>
      <c r="B150">
        <f>'Final Clea'!D150</f>
        <v>8546937</v>
      </c>
    </row>
    <row r="151" spans="1:2">
      <c r="A151" t="str">
        <f>'Final Clea'!C151</f>
        <v>2013-01-01</v>
      </c>
      <c r="B151">
        <f>'Final Clea'!D151</f>
        <v>8565684</v>
      </c>
    </row>
    <row r="152" spans="1:2">
      <c r="A152" t="str">
        <f>'Final Clea'!C152</f>
        <v>2013-02-01</v>
      </c>
      <c r="B152">
        <f>'Final Clea'!D152</f>
        <v>8625526</v>
      </c>
    </row>
    <row r="153" spans="1:2">
      <c r="A153" t="str">
        <f>'Final Clea'!C153</f>
        <v>2013-03-01</v>
      </c>
      <c r="B153">
        <f>'Final Clea'!D153</f>
        <v>9055443</v>
      </c>
    </row>
    <row r="154" spans="1:2">
      <c r="A154" t="str">
        <f>'Final Clea'!C154</f>
        <v>2013-04-01</v>
      </c>
      <c r="B154">
        <f>'Final Clea'!D154</f>
        <v>9054066</v>
      </c>
    </row>
    <row r="155" spans="1:2">
      <c r="A155" t="str">
        <f>'Final Clea'!C155</f>
        <v>2013-05-01</v>
      </c>
      <c r="B155">
        <f>'Final Clea'!D155</f>
        <v>9217374</v>
      </c>
    </row>
    <row r="156" spans="1:2">
      <c r="A156" t="str">
        <f>'Final Clea'!C156</f>
        <v>2013-06-01</v>
      </c>
      <c r="B156">
        <f>'Final Clea'!D156</f>
        <v>9142394</v>
      </c>
    </row>
    <row r="157" spans="1:2">
      <c r="A157" t="str">
        <f>'Final Clea'!C157</f>
        <v>2013-07-01</v>
      </c>
      <c r="B157">
        <f>'Final Clea'!D157</f>
        <v>9015157</v>
      </c>
    </row>
    <row r="158" spans="1:2">
      <c r="A158" t="str">
        <f>'Final Clea'!C158</f>
        <v>2013-08-01</v>
      </c>
      <c r="B158">
        <f>'Final Clea'!D158</f>
        <v>8597672</v>
      </c>
    </row>
    <row r="159" spans="1:2">
      <c r="A159" t="str">
        <f>'Final Clea'!C159</f>
        <v>2013-09-01</v>
      </c>
      <c r="B159">
        <f>'Final Clea'!D159</f>
        <v>8767001</v>
      </c>
    </row>
    <row r="160" spans="1:2">
      <c r="A160" t="str">
        <f>'Final Clea'!C160</f>
        <v>2013-10-01</v>
      </c>
      <c r="B160">
        <f>'Final Clea'!D160</f>
        <v>8845021</v>
      </c>
    </row>
    <row r="161" spans="1:2">
      <c r="A161" t="str">
        <f>'Final Clea'!C161</f>
        <v>2013-11-01</v>
      </c>
      <c r="B161">
        <f>'Final Clea'!D161</f>
        <v>8553673</v>
      </c>
    </row>
    <row r="162" spans="1:2">
      <c r="A162" t="str">
        <f>'Final Clea'!C162</f>
        <v>2013-12-01</v>
      </c>
      <c r="B162">
        <f>'Final Clea'!D162</f>
        <v>8677614</v>
      </c>
    </row>
    <row r="163" spans="1:2">
      <c r="A163" t="str">
        <f>'Final Clea'!C163</f>
        <v>2014-01-01</v>
      </c>
      <c r="B163">
        <f>'Final Clea'!D163</f>
        <v>8852992</v>
      </c>
    </row>
    <row r="164" spans="1:2">
      <c r="A164" t="str">
        <f>'Final Clea'!C164</f>
        <v>2014-02-01</v>
      </c>
      <c r="B164">
        <f>'Final Clea'!D164</f>
        <v>8885360</v>
      </c>
    </row>
    <row r="165" spans="1:2">
      <c r="A165" t="str">
        <f>'Final Clea'!C165</f>
        <v>2014-03-01</v>
      </c>
      <c r="B165">
        <f>'Final Clea'!D165</f>
        <v>8929836</v>
      </c>
    </row>
    <row r="166" spans="1:2">
      <c r="A166" t="str">
        <f>'Final Clea'!C166</f>
        <v>2014-04-01</v>
      </c>
      <c r="B166">
        <f>'Final Clea'!D166</f>
        <v>8958985</v>
      </c>
    </row>
    <row r="167" spans="1:2">
      <c r="A167" t="str">
        <f>'Final Clea'!C167</f>
        <v>2014-05-01</v>
      </c>
      <c r="B167">
        <f>'Final Clea'!D167</f>
        <v>9207866</v>
      </c>
    </row>
    <row r="168" spans="1:2">
      <c r="A168" t="str">
        <f>'Final Clea'!C168</f>
        <v>2014-06-01</v>
      </c>
      <c r="B168">
        <f>'Final Clea'!D168</f>
        <v>9735037</v>
      </c>
    </row>
    <row r="169" spans="1:2">
      <c r="A169" t="str">
        <f>'Final Clea'!C169</f>
        <v>2014-07-01</v>
      </c>
      <c r="B169">
        <f>'Final Clea'!D169</f>
        <v>9753108</v>
      </c>
    </row>
    <row r="170" spans="1:2">
      <c r="A170" t="str">
        <f>'Final Clea'!C170</f>
        <v>2014-08-01</v>
      </c>
      <c r="B170">
        <f>'Final Clea'!D170</f>
        <v>9567604</v>
      </c>
    </row>
    <row r="171" spans="1:2">
      <c r="A171" t="str">
        <f>'Final Clea'!C171</f>
        <v>2014-09-01</v>
      </c>
      <c r="B171">
        <f>'Final Clea'!D171</f>
        <v>9550238</v>
      </c>
    </row>
    <row r="172" spans="1:2">
      <c r="A172" t="str">
        <f>'Final Clea'!C172</f>
        <v>2014-10-01</v>
      </c>
      <c r="B172">
        <f>'Final Clea'!D172</f>
        <v>9203084</v>
      </c>
    </row>
    <row r="173" spans="1:2">
      <c r="A173" t="str">
        <f>'Final Clea'!C173</f>
        <v>2014-11-01</v>
      </c>
      <c r="B173">
        <f>'Final Clea'!D173</f>
        <v>8583963</v>
      </c>
    </row>
    <row r="174" spans="1:2">
      <c r="A174" t="str">
        <f>'Final Clea'!C174</f>
        <v>2014-12-01</v>
      </c>
      <c r="B174">
        <f>'Final Clea'!D174</f>
        <v>7963822</v>
      </c>
    </row>
    <row r="175" spans="1:2">
      <c r="A175" t="str">
        <f>'Final Clea'!C175</f>
        <v>2015-01-01</v>
      </c>
      <c r="B175">
        <f>'Final Clea'!D175</f>
        <v>7629678</v>
      </c>
    </row>
    <row r="176" spans="1:2">
      <c r="A176" t="str">
        <f>'Final Clea'!C176</f>
        <v>2015-02-01</v>
      </c>
      <c r="B176">
        <f>'Final Clea'!D176</f>
        <v>7652501</v>
      </c>
    </row>
    <row r="177" spans="1:2">
      <c r="A177" t="str">
        <f>'Final Clea'!C177</f>
        <v>2015-03-01</v>
      </c>
      <c r="B177">
        <f>'Final Clea'!D177</f>
        <v>7792061</v>
      </c>
    </row>
    <row r="178" spans="1:2">
      <c r="A178" t="str">
        <f>'Final Clea'!C178</f>
        <v>2015-04-01</v>
      </c>
      <c r="B178">
        <f>'Final Clea'!D178</f>
        <v>7593353</v>
      </c>
    </row>
    <row r="179" spans="1:2">
      <c r="A179" t="str">
        <f>'Final Clea'!C179</f>
        <v>2015-05-01</v>
      </c>
      <c r="B179">
        <f>'Final Clea'!D179</f>
        <v>7828329</v>
      </c>
    </row>
    <row r="180" spans="1:2">
      <c r="A180" t="str">
        <f>'Final Clea'!C180</f>
        <v>2015-06-01</v>
      </c>
      <c r="B180">
        <f>'Final Clea'!D180</f>
        <v>8521942</v>
      </c>
    </row>
    <row r="181" spans="1:2">
      <c r="A181" t="str">
        <f>'Final Clea'!C181</f>
        <v>2015-07-01</v>
      </c>
      <c r="B181">
        <f>'Final Clea'!D181</f>
        <v>8178410</v>
      </c>
    </row>
    <row r="182" spans="1:2">
      <c r="A182" t="str">
        <f>'Final Clea'!C182</f>
        <v>2015-08-01</v>
      </c>
      <c r="B182">
        <f>'Final Clea'!D182</f>
        <v>8231989</v>
      </c>
    </row>
    <row r="183" spans="1:2">
      <c r="A183" t="str">
        <f>'Final Clea'!C183</f>
        <v>2015-09-01</v>
      </c>
      <c r="B183">
        <f>'Final Clea'!D183</f>
        <v>8427924</v>
      </c>
    </row>
    <row r="184" spans="1:2">
      <c r="A184" t="str">
        <f>'Final Clea'!C184</f>
        <v>2015-10-01</v>
      </c>
      <c r="B184">
        <f>'Final Clea'!D184</f>
        <v>8494047</v>
      </c>
    </row>
    <row r="185" spans="1:2">
      <c r="A185" t="str">
        <f>'Final Clea'!C185</f>
        <v>2015-11-01</v>
      </c>
      <c r="B185">
        <f>'Final Clea'!D185</f>
        <v>8910779</v>
      </c>
    </row>
    <row r="186" spans="1:2">
      <c r="A186" t="str">
        <f>'Final Clea'!C186</f>
        <v>2015-12-01</v>
      </c>
      <c r="B186">
        <f>'Final Clea'!D186</f>
        <v>8597832</v>
      </c>
    </row>
    <row r="187" spans="1:2">
      <c r="A187" t="str">
        <f>'Final Clea'!C187</f>
        <v>2016-01-01</v>
      </c>
      <c r="B187">
        <f>'Final Clea'!D187</f>
        <v>8565618</v>
      </c>
    </row>
    <row r="188" spans="1:2">
      <c r="A188" t="str">
        <f>'Final Clea'!C188</f>
        <v>2016-02-01</v>
      </c>
      <c r="B188">
        <f>'Final Clea'!D188</f>
        <v>8781806</v>
      </c>
    </row>
    <row r="189" spans="1:2">
      <c r="A189" t="str">
        <f>'Final Clea'!C189</f>
        <v>2016-03-01</v>
      </c>
      <c r="B189">
        <f>'Final Clea'!D189</f>
        <v>9736667</v>
      </c>
    </row>
    <row r="190" spans="1:2">
      <c r="A190" t="str">
        <f>'Final Clea'!C190</f>
        <v>2016-04-01</v>
      </c>
      <c r="B190">
        <f>'Final Clea'!D190</f>
        <v>9800259</v>
      </c>
    </row>
    <row r="191" spans="1:2">
      <c r="A191" t="str">
        <f>'Final Clea'!C191</f>
        <v>2016-05-01</v>
      </c>
      <c r="B191">
        <f>'Final Clea'!D191</f>
        <v>10170296</v>
      </c>
    </row>
    <row r="192" spans="1:2">
      <c r="A192" t="str">
        <f>'Final Clea'!C192</f>
        <v>2016-06-01</v>
      </c>
      <c r="B192">
        <f>'Final Clea'!D192</f>
        <v>10695805</v>
      </c>
    </row>
    <row r="193" spans="1:2">
      <c r="A193" t="str">
        <f>'Final Clea'!C193</f>
        <v>2016-07-01</v>
      </c>
      <c r="B193">
        <f>'Final Clea'!D193</f>
        <v>11270623</v>
      </c>
    </row>
    <row r="194" spans="1:2">
      <c r="A194" t="str">
        <f>'Final Clea'!C194</f>
        <v>2016-08-01</v>
      </c>
      <c r="B194">
        <f>'Final Clea'!D194</f>
        <v>10963323</v>
      </c>
    </row>
    <row r="195" spans="1:2">
      <c r="A195" t="str">
        <f>'Final Clea'!C195</f>
        <v>2016-09-01</v>
      </c>
      <c r="B195">
        <f>'Final Clea'!D195</f>
        <v>11214404</v>
      </c>
    </row>
    <row r="196" spans="1:2">
      <c r="A196" t="str">
        <f>'Final Clea'!C196</f>
        <v>2016-10-01</v>
      </c>
      <c r="B196">
        <f>'Final Clea'!D196</f>
        <v>11436887</v>
      </c>
    </row>
    <row r="197" spans="1:2">
      <c r="A197" t="str">
        <f>'Final Clea'!C197</f>
        <v>2016-11-01</v>
      </c>
      <c r="B197">
        <f>'Final Clea'!D197</f>
        <v>11861815</v>
      </c>
    </row>
    <row r="198" spans="1:2">
      <c r="A198" t="str">
        <f>'Final Clea'!C198</f>
        <v>2016-12-01</v>
      </c>
      <c r="B198">
        <f>'Final Clea'!D198</f>
        <v>12566465</v>
      </c>
    </row>
    <row r="199" spans="1:2">
      <c r="A199" t="str">
        <f>'Final Clea'!C199</f>
        <v>2017-01-01</v>
      </c>
      <c r="B199">
        <f>'Final Clea'!D199</f>
        <v>12121436</v>
      </c>
    </row>
    <row r="200" spans="1:2">
      <c r="A200" t="str">
        <f>'Final Clea'!C200</f>
        <v>2017-02-01</v>
      </c>
      <c r="B200">
        <f>'Final Clea'!D200</f>
        <v>11974737</v>
      </c>
    </row>
    <row r="201" spans="1:2">
      <c r="A201" t="str">
        <f>'Final Clea'!C201</f>
        <v>2017-03-01</v>
      </c>
      <c r="B201">
        <f>'Final Clea'!D201</f>
        <v>12746522</v>
      </c>
    </row>
    <row r="202" spans="1:2">
      <c r="A202" t="str">
        <f>'Final Clea'!C202</f>
        <v>2017-04-01</v>
      </c>
      <c r="B202">
        <f>'Final Clea'!D202</f>
        <v>13031740</v>
      </c>
    </row>
    <row r="203" spans="1:2">
      <c r="A203" t="str">
        <f>'Final Clea'!C203</f>
        <v>2017-05-01</v>
      </c>
      <c r="B203">
        <f>'Final Clea'!D203</f>
        <v>13204302</v>
      </c>
    </row>
    <row r="204" spans="1:2">
      <c r="A204" t="str">
        <f>'Final Clea'!C204</f>
        <v>2017-06-01</v>
      </c>
      <c r="B204">
        <f>'Final Clea'!D204</f>
        <v>13612005</v>
      </c>
    </row>
    <row r="205" spans="1:2">
      <c r="A205" t="str">
        <f>'Final Clea'!C205</f>
        <v>2017-07-01</v>
      </c>
      <c r="B205">
        <f>'Final Clea'!D205</f>
        <v>13312280</v>
      </c>
    </row>
    <row r="206" spans="1:2">
      <c r="A206" t="str">
        <f>'Final Clea'!C206</f>
        <v>2017-08-01</v>
      </c>
      <c r="B206">
        <f>'Final Clea'!D206</f>
        <v>12997472</v>
      </c>
    </row>
    <row r="207" spans="1:2">
      <c r="A207" t="str">
        <f>'Final Clea'!C207</f>
        <v>2017-09-01</v>
      </c>
      <c r="B207">
        <f>'Final Clea'!D207</f>
        <v>14096004</v>
      </c>
    </row>
    <row r="208" spans="1:2">
      <c r="A208" t="str">
        <f>'Final Clea'!C208</f>
        <v>2017-10-01</v>
      </c>
      <c r="B208">
        <f>'Final Clea'!D208</f>
        <v>13643958</v>
      </c>
    </row>
    <row r="209" spans="1:2">
      <c r="A209" t="str">
        <f>'Final Clea'!C209</f>
        <v>2017-11-01</v>
      </c>
      <c r="B209">
        <f>'Final Clea'!D209</f>
        <v>13557746</v>
      </c>
    </row>
    <row r="210" spans="1:2">
      <c r="A210" t="str">
        <f>'Final Clea'!C210</f>
        <v>2017-12-01</v>
      </c>
      <c r="B210">
        <f>'Final Clea'!D210</f>
        <v>13513732</v>
      </c>
    </row>
    <row r="211" spans="1:2">
      <c r="A211" t="str">
        <f>'Final Clea'!C211</f>
        <v>2018-01-01</v>
      </c>
      <c r="B211">
        <f>'Final Clea'!D211</f>
        <v>13338598</v>
      </c>
    </row>
    <row r="212" spans="1:2">
      <c r="A212" t="str">
        <f>'Final Clea'!C212</f>
        <v>2018-02-01</v>
      </c>
      <c r="B212">
        <f>'Final Clea'!D212</f>
        <v>13291605</v>
      </c>
    </row>
    <row r="213" spans="1:2">
      <c r="A213" t="str">
        <f>'Final Clea'!C213</f>
        <v>2018-03-01</v>
      </c>
      <c r="B213">
        <f>'Final Clea'!D213</f>
        <v>13351482</v>
      </c>
    </row>
    <row r="214" spans="1:2">
      <c r="A214" t="str">
        <f>'Final Clea'!C214</f>
        <v>2018-04-01</v>
      </c>
      <c r="B214">
        <f>'Final Clea'!D214</f>
        <v>13537134</v>
      </c>
    </row>
    <row r="215" spans="1:2">
      <c r="A215" t="str">
        <f>'Final Clea'!C215</f>
        <v>2018-05-01</v>
      </c>
      <c r="B215">
        <f>'Final Clea'!D215</f>
        <v>13591199</v>
      </c>
    </row>
    <row r="216" spans="1:2">
      <c r="A216" t="str">
        <f>'Final Clea'!C216</f>
        <v>2018-06-01</v>
      </c>
      <c r="B216">
        <f>'Final Clea'!D216</f>
        <v>14433228</v>
      </c>
    </row>
    <row r="217" spans="1:2">
      <c r="A217" t="str">
        <f>'Final Clea'!C217</f>
        <v>2018-07-01</v>
      </c>
      <c r="B217">
        <f>'Final Clea'!D217</f>
        <v>14696593</v>
      </c>
    </row>
    <row r="218" spans="1:2">
      <c r="A218" t="str">
        <f>'Final Clea'!C218</f>
        <v>2018-08-01</v>
      </c>
      <c r="B218">
        <f>'Final Clea'!D218</f>
        <v>13832165</v>
      </c>
    </row>
    <row r="219" spans="1:2">
      <c r="A219" t="str">
        <f>'Final Clea'!C219</f>
        <v>2018-09-01</v>
      </c>
      <c r="B219">
        <f>'Final Clea'!D219</f>
        <v>13677123</v>
      </c>
    </row>
    <row r="220" spans="1:2">
      <c r="A220" t="str">
        <f>'Final Clea'!C220</f>
        <v>2018-10-01</v>
      </c>
      <c r="B220">
        <f>'Final Clea'!D220</f>
        <v>13909606</v>
      </c>
    </row>
    <row r="221" spans="1:2">
      <c r="A221" t="str">
        <f>'Final Clea'!C221</f>
        <v>2018-11-01</v>
      </c>
      <c r="B221">
        <f>'Final Clea'!D221</f>
        <v>14041534</v>
      </c>
    </row>
    <row r="222" spans="1:2">
      <c r="A222" t="str">
        <f>'Final Clea'!C222</f>
        <v>2018-12-01</v>
      </c>
      <c r="B222">
        <f>'Final Clea'!D222</f>
        <v>14467056</v>
      </c>
    </row>
    <row r="223" spans="1:2">
      <c r="A223" t="str">
        <f>'Final Clea'!C223</f>
        <v>2019-01-01</v>
      </c>
      <c r="B223">
        <f>'Final Clea'!D223</f>
        <v>15842962</v>
      </c>
    </row>
    <row r="224" spans="1:2">
      <c r="A224" t="str">
        <f>'Final Clea'!C224</f>
        <v>2019-02-01</v>
      </c>
      <c r="B224">
        <f>'Final Clea'!D224</f>
        <v>14814967</v>
      </c>
    </row>
    <row r="225" spans="1:2">
      <c r="A225" t="str">
        <f>'Final Clea'!C225</f>
        <v>2019-03-01</v>
      </c>
      <c r="B225">
        <f>'Final Clea'!D225</f>
        <v>14641941</v>
      </c>
    </row>
    <row r="226" spans="1:2">
      <c r="A226" t="str">
        <f>'Final Clea'!C226</f>
        <v>2019-04-01</v>
      </c>
      <c r="B226">
        <f>'Final Clea'!D226</f>
        <v>14587125</v>
      </c>
    </row>
    <row r="227" spans="1:2">
      <c r="A227" t="str">
        <f>'Final Clea'!C227</f>
        <v>2019-05-01</v>
      </c>
      <c r="B227">
        <f>'Final Clea'!D227</f>
        <v>15132393</v>
      </c>
    </row>
    <row r="228" spans="1:2">
      <c r="A228" t="str">
        <f>'Final Clea'!C228</f>
        <v>2019-06-01</v>
      </c>
      <c r="B228">
        <f>'Final Clea'!D228</f>
        <v>14549374</v>
      </c>
    </row>
    <row r="229" spans="1:2">
      <c r="A229" t="str">
        <f>'Final Clea'!C229</f>
        <v>2019-07-01</v>
      </c>
      <c r="B229">
        <f>'Final Clea'!D229</f>
        <v>14960666</v>
      </c>
    </row>
    <row r="230" spans="1:2">
      <c r="A230" t="str">
        <f>'Final Clea'!C230</f>
        <v>2019-08-01</v>
      </c>
      <c r="B230">
        <f>'Final Clea'!D230</f>
        <v>14629505</v>
      </c>
    </row>
    <row r="231" spans="1:2">
      <c r="A231" t="str">
        <f>'Final Clea'!C231</f>
        <v>2019-09-01</v>
      </c>
      <c r="B231">
        <f>'Final Clea'!D231</f>
        <v>15200475</v>
      </c>
    </row>
    <row r="232" spans="1:2">
      <c r="A232" t="str">
        <f>'Final Clea'!C232</f>
        <v>2019-10-01</v>
      </c>
      <c r="B232">
        <f>'Final Clea'!D232</f>
        <v>15612256</v>
      </c>
    </row>
    <row r="233" spans="1:2">
      <c r="A233" t="str">
        <f>'Final Clea'!C233</f>
        <v>2019-11-01</v>
      </c>
      <c r="B233">
        <f>'Final Clea'!D233</f>
        <v>15276017</v>
      </c>
    </row>
    <row r="234" spans="1:2">
      <c r="A234" t="str">
        <f>'Final Clea'!C234</f>
        <v>2019-12-01</v>
      </c>
      <c r="B234">
        <f>'Final Clea'!D234</f>
        <v>16054341</v>
      </c>
    </row>
    <row r="235" spans="1:2">
      <c r="A235" t="str">
        <f>'Final Clea'!C235</f>
        <v>2020-01-01</v>
      </c>
      <c r="B235">
        <f>'Final Clea'!D235</f>
        <v>15538391</v>
      </c>
    </row>
    <row r="236" spans="1:2">
      <c r="A236" t="str">
        <f>'Final Clea'!C236</f>
        <v>2020-02-01</v>
      </c>
      <c r="B236">
        <f>'Final Clea'!D236</f>
        <v>15507593</v>
      </c>
    </row>
    <row r="237" spans="1:2">
      <c r="A237" t="str">
        <f>'Final Clea'!C237</f>
        <v>2020-03-01</v>
      </c>
      <c r="B237">
        <f>'Final Clea'!D237</f>
        <v>16407064</v>
      </c>
    </row>
    <row r="238" spans="1:2">
      <c r="A238" t="str">
        <f>'Final Clea'!C238</f>
        <v>2020-04-01</v>
      </c>
      <c r="B238">
        <f>'Final Clea'!D238</f>
        <v>16406269</v>
      </c>
    </row>
    <row r="239" spans="1:2">
      <c r="A239" t="str">
        <f>'Final Clea'!C239</f>
        <v>2020-05-01</v>
      </c>
      <c r="B239">
        <f>'Final Clea'!D239</f>
        <v>16797971</v>
      </c>
    </row>
    <row r="240" spans="1:2">
      <c r="A240" t="str">
        <f>'Final Clea'!C240</f>
        <v>2020-06-01</v>
      </c>
      <c r="B240">
        <f>'Final Clea'!D240</f>
        <v>17214619</v>
      </c>
    </row>
    <row r="241" spans="1:2">
      <c r="A241" t="str">
        <f>'Final Clea'!C241</f>
        <v>2020-07-01</v>
      </c>
      <c r="B241">
        <f>'Final Clea'!D241</f>
        <v>17930687</v>
      </c>
    </row>
    <row r="242" spans="1:2">
      <c r="A242" t="str">
        <f>'Final Clea'!C242</f>
        <v>2020-08-01</v>
      </c>
      <c r="B242">
        <f>'Final Clea'!D242</f>
        <v>18022538</v>
      </c>
    </row>
    <row r="243" spans="1:2">
      <c r="A243" t="str">
        <f>'Final Clea'!C243</f>
        <v>2020-09-01</v>
      </c>
      <c r="B243">
        <f>'Final Clea'!D243</f>
        <v>18379007</v>
      </c>
    </row>
    <row r="244" spans="1:2">
      <c r="A244" t="str">
        <f>'Final Clea'!C244</f>
        <v>2020-10-01</v>
      </c>
      <c r="B244">
        <f>'Final Clea'!D244</f>
        <v>18792360</v>
      </c>
    </row>
    <row r="245" spans="1:2">
      <c r="A245" t="str">
        <f>'Final Clea'!C245</f>
        <v>2020-11-01</v>
      </c>
      <c r="B245">
        <f>'Final Clea'!D245</f>
        <v>18748810</v>
      </c>
    </row>
    <row r="246" spans="1:2">
      <c r="A246" t="str">
        <f>'Final Clea'!C246</f>
        <v>2020-12-01</v>
      </c>
      <c r="B246">
        <f>'Final Clea'!D246</f>
        <v>19134928</v>
      </c>
    </row>
    <row r="247" spans="1:2">
      <c r="A247" t="str">
        <f>'Final Clea'!C247</f>
        <v>2021-01-01</v>
      </c>
      <c r="B247">
        <f>'Final Clea'!D247</f>
        <v>19607153</v>
      </c>
    </row>
    <row r="248" spans="1:2">
      <c r="A248" t="str">
        <f>'Final Clea'!C248</f>
        <v>2021-02-01</v>
      </c>
      <c r="B248">
        <f>'Final Clea'!D248</f>
        <v>19513171</v>
      </c>
    </row>
    <row r="249" spans="1:2">
      <c r="A249" t="str">
        <f>'Final Clea'!C249</f>
        <v>2021-03-01</v>
      </c>
      <c r="B249">
        <f>'Final Clea'!D249</f>
        <v>20328120</v>
      </c>
    </row>
    <row r="250" spans="1:2">
      <c r="A250" t="str">
        <f>'Final Clea'!C250</f>
        <v>2021-04-01</v>
      </c>
      <c r="B250">
        <f>'Final Clea'!D250</f>
        <v>20814132</v>
      </c>
    </row>
    <row r="251" spans="1:2">
      <c r="A251" t="str">
        <f>'Final Clea'!C251</f>
        <v>2021-05-01</v>
      </c>
      <c r="B251">
        <f>'Final Clea'!D251</f>
        <v>21277202</v>
      </c>
    </row>
    <row r="252" spans="1:2">
      <c r="A252" t="str">
        <f>'Final Clea'!C252</f>
        <v>2021-06-01</v>
      </c>
      <c r="B252">
        <f>'Final Clea'!D252</f>
        <v>22005814</v>
      </c>
    </row>
    <row r="253" spans="1:2">
      <c r="A253" t="str">
        <f>'Final Clea'!C253</f>
        <v>2021-07-01</v>
      </c>
      <c r="B253">
        <f>'Final Clea'!D253</f>
        <v>22155383</v>
      </c>
    </row>
    <row r="254" spans="1:2">
      <c r="A254" t="str">
        <f>'Final Clea'!C254</f>
        <v>2021-08-01</v>
      </c>
      <c r="B254">
        <f>'Final Clea'!D254</f>
        <v>21887518</v>
      </c>
    </row>
    <row r="255" spans="1:2">
      <c r="A255" t="str">
        <f>'Final Clea'!C255</f>
        <v>2021-09-01</v>
      </c>
      <c r="B255">
        <f>'Final Clea'!D255</f>
        <v>22572364</v>
      </c>
    </row>
    <row r="256" spans="1:2">
      <c r="A256" t="str">
        <f>'Final Clea'!C256</f>
        <v>2021-10-01</v>
      </c>
      <c r="B256">
        <f>'Final Clea'!D256</f>
        <v>22746598</v>
      </c>
    </row>
    <row r="257" spans="1:2">
      <c r="A257" t="str">
        <f>'Final Clea'!C257</f>
        <v>2021-11-01</v>
      </c>
      <c r="B257">
        <f>'Final Clea'!D257</f>
        <v>22276425</v>
      </c>
    </row>
    <row r="258" spans="1:2">
      <c r="A258" t="str">
        <f>'Final Clea'!C258</f>
        <v>2021-12-01</v>
      </c>
      <c r="B258">
        <f>'Final Clea'!D258</f>
        <v>23750269</v>
      </c>
    </row>
    <row r="259" spans="1:2">
      <c r="A259" t="str">
        <f>'Final Clea'!C259</f>
        <v>2022-01-01</v>
      </c>
      <c r="B259">
        <f>'Final Clea'!D259</f>
        <v>23424245</v>
      </c>
    </row>
    <row r="260" spans="1:2">
      <c r="A260" t="str">
        <f>'Final Clea'!C260</f>
        <v>2022-02-01</v>
      </c>
      <c r="B260">
        <f>'Final Clea'!D260</f>
        <v>23868588</v>
      </c>
    </row>
    <row r="261" spans="1:2">
      <c r="A261" t="str">
        <f>'Final Clea'!C261</f>
        <v>2022-03-01</v>
      </c>
      <c r="B261">
        <f>'Final Clea'!D261</f>
        <v>23388580</v>
      </c>
    </row>
    <row r="262" spans="1:2">
      <c r="A262" t="str">
        <f>'Final Clea'!C262</f>
        <v>2022-04-01</v>
      </c>
      <c r="B262">
        <f>'Final Clea'!D262</f>
        <v>23174386</v>
      </c>
    </row>
    <row r="263" spans="1:2">
      <c r="A263" t="str">
        <f>'Final Clea'!C263</f>
        <v>2022-05-01</v>
      </c>
      <c r="B263">
        <f>'Final Clea'!D263</f>
        <v>22903738</v>
      </c>
    </row>
    <row r="264" spans="1:2">
      <c r="A264" t="str">
        <f>'Final Clea'!C264</f>
        <v>2022-06-01</v>
      </c>
      <c r="B264">
        <f>'Final Clea'!D264</f>
        <v>24147388</v>
      </c>
    </row>
    <row r="265" spans="1:2">
      <c r="A265" t="str">
        <f>'Final Clea'!C265</f>
        <v>2022-07-01</v>
      </c>
      <c r="B265">
        <f>'Final Clea'!D265</f>
        <v>25032674</v>
      </c>
    </row>
    <row r="266" spans="1:2">
      <c r="A266" t="str">
        <f>'Final Clea'!C266</f>
        <v>2022-08-01</v>
      </c>
      <c r="B266">
        <f>'Final Clea'!D266</f>
        <v>24940660</v>
      </c>
    </row>
    <row r="267" spans="1:2">
      <c r="A267" t="str">
        <f>'Final Clea'!C267</f>
        <v>2022-09-01</v>
      </c>
      <c r="B267">
        <f>'Final Clea'!D267</f>
        <v>25826059</v>
      </c>
    </row>
    <row r="268" spans="1:2">
      <c r="A268" t="str">
        <f>'Final Clea'!C268</f>
        <v>2022-10-01</v>
      </c>
      <c r="B268">
        <f>'Final Clea'!D268</f>
        <v>26810878</v>
      </c>
    </row>
    <row r="269" spans="1:2">
      <c r="A269" t="str">
        <f>'Final Clea'!C269</f>
        <v>2022-11-01</v>
      </c>
      <c r="B269">
        <f>'Final Clea'!D269</f>
        <v>26259950</v>
      </c>
    </row>
    <row r="270" spans="1:2">
      <c r="A270" t="str">
        <f>'Final Clea'!C270</f>
        <v>2022-12-01</v>
      </c>
      <c r="B270">
        <f>'Final Clea'!D270</f>
        <v>28025384</v>
      </c>
    </row>
    <row r="271" spans="1:2">
      <c r="A271" t="str">
        <f>'Final Clea'!C271</f>
        <v>2023-01-01</v>
      </c>
      <c r="B271">
        <f>'Final Clea'!D271</f>
        <v>27666853</v>
      </c>
    </row>
    <row r="272" spans="1:2">
      <c r="A272" t="str">
        <f>'Final Clea'!C272</f>
        <v>2023-02-01</v>
      </c>
      <c r="B272">
        <f>'Final Clea'!D272</f>
        <v>27173136</v>
      </c>
    </row>
    <row r="273" spans="1:2">
      <c r="A273" t="str">
        <f>'Final Clea'!C273</f>
        <v>2023-03-01</v>
      </c>
      <c r="B273">
        <f>'Final Clea'!D273</f>
        <v>28110277</v>
      </c>
    </row>
    <row r="274" spans="1:2">
      <c r="A274" t="str">
        <f>'Final Clea'!C274</f>
        <v>2023-04-01</v>
      </c>
      <c r="B274">
        <f>'Final Clea'!D274</f>
        <v>27970918</v>
      </c>
    </row>
    <row r="275" spans="1:2">
      <c r="A275" t="str">
        <f>'Final Clea'!C275</f>
        <v>2023-05-01</v>
      </c>
      <c r="B275">
        <f>'Final Clea'!D275</f>
        <v>28327691</v>
      </c>
    </row>
    <row r="276" spans="1:2">
      <c r="A276" t="str">
        <f>'Final Clea'!C276</f>
        <v>2023-06-01</v>
      </c>
      <c r="B276">
        <f>'Final Clea'!D276</f>
        <v>29274455</v>
      </c>
    </row>
    <row r="277" spans="1:2">
      <c r="A277" t="str">
        <f>'Final Clea'!C277</f>
        <v>2023-07-01</v>
      </c>
      <c r="B277">
        <f>'Final Clea'!D277</f>
        <v>28852963</v>
      </c>
    </row>
    <row r="278" spans="1:2">
      <c r="A278" t="str">
        <f>'Final Clea'!C278</f>
        <v>2023-08-01</v>
      </c>
      <c r="B278">
        <f>'Final Clea'!D278</f>
        <v>29291631</v>
      </c>
    </row>
    <row r="279" spans="1:2">
      <c r="A279" t="str">
        <f>'Final Clea'!C279</f>
        <v>2023-09-01</v>
      </c>
      <c r="B279">
        <f>'Final Clea'!D279</f>
        <v>29720800</v>
      </c>
    </row>
    <row r="280" spans="1:2">
      <c r="A280" t="str">
        <f>'Final Clea'!C280</f>
        <v>2023-10-01</v>
      </c>
      <c r="B280">
        <f>'Final Clea'!D280</f>
        <v>30356335</v>
      </c>
    </row>
    <row r="281" spans="1:2">
      <c r="A281" t="str">
        <f>'Final Clea'!C281</f>
        <v>2023-11-01</v>
      </c>
      <c r="B281">
        <f>'Final Clea'!D281</f>
        <v>30487873</v>
      </c>
    </row>
    <row r="282" spans="1:2">
      <c r="A282" t="str">
        <f>'Final Clea'!C282</f>
        <v>2023-12-01</v>
      </c>
      <c r="B282">
        <f>'Final Clea'!D282</f>
        <v>32746913</v>
      </c>
    </row>
    <row r="283" spans="1:2">
      <c r="A283" t="str">
        <f>'Final Clea'!C283</f>
        <v>2024-01-01</v>
      </c>
      <c r="B283">
        <f>'Final Clea'!D283</f>
        <v>32108968</v>
      </c>
    </row>
    <row r="284" spans="1:2">
      <c r="A284" t="str">
        <f>'Final Clea'!C284</f>
        <v>2024-02-01</v>
      </c>
      <c r="B284">
        <f>'Final Clea'!D284</f>
        <v>32282269</v>
      </c>
    </row>
    <row r="285" spans="1:2">
      <c r="A285" t="str">
        <f>'Final Clea'!C285</f>
        <v>2024-03-01</v>
      </c>
      <c r="B285">
        <f>'Final Clea'!D285</f>
        <v>32535362</v>
      </c>
    </row>
    <row r="286" spans="1:2">
      <c r="A286" t="str">
        <f>'Final Clea'!C286</f>
        <v>2024-04-01</v>
      </c>
      <c r="B286">
        <f>'Final Clea'!D286</f>
        <v>32526218</v>
      </c>
    </row>
    <row r="287" spans="1:2">
      <c r="A287" t="str">
        <f>'Final Clea'!C287</f>
        <v>2024-05-01</v>
      </c>
      <c r="B287">
        <f>'Final Clea'!D287</f>
        <v>32798150</v>
      </c>
    </row>
    <row r="288" spans="1:2">
      <c r="A288" t="str">
        <f>'Final Clea'!C288</f>
        <v>2024-06-01</v>
      </c>
      <c r="B288">
        <f>'Final Clea'!D288</f>
        <v>34127039</v>
      </c>
    </row>
    <row r="289" spans="1:2">
      <c r="A289" t="str">
        <f>'Final Clea'!C289</f>
        <v>2024-07-01</v>
      </c>
      <c r="B289">
        <f>'Final Clea'!D289</f>
        <v>34948176</v>
      </c>
    </row>
    <row r="290" spans="1:2">
      <c r="A290" t="str">
        <f>'Final Clea'!C290</f>
        <v>2024-08-01</v>
      </c>
      <c r="B290">
        <f>'Final Clea'!D290</f>
        <v>34791388</v>
      </c>
    </row>
    <row r="291" spans="1:2">
      <c r="A291" t="str">
        <f>'Final Clea'!C291</f>
        <v>2024-09-01</v>
      </c>
      <c r="B291">
        <f>'Final Clea'!D291</f>
        <v>35352799</v>
      </c>
    </row>
    <row r="292" spans="1:2">
      <c r="A292" t="str">
        <f>'Final Clea'!C292</f>
        <v>2024-10-01</v>
      </c>
      <c r="B292">
        <f>'Final Clea'!D292</f>
        <v>36406866</v>
      </c>
    </row>
    <row r="293" spans="1:2">
      <c r="A293" t="str">
        <f>'Final Clea'!C293</f>
        <v>2024-11-01</v>
      </c>
      <c r="B293">
        <f>'Final Clea'!D293</f>
        <v>36507596</v>
      </c>
    </row>
    <row r="294" spans="1:2">
      <c r="A294" t="str">
        <f>'Final Clea'!C294</f>
        <v>2024-12-01</v>
      </c>
      <c r="B294">
        <f>'Final Clea'!D294</f>
        <v>39254670</v>
      </c>
    </row>
    <row r="295" spans="1:2">
      <c r="A295" t="str">
        <f>'Final Clea'!C295</f>
        <v>2025-01-01</v>
      </c>
      <c r="B295">
        <f>'Final Clea'!D295</f>
        <v>38324394</v>
      </c>
    </row>
    <row r="296" spans="1:2">
      <c r="A296" t="str">
        <f>'Final Clea'!C296</f>
        <v>2025-02-01</v>
      </c>
      <c r="B296">
        <f>'Final Clea'!D296</f>
        <v>38215991</v>
      </c>
    </row>
    <row r="297" spans="1:2">
      <c r="A297" t="str">
        <f>'Final Clea'!C297</f>
        <v>2025-03-01</v>
      </c>
      <c r="B297">
        <f>'Final Clea'!D297</f>
        <v>38357906</v>
      </c>
    </row>
    <row r="298" spans="1:2">
      <c r="A298" t="str">
        <f>'Final Clea'!C298</f>
        <v>2025-04-01</v>
      </c>
      <c r="B298">
        <f>'Final Clea'!D298</f>
        <v>39185725</v>
      </c>
    </row>
    <row r="299" spans="1:2">
      <c r="A299" t="str">
        <f>'Final Clea'!C299</f>
        <v>2025-05-01</v>
      </c>
      <c r="B299">
        <f>'Final Clea'!D299</f>
        <v>39492750</v>
      </c>
    </row>
    <row r="300" spans="1:2">
      <c r="A300" t="str">
        <f>'Final Clea'!C300</f>
        <v>2025-06-01</v>
      </c>
      <c r="B300">
        <f>'Final Clea'!D300</f>
        <v>40623855</v>
      </c>
    </row>
    <row r="301" spans="1:2">
      <c r="A301" t="str">
        <f>'Final Clea'!C301</f>
        <v>2025-07-01</v>
      </c>
      <c r="B301">
        <f>'Final Clea'!D301</f>
        <v>40746378</v>
      </c>
    </row>
    <row r="302" spans="1:2">
      <c r="A302" t="str">
        <f>'Final Clea'!C302</f>
        <v>2025-08-01</v>
      </c>
      <c r="B302">
        <f>'Final Clea'!D302</f>
        <v>41091093</v>
      </c>
    </row>
    <row r="303" spans="1:2">
      <c r="A303" t="str">
        <f>'Final Clea'!C303</f>
        <v>2025-09-01</v>
      </c>
      <c r="B303">
        <f>'Final Clea'!D303</f>
        <v>41626870</v>
      </c>
    </row>
    <row r="304" spans="1:2">
      <c r="A304" t="str">
        <f>'Final Clea'!C304</f>
        <v>2025-10-01</v>
      </c>
      <c r="B304">
        <f>'Final Clea'!D304</f>
        <v>42462331</v>
      </c>
    </row>
    <row r="305" spans="1:2">
      <c r="A305" t="str">
        <f>'Final Clea'!C305</f>
        <v>2025-11-01</v>
      </c>
      <c r="B305">
        <f>'Final Clea'!D305</f>
        <v>42192683</v>
      </c>
    </row>
    <row r="306" spans="1:2">
      <c r="A306" t="str">
        <f>'Final Clea'!C306</f>
        <v>2025-12-01</v>
      </c>
      <c r="B306">
        <f>'Final Clea'!D306</f>
        <v>45805638</v>
      </c>
    </row>
    <row r="307" spans="1:2">
      <c r="A307" t="str">
        <f>'Final Clea'!C307</f>
        <v>2026-01-01</v>
      </c>
      <c r="B307">
        <f>'Final Clea'!D307</f>
        <v>43816020</v>
      </c>
    </row>
    <row r="308" spans="1:2">
      <c r="A308" t="str">
        <f>'Final Clea'!C308</f>
        <v>2026-02-01</v>
      </c>
      <c r="B308">
        <f>'Final Clea'!D308</f>
        <v>43771946</v>
      </c>
    </row>
    <row r="309" spans="1:2">
      <c r="A309" t="str">
        <f>'Final Clea'!C309</f>
        <v>2026-03-01</v>
      </c>
      <c r="B309">
        <f>'Final Clea'!D309</f>
        <v>44720043</v>
      </c>
    </row>
    <row r="310" spans="1:2">
      <c r="A310" t="str">
        <f>'Final Clea'!C310</f>
        <v>2026-04-01</v>
      </c>
      <c r="B310">
        <f>'Final Clea'!D310</f>
        <v>44943739</v>
      </c>
    </row>
    <row r="311" spans="1:2">
      <c r="A311" t="str">
        <f>'Final Clea'!C311</f>
        <v>2026-05-01</v>
      </c>
      <c r="B311">
        <f>'Final Clea'!D311</f>
        <v>45687177</v>
      </c>
    </row>
    <row r="312" spans="1:2">
      <c r="A312" t="str">
        <f>'Final Clea'!C312</f>
        <v>2026-06-01</v>
      </c>
      <c r="B312">
        <f>'Final Clea'!D312</f>
        <v>48128861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Worksheet</vt:lpstr>
      <vt:lpstr>Final Clea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Sanction</dc:title>
  <dc:creator>nationalbank.kz</dc:creator>
  <dc:description>Sanction</dc:description>
  <cp:lastModifiedBy>Darkhan Mashirapov</cp:lastModifiedBy>
  <dcterms:created xsi:type="dcterms:W3CDTF">2026-08-21T15:53:00Z</dcterms:created>
  <dcterms:modified xsi:type="dcterms:W3CDTF">2026-08-25T12:28:30Z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387C93500DC42A040ADF876AC189F01D_42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