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1300" activeTab="2"/>
  </bookViews>
  <sheets>
    <sheet name="W3C Example Table" sheetId="1" r:id="rId1"/>
    <sheet name="KZ Whole" sheetId="2" r:id="rId2"/>
    <sheet name="Final Cleaned" sheetId="3" r:id="rId3"/>
  </sheets>
  <definedNames>
    <definedName name="_xlnm._FilterDatabase" localSheetId="1" hidden="1">'KZ Whole'!$A$4:$C$191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<sst xmlns="http://schemas.openxmlformats.org/spreadsheetml/2006/main" count="638" uniqueCount="222">
  <si>
    <t>Даты</t>
  </si>
  <si>
    <t>Январь 2011 г.</t>
  </si>
  <si>
    <t>Февраль 2011 г.</t>
  </si>
  <si>
    <t>Март 2011 г.</t>
  </si>
  <si>
    <t>Апрель 2011 г.</t>
  </si>
  <si>
    <t>Май 2011 г.</t>
  </si>
  <si>
    <t>Июнь 2011 г.</t>
  </si>
  <si>
    <t>Июль 2011 г.</t>
  </si>
  <si>
    <t>Август 2011 г.</t>
  </si>
  <si>
    <t>Сентябрь 2011 г.</t>
  </si>
  <si>
    <t>Октябрь 2011 г.</t>
  </si>
  <si>
    <t>Ноябрь 2011 г.</t>
  </si>
  <si>
    <t>Декабрь 2011 г.</t>
  </si>
  <si>
    <t>Январь 2012 г.</t>
  </si>
  <si>
    <t>Февраль 2012 г.</t>
  </si>
  <si>
    <t>Март 2012 г.</t>
  </si>
  <si>
    <t>Апрель 2012 г.</t>
  </si>
  <si>
    <t>Май 2012 г.</t>
  </si>
  <si>
    <t>Июнь 2012 г.</t>
  </si>
  <si>
    <t>Июль 2012 г.</t>
  </si>
  <si>
    <t>Август 2012 г.</t>
  </si>
  <si>
    <t>Сентябрь 2012 г.</t>
  </si>
  <si>
    <t>Октябрь 2012 г.</t>
  </si>
  <si>
    <t>Ноябрь 2012 г.</t>
  </si>
  <si>
    <t>Декабрь 2012 г.</t>
  </si>
  <si>
    <t>Январь 2013 г.</t>
  </si>
  <si>
    <t>Февраль 2013 г.</t>
  </si>
  <si>
    <t>Март 2013 г.</t>
  </si>
  <si>
    <t>Апрель 2013 г.</t>
  </si>
  <si>
    <t>Май 2013 г.</t>
  </si>
  <si>
    <t>Июнь 2013 г.</t>
  </si>
  <si>
    <t>Июль 2013 г.</t>
  </si>
  <si>
    <t>Август 2013 г.</t>
  </si>
  <si>
    <t>Сентябрь 2013 г.</t>
  </si>
  <si>
    <t>Октябрь 2013 г.</t>
  </si>
  <si>
    <t>Ноябрь 2013 г.</t>
  </si>
  <si>
    <t>Декабрь 2013 г.</t>
  </si>
  <si>
    <t>Январь 2014 г.</t>
  </si>
  <si>
    <t>Февраль 2014 г.</t>
  </si>
  <si>
    <t>Март 2014 г.</t>
  </si>
  <si>
    <t>Апрель 2014 г.</t>
  </si>
  <si>
    <t>Май 2014 г.</t>
  </si>
  <si>
    <t>Июнь 2014 г.</t>
  </si>
  <si>
    <t>Июль 2014 г.</t>
  </si>
  <si>
    <t>Август 2014 г.</t>
  </si>
  <si>
    <t>Сентябрь 2014 г.</t>
  </si>
  <si>
    <t>Октябрь 2014 г.</t>
  </si>
  <si>
    <t>Ноябрь 2014 г.</t>
  </si>
  <si>
    <t>Декабрь 2014 г.</t>
  </si>
  <si>
    <t>Январь 2015 г.</t>
  </si>
  <si>
    <t>Февраль 2015 г.</t>
  </si>
  <si>
    <t>Март 2015 г.</t>
  </si>
  <si>
    <t>Апрель 2015 г.</t>
  </si>
  <si>
    <t>Май 2015 г.</t>
  </si>
  <si>
    <t>Июнь 2015 г.</t>
  </si>
  <si>
    <t>Июль 2015 г.</t>
  </si>
  <si>
    <t>Август 2015 г.</t>
  </si>
  <si>
    <t>Сентябрь 2015 г.</t>
  </si>
  <si>
    <t>Октябрь 2015 г.</t>
  </si>
  <si>
    <t>Ноябрь 2015 г.</t>
  </si>
  <si>
    <t>Декабрь 2015 г.</t>
  </si>
  <si>
    <t>Январь 2016 г.</t>
  </si>
  <si>
    <t>Февраль 2016 г.</t>
  </si>
  <si>
    <t>Март 2016 г.</t>
  </si>
  <si>
    <t>Апрель 2016 г.</t>
  </si>
  <si>
    <t>Май 2016 г.</t>
  </si>
  <si>
    <t>Июнь 2016 г.</t>
  </si>
  <si>
    <t>Июль 2016 г.</t>
  </si>
  <si>
    <t>Август 2016 г.</t>
  </si>
  <si>
    <t>Сентябрь 2016 г.</t>
  </si>
  <si>
    <t>Октябрь 2016 г.</t>
  </si>
  <si>
    <t>Ноябрь 2016 г.</t>
  </si>
  <si>
    <t>Декабрь 2016 г.</t>
  </si>
  <si>
    <t>Январь 2017 г.</t>
  </si>
  <si>
    <t>Февраль 2017 г.</t>
  </si>
  <si>
    <t>Март 2017 г.</t>
  </si>
  <si>
    <t>Апрель 2017 г.</t>
  </si>
  <si>
    <t>Май 2017 г.</t>
  </si>
  <si>
    <t>Июнь 2017 г.</t>
  </si>
  <si>
    <t>Июль 2017 г.</t>
  </si>
  <si>
    <t>Август 2017 г.</t>
  </si>
  <si>
    <t>Сентябрь 2017 г.</t>
  </si>
  <si>
    <t>Октябрь 2017 г.</t>
  </si>
  <si>
    <t>Ноябрь 2017 г.</t>
  </si>
  <si>
    <t>Декабрь 2017 г.</t>
  </si>
  <si>
    <t>Январь 2018 г.</t>
  </si>
  <si>
    <t>Февраль 2018 г.</t>
  </si>
  <si>
    <t>Март 2018 г.</t>
  </si>
  <si>
    <t>Апрель 2018 г.</t>
  </si>
  <si>
    <t>Май 2018 г.</t>
  </si>
  <si>
    <t>Июнь 2018 г.</t>
  </si>
  <si>
    <t>Июль 2018 г.</t>
  </si>
  <si>
    <t>Август 2018 г.</t>
  </si>
  <si>
    <t>Сентябрь 2018 г.</t>
  </si>
  <si>
    <t>Октябрь 2018 г.</t>
  </si>
  <si>
    <t>Ноябрь 2018 г.</t>
  </si>
  <si>
    <t>Декабрь 2018 г.</t>
  </si>
  <si>
    <t>Январь 2019 г.</t>
  </si>
  <si>
    <t>Февраль 2019 г.</t>
  </si>
  <si>
    <t>Март 2019 г.</t>
  </si>
  <si>
    <t>Апрель 2019 г.</t>
  </si>
  <si>
    <t>Май 2019 г.</t>
  </si>
  <si>
    <t>Июнь 2019 г.</t>
  </si>
  <si>
    <t>Июль 2019 г.</t>
  </si>
  <si>
    <t>Август 2019 г.</t>
  </si>
  <si>
    <t>Сентябрь 2019 г.</t>
  </si>
  <si>
    <t>Октябрь 2019 г.</t>
  </si>
  <si>
    <t>Ноябрь 2019 г.</t>
  </si>
  <si>
    <t>Декабрь 2019 г.</t>
  </si>
  <si>
    <t>Январь 2020 г.</t>
  </si>
  <si>
    <t>Февраль 2020 г.</t>
  </si>
  <si>
    <t>Март 2020 г.</t>
  </si>
  <si>
    <t>Апрель 2020 г.</t>
  </si>
  <si>
    <t>Май 2020 г.</t>
  </si>
  <si>
    <t>Июнь 2020 г.</t>
  </si>
  <si>
    <t>Июль 2020 г.</t>
  </si>
  <si>
    <t>Август 2020 г.</t>
  </si>
  <si>
    <t>Сентябрь 2020 г.</t>
  </si>
  <si>
    <t>Октябрь 2020 г.</t>
  </si>
  <si>
    <t>Ноябрь 2020 г.</t>
  </si>
  <si>
    <t>Декабрь 2020 г.</t>
  </si>
  <si>
    <t>Январь 2021 г.</t>
  </si>
  <si>
    <t>Февраль 2021 г.</t>
  </si>
  <si>
    <t>Март 2021 г.</t>
  </si>
  <si>
    <t>Апрель 2021 г.</t>
  </si>
  <si>
    <t>Май 2021 г.</t>
  </si>
  <si>
    <t>Июнь 2021 г.</t>
  </si>
  <si>
    <t>Июль 2021 г.</t>
  </si>
  <si>
    <t>Август 2021 г.</t>
  </si>
  <si>
    <t>Сентябрь 2021 г.</t>
  </si>
  <si>
    <t>Октябрь 2021 г.</t>
  </si>
  <si>
    <t>Ноябрь 2021 г.</t>
  </si>
  <si>
    <t>Декабрь 2021 г.</t>
  </si>
  <si>
    <t>Январь 2022 г.</t>
  </si>
  <si>
    <t>Февраль 2022 г.</t>
  </si>
  <si>
    <t>Март 2022 г.</t>
  </si>
  <si>
    <t>Апрель 2022 г.</t>
  </si>
  <si>
    <t>Май 2022 г.</t>
  </si>
  <si>
    <t>Июнь 2022 г.</t>
  </si>
  <si>
    <t>Июль 2022 г.</t>
  </si>
  <si>
    <t>Август 2022 г.</t>
  </si>
  <si>
    <t>Сентябрь 2022 г.</t>
  </si>
  <si>
    <t>Октябрь 2022 г.</t>
  </si>
  <si>
    <t>Ноябрь 2022 г.</t>
  </si>
  <si>
    <t>Декабрь 2022 г.</t>
  </si>
  <si>
    <t>Январь 2023 г.</t>
  </si>
  <si>
    <t>Февраль 2023 г.</t>
  </si>
  <si>
    <t>Март 2023 г.</t>
  </si>
  <si>
    <t>Апрель 2023 г.</t>
  </si>
  <si>
    <t>Май 2023 г.</t>
  </si>
  <si>
    <t>Июнь 2023 г.</t>
  </si>
  <si>
    <t>Июль 2023 г.</t>
  </si>
  <si>
    <t>Август 2023 г.</t>
  </si>
  <si>
    <t>Сентябрь 2023 г.</t>
  </si>
  <si>
    <t>Октябрь 2023 г.</t>
  </si>
  <si>
    <t>Ноябрь 2023 г.</t>
  </si>
  <si>
    <t>Декабрь 2023 г.</t>
  </si>
  <si>
    <t>Январь 2024 г.</t>
  </si>
  <si>
    <t>Февраль 2024 г.</t>
  </si>
  <si>
    <t>Март 2024 г.</t>
  </si>
  <si>
    <t>Апрель 2024 г.</t>
  </si>
  <si>
    <t>Май 2024 г.</t>
  </si>
  <si>
    <t>Июнь 2024 г.</t>
  </si>
  <si>
    <t>Июль 2024 г.</t>
  </si>
  <si>
    <t>Август 2024 г.</t>
  </si>
  <si>
    <t>Сентябрь 2024 г.</t>
  </si>
  <si>
    <t>Октябрь 2024 г.</t>
  </si>
  <si>
    <t>Ноябрь 2024 г.</t>
  </si>
  <si>
    <t>Декабрь 2024 г.</t>
  </si>
  <si>
    <t>Январь 2025 г.</t>
  </si>
  <si>
    <t>Февраль 2025 г.</t>
  </si>
  <si>
    <t>Март 2025 г.</t>
  </si>
  <si>
    <t>Апрель 2025 г.</t>
  </si>
  <si>
    <t>Май 2025 г.</t>
  </si>
  <si>
    <t>Июнь 2025 г.</t>
  </si>
  <si>
    <t>Июль 2025 г.</t>
  </si>
  <si>
    <t>Август 2025 г.</t>
  </si>
  <si>
    <t>Сентябрь 2025 г.</t>
  </si>
  <si>
    <t>Октябрь 2025 г.</t>
  </si>
  <si>
    <t>Ноябрь 2025 г.</t>
  </si>
  <si>
    <t>Декабрь 2025 г.</t>
  </si>
  <si>
    <t>Январь 2026 г.</t>
  </si>
  <si>
    <t>Февраль 2026 г.</t>
  </si>
  <si>
    <t>Март 2026 г.</t>
  </si>
  <si>
    <t>Апрель 2026 г.</t>
  </si>
  <si>
    <t>Май 2026 г.</t>
  </si>
  <si>
    <t>Июнь 2026 г.</t>
  </si>
  <si>
    <t>Июль 2026 г.</t>
  </si>
  <si>
    <t>Показатели</t>
  </si>
  <si>
    <t>Consumer price index()</t>
  </si>
  <si>
    <t>ӘАОЖ(каталог бойынша)</t>
  </si>
  <si>
    <t>КАА</t>
  </si>
  <si>
    <t>ТМТЖТН01</t>
  </si>
  <si>
    <t>AKTOBE REGION</t>
  </si>
  <si>
    <t>reporting period to the previous period</t>
  </si>
  <si>
    <t>Goods and services</t>
  </si>
  <si>
    <t>AKMOLA REGION</t>
  </si>
  <si>
    <t>REPUBLIC OF KAZAKHSTAN</t>
  </si>
  <si>
    <t>SOLTUSTIK KAZAKHSTAN REGION</t>
  </si>
  <si>
    <t>ZHAMBYL REGION</t>
  </si>
  <si>
    <t>PAVLODAR REGION</t>
  </si>
  <si>
    <t>BATYS-KAZAKHSTAN REGION</t>
  </si>
  <si>
    <t>South-Kazakhstan region</t>
  </si>
  <si>
    <t>ATYRAU REGION</t>
  </si>
  <si>
    <t>MANGYSTAU REGION</t>
  </si>
  <si>
    <t>ALMATY REGION</t>
  </si>
  <si>
    <t>ALMATY CITY</t>
  </si>
  <si>
    <t>KYZYLORDA REGION</t>
  </si>
  <si>
    <t>ASTANA CITY</t>
  </si>
  <si>
    <t>KOSTANAY REGION</t>
  </si>
  <si>
    <t>SHYGYS KAZAKHSTAN REGION</t>
  </si>
  <si>
    <t>KARAGANDY REGION</t>
  </si>
  <si>
    <t>SHYMKENT CITY</t>
  </si>
  <si>
    <t>TURKISTAN REGION</t>
  </si>
  <si>
    <t>ABAY REGION</t>
  </si>
  <si>
    <t>ZHETISU REGION</t>
  </si>
  <si>
    <t>ULYTAU REGION</t>
  </si>
  <si>
    <t>DATES</t>
  </si>
  <si>
    <t>DATE</t>
  </si>
  <si>
    <t>YoY Inflation</t>
  </si>
  <si>
    <t>date</t>
  </si>
  <si>
    <t>kz_iflation_yoy_m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</si>
</sst>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  <scheme val="minor"/>
    </font>
    <font>
      <b/>
      <sz val="10"/>
      <color rgb="FF000000"/>
      <name val="Arial Unicode MS"/>
      <charset val="134"/>
    </font>
    <font>
      <sz val="10"/>
      <color rgb="FF000000"/>
      <name val="Arial Unicode MS"/>
      <charset val="134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rgb="FF44546A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rgb="FF44546A"/>
      <name val="Calibri"/>
      <charset val="134"/>
      <scheme val="minor"/>
    </font>
    <font>
      <b/>
      <sz val="13"/>
      <color rgb="FF44546A"/>
      <name val="Calibri"/>
      <charset val="134"/>
      <scheme val="minor"/>
    </font>
    <font>
      <b/>
      <sz val="11"/>
      <color rgb="FF44546A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0000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FFFF"/>
      <name val="Calibri"/>
      <charset val="0"/>
      <scheme val="minor"/>
    </font>
    <font>
      <sz val="11"/>
      <color rgb="FF000000"/>
      <name val="Calibri"/>
      <charset val="0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9D08E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rgb="FFACCCE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rgb="FF5B9BD5"/>
      </bottom>
      <diagonal/>
    </border>
  </borders>
  <cellStyleXfs count="49">
    <xf numFmtId="0" fontId="0" fillId="0" borderId="0" applyFill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10" fontId="1" fillId="0" borderId="0" xfId="3" applyNumberFormat="1" applyFont="1">
      <alignment vertical="center"/>
    </xf>
    <xf numFmtId="0" fontId="1" fillId="0" borderId="0" xfId="0" applyFont="1" applyAlignment="1">
      <alignment horizontal="center" vertical="center"/>
    </xf>
    <xf numFmtId="58" fontId="1" fillId="0" borderId="0" xfId="0" applyNumberFormat="1" applyFont="1">
      <alignment vertical="center"/>
    </xf>
    <xf numFmtId="10" fontId="0" fillId="0" borderId="0" xfId="3" applyNumberForma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GJ26"/>
  <sheetViews>
    <sheetView topLeftCell="GA1" workbookViewId="0">
      <selection activeCell="A1" sqref="A1:GI3"/>
    </sheetView>
  </sheetViews>
  <sheetFormatPr defaultColWidth="9" defaultRowHeight="16.8"/>
  <cols>
    <col min="1" max="1" width="25.140625" customWidth="1"/>
    <col min="2" max="2" width="25.6015625" customWidth="1"/>
    <col min="3" max="4" width="8.3125" customWidth="1"/>
    <col min="5" max="191" width="15.875" customWidth="1"/>
    <col min="192" max="192" width="8.0859375" customWidth="1"/>
  </cols>
  <sheetData>
    <row r="1" spans="1:192">
      <c r="A1" s="6"/>
      <c r="B1" s="6"/>
      <c r="C1" s="6"/>
      <c r="D1" s="7" t="s">
        <v>0</v>
      </c>
      <c r="E1" s="7" t="s">
        <v>1</v>
      </c>
      <c r="F1" s="7" t="s">
        <v>2</v>
      </c>
      <c r="G1" s="7" t="s">
        <v>3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9</v>
      </c>
      <c r="N1" s="7" t="s">
        <v>10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7" t="s">
        <v>23</v>
      </c>
      <c r="AB1" s="7" t="s">
        <v>24</v>
      </c>
      <c r="AC1" s="7" t="s">
        <v>25</v>
      </c>
      <c r="AD1" s="7" t="s">
        <v>26</v>
      </c>
      <c r="AE1" s="7" t="s">
        <v>27</v>
      </c>
      <c r="AF1" s="7" t="s">
        <v>28</v>
      </c>
      <c r="AG1" s="7" t="s">
        <v>29</v>
      </c>
      <c r="AH1" s="7" t="s">
        <v>30</v>
      </c>
      <c r="AI1" s="7" t="s">
        <v>31</v>
      </c>
      <c r="AJ1" s="7" t="s">
        <v>32</v>
      </c>
      <c r="AK1" s="7" t="s">
        <v>33</v>
      </c>
      <c r="AL1" s="7" t="s">
        <v>34</v>
      </c>
      <c r="AM1" s="7" t="s">
        <v>35</v>
      </c>
      <c r="AN1" s="7" t="s">
        <v>36</v>
      </c>
      <c r="AO1" s="7" t="s">
        <v>37</v>
      </c>
      <c r="AP1" s="7" t="s">
        <v>38</v>
      </c>
      <c r="AQ1" s="7" t="s">
        <v>39</v>
      </c>
      <c r="AR1" s="7" t="s">
        <v>40</v>
      </c>
      <c r="AS1" s="7" t="s">
        <v>41</v>
      </c>
      <c r="AT1" s="7" t="s">
        <v>42</v>
      </c>
      <c r="AU1" s="7" t="s">
        <v>43</v>
      </c>
      <c r="AV1" s="7" t="s">
        <v>44</v>
      </c>
      <c r="AW1" s="7" t="s">
        <v>45</v>
      </c>
      <c r="AX1" s="7" t="s">
        <v>46</v>
      </c>
      <c r="AY1" s="7" t="s">
        <v>47</v>
      </c>
      <c r="AZ1" s="7" t="s">
        <v>48</v>
      </c>
      <c r="BA1" s="7" t="s">
        <v>49</v>
      </c>
      <c r="BB1" s="7" t="s">
        <v>50</v>
      </c>
      <c r="BC1" s="7" t="s">
        <v>51</v>
      </c>
      <c r="BD1" s="7" t="s">
        <v>52</v>
      </c>
      <c r="BE1" s="7" t="s">
        <v>53</v>
      </c>
      <c r="BF1" s="7" t="s">
        <v>54</v>
      </c>
      <c r="BG1" s="7" t="s">
        <v>55</v>
      </c>
      <c r="BH1" s="7" t="s">
        <v>56</v>
      </c>
      <c r="BI1" s="7" t="s">
        <v>57</v>
      </c>
      <c r="BJ1" s="7" t="s">
        <v>58</v>
      </c>
      <c r="BK1" s="7" t="s">
        <v>59</v>
      </c>
      <c r="BL1" s="7" t="s">
        <v>60</v>
      </c>
      <c r="BM1" s="7" t="s">
        <v>61</v>
      </c>
      <c r="BN1" s="7" t="s">
        <v>62</v>
      </c>
      <c r="BO1" s="7" t="s">
        <v>63</v>
      </c>
      <c r="BP1" s="7" t="s">
        <v>64</v>
      </c>
      <c r="BQ1" s="7" t="s">
        <v>65</v>
      </c>
      <c r="BR1" s="7" t="s">
        <v>66</v>
      </c>
      <c r="BS1" s="7" t="s">
        <v>67</v>
      </c>
      <c r="BT1" s="7" t="s">
        <v>68</v>
      </c>
      <c r="BU1" s="7" t="s">
        <v>69</v>
      </c>
      <c r="BV1" s="7" t="s">
        <v>70</v>
      </c>
      <c r="BW1" s="7" t="s">
        <v>71</v>
      </c>
      <c r="BX1" s="7" t="s">
        <v>72</v>
      </c>
      <c r="BY1" s="7" t="s">
        <v>73</v>
      </c>
      <c r="BZ1" s="7" t="s">
        <v>74</v>
      </c>
      <c r="CA1" s="7" t="s">
        <v>75</v>
      </c>
      <c r="CB1" s="7" t="s">
        <v>76</v>
      </c>
      <c r="CC1" s="7" t="s">
        <v>77</v>
      </c>
      <c r="CD1" s="7" t="s">
        <v>78</v>
      </c>
      <c r="CE1" s="7" t="s">
        <v>79</v>
      </c>
      <c r="CF1" s="7" t="s">
        <v>80</v>
      </c>
      <c r="CG1" s="7" t="s">
        <v>81</v>
      </c>
      <c r="CH1" s="7" t="s">
        <v>82</v>
      </c>
      <c r="CI1" s="7" t="s">
        <v>83</v>
      </c>
      <c r="CJ1" s="7" t="s">
        <v>84</v>
      </c>
      <c r="CK1" s="7" t="s">
        <v>85</v>
      </c>
      <c r="CL1" s="7" t="s">
        <v>86</v>
      </c>
      <c r="CM1" s="7" t="s">
        <v>87</v>
      </c>
      <c r="CN1" s="7" t="s">
        <v>88</v>
      </c>
      <c r="CO1" s="7" t="s">
        <v>89</v>
      </c>
      <c r="CP1" s="7" t="s">
        <v>90</v>
      </c>
      <c r="CQ1" s="7" t="s">
        <v>91</v>
      </c>
      <c r="CR1" s="7" t="s">
        <v>92</v>
      </c>
      <c r="CS1" s="7" t="s">
        <v>93</v>
      </c>
      <c r="CT1" s="7" t="s">
        <v>94</v>
      </c>
      <c r="CU1" s="7" t="s">
        <v>95</v>
      </c>
      <c r="CV1" s="7" t="s">
        <v>96</v>
      </c>
      <c r="CW1" s="7" t="s">
        <v>97</v>
      </c>
      <c r="CX1" s="7" t="s">
        <v>98</v>
      </c>
      <c r="CY1" s="7" t="s">
        <v>99</v>
      </c>
      <c r="CZ1" s="7" t="s">
        <v>100</v>
      </c>
      <c r="DA1" s="7" t="s">
        <v>101</v>
      </c>
      <c r="DB1" s="7" t="s">
        <v>102</v>
      </c>
      <c r="DC1" s="7" t="s">
        <v>103</v>
      </c>
      <c r="DD1" s="7" t="s">
        <v>104</v>
      </c>
      <c r="DE1" s="7" t="s">
        <v>105</v>
      </c>
      <c r="DF1" s="7" t="s">
        <v>106</v>
      </c>
      <c r="DG1" s="7" t="s">
        <v>107</v>
      </c>
      <c r="DH1" s="7" t="s">
        <v>108</v>
      </c>
      <c r="DI1" s="7" t="s">
        <v>109</v>
      </c>
      <c r="DJ1" s="7" t="s">
        <v>110</v>
      </c>
      <c r="DK1" s="7" t="s">
        <v>111</v>
      </c>
      <c r="DL1" s="7" t="s">
        <v>112</v>
      </c>
      <c r="DM1" s="7" t="s">
        <v>113</v>
      </c>
      <c r="DN1" s="7" t="s">
        <v>114</v>
      </c>
      <c r="DO1" s="7" t="s">
        <v>115</v>
      </c>
      <c r="DP1" s="7" t="s">
        <v>116</v>
      </c>
      <c r="DQ1" s="7" t="s">
        <v>117</v>
      </c>
      <c r="DR1" s="7" t="s">
        <v>118</v>
      </c>
      <c r="DS1" s="7" t="s">
        <v>119</v>
      </c>
      <c r="DT1" s="7" t="s">
        <v>120</v>
      </c>
      <c r="DU1" s="7" t="s">
        <v>121</v>
      </c>
      <c r="DV1" s="7" t="s">
        <v>122</v>
      </c>
      <c r="DW1" s="7" t="s">
        <v>123</v>
      </c>
      <c r="DX1" s="7" t="s">
        <v>124</v>
      </c>
      <c r="DY1" s="7" t="s">
        <v>125</v>
      </c>
      <c r="DZ1" s="7" t="s">
        <v>126</v>
      </c>
      <c r="EA1" s="7" t="s">
        <v>127</v>
      </c>
      <c r="EB1" s="7" t="s">
        <v>128</v>
      </c>
      <c r="EC1" s="7" t="s">
        <v>129</v>
      </c>
      <c r="ED1" s="7" t="s">
        <v>130</v>
      </c>
      <c r="EE1" s="7" t="s">
        <v>131</v>
      </c>
      <c r="EF1" s="7" t="s">
        <v>132</v>
      </c>
      <c r="EG1" s="7" t="s">
        <v>133</v>
      </c>
      <c r="EH1" s="7" t="s">
        <v>134</v>
      </c>
      <c r="EI1" s="7" t="s">
        <v>135</v>
      </c>
      <c r="EJ1" s="7" t="s">
        <v>136</v>
      </c>
      <c r="EK1" s="7" t="s">
        <v>137</v>
      </c>
      <c r="EL1" s="7" t="s">
        <v>138</v>
      </c>
      <c r="EM1" s="7" t="s">
        <v>139</v>
      </c>
      <c r="EN1" s="7" t="s">
        <v>140</v>
      </c>
      <c r="EO1" s="7" t="s">
        <v>141</v>
      </c>
      <c r="EP1" s="7" t="s">
        <v>142</v>
      </c>
      <c r="EQ1" s="7" t="s">
        <v>143</v>
      </c>
      <c r="ER1" s="7" t="s">
        <v>144</v>
      </c>
      <c r="ES1" s="7" t="s">
        <v>145</v>
      </c>
      <c r="ET1" s="7" t="s">
        <v>146</v>
      </c>
      <c r="EU1" s="7" t="s">
        <v>147</v>
      </c>
      <c r="EV1" s="7" t="s">
        <v>148</v>
      </c>
      <c r="EW1" s="7" t="s">
        <v>149</v>
      </c>
      <c r="EX1" s="7" t="s">
        <v>150</v>
      </c>
      <c r="EY1" s="7" t="s">
        <v>151</v>
      </c>
      <c r="EZ1" s="7" t="s">
        <v>152</v>
      </c>
      <c r="FA1" s="7" t="s">
        <v>153</v>
      </c>
      <c r="FB1" s="7" t="s">
        <v>154</v>
      </c>
      <c r="FC1" s="7" t="s">
        <v>155</v>
      </c>
      <c r="FD1" s="7" t="s">
        <v>156</v>
      </c>
      <c r="FE1" s="7" t="s">
        <v>157</v>
      </c>
      <c r="FF1" s="7" t="s">
        <v>158</v>
      </c>
      <c r="FG1" s="7" t="s">
        <v>159</v>
      </c>
      <c r="FH1" s="7" t="s">
        <v>160</v>
      </c>
      <c r="FI1" s="7" t="s">
        <v>161</v>
      </c>
      <c r="FJ1" s="7" t="s">
        <v>162</v>
      </c>
      <c r="FK1" s="7" t="s">
        <v>163</v>
      </c>
      <c r="FL1" s="7" t="s">
        <v>164</v>
      </c>
      <c r="FM1" s="7" t="s">
        <v>165</v>
      </c>
      <c r="FN1" s="7" t="s">
        <v>166</v>
      </c>
      <c r="FO1" s="7" t="s">
        <v>167</v>
      </c>
      <c r="FP1" s="7" t="s">
        <v>168</v>
      </c>
      <c r="FQ1" s="7" t="s">
        <v>169</v>
      </c>
      <c r="FR1" s="7" t="s">
        <v>170</v>
      </c>
      <c r="FS1" s="7" t="s">
        <v>171</v>
      </c>
      <c r="FT1" s="7" t="s">
        <v>172</v>
      </c>
      <c r="FU1" s="7" t="s">
        <v>173</v>
      </c>
      <c r="FV1" s="7" t="s">
        <v>174</v>
      </c>
      <c r="FW1" s="7" t="s">
        <v>175</v>
      </c>
      <c r="FX1" s="7" t="s">
        <v>176</v>
      </c>
      <c r="FY1" s="7" t="s">
        <v>177</v>
      </c>
      <c r="FZ1" s="7" t="s">
        <v>178</v>
      </c>
      <c r="GA1" s="7" t="s">
        <v>179</v>
      </c>
      <c r="GB1" s="7" t="s">
        <v>180</v>
      </c>
      <c r="GC1" s="7" t="s">
        <v>181</v>
      </c>
      <c r="GD1" s="7" t="s">
        <v>182</v>
      </c>
      <c r="GE1" s="7" t="s">
        <v>183</v>
      </c>
      <c r="GF1" s="7" t="s">
        <v>184</v>
      </c>
      <c r="GG1" s="7" t="s">
        <v>185</v>
      </c>
      <c r="GH1" s="7" t="s">
        <v>186</v>
      </c>
      <c r="GI1" s="7" t="s">
        <v>187</v>
      </c>
      <c r="GJ1" s="6"/>
    </row>
    <row r="2" customHeight="1" spans="1:192">
      <c r="A2" s="6"/>
      <c r="B2" s="6"/>
      <c r="C2" s="6"/>
      <c r="D2" s="7" t="s">
        <v>188</v>
      </c>
      <c r="E2" s="7" t="s">
        <v>189</v>
      </c>
      <c r="F2" s="7" t="s">
        <v>189</v>
      </c>
      <c r="G2" s="7" t="s">
        <v>189</v>
      </c>
      <c r="H2" s="7" t="s">
        <v>189</v>
      </c>
      <c r="I2" s="7" t="s">
        <v>189</v>
      </c>
      <c r="J2" s="7" t="s">
        <v>189</v>
      </c>
      <c r="K2" s="7" t="s">
        <v>189</v>
      </c>
      <c r="L2" s="7" t="s">
        <v>189</v>
      </c>
      <c r="M2" s="7" t="s">
        <v>189</v>
      </c>
      <c r="N2" s="7" t="s">
        <v>189</v>
      </c>
      <c r="O2" s="7" t="s">
        <v>189</v>
      </c>
      <c r="P2" s="7" t="s">
        <v>189</v>
      </c>
      <c r="Q2" s="7" t="s">
        <v>189</v>
      </c>
      <c r="R2" s="7" t="s">
        <v>189</v>
      </c>
      <c r="S2" s="7" t="s">
        <v>189</v>
      </c>
      <c r="T2" s="7" t="s">
        <v>189</v>
      </c>
      <c r="U2" s="7" t="s">
        <v>189</v>
      </c>
      <c r="V2" s="7" t="s">
        <v>189</v>
      </c>
      <c r="W2" s="7" t="s">
        <v>189</v>
      </c>
      <c r="X2" s="7" t="s">
        <v>189</v>
      </c>
      <c r="Y2" s="7" t="s">
        <v>189</v>
      </c>
      <c r="Z2" s="7" t="s">
        <v>189</v>
      </c>
      <c r="AA2" s="7" t="s">
        <v>189</v>
      </c>
      <c r="AB2" s="7" t="s">
        <v>189</v>
      </c>
      <c r="AC2" s="7" t="s">
        <v>189</v>
      </c>
      <c r="AD2" s="7" t="s">
        <v>189</v>
      </c>
      <c r="AE2" s="7" t="s">
        <v>189</v>
      </c>
      <c r="AF2" s="7" t="s">
        <v>189</v>
      </c>
      <c r="AG2" s="7" t="s">
        <v>189</v>
      </c>
      <c r="AH2" s="7" t="s">
        <v>189</v>
      </c>
      <c r="AI2" s="7" t="s">
        <v>189</v>
      </c>
      <c r="AJ2" s="7" t="s">
        <v>189</v>
      </c>
      <c r="AK2" s="7" t="s">
        <v>189</v>
      </c>
      <c r="AL2" s="7" t="s">
        <v>189</v>
      </c>
      <c r="AM2" s="7" t="s">
        <v>189</v>
      </c>
      <c r="AN2" s="7" t="s">
        <v>189</v>
      </c>
      <c r="AO2" s="7" t="s">
        <v>189</v>
      </c>
      <c r="AP2" s="7" t="s">
        <v>189</v>
      </c>
      <c r="AQ2" s="7" t="s">
        <v>189</v>
      </c>
      <c r="AR2" s="7" t="s">
        <v>189</v>
      </c>
      <c r="AS2" s="7" t="s">
        <v>189</v>
      </c>
      <c r="AT2" s="7" t="s">
        <v>189</v>
      </c>
      <c r="AU2" s="7" t="s">
        <v>189</v>
      </c>
      <c r="AV2" s="7" t="s">
        <v>189</v>
      </c>
      <c r="AW2" s="7" t="s">
        <v>189</v>
      </c>
      <c r="AX2" s="7" t="s">
        <v>189</v>
      </c>
      <c r="AY2" s="7" t="s">
        <v>189</v>
      </c>
      <c r="AZ2" s="7" t="s">
        <v>189</v>
      </c>
      <c r="BA2" s="7" t="s">
        <v>189</v>
      </c>
      <c r="BB2" s="7" t="s">
        <v>189</v>
      </c>
      <c r="BC2" s="7" t="s">
        <v>189</v>
      </c>
      <c r="BD2" s="7" t="s">
        <v>189</v>
      </c>
      <c r="BE2" s="7" t="s">
        <v>189</v>
      </c>
      <c r="BF2" s="7" t="s">
        <v>189</v>
      </c>
      <c r="BG2" s="7" t="s">
        <v>189</v>
      </c>
      <c r="BH2" s="7" t="s">
        <v>189</v>
      </c>
      <c r="BI2" s="7" t="s">
        <v>189</v>
      </c>
      <c r="BJ2" s="7" t="s">
        <v>189</v>
      </c>
      <c r="BK2" s="7" t="s">
        <v>189</v>
      </c>
      <c r="BL2" s="7" t="s">
        <v>189</v>
      </c>
      <c r="BM2" s="7" t="s">
        <v>189</v>
      </c>
      <c r="BN2" s="7" t="s">
        <v>189</v>
      </c>
      <c r="BO2" s="7" t="s">
        <v>189</v>
      </c>
      <c r="BP2" s="7" t="s">
        <v>189</v>
      </c>
      <c r="BQ2" s="7" t="s">
        <v>189</v>
      </c>
      <c r="BR2" s="7" t="s">
        <v>189</v>
      </c>
      <c r="BS2" s="7" t="s">
        <v>189</v>
      </c>
      <c r="BT2" s="7" t="s">
        <v>189</v>
      </c>
      <c r="BU2" s="7" t="s">
        <v>189</v>
      </c>
      <c r="BV2" s="7" t="s">
        <v>189</v>
      </c>
      <c r="BW2" s="7" t="s">
        <v>189</v>
      </c>
      <c r="BX2" s="7" t="s">
        <v>189</v>
      </c>
      <c r="BY2" s="7" t="s">
        <v>189</v>
      </c>
      <c r="BZ2" s="7" t="s">
        <v>189</v>
      </c>
      <c r="CA2" s="7" t="s">
        <v>189</v>
      </c>
      <c r="CB2" s="7" t="s">
        <v>189</v>
      </c>
      <c r="CC2" s="7" t="s">
        <v>189</v>
      </c>
      <c r="CD2" s="7" t="s">
        <v>189</v>
      </c>
      <c r="CE2" s="7" t="s">
        <v>189</v>
      </c>
      <c r="CF2" s="7" t="s">
        <v>189</v>
      </c>
      <c r="CG2" s="7" t="s">
        <v>189</v>
      </c>
      <c r="CH2" s="7" t="s">
        <v>189</v>
      </c>
      <c r="CI2" s="7" t="s">
        <v>189</v>
      </c>
      <c r="CJ2" s="7" t="s">
        <v>189</v>
      </c>
      <c r="CK2" s="7" t="s">
        <v>189</v>
      </c>
      <c r="CL2" s="7" t="s">
        <v>189</v>
      </c>
      <c r="CM2" s="7" t="s">
        <v>189</v>
      </c>
      <c r="CN2" s="7" t="s">
        <v>189</v>
      </c>
      <c r="CO2" s="7" t="s">
        <v>189</v>
      </c>
      <c r="CP2" s="7" t="s">
        <v>189</v>
      </c>
      <c r="CQ2" s="7" t="s">
        <v>189</v>
      </c>
      <c r="CR2" s="7" t="s">
        <v>189</v>
      </c>
      <c r="CS2" s="7" t="s">
        <v>189</v>
      </c>
      <c r="CT2" s="7" t="s">
        <v>189</v>
      </c>
      <c r="CU2" s="7" t="s">
        <v>189</v>
      </c>
      <c r="CV2" s="7" t="s">
        <v>189</v>
      </c>
      <c r="CW2" s="7" t="s">
        <v>189</v>
      </c>
      <c r="CX2" s="7" t="s">
        <v>189</v>
      </c>
      <c r="CY2" s="7" t="s">
        <v>189</v>
      </c>
      <c r="CZ2" s="7" t="s">
        <v>189</v>
      </c>
      <c r="DA2" s="7" t="s">
        <v>189</v>
      </c>
      <c r="DB2" s="7" t="s">
        <v>189</v>
      </c>
      <c r="DC2" s="7" t="s">
        <v>189</v>
      </c>
      <c r="DD2" s="7" t="s">
        <v>189</v>
      </c>
      <c r="DE2" s="7" t="s">
        <v>189</v>
      </c>
      <c r="DF2" s="7" t="s">
        <v>189</v>
      </c>
      <c r="DG2" s="7" t="s">
        <v>189</v>
      </c>
      <c r="DH2" s="7" t="s">
        <v>189</v>
      </c>
      <c r="DI2" s="7" t="s">
        <v>189</v>
      </c>
      <c r="DJ2" s="7" t="s">
        <v>189</v>
      </c>
      <c r="DK2" s="7" t="s">
        <v>189</v>
      </c>
      <c r="DL2" s="7" t="s">
        <v>189</v>
      </c>
      <c r="DM2" s="7" t="s">
        <v>189</v>
      </c>
      <c r="DN2" s="7" t="s">
        <v>189</v>
      </c>
      <c r="DO2" s="7" t="s">
        <v>189</v>
      </c>
      <c r="DP2" s="7" t="s">
        <v>189</v>
      </c>
      <c r="DQ2" s="7" t="s">
        <v>189</v>
      </c>
      <c r="DR2" s="7" t="s">
        <v>189</v>
      </c>
      <c r="DS2" s="7" t="s">
        <v>189</v>
      </c>
      <c r="DT2" s="7" t="s">
        <v>189</v>
      </c>
      <c r="DU2" s="7" t="s">
        <v>189</v>
      </c>
      <c r="DV2" s="7" t="s">
        <v>189</v>
      </c>
      <c r="DW2" s="7" t="s">
        <v>189</v>
      </c>
      <c r="DX2" s="7" t="s">
        <v>189</v>
      </c>
      <c r="DY2" s="7" t="s">
        <v>189</v>
      </c>
      <c r="DZ2" s="7" t="s">
        <v>189</v>
      </c>
      <c r="EA2" s="7" t="s">
        <v>189</v>
      </c>
      <c r="EB2" s="7" t="s">
        <v>189</v>
      </c>
      <c r="EC2" s="7" t="s">
        <v>189</v>
      </c>
      <c r="ED2" s="7" t="s">
        <v>189</v>
      </c>
      <c r="EE2" s="7" t="s">
        <v>189</v>
      </c>
      <c r="EF2" s="7" t="s">
        <v>189</v>
      </c>
      <c r="EG2" s="7" t="s">
        <v>189</v>
      </c>
      <c r="EH2" s="7" t="s">
        <v>189</v>
      </c>
      <c r="EI2" s="7" t="s">
        <v>189</v>
      </c>
      <c r="EJ2" s="7" t="s">
        <v>189</v>
      </c>
      <c r="EK2" s="7" t="s">
        <v>189</v>
      </c>
      <c r="EL2" s="7" t="s">
        <v>189</v>
      </c>
      <c r="EM2" s="7" t="s">
        <v>189</v>
      </c>
      <c r="EN2" s="7" t="s">
        <v>189</v>
      </c>
      <c r="EO2" s="7" t="s">
        <v>189</v>
      </c>
      <c r="EP2" s="7" t="s">
        <v>189</v>
      </c>
      <c r="EQ2" s="7" t="s">
        <v>189</v>
      </c>
      <c r="ER2" s="7" t="s">
        <v>189</v>
      </c>
      <c r="ES2" s="7" t="s">
        <v>189</v>
      </c>
      <c r="ET2" s="7" t="s">
        <v>189</v>
      </c>
      <c r="EU2" s="7" t="s">
        <v>189</v>
      </c>
      <c r="EV2" s="7" t="s">
        <v>189</v>
      </c>
      <c r="EW2" s="7" t="s">
        <v>189</v>
      </c>
      <c r="EX2" s="7" t="s">
        <v>189</v>
      </c>
      <c r="EY2" s="7" t="s">
        <v>189</v>
      </c>
      <c r="EZ2" s="7" t="s">
        <v>189</v>
      </c>
      <c r="FA2" s="7" t="s">
        <v>189</v>
      </c>
      <c r="FB2" s="7" t="s">
        <v>189</v>
      </c>
      <c r="FC2" s="7" t="s">
        <v>189</v>
      </c>
      <c r="FD2" s="7" t="s">
        <v>189</v>
      </c>
      <c r="FE2" s="7" t="s">
        <v>189</v>
      </c>
      <c r="FF2" s="7" t="s">
        <v>189</v>
      </c>
      <c r="FG2" s="7" t="s">
        <v>189</v>
      </c>
      <c r="FH2" s="7" t="s">
        <v>189</v>
      </c>
      <c r="FI2" s="7" t="s">
        <v>189</v>
      </c>
      <c r="FJ2" s="7" t="s">
        <v>189</v>
      </c>
      <c r="FK2" s="7" t="s">
        <v>189</v>
      </c>
      <c r="FL2" s="7" t="s">
        <v>189</v>
      </c>
      <c r="FM2" s="7" t="s">
        <v>189</v>
      </c>
      <c r="FN2" s="7" t="s">
        <v>189</v>
      </c>
      <c r="FO2" s="7" t="s">
        <v>189</v>
      </c>
      <c r="FP2" s="7" t="s">
        <v>189</v>
      </c>
      <c r="FQ2" s="7" t="s">
        <v>189</v>
      </c>
      <c r="FR2" s="7" t="s">
        <v>189</v>
      </c>
      <c r="FS2" s="7" t="s">
        <v>189</v>
      </c>
      <c r="FT2" s="7" t="s">
        <v>189</v>
      </c>
      <c r="FU2" s="7" t="s">
        <v>189</v>
      </c>
      <c r="FV2" s="7" t="s">
        <v>189</v>
      </c>
      <c r="FW2" s="7" t="s">
        <v>189</v>
      </c>
      <c r="FX2" s="7" t="s">
        <v>189</v>
      </c>
      <c r="FY2" s="7" t="s">
        <v>189</v>
      </c>
      <c r="FZ2" s="7" t="s">
        <v>189</v>
      </c>
      <c r="GA2" s="7" t="s">
        <v>189</v>
      </c>
      <c r="GB2" s="7" t="s">
        <v>189</v>
      </c>
      <c r="GC2" s="7" t="s">
        <v>189</v>
      </c>
      <c r="GD2" s="7" t="s">
        <v>189</v>
      </c>
      <c r="GE2" s="7" t="s">
        <v>189</v>
      </c>
      <c r="GF2" s="7" t="s">
        <v>189</v>
      </c>
      <c r="GG2" s="7" t="s">
        <v>189</v>
      </c>
      <c r="GH2" s="7" t="s">
        <v>189</v>
      </c>
      <c r="GI2" s="7" t="s">
        <v>189</v>
      </c>
      <c r="GJ2" s="6"/>
    </row>
    <row r="3" ht="29" spans="1:192">
      <c r="A3" s="7" t="s">
        <v>190</v>
      </c>
      <c r="B3" s="7" t="s">
        <v>191</v>
      </c>
      <c r="C3" s="7" t="s">
        <v>192</v>
      </c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6"/>
    </row>
    <row r="4" customHeight="1" spans="1:192">
      <c r="A4" s="8" t="s">
        <v>193</v>
      </c>
      <c r="B4" s="8" t="s">
        <v>194</v>
      </c>
      <c r="C4" s="8" t="s">
        <v>195</v>
      </c>
      <c r="D4" s="8"/>
      <c r="E4" s="9">
        <v>101.6</v>
      </c>
      <c r="F4" s="9">
        <v>101.3</v>
      </c>
      <c r="G4" s="9">
        <v>100.2</v>
      </c>
      <c r="H4" s="9">
        <v>100.5</v>
      </c>
      <c r="I4" s="9">
        <v>100.6</v>
      </c>
      <c r="J4" s="9">
        <v>100.3</v>
      </c>
      <c r="K4" s="9">
        <v>100.9</v>
      </c>
      <c r="L4" s="9">
        <v>100.1</v>
      </c>
      <c r="M4" s="9">
        <v>100.3</v>
      </c>
      <c r="N4" s="9">
        <v>100.2</v>
      </c>
      <c r="O4" s="9">
        <v>100.4</v>
      </c>
      <c r="P4" s="9">
        <v>100.3</v>
      </c>
      <c r="Q4" s="9">
        <v>100.2</v>
      </c>
      <c r="R4" s="9">
        <v>100.3</v>
      </c>
      <c r="S4" s="9">
        <v>100.3</v>
      </c>
      <c r="T4" s="9">
        <v>100.7</v>
      </c>
      <c r="U4" s="9">
        <v>100.6</v>
      </c>
      <c r="V4" s="9">
        <v>100.2</v>
      </c>
      <c r="W4" s="9">
        <v>100.2</v>
      </c>
      <c r="X4" s="9">
        <v>100.8</v>
      </c>
      <c r="Y4" s="9">
        <v>100.2</v>
      </c>
      <c r="Z4" s="9">
        <v>100.6</v>
      </c>
      <c r="AA4" s="9">
        <v>100.8</v>
      </c>
      <c r="AB4" s="9">
        <v>100.6</v>
      </c>
      <c r="AC4" s="9">
        <v>103.4</v>
      </c>
      <c r="AD4" s="9">
        <v>99.8</v>
      </c>
      <c r="AE4" s="9">
        <v>99.4</v>
      </c>
      <c r="AF4" s="9">
        <v>100.2</v>
      </c>
      <c r="AG4" s="9">
        <v>100.1</v>
      </c>
      <c r="AH4" s="9">
        <v>100.1</v>
      </c>
      <c r="AI4" s="9">
        <v>100.1</v>
      </c>
      <c r="AJ4" s="9">
        <v>100.3</v>
      </c>
      <c r="AK4" s="9">
        <v>100.2</v>
      </c>
      <c r="AL4" s="9">
        <v>100.3</v>
      </c>
      <c r="AM4" s="9">
        <v>100.2</v>
      </c>
      <c r="AN4" s="9">
        <v>100.4</v>
      </c>
      <c r="AO4" s="9">
        <v>100.3</v>
      </c>
      <c r="AP4" s="9">
        <v>101.4</v>
      </c>
      <c r="AQ4" s="9">
        <v>100.8</v>
      </c>
      <c r="AR4" s="9">
        <v>100.5</v>
      </c>
      <c r="AS4" s="9">
        <v>100.7</v>
      </c>
      <c r="AT4" s="9">
        <v>100.4</v>
      </c>
      <c r="AU4" s="9">
        <v>100.3</v>
      </c>
      <c r="AV4" s="9">
        <v>100.4</v>
      </c>
      <c r="AW4" s="9">
        <v>100.4</v>
      </c>
      <c r="AX4" s="9">
        <v>100.4</v>
      </c>
      <c r="AY4" s="9">
        <v>100.5</v>
      </c>
      <c r="AZ4" s="9">
        <v>100.5</v>
      </c>
      <c r="BA4" s="9">
        <v>100.4</v>
      </c>
      <c r="BB4" s="9">
        <v>100.4</v>
      </c>
      <c r="BC4" s="9">
        <v>100</v>
      </c>
      <c r="BD4" s="9">
        <v>99.9</v>
      </c>
      <c r="BE4" s="9">
        <v>100.3</v>
      </c>
      <c r="BF4" s="9">
        <v>100.1</v>
      </c>
      <c r="BG4" s="9">
        <v>100</v>
      </c>
      <c r="BH4" s="9">
        <v>100.4</v>
      </c>
      <c r="BI4" s="9">
        <v>100.8</v>
      </c>
      <c r="BJ4" s="9">
        <v>104.8</v>
      </c>
      <c r="BK4" s="9">
        <v>103.8</v>
      </c>
      <c r="BL4" s="9">
        <v>100.9</v>
      </c>
      <c r="BM4" s="9">
        <v>100.9</v>
      </c>
      <c r="BN4" s="9">
        <v>102.8</v>
      </c>
      <c r="BO4" s="9">
        <v>100.6</v>
      </c>
      <c r="BP4" s="9">
        <v>100.7</v>
      </c>
      <c r="BQ4" s="9">
        <v>100.3</v>
      </c>
      <c r="BR4" s="9">
        <v>100.3</v>
      </c>
      <c r="BS4" s="9">
        <v>100.4</v>
      </c>
      <c r="BT4" s="9">
        <v>100.2</v>
      </c>
      <c r="BU4" s="9">
        <v>99.7</v>
      </c>
      <c r="BV4" s="9">
        <v>100.3</v>
      </c>
      <c r="BW4" s="9">
        <v>101</v>
      </c>
      <c r="BX4" s="9">
        <v>100.9</v>
      </c>
      <c r="BY4" s="9">
        <v>100.9</v>
      </c>
      <c r="BZ4" s="9">
        <v>101.5</v>
      </c>
      <c r="CA4" s="9">
        <v>100.3</v>
      </c>
      <c r="CB4" s="9">
        <v>100.3</v>
      </c>
      <c r="CC4" s="9">
        <v>100.4</v>
      </c>
      <c r="CD4" s="9">
        <v>100.3</v>
      </c>
      <c r="CE4" s="9">
        <v>100.2</v>
      </c>
      <c r="CF4" s="9">
        <v>99.5</v>
      </c>
      <c r="CG4" s="9">
        <v>100.3</v>
      </c>
      <c r="CH4" s="9">
        <v>100.9</v>
      </c>
      <c r="CI4" s="9">
        <v>100.6</v>
      </c>
      <c r="CJ4" s="9">
        <v>101</v>
      </c>
      <c r="CK4" s="9">
        <v>100.4</v>
      </c>
      <c r="CL4" s="9">
        <v>101</v>
      </c>
      <c r="CM4" s="9">
        <v>100.3</v>
      </c>
      <c r="CN4" s="9">
        <v>100.4</v>
      </c>
      <c r="CO4" s="9">
        <v>100.2</v>
      </c>
      <c r="CP4" s="9">
        <v>100.2</v>
      </c>
      <c r="CQ4" s="9">
        <v>100</v>
      </c>
      <c r="CR4" s="9">
        <v>100.3</v>
      </c>
      <c r="CS4" s="9">
        <v>100.1</v>
      </c>
      <c r="CT4" s="9">
        <v>100.5</v>
      </c>
      <c r="CU4" s="9">
        <v>101.6</v>
      </c>
      <c r="CV4" s="9">
        <v>100.1</v>
      </c>
      <c r="CW4" s="9">
        <v>100.7</v>
      </c>
      <c r="CX4" s="9">
        <v>100</v>
      </c>
      <c r="CY4" s="9">
        <v>100.6</v>
      </c>
      <c r="CZ4" s="9">
        <v>100.5</v>
      </c>
      <c r="DA4" s="9">
        <v>100.3</v>
      </c>
      <c r="DB4" s="9">
        <v>100</v>
      </c>
      <c r="DC4" s="9">
        <v>100.3</v>
      </c>
      <c r="DD4" s="9">
        <v>100.1</v>
      </c>
      <c r="DE4" s="9">
        <v>100.2</v>
      </c>
      <c r="DF4" s="9">
        <v>100.8</v>
      </c>
      <c r="DG4" s="9">
        <v>101</v>
      </c>
      <c r="DH4" s="9">
        <v>100.4</v>
      </c>
      <c r="DI4" s="9">
        <v>100.9</v>
      </c>
      <c r="DJ4" s="9">
        <v>100.5</v>
      </c>
      <c r="DK4" s="9">
        <v>100.7</v>
      </c>
      <c r="DL4" s="9">
        <v>99.9</v>
      </c>
      <c r="DM4" s="9">
        <v>100.6</v>
      </c>
      <c r="DN4" s="9">
        <v>100.6</v>
      </c>
      <c r="DO4" s="9">
        <v>100.6</v>
      </c>
      <c r="DP4" s="9">
        <v>100.3</v>
      </c>
      <c r="DQ4" s="9">
        <v>100.4</v>
      </c>
      <c r="DR4" s="9">
        <v>100.7</v>
      </c>
      <c r="DS4" s="9">
        <v>101.2</v>
      </c>
      <c r="DT4" s="9">
        <v>100.9</v>
      </c>
      <c r="DU4" s="9">
        <v>100.5</v>
      </c>
      <c r="DV4" s="9">
        <v>100.8</v>
      </c>
      <c r="DW4" s="9">
        <v>100.5</v>
      </c>
      <c r="DX4" s="9">
        <v>100.8</v>
      </c>
      <c r="DY4" s="9">
        <v>100.7</v>
      </c>
      <c r="DZ4" s="9">
        <v>101.1</v>
      </c>
      <c r="EA4" s="9">
        <v>100.8</v>
      </c>
      <c r="EB4" s="9">
        <v>100.6</v>
      </c>
      <c r="EC4" s="9">
        <v>100.5</v>
      </c>
      <c r="ED4" s="9">
        <v>100.6</v>
      </c>
      <c r="EE4" s="9">
        <v>100.9</v>
      </c>
      <c r="EF4" s="9">
        <v>100.8</v>
      </c>
      <c r="EG4" s="9">
        <v>100.9</v>
      </c>
      <c r="EH4" s="9">
        <v>100.6</v>
      </c>
      <c r="EI4" s="9">
        <v>104.1</v>
      </c>
      <c r="EJ4" s="9">
        <v>101.3</v>
      </c>
      <c r="EK4" s="9">
        <v>101.1</v>
      </c>
      <c r="EL4" s="9">
        <v>101.6</v>
      </c>
      <c r="EM4" s="9">
        <v>101.5</v>
      </c>
      <c r="EN4" s="9">
        <v>101.2</v>
      </c>
      <c r="EO4" s="9">
        <v>101.5</v>
      </c>
      <c r="EP4" s="9">
        <v>101.6</v>
      </c>
      <c r="EQ4" s="9">
        <v>101.6</v>
      </c>
      <c r="ER4" s="9">
        <v>101.2</v>
      </c>
      <c r="ES4" s="9">
        <v>101.7</v>
      </c>
      <c r="ET4" s="9">
        <v>101.3</v>
      </c>
      <c r="EU4" s="9">
        <v>100.8</v>
      </c>
      <c r="EV4" s="9">
        <v>100.7</v>
      </c>
      <c r="EW4" s="9">
        <v>100.4</v>
      </c>
      <c r="EX4" s="9">
        <v>100.1</v>
      </c>
      <c r="EY4" s="9">
        <v>100.4</v>
      </c>
      <c r="EZ4" s="9">
        <v>100.5</v>
      </c>
      <c r="FA4" s="9">
        <v>100.7</v>
      </c>
      <c r="FB4" s="9">
        <v>100.6</v>
      </c>
      <c r="FC4" s="9">
        <v>101.5</v>
      </c>
      <c r="FD4" s="9">
        <v>100.3</v>
      </c>
      <c r="FE4" s="9">
        <v>101</v>
      </c>
      <c r="FF4" s="9">
        <v>101.2</v>
      </c>
      <c r="FG4" s="9">
        <v>101.1</v>
      </c>
      <c r="FH4" s="9">
        <v>100.5</v>
      </c>
      <c r="FI4" s="9">
        <v>100</v>
      </c>
      <c r="FJ4" s="9">
        <v>100.1</v>
      </c>
      <c r="FK4" s="9">
        <v>100.8</v>
      </c>
      <c r="FL4" s="9">
        <v>100.5</v>
      </c>
      <c r="FM4" s="9">
        <v>100.8</v>
      </c>
      <c r="FN4" s="9">
        <v>100.5</v>
      </c>
      <c r="FO4" s="9">
        <v>101.2</v>
      </c>
      <c r="FP4" s="9">
        <v>100.7</v>
      </c>
      <c r="FQ4" s="9">
        <v>101.5</v>
      </c>
      <c r="FR4" s="9">
        <v>101.9</v>
      </c>
      <c r="FS4" s="9">
        <v>100.6</v>
      </c>
      <c r="FT4" s="9">
        <v>101.1</v>
      </c>
      <c r="FU4" s="9">
        <v>100.8</v>
      </c>
      <c r="FV4" s="9">
        <v>100.8</v>
      </c>
      <c r="FW4" s="9">
        <v>100.7</v>
      </c>
      <c r="FX4" s="9">
        <v>101.3</v>
      </c>
      <c r="FY4" s="9">
        <v>101.7</v>
      </c>
      <c r="FZ4" s="9">
        <v>100.5</v>
      </c>
      <c r="GA4" s="9">
        <v>100.6</v>
      </c>
      <c r="GB4" s="9">
        <v>100.5</v>
      </c>
      <c r="GC4" s="9">
        <v>101</v>
      </c>
      <c r="GD4" s="9">
        <v>100.8</v>
      </c>
      <c r="GE4" s="9">
        <v>100.9</v>
      </c>
      <c r="GF4" s="9">
        <v>100.4</v>
      </c>
      <c r="GG4" s="9">
        <v>100.4</v>
      </c>
      <c r="GH4" s="9">
        <v>101.4</v>
      </c>
      <c r="GI4" s="9">
        <v>100.3</v>
      </c>
      <c r="GJ4" s="10"/>
    </row>
    <row r="5" customHeight="1" spans="1:192">
      <c r="A5" s="8" t="s">
        <v>196</v>
      </c>
      <c r="B5" s="8" t="s">
        <v>194</v>
      </c>
      <c r="C5" s="8" t="s">
        <v>195</v>
      </c>
      <c r="D5" s="8"/>
      <c r="E5" s="9">
        <v>101.4</v>
      </c>
      <c r="F5" s="9">
        <v>101.6</v>
      </c>
      <c r="G5" s="9">
        <v>100.4</v>
      </c>
      <c r="H5" s="9">
        <v>100</v>
      </c>
      <c r="I5" s="9">
        <v>100.7</v>
      </c>
      <c r="J5" s="9">
        <v>100.5</v>
      </c>
      <c r="K5" s="9">
        <v>100.9</v>
      </c>
      <c r="L5" s="9">
        <v>100.4</v>
      </c>
      <c r="M5" s="9">
        <v>100</v>
      </c>
      <c r="N5" s="9">
        <v>100.3</v>
      </c>
      <c r="O5" s="9">
        <v>100.3</v>
      </c>
      <c r="P5" s="9">
        <v>100.5</v>
      </c>
      <c r="Q5" s="9">
        <v>100.2</v>
      </c>
      <c r="R5" s="9">
        <v>100.6</v>
      </c>
      <c r="S5" s="9">
        <v>100.3</v>
      </c>
      <c r="T5" s="9">
        <v>100.6</v>
      </c>
      <c r="U5" s="9">
        <v>100.5</v>
      </c>
      <c r="V5" s="9">
        <v>100.5</v>
      </c>
      <c r="W5" s="9">
        <v>100</v>
      </c>
      <c r="X5" s="9">
        <v>100.3</v>
      </c>
      <c r="Y5" s="9">
        <v>100.5</v>
      </c>
      <c r="Z5" s="9">
        <v>100.3</v>
      </c>
      <c r="AA5" s="9">
        <v>100.6</v>
      </c>
      <c r="AB5" s="9">
        <v>101.5</v>
      </c>
      <c r="AC5" s="9">
        <v>100.9</v>
      </c>
      <c r="AD5" s="9">
        <v>100.5</v>
      </c>
      <c r="AE5" s="9">
        <v>100.3</v>
      </c>
      <c r="AF5" s="9">
        <v>100.1</v>
      </c>
      <c r="AG5" s="9">
        <v>100.3</v>
      </c>
      <c r="AH5" s="9">
        <v>100.4</v>
      </c>
      <c r="AI5" s="9">
        <v>100.1</v>
      </c>
      <c r="AJ5" s="9">
        <v>100</v>
      </c>
      <c r="AK5" s="9">
        <v>100.2</v>
      </c>
      <c r="AL5" s="9">
        <v>100.2</v>
      </c>
      <c r="AM5" s="9">
        <v>100.5</v>
      </c>
      <c r="AN5" s="9">
        <v>101.1</v>
      </c>
      <c r="AO5" s="9">
        <v>100.4</v>
      </c>
      <c r="AP5" s="9">
        <v>101.6</v>
      </c>
      <c r="AQ5" s="9">
        <v>101.4</v>
      </c>
      <c r="AR5" s="9">
        <v>100.7</v>
      </c>
      <c r="AS5" s="9">
        <v>100.3</v>
      </c>
      <c r="AT5" s="9">
        <v>100.3</v>
      </c>
      <c r="AU5" s="9">
        <v>100.2</v>
      </c>
      <c r="AV5" s="9">
        <v>100.9</v>
      </c>
      <c r="AW5" s="9">
        <v>100.3</v>
      </c>
      <c r="AX5" s="9">
        <v>100.2</v>
      </c>
      <c r="AY5" s="9">
        <v>100.5</v>
      </c>
      <c r="AZ5" s="9">
        <v>100.5</v>
      </c>
      <c r="BA5" s="9">
        <v>100.3</v>
      </c>
      <c r="BB5" s="9">
        <v>100.4</v>
      </c>
      <c r="BC5" s="9">
        <v>100.4</v>
      </c>
      <c r="BD5" s="9">
        <v>100.1</v>
      </c>
      <c r="BE5" s="9">
        <v>100.3</v>
      </c>
      <c r="BF5" s="9">
        <v>99.9</v>
      </c>
      <c r="BG5" s="9">
        <v>100</v>
      </c>
      <c r="BH5" s="9">
        <v>100.1</v>
      </c>
      <c r="BI5" s="9">
        <v>100.7</v>
      </c>
      <c r="BJ5" s="9">
        <v>106.6</v>
      </c>
      <c r="BK5" s="9">
        <v>102.1</v>
      </c>
      <c r="BL5" s="9">
        <v>101.5</v>
      </c>
      <c r="BM5" s="9">
        <v>100.9</v>
      </c>
      <c r="BN5" s="9">
        <v>101.1</v>
      </c>
      <c r="BO5" s="9">
        <v>100.7</v>
      </c>
      <c r="BP5" s="9">
        <v>100.3</v>
      </c>
      <c r="BQ5" s="9">
        <v>100.3</v>
      </c>
      <c r="BR5" s="9">
        <v>100.3</v>
      </c>
      <c r="BS5" s="9">
        <v>100.2</v>
      </c>
      <c r="BT5" s="9">
        <v>100.4</v>
      </c>
      <c r="BU5" s="9">
        <v>100.3</v>
      </c>
      <c r="BV5" s="9">
        <v>100.7</v>
      </c>
      <c r="BW5" s="9">
        <v>101.4</v>
      </c>
      <c r="BX5" s="9">
        <v>101.3</v>
      </c>
      <c r="BY5" s="9">
        <v>100.3</v>
      </c>
      <c r="BZ5" s="9">
        <v>100.8</v>
      </c>
      <c r="CA5" s="9">
        <v>100.5</v>
      </c>
      <c r="CB5" s="9">
        <v>100.4</v>
      </c>
      <c r="CC5" s="9">
        <v>100.3</v>
      </c>
      <c r="CD5" s="9">
        <v>100.7</v>
      </c>
      <c r="CE5" s="9">
        <v>100.3</v>
      </c>
      <c r="CF5" s="9">
        <v>100.7</v>
      </c>
      <c r="CG5" s="9">
        <v>100.1</v>
      </c>
      <c r="CH5" s="9">
        <v>101</v>
      </c>
      <c r="CI5" s="9">
        <v>101.1</v>
      </c>
      <c r="CJ5" s="9">
        <v>100.7</v>
      </c>
      <c r="CK5" s="9">
        <v>100.3</v>
      </c>
      <c r="CL5" s="9">
        <v>100.5</v>
      </c>
      <c r="CM5" s="9">
        <v>100.6</v>
      </c>
      <c r="CN5" s="9">
        <v>100.5</v>
      </c>
      <c r="CO5" s="9">
        <v>100.4</v>
      </c>
      <c r="CP5" s="9">
        <v>100.3</v>
      </c>
      <c r="CQ5" s="9">
        <v>100</v>
      </c>
      <c r="CR5" s="9">
        <v>100</v>
      </c>
      <c r="CS5" s="9">
        <v>100.1</v>
      </c>
      <c r="CT5" s="9">
        <v>100.4</v>
      </c>
      <c r="CU5" s="9">
        <v>100.9</v>
      </c>
      <c r="CV5" s="9">
        <v>100.7</v>
      </c>
      <c r="CW5" s="9">
        <v>100</v>
      </c>
      <c r="CX5" s="9">
        <v>100.6</v>
      </c>
      <c r="CY5" s="9">
        <v>100.4</v>
      </c>
      <c r="CZ5" s="9">
        <v>100.5</v>
      </c>
      <c r="DA5" s="9">
        <v>100.5</v>
      </c>
      <c r="DB5" s="9">
        <v>100.3</v>
      </c>
      <c r="DC5" s="9">
        <v>100.2</v>
      </c>
      <c r="DD5" s="9">
        <v>100.2</v>
      </c>
      <c r="DE5" s="9">
        <v>100.1</v>
      </c>
      <c r="DF5" s="9">
        <v>100.6</v>
      </c>
      <c r="DG5" s="9">
        <v>100.7</v>
      </c>
      <c r="DH5" s="9">
        <v>101</v>
      </c>
      <c r="DI5" s="9">
        <v>100.4</v>
      </c>
      <c r="DJ5" s="9">
        <v>100.7</v>
      </c>
      <c r="DK5" s="9">
        <v>100.7</v>
      </c>
      <c r="DL5" s="9">
        <v>101</v>
      </c>
      <c r="DM5" s="9">
        <v>100.3</v>
      </c>
      <c r="DN5" s="9">
        <v>100.6</v>
      </c>
      <c r="DO5" s="9">
        <v>100.3</v>
      </c>
      <c r="DP5" s="9">
        <v>100.2</v>
      </c>
      <c r="DQ5" s="9">
        <v>100.3</v>
      </c>
      <c r="DR5" s="9">
        <v>100.6</v>
      </c>
      <c r="DS5" s="9">
        <v>101.1</v>
      </c>
      <c r="DT5" s="9">
        <v>101</v>
      </c>
      <c r="DU5" s="9">
        <v>100.4</v>
      </c>
      <c r="DV5" s="9">
        <v>100.7</v>
      </c>
      <c r="DW5" s="9">
        <v>100.7</v>
      </c>
      <c r="DX5" s="9">
        <v>100.8</v>
      </c>
      <c r="DY5" s="9">
        <v>100.7</v>
      </c>
      <c r="DZ5" s="9">
        <v>101</v>
      </c>
      <c r="EA5" s="9">
        <v>100.9</v>
      </c>
      <c r="EB5" s="9">
        <v>100.2</v>
      </c>
      <c r="EC5" s="9">
        <v>100.4</v>
      </c>
      <c r="ED5" s="9">
        <v>100.7</v>
      </c>
      <c r="EE5" s="9">
        <v>101.1</v>
      </c>
      <c r="EF5" s="9">
        <v>100.9</v>
      </c>
      <c r="EG5" s="9">
        <v>100.8</v>
      </c>
      <c r="EH5" s="9">
        <v>100.7</v>
      </c>
      <c r="EI5" s="9">
        <v>103.8</v>
      </c>
      <c r="EJ5" s="9">
        <v>102</v>
      </c>
      <c r="EK5" s="9">
        <v>100.8</v>
      </c>
      <c r="EL5" s="9">
        <v>102.2</v>
      </c>
      <c r="EM5" s="9">
        <v>101.5</v>
      </c>
      <c r="EN5" s="9">
        <v>101.8</v>
      </c>
      <c r="EO5" s="9">
        <v>101.5</v>
      </c>
      <c r="EP5" s="9">
        <v>101.3</v>
      </c>
      <c r="EQ5" s="9">
        <v>102</v>
      </c>
      <c r="ER5" s="9">
        <v>101</v>
      </c>
      <c r="ES5" s="9">
        <v>101.4</v>
      </c>
      <c r="ET5" s="9">
        <v>101.2</v>
      </c>
      <c r="EU5" s="9">
        <v>100.7</v>
      </c>
      <c r="EV5" s="9">
        <v>100.9</v>
      </c>
      <c r="EW5" s="9">
        <v>100.9</v>
      </c>
      <c r="EX5" s="9">
        <v>100.6</v>
      </c>
      <c r="EY5" s="9">
        <v>100.5</v>
      </c>
      <c r="EZ5" s="9">
        <v>101.2</v>
      </c>
      <c r="FA5" s="9">
        <v>100.7</v>
      </c>
      <c r="FB5" s="9">
        <v>100.9</v>
      </c>
      <c r="FC5" s="9">
        <v>100.6</v>
      </c>
      <c r="FD5" s="9">
        <v>100.5</v>
      </c>
      <c r="FE5" s="9">
        <v>100.6</v>
      </c>
      <c r="FF5" s="9">
        <v>100.8</v>
      </c>
      <c r="FG5" s="9">
        <v>100.4</v>
      </c>
      <c r="FH5" s="9">
        <v>100.9</v>
      </c>
      <c r="FI5" s="9">
        <v>100.6</v>
      </c>
      <c r="FJ5" s="9">
        <v>101</v>
      </c>
      <c r="FK5" s="9">
        <v>100.6</v>
      </c>
      <c r="FL5" s="9">
        <v>100.3</v>
      </c>
      <c r="FM5" s="9">
        <v>100.9</v>
      </c>
      <c r="FN5" s="9">
        <v>100.9</v>
      </c>
      <c r="FO5" s="9">
        <v>101</v>
      </c>
      <c r="FP5" s="9">
        <v>100.9</v>
      </c>
      <c r="FQ5" s="9">
        <v>100.9</v>
      </c>
      <c r="FR5" s="9">
        <v>101.9</v>
      </c>
      <c r="FS5" s="9">
        <v>101.6</v>
      </c>
      <c r="FT5" s="9">
        <v>100.7</v>
      </c>
      <c r="FU5" s="9">
        <v>100.6</v>
      </c>
      <c r="FV5" s="9">
        <v>101.3</v>
      </c>
      <c r="FW5" s="9">
        <v>100.8</v>
      </c>
      <c r="FX5" s="9">
        <v>100.8</v>
      </c>
      <c r="FY5" s="9">
        <v>101.2</v>
      </c>
      <c r="FZ5" s="9">
        <v>100.8</v>
      </c>
      <c r="GA5" s="9">
        <v>101.5</v>
      </c>
      <c r="GB5" s="9">
        <v>100.8</v>
      </c>
      <c r="GC5" s="9">
        <v>100.8</v>
      </c>
      <c r="GD5" s="9">
        <v>101.6</v>
      </c>
      <c r="GE5" s="9">
        <v>100.8</v>
      </c>
      <c r="GF5" s="9">
        <v>101.1</v>
      </c>
      <c r="GG5" s="9">
        <v>100.5</v>
      </c>
      <c r="GH5" s="9">
        <v>100.8</v>
      </c>
      <c r="GI5" s="9">
        <v>100.9</v>
      </c>
      <c r="GJ5" s="10"/>
    </row>
    <row r="6" customHeight="1" spans="1:192">
      <c r="A6" s="8" t="s">
        <v>197</v>
      </c>
      <c r="B6" s="8" t="s">
        <v>194</v>
      </c>
      <c r="C6" s="8" t="s">
        <v>195</v>
      </c>
      <c r="D6" s="8"/>
      <c r="E6" s="9">
        <v>101.7</v>
      </c>
      <c r="F6" s="9">
        <v>101.5</v>
      </c>
      <c r="G6" s="9">
        <v>100.5</v>
      </c>
      <c r="H6" s="9">
        <v>100.5</v>
      </c>
      <c r="I6" s="9">
        <v>100.5</v>
      </c>
      <c r="J6" s="9">
        <v>100.3</v>
      </c>
      <c r="K6" s="9">
        <v>100.5</v>
      </c>
      <c r="L6" s="9">
        <v>100.3</v>
      </c>
      <c r="M6" s="9">
        <v>100.3</v>
      </c>
      <c r="N6" s="9">
        <v>100.2</v>
      </c>
      <c r="O6" s="9">
        <v>100.6</v>
      </c>
      <c r="P6" s="9">
        <v>100.3</v>
      </c>
      <c r="Q6" s="9">
        <v>100.3</v>
      </c>
      <c r="R6" s="9">
        <v>100.4</v>
      </c>
      <c r="S6" s="9">
        <v>100.3</v>
      </c>
      <c r="T6" s="9">
        <v>100.7</v>
      </c>
      <c r="U6" s="9">
        <v>100.7</v>
      </c>
      <c r="V6" s="9">
        <v>100.3</v>
      </c>
      <c r="W6" s="9">
        <v>100.3</v>
      </c>
      <c r="X6" s="9">
        <v>100.3</v>
      </c>
      <c r="Y6" s="9">
        <v>100.6</v>
      </c>
      <c r="Z6" s="9">
        <v>100.7</v>
      </c>
      <c r="AA6" s="9">
        <v>100.7</v>
      </c>
      <c r="AB6" s="9">
        <v>100.6</v>
      </c>
      <c r="AC6" s="9">
        <v>100.9</v>
      </c>
      <c r="AD6" s="9">
        <v>100.8</v>
      </c>
      <c r="AE6" s="9">
        <v>100.2</v>
      </c>
      <c r="AF6" s="9">
        <v>100.3</v>
      </c>
      <c r="AG6" s="9">
        <v>100.2</v>
      </c>
      <c r="AH6" s="9">
        <v>100.3</v>
      </c>
      <c r="AI6" s="9">
        <v>100.2</v>
      </c>
      <c r="AJ6" s="9">
        <v>100.2</v>
      </c>
      <c r="AK6" s="9">
        <v>100.2</v>
      </c>
      <c r="AL6" s="9">
        <v>100.3</v>
      </c>
      <c r="AM6" s="9">
        <v>100.5</v>
      </c>
      <c r="AN6" s="9">
        <v>100.7</v>
      </c>
      <c r="AO6" s="9">
        <v>100.6</v>
      </c>
      <c r="AP6" s="9">
        <v>101.7</v>
      </c>
      <c r="AQ6" s="9">
        <v>101</v>
      </c>
      <c r="AR6" s="9">
        <v>100.6</v>
      </c>
      <c r="AS6" s="9">
        <v>100.6</v>
      </c>
      <c r="AT6" s="9">
        <v>100.3</v>
      </c>
      <c r="AU6" s="9">
        <v>100.1</v>
      </c>
      <c r="AV6" s="9">
        <v>100.4</v>
      </c>
      <c r="AW6" s="9">
        <v>100.5</v>
      </c>
      <c r="AX6" s="9">
        <v>100.4</v>
      </c>
      <c r="AY6" s="9">
        <v>100.6</v>
      </c>
      <c r="AZ6" s="9">
        <v>100.5</v>
      </c>
      <c r="BA6" s="9">
        <v>100.6</v>
      </c>
      <c r="BB6" s="9">
        <v>100.4</v>
      </c>
      <c r="BC6" s="9">
        <v>100.1</v>
      </c>
      <c r="BD6" s="9">
        <v>100.1</v>
      </c>
      <c r="BE6" s="9">
        <v>100.3</v>
      </c>
      <c r="BF6" s="9">
        <v>99.9</v>
      </c>
      <c r="BG6" s="9">
        <v>100.1</v>
      </c>
      <c r="BH6" s="9">
        <v>100.3</v>
      </c>
      <c r="BI6" s="9">
        <v>101</v>
      </c>
      <c r="BJ6" s="9">
        <v>105.2</v>
      </c>
      <c r="BK6" s="9">
        <v>103.7</v>
      </c>
      <c r="BL6" s="9">
        <v>101.2</v>
      </c>
      <c r="BM6" s="9">
        <v>101.3</v>
      </c>
      <c r="BN6" s="9">
        <v>101.1</v>
      </c>
      <c r="BO6" s="9">
        <v>100.5</v>
      </c>
      <c r="BP6" s="9">
        <v>100.6</v>
      </c>
      <c r="BQ6" s="9">
        <v>100.5</v>
      </c>
      <c r="BR6" s="9">
        <v>100.4</v>
      </c>
      <c r="BS6" s="9">
        <v>100.5</v>
      </c>
      <c r="BT6" s="9">
        <v>100.2</v>
      </c>
      <c r="BU6" s="9">
        <v>100.2</v>
      </c>
      <c r="BV6" s="9">
        <v>100.6</v>
      </c>
      <c r="BW6" s="9">
        <v>101.2</v>
      </c>
      <c r="BX6" s="9">
        <v>100.9</v>
      </c>
      <c r="BY6" s="9">
        <v>100.8</v>
      </c>
      <c r="BZ6" s="9">
        <v>101</v>
      </c>
      <c r="CA6" s="9">
        <v>100.5</v>
      </c>
      <c r="CB6" s="9">
        <v>100.5</v>
      </c>
      <c r="CC6" s="9">
        <v>100.5</v>
      </c>
      <c r="CD6" s="9">
        <v>100.4</v>
      </c>
      <c r="CE6" s="9">
        <v>100.1</v>
      </c>
      <c r="CF6" s="9">
        <v>100.1</v>
      </c>
      <c r="CG6" s="9">
        <v>100.3</v>
      </c>
      <c r="CH6" s="9">
        <v>101.2</v>
      </c>
      <c r="CI6" s="9">
        <v>100.9</v>
      </c>
      <c r="CJ6" s="9">
        <v>100.7</v>
      </c>
      <c r="CK6" s="9">
        <v>100.6</v>
      </c>
      <c r="CL6" s="9">
        <v>100.7</v>
      </c>
      <c r="CM6" s="9">
        <v>100.5</v>
      </c>
      <c r="CN6" s="9">
        <v>100.4</v>
      </c>
      <c r="CO6" s="9">
        <v>100.2</v>
      </c>
      <c r="CP6" s="9">
        <v>100.2</v>
      </c>
      <c r="CQ6" s="9">
        <v>100.1</v>
      </c>
      <c r="CR6" s="9">
        <v>100.2</v>
      </c>
      <c r="CS6" s="9">
        <v>100.4</v>
      </c>
      <c r="CT6" s="9">
        <v>100.4</v>
      </c>
      <c r="CU6" s="9">
        <v>100.9</v>
      </c>
      <c r="CV6" s="9">
        <v>100.7</v>
      </c>
      <c r="CW6" s="9">
        <v>100.5</v>
      </c>
      <c r="CX6" s="9">
        <v>100.3</v>
      </c>
      <c r="CY6" s="9">
        <v>100.5</v>
      </c>
      <c r="CZ6" s="9">
        <v>100.5</v>
      </c>
      <c r="DA6" s="9">
        <v>100.6</v>
      </c>
      <c r="DB6" s="9">
        <v>100.2</v>
      </c>
      <c r="DC6" s="9">
        <v>100.2</v>
      </c>
      <c r="DD6" s="9">
        <v>100.2</v>
      </c>
      <c r="DE6" s="9">
        <v>100.3</v>
      </c>
      <c r="DF6" s="9">
        <v>100.6</v>
      </c>
      <c r="DG6" s="9">
        <v>100.7</v>
      </c>
      <c r="DH6" s="9">
        <v>100.7</v>
      </c>
      <c r="DI6" s="9">
        <v>100.7</v>
      </c>
      <c r="DJ6" s="9">
        <v>100.6</v>
      </c>
      <c r="DK6" s="9">
        <v>100.9</v>
      </c>
      <c r="DL6" s="9">
        <v>100.9</v>
      </c>
      <c r="DM6" s="9">
        <v>100.5</v>
      </c>
      <c r="DN6" s="9">
        <v>100.4</v>
      </c>
      <c r="DO6" s="9">
        <v>100.3</v>
      </c>
      <c r="DP6" s="9">
        <v>100.1</v>
      </c>
      <c r="DQ6" s="9">
        <v>100.3</v>
      </c>
      <c r="DR6" s="9">
        <v>100.6</v>
      </c>
      <c r="DS6" s="9">
        <v>100.9</v>
      </c>
      <c r="DT6" s="9">
        <v>100.9</v>
      </c>
      <c r="DU6" s="9">
        <v>100.6</v>
      </c>
      <c r="DV6" s="9">
        <v>100.7</v>
      </c>
      <c r="DW6" s="9">
        <v>100.6</v>
      </c>
      <c r="DX6" s="9">
        <v>100.9</v>
      </c>
      <c r="DY6" s="9">
        <v>100.7</v>
      </c>
      <c r="DZ6" s="9">
        <v>101.1</v>
      </c>
      <c r="EA6" s="9">
        <v>100.7</v>
      </c>
      <c r="EB6" s="9">
        <v>100.5</v>
      </c>
      <c r="EC6" s="9">
        <v>100.4</v>
      </c>
      <c r="ED6" s="9">
        <v>100.7</v>
      </c>
      <c r="EE6" s="9">
        <v>100.7</v>
      </c>
      <c r="EF6" s="9">
        <v>100.6</v>
      </c>
      <c r="EG6" s="9">
        <v>100.7</v>
      </c>
      <c r="EH6" s="9">
        <v>100.8</v>
      </c>
      <c r="EI6" s="9">
        <v>103.7</v>
      </c>
      <c r="EJ6" s="9">
        <v>102</v>
      </c>
      <c r="EK6" s="9">
        <v>101.4</v>
      </c>
      <c r="EL6" s="9">
        <v>101.6</v>
      </c>
      <c r="EM6" s="9">
        <v>101.1</v>
      </c>
      <c r="EN6" s="9">
        <v>101.4</v>
      </c>
      <c r="EO6" s="9">
        <v>101.8</v>
      </c>
      <c r="EP6" s="9">
        <v>101.6</v>
      </c>
      <c r="EQ6" s="9">
        <v>101.4</v>
      </c>
      <c r="ER6" s="9">
        <v>101.2</v>
      </c>
      <c r="ES6" s="9">
        <v>101.1</v>
      </c>
      <c r="ET6" s="9">
        <v>101.3</v>
      </c>
      <c r="EU6" s="9">
        <v>100.9</v>
      </c>
      <c r="EV6" s="9">
        <v>100.9</v>
      </c>
      <c r="EW6" s="9">
        <v>100.6</v>
      </c>
      <c r="EX6" s="9">
        <v>100.5</v>
      </c>
      <c r="EY6" s="9">
        <v>100.6</v>
      </c>
      <c r="EZ6" s="9">
        <v>100.7</v>
      </c>
      <c r="FA6" s="9">
        <v>100.6</v>
      </c>
      <c r="FB6" s="9">
        <v>100.7</v>
      </c>
      <c r="FC6" s="9">
        <v>101</v>
      </c>
      <c r="FD6" s="9">
        <v>100.8</v>
      </c>
      <c r="FE6" s="9">
        <v>100.8</v>
      </c>
      <c r="FF6" s="9">
        <v>101.1</v>
      </c>
      <c r="FG6" s="9">
        <v>100.7</v>
      </c>
      <c r="FH6" s="9">
        <v>100.6</v>
      </c>
      <c r="FI6" s="9">
        <v>100.4</v>
      </c>
      <c r="FJ6" s="9">
        <v>100.4</v>
      </c>
      <c r="FK6" s="9">
        <v>100.7</v>
      </c>
      <c r="FL6" s="9">
        <v>100.6</v>
      </c>
      <c r="FM6" s="9">
        <v>100.4</v>
      </c>
      <c r="FN6" s="9">
        <v>100.9</v>
      </c>
      <c r="FO6" s="9">
        <v>100.9</v>
      </c>
      <c r="FP6" s="9">
        <v>100.9</v>
      </c>
      <c r="FQ6" s="9">
        <v>101.1</v>
      </c>
      <c r="FR6" s="9">
        <v>101.5</v>
      </c>
      <c r="FS6" s="9">
        <v>101.3</v>
      </c>
      <c r="FT6" s="9">
        <v>101.2</v>
      </c>
      <c r="FU6" s="9">
        <v>100.9</v>
      </c>
      <c r="FV6" s="9">
        <v>100.8</v>
      </c>
      <c r="FW6" s="9">
        <v>100.7</v>
      </c>
      <c r="FX6" s="9">
        <v>101</v>
      </c>
      <c r="FY6" s="9">
        <v>101.1</v>
      </c>
      <c r="FZ6" s="9">
        <v>100.5</v>
      </c>
      <c r="GA6" s="9">
        <v>100.8</v>
      </c>
      <c r="GB6" s="9">
        <v>100.9</v>
      </c>
      <c r="GC6" s="9">
        <v>101</v>
      </c>
      <c r="GD6" s="9">
        <v>101.1</v>
      </c>
      <c r="GE6" s="9">
        <v>100.6</v>
      </c>
      <c r="GF6" s="9">
        <v>100.8</v>
      </c>
      <c r="GG6" s="9">
        <v>100.7</v>
      </c>
      <c r="GH6" s="9">
        <v>100.8</v>
      </c>
      <c r="GI6" s="9">
        <v>100.6</v>
      </c>
      <c r="GJ6" s="10"/>
    </row>
    <row r="7" customHeight="1" spans="1:192">
      <c r="A7" s="8" t="s">
        <v>198</v>
      </c>
      <c r="B7" s="8" t="s">
        <v>194</v>
      </c>
      <c r="C7" s="8" t="s">
        <v>195</v>
      </c>
      <c r="D7" s="8"/>
      <c r="E7" s="9">
        <v>101.7</v>
      </c>
      <c r="F7" s="9">
        <v>101.4</v>
      </c>
      <c r="G7" s="9">
        <v>100.7</v>
      </c>
      <c r="H7" s="9">
        <v>100.3</v>
      </c>
      <c r="I7" s="9">
        <v>100.5</v>
      </c>
      <c r="J7" s="9">
        <v>100.6</v>
      </c>
      <c r="K7" s="9">
        <v>101.7</v>
      </c>
      <c r="L7" s="9">
        <v>100.3</v>
      </c>
      <c r="M7" s="9">
        <v>100.2</v>
      </c>
      <c r="N7" s="9">
        <v>100.1</v>
      </c>
      <c r="O7" s="9">
        <v>100.4</v>
      </c>
      <c r="P7" s="9">
        <v>100</v>
      </c>
      <c r="Q7" s="9">
        <v>99.7</v>
      </c>
      <c r="R7" s="9">
        <v>100.3</v>
      </c>
      <c r="S7" s="9">
        <v>100.3</v>
      </c>
      <c r="T7" s="9">
        <v>101</v>
      </c>
      <c r="U7" s="9">
        <v>100.7</v>
      </c>
      <c r="V7" s="9">
        <v>100.4</v>
      </c>
      <c r="W7" s="9">
        <v>100</v>
      </c>
      <c r="X7" s="9">
        <v>100.3</v>
      </c>
      <c r="Y7" s="9">
        <v>100.5</v>
      </c>
      <c r="Z7" s="9">
        <v>101.1</v>
      </c>
      <c r="AA7" s="9">
        <v>100.4</v>
      </c>
      <c r="AB7" s="9">
        <v>101.1</v>
      </c>
      <c r="AC7" s="9">
        <v>100.7</v>
      </c>
      <c r="AD7" s="9">
        <v>100.7</v>
      </c>
      <c r="AE7" s="9">
        <v>100</v>
      </c>
      <c r="AF7" s="9">
        <v>100.3</v>
      </c>
      <c r="AG7" s="9">
        <v>100.3</v>
      </c>
      <c r="AH7" s="9">
        <v>100.1</v>
      </c>
      <c r="AI7" s="9">
        <v>100.1</v>
      </c>
      <c r="AJ7" s="9">
        <v>100.1</v>
      </c>
      <c r="AK7" s="9">
        <v>100.3</v>
      </c>
      <c r="AL7" s="9">
        <v>100.1</v>
      </c>
      <c r="AM7" s="9">
        <v>100.9</v>
      </c>
      <c r="AN7" s="9">
        <v>101.6</v>
      </c>
      <c r="AO7" s="9">
        <v>100.7</v>
      </c>
      <c r="AP7" s="9">
        <v>101.6</v>
      </c>
      <c r="AQ7" s="9">
        <v>101</v>
      </c>
      <c r="AR7" s="9">
        <v>100.4</v>
      </c>
      <c r="AS7" s="9">
        <v>100.7</v>
      </c>
      <c r="AT7" s="9">
        <v>100.2</v>
      </c>
      <c r="AU7" s="9">
        <v>100.3</v>
      </c>
      <c r="AV7" s="9">
        <v>100.1</v>
      </c>
      <c r="AW7" s="9">
        <v>100.1</v>
      </c>
      <c r="AX7" s="9">
        <v>100.5</v>
      </c>
      <c r="AY7" s="9">
        <v>100.5</v>
      </c>
      <c r="AZ7" s="9">
        <v>100.9</v>
      </c>
      <c r="BA7" s="9">
        <v>100.4</v>
      </c>
      <c r="BB7" s="9">
        <v>100.2</v>
      </c>
      <c r="BC7" s="9">
        <v>100.2</v>
      </c>
      <c r="BD7" s="9">
        <v>100.1</v>
      </c>
      <c r="BE7" s="9">
        <v>100.6</v>
      </c>
      <c r="BF7" s="9">
        <v>99.9</v>
      </c>
      <c r="BG7" s="9">
        <v>100.1</v>
      </c>
      <c r="BH7" s="9">
        <v>100</v>
      </c>
      <c r="BI7" s="9">
        <v>100.7</v>
      </c>
      <c r="BJ7" s="9">
        <v>105.5</v>
      </c>
      <c r="BK7" s="9">
        <v>103.2</v>
      </c>
      <c r="BL7" s="9">
        <v>100.8</v>
      </c>
      <c r="BM7" s="9">
        <v>100.9</v>
      </c>
      <c r="BN7" s="9">
        <v>101.3</v>
      </c>
      <c r="BO7" s="9">
        <v>100.4</v>
      </c>
      <c r="BP7" s="9">
        <v>100.4</v>
      </c>
      <c r="BQ7" s="9">
        <v>100.4</v>
      </c>
      <c r="BR7" s="9">
        <v>100.6</v>
      </c>
      <c r="BS7" s="9">
        <v>100.7</v>
      </c>
      <c r="BT7" s="9">
        <v>100.2</v>
      </c>
      <c r="BU7" s="9">
        <v>100.1</v>
      </c>
      <c r="BV7" s="9">
        <v>100.6</v>
      </c>
      <c r="BW7" s="9">
        <v>101.2</v>
      </c>
      <c r="BX7" s="9">
        <v>101.3</v>
      </c>
      <c r="BY7" s="9">
        <v>100.6</v>
      </c>
      <c r="BZ7" s="9">
        <v>101.8</v>
      </c>
      <c r="CA7" s="9">
        <v>100.4</v>
      </c>
      <c r="CB7" s="9">
        <v>100.8</v>
      </c>
      <c r="CC7" s="9">
        <v>100.6</v>
      </c>
      <c r="CD7" s="9">
        <v>100.5</v>
      </c>
      <c r="CE7" s="9">
        <v>100.3</v>
      </c>
      <c r="CF7" s="9">
        <v>99.9</v>
      </c>
      <c r="CG7" s="9">
        <v>100</v>
      </c>
      <c r="CH7" s="9">
        <v>100.8</v>
      </c>
      <c r="CI7" s="9">
        <v>100.8</v>
      </c>
      <c r="CJ7" s="9">
        <v>100.5</v>
      </c>
      <c r="CK7" s="9">
        <v>100.4</v>
      </c>
      <c r="CL7" s="9">
        <v>101.7</v>
      </c>
      <c r="CM7" s="9">
        <v>100.4</v>
      </c>
      <c r="CN7" s="9">
        <v>100.2</v>
      </c>
      <c r="CO7" s="9">
        <v>100.1</v>
      </c>
      <c r="CP7" s="9">
        <v>100.3</v>
      </c>
      <c r="CQ7" s="9">
        <v>100</v>
      </c>
      <c r="CR7" s="9">
        <v>100.1</v>
      </c>
      <c r="CS7" s="9">
        <v>100</v>
      </c>
      <c r="CT7" s="9">
        <v>100.5</v>
      </c>
      <c r="CU7" s="9">
        <v>100.8</v>
      </c>
      <c r="CV7" s="9">
        <v>101</v>
      </c>
      <c r="CW7" s="9">
        <v>100.4</v>
      </c>
      <c r="CX7" s="9">
        <v>100.5</v>
      </c>
      <c r="CY7" s="9">
        <v>100.6</v>
      </c>
      <c r="CZ7" s="9">
        <v>100.4</v>
      </c>
      <c r="DA7" s="9">
        <v>100.5</v>
      </c>
      <c r="DB7" s="9">
        <v>100.2</v>
      </c>
      <c r="DC7" s="9">
        <v>100.4</v>
      </c>
      <c r="DD7" s="9">
        <v>100.3</v>
      </c>
      <c r="DE7" s="9">
        <v>100.2</v>
      </c>
      <c r="DF7" s="9">
        <v>100.5</v>
      </c>
      <c r="DG7" s="9">
        <v>100.7</v>
      </c>
      <c r="DH7" s="9">
        <v>100.8</v>
      </c>
      <c r="DI7" s="9">
        <v>100.5</v>
      </c>
      <c r="DJ7" s="9">
        <v>100.6</v>
      </c>
      <c r="DK7" s="9">
        <v>100.8</v>
      </c>
      <c r="DL7" s="9">
        <v>100.9</v>
      </c>
      <c r="DM7" s="9">
        <v>100.6</v>
      </c>
      <c r="DN7" s="9">
        <v>100.6</v>
      </c>
      <c r="DO7" s="9">
        <v>100.4</v>
      </c>
      <c r="DP7" s="9">
        <v>100.2</v>
      </c>
      <c r="DQ7" s="9">
        <v>100.1</v>
      </c>
      <c r="DR7" s="9">
        <v>100.6</v>
      </c>
      <c r="DS7" s="9">
        <v>100.8</v>
      </c>
      <c r="DT7" s="9">
        <v>100.9</v>
      </c>
      <c r="DU7" s="9">
        <v>100.6</v>
      </c>
      <c r="DV7" s="9">
        <v>100.5</v>
      </c>
      <c r="DW7" s="9">
        <v>100.8</v>
      </c>
      <c r="DX7" s="9">
        <v>100.7</v>
      </c>
      <c r="DY7" s="9">
        <v>100.6</v>
      </c>
      <c r="DZ7" s="9">
        <v>101.4</v>
      </c>
      <c r="EA7" s="9">
        <v>100.5</v>
      </c>
      <c r="EB7" s="9">
        <v>100.3</v>
      </c>
      <c r="EC7" s="9">
        <v>100.3</v>
      </c>
      <c r="ED7" s="9">
        <v>100.9</v>
      </c>
      <c r="EE7" s="9">
        <v>100.9</v>
      </c>
      <c r="EF7" s="9">
        <v>100.6</v>
      </c>
      <c r="EG7" s="9">
        <v>100.6</v>
      </c>
      <c r="EH7" s="9">
        <v>100.7</v>
      </c>
      <c r="EI7" s="9">
        <v>103.7</v>
      </c>
      <c r="EJ7" s="9">
        <v>101.6</v>
      </c>
      <c r="EK7" s="9">
        <v>101.2</v>
      </c>
      <c r="EL7" s="9">
        <v>102.2</v>
      </c>
      <c r="EM7" s="9">
        <v>101</v>
      </c>
      <c r="EN7" s="9">
        <v>101.6</v>
      </c>
      <c r="EO7" s="9">
        <v>101.7</v>
      </c>
      <c r="EP7" s="9">
        <v>101.4</v>
      </c>
      <c r="EQ7" s="9">
        <v>101.8</v>
      </c>
      <c r="ER7" s="9">
        <v>101.4</v>
      </c>
      <c r="ES7" s="9">
        <v>101.5</v>
      </c>
      <c r="ET7" s="9">
        <v>101</v>
      </c>
      <c r="EU7" s="9">
        <v>101</v>
      </c>
      <c r="EV7" s="9">
        <v>100.8</v>
      </c>
      <c r="EW7" s="9">
        <v>100.8</v>
      </c>
      <c r="EX7" s="9">
        <v>100.9</v>
      </c>
      <c r="EY7" s="9">
        <v>100.6</v>
      </c>
      <c r="EZ7" s="9">
        <v>100.3</v>
      </c>
      <c r="FA7" s="9">
        <v>100.6</v>
      </c>
      <c r="FB7" s="9">
        <v>100.9</v>
      </c>
      <c r="FC7" s="9">
        <v>100.8</v>
      </c>
      <c r="FD7" s="9">
        <v>100.9</v>
      </c>
      <c r="FE7" s="9">
        <v>100.6</v>
      </c>
      <c r="FF7" s="9">
        <v>101</v>
      </c>
      <c r="FG7" s="9">
        <v>101.2</v>
      </c>
      <c r="FH7" s="9">
        <v>100.6</v>
      </c>
      <c r="FI7" s="9">
        <v>100.5</v>
      </c>
      <c r="FJ7" s="9">
        <v>100.7</v>
      </c>
      <c r="FK7" s="9">
        <v>100.6</v>
      </c>
      <c r="FL7" s="9">
        <v>100.5</v>
      </c>
      <c r="FM7" s="9">
        <v>100.3</v>
      </c>
      <c r="FN7" s="9">
        <v>101.1</v>
      </c>
      <c r="FO7" s="9">
        <v>101.1</v>
      </c>
      <c r="FP7" s="9">
        <v>100.8</v>
      </c>
      <c r="FQ7" s="9">
        <v>100.8</v>
      </c>
      <c r="FR7" s="9">
        <v>101.6</v>
      </c>
      <c r="FS7" s="9">
        <v>101</v>
      </c>
      <c r="FT7" s="9">
        <v>101.1</v>
      </c>
      <c r="FU7" s="9">
        <v>100.9</v>
      </c>
      <c r="FV7" s="9">
        <v>101.2</v>
      </c>
      <c r="FW7" s="9">
        <v>100.9</v>
      </c>
      <c r="FX7" s="9">
        <v>101.1</v>
      </c>
      <c r="FY7" s="9">
        <v>101.1</v>
      </c>
      <c r="FZ7" s="9">
        <v>100.9</v>
      </c>
      <c r="GA7" s="9">
        <v>101.2</v>
      </c>
      <c r="GB7" s="9">
        <v>101.5</v>
      </c>
      <c r="GC7" s="9">
        <v>101</v>
      </c>
      <c r="GD7" s="9">
        <v>101.3</v>
      </c>
      <c r="GE7" s="9">
        <v>100.6</v>
      </c>
      <c r="GF7" s="9">
        <v>101.1</v>
      </c>
      <c r="GG7" s="9">
        <v>100.8</v>
      </c>
      <c r="GH7" s="9">
        <v>101.1</v>
      </c>
      <c r="GI7" s="9">
        <v>100.5</v>
      </c>
      <c r="GJ7" s="10"/>
    </row>
    <row r="8" customHeight="1" spans="1:192">
      <c r="A8" s="8" t="s">
        <v>199</v>
      </c>
      <c r="B8" s="8" t="s">
        <v>194</v>
      </c>
      <c r="C8" s="8" t="s">
        <v>195</v>
      </c>
      <c r="D8" s="8"/>
      <c r="E8" s="9">
        <v>101.8</v>
      </c>
      <c r="F8" s="9">
        <v>101.2</v>
      </c>
      <c r="G8" s="9">
        <v>100.9</v>
      </c>
      <c r="H8" s="9">
        <v>100.1</v>
      </c>
      <c r="I8" s="9">
        <v>100.4</v>
      </c>
      <c r="J8" s="9">
        <v>100.4</v>
      </c>
      <c r="K8" s="9">
        <v>100.4</v>
      </c>
      <c r="L8" s="9">
        <v>101.2</v>
      </c>
      <c r="M8" s="9">
        <v>101.4</v>
      </c>
      <c r="N8" s="9">
        <v>100.1</v>
      </c>
      <c r="O8" s="9">
        <v>100.3</v>
      </c>
      <c r="P8" s="9">
        <v>100.2</v>
      </c>
      <c r="Q8" s="9">
        <v>100.5</v>
      </c>
      <c r="R8" s="9">
        <v>100.2</v>
      </c>
      <c r="S8" s="9">
        <v>100.5</v>
      </c>
      <c r="T8" s="9">
        <v>100.7</v>
      </c>
      <c r="U8" s="9">
        <v>100.5</v>
      </c>
      <c r="V8" s="9">
        <v>100.4</v>
      </c>
      <c r="W8" s="9">
        <v>100</v>
      </c>
      <c r="X8" s="9">
        <v>100.2</v>
      </c>
      <c r="Y8" s="9">
        <v>100.8</v>
      </c>
      <c r="Z8" s="9">
        <v>100.3</v>
      </c>
      <c r="AA8" s="9">
        <v>100.5</v>
      </c>
      <c r="AB8" s="9">
        <v>101.3</v>
      </c>
      <c r="AC8" s="9">
        <v>101.5</v>
      </c>
      <c r="AD8" s="9">
        <v>100.6</v>
      </c>
      <c r="AE8" s="9">
        <v>100.1</v>
      </c>
      <c r="AF8" s="9">
        <v>100.3</v>
      </c>
      <c r="AG8" s="9">
        <v>100.2</v>
      </c>
      <c r="AH8" s="9">
        <v>100.2</v>
      </c>
      <c r="AI8" s="9">
        <v>100.1</v>
      </c>
      <c r="AJ8" s="9">
        <v>100.2</v>
      </c>
      <c r="AK8" s="9">
        <v>100.2</v>
      </c>
      <c r="AL8" s="9">
        <v>100.1</v>
      </c>
      <c r="AM8" s="9">
        <v>100.4</v>
      </c>
      <c r="AN8" s="9">
        <v>100.6</v>
      </c>
      <c r="AO8" s="9">
        <v>100.7</v>
      </c>
      <c r="AP8" s="9">
        <v>103.4</v>
      </c>
      <c r="AQ8" s="9">
        <v>100.2</v>
      </c>
      <c r="AR8" s="9">
        <v>100.2</v>
      </c>
      <c r="AS8" s="9">
        <v>100.5</v>
      </c>
      <c r="AT8" s="9">
        <v>100.3</v>
      </c>
      <c r="AU8" s="9">
        <v>100.6</v>
      </c>
      <c r="AV8" s="9">
        <v>100.2</v>
      </c>
      <c r="AW8" s="9">
        <v>100.1</v>
      </c>
      <c r="AX8" s="9">
        <v>100.2</v>
      </c>
      <c r="AY8" s="9">
        <v>100.4</v>
      </c>
      <c r="AZ8" s="9">
        <v>100.5</v>
      </c>
      <c r="BA8" s="9">
        <v>101</v>
      </c>
      <c r="BB8" s="9">
        <v>100.8</v>
      </c>
      <c r="BC8" s="9">
        <v>100</v>
      </c>
      <c r="BD8" s="9">
        <v>99.7</v>
      </c>
      <c r="BE8" s="9">
        <v>100.4</v>
      </c>
      <c r="BF8" s="9">
        <v>100.1</v>
      </c>
      <c r="BG8" s="9">
        <v>99.9</v>
      </c>
      <c r="BH8" s="9">
        <v>100.4</v>
      </c>
      <c r="BI8" s="9">
        <v>100.7</v>
      </c>
      <c r="BJ8" s="9">
        <v>106.1</v>
      </c>
      <c r="BK8" s="9">
        <v>103</v>
      </c>
      <c r="BL8" s="9">
        <v>100.2</v>
      </c>
      <c r="BM8" s="9">
        <v>100.8</v>
      </c>
      <c r="BN8" s="9">
        <v>101.4</v>
      </c>
      <c r="BO8" s="9">
        <v>100.7</v>
      </c>
      <c r="BP8" s="9">
        <v>100.9</v>
      </c>
      <c r="BQ8" s="9">
        <v>100.7</v>
      </c>
      <c r="BR8" s="9">
        <v>100.1</v>
      </c>
      <c r="BS8" s="9">
        <v>100.3</v>
      </c>
      <c r="BT8" s="9">
        <v>100.3</v>
      </c>
      <c r="BU8" s="9">
        <v>100.4</v>
      </c>
      <c r="BV8" s="9">
        <v>100.5</v>
      </c>
      <c r="BW8" s="9">
        <v>101.1</v>
      </c>
      <c r="BX8" s="9">
        <v>101</v>
      </c>
      <c r="BY8" s="9">
        <v>101.2</v>
      </c>
      <c r="BZ8" s="9">
        <v>100.5</v>
      </c>
      <c r="CA8" s="9">
        <v>100.4</v>
      </c>
      <c r="CB8" s="9">
        <v>100.4</v>
      </c>
      <c r="CC8" s="9">
        <v>100.7</v>
      </c>
      <c r="CD8" s="9">
        <v>100.4</v>
      </c>
      <c r="CE8" s="9">
        <v>100.5</v>
      </c>
      <c r="CF8" s="9">
        <v>99.8</v>
      </c>
      <c r="CG8" s="9">
        <v>100.2</v>
      </c>
      <c r="CH8" s="9">
        <v>101.1</v>
      </c>
      <c r="CI8" s="9">
        <v>100.8</v>
      </c>
      <c r="CJ8" s="9">
        <v>100.9</v>
      </c>
      <c r="CK8" s="9">
        <v>100.5</v>
      </c>
      <c r="CL8" s="9">
        <v>100.5</v>
      </c>
      <c r="CM8" s="9">
        <v>100.6</v>
      </c>
      <c r="CN8" s="9">
        <v>100.4</v>
      </c>
      <c r="CO8" s="9">
        <v>100.2</v>
      </c>
      <c r="CP8" s="9">
        <v>100.1</v>
      </c>
      <c r="CQ8" s="9">
        <v>100</v>
      </c>
      <c r="CR8" s="9">
        <v>100.2</v>
      </c>
      <c r="CS8" s="9">
        <v>100.5</v>
      </c>
      <c r="CT8" s="9">
        <v>100.5</v>
      </c>
      <c r="CU8" s="9">
        <v>100.7</v>
      </c>
      <c r="CV8" s="9">
        <v>100.9</v>
      </c>
      <c r="CW8" s="9">
        <v>100.8</v>
      </c>
      <c r="CX8" s="9">
        <v>100</v>
      </c>
      <c r="CY8" s="9">
        <v>100.6</v>
      </c>
      <c r="CZ8" s="9">
        <v>100.4</v>
      </c>
      <c r="DA8" s="9">
        <v>100.4</v>
      </c>
      <c r="DB8" s="9">
        <v>100</v>
      </c>
      <c r="DC8" s="9">
        <v>100.3</v>
      </c>
      <c r="DD8" s="9">
        <v>100.4</v>
      </c>
      <c r="DE8" s="9">
        <v>100.3</v>
      </c>
      <c r="DF8" s="9">
        <v>100.4</v>
      </c>
      <c r="DG8" s="9">
        <v>100.8</v>
      </c>
      <c r="DH8" s="9">
        <v>100.7</v>
      </c>
      <c r="DI8" s="9">
        <v>100.8</v>
      </c>
      <c r="DJ8" s="9">
        <v>100.5</v>
      </c>
      <c r="DK8" s="9">
        <v>100.7</v>
      </c>
      <c r="DL8" s="9">
        <v>100.9</v>
      </c>
      <c r="DM8" s="9">
        <v>100.6</v>
      </c>
      <c r="DN8" s="9">
        <v>100.5</v>
      </c>
      <c r="DO8" s="9">
        <v>100.1</v>
      </c>
      <c r="DP8" s="9">
        <v>100.2</v>
      </c>
      <c r="DQ8" s="9">
        <v>100.3</v>
      </c>
      <c r="DR8" s="9">
        <v>100.4</v>
      </c>
      <c r="DS8" s="9">
        <v>100.8</v>
      </c>
      <c r="DT8" s="9">
        <v>101</v>
      </c>
      <c r="DU8" s="9">
        <v>100.7</v>
      </c>
      <c r="DV8" s="9">
        <v>100.5</v>
      </c>
      <c r="DW8" s="9">
        <v>100.7</v>
      </c>
      <c r="DX8" s="9">
        <v>100.8</v>
      </c>
      <c r="DY8" s="9">
        <v>101</v>
      </c>
      <c r="DZ8" s="9">
        <v>100.8</v>
      </c>
      <c r="EA8" s="9">
        <v>100.8</v>
      </c>
      <c r="EB8" s="9">
        <v>100.5</v>
      </c>
      <c r="EC8" s="9">
        <v>100.6</v>
      </c>
      <c r="ED8" s="9">
        <v>100.4</v>
      </c>
      <c r="EE8" s="9">
        <v>100.7</v>
      </c>
      <c r="EF8" s="9">
        <v>100.4</v>
      </c>
      <c r="EG8" s="9">
        <v>100.6</v>
      </c>
      <c r="EH8" s="9">
        <v>100.6</v>
      </c>
      <c r="EI8" s="9">
        <v>104.2</v>
      </c>
      <c r="EJ8" s="9">
        <v>102</v>
      </c>
      <c r="EK8" s="9">
        <v>101</v>
      </c>
      <c r="EL8" s="9">
        <v>101.3</v>
      </c>
      <c r="EM8" s="9">
        <v>101</v>
      </c>
      <c r="EN8" s="9">
        <v>101.3</v>
      </c>
      <c r="EO8" s="9">
        <v>101.4</v>
      </c>
      <c r="EP8" s="9">
        <v>101.3</v>
      </c>
      <c r="EQ8" s="9">
        <v>101.7</v>
      </c>
      <c r="ER8" s="9">
        <v>101.9</v>
      </c>
      <c r="ES8" s="9">
        <v>100.9</v>
      </c>
      <c r="ET8" s="9">
        <v>101.2</v>
      </c>
      <c r="EU8" s="9">
        <v>101</v>
      </c>
      <c r="EV8" s="9">
        <v>100.7</v>
      </c>
      <c r="EW8" s="9">
        <v>100.9</v>
      </c>
      <c r="EX8" s="9">
        <v>100.3</v>
      </c>
      <c r="EY8" s="9">
        <v>100.3</v>
      </c>
      <c r="EZ8" s="9">
        <v>100.9</v>
      </c>
      <c r="FA8" s="9">
        <v>100.6</v>
      </c>
      <c r="FB8" s="9">
        <v>100.4</v>
      </c>
      <c r="FC8" s="9">
        <v>101.1</v>
      </c>
      <c r="FD8" s="9">
        <v>100.6</v>
      </c>
      <c r="FE8" s="9">
        <v>100.8</v>
      </c>
      <c r="FF8" s="9">
        <v>101</v>
      </c>
      <c r="FG8" s="9">
        <v>100.6</v>
      </c>
      <c r="FH8" s="9">
        <v>100.4</v>
      </c>
      <c r="FI8" s="9">
        <v>100</v>
      </c>
      <c r="FJ8" s="9">
        <v>100.4</v>
      </c>
      <c r="FK8" s="9">
        <v>100.9</v>
      </c>
      <c r="FL8" s="9">
        <v>100.4</v>
      </c>
      <c r="FM8" s="9">
        <v>100</v>
      </c>
      <c r="FN8" s="9">
        <v>100.6</v>
      </c>
      <c r="FO8" s="9">
        <v>100.5</v>
      </c>
      <c r="FP8" s="9">
        <v>101.3</v>
      </c>
      <c r="FQ8" s="9">
        <v>101.3</v>
      </c>
      <c r="FR8" s="9">
        <v>101</v>
      </c>
      <c r="FS8" s="9">
        <v>101.2</v>
      </c>
      <c r="FT8" s="9">
        <v>100.9</v>
      </c>
      <c r="FU8" s="9">
        <v>100.9</v>
      </c>
      <c r="FV8" s="9">
        <v>100.9</v>
      </c>
      <c r="FW8" s="9">
        <v>100.7</v>
      </c>
      <c r="FX8" s="9">
        <v>100.6</v>
      </c>
      <c r="FY8" s="9">
        <v>101.1</v>
      </c>
      <c r="FZ8" s="9">
        <v>100.6</v>
      </c>
      <c r="GA8" s="9">
        <v>100.7</v>
      </c>
      <c r="GB8" s="9">
        <v>101.3</v>
      </c>
      <c r="GC8" s="9">
        <v>101</v>
      </c>
      <c r="GD8" s="9">
        <v>101.2</v>
      </c>
      <c r="GE8" s="9">
        <v>100.6</v>
      </c>
      <c r="GF8" s="9">
        <v>100.8</v>
      </c>
      <c r="GG8" s="9">
        <v>100.5</v>
      </c>
      <c r="GH8" s="9">
        <v>100.6</v>
      </c>
      <c r="GI8" s="9">
        <v>100.2</v>
      </c>
      <c r="GJ8" s="10"/>
    </row>
    <row r="9" customHeight="1" spans="1:192">
      <c r="A9" s="8" t="s">
        <v>200</v>
      </c>
      <c r="B9" s="8" t="s">
        <v>194</v>
      </c>
      <c r="C9" s="8" t="s">
        <v>195</v>
      </c>
      <c r="D9" s="8"/>
      <c r="E9" s="9">
        <v>102</v>
      </c>
      <c r="F9" s="9">
        <v>101.1</v>
      </c>
      <c r="G9" s="9">
        <v>100.6</v>
      </c>
      <c r="H9" s="9">
        <v>100.5</v>
      </c>
      <c r="I9" s="9">
        <v>100.4</v>
      </c>
      <c r="J9" s="9">
        <v>100.4</v>
      </c>
      <c r="K9" s="9">
        <v>100.5</v>
      </c>
      <c r="L9" s="9">
        <v>100.2</v>
      </c>
      <c r="M9" s="9">
        <v>100.3</v>
      </c>
      <c r="N9" s="9">
        <v>100.6</v>
      </c>
      <c r="O9" s="9">
        <v>100.1</v>
      </c>
      <c r="P9" s="9">
        <v>100.6</v>
      </c>
      <c r="Q9" s="9">
        <v>100.7</v>
      </c>
      <c r="R9" s="9">
        <v>100.4</v>
      </c>
      <c r="S9" s="9">
        <v>100.4</v>
      </c>
      <c r="T9" s="9">
        <v>101.1</v>
      </c>
      <c r="U9" s="9">
        <v>100.6</v>
      </c>
      <c r="V9" s="9">
        <v>100.1</v>
      </c>
      <c r="W9" s="9">
        <v>100.2</v>
      </c>
      <c r="X9" s="9">
        <v>100.4</v>
      </c>
      <c r="Y9" s="9">
        <v>100.3</v>
      </c>
      <c r="Z9" s="9">
        <v>100.6</v>
      </c>
      <c r="AA9" s="9">
        <v>100.6</v>
      </c>
      <c r="AB9" s="9">
        <v>100.6</v>
      </c>
      <c r="AC9" s="9">
        <v>101</v>
      </c>
      <c r="AD9" s="9">
        <v>101</v>
      </c>
      <c r="AE9" s="9">
        <v>100.1</v>
      </c>
      <c r="AF9" s="9">
        <v>100.5</v>
      </c>
      <c r="AG9" s="9">
        <v>100.2</v>
      </c>
      <c r="AH9" s="9">
        <v>100.2</v>
      </c>
      <c r="AI9" s="9">
        <v>100.1</v>
      </c>
      <c r="AJ9" s="9">
        <v>100.2</v>
      </c>
      <c r="AK9" s="9">
        <v>100.1</v>
      </c>
      <c r="AL9" s="9">
        <v>100.1</v>
      </c>
      <c r="AM9" s="9">
        <v>100.4</v>
      </c>
      <c r="AN9" s="9">
        <v>101</v>
      </c>
      <c r="AO9" s="9">
        <v>100.5</v>
      </c>
      <c r="AP9" s="9">
        <v>102.5</v>
      </c>
      <c r="AQ9" s="9">
        <v>100.4</v>
      </c>
      <c r="AR9" s="9">
        <v>100.7</v>
      </c>
      <c r="AS9" s="9">
        <v>101.1</v>
      </c>
      <c r="AT9" s="9">
        <v>100.3</v>
      </c>
      <c r="AU9" s="9">
        <v>100.4</v>
      </c>
      <c r="AV9" s="9">
        <v>100.2</v>
      </c>
      <c r="AW9" s="9">
        <v>100</v>
      </c>
      <c r="AX9" s="9">
        <v>100.1</v>
      </c>
      <c r="AY9" s="9">
        <v>100.4</v>
      </c>
      <c r="AZ9" s="9">
        <v>100.6</v>
      </c>
      <c r="BA9" s="9">
        <v>100.6</v>
      </c>
      <c r="BB9" s="9">
        <v>100.1</v>
      </c>
      <c r="BC9" s="9">
        <v>100.2</v>
      </c>
      <c r="BD9" s="9">
        <v>99.9</v>
      </c>
      <c r="BE9" s="9">
        <v>100.3</v>
      </c>
      <c r="BF9" s="9">
        <v>100.2</v>
      </c>
      <c r="BG9" s="9">
        <v>99.8</v>
      </c>
      <c r="BH9" s="9">
        <v>100.9</v>
      </c>
      <c r="BI9" s="9">
        <v>100.5</v>
      </c>
      <c r="BJ9" s="9">
        <v>105</v>
      </c>
      <c r="BK9" s="9">
        <v>103.5</v>
      </c>
      <c r="BL9" s="9">
        <v>100.8</v>
      </c>
      <c r="BM9" s="9">
        <v>101.3</v>
      </c>
      <c r="BN9" s="9">
        <v>101.4</v>
      </c>
      <c r="BO9" s="9">
        <v>100.5</v>
      </c>
      <c r="BP9" s="9">
        <v>100.5</v>
      </c>
      <c r="BQ9" s="9">
        <v>100.5</v>
      </c>
      <c r="BR9" s="9">
        <v>100.4</v>
      </c>
      <c r="BS9" s="9">
        <v>100.8</v>
      </c>
      <c r="BT9" s="9">
        <v>100.9</v>
      </c>
      <c r="BU9" s="9">
        <v>99.2</v>
      </c>
      <c r="BV9" s="9">
        <v>100.5</v>
      </c>
      <c r="BW9" s="9">
        <v>101.1</v>
      </c>
      <c r="BX9" s="9">
        <v>101.1</v>
      </c>
      <c r="BY9" s="9">
        <v>100.8</v>
      </c>
      <c r="BZ9" s="9">
        <v>101.8</v>
      </c>
      <c r="CA9" s="9">
        <v>100.5</v>
      </c>
      <c r="CB9" s="9">
        <v>100.4</v>
      </c>
      <c r="CC9" s="9">
        <v>101.5</v>
      </c>
      <c r="CD9" s="9">
        <v>99.8</v>
      </c>
      <c r="CE9" s="9">
        <v>100.2</v>
      </c>
      <c r="CF9" s="9">
        <v>99.7</v>
      </c>
      <c r="CG9" s="9">
        <v>100</v>
      </c>
      <c r="CH9" s="9">
        <v>101.3</v>
      </c>
      <c r="CI9" s="9">
        <v>101</v>
      </c>
      <c r="CJ9" s="9">
        <v>100.4</v>
      </c>
      <c r="CK9" s="9">
        <v>100.8</v>
      </c>
      <c r="CL9" s="9">
        <v>101</v>
      </c>
      <c r="CM9" s="9">
        <v>100.5</v>
      </c>
      <c r="CN9" s="9">
        <v>100.3</v>
      </c>
      <c r="CO9" s="9">
        <v>100.4</v>
      </c>
      <c r="CP9" s="9">
        <v>99.8</v>
      </c>
      <c r="CQ9" s="9">
        <v>100.2</v>
      </c>
      <c r="CR9" s="9">
        <v>100.1</v>
      </c>
      <c r="CS9" s="9">
        <v>100.3</v>
      </c>
      <c r="CT9" s="9">
        <v>100.3</v>
      </c>
      <c r="CU9" s="9">
        <v>101.5</v>
      </c>
      <c r="CV9" s="9">
        <v>100.2</v>
      </c>
      <c r="CW9" s="9">
        <v>100.6</v>
      </c>
      <c r="CX9" s="9">
        <v>100.4</v>
      </c>
      <c r="CY9" s="9">
        <v>100.5</v>
      </c>
      <c r="CZ9" s="9">
        <v>100.4</v>
      </c>
      <c r="DA9" s="9">
        <v>100.3</v>
      </c>
      <c r="DB9" s="9">
        <v>100</v>
      </c>
      <c r="DC9" s="9">
        <v>100.6</v>
      </c>
      <c r="DD9" s="9">
        <v>100</v>
      </c>
      <c r="DE9" s="9">
        <v>100.3</v>
      </c>
      <c r="DF9" s="9">
        <v>100.7</v>
      </c>
      <c r="DG9" s="9">
        <v>100.8</v>
      </c>
      <c r="DH9" s="9">
        <v>100.8</v>
      </c>
      <c r="DI9" s="9">
        <v>100.6</v>
      </c>
      <c r="DJ9" s="9">
        <v>100.8</v>
      </c>
      <c r="DK9" s="9">
        <v>101.5</v>
      </c>
      <c r="DL9" s="9">
        <v>100.6</v>
      </c>
      <c r="DM9" s="9">
        <v>100.3</v>
      </c>
      <c r="DN9" s="9">
        <v>100.2</v>
      </c>
      <c r="DO9" s="9">
        <v>100.1</v>
      </c>
      <c r="DP9" s="9">
        <v>100.2</v>
      </c>
      <c r="DQ9" s="9">
        <v>100.4</v>
      </c>
      <c r="DR9" s="9">
        <v>101.1</v>
      </c>
      <c r="DS9" s="9">
        <v>100.9</v>
      </c>
      <c r="DT9" s="9">
        <v>101</v>
      </c>
      <c r="DU9" s="9">
        <v>100.4</v>
      </c>
      <c r="DV9" s="9">
        <v>100.6</v>
      </c>
      <c r="DW9" s="9">
        <v>100.6</v>
      </c>
      <c r="DX9" s="9">
        <v>100.9</v>
      </c>
      <c r="DY9" s="9">
        <v>100.6</v>
      </c>
      <c r="DZ9" s="9">
        <v>101.2</v>
      </c>
      <c r="EA9" s="9">
        <v>100.9</v>
      </c>
      <c r="EB9" s="9">
        <v>100.2</v>
      </c>
      <c r="EC9" s="9">
        <v>100.1</v>
      </c>
      <c r="ED9" s="9">
        <v>100.9</v>
      </c>
      <c r="EE9" s="9">
        <v>101</v>
      </c>
      <c r="EF9" s="9">
        <v>100.4</v>
      </c>
      <c r="EG9" s="9">
        <v>100.6</v>
      </c>
      <c r="EH9" s="9">
        <v>100.6</v>
      </c>
      <c r="EI9" s="9">
        <v>103.3</v>
      </c>
      <c r="EJ9" s="9">
        <v>101.9</v>
      </c>
      <c r="EK9" s="9">
        <v>101.5</v>
      </c>
      <c r="EL9" s="9">
        <v>101.4</v>
      </c>
      <c r="EM9" s="9">
        <v>101.7</v>
      </c>
      <c r="EN9" s="9">
        <v>101.2</v>
      </c>
      <c r="EO9" s="9">
        <v>101.3</v>
      </c>
      <c r="EP9" s="9">
        <v>101.7</v>
      </c>
      <c r="EQ9" s="9">
        <v>101.8</v>
      </c>
      <c r="ER9" s="9">
        <v>101.3</v>
      </c>
      <c r="ES9" s="9">
        <v>101.1</v>
      </c>
      <c r="ET9" s="9">
        <v>101.5</v>
      </c>
      <c r="EU9" s="9">
        <v>100.8</v>
      </c>
      <c r="EV9" s="9">
        <v>101.2</v>
      </c>
      <c r="EW9" s="9">
        <v>100.1</v>
      </c>
      <c r="EX9" s="9">
        <v>100.4</v>
      </c>
      <c r="EY9" s="9">
        <v>100.3</v>
      </c>
      <c r="EZ9" s="9">
        <v>100.2</v>
      </c>
      <c r="FA9" s="9">
        <v>100.5</v>
      </c>
      <c r="FB9" s="9">
        <v>101</v>
      </c>
      <c r="FC9" s="9">
        <v>101.6</v>
      </c>
      <c r="FD9" s="9">
        <v>100.3</v>
      </c>
      <c r="FE9" s="9">
        <v>100.7</v>
      </c>
      <c r="FF9" s="9">
        <v>101.1</v>
      </c>
      <c r="FG9" s="9">
        <v>102.1</v>
      </c>
      <c r="FH9" s="9">
        <v>100.3</v>
      </c>
      <c r="FI9" s="9">
        <v>100.2</v>
      </c>
      <c r="FJ9" s="9">
        <v>100.5</v>
      </c>
      <c r="FK9" s="9">
        <v>100.7</v>
      </c>
      <c r="FL9" s="9">
        <v>100.2</v>
      </c>
      <c r="FM9" s="9">
        <v>100.1</v>
      </c>
      <c r="FN9" s="9">
        <v>100.4</v>
      </c>
      <c r="FO9" s="9">
        <v>101</v>
      </c>
      <c r="FP9" s="9">
        <v>100.3</v>
      </c>
      <c r="FQ9" s="9">
        <v>101</v>
      </c>
      <c r="FR9" s="9">
        <v>100.9</v>
      </c>
      <c r="FS9" s="9">
        <v>101.2</v>
      </c>
      <c r="FT9" s="9">
        <v>101</v>
      </c>
      <c r="FU9" s="9">
        <v>102</v>
      </c>
      <c r="FV9" s="9">
        <v>100.8</v>
      </c>
      <c r="FW9" s="9">
        <v>100.7</v>
      </c>
      <c r="FX9" s="9">
        <v>101.2</v>
      </c>
      <c r="FY9" s="9">
        <v>101.4</v>
      </c>
      <c r="FZ9" s="9">
        <v>100.3</v>
      </c>
      <c r="GA9" s="9">
        <v>101.4</v>
      </c>
      <c r="GB9" s="9">
        <v>100.8</v>
      </c>
      <c r="GC9" s="9">
        <v>101.1</v>
      </c>
      <c r="GD9" s="9">
        <v>100.6</v>
      </c>
      <c r="GE9" s="9">
        <v>100.2</v>
      </c>
      <c r="GF9" s="9">
        <v>100.9</v>
      </c>
      <c r="GG9" s="9">
        <v>100.7</v>
      </c>
      <c r="GH9" s="9">
        <v>100.7</v>
      </c>
      <c r="GI9" s="9">
        <v>100.4</v>
      </c>
      <c r="GJ9" s="10"/>
    </row>
    <row r="10" customHeight="1" spans="1:192">
      <c r="A10" s="8" t="s">
        <v>201</v>
      </c>
      <c r="B10" s="8" t="s">
        <v>194</v>
      </c>
      <c r="C10" s="8" t="s">
        <v>195</v>
      </c>
      <c r="D10" s="8"/>
      <c r="E10" s="9">
        <v>101.4</v>
      </c>
      <c r="F10" s="9">
        <v>101.3</v>
      </c>
      <c r="G10" s="9">
        <v>100.4</v>
      </c>
      <c r="H10" s="9">
        <v>100.3</v>
      </c>
      <c r="I10" s="9">
        <v>100.4</v>
      </c>
      <c r="J10" s="9">
        <v>100.8</v>
      </c>
      <c r="K10" s="9">
        <v>100.5</v>
      </c>
      <c r="L10" s="9">
        <v>100.4</v>
      </c>
      <c r="M10" s="9">
        <v>100.4</v>
      </c>
      <c r="N10" s="9">
        <v>100.1</v>
      </c>
      <c r="O10" s="9">
        <v>100.4</v>
      </c>
      <c r="P10" s="9">
        <v>100.4</v>
      </c>
      <c r="Q10" s="9">
        <v>100.3</v>
      </c>
      <c r="R10" s="9">
        <v>100.3</v>
      </c>
      <c r="S10" s="9">
        <v>100.3</v>
      </c>
      <c r="T10" s="9">
        <v>100.3</v>
      </c>
      <c r="U10" s="9">
        <v>100.6</v>
      </c>
      <c r="V10" s="9">
        <v>100.1</v>
      </c>
      <c r="W10" s="9">
        <v>100.1</v>
      </c>
      <c r="X10" s="9">
        <v>100.2</v>
      </c>
      <c r="Y10" s="9">
        <v>100.4</v>
      </c>
      <c r="Z10" s="9">
        <v>100.5</v>
      </c>
      <c r="AA10" s="9">
        <v>100.4</v>
      </c>
      <c r="AB10" s="9">
        <v>100.6</v>
      </c>
      <c r="AC10" s="9">
        <v>101.9</v>
      </c>
      <c r="AD10" s="9">
        <v>100.8</v>
      </c>
      <c r="AE10" s="9">
        <v>101.3</v>
      </c>
      <c r="AF10" s="9">
        <v>100.5</v>
      </c>
      <c r="AG10" s="9">
        <v>100.1</v>
      </c>
      <c r="AH10" s="9">
        <v>100.4</v>
      </c>
      <c r="AI10" s="9">
        <v>100.2</v>
      </c>
      <c r="AJ10" s="9">
        <v>100.4</v>
      </c>
      <c r="AK10" s="9">
        <v>99.9</v>
      </c>
      <c r="AL10" s="9">
        <v>100.3</v>
      </c>
      <c r="AM10" s="9">
        <v>100.2</v>
      </c>
      <c r="AN10" s="9">
        <v>100.3</v>
      </c>
      <c r="AO10" s="9">
        <v>100.4</v>
      </c>
      <c r="AP10" s="9">
        <v>101.2</v>
      </c>
      <c r="AQ10" s="9">
        <v>100.7</v>
      </c>
      <c r="AR10" s="9">
        <v>100.6</v>
      </c>
      <c r="AS10" s="9">
        <v>100.5</v>
      </c>
      <c r="AT10" s="9">
        <v>100.4</v>
      </c>
      <c r="AU10" s="9">
        <v>100.4</v>
      </c>
      <c r="AV10" s="9">
        <v>100.4</v>
      </c>
      <c r="AW10" s="9">
        <v>100.2</v>
      </c>
      <c r="AX10" s="9">
        <v>100.3</v>
      </c>
      <c r="AY10" s="9">
        <v>100.8</v>
      </c>
      <c r="AZ10" s="9">
        <v>100.6</v>
      </c>
      <c r="BA10" s="9">
        <v>100.4</v>
      </c>
      <c r="BB10" s="9">
        <v>100.6</v>
      </c>
      <c r="BC10" s="9">
        <v>100.1</v>
      </c>
      <c r="BD10" s="9">
        <v>100.3</v>
      </c>
      <c r="BE10" s="9">
        <v>100.2</v>
      </c>
      <c r="BF10" s="9">
        <v>99.8</v>
      </c>
      <c r="BG10" s="9">
        <v>100.2</v>
      </c>
      <c r="BH10" s="9">
        <v>100.2</v>
      </c>
      <c r="BI10" s="9">
        <v>100.7</v>
      </c>
      <c r="BJ10" s="9">
        <v>105.3</v>
      </c>
      <c r="BK10" s="9">
        <v>104.1</v>
      </c>
      <c r="BL10" s="9">
        <v>100.2</v>
      </c>
      <c r="BM10" s="9">
        <v>101.3</v>
      </c>
      <c r="BN10" s="9">
        <v>102.4</v>
      </c>
      <c r="BO10" s="9">
        <v>100</v>
      </c>
      <c r="BP10" s="9">
        <v>100.8</v>
      </c>
      <c r="BQ10" s="9">
        <v>100.1</v>
      </c>
      <c r="BR10" s="9">
        <v>100.2</v>
      </c>
      <c r="BS10" s="9">
        <v>100.7</v>
      </c>
      <c r="BT10" s="9">
        <v>100</v>
      </c>
      <c r="BU10" s="9">
        <v>100</v>
      </c>
      <c r="BV10" s="9">
        <v>100.5</v>
      </c>
      <c r="BW10" s="9">
        <v>101</v>
      </c>
      <c r="BX10" s="9">
        <v>101.2</v>
      </c>
      <c r="BY10" s="9">
        <v>100.6</v>
      </c>
      <c r="BZ10" s="9">
        <v>100.6</v>
      </c>
      <c r="CA10" s="9">
        <v>100.4</v>
      </c>
      <c r="CB10" s="9">
        <v>100.3</v>
      </c>
      <c r="CC10" s="9">
        <v>100.4</v>
      </c>
      <c r="CD10" s="9">
        <v>100.6</v>
      </c>
      <c r="CE10" s="9">
        <v>100.3</v>
      </c>
      <c r="CF10" s="9">
        <v>100.2</v>
      </c>
      <c r="CG10" s="9">
        <v>100.4</v>
      </c>
      <c r="CH10" s="9">
        <v>100.7</v>
      </c>
      <c r="CI10" s="9">
        <v>101</v>
      </c>
      <c r="CJ10" s="9">
        <v>100.9</v>
      </c>
      <c r="CK10" s="9">
        <v>100.3</v>
      </c>
      <c r="CL10" s="9">
        <v>100.7</v>
      </c>
      <c r="CM10" s="9">
        <v>100.4</v>
      </c>
      <c r="CN10" s="9">
        <v>100.5</v>
      </c>
      <c r="CO10" s="9">
        <v>100.2</v>
      </c>
      <c r="CP10" s="9">
        <v>100.3</v>
      </c>
      <c r="CQ10" s="9">
        <v>100</v>
      </c>
      <c r="CR10" s="9">
        <v>100.2</v>
      </c>
      <c r="CS10" s="9">
        <v>100.5</v>
      </c>
      <c r="CT10" s="9">
        <v>100.4</v>
      </c>
      <c r="CU10" s="9">
        <v>101</v>
      </c>
      <c r="CV10" s="9">
        <v>100.5</v>
      </c>
      <c r="CW10" s="9">
        <v>100.9</v>
      </c>
      <c r="CX10" s="9">
        <v>100</v>
      </c>
      <c r="CY10" s="9">
        <v>100.3</v>
      </c>
      <c r="CZ10" s="9">
        <v>100.4</v>
      </c>
      <c r="DA10" s="9">
        <v>100.5</v>
      </c>
      <c r="DB10" s="9">
        <v>100.3</v>
      </c>
      <c r="DC10" s="9">
        <v>100.4</v>
      </c>
      <c r="DD10" s="9">
        <v>100.1</v>
      </c>
      <c r="DE10" s="9">
        <v>100.2</v>
      </c>
      <c r="DF10" s="9">
        <v>100.6</v>
      </c>
      <c r="DG10" s="9">
        <v>100.6</v>
      </c>
      <c r="DH10" s="9">
        <v>100.8</v>
      </c>
      <c r="DI10" s="9">
        <v>100.6</v>
      </c>
      <c r="DJ10" s="9">
        <v>100.5</v>
      </c>
      <c r="DK10" s="9">
        <v>101</v>
      </c>
      <c r="DL10" s="9">
        <v>100.7</v>
      </c>
      <c r="DM10" s="9">
        <v>100.5</v>
      </c>
      <c r="DN10" s="9">
        <v>100.5</v>
      </c>
      <c r="DO10" s="9">
        <v>100.4</v>
      </c>
      <c r="DP10" s="9">
        <v>100.2</v>
      </c>
      <c r="DQ10" s="9">
        <v>100.3</v>
      </c>
      <c r="DR10" s="9">
        <v>100.5</v>
      </c>
      <c r="DS10" s="9">
        <v>100.8</v>
      </c>
      <c r="DT10" s="9">
        <v>100.9</v>
      </c>
      <c r="DU10" s="9">
        <v>100.6</v>
      </c>
      <c r="DV10" s="9">
        <v>100.5</v>
      </c>
      <c r="DW10" s="9">
        <v>100.9</v>
      </c>
      <c r="DX10" s="9">
        <v>100.6</v>
      </c>
      <c r="DY10" s="9">
        <v>100.7</v>
      </c>
      <c r="DZ10" s="9">
        <v>101</v>
      </c>
      <c r="EA10" s="9">
        <v>100.8</v>
      </c>
      <c r="EB10" s="9">
        <v>100.2</v>
      </c>
      <c r="EC10" s="9">
        <v>100.7</v>
      </c>
      <c r="ED10" s="9">
        <v>100.5</v>
      </c>
      <c r="EE10" s="9">
        <v>100.9</v>
      </c>
      <c r="EF10" s="9">
        <v>100.6</v>
      </c>
      <c r="EG10" s="9">
        <v>100.7</v>
      </c>
      <c r="EH10" s="9">
        <v>100.6</v>
      </c>
      <c r="EI10" s="9">
        <v>102.8</v>
      </c>
      <c r="EJ10" s="9">
        <v>101.9</v>
      </c>
      <c r="EK10" s="9">
        <v>101.9</v>
      </c>
      <c r="EL10" s="9">
        <v>101.8</v>
      </c>
      <c r="EM10" s="9">
        <v>101.4</v>
      </c>
      <c r="EN10" s="9">
        <v>101.1</v>
      </c>
      <c r="EO10" s="9">
        <v>101.6</v>
      </c>
      <c r="EP10" s="9">
        <v>101.7</v>
      </c>
      <c r="EQ10" s="9">
        <v>101.3</v>
      </c>
      <c r="ER10" s="9">
        <v>101.8</v>
      </c>
      <c r="ES10" s="9">
        <v>101</v>
      </c>
      <c r="ET10" s="9">
        <v>100.8</v>
      </c>
      <c r="EU10" s="9">
        <v>100.7</v>
      </c>
      <c r="EV10" s="9">
        <v>101.2</v>
      </c>
      <c r="EW10" s="9">
        <v>100.7</v>
      </c>
      <c r="EX10" s="9">
        <v>100.4</v>
      </c>
      <c r="EY10" s="9">
        <v>100.6</v>
      </c>
      <c r="EZ10" s="9">
        <v>100.2</v>
      </c>
      <c r="FA10" s="9">
        <v>100.5</v>
      </c>
      <c r="FB10" s="9">
        <v>100.8</v>
      </c>
      <c r="FC10" s="9">
        <v>101</v>
      </c>
      <c r="FD10" s="9">
        <v>101</v>
      </c>
      <c r="FE10" s="9">
        <v>100.8</v>
      </c>
      <c r="FF10" s="9">
        <v>100.7</v>
      </c>
      <c r="FG10" s="9">
        <v>100.5</v>
      </c>
      <c r="FH10" s="9">
        <v>100.7</v>
      </c>
      <c r="FI10" s="9">
        <v>100.5</v>
      </c>
      <c r="FJ10" s="9">
        <v>100.7</v>
      </c>
      <c r="FK10" s="9">
        <v>100.8</v>
      </c>
      <c r="FL10" s="9">
        <v>100.6</v>
      </c>
      <c r="FM10" s="9">
        <v>100.4</v>
      </c>
      <c r="FN10" s="9">
        <v>101.3</v>
      </c>
      <c r="FO10" s="9">
        <v>100.5</v>
      </c>
      <c r="FP10" s="9">
        <v>100.8</v>
      </c>
      <c r="FQ10" s="9">
        <v>101.7</v>
      </c>
      <c r="FR10" s="9">
        <v>101.5</v>
      </c>
      <c r="FS10" s="9">
        <v>100.8</v>
      </c>
      <c r="FT10" s="9">
        <v>101</v>
      </c>
      <c r="FU10" s="9">
        <v>101.4</v>
      </c>
      <c r="FV10" s="9">
        <v>100.8</v>
      </c>
      <c r="FW10" s="9">
        <v>100.3</v>
      </c>
      <c r="FX10" s="9">
        <v>101.4</v>
      </c>
      <c r="FY10" s="9">
        <v>101.3</v>
      </c>
      <c r="FZ10" s="9">
        <v>100.5</v>
      </c>
      <c r="GA10" s="9">
        <v>100.1</v>
      </c>
      <c r="GB10" s="9">
        <v>100.5</v>
      </c>
      <c r="GC10" s="9">
        <v>101.4</v>
      </c>
      <c r="GD10" s="9">
        <v>101.1</v>
      </c>
      <c r="GE10" s="9">
        <v>100.5</v>
      </c>
      <c r="GF10" s="9">
        <v>101.1</v>
      </c>
      <c r="GG10" s="9">
        <v>100.4</v>
      </c>
      <c r="GH10" s="9">
        <v>101.1</v>
      </c>
      <c r="GI10" s="9">
        <v>100.5</v>
      </c>
      <c r="GJ10" s="10"/>
    </row>
    <row r="11" customHeight="1" spans="1:192">
      <c r="A11" s="8" t="s">
        <v>202</v>
      </c>
      <c r="B11" s="8" t="s">
        <v>194</v>
      </c>
      <c r="C11" s="8" t="s">
        <v>195</v>
      </c>
      <c r="D11" s="8"/>
      <c r="E11" s="9">
        <v>101.5</v>
      </c>
      <c r="F11" s="9">
        <v>101.3</v>
      </c>
      <c r="G11" s="9">
        <v>101</v>
      </c>
      <c r="H11" s="9">
        <v>100.2</v>
      </c>
      <c r="I11" s="9">
        <v>100.4</v>
      </c>
      <c r="J11" s="9">
        <v>100.4</v>
      </c>
      <c r="K11" s="9">
        <v>100.3</v>
      </c>
      <c r="L11" s="9">
        <v>100.5</v>
      </c>
      <c r="M11" s="9">
        <v>100.4</v>
      </c>
      <c r="N11" s="9">
        <v>100.1</v>
      </c>
      <c r="O11" s="9">
        <v>100.5</v>
      </c>
      <c r="P11" s="9">
        <v>100.1</v>
      </c>
      <c r="Q11" s="9">
        <v>100.5</v>
      </c>
      <c r="R11" s="9">
        <v>100.3</v>
      </c>
      <c r="S11" s="9">
        <v>100.3</v>
      </c>
      <c r="T11" s="9">
        <v>100.4</v>
      </c>
      <c r="U11" s="9">
        <v>100.4</v>
      </c>
      <c r="V11" s="9">
        <v>100.3</v>
      </c>
      <c r="W11" s="9">
        <v>100.4</v>
      </c>
      <c r="X11" s="9">
        <v>100.2</v>
      </c>
      <c r="Y11" s="9">
        <v>100.5</v>
      </c>
      <c r="Z11" s="9">
        <v>101.1</v>
      </c>
      <c r="AA11" s="9">
        <v>100.5</v>
      </c>
      <c r="AB11" s="9">
        <v>100.6</v>
      </c>
      <c r="AC11" s="9">
        <v>100.8</v>
      </c>
      <c r="AD11" s="9">
        <v>100.8</v>
      </c>
      <c r="AE11" s="9">
        <v>99.9</v>
      </c>
      <c r="AF11" s="9">
        <v>100.1</v>
      </c>
      <c r="AG11" s="9">
        <v>100.2</v>
      </c>
      <c r="AH11" s="9">
        <v>100.3</v>
      </c>
      <c r="AI11" s="9">
        <v>100.2</v>
      </c>
      <c r="AJ11" s="9">
        <v>100.5</v>
      </c>
      <c r="AK11" s="9">
        <v>100.3</v>
      </c>
      <c r="AL11" s="9">
        <v>100.2</v>
      </c>
      <c r="AM11" s="9">
        <v>100.5</v>
      </c>
      <c r="AN11" s="9">
        <v>100.4</v>
      </c>
      <c r="AO11" s="9">
        <v>100.4</v>
      </c>
      <c r="AP11" s="9">
        <v>101.3</v>
      </c>
      <c r="AQ11" s="9">
        <v>101.3</v>
      </c>
      <c r="AR11" s="9">
        <v>100.5</v>
      </c>
      <c r="AS11" s="9">
        <v>100.5</v>
      </c>
      <c r="AT11" s="9">
        <v>100.4</v>
      </c>
      <c r="AU11" s="9">
        <v>99.8</v>
      </c>
      <c r="AV11" s="9">
        <v>100.8</v>
      </c>
      <c r="AW11" s="9">
        <v>100.9</v>
      </c>
      <c r="AX11" s="9">
        <v>100.5</v>
      </c>
      <c r="AY11" s="9">
        <v>100.3</v>
      </c>
      <c r="AZ11" s="9">
        <v>100.4</v>
      </c>
      <c r="BA11" s="9">
        <v>100.3</v>
      </c>
      <c r="BB11" s="9">
        <v>100.3</v>
      </c>
      <c r="BC11" s="9">
        <v>100.4</v>
      </c>
      <c r="BD11" s="9">
        <v>100.2</v>
      </c>
      <c r="BE11" s="9">
        <v>100</v>
      </c>
      <c r="BF11" s="9">
        <v>100</v>
      </c>
      <c r="BG11" s="9">
        <v>99.9</v>
      </c>
      <c r="BH11" s="9">
        <v>100.7</v>
      </c>
      <c r="BI11" s="9">
        <v>101.3</v>
      </c>
      <c r="BJ11" s="9">
        <v>104.9</v>
      </c>
      <c r="BK11" s="9">
        <v>102.6</v>
      </c>
      <c r="BL11" s="9">
        <v>101.9</v>
      </c>
      <c r="BM11" s="9">
        <v>101.2</v>
      </c>
      <c r="BN11" s="9">
        <v>101</v>
      </c>
      <c r="BO11" s="9">
        <v>100.9</v>
      </c>
      <c r="BP11" s="9">
        <v>100.5</v>
      </c>
      <c r="BQ11" s="9">
        <v>101.1</v>
      </c>
      <c r="BR11" s="9">
        <v>100.3</v>
      </c>
      <c r="BS11" s="9">
        <v>100.4</v>
      </c>
      <c r="BT11" s="9">
        <v>100.5</v>
      </c>
      <c r="BU11" s="9">
        <v>100.4</v>
      </c>
      <c r="BV11" s="9">
        <v>100.4</v>
      </c>
      <c r="BW11" s="9">
        <v>100.9</v>
      </c>
      <c r="BX11" s="9">
        <v>100.8</v>
      </c>
      <c r="BY11" s="9">
        <v>101.2</v>
      </c>
      <c r="BZ11" s="9">
        <v>100.6</v>
      </c>
      <c r="CA11" s="9">
        <v>101.1</v>
      </c>
      <c r="CB11" s="9">
        <v>100.3</v>
      </c>
      <c r="CC11" s="9">
        <v>100.4</v>
      </c>
      <c r="CD11" s="9">
        <v>100.3</v>
      </c>
      <c r="CE11" s="9">
        <v>99.8</v>
      </c>
      <c r="CF11" s="9">
        <v>100.9</v>
      </c>
      <c r="CG11" s="9">
        <v>100.1</v>
      </c>
      <c r="CH11" s="9">
        <v>101.2</v>
      </c>
      <c r="CI11" s="9">
        <v>101.7</v>
      </c>
      <c r="CJ11" s="9">
        <v>99.4</v>
      </c>
      <c r="CK11" s="9">
        <v>100.5</v>
      </c>
      <c r="CL11" s="9">
        <v>100.6</v>
      </c>
      <c r="CM11" s="9">
        <v>100.8</v>
      </c>
      <c r="CN11" s="9">
        <v>100.3</v>
      </c>
      <c r="CO11" s="9">
        <v>100.3</v>
      </c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0"/>
    </row>
    <row r="12" customHeight="1" spans="1:192">
      <c r="A12" s="8" t="s">
        <v>203</v>
      </c>
      <c r="B12" s="8" t="s">
        <v>194</v>
      </c>
      <c r="C12" s="8" t="s">
        <v>195</v>
      </c>
      <c r="D12" s="8"/>
      <c r="E12" s="9">
        <v>101.6</v>
      </c>
      <c r="F12" s="9">
        <v>101.4</v>
      </c>
      <c r="G12" s="9">
        <v>100.5</v>
      </c>
      <c r="H12" s="9">
        <v>100.4</v>
      </c>
      <c r="I12" s="9">
        <v>101.2</v>
      </c>
      <c r="J12" s="9">
        <v>100.3</v>
      </c>
      <c r="K12" s="9">
        <v>100.9</v>
      </c>
      <c r="L12" s="9">
        <v>100</v>
      </c>
      <c r="M12" s="9">
        <v>100.1</v>
      </c>
      <c r="N12" s="9">
        <v>100.2</v>
      </c>
      <c r="O12" s="9">
        <v>100.1</v>
      </c>
      <c r="P12" s="9">
        <v>100.2</v>
      </c>
      <c r="Q12" s="9">
        <v>100.2</v>
      </c>
      <c r="R12" s="9">
        <v>100.3</v>
      </c>
      <c r="S12" s="9">
        <v>100.5</v>
      </c>
      <c r="T12" s="9">
        <v>100.6</v>
      </c>
      <c r="U12" s="9">
        <v>102.2</v>
      </c>
      <c r="V12" s="9">
        <v>100.1</v>
      </c>
      <c r="W12" s="9">
        <v>100</v>
      </c>
      <c r="X12" s="9">
        <v>100.5</v>
      </c>
      <c r="Y12" s="9">
        <v>100.5</v>
      </c>
      <c r="Z12" s="9">
        <v>100.7</v>
      </c>
      <c r="AA12" s="9">
        <v>100.2</v>
      </c>
      <c r="AB12" s="9">
        <v>100.4</v>
      </c>
      <c r="AC12" s="9">
        <v>100.9</v>
      </c>
      <c r="AD12" s="9">
        <v>100.4</v>
      </c>
      <c r="AE12" s="9">
        <v>100.1</v>
      </c>
      <c r="AF12" s="9">
        <v>100.7</v>
      </c>
      <c r="AG12" s="9">
        <v>100.3</v>
      </c>
      <c r="AH12" s="9">
        <v>100.1</v>
      </c>
      <c r="AI12" s="9">
        <v>100.2</v>
      </c>
      <c r="AJ12" s="9">
        <v>100.1</v>
      </c>
      <c r="AK12" s="9">
        <v>100.3</v>
      </c>
      <c r="AL12" s="9">
        <v>100.2</v>
      </c>
      <c r="AM12" s="9">
        <v>100.4</v>
      </c>
      <c r="AN12" s="9">
        <v>101.1</v>
      </c>
      <c r="AO12" s="9">
        <v>100.3</v>
      </c>
      <c r="AP12" s="9">
        <v>100.9</v>
      </c>
      <c r="AQ12" s="9">
        <v>100.9</v>
      </c>
      <c r="AR12" s="9">
        <v>100.9</v>
      </c>
      <c r="AS12" s="9">
        <v>100.8</v>
      </c>
      <c r="AT12" s="9">
        <v>100.6</v>
      </c>
      <c r="AU12" s="9">
        <v>100.5</v>
      </c>
      <c r="AV12" s="9">
        <v>100.2</v>
      </c>
      <c r="AW12" s="9">
        <v>100.2</v>
      </c>
      <c r="AX12" s="9">
        <v>100.1</v>
      </c>
      <c r="AY12" s="9">
        <v>100.5</v>
      </c>
      <c r="AZ12" s="9">
        <v>100.8</v>
      </c>
      <c r="BA12" s="9">
        <v>100.6</v>
      </c>
      <c r="BB12" s="9">
        <v>100.1</v>
      </c>
      <c r="BC12" s="9">
        <v>100.5</v>
      </c>
      <c r="BD12" s="9">
        <v>100.4</v>
      </c>
      <c r="BE12" s="9">
        <v>100.1</v>
      </c>
      <c r="BF12" s="9">
        <v>99.8</v>
      </c>
      <c r="BG12" s="9">
        <v>100</v>
      </c>
      <c r="BH12" s="9">
        <v>100.7</v>
      </c>
      <c r="BI12" s="9">
        <v>101.8</v>
      </c>
      <c r="BJ12" s="9">
        <v>104.3</v>
      </c>
      <c r="BK12" s="9">
        <v>103.8</v>
      </c>
      <c r="BL12" s="9">
        <v>100.5</v>
      </c>
      <c r="BM12" s="9">
        <v>101.9</v>
      </c>
      <c r="BN12" s="9">
        <v>101.4</v>
      </c>
      <c r="BO12" s="9">
        <v>100.3</v>
      </c>
      <c r="BP12" s="9">
        <v>100.3</v>
      </c>
      <c r="BQ12" s="9">
        <v>100.2</v>
      </c>
      <c r="BR12" s="9">
        <v>100.3</v>
      </c>
      <c r="BS12" s="9">
        <v>101.2</v>
      </c>
      <c r="BT12" s="9">
        <v>100.3</v>
      </c>
      <c r="BU12" s="9">
        <v>99.8</v>
      </c>
      <c r="BV12" s="9">
        <v>100.2</v>
      </c>
      <c r="BW12" s="9">
        <v>101</v>
      </c>
      <c r="BX12" s="9">
        <v>102.1</v>
      </c>
      <c r="BY12" s="9">
        <v>101</v>
      </c>
      <c r="BZ12" s="9">
        <v>101.6</v>
      </c>
      <c r="CA12" s="9">
        <v>100.4</v>
      </c>
      <c r="CB12" s="9">
        <v>100.6</v>
      </c>
      <c r="CC12" s="9">
        <v>100.2</v>
      </c>
      <c r="CD12" s="9">
        <v>100.3</v>
      </c>
      <c r="CE12" s="9">
        <v>100.6</v>
      </c>
      <c r="CF12" s="9">
        <v>100.8</v>
      </c>
      <c r="CG12" s="9">
        <v>100.3</v>
      </c>
      <c r="CH12" s="9">
        <v>100.3</v>
      </c>
      <c r="CI12" s="9">
        <v>100.3</v>
      </c>
      <c r="CJ12" s="9">
        <v>100.6</v>
      </c>
      <c r="CK12" s="9">
        <v>100.4</v>
      </c>
      <c r="CL12" s="9">
        <v>100.7</v>
      </c>
      <c r="CM12" s="9">
        <v>100.4</v>
      </c>
      <c r="CN12" s="9">
        <v>100.6</v>
      </c>
      <c r="CO12" s="9">
        <v>100.7</v>
      </c>
      <c r="CP12" s="9">
        <v>100.3</v>
      </c>
      <c r="CQ12" s="9">
        <v>100.5</v>
      </c>
      <c r="CR12" s="9">
        <v>100.2</v>
      </c>
      <c r="CS12" s="9">
        <v>100.1</v>
      </c>
      <c r="CT12" s="9">
        <v>100.1</v>
      </c>
      <c r="CU12" s="9">
        <v>100.7</v>
      </c>
      <c r="CV12" s="9">
        <v>101</v>
      </c>
      <c r="CW12" s="9">
        <v>100.9</v>
      </c>
      <c r="CX12" s="9">
        <v>100.4</v>
      </c>
      <c r="CY12" s="9">
        <v>100.2</v>
      </c>
      <c r="CZ12" s="9">
        <v>100.7</v>
      </c>
      <c r="DA12" s="9">
        <v>100.5</v>
      </c>
      <c r="DB12" s="9">
        <v>100.2</v>
      </c>
      <c r="DC12" s="9">
        <v>100.2</v>
      </c>
      <c r="DD12" s="9">
        <v>100.2</v>
      </c>
      <c r="DE12" s="9">
        <v>100</v>
      </c>
      <c r="DF12" s="9">
        <v>100.7</v>
      </c>
      <c r="DG12" s="9">
        <v>100.7</v>
      </c>
      <c r="DH12" s="9">
        <v>100.6</v>
      </c>
      <c r="DI12" s="9">
        <v>100.8</v>
      </c>
      <c r="DJ12" s="9">
        <v>101</v>
      </c>
      <c r="DK12" s="9">
        <v>100.5</v>
      </c>
      <c r="DL12" s="9">
        <v>100.7</v>
      </c>
      <c r="DM12" s="9">
        <v>100.5</v>
      </c>
      <c r="DN12" s="9">
        <v>100.5</v>
      </c>
      <c r="DO12" s="9">
        <v>100.5</v>
      </c>
      <c r="DP12" s="9">
        <v>100.2</v>
      </c>
      <c r="DQ12" s="9">
        <v>100.2</v>
      </c>
      <c r="DR12" s="9">
        <v>100.7</v>
      </c>
      <c r="DS12" s="9">
        <v>101</v>
      </c>
      <c r="DT12" s="9">
        <v>101</v>
      </c>
      <c r="DU12" s="9">
        <v>100.4</v>
      </c>
      <c r="DV12" s="9">
        <v>100.9</v>
      </c>
      <c r="DW12" s="9">
        <v>100.6</v>
      </c>
      <c r="DX12" s="9">
        <v>100.9</v>
      </c>
      <c r="DY12" s="9">
        <v>100.7</v>
      </c>
      <c r="DZ12" s="9">
        <v>101.5</v>
      </c>
      <c r="EA12" s="9">
        <v>100.5</v>
      </c>
      <c r="EB12" s="9">
        <v>100.5</v>
      </c>
      <c r="EC12" s="9">
        <v>100.4</v>
      </c>
      <c r="ED12" s="9">
        <v>100.5</v>
      </c>
      <c r="EE12" s="9">
        <v>100.3</v>
      </c>
      <c r="EF12" s="9">
        <v>100.9</v>
      </c>
      <c r="EG12" s="9">
        <v>100.7</v>
      </c>
      <c r="EH12" s="9">
        <v>100.7</v>
      </c>
      <c r="EI12" s="9">
        <v>102.6</v>
      </c>
      <c r="EJ12" s="9">
        <v>102.1</v>
      </c>
      <c r="EK12" s="9">
        <v>101.7</v>
      </c>
      <c r="EL12" s="9">
        <v>102.4</v>
      </c>
      <c r="EM12" s="9">
        <v>102.1</v>
      </c>
      <c r="EN12" s="9">
        <v>100.9</v>
      </c>
      <c r="EO12" s="9">
        <v>100.9</v>
      </c>
      <c r="EP12" s="9">
        <v>101</v>
      </c>
      <c r="EQ12" s="9">
        <v>101.5</v>
      </c>
      <c r="ER12" s="9">
        <v>101.5</v>
      </c>
      <c r="ES12" s="9">
        <v>100.8</v>
      </c>
      <c r="ET12" s="9">
        <v>101.1</v>
      </c>
      <c r="EU12" s="9">
        <v>100.9</v>
      </c>
      <c r="EV12" s="9">
        <v>100.9</v>
      </c>
      <c r="EW12" s="9">
        <v>100.8</v>
      </c>
      <c r="EX12" s="9">
        <v>100.5</v>
      </c>
      <c r="EY12" s="9">
        <v>100.4</v>
      </c>
      <c r="EZ12" s="9">
        <v>100.2</v>
      </c>
      <c r="FA12" s="9">
        <v>100.8</v>
      </c>
      <c r="FB12" s="9">
        <v>100.8</v>
      </c>
      <c r="FC12" s="9">
        <v>100.7</v>
      </c>
      <c r="FD12" s="9">
        <v>101.4</v>
      </c>
      <c r="FE12" s="9">
        <v>101.2</v>
      </c>
      <c r="FF12" s="9">
        <v>100.9</v>
      </c>
      <c r="FG12" s="9">
        <v>100.3</v>
      </c>
      <c r="FH12" s="9">
        <v>100.6</v>
      </c>
      <c r="FI12" s="9">
        <v>100.5</v>
      </c>
      <c r="FJ12" s="9">
        <v>100.5</v>
      </c>
      <c r="FK12" s="9">
        <v>100.6</v>
      </c>
      <c r="FL12" s="9">
        <v>100.8</v>
      </c>
      <c r="FM12" s="9">
        <v>100.3</v>
      </c>
      <c r="FN12" s="9">
        <v>100.7</v>
      </c>
      <c r="FO12" s="9">
        <v>100.7</v>
      </c>
      <c r="FP12" s="9">
        <v>100.8</v>
      </c>
      <c r="FQ12" s="9">
        <v>102.2</v>
      </c>
      <c r="FR12" s="9">
        <v>100.8</v>
      </c>
      <c r="FS12" s="9">
        <v>101</v>
      </c>
      <c r="FT12" s="9">
        <v>101</v>
      </c>
      <c r="FU12" s="9">
        <v>101.1</v>
      </c>
      <c r="FV12" s="9">
        <v>101.2</v>
      </c>
      <c r="FW12" s="9">
        <v>100.7</v>
      </c>
      <c r="FX12" s="9">
        <v>101.8</v>
      </c>
      <c r="FY12" s="9">
        <v>100.9</v>
      </c>
      <c r="FZ12" s="9">
        <v>101</v>
      </c>
      <c r="GA12" s="9">
        <v>100.4</v>
      </c>
      <c r="GB12" s="9">
        <v>100.8</v>
      </c>
      <c r="GC12" s="9">
        <v>100.9</v>
      </c>
      <c r="GD12" s="9">
        <v>101.2</v>
      </c>
      <c r="GE12" s="9">
        <v>100.8</v>
      </c>
      <c r="GF12" s="9">
        <v>100.7</v>
      </c>
      <c r="GG12" s="9">
        <v>101</v>
      </c>
      <c r="GH12" s="9">
        <v>101</v>
      </c>
      <c r="GI12" s="9">
        <v>100.6</v>
      </c>
      <c r="GJ12" s="10"/>
    </row>
    <row r="13" customHeight="1" spans="1:192">
      <c r="A13" s="8" t="s">
        <v>204</v>
      </c>
      <c r="B13" s="8" t="s">
        <v>194</v>
      </c>
      <c r="C13" s="8" t="s">
        <v>195</v>
      </c>
      <c r="D13" s="8"/>
      <c r="E13" s="9">
        <v>102.4</v>
      </c>
      <c r="F13" s="9">
        <v>100.9</v>
      </c>
      <c r="G13" s="9">
        <v>100.6</v>
      </c>
      <c r="H13" s="9">
        <v>100.4</v>
      </c>
      <c r="I13" s="9">
        <v>100.4</v>
      </c>
      <c r="J13" s="9">
        <v>100.2</v>
      </c>
      <c r="K13" s="9">
        <v>100.6</v>
      </c>
      <c r="L13" s="9">
        <v>100.4</v>
      </c>
      <c r="M13" s="9">
        <v>100.5</v>
      </c>
      <c r="N13" s="9">
        <v>100</v>
      </c>
      <c r="O13" s="9">
        <v>100.1</v>
      </c>
      <c r="P13" s="9">
        <v>100.3</v>
      </c>
      <c r="Q13" s="9">
        <v>100.1</v>
      </c>
      <c r="R13" s="9">
        <v>100.3</v>
      </c>
      <c r="S13" s="9">
        <v>100.5</v>
      </c>
      <c r="T13" s="9">
        <v>100.5</v>
      </c>
      <c r="U13" s="9">
        <v>100.4</v>
      </c>
      <c r="V13" s="9">
        <v>100.9</v>
      </c>
      <c r="W13" s="9">
        <v>100.1</v>
      </c>
      <c r="X13" s="9">
        <v>100.4</v>
      </c>
      <c r="Y13" s="9">
        <v>100.6</v>
      </c>
      <c r="Z13" s="9">
        <v>100.3</v>
      </c>
      <c r="AA13" s="9">
        <v>101.2</v>
      </c>
      <c r="AB13" s="9">
        <v>100.5</v>
      </c>
      <c r="AC13" s="9">
        <v>100.5</v>
      </c>
      <c r="AD13" s="9">
        <v>100.6</v>
      </c>
      <c r="AE13" s="9">
        <v>100.1</v>
      </c>
      <c r="AF13" s="9">
        <v>100.3</v>
      </c>
      <c r="AG13" s="9">
        <v>100.3</v>
      </c>
      <c r="AH13" s="9">
        <v>100.2</v>
      </c>
      <c r="AI13" s="9">
        <v>100.3</v>
      </c>
      <c r="AJ13" s="9">
        <v>100.3</v>
      </c>
      <c r="AK13" s="9">
        <v>100.1</v>
      </c>
      <c r="AL13" s="9">
        <v>100.2</v>
      </c>
      <c r="AM13" s="9">
        <v>100.2</v>
      </c>
      <c r="AN13" s="9">
        <v>100.2</v>
      </c>
      <c r="AO13" s="9">
        <v>100.4</v>
      </c>
      <c r="AP13" s="9">
        <v>101.3</v>
      </c>
      <c r="AQ13" s="9">
        <v>100.9</v>
      </c>
      <c r="AR13" s="9">
        <v>101.1</v>
      </c>
      <c r="AS13" s="9">
        <v>100.8</v>
      </c>
      <c r="AT13" s="9">
        <v>100.5</v>
      </c>
      <c r="AU13" s="9">
        <v>100.3</v>
      </c>
      <c r="AV13" s="9">
        <v>100.2</v>
      </c>
      <c r="AW13" s="9">
        <v>100.4</v>
      </c>
      <c r="AX13" s="9">
        <v>100.5</v>
      </c>
      <c r="AY13" s="9">
        <v>100.4</v>
      </c>
      <c r="AZ13" s="9">
        <v>100.1</v>
      </c>
      <c r="BA13" s="9">
        <v>100.5</v>
      </c>
      <c r="BB13" s="9">
        <v>101.2</v>
      </c>
      <c r="BC13" s="9">
        <v>100.1</v>
      </c>
      <c r="BD13" s="9">
        <v>100.2</v>
      </c>
      <c r="BE13" s="9">
        <v>100.3</v>
      </c>
      <c r="BF13" s="9">
        <v>99.9</v>
      </c>
      <c r="BG13" s="9">
        <v>100.1</v>
      </c>
      <c r="BH13" s="9">
        <v>100.9</v>
      </c>
      <c r="BI13" s="9">
        <v>101.2</v>
      </c>
      <c r="BJ13" s="9">
        <v>104.4</v>
      </c>
      <c r="BK13" s="9">
        <v>106.7</v>
      </c>
      <c r="BL13" s="9">
        <v>100.7</v>
      </c>
      <c r="BM13" s="9">
        <v>101</v>
      </c>
      <c r="BN13" s="9">
        <v>101.8</v>
      </c>
      <c r="BO13" s="9">
        <v>100.6</v>
      </c>
      <c r="BP13" s="9">
        <v>101</v>
      </c>
      <c r="BQ13" s="9">
        <v>100.7</v>
      </c>
      <c r="BR13" s="9">
        <v>100.2</v>
      </c>
      <c r="BS13" s="9">
        <v>100.2</v>
      </c>
      <c r="BT13" s="9">
        <v>100.3</v>
      </c>
      <c r="BU13" s="9">
        <v>101.2</v>
      </c>
      <c r="BV13" s="9">
        <v>100.2</v>
      </c>
      <c r="BW13" s="9">
        <v>100.6</v>
      </c>
      <c r="BX13" s="9">
        <v>100.8</v>
      </c>
      <c r="BY13" s="9">
        <v>100.6</v>
      </c>
      <c r="BZ13" s="9">
        <v>100.5</v>
      </c>
      <c r="CA13" s="9">
        <v>100.2</v>
      </c>
      <c r="CB13" s="9">
        <v>100.5</v>
      </c>
      <c r="CC13" s="9">
        <v>100.4</v>
      </c>
      <c r="CD13" s="9">
        <v>100.7</v>
      </c>
      <c r="CE13" s="9">
        <v>100.6</v>
      </c>
      <c r="CF13" s="9">
        <v>100.3</v>
      </c>
      <c r="CG13" s="9">
        <v>100</v>
      </c>
      <c r="CH13" s="9">
        <v>101.6</v>
      </c>
      <c r="CI13" s="9">
        <v>100.6</v>
      </c>
      <c r="CJ13" s="9">
        <v>100.8</v>
      </c>
      <c r="CK13" s="9">
        <v>100.9</v>
      </c>
      <c r="CL13" s="9">
        <v>100.3</v>
      </c>
      <c r="CM13" s="9">
        <v>100.4</v>
      </c>
      <c r="CN13" s="9">
        <v>100.2</v>
      </c>
      <c r="CO13" s="9">
        <v>100.4</v>
      </c>
      <c r="CP13" s="9">
        <v>100.8</v>
      </c>
      <c r="CQ13" s="9">
        <v>100.4</v>
      </c>
      <c r="CR13" s="9">
        <v>100.3</v>
      </c>
      <c r="CS13" s="9">
        <v>100.3</v>
      </c>
      <c r="CT13" s="9">
        <v>99.9</v>
      </c>
      <c r="CU13" s="9">
        <v>100.8</v>
      </c>
      <c r="CV13" s="9">
        <v>100.6</v>
      </c>
      <c r="CW13" s="9">
        <v>100.7</v>
      </c>
      <c r="CX13" s="9">
        <v>100.3</v>
      </c>
      <c r="CY13" s="9">
        <v>100.4</v>
      </c>
      <c r="CZ13" s="9">
        <v>100.7</v>
      </c>
      <c r="DA13" s="9">
        <v>100.4</v>
      </c>
      <c r="DB13" s="9">
        <v>100.4</v>
      </c>
      <c r="DC13" s="9">
        <v>100.3</v>
      </c>
      <c r="DD13" s="9">
        <v>100.3</v>
      </c>
      <c r="DE13" s="9">
        <v>100.5</v>
      </c>
      <c r="DF13" s="9">
        <v>100.4</v>
      </c>
      <c r="DG13" s="9">
        <v>100.8</v>
      </c>
      <c r="DH13" s="9">
        <v>100.4</v>
      </c>
      <c r="DI13" s="9">
        <v>100.4</v>
      </c>
      <c r="DJ13" s="9">
        <v>100.6</v>
      </c>
      <c r="DK13" s="9">
        <v>101.6</v>
      </c>
      <c r="DL13" s="9">
        <v>100.9</v>
      </c>
      <c r="DM13" s="9">
        <v>100.6</v>
      </c>
      <c r="DN13" s="9">
        <v>100.5</v>
      </c>
      <c r="DO13" s="9">
        <v>100.4</v>
      </c>
      <c r="DP13" s="9">
        <v>100.1</v>
      </c>
      <c r="DQ13" s="9">
        <v>100.4</v>
      </c>
      <c r="DR13" s="9">
        <v>100.5</v>
      </c>
      <c r="DS13" s="9">
        <v>100.9</v>
      </c>
      <c r="DT13" s="9">
        <v>100.7</v>
      </c>
      <c r="DU13" s="9">
        <v>101.2</v>
      </c>
      <c r="DV13" s="9">
        <v>100.6</v>
      </c>
      <c r="DW13" s="9">
        <v>100.6</v>
      </c>
      <c r="DX13" s="9">
        <v>101.1</v>
      </c>
      <c r="DY13" s="9">
        <v>101</v>
      </c>
      <c r="DZ13" s="9">
        <v>101</v>
      </c>
      <c r="EA13" s="9">
        <v>100.6</v>
      </c>
      <c r="EB13" s="9">
        <v>100.6</v>
      </c>
      <c r="EC13" s="9">
        <v>100.5</v>
      </c>
      <c r="ED13" s="9">
        <v>100.6</v>
      </c>
      <c r="EE13" s="9">
        <v>100.4</v>
      </c>
      <c r="EF13" s="9">
        <v>100.5</v>
      </c>
      <c r="EG13" s="9">
        <v>100.8</v>
      </c>
      <c r="EH13" s="9">
        <v>100.6</v>
      </c>
      <c r="EI13" s="9">
        <v>103.5</v>
      </c>
      <c r="EJ13" s="9">
        <v>102.9</v>
      </c>
      <c r="EK13" s="9">
        <v>102.2</v>
      </c>
      <c r="EL13" s="9">
        <v>102.6</v>
      </c>
      <c r="EM13" s="9">
        <v>101.4</v>
      </c>
      <c r="EN13" s="9">
        <v>101.8</v>
      </c>
      <c r="EO13" s="9">
        <v>102.4</v>
      </c>
      <c r="EP13" s="9">
        <v>101.5</v>
      </c>
      <c r="EQ13" s="9">
        <v>101.3</v>
      </c>
      <c r="ER13" s="9">
        <v>100.7</v>
      </c>
      <c r="ES13" s="9">
        <v>100.9</v>
      </c>
      <c r="ET13" s="9">
        <v>101.4</v>
      </c>
      <c r="EU13" s="9">
        <v>100.7</v>
      </c>
      <c r="EV13" s="9">
        <v>100.7</v>
      </c>
      <c r="EW13" s="9">
        <v>100.9</v>
      </c>
      <c r="EX13" s="9">
        <v>100.9</v>
      </c>
      <c r="EY13" s="9">
        <v>100.5</v>
      </c>
      <c r="EZ13" s="9">
        <v>100.6</v>
      </c>
      <c r="FA13" s="9">
        <v>100.4</v>
      </c>
      <c r="FB13" s="9">
        <v>100.9</v>
      </c>
      <c r="FC13" s="9">
        <v>101.4</v>
      </c>
      <c r="FD13" s="9">
        <v>101</v>
      </c>
      <c r="FE13" s="9">
        <v>100.8</v>
      </c>
      <c r="FF13" s="9">
        <v>100.8</v>
      </c>
      <c r="FG13" s="9">
        <v>100.8</v>
      </c>
      <c r="FH13" s="9">
        <v>101</v>
      </c>
      <c r="FI13" s="9">
        <v>100.6</v>
      </c>
      <c r="FJ13" s="9">
        <v>100.9</v>
      </c>
      <c r="FK13" s="9">
        <v>100.6</v>
      </c>
      <c r="FL13" s="9">
        <v>100.3</v>
      </c>
      <c r="FM13" s="9">
        <v>100.1</v>
      </c>
      <c r="FN13" s="9">
        <v>100.8</v>
      </c>
      <c r="FO13" s="9">
        <v>101.1</v>
      </c>
      <c r="FP13" s="9">
        <v>100.8</v>
      </c>
      <c r="FQ13" s="9">
        <v>100.8</v>
      </c>
      <c r="FR13" s="9">
        <v>101.7</v>
      </c>
      <c r="FS13" s="9">
        <v>100.4</v>
      </c>
      <c r="FT13" s="9">
        <v>101.4</v>
      </c>
      <c r="FU13" s="9">
        <v>100.6</v>
      </c>
      <c r="FV13" s="9">
        <v>100.6</v>
      </c>
      <c r="FW13" s="9">
        <v>101</v>
      </c>
      <c r="FX13" s="9">
        <v>101.2</v>
      </c>
      <c r="FY13" s="9">
        <v>101.1</v>
      </c>
      <c r="FZ13" s="9">
        <v>100.9</v>
      </c>
      <c r="GA13" s="9">
        <v>100.6</v>
      </c>
      <c r="GB13" s="9">
        <v>101</v>
      </c>
      <c r="GC13" s="9">
        <v>101</v>
      </c>
      <c r="GD13" s="9">
        <v>101.4</v>
      </c>
      <c r="GE13" s="9">
        <v>100.7</v>
      </c>
      <c r="GF13" s="9">
        <v>100.9</v>
      </c>
      <c r="GG13" s="9">
        <v>100.6</v>
      </c>
      <c r="GH13" s="9">
        <v>100.4</v>
      </c>
      <c r="GI13" s="9">
        <v>100.7</v>
      </c>
      <c r="GJ13" s="10"/>
    </row>
    <row r="14" customHeight="1" spans="1:192">
      <c r="A14" s="8" t="s">
        <v>205</v>
      </c>
      <c r="B14" s="8" t="s">
        <v>194</v>
      </c>
      <c r="C14" s="8" t="s">
        <v>195</v>
      </c>
      <c r="D14" s="8"/>
      <c r="E14" s="9">
        <v>101.4</v>
      </c>
      <c r="F14" s="9">
        <v>102.3</v>
      </c>
      <c r="G14" s="9">
        <v>100</v>
      </c>
      <c r="H14" s="9">
        <v>100.4</v>
      </c>
      <c r="I14" s="9">
        <v>100.4</v>
      </c>
      <c r="J14" s="9">
        <v>100.3</v>
      </c>
      <c r="K14" s="9">
        <v>100.6</v>
      </c>
      <c r="L14" s="9">
        <v>100.3</v>
      </c>
      <c r="M14" s="9">
        <v>100.1</v>
      </c>
      <c r="N14" s="9">
        <v>100.2</v>
      </c>
      <c r="O14" s="9">
        <v>101.2</v>
      </c>
      <c r="P14" s="9">
        <v>99.6</v>
      </c>
      <c r="Q14" s="9">
        <v>100.2</v>
      </c>
      <c r="R14" s="9">
        <v>100.3</v>
      </c>
      <c r="S14" s="9">
        <v>100.3</v>
      </c>
      <c r="T14" s="9">
        <v>100.6</v>
      </c>
      <c r="U14" s="9">
        <v>100.5</v>
      </c>
      <c r="V14" s="9">
        <v>100.3</v>
      </c>
      <c r="W14" s="9">
        <v>100.1</v>
      </c>
      <c r="X14" s="9">
        <v>100.2</v>
      </c>
      <c r="Y14" s="9">
        <v>100.5</v>
      </c>
      <c r="Z14" s="9">
        <v>101.3</v>
      </c>
      <c r="AA14" s="9">
        <v>101.2</v>
      </c>
      <c r="AB14" s="9">
        <v>100.1</v>
      </c>
      <c r="AC14" s="9">
        <v>100.5</v>
      </c>
      <c r="AD14" s="9">
        <v>100.6</v>
      </c>
      <c r="AE14" s="9">
        <v>100.7</v>
      </c>
      <c r="AF14" s="9">
        <v>100.3</v>
      </c>
      <c r="AG14" s="9">
        <v>100.3</v>
      </c>
      <c r="AH14" s="9">
        <v>100.1</v>
      </c>
      <c r="AI14" s="9">
        <v>100.1</v>
      </c>
      <c r="AJ14" s="9">
        <v>100.1</v>
      </c>
      <c r="AK14" s="9">
        <v>100.8</v>
      </c>
      <c r="AL14" s="9">
        <v>100.2</v>
      </c>
      <c r="AM14" s="9">
        <v>100.6</v>
      </c>
      <c r="AN14" s="9">
        <v>100.4</v>
      </c>
      <c r="AO14" s="9">
        <v>100.6</v>
      </c>
      <c r="AP14" s="9">
        <v>101.3</v>
      </c>
      <c r="AQ14" s="9">
        <v>100.6</v>
      </c>
      <c r="AR14" s="9">
        <v>100.9</v>
      </c>
      <c r="AS14" s="9">
        <v>100.4</v>
      </c>
      <c r="AT14" s="9">
        <v>100.2</v>
      </c>
      <c r="AU14" s="9">
        <v>100.3</v>
      </c>
      <c r="AV14" s="9">
        <v>100.7</v>
      </c>
      <c r="AW14" s="9">
        <v>100.6</v>
      </c>
      <c r="AX14" s="9">
        <v>100.2</v>
      </c>
      <c r="AY14" s="9">
        <v>100.4</v>
      </c>
      <c r="AZ14" s="9">
        <v>100.5</v>
      </c>
      <c r="BA14" s="9">
        <v>101.1</v>
      </c>
      <c r="BB14" s="9">
        <v>100.3</v>
      </c>
      <c r="BC14" s="9">
        <v>99.5</v>
      </c>
      <c r="BD14" s="9">
        <v>99.8</v>
      </c>
      <c r="BE14" s="9">
        <v>100.4</v>
      </c>
      <c r="BF14" s="9">
        <v>99.9</v>
      </c>
      <c r="BG14" s="9">
        <v>100</v>
      </c>
      <c r="BH14" s="9">
        <v>100.2</v>
      </c>
      <c r="BI14" s="9">
        <v>101.2</v>
      </c>
      <c r="BJ14" s="9">
        <v>104.8</v>
      </c>
      <c r="BK14" s="9">
        <v>102.7</v>
      </c>
      <c r="BL14" s="9">
        <v>102.6</v>
      </c>
      <c r="BM14" s="9">
        <v>101.9</v>
      </c>
      <c r="BN14" s="9">
        <v>100.4</v>
      </c>
      <c r="BO14" s="9">
        <v>100.1</v>
      </c>
      <c r="BP14" s="9">
        <v>100.8</v>
      </c>
      <c r="BQ14" s="9">
        <v>100.5</v>
      </c>
      <c r="BR14" s="9">
        <v>100.7</v>
      </c>
      <c r="BS14" s="9">
        <v>100.1</v>
      </c>
      <c r="BT14" s="9">
        <v>100.1</v>
      </c>
      <c r="BU14" s="9">
        <v>100.1</v>
      </c>
      <c r="BV14" s="9">
        <v>100.5</v>
      </c>
      <c r="BW14" s="9">
        <v>101.4</v>
      </c>
      <c r="BX14" s="9">
        <v>101.2</v>
      </c>
      <c r="BY14" s="9">
        <v>100.5</v>
      </c>
      <c r="BZ14" s="9">
        <v>100.6</v>
      </c>
      <c r="CA14" s="9">
        <v>100.4</v>
      </c>
      <c r="CB14" s="9">
        <v>100.3</v>
      </c>
      <c r="CC14" s="9">
        <v>100.9</v>
      </c>
      <c r="CD14" s="9">
        <v>100.4</v>
      </c>
      <c r="CE14" s="9">
        <v>99.8</v>
      </c>
      <c r="CF14" s="9">
        <v>100</v>
      </c>
      <c r="CG14" s="9">
        <v>100.7</v>
      </c>
      <c r="CH14" s="9">
        <v>101.4</v>
      </c>
      <c r="CI14" s="9">
        <v>100.3</v>
      </c>
      <c r="CJ14" s="9">
        <v>101.1</v>
      </c>
      <c r="CK14" s="9">
        <v>101.3</v>
      </c>
      <c r="CL14" s="9">
        <v>100</v>
      </c>
      <c r="CM14" s="9">
        <v>100.3</v>
      </c>
      <c r="CN14" s="9">
        <v>100.4</v>
      </c>
      <c r="CO14" s="9">
        <v>100</v>
      </c>
      <c r="CP14" s="9">
        <v>100.4</v>
      </c>
      <c r="CQ14" s="9">
        <v>100.1</v>
      </c>
      <c r="CR14" s="9">
        <v>100.2</v>
      </c>
      <c r="CS14" s="9">
        <v>100.3</v>
      </c>
      <c r="CT14" s="9">
        <v>100.6</v>
      </c>
      <c r="CU14" s="9">
        <v>100.6</v>
      </c>
      <c r="CV14" s="9">
        <v>100.8</v>
      </c>
      <c r="CW14" s="9">
        <v>100.3</v>
      </c>
      <c r="CX14" s="9">
        <v>100.1</v>
      </c>
      <c r="CY14" s="9">
        <v>100.6</v>
      </c>
      <c r="CZ14" s="9">
        <v>100.5</v>
      </c>
      <c r="DA14" s="9">
        <v>100.8</v>
      </c>
      <c r="DB14" s="9">
        <v>100.2</v>
      </c>
      <c r="DC14" s="9">
        <v>100.1</v>
      </c>
      <c r="DD14" s="9">
        <v>100.1</v>
      </c>
      <c r="DE14" s="9">
        <v>100.3</v>
      </c>
      <c r="DF14" s="9">
        <v>100.7</v>
      </c>
      <c r="DG14" s="9">
        <v>100.7</v>
      </c>
      <c r="DH14" s="9">
        <v>100.9</v>
      </c>
      <c r="DI14" s="9">
        <v>100.6</v>
      </c>
      <c r="DJ14" s="9">
        <v>100.5</v>
      </c>
      <c r="DK14" s="9">
        <v>100.8</v>
      </c>
      <c r="DL14" s="9">
        <v>100.9</v>
      </c>
      <c r="DM14" s="9">
        <v>100.5</v>
      </c>
      <c r="DN14" s="9">
        <v>100.5</v>
      </c>
      <c r="DO14" s="9">
        <v>100.4</v>
      </c>
      <c r="DP14" s="9">
        <v>100</v>
      </c>
      <c r="DQ14" s="9">
        <v>100.2</v>
      </c>
      <c r="DR14" s="9">
        <v>100.6</v>
      </c>
      <c r="DS14" s="9">
        <v>100.8</v>
      </c>
      <c r="DT14" s="9">
        <v>101</v>
      </c>
      <c r="DU14" s="9">
        <v>100.5</v>
      </c>
      <c r="DV14" s="9">
        <v>100.6</v>
      </c>
      <c r="DW14" s="9">
        <v>100.6</v>
      </c>
      <c r="DX14" s="9">
        <v>100.9</v>
      </c>
      <c r="DY14" s="9">
        <v>100.7</v>
      </c>
      <c r="DZ14" s="9">
        <v>101</v>
      </c>
      <c r="EA14" s="9">
        <v>101</v>
      </c>
      <c r="EB14" s="9">
        <v>100.4</v>
      </c>
      <c r="EC14" s="9">
        <v>100</v>
      </c>
      <c r="ED14" s="9">
        <v>100.6</v>
      </c>
      <c r="EE14" s="9">
        <v>100.8</v>
      </c>
      <c r="EF14" s="9">
        <v>100.9</v>
      </c>
      <c r="EG14" s="9">
        <v>100.5</v>
      </c>
      <c r="EH14" s="9">
        <v>100.7</v>
      </c>
      <c r="EI14" s="9">
        <v>103.7</v>
      </c>
      <c r="EJ14" s="9">
        <v>101.5</v>
      </c>
      <c r="EK14" s="9">
        <v>101.6</v>
      </c>
      <c r="EL14" s="9">
        <v>101.8</v>
      </c>
      <c r="EM14" s="9">
        <v>100.6</v>
      </c>
      <c r="EN14" s="9">
        <v>100.9</v>
      </c>
      <c r="EO14" s="9">
        <v>101.8</v>
      </c>
      <c r="EP14" s="9">
        <v>101.5</v>
      </c>
      <c r="EQ14" s="9">
        <v>101.5</v>
      </c>
      <c r="ER14" s="9">
        <v>101</v>
      </c>
      <c r="ES14" s="9">
        <v>100.7</v>
      </c>
      <c r="ET14" s="9">
        <v>101.8</v>
      </c>
      <c r="EU14" s="9">
        <v>101.5</v>
      </c>
      <c r="EV14" s="9">
        <v>100.8</v>
      </c>
      <c r="EW14" s="9">
        <v>100.5</v>
      </c>
      <c r="EX14" s="9">
        <v>100.2</v>
      </c>
      <c r="EY14" s="9">
        <v>100.1</v>
      </c>
      <c r="EZ14" s="9">
        <v>100.6</v>
      </c>
      <c r="FA14" s="9">
        <v>100</v>
      </c>
      <c r="FB14" s="9">
        <v>100.4</v>
      </c>
      <c r="FC14" s="9">
        <v>100.7</v>
      </c>
      <c r="FD14" s="9">
        <v>100.8</v>
      </c>
      <c r="FE14" s="9">
        <v>100.9</v>
      </c>
      <c r="FF14" s="9">
        <v>100.5</v>
      </c>
      <c r="FG14" s="9">
        <v>101</v>
      </c>
      <c r="FH14" s="9">
        <v>100.6</v>
      </c>
      <c r="FI14" s="9">
        <v>100</v>
      </c>
      <c r="FJ14" s="9">
        <v>100.1</v>
      </c>
      <c r="FK14" s="9">
        <v>100.3</v>
      </c>
      <c r="FL14" s="9">
        <v>100.1</v>
      </c>
      <c r="FM14" s="9">
        <v>100.3</v>
      </c>
      <c r="FN14" s="9">
        <v>100.7</v>
      </c>
      <c r="FO14" s="9">
        <v>101.3</v>
      </c>
      <c r="FP14" s="9">
        <v>100.9</v>
      </c>
      <c r="FQ14" s="9">
        <v>100.8</v>
      </c>
      <c r="FR14" s="9">
        <v>101.2</v>
      </c>
      <c r="FS14" s="9">
        <v>101.4</v>
      </c>
      <c r="FT14" s="9">
        <v>101.2</v>
      </c>
      <c r="FU14" s="9">
        <v>100.6</v>
      </c>
      <c r="FV14" s="9">
        <v>100.7</v>
      </c>
      <c r="FW14" s="9">
        <v>101</v>
      </c>
      <c r="FX14" s="9">
        <v>101.2</v>
      </c>
      <c r="FY14" s="9">
        <v>101.2</v>
      </c>
      <c r="FZ14" s="9">
        <v>101.1</v>
      </c>
      <c r="GA14" s="9">
        <v>100.7</v>
      </c>
      <c r="GB14" s="9">
        <v>100.2</v>
      </c>
      <c r="GC14" s="9">
        <v>101.3</v>
      </c>
      <c r="GD14" s="9">
        <v>101.1</v>
      </c>
      <c r="GE14" s="9">
        <v>100.4</v>
      </c>
      <c r="GF14" s="9">
        <v>100.8</v>
      </c>
      <c r="GG14" s="9">
        <v>100.5</v>
      </c>
      <c r="GH14" s="9">
        <v>101.1</v>
      </c>
      <c r="GI14" s="9">
        <v>101</v>
      </c>
      <c r="GJ14" s="10"/>
    </row>
    <row r="15" customHeight="1" spans="1:192">
      <c r="A15" s="8" t="s">
        <v>206</v>
      </c>
      <c r="B15" s="8" t="s">
        <v>194</v>
      </c>
      <c r="C15" s="8" t="s">
        <v>195</v>
      </c>
      <c r="D15" s="8"/>
      <c r="E15" s="9">
        <v>101.6</v>
      </c>
      <c r="F15" s="9">
        <v>101.6</v>
      </c>
      <c r="G15" s="9">
        <v>100.2</v>
      </c>
      <c r="H15" s="9">
        <v>100.6</v>
      </c>
      <c r="I15" s="9">
        <v>100.7</v>
      </c>
      <c r="J15" s="9">
        <v>100.3</v>
      </c>
      <c r="K15" s="9">
        <v>100.4</v>
      </c>
      <c r="L15" s="9">
        <v>100</v>
      </c>
      <c r="M15" s="9">
        <v>100.2</v>
      </c>
      <c r="N15" s="9">
        <v>100.2</v>
      </c>
      <c r="O15" s="9">
        <v>100.5</v>
      </c>
      <c r="P15" s="9">
        <v>100.4</v>
      </c>
      <c r="Q15" s="9">
        <v>100.4</v>
      </c>
      <c r="R15" s="9">
        <v>100.4</v>
      </c>
      <c r="S15" s="9">
        <v>100.3</v>
      </c>
      <c r="T15" s="9">
        <v>100.5</v>
      </c>
      <c r="U15" s="9">
        <v>100.6</v>
      </c>
      <c r="V15" s="9">
        <v>100.1</v>
      </c>
      <c r="W15" s="9">
        <v>101</v>
      </c>
      <c r="X15" s="9">
        <v>100</v>
      </c>
      <c r="Y15" s="9">
        <v>101.2</v>
      </c>
      <c r="Z15" s="9">
        <v>100.7</v>
      </c>
      <c r="AA15" s="9">
        <v>100.3</v>
      </c>
      <c r="AB15" s="9">
        <v>100.5</v>
      </c>
      <c r="AC15" s="9">
        <v>100.4</v>
      </c>
      <c r="AD15" s="9">
        <v>101.9</v>
      </c>
      <c r="AE15" s="9">
        <v>100.2</v>
      </c>
      <c r="AF15" s="9">
        <v>100.1</v>
      </c>
      <c r="AG15" s="9">
        <v>100.2</v>
      </c>
      <c r="AH15" s="9">
        <v>100.1</v>
      </c>
      <c r="AI15" s="9">
        <v>100.2</v>
      </c>
      <c r="AJ15" s="9">
        <v>99.9</v>
      </c>
      <c r="AK15" s="9">
        <v>99.9</v>
      </c>
      <c r="AL15" s="9">
        <v>100.3</v>
      </c>
      <c r="AM15" s="9">
        <v>100.4</v>
      </c>
      <c r="AN15" s="9">
        <v>100.8</v>
      </c>
      <c r="AO15" s="9">
        <v>101</v>
      </c>
      <c r="AP15" s="9">
        <v>101.4</v>
      </c>
      <c r="AQ15" s="9">
        <v>101</v>
      </c>
      <c r="AR15" s="9">
        <v>100.8</v>
      </c>
      <c r="AS15" s="9">
        <v>100.3</v>
      </c>
      <c r="AT15" s="9">
        <v>100.1</v>
      </c>
      <c r="AU15" s="9">
        <v>99.9</v>
      </c>
      <c r="AV15" s="9">
        <v>100.3</v>
      </c>
      <c r="AW15" s="9">
        <v>100.4</v>
      </c>
      <c r="AX15" s="9">
        <v>100.5</v>
      </c>
      <c r="AY15" s="9">
        <v>100.6</v>
      </c>
      <c r="AZ15" s="9">
        <v>100.6</v>
      </c>
      <c r="BA15" s="9">
        <v>101.2</v>
      </c>
      <c r="BB15" s="9">
        <v>100</v>
      </c>
      <c r="BC15" s="9">
        <v>100</v>
      </c>
      <c r="BD15" s="9">
        <v>100.3</v>
      </c>
      <c r="BE15" s="9">
        <v>100.1</v>
      </c>
      <c r="BF15" s="9">
        <v>99.9</v>
      </c>
      <c r="BG15" s="9">
        <v>99.9</v>
      </c>
      <c r="BH15" s="9">
        <v>100.3</v>
      </c>
      <c r="BI15" s="9">
        <v>101</v>
      </c>
      <c r="BJ15" s="9">
        <v>104.8</v>
      </c>
      <c r="BK15" s="9">
        <v>104.7</v>
      </c>
      <c r="BL15" s="9">
        <v>102.1</v>
      </c>
      <c r="BM15" s="9">
        <v>101.5</v>
      </c>
      <c r="BN15" s="9">
        <v>100.8</v>
      </c>
      <c r="BO15" s="9">
        <v>100.6</v>
      </c>
      <c r="BP15" s="9">
        <v>100.9</v>
      </c>
      <c r="BQ15" s="9">
        <v>100.1</v>
      </c>
      <c r="BR15" s="9">
        <v>100.1</v>
      </c>
      <c r="BS15" s="9">
        <v>100.2</v>
      </c>
      <c r="BT15" s="9">
        <v>100.4</v>
      </c>
      <c r="BU15" s="9">
        <v>100.7</v>
      </c>
      <c r="BV15" s="9">
        <v>100.3</v>
      </c>
      <c r="BW15" s="9">
        <v>100.9</v>
      </c>
      <c r="BX15" s="9">
        <v>101.2</v>
      </c>
      <c r="BY15" s="9">
        <v>100.8</v>
      </c>
      <c r="BZ15" s="9">
        <v>101</v>
      </c>
      <c r="CA15" s="9">
        <v>100.2</v>
      </c>
      <c r="CB15" s="9">
        <v>100.8</v>
      </c>
      <c r="CC15" s="9">
        <v>100.3</v>
      </c>
      <c r="CD15" s="9">
        <v>100.4</v>
      </c>
      <c r="CE15" s="9">
        <v>100</v>
      </c>
      <c r="CF15" s="9">
        <v>100</v>
      </c>
      <c r="CG15" s="9">
        <v>100.4</v>
      </c>
      <c r="CH15" s="9">
        <v>101.2</v>
      </c>
      <c r="CI15" s="9">
        <v>100.7</v>
      </c>
      <c r="CJ15" s="9">
        <v>101.1</v>
      </c>
      <c r="CK15" s="9">
        <v>100.7</v>
      </c>
      <c r="CL15" s="9">
        <v>100.7</v>
      </c>
      <c r="CM15" s="9">
        <v>100.6</v>
      </c>
      <c r="CN15" s="9">
        <v>100.3</v>
      </c>
      <c r="CO15" s="9">
        <v>100</v>
      </c>
      <c r="CP15" s="9">
        <v>100.1</v>
      </c>
      <c r="CQ15" s="9">
        <v>100</v>
      </c>
      <c r="CR15" s="9">
        <v>100.2</v>
      </c>
      <c r="CS15" s="9">
        <v>100.8</v>
      </c>
      <c r="CT15" s="9">
        <v>100.4</v>
      </c>
      <c r="CU15" s="9">
        <v>100.7</v>
      </c>
      <c r="CV15" s="9">
        <v>100.7</v>
      </c>
      <c r="CW15" s="9">
        <v>100.7</v>
      </c>
      <c r="CX15" s="9">
        <v>100.1</v>
      </c>
      <c r="CY15" s="9">
        <v>100.4</v>
      </c>
      <c r="CZ15" s="9">
        <v>100.3</v>
      </c>
      <c r="DA15" s="9">
        <v>100.5</v>
      </c>
      <c r="DB15" s="9">
        <v>100.3</v>
      </c>
      <c r="DC15" s="9">
        <v>100.1</v>
      </c>
      <c r="DD15" s="9">
        <v>100.4</v>
      </c>
      <c r="DE15" s="9">
        <v>100.5</v>
      </c>
      <c r="DF15" s="9">
        <v>100.5</v>
      </c>
      <c r="DG15" s="9">
        <v>100.6</v>
      </c>
      <c r="DH15" s="9">
        <v>100.7</v>
      </c>
      <c r="DI15" s="9">
        <v>100.6</v>
      </c>
      <c r="DJ15" s="9">
        <v>100.6</v>
      </c>
      <c r="DK15" s="9">
        <v>101.1</v>
      </c>
      <c r="DL15" s="9">
        <v>101</v>
      </c>
      <c r="DM15" s="9">
        <v>100.5</v>
      </c>
      <c r="DN15" s="9">
        <v>100.5</v>
      </c>
      <c r="DO15" s="9">
        <v>100</v>
      </c>
      <c r="DP15" s="9">
        <v>100.3</v>
      </c>
      <c r="DQ15" s="9">
        <v>100.1</v>
      </c>
      <c r="DR15" s="9">
        <v>100.5</v>
      </c>
      <c r="DS15" s="9">
        <v>100.9</v>
      </c>
      <c r="DT15" s="9">
        <v>100.9</v>
      </c>
      <c r="DU15" s="9">
        <v>100.5</v>
      </c>
      <c r="DV15" s="9">
        <v>100.8</v>
      </c>
      <c r="DW15" s="9">
        <v>100.4</v>
      </c>
      <c r="DX15" s="9">
        <v>100.9</v>
      </c>
      <c r="DY15" s="9">
        <v>100.7</v>
      </c>
      <c r="DZ15" s="9">
        <v>101.1</v>
      </c>
      <c r="EA15" s="9">
        <v>100.3</v>
      </c>
      <c r="EB15" s="9">
        <v>100.8</v>
      </c>
      <c r="EC15" s="9">
        <v>100.5</v>
      </c>
      <c r="ED15" s="9">
        <v>100.6</v>
      </c>
      <c r="EE15" s="9">
        <v>100.7</v>
      </c>
      <c r="EF15" s="9">
        <v>100.5</v>
      </c>
      <c r="EG15" s="9">
        <v>101</v>
      </c>
      <c r="EH15" s="9">
        <v>100.6</v>
      </c>
      <c r="EI15" s="9">
        <v>103.9</v>
      </c>
      <c r="EJ15" s="9">
        <v>101.7</v>
      </c>
      <c r="EK15" s="9">
        <v>101.4</v>
      </c>
      <c r="EL15" s="9">
        <v>101.4</v>
      </c>
      <c r="EM15" s="9">
        <v>100.9</v>
      </c>
      <c r="EN15" s="9">
        <v>101.6</v>
      </c>
      <c r="EO15" s="9">
        <v>101.8</v>
      </c>
      <c r="EP15" s="9">
        <v>101.9</v>
      </c>
      <c r="EQ15" s="9">
        <v>101.3</v>
      </c>
      <c r="ER15" s="9">
        <v>101</v>
      </c>
      <c r="ES15" s="9">
        <v>101</v>
      </c>
      <c r="ET15" s="9">
        <v>101.1</v>
      </c>
      <c r="EU15" s="9">
        <v>100.8</v>
      </c>
      <c r="EV15" s="9">
        <v>101</v>
      </c>
      <c r="EW15" s="9">
        <v>100.4</v>
      </c>
      <c r="EX15" s="9">
        <v>100.6</v>
      </c>
      <c r="EY15" s="9">
        <v>100.8</v>
      </c>
      <c r="EZ15" s="9">
        <v>101.1</v>
      </c>
      <c r="FA15" s="9">
        <v>100.6</v>
      </c>
      <c r="FB15" s="9">
        <v>100.7</v>
      </c>
      <c r="FC15" s="9">
        <v>100.8</v>
      </c>
      <c r="FD15" s="9">
        <v>100.8</v>
      </c>
      <c r="FE15" s="9">
        <v>100.6</v>
      </c>
      <c r="FF15" s="9">
        <v>101.1</v>
      </c>
      <c r="FG15" s="9">
        <v>100.7</v>
      </c>
      <c r="FH15" s="9">
        <v>100.4</v>
      </c>
      <c r="FI15" s="9">
        <v>100.4</v>
      </c>
      <c r="FJ15" s="9">
        <v>100</v>
      </c>
      <c r="FK15" s="9">
        <v>100.9</v>
      </c>
      <c r="FL15" s="9">
        <v>101.2</v>
      </c>
      <c r="FM15" s="9">
        <v>100.4</v>
      </c>
      <c r="FN15" s="9">
        <v>101.7</v>
      </c>
      <c r="FO15" s="9">
        <v>100.4</v>
      </c>
      <c r="FP15" s="9">
        <v>101</v>
      </c>
      <c r="FQ15" s="9">
        <v>100.7</v>
      </c>
      <c r="FR15" s="9">
        <v>101.3</v>
      </c>
      <c r="FS15" s="9">
        <v>101.5</v>
      </c>
      <c r="FT15" s="9">
        <v>101.5</v>
      </c>
      <c r="FU15" s="9">
        <v>101.7</v>
      </c>
      <c r="FV15" s="9">
        <v>100.7</v>
      </c>
      <c r="FW15" s="9">
        <v>100.4</v>
      </c>
      <c r="FX15" s="9">
        <v>100.7</v>
      </c>
      <c r="FY15" s="9">
        <v>100.8</v>
      </c>
      <c r="FZ15" s="9">
        <v>99.9</v>
      </c>
      <c r="GA15" s="9">
        <v>100.6</v>
      </c>
      <c r="GB15" s="9">
        <v>101.2</v>
      </c>
      <c r="GC15" s="9">
        <v>100.8</v>
      </c>
      <c r="GD15" s="9">
        <v>101</v>
      </c>
      <c r="GE15" s="9">
        <v>100.7</v>
      </c>
      <c r="GF15" s="9">
        <v>100.9</v>
      </c>
      <c r="GG15" s="9">
        <v>100.8</v>
      </c>
      <c r="GH15" s="9">
        <v>100.7</v>
      </c>
      <c r="GI15" s="9">
        <v>100.4</v>
      </c>
      <c r="GJ15" s="10"/>
    </row>
    <row r="16" customHeight="1" spans="1:192">
      <c r="A16" s="8" t="s">
        <v>207</v>
      </c>
      <c r="B16" s="8" t="s">
        <v>194</v>
      </c>
      <c r="C16" s="8" t="s">
        <v>195</v>
      </c>
      <c r="D16" s="8"/>
      <c r="E16" s="9">
        <v>101.9</v>
      </c>
      <c r="F16" s="9">
        <v>101.7</v>
      </c>
      <c r="G16" s="9">
        <v>100.5</v>
      </c>
      <c r="H16" s="9">
        <v>100.3</v>
      </c>
      <c r="I16" s="9">
        <v>100.5</v>
      </c>
      <c r="J16" s="9">
        <v>100.5</v>
      </c>
      <c r="K16" s="9">
        <v>100.1</v>
      </c>
      <c r="L16" s="9">
        <v>100.2</v>
      </c>
      <c r="M16" s="9">
        <v>100.3</v>
      </c>
      <c r="N16" s="9">
        <v>100.1</v>
      </c>
      <c r="O16" s="9">
        <v>100.4</v>
      </c>
      <c r="P16" s="9">
        <v>100.6</v>
      </c>
      <c r="Q16" s="9">
        <v>100.3</v>
      </c>
      <c r="R16" s="9">
        <v>100.6</v>
      </c>
      <c r="S16" s="9">
        <v>100.2</v>
      </c>
      <c r="T16" s="9">
        <v>100.7</v>
      </c>
      <c r="U16" s="9">
        <v>101.1</v>
      </c>
      <c r="V16" s="9">
        <v>100.1</v>
      </c>
      <c r="W16" s="9">
        <v>100</v>
      </c>
      <c r="X16" s="9">
        <v>100.2</v>
      </c>
      <c r="Y16" s="9">
        <v>100.7</v>
      </c>
      <c r="Z16" s="9">
        <v>100.6</v>
      </c>
      <c r="AA16" s="9">
        <v>100.8</v>
      </c>
      <c r="AB16" s="9">
        <v>100.9</v>
      </c>
      <c r="AC16" s="9">
        <v>100.6</v>
      </c>
      <c r="AD16" s="9">
        <v>100.9</v>
      </c>
      <c r="AE16" s="9">
        <v>99.9</v>
      </c>
      <c r="AF16" s="9">
        <v>100.1</v>
      </c>
      <c r="AG16" s="9">
        <v>100.2</v>
      </c>
      <c r="AH16" s="9">
        <v>100.4</v>
      </c>
      <c r="AI16" s="9">
        <v>100.1</v>
      </c>
      <c r="AJ16" s="9">
        <v>100.1</v>
      </c>
      <c r="AK16" s="9">
        <v>100.1</v>
      </c>
      <c r="AL16" s="9">
        <v>100.2</v>
      </c>
      <c r="AM16" s="9">
        <v>100.3</v>
      </c>
      <c r="AN16" s="9">
        <v>100.7</v>
      </c>
      <c r="AO16" s="9">
        <v>100.6</v>
      </c>
      <c r="AP16" s="9">
        <v>101.7</v>
      </c>
      <c r="AQ16" s="9">
        <v>101.2</v>
      </c>
      <c r="AR16" s="9">
        <v>100.8</v>
      </c>
      <c r="AS16" s="9">
        <v>100.3</v>
      </c>
      <c r="AT16" s="9">
        <v>100.3</v>
      </c>
      <c r="AU16" s="9">
        <v>100.7</v>
      </c>
      <c r="AV16" s="9">
        <v>100.3</v>
      </c>
      <c r="AW16" s="9">
        <v>100.2</v>
      </c>
      <c r="AX16" s="9">
        <v>100.3</v>
      </c>
      <c r="AY16" s="9">
        <v>100.7</v>
      </c>
      <c r="AZ16" s="9">
        <v>100.5</v>
      </c>
      <c r="BA16" s="9">
        <v>100.9</v>
      </c>
      <c r="BB16" s="9">
        <v>100.3</v>
      </c>
      <c r="BC16" s="9">
        <v>99.9</v>
      </c>
      <c r="BD16" s="9">
        <v>100.1</v>
      </c>
      <c r="BE16" s="9">
        <v>100.2</v>
      </c>
      <c r="BF16" s="9">
        <v>99.8</v>
      </c>
      <c r="BG16" s="9">
        <v>100.1</v>
      </c>
      <c r="BH16" s="9">
        <v>100.1</v>
      </c>
      <c r="BI16" s="9">
        <v>101.8</v>
      </c>
      <c r="BJ16" s="9">
        <v>105.1</v>
      </c>
      <c r="BK16" s="9">
        <v>105</v>
      </c>
      <c r="BL16" s="9">
        <v>100.6</v>
      </c>
      <c r="BM16" s="9">
        <v>100.7</v>
      </c>
      <c r="BN16" s="9">
        <v>100.4</v>
      </c>
      <c r="BO16" s="9">
        <v>100.9</v>
      </c>
      <c r="BP16" s="9">
        <v>100.2</v>
      </c>
      <c r="BQ16" s="9">
        <v>100.5</v>
      </c>
      <c r="BR16" s="9">
        <v>100.4</v>
      </c>
      <c r="BS16" s="9">
        <v>101.3</v>
      </c>
      <c r="BT16" s="9">
        <v>100.1</v>
      </c>
      <c r="BU16" s="9">
        <v>100.3</v>
      </c>
      <c r="BV16" s="9">
        <v>100.6</v>
      </c>
      <c r="BW16" s="9">
        <v>101.2</v>
      </c>
      <c r="BX16" s="9">
        <v>101.5</v>
      </c>
      <c r="BY16" s="9">
        <v>100.5</v>
      </c>
      <c r="BZ16" s="9">
        <v>100.8</v>
      </c>
      <c r="CA16" s="9">
        <v>100.4</v>
      </c>
      <c r="CB16" s="9">
        <v>100.6</v>
      </c>
      <c r="CC16" s="9">
        <v>100.2</v>
      </c>
      <c r="CD16" s="9">
        <v>100.4</v>
      </c>
      <c r="CE16" s="9">
        <v>100</v>
      </c>
      <c r="CF16" s="9">
        <v>100.8</v>
      </c>
      <c r="CG16" s="9">
        <v>100</v>
      </c>
      <c r="CH16" s="9">
        <v>101</v>
      </c>
      <c r="CI16" s="9">
        <v>100.7</v>
      </c>
      <c r="CJ16" s="9">
        <v>101</v>
      </c>
      <c r="CK16" s="9">
        <v>100.3</v>
      </c>
      <c r="CL16" s="9">
        <v>101.3</v>
      </c>
      <c r="CM16" s="9">
        <v>100.7</v>
      </c>
      <c r="CN16" s="9">
        <v>100.2</v>
      </c>
      <c r="CO16" s="9">
        <v>100.1</v>
      </c>
      <c r="CP16" s="9">
        <v>100.4</v>
      </c>
      <c r="CQ16" s="9">
        <v>100</v>
      </c>
      <c r="CR16" s="9">
        <v>100.1</v>
      </c>
      <c r="CS16" s="9">
        <v>100</v>
      </c>
      <c r="CT16" s="9">
        <v>100.5</v>
      </c>
      <c r="CU16" s="9">
        <v>100.9</v>
      </c>
      <c r="CV16" s="9">
        <v>101</v>
      </c>
      <c r="CW16" s="9">
        <v>100.4</v>
      </c>
      <c r="CX16" s="9">
        <v>100.2</v>
      </c>
      <c r="CY16" s="9">
        <v>100.5</v>
      </c>
      <c r="CZ16" s="9">
        <v>100.7</v>
      </c>
      <c r="DA16" s="9">
        <v>100.2</v>
      </c>
      <c r="DB16" s="9">
        <v>100.5</v>
      </c>
      <c r="DC16" s="9">
        <v>100.1</v>
      </c>
      <c r="DD16" s="9">
        <v>100.3</v>
      </c>
      <c r="DE16" s="9">
        <v>100.3</v>
      </c>
      <c r="DF16" s="9">
        <v>100.5</v>
      </c>
      <c r="DG16" s="9">
        <v>100.7</v>
      </c>
      <c r="DH16" s="9">
        <v>100.9</v>
      </c>
      <c r="DI16" s="9">
        <v>100.5</v>
      </c>
      <c r="DJ16" s="9">
        <v>100.5</v>
      </c>
      <c r="DK16" s="9">
        <v>100.8</v>
      </c>
      <c r="DL16" s="9">
        <v>101</v>
      </c>
      <c r="DM16" s="9">
        <v>100.2</v>
      </c>
      <c r="DN16" s="9">
        <v>100.7</v>
      </c>
      <c r="DO16" s="9">
        <v>100.3</v>
      </c>
      <c r="DP16" s="9">
        <v>100.4</v>
      </c>
      <c r="DQ16" s="9">
        <v>100.1</v>
      </c>
      <c r="DR16" s="9">
        <v>100.6</v>
      </c>
      <c r="DS16" s="9">
        <v>101</v>
      </c>
      <c r="DT16" s="9">
        <v>100.8</v>
      </c>
      <c r="DU16" s="9">
        <v>100.6</v>
      </c>
      <c r="DV16" s="9">
        <v>100.5</v>
      </c>
      <c r="DW16" s="9">
        <v>100.5</v>
      </c>
      <c r="DX16" s="9">
        <v>100.9</v>
      </c>
      <c r="DY16" s="9">
        <v>100.7</v>
      </c>
      <c r="DZ16" s="9">
        <v>101.1</v>
      </c>
      <c r="EA16" s="9">
        <v>100.7</v>
      </c>
      <c r="EB16" s="9">
        <v>100.3</v>
      </c>
      <c r="EC16" s="9">
        <v>100.6</v>
      </c>
      <c r="ED16" s="9">
        <v>100.7</v>
      </c>
      <c r="EE16" s="9">
        <v>100.8</v>
      </c>
      <c r="EF16" s="9">
        <v>100.5</v>
      </c>
      <c r="EG16" s="9">
        <v>100.4</v>
      </c>
      <c r="EH16" s="9">
        <v>100.8</v>
      </c>
      <c r="EI16" s="9">
        <v>103.1</v>
      </c>
      <c r="EJ16" s="9">
        <v>102</v>
      </c>
      <c r="EK16" s="9">
        <v>101.4</v>
      </c>
      <c r="EL16" s="9">
        <v>102</v>
      </c>
      <c r="EM16" s="9">
        <v>101.2</v>
      </c>
      <c r="EN16" s="9">
        <v>101.1</v>
      </c>
      <c r="EO16" s="9">
        <v>101.5</v>
      </c>
      <c r="EP16" s="9">
        <v>102.2</v>
      </c>
      <c r="EQ16" s="9">
        <v>101.4</v>
      </c>
      <c r="ER16" s="9">
        <v>101.2</v>
      </c>
      <c r="ES16" s="9">
        <v>101.2</v>
      </c>
      <c r="ET16" s="9">
        <v>100.7</v>
      </c>
      <c r="EU16" s="9">
        <v>101</v>
      </c>
      <c r="EV16" s="9">
        <v>100.7</v>
      </c>
      <c r="EW16" s="9">
        <v>100.8</v>
      </c>
      <c r="EX16" s="9">
        <v>100.6</v>
      </c>
      <c r="EY16" s="9">
        <v>100.8</v>
      </c>
      <c r="EZ16" s="9">
        <v>100.5</v>
      </c>
      <c r="FA16" s="9">
        <v>100.6</v>
      </c>
      <c r="FB16" s="9">
        <v>100.4</v>
      </c>
      <c r="FC16" s="9">
        <v>100.8</v>
      </c>
      <c r="FD16" s="9">
        <v>100.5</v>
      </c>
      <c r="FE16" s="9">
        <v>100.5</v>
      </c>
      <c r="FF16" s="9">
        <v>101</v>
      </c>
      <c r="FG16" s="9">
        <v>100.6</v>
      </c>
      <c r="FH16" s="9">
        <v>100.6</v>
      </c>
      <c r="FI16" s="9">
        <v>100.2</v>
      </c>
      <c r="FJ16" s="9">
        <v>100.4</v>
      </c>
      <c r="FK16" s="9">
        <v>101.2</v>
      </c>
      <c r="FL16" s="9">
        <v>100.7</v>
      </c>
      <c r="FM16" s="9">
        <v>101</v>
      </c>
      <c r="FN16" s="9">
        <v>100.6</v>
      </c>
      <c r="FO16" s="9">
        <v>100.5</v>
      </c>
      <c r="FP16" s="9">
        <v>100.6</v>
      </c>
      <c r="FQ16" s="9">
        <v>101.3</v>
      </c>
      <c r="FR16" s="9">
        <v>100.7</v>
      </c>
      <c r="FS16" s="9">
        <v>101</v>
      </c>
      <c r="FT16" s="9">
        <v>101.2</v>
      </c>
      <c r="FU16" s="9">
        <v>100.9</v>
      </c>
      <c r="FV16" s="9">
        <v>101</v>
      </c>
      <c r="FW16" s="9">
        <v>100.6</v>
      </c>
      <c r="FX16" s="9">
        <v>101.2</v>
      </c>
      <c r="FY16" s="9">
        <v>100.8</v>
      </c>
      <c r="FZ16" s="9">
        <v>101</v>
      </c>
      <c r="GA16" s="9">
        <v>100.9</v>
      </c>
      <c r="GB16" s="9">
        <v>100.8</v>
      </c>
      <c r="GC16" s="9">
        <v>100.9</v>
      </c>
      <c r="GD16" s="9">
        <v>100.9</v>
      </c>
      <c r="GE16" s="9">
        <v>100.7</v>
      </c>
      <c r="GF16" s="9">
        <v>101</v>
      </c>
      <c r="GG16" s="9">
        <v>100.7</v>
      </c>
      <c r="GH16" s="9">
        <v>100.4</v>
      </c>
      <c r="GI16" s="9">
        <v>100.5</v>
      </c>
      <c r="GJ16" s="10"/>
    </row>
    <row r="17" customHeight="1" spans="1:192">
      <c r="A17" s="8" t="s">
        <v>208</v>
      </c>
      <c r="B17" s="8" t="s">
        <v>194</v>
      </c>
      <c r="C17" s="8" t="s">
        <v>195</v>
      </c>
      <c r="D17" s="8"/>
      <c r="E17" s="9">
        <v>102.2</v>
      </c>
      <c r="F17" s="9">
        <v>101.2</v>
      </c>
      <c r="G17" s="9">
        <v>100.3</v>
      </c>
      <c r="H17" s="9">
        <v>100.6</v>
      </c>
      <c r="I17" s="9">
        <v>101</v>
      </c>
      <c r="J17" s="9">
        <v>100</v>
      </c>
      <c r="K17" s="9">
        <v>100.6</v>
      </c>
      <c r="L17" s="9">
        <v>100.3</v>
      </c>
      <c r="M17" s="9">
        <v>100.5</v>
      </c>
      <c r="N17" s="9">
        <v>100.2</v>
      </c>
      <c r="O17" s="9">
        <v>101.3</v>
      </c>
      <c r="P17" s="9">
        <v>100.4</v>
      </c>
      <c r="Q17" s="9">
        <v>100.4</v>
      </c>
      <c r="R17" s="9">
        <v>100.5</v>
      </c>
      <c r="S17" s="9">
        <v>100.3</v>
      </c>
      <c r="T17" s="9">
        <v>100.9</v>
      </c>
      <c r="U17" s="9">
        <v>100.6</v>
      </c>
      <c r="V17" s="9">
        <v>100.1</v>
      </c>
      <c r="W17" s="9">
        <v>100.1</v>
      </c>
      <c r="X17" s="9">
        <v>100.2</v>
      </c>
      <c r="Y17" s="9">
        <v>100.7</v>
      </c>
      <c r="Z17" s="9">
        <v>100.3</v>
      </c>
      <c r="AA17" s="9">
        <v>101.4</v>
      </c>
      <c r="AB17" s="9">
        <v>100.4</v>
      </c>
      <c r="AC17" s="9">
        <v>100.8</v>
      </c>
      <c r="AD17" s="9">
        <v>100.4</v>
      </c>
      <c r="AE17" s="9">
        <v>100.3</v>
      </c>
      <c r="AF17" s="9">
        <v>100.3</v>
      </c>
      <c r="AG17" s="9">
        <v>100.2</v>
      </c>
      <c r="AH17" s="9">
        <v>99.7</v>
      </c>
      <c r="AI17" s="9">
        <v>99.9</v>
      </c>
      <c r="AJ17" s="9">
        <v>99.9</v>
      </c>
      <c r="AK17" s="9">
        <v>99.9</v>
      </c>
      <c r="AL17" s="9">
        <v>100.6</v>
      </c>
      <c r="AM17" s="9">
        <v>101</v>
      </c>
      <c r="AN17" s="9">
        <v>100.8</v>
      </c>
      <c r="AO17" s="9">
        <v>100.8</v>
      </c>
      <c r="AP17" s="9">
        <v>102.3</v>
      </c>
      <c r="AQ17" s="9">
        <v>100.9</v>
      </c>
      <c r="AR17" s="9">
        <v>100.8</v>
      </c>
      <c r="AS17" s="9">
        <v>101</v>
      </c>
      <c r="AT17" s="9">
        <v>100.5</v>
      </c>
      <c r="AU17" s="9">
        <v>99.3</v>
      </c>
      <c r="AV17" s="9">
        <v>100.1</v>
      </c>
      <c r="AW17" s="9">
        <v>100.8</v>
      </c>
      <c r="AX17" s="9">
        <v>100.8</v>
      </c>
      <c r="AY17" s="9">
        <v>100.8</v>
      </c>
      <c r="AZ17" s="9">
        <v>100.5</v>
      </c>
      <c r="BA17" s="9">
        <v>100.6</v>
      </c>
      <c r="BB17" s="9">
        <v>100.5</v>
      </c>
      <c r="BC17" s="9">
        <v>100.3</v>
      </c>
      <c r="BD17" s="9">
        <v>100.1</v>
      </c>
      <c r="BE17" s="9">
        <v>100</v>
      </c>
      <c r="BF17" s="9">
        <v>99.7</v>
      </c>
      <c r="BG17" s="9">
        <v>100.2</v>
      </c>
      <c r="BH17" s="9">
        <v>100</v>
      </c>
      <c r="BI17" s="9">
        <v>101</v>
      </c>
      <c r="BJ17" s="9">
        <v>107.9</v>
      </c>
      <c r="BK17" s="9">
        <v>106.9</v>
      </c>
      <c r="BL17" s="9">
        <v>100.6</v>
      </c>
      <c r="BM17" s="9">
        <v>101.3</v>
      </c>
      <c r="BN17" s="9">
        <v>100.9</v>
      </c>
      <c r="BO17" s="9">
        <v>100.6</v>
      </c>
      <c r="BP17" s="9">
        <v>100.8</v>
      </c>
      <c r="BQ17" s="9">
        <v>100.8</v>
      </c>
      <c r="BR17" s="9">
        <v>100.2</v>
      </c>
      <c r="BS17" s="9">
        <v>101</v>
      </c>
      <c r="BT17" s="9">
        <v>100.4</v>
      </c>
      <c r="BU17" s="9">
        <v>100.4</v>
      </c>
      <c r="BV17" s="9">
        <v>101.1</v>
      </c>
      <c r="BW17" s="9">
        <v>102.1</v>
      </c>
      <c r="BX17" s="9">
        <v>100.1</v>
      </c>
      <c r="BY17" s="9">
        <v>100.6</v>
      </c>
      <c r="BZ17" s="9">
        <v>100.8</v>
      </c>
      <c r="CA17" s="9">
        <v>100.6</v>
      </c>
      <c r="CB17" s="9">
        <v>100.5</v>
      </c>
      <c r="CC17" s="9">
        <v>100.6</v>
      </c>
      <c r="CD17" s="9">
        <v>100.5</v>
      </c>
      <c r="CE17" s="9">
        <v>100.4</v>
      </c>
      <c r="CF17" s="9">
        <v>99.8</v>
      </c>
      <c r="CG17" s="9">
        <v>100.9</v>
      </c>
      <c r="CH17" s="9">
        <v>101.3</v>
      </c>
      <c r="CI17" s="9">
        <v>101.1</v>
      </c>
      <c r="CJ17" s="9">
        <v>100.4</v>
      </c>
      <c r="CK17" s="9">
        <v>100.8</v>
      </c>
      <c r="CL17" s="9">
        <v>100.5</v>
      </c>
      <c r="CM17" s="9">
        <v>100.4</v>
      </c>
      <c r="CN17" s="9">
        <v>100.5</v>
      </c>
      <c r="CO17" s="9">
        <v>100.3</v>
      </c>
      <c r="CP17" s="9">
        <v>100.3</v>
      </c>
      <c r="CQ17" s="9">
        <v>100.4</v>
      </c>
      <c r="CR17" s="9">
        <v>100</v>
      </c>
      <c r="CS17" s="9">
        <v>100.5</v>
      </c>
      <c r="CT17" s="9">
        <v>100.4</v>
      </c>
      <c r="CU17" s="9">
        <v>101.1</v>
      </c>
      <c r="CV17" s="9">
        <v>100.5</v>
      </c>
      <c r="CW17" s="9">
        <v>100.9</v>
      </c>
      <c r="CX17" s="9">
        <v>100</v>
      </c>
      <c r="CY17" s="9">
        <v>100.4</v>
      </c>
      <c r="CZ17" s="9">
        <v>100.7</v>
      </c>
      <c r="DA17" s="9">
        <v>101</v>
      </c>
      <c r="DB17" s="9">
        <v>100</v>
      </c>
      <c r="DC17" s="9">
        <v>99.9</v>
      </c>
      <c r="DD17" s="9">
        <v>100</v>
      </c>
      <c r="DE17" s="9">
        <v>100.3</v>
      </c>
      <c r="DF17" s="9">
        <v>100.6</v>
      </c>
      <c r="DG17" s="9">
        <v>101.2</v>
      </c>
      <c r="DH17" s="9">
        <v>100.6</v>
      </c>
      <c r="DI17" s="9">
        <v>100.7</v>
      </c>
      <c r="DJ17" s="9">
        <v>101.3</v>
      </c>
      <c r="DK17" s="9">
        <v>101.3</v>
      </c>
      <c r="DL17" s="9">
        <v>101</v>
      </c>
      <c r="DM17" s="9">
        <v>100.5</v>
      </c>
      <c r="DN17" s="9">
        <v>100.3</v>
      </c>
      <c r="DO17" s="9">
        <v>100</v>
      </c>
      <c r="DP17" s="9">
        <v>99.6</v>
      </c>
      <c r="DQ17" s="9">
        <v>100.4</v>
      </c>
      <c r="DR17" s="9">
        <v>100.6</v>
      </c>
      <c r="DS17" s="9">
        <v>101</v>
      </c>
      <c r="DT17" s="9">
        <v>100.7</v>
      </c>
      <c r="DU17" s="9">
        <v>100.8</v>
      </c>
      <c r="DV17" s="9">
        <v>100.7</v>
      </c>
      <c r="DW17" s="9">
        <v>100.6</v>
      </c>
      <c r="DX17" s="9">
        <v>100.7</v>
      </c>
      <c r="DY17" s="9">
        <v>100.8</v>
      </c>
      <c r="DZ17" s="9">
        <v>101.2</v>
      </c>
      <c r="EA17" s="9">
        <v>100.5</v>
      </c>
      <c r="EB17" s="9">
        <v>100.2</v>
      </c>
      <c r="EC17" s="9">
        <v>100.5</v>
      </c>
      <c r="ED17" s="9">
        <v>100.6</v>
      </c>
      <c r="EE17" s="9">
        <v>100.9</v>
      </c>
      <c r="EF17" s="9">
        <v>100.9</v>
      </c>
      <c r="EG17" s="9">
        <v>100.4</v>
      </c>
      <c r="EH17" s="9">
        <v>101.2</v>
      </c>
      <c r="EI17" s="9">
        <v>103.4</v>
      </c>
      <c r="EJ17" s="9">
        <v>102.5</v>
      </c>
      <c r="EK17" s="9">
        <v>101.2</v>
      </c>
      <c r="EL17" s="9">
        <v>101.4</v>
      </c>
      <c r="EM17" s="9">
        <v>101.1</v>
      </c>
      <c r="EN17" s="9">
        <v>101.9</v>
      </c>
      <c r="EO17" s="9">
        <v>102.8</v>
      </c>
      <c r="EP17" s="9">
        <v>102.1</v>
      </c>
      <c r="EQ17" s="9">
        <v>101.6</v>
      </c>
      <c r="ER17" s="9">
        <v>101.3</v>
      </c>
      <c r="ES17" s="9">
        <v>101</v>
      </c>
      <c r="ET17" s="9">
        <v>101</v>
      </c>
      <c r="EU17" s="9">
        <v>100.4</v>
      </c>
      <c r="EV17" s="9">
        <v>100.5</v>
      </c>
      <c r="EW17" s="9">
        <v>100.3</v>
      </c>
      <c r="EX17" s="9">
        <v>100.7</v>
      </c>
      <c r="EY17" s="9">
        <v>100.8</v>
      </c>
      <c r="EZ17" s="9">
        <v>100.6</v>
      </c>
      <c r="FA17" s="9">
        <v>100.7</v>
      </c>
      <c r="FB17" s="9">
        <v>100.6</v>
      </c>
      <c r="FC17" s="9">
        <v>100.9</v>
      </c>
      <c r="FD17" s="9">
        <v>101.2</v>
      </c>
      <c r="FE17" s="9">
        <v>100.8</v>
      </c>
      <c r="FF17" s="9">
        <v>101.6</v>
      </c>
      <c r="FG17" s="9">
        <v>100.3</v>
      </c>
      <c r="FH17" s="9">
        <v>100.6</v>
      </c>
      <c r="FI17" s="9">
        <v>101.2</v>
      </c>
      <c r="FJ17" s="9">
        <v>100.5</v>
      </c>
      <c r="FK17" s="9">
        <v>101.3</v>
      </c>
      <c r="FL17" s="9">
        <v>100.4</v>
      </c>
      <c r="FM17" s="9">
        <v>100.5</v>
      </c>
      <c r="FN17" s="9">
        <v>100.4</v>
      </c>
      <c r="FO17" s="9">
        <v>101</v>
      </c>
      <c r="FP17" s="9">
        <v>101.6</v>
      </c>
      <c r="FQ17" s="9">
        <v>101.3</v>
      </c>
      <c r="FR17" s="9">
        <v>102.9</v>
      </c>
      <c r="FS17" s="9">
        <v>100.9</v>
      </c>
      <c r="FT17" s="9">
        <v>101</v>
      </c>
      <c r="FU17" s="9">
        <v>100.3</v>
      </c>
      <c r="FV17" s="9">
        <v>100.7</v>
      </c>
      <c r="FW17" s="9">
        <v>100.7</v>
      </c>
      <c r="FX17" s="9">
        <v>100.8</v>
      </c>
      <c r="FY17" s="9">
        <v>101.1</v>
      </c>
      <c r="FZ17" s="9">
        <v>100.1</v>
      </c>
      <c r="GA17" s="9">
        <v>100.9</v>
      </c>
      <c r="GB17" s="9">
        <v>100.9</v>
      </c>
      <c r="GC17" s="9">
        <v>101.1</v>
      </c>
      <c r="GD17" s="9">
        <v>100.9</v>
      </c>
      <c r="GE17" s="9">
        <v>100.5</v>
      </c>
      <c r="GF17" s="9">
        <v>100.6</v>
      </c>
      <c r="GG17" s="9">
        <v>100.9</v>
      </c>
      <c r="GH17" s="9">
        <v>101.1</v>
      </c>
      <c r="GI17" s="9">
        <v>100.6</v>
      </c>
      <c r="GJ17" s="10"/>
    </row>
    <row r="18" customHeight="1" spans="1:192">
      <c r="A18" s="8" t="s">
        <v>209</v>
      </c>
      <c r="B18" s="8" t="s">
        <v>194</v>
      </c>
      <c r="C18" s="8" t="s">
        <v>195</v>
      </c>
      <c r="D18" s="8"/>
      <c r="E18" s="9">
        <v>101.7</v>
      </c>
      <c r="F18" s="9">
        <v>101.7</v>
      </c>
      <c r="G18" s="9">
        <v>100.2</v>
      </c>
      <c r="H18" s="9">
        <v>100.3</v>
      </c>
      <c r="I18" s="9">
        <v>100.3</v>
      </c>
      <c r="J18" s="9">
        <v>100.3</v>
      </c>
      <c r="K18" s="9">
        <v>100.4</v>
      </c>
      <c r="L18" s="9">
        <v>100.2</v>
      </c>
      <c r="M18" s="9">
        <v>100.3</v>
      </c>
      <c r="N18" s="9">
        <v>100.3</v>
      </c>
      <c r="O18" s="9">
        <v>100.5</v>
      </c>
      <c r="P18" s="9">
        <v>100.5</v>
      </c>
      <c r="Q18" s="9">
        <v>100.2</v>
      </c>
      <c r="R18" s="9">
        <v>100.3</v>
      </c>
      <c r="S18" s="9">
        <v>100.3</v>
      </c>
      <c r="T18" s="9">
        <v>100.8</v>
      </c>
      <c r="U18" s="9">
        <v>100.4</v>
      </c>
      <c r="V18" s="9">
        <v>100.2</v>
      </c>
      <c r="W18" s="9">
        <v>100.2</v>
      </c>
      <c r="X18" s="9">
        <v>100.2</v>
      </c>
      <c r="Y18" s="9">
        <v>100.4</v>
      </c>
      <c r="Z18" s="9">
        <v>100.5</v>
      </c>
      <c r="AA18" s="9">
        <v>100.6</v>
      </c>
      <c r="AB18" s="9">
        <v>100.8</v>
      </c>
      <c r="AC18" s="9">
        <v>101.6</v>
      </c>
      <c r="AD18" s="9">
        <v>100.5</v>
      </c>
      <c r="AE18" s="9">
        <v>100</v>
      </c>
      <c r="AF18" s="9">
        <v>100.7</v>
      </c>
      <c r="AG18" s="9">
        <v>100.1</v>
      </c>
      <c r="AH18" s="9">
        <v>100</v>
      </c>
      <c r="AI18" s="9">
        <v>100.5</v>
      </c>
      <c r="AJ18" s="9">
        <v>100.2</v>
      </c>
      <c r="AK18" s="9">
        <v>100.2</v>
      </c>
      <c r="AL18" s="9">
        <v>100.3</v>
      </c>
      <c r="AM18" s="9">
        <v>100.2</v>
      </c>
      <c r="AN18" s="9">
        <v>100.3</v>
      </c>
      <c r="AO18" s="9">
        <v>100.4</v>
      </c>
      <c r="AP18" s="9">
        <v>101.8</v>
      </c>
      <c r="AQ18" s="9">
        <v>100.6</v>
      </c>
      <c r="AR18" s="9">
        <v>100.4</v>
      </c>
      <c r="AS18" s="9">
        <v>100.5</v>
      </c>
      <c r="AT18" s="9">
        <v>100.3</v>
      </c>
      <c r="AU18" s="9">
        <v>100.2</v>
      </c>
      <c r="AV18" s="9">
        <v>100.4</v>
      </c>
      <c r="AW18" s="9">
        <v>100.3</v>
      </c>
      <c r="AX18" s="9">
        <v>100.5</v>
      </c>
      <c r="AY18" s="9">
        <v>100.8</v>
      </c>
      <c r="AZ18" s="9">
        <v>100.5</v>
      </c>
      <c r="BA18" s="9">
        <v>100.8</v>
      </c>
      <c r="BB18" s="9">
        <v>100</v>
      </c>
      <c r="BC18" s="9">
        <v>100</v>
      </c>
      <c r="BD18" s="9">
        <v>100.3</v>
      </c>
      <c r="BE18" s="9">
        <v>100.3</v>
      </c>
      <c r="BF18" s="9">
        <v>99.9</v>
      </c>
      <c r="BG18" s="9">
        <v>100.1</v>
      </c>
      <c r="BH18" s="9">
        <v>100.1</v>
      </c>
      <c r="BI18" s="9">
        <v>100.8</v>
      </c>
      <c r="BJ18" s="9">
        <v>105.6</v>
      </c>
      <c r="BK18" s="9">
        <v>102.8</v>
      </c>
      <c r="BL18" s="9">
        <v>100.6</v>
      </c>
      <c r="BM18" s="9">
        <v>102.1</v>
      </c>
      <c r="BN18" s="9">
        <v>100.7</v>
      </c>
      <c r="BO18" s="9">
        <v>100.3</v>
      </c>
      <c r="BP18" s="9">
        <v>100.1</v>
      </c>
      <c r="BQ18" s="9">
        <v>100.3</v>
      </c>
      <c r="BR18" s="9">
        <v>100.6</v>
      </c>
      <c r="BS18" s="9">
        <v>100.5</v>
      </c>
      <c r="BT18" s="9">
        <v>100.5</v>
      </c>
      <c r="BU18" s="9">
        <v>100.1</v>
      </c>
      <c r="BV18" s="9">
        <v>100.8</v>
      </c>
      <c r="BW18" s="9">
        <v>101.1</v>
      </c>
      <c r="BX18" s="9">
        <v>101.3</v>
      </c>
      <c r="BY18" s="9">
        <v>100.6</v>
      </c>
      <c r="BZ18" s="9">
        <v>100.8</v>
      </c>
      <c r="CA18" s="9">
        <v>101</v>
      </c>
      <c r="CB18" s="9">
        <v>100.5</v>
      </c>
      <c r="CC18" s="9">
        <v>100.4</v>
      </c>
      <c r="CD18" s="9">
        <v>100.7</v>
      </c>
      <c r="CE18" s="9">
        <v>100</v>
      </c>
      <c r="CF18" s="9">
        <v>99.6</v>
      </c>
      <c r="CG18" s="9">
        <v>100.2</v>
      </c>
      <c r="CH18" s="9">
        <v>100.9</v>
      </c>
      <c r="CI18" s="9">
        <v>100.9</v>
      </c>
      <c r="CJ18" s="9">
        <v>101.1</v>
      </c>
      <c r="CK18" s="9">
        <v>100.4</v>
      </c>
      <c r="CL18" s="9">
        <v>100.5</v>
      </c>
      <c r="CM18" s="9">
        <v>100.7</v>
      </c>
      <c r="CN18" s="9">
        <v>100.7</v>
      </c>
      <c r="CO18" s="9">
        <v>100.3</v>
      </c>
      <c r="CP18" s="9">
        <v>100</v>
      </c>
      <c r="CQ18" s="9">
        <v>100</v>
      </c>
      <c r="CR18" s="9">
        <v>100</v>
      </c>
      <c r="CS18" s="9">
        <v>100.4</v>
      </c>
      <c r="CT18" s="9">
        <v>100.4</v>
      </c>
      <c r="CU18" s="9">
        <v>100.9</v>
      </c>
      <c r="CV18" s="9">
        <v>100.7</v>
      </c>
      <c r="CW18" s="9">
        <v>100.5</v>
      </c>
      <c r="CX18" s="9">
        <v>100.2</v>
      </c>
      <c r="CY18" s="9">
        <v>100.4</v>
      </c>
      <c r="CZ18" s="9">
        <v>100.5</v>
      </c>
      <c r="DA18" s="9">
        <v>100.5</v>
      </c>
      <c r="DB18" s="9">
        <v>100.3</v>
      </c>
      <c r="DC18" s="9">
        <v>100.1</v>
      </c>
      <c r="DD18" s="9">
        <v>100.3</v>
      </c>
      <c r="DE18" s="9">
        <v>100.1</v>
      </c>
      <c r="DF18" s="9">
        <v>100.6</v>
      </c>
      <c r="DG18" s="9">
        <v>100.8</v>
      </c>
      <c r="DH18" s="9">
        <v>100.7</v>
      </c>
      <c r="DI18" s="9">
        <v>100.6</v>
      </c>
      <c r="DJ18" s="9">
        <v>100.5</v>
      </c>
      <c r="DK18" s="9">
        <v>100.9</v>
      </c>
      <c r="DL18" s="9">
        <v>100.9</v>
      </c>
      <c r="DM18" s="9">
        <v>100.6</v>
      </c>
      <c r="DN18" s="9">
        <v>100.2</v>
      </c>
      <c r="DO18" s="9">
        <v>100.5</v>
      </c>
      <c r="DP18" s="9">
        <v>100.1</v>
      </c>
      <c r="DQ18" s="9">
        <v>100.2</v>
      </c>
      <c r="DR18" s="9">
        <v>100.8</v>
      </c>
      <c r="DS18" s="9">
        <v>100.9</v>
      </c>
      <c r="DT18" s="9">
        <v>100.8</v>
      </c>
      <c r="DU18" s="9">
        <v>100.5</v>
      </c>
      <c r="DV18" s="9">
        <v>100.6</v>
      </c>
      <c r="DW18" s="9">
        <v>100.6</v>
      </c>
      <c r="DX18" s="9">
        <v>100.9</v>
      </c>
      <c r="DY18" s="9">
        <v>100.7</v>
      </c>
      <c r="DZ18" s="9">
        <v>101.2</v>
      </c>
      <c r="EA18" s="9">
        <v>100.6</v>
      </c>
      <c r="EB18" s="9">
        <v>100.4</v>
      </c>
      <c r="EC18" s="9">
        <v>100.3</v>
      </c>
      <c r="ED18" s="9">
        <v>100.7</v>
      </c>
      <c r="EE18" s="9">
        <v>100.8</v>
      </c>
      <c r="EF18" s="9">
        <v>100.7</v>
      </c>
      <c r="EG18" s="9">
        <v>100.5</v>
      </c>
      <c r="EH18" s="9">
        <v>100.7</v>
      </c>
      <c r="EI18" s="9">
        <v>103.8</v>
      </c>
      <c r="EJ18" s="9">
        <v>101.5</v>
      </c>
      <c r="EK18" s="9">
        <v>101.5</v>
      </c>
      <c r="EL18" s="9">
        <v>101.8</v>
      </c>
      <c r="EM18" s="9">
        <v>101.3</v>
      </c>
      <c r="EN18" s="9">
        <v>101.3</v>
      </c>
      <c r="EO18" s="9">
        <v>102.5</v>
      </c>
      <c r="EP18" s="9">
        <v>100.8</v>
      </c>
      <c r="EQ18" s="9">
        <v>101</v>
      </c>
      <c r="ER18" s="9">
        <v>101.9</v>
      </c>
      <c r="ES18" s="9">
        <v>101</v>
      </c>
      <c r="ET18" s="9">
        <v>101.5</v>
      </c>
      <c r="EU18" s="9">
        <v>100.6</v>
      </c>
      <c r="EV18" s="9">
        <v>100.7</v>
      </c>
      <c r="EW18" s="9">
        <v>100.8</v>
      </c>
      <c r="EX18" s="9">
        <v>100.5</v>
      </c>
      <c r="EY18" s="9">
        <v>100.5</v>
      </c>
      <c r="EZ18" s="9">
        <v>100.4</v>
      </c>
      <c r="FA18" s="9">
        <v>100.7</v>
      </c>
      <c r="FB18" s="9">
        <v>100.7</v>
      </c>
      <c r="FC18" s="9">
        <v>100.7</v>
      </c>
      <c r="FD18" s="9">
        <v>100.9</v>
      </c>
      <c r="FE18" s="9">
        <v>100.6</v>
      </c>
      <c r="FF18" s="9">
        <v>101</v>
      </c>
      <c r="FG18" s="9">
        <v>100.6</v>
      </c>
      <c r="FH18" s="9">
        <v>100.7</v>
      </c>
      <c r="FI18" s="9">
        <v>100.8</v>
      </c>
      <c r="FJ18" s="9">
        <v>100.2</v>
      </c>
      <c r="FK18" s="9">
        <v>100.2</v>
      </c>
      <c r="FL18" s="9">
        <v>100.5</v>
      </c>
      <c r="FM18" s="9">
        <v>100.3</v>
      </c>
      <c r="FN18" s="9">
        <v>100.6</v>
      </c>
      <c r="FO18" s="9">
        <v>101</v>
      </c>
      <c r="FP18" s="9">
        <v>101</v>
      </c>
      <c r="FQ18" s="9">
        <v>101</v>
      </c>
      <c r="FR18" s="9">
        <v>101.4</v>
      </c>
      <c r="FS18" s="9">
        <v>101</v>
      </c>
      <c r="FT18" s="9">
        <v>101.1</v>
      </c>
      <c r="FU18" s="9">
        <v>101.2</v>
      </c>
      <c r="FV18" s="9">
        <v>100.7</v>
      </c>
      <c r="FW18" s="9">
        <v>100.5</v>
      </c>
      <c r="FX18" s="9">
        <v>100.8</v>
      </c>
      <c r="FY18" s="9">
        <v>101.1</v>
      </c>
      <c r="FZ18" s="9">
        <v>100.7</v>
      </c>
      <c r="GA18" s="9">
        <v>100.9</v>
      </c>
      <c r="GB18" s="9">
        <v>100.7</v>
      </c>
      <c r="GC18" s="9">
        <v>100.8</v>
      </c>
      <c r="GD18" s="9">
        <v>101.2</v>
      </c>
      <c r="GE18" s="9">
        <v>100.7</v>
      </c>
      <c r="GF18" s="9">
        <v>100.8</v>
      </c>
      <c r="GG18" s="9">
        <v>100.8</v>
      </c>
      <c r="GH18" s="9">
        <v>100.7</v>
      </c>
      <c r="GI18" s="9">
        <v>100.5</v>
      </c>
      <c r="GJ18" s="10"/>
    </row>
    <row r="19" customHeight="1" spans="1:192">
      <c r="A19" s="8" t="s">
        <v>210</v>
      </c>
      <c r="B19" s="8" t="s">
        <v>194</v>
      </c>
      <c r="C19" s="8" t="s">
        <v>195</v>
      </c>
      <c r="D19" s="8"/>
      <c r="E19" s="9">
        <v>101.5</v>
      </c>
      <c r="F19" s="9">
        <v>101.3</v>
      </c>
      <c r="G19" s="9">
        <v>100.7</v>
      </c>
      <c r="H19" s="9">
        <v>101.1</v>
      </c>
      <c r="I19" s="9">
        <v>100.3</v>
      </c>
      <c r="J19" s="9">
        <v>100.5</v>
      </c>
      <c r="K19" s="9">
        <v>99.9</v>
      </c>
      <c r="L19" s="9">
        <v>100</v>
      </c>
      <c r="M19" s="9">
        <v>100.2</v>
      </c>
      <c r="N19" s="9">
        <v>100.4</v>
      </c>
      <c r="O19" s="9">
        <v>100.4</v>
      </c>
      <c r="P19" s="9">
        <v>100.6</v>
      </c>
      <c r="Q19" s="9">
        <v>100.4</v>
      </c>
      <c r="R19" s="9">
        <v>100.4</v>
      </c>
      <c r="S19" s="9">
        <v>100.3</v>
      </c>
      <c r="T19" s="9">
        <v>100.5</v>
      </c>
      <c r="U19" s="9">
        <v>100.9</v>
      </c>
      <c r="V19" s="9">
        <v>100.4</v>
      </c>
      <c r="W19" s="9">
        <v>100.3</v>
      </c>
      <c r="X19" s="9">
        <v>100</v>
      </c>
      <c r="Y19" s="9">
        <v>100.5</v>
      </c>
      <c r="Z19" s="9">
        <v>100.5</v>
      </c>
      <c r="AA19" s="9">
        <v>100.9</v>
      </c>
      <c r="AB19" s="9">
        <v>100.8</v>
      </c>
      <c r="AC19" s="9">
        <v>100.5</v>
      </c>
      <c r="AD19" s="9">
        <v>100.6</v>
      </c>
      <c r="AE19" s="9">
        <v>100</v>
      </c>
      <c r="AF19" s="9">
        <v>100.4</v>
      </c>
      <c r="AG19" s="9">
        <v>100.2</v>
      </c>
      <c r="AH19" s="9">
        <v>100.3</v>
      </c>
      <c r="AI19" s="9">
        <v>100.4</v>
      </c>
      <c r="AJ19" s="9">
        <v>100.1</v>
      </c>
      <c r="AK19" s="9">
        <v>100.1</v>
      </c>
      <c r="AL19" s="9">
        <v>100.3</v>
      </c>
      <c r="AM19" s="9">
        <v>100.6</v>
      </c>
      <c r="AN19" s="9">
        <v>100.8</v>
      </c>
      <c r="AO19" s="9">
        <v>100.4</v>
      </c>
      <c r="AP19" s="9">
        <v>101.5</v>
      </c>
      <c r="AQ19" s="9">
        <v>101.3</v>
      </c>
      <c r="AR19" s="9">
        <v>100.3</v>
      </c>
      <c r="AS19" s="9">
        <v>100.7</v>
      </c>
      <c r="AT19" s="9">
        <v>100.2</v>
      </c>
      <c r="AU19" s="9">
        <v>100.2</v>
      </c>
      <c r="AV19" s="9">
        <v>100.5</v>
      </c>
      <c r="AW19" s="9">
        <v>100.4</v>
      </c>
      <c r="AX19" s="9">
        <v>100.4</v>
      </c>
      <c r="AY19" s="9">
        <v>100.6</v>
      </c>
      <c r="AZ19" s="9">
        <v>100.5</v>
      </c>
      <c r="BA19" s="9">
        <v>100.5</v>
      </c>
      <c r="BB19" s="9">
        <v>100.3</v>
      </c>
      <c r="BC19" s="9">
        <v>100.1</v>
      </c>
      <c r="BD19" s="9">
        <v>100.2</v>
      </c>
      <c r="BE19" s="9">
        <v>100.2</v>
      </c>
      <c r="BF19" s="9">
        <v>99.9</v>
      </c>
      <c r="BG19" s="9">
        <v>101.3</v>
      </c>
      <c r="BH19" s="9">
        <v>100.1</v>
      </c>
      <c r="BI19" s="9">
        <v>101.5</v>
      </c>
      <c r="BJ19" s="9">
        <v>103.7</v>
      </c>
      <c r="BK19" s="9">
        <v>103.7</v>
      </c>
      <c r="BL19" s="9">
        <v>101</v>
      </c>
      <c r="BM19" s="9">
        <v>101.1</v>
      </c>
      <c r="BN19" s="9">
        <v>101.1</v>
      </c>
      <c r="BO19" s="9">
        <v>100.6</v>
      </c>
      <c r="BP19" s="9">
        <v>100.6</v>
      </c>
      <c r="BQ19" s="9">
        <v>100.6</v>
      </c>
      <c r="BR19" s="9">
        <v>101</v>
      </c>
      <c r="BS19" s="9">
        <v>100.4</v>
      </c>
      <c r="BT19" s="9">
        <v>100</v>
      </c>
      <c r="BU19" s="9">
        <v>99.9</v>
      </c>
      <c r="BV19" s="9">
        <v>100.6</v>
      </c>
      <c r="BW19" s="9">
        <v>101.2</v>
      </c>
      <c r="BX19" s="9">
        <v>100.9</v>
      </c>
      <c r="BY19" s="9">
        <v>100.8</v>
      </c>
      <c r="BZ19" s="9">
        <v>101.6</v>
      </c>
      <c r="CA19" s="9">
        <v>100.5</v>
      </c>
      <c r="CB19" s="9">
        <v>100.4</v>
      </c>
      <c r="CC19" s="9">
        <v>100.2</v>
      </c>
      <c r="CD19" s="9">
        <v>100.4</v>
      </c>
      <c r="CE19" s="9">
        <v>100.2</v>
      </c>
      <c r="CF19" s="9">
        <v>99.7</v>
      </c>
      <c r="CG19" s="9">
        <v>100.2</v>
      </c>
      <c r="CH19" s="9">
        <v>101.4</v>
      </c>
      <c r="CI19" s="9">
        <v>100.8</v>
      </c>
      <c r="CJ19" s="9">
        <v>100.7</v>
      </c>
      <c r="CK19" s="9">
        <v>100.4</v>
      </c>
      <c r="CL19" s="9">
        <v>100.8</v>
      </c>
      <c r="CM19" s="9">
        <v>100.8</v>
      </c>
      <c r="CN19" s="9">
        <v>100.1</v>
      </c>
      <c r="CO19" s="9">
        <v>100</v>
      </c>
      <c r="CP19" s="9">
        <v>100.1</v>
      </c>
      <c r="CQ19" s="9">
        <v>100.2</v>
      </c>
      <c r="CR19" s="9">
        <v>100.1</v>
      </c>
      <c r="CS19" s="9">
        <v>100.2</v>
      </c>
      <c r="CT19" s="9">
        <v>100.7</v>
      </c>
      <c r="CU19" s="9">
        <v>100.9</v>
      </c>
      <c r="CV19" s="9">
        <v>100.7</v>
      </c>
      <c r="CW19" s="9">
        <v>100.5</v>
      </c>
      <c r="CX19" s="9">
        <v>100.3</v>
      </c>
      <c r="CY19" s="9">
        <v>100.6</v>
      </c>
      <c r="CZ19" s="9">
        <v>100.4</v>
      </c>
      <c r="DA19" s="9">
        <v>100.6</v>
      </c>
      <c r="DB19" s="9">
        <v>100.3</v>
      </c>
      <c r="DC19" s="9">
        <v>100.2</v>
      </c>
      <c r="DD19" s="9">
        <v>100</v>
      </c>
      <c r="DE19" s="9">
        <v>100.3</v>
      </c>
      <c r="DF19" s="9">
        <v>100.8</v>
      </c>
      <c r="DG19" s="9">
        <v>100.7</v>
      </c>
      <c r="DH19" s="9">
        <v>100.7</v>
      </c>
      <c r="DI19" s="9">
        <v>100.4</v>
      </c>
      <c r="DJ19" s="9">
        <v>100.7</v>
      </c>
      <c r="DK19" s="9">
        <v>100.7</v>
      </c>
      <c r="DL19" s="9">
        <v>100.8</v>
      </c>
      <c r="DM19" s="9">
        <v>100.8</v>
      </c>
      <c r="DN19" s="9">
        <v>100.5</v>
      </c>
      <c r="DO19" s="9">
        <v>100.3</v>
      </c>
      <c r="DP19" s="9">
        <v>100.2</v>
      </c>
      <c r="DQ19" s="9">
        <v>100.2</v>
      </c>
      <c r="DR19" s="9">
        <v>100.8</v>
      </c>
      <c r="DS19" s="9">
        <v>100.8</v>
      </c>
      <c r="DT19" s="9">
        <v>100.8</v>
      </c>
      <c r="DU19" s="9">
        <v>100</v>
      </c>
      <c r="DV19" s="9">
        <v>100</v>
      </c>
      <c r="DW19" s="9">
        <v>100.7</v>
      </c>
      <c r="DX19" s="9">
        <v>101</v>
      </c>
      <c r="DY19" s="9">
        <v>100.5</v>
      </c>
      <c r="DZ19" s="9">
        <v>101.5</v>
      </c>
      <c r="EA19" s="9">
        <v>100.5</v>
      </c>
      <c r="EB19" s="9">
        <v>100.4</v>
      </c>
      <c r="EC19" s="9">
        <v>100.2</v>
      </c>
      <c r="ED19" s="9">
        <v>100.9</v>
      </c>
      <c r="EE19" s="9">
        <v>101.2</v>
      </c>
      <c r="EF19" s="9">
        <v>100.6</v>
      </c>
      <c r="EG19" s="11"/>
      <c r="EH19" s="11"/>
      <c r="EI19" s="11"/>
      <c r="EJ19" s="11"/>
      <c r="EK19" s="11"/>
      <c r="EL19" s="9">
        <v>101.3</v>
      </c>
      <c r="EM19" s="9">
        <v>101.6</v>
      </c>
      <c r="EN19" s="9">
        <v>101.6</v>
      </c>
      <c r="EO19" s="9">
        <v>101.9</v>
      </c>
      <c r="EP19" s="9">
        <v>101.2</v>
      </c>
      <c r="EQ19" s="9">
        <v>101.2</v>
      </c>
      <c r="ER19" s="9">
        <v>101.2</v>
      </c>
      <c r="ES19" s="9">
        <v>101</v>
      </c>
      <c r="ET19" s="9">
        <v>101.1</v>
      </c>
      <c r="EU19" s="9">
        <v>101.4</v>
      </c>
      <c r="EV19" s="9">
        <v>100.9</v>
      </c>
      <c r="EW19" s="9">
        <v>100.6</v>
      </c>
      <c r="EX19" s="9">
        <v>100.7</v>
      </c>
      <c r="EY19" s="9">
        <v>100.6</v>
      </c>
      <c r="EZ19" s="9">
        <v>100.5</v>
      </c>
      <c r="FA19" s="9">
        <v>100.5</v>
      </c>
      <c r="FB19" s="9">
        <v>100.8</v>
      </c>
      <c r="FC19" s="9">
        <v>100.9</v>
      </c>
      <c r="FD19" s="9">
        <v>100.7</v>
      </c>
      <c r="FE19" s="9">
        <v>101.1</v>
      </c>
      <c r="FF19" s="9">
        <v>101.1</v>
      </c>
      <c r="FG19" s="9">
        <v>101</v>
      </c>
      <c r="FH19" s="9">
        <v>100.7</v>
      </c>
      <c r="FI19" s="9">
        <v>100.3</v>
      </c>
      <c r="FJ19" s="9">
        <v>100.3</v>
      </c>
      <c r="FK19" s="9">
        <v>100.7</v>
      </c>
      <c r="FL19" s="9">
        <v>100.8</v>
      </c>
      <c r="FM19" s="9">
        <v>100.5</v>
      </c>
      <c r="FN19" s="9">
        <v>100.7</v>
      </c>
      <c r="FO19" s="9">
        <v>100.7</v>
      </c>
      <c r="FP19" s="9">
        <v>100.7</v>
      </c>
      <c r="FQ19" s="9">
        <v>101.4</v>
      </c>
      <c r="FR19" s="9">
        <v>101.3</v>
      </c>
      <c r="FS19" s="9">
        <v>101.7</v>
      </c>
      <c r="FT19" s="9">
        <v>101</v>
      </c>
      <c r="FU19" s="9">
        <v>100.7</v>
      </c>
      <c r="FV19" s="9">
        <v>101.2</v>
      </c>
      <c r="FW19" s="9">
        <v>100.6</v>
      </c>
      <c r="FX19" s="9">
        <v>100.6</v>
      </c>
      <c r="FY19" s="9">
        <v>101</v>
      </c>
      <c r="FZ19" s="9">
        <v>100.9</v>
      </c>
      <c r="GA19" s="9">
        <v>100.6</v>
      </c>
      <c r="GB19" s="9">
        <v>100.6</v>
      </c>
      <c r="GC19" s="9">
        <v>101.1</v>
      </c>
      <c r="GD19" s="9">
        <v>101.2</v>
      </c>
      <c r="GE19" s="9">
        <v>100.7</v>
      </c>
      <c r="GF19" s="9">
        <v>100.8</v>
      </c>
      <c r="GG19" s="9">
        <v>100.7</v>
      </c>
      <c r="GH19" s="9">
        <v>100.8</v>
      </c>
      <c r="GI19" s="9">
        <v>100.5</v>
      </c>
      <c r="GJ19" s="10"/>
    </row>
    <row r="20" customHeight="1" spans="1:192">
      <c r="A20" s="8" t="s">
        <v>211</v>
      </c>
      <c r="B20" s="8" t="s">
        <v>194</v>
      </c>
      <c r="C20" s="8" t="s">
        <v>195</v>
      </c>
      <c r="D20" s="8"/>
      <c r="E20" s="9">
        <v>102</v>
      </c>
      <c r="F20" s="9">
        <v>102</v>
      </c>
      <c r="G20" s="9">
        <v>100.3</v>
      </c>
      <c r="H20" s="9">
        <v>100.7</v>
      </c>
      <c r="I20" s="9">
        <v>100.4</v>
      </c>
      <c r="J20" s="9">
        <v>100.3</v>
      </c>
      <c r="K20" s="9">
        <v>100.4</v>
      </c>
      <c r="L20" s="9">
        <v>100.2</v>
      </c>
      <c r="M20" s="9">
        <v>100</v>
      </c>
      <c r="N20" s="9">
        <v>100.5</v>
      </c>
      <c r="O20" s="9">
        <v>100.7</v>
      </c>
      <c r="P20" s="9">
        <v>100.4</v>
      </c>
      <c r="Q20" s="9">
        <v>100.3</v>
      </c>
      <c r="R20" s="9">
        <v>100.3</v>
      </c>
      <c r="S20" s="9">
        <v>100.4</v>
      </c>
      <c r="T20" s="9">
        <v>101.2</v>
      </c>
      <c r="U20" s="9">
        <v>101</v>
      </c>
      <c r="V20" s="9">
        <v>100.5</v>
      </c>
      <c r="W20" s="9">
        <v>100</v>
      </c>
      <c r="X20" s="9">
        <v>101.1</v>
      </c>
      <c r="Y20" s="9">
        <v>100.5</v>
      </c>
      <c r="Z20" s="9">
        <v>100.6</v>
      </c>
      <c r="AA20" s="9">
        <v>100.8</v>
      </c>
      <c r="AB20" s="9">
        <v>100.3</v>
      </c>
      <c r="AC20" s="9">
        <v>100.8</v>
      </c>
      <c r="AD20" s="9">
        <v>100.9</v>
      </c>
      <c r="AE20" s="9">
        <v>100.1</v>
      </c>
      <c r="AF20" s="9">
        <v>100.4</v>
      </c>
      <c r="AG20" s="9">
        <v>100.2</v>
      </c>
      <c r="AH20" s="9">
        <v>101.5</v>
      </c>
      <c r="AI20" s="9">
        <v>100.2</v>
      </c>
      <c r="AJ20" s="9">
        <v>101.2</v>
      </c>
      <c r="AK20" s="9">
        <v>100.4</v>
      </c>
      <c r="AL20" s="9">
        <v>100.3</v>
      </c>
      <c r="AM20" s="9">
        <v>100.8</v>
      </c>
      <c r="AN20" s="9">
        <v>100.4</v>
      </c>
      <c r="AO20" s="9">
        <v>100.9</v>
      </c>
      <c r="AP20" s="9">
        <v>101.5</v>
      </c>
      <c r="AQ20" s="9">
        <v>101.4</v>
      </c>
      <c r="AR20" s="9">
        <v>100.5</v>
      </c>
      <c r="AS20" s="9">
        <v>100.4</v>
      </c>
      <c r="AT20" s="9">
        <v>100.2</v>
      </c>
      <c r="AU20" s="9">
        <v>100.2</v>
      </c>
      <c r="AV20" s="9">
        <v>100.5</v>
      </c>
      <c r="AW20" s="9">
        <v>100.7</v>
      </c>
      <c r="AX20" s="9">
        <v>100.5</v>
      </c>
      <c r="AY20" s="9">
        <v>100.8</v>
      </c>
      <c r="AZ20" s="9">
        <v>100.1</v>
      </c>
      <c r="BA20" s="9">
        <v>100.3</v>
      </c>
      <c r="BB20" s="9">
        <v>100.8</v>
      </c>
      <c r="BC20" s="9">
        <v>100</v>
      </c>
      <c r="BD20" s="9">
        <v>100.4</v>
      </c>
      <c r="BE20" s="9">
        <v>100.6</v>
      </c>
      <c r="BF20" s="9">
        <v>99.7</v>
      </c>
      <c r="BG20" s="9">
        <v>100</v>
      </c>
      <c r="BH20" s="9">
        <v>100.1</v>
      </c>
      <c r="BI20" s="9">
        <v>101</v>
      </c>
      <c r="BJ20" s="9">
        <v>105</v>
      </c>
      <c r="BK20" s="9">
        <v>102.5</v>
      </c>
      <c r="BL20" s="9">
        <v>100.7</v>
      </c>
      <c r="BM20" s="9">
        <v>101.2</v>
      </c>
      <c r="BN20" s="9">
        <v>101.5</v>
      </c>
      <c r="BO20" s="9">
        <v>100.3</v>
      </c>
      <c r="BP20" s="9">
        <v>100.6</v>
      </c>
      <c r="BQ20" s="9">
        <v>100.7</v>
      </c>
      <c r="BR20" s="9">
        <v>101</v>
      </c>
      <c r="BS20" s="9">
        <v>100.9</v>
      </c>
      <c r="BT20" s="9">
        <v>99.2</v>
      </c>
      <c r="BU20" s="9">
        <v>99.9</v>
      </c>
      <c r="BV20" s="9">
        <v>101.1</v>
      </c>
      <c r="BW20" s="9">
        <v>101.5</v>
      </c>
      <c r="BX20" s="9">
        <v>100.1</v>
      </c>
      <c r="BY20" s="9">
        <v>100.9</v>
      </c>
      <c r="BZ20" s="9">
        <v>101.1</v>
      </c>
      <c r="CA20" s="9">
        <v>100.3</v>
      </c>
      <c r="CB20" s="9">
        <v>100.4</v>
      </c>
      <c r="CC20" s="9">
        <v>100.7</v>
      </c>
      <c r="CD20" s="9">
        <v>100.8</v>
      </c>
      <c r="CE20" s="9">
        <v>99.7</v>
      </c>
      <c r="CF20" s="9">
        <v>99.9</v>
      </c>
      <c r="CG20" s="9">
        <v>100</v>
      </c>
      <c r="CH20" s="9">
        <v>101.3</v>
      </c>
      <c r="CI20" s="9">
        <v>100.9</v>
      </c>
      <c r="CJ20" s="9">
        <v>100.8</v>
      </c>
      <c r="CK20" s="9">
        <v>100.2</v>
      </c>
      <c r="CL20" s="9">
        <v>101</v>
      </c>
      <c r="CM20" s="9">
        <v>100.3</v>
      </c>
      <c r="CN20" s="9">
        <v>100.7</v>
      </c>
      <c r="CO20" s="9">
        <v>100.2</v>
      </c>
      <c r="CP20" s="9">
        <v>100</v>
      </c>
      <c r="CQ20" s="9">
        <v>100.2</v>
      </c>
      <c r="CR20" s="9">
        <v>100.1</v>
      </c>
      <c r="CS20" s="9">
        <v>100.1</v>
      </c>
      <c r="CT20" s="9">
        <v>100.3</v>
      </c>
      <c r="CU20" s="9">
        <v>101.1</v>
      </c>
      <c r="CV20" s="9">
        <v>100.8</v>
      </c>
      <c r="CW20" s="9">
        <v>100.5</v>
      </c>
      <c r="CX20" s="9">
        <v>100.5</v>
      </c>
      <c r="CY20" s="9">
        <v>100.4</v>
      </c>
      <c r="CZ20" s="9">
        <v>100.8</v>
      </c>
      <c r="DA20" s="9">
        <v>100.6</v>
      </c>
      <c r="DB20" s="9">
        <v>100.2</v>
      </c>
      <c r="DC20" s="9">
        <v>100.3</v>
      </c>
      <c r="DD20" s="9">
        <v>100</v>
      </c>
      <c r="DE20" s="9">
        <v>100.2</v>
      </c>
      <c r="DF20" s="9">
        <v>100.7</v>
      </c>
      <c r="DG20" s="9">
        <v>100.8</v>
      </c>
      <c r="DH20" s="9">
        <v>100.5</v>
      </c>
      <c r="DI20" s="9">
        <v>100.7</v>
      </c>
      <c r="DJ20" s="9">
        <v>100.7</v>
      </c>
      <c r="DK20" s="9">
        <v>100.8</v>
      </c>
      <c r="DL20" s="9">
        <v>101.2</v>
      </c>
      <c r="DM20" s="9">
        <v>100</v>
      </c>
      <c r="DN20" s="9">
        <v>100.5</v>
      </c>
      <c r="DO20" s="9">
        <v>100.7</v>
      </c>
      <c r="DP20" s="9">
        <v>100</v>
      </c>
      <c r="DQ20" s="9">
        <v>100.2</v>
      </c>
      <c r="DR20" s="9">
        <v>100.8</v>
      </c>
      <c r="DS20" s="9">
        <v>101.2</v>
      </c>
      <c r="DT20" s="9">
        <v>100.8</v>
      </c>
      <c r="DU20" s="9">
        <v>100.7</v>
      </c>
      <c r="DV20" s="9">
        <v>100.7</v>
      </c>
      <c r="DW20" s="9">
        <v>100.8</v>
      </c>
      <c r="DX20" s="9">
        <v>100.7</v>
      </c>
      <c r="DY20" s="9">
        <v>100.5</v>
      </c>
      <c r="DZ20" s="9">
        <v>100.9</v>
      </c>
      <c r="EA20" s="9">
        <v>101.1</v>
      </c>
      <c r="EB20" s="9">
        <v>100.2</v>
      </c>
      <c r="EC20" s="9">
        <v>100.7</v>
      </c>
      <c r="ED20" s="9">
        <v>100.9</v>
      </c>
      <c r="EE20" s="9">
        <v>100.6</v>
      </c>
      <c r="EF20" s="9">
        <v>100.4</v>
      </c>
      <c r="EG20" s="9">
        <v>100.9</v>
      </c>
      <c r="EH20" s="9">
        <v>101.1</v>
      </c>
      <c r="EI20" s="9">
        <v>103.4</v>
      </c>
      <c r="EJ20" s="9">
        <v>102.1</v>
      </c>
      <c r="EK20" s="9">
        <v>101.7</v>
      </c>
      <c r="EL20" s="9">
        <v>101.5</v>
      </c>
      <c r="EM20" s="9">
        <v>101</v>
      </c>
      <c r="EN20" s="9">
        <v>101.5</v>
      </c>
      <c r="EO20" s="9">
        <v>102.2</v>
      </c>
      <c r="EP20" s="9">
        <v>101.6</v>
      </c>
      <c r="EQ20" s="9">
        <v>101.3</v>
      </c>
      <c r="ER20" s="9">
        <v>100.8</v>
      </c>
      <c r="ES20" s="9">
        <v>100.8</v>
      </c>
      <c r="ET20" s="9">
        <v>101.7</v>
      </c>
      <c r="EU20" s="9">
        <v>101</v>
      </c>
      <c r="EV20" s="9">
        <v>100.7</v>
      </c>
      <c r="EW20" s="9">
        <v>100.4</v>
      </c>
      <c r="EX20" s="9">
        <v>100.3</v>
      </c>
      <c r="EY20" s="9">
        <v>100.8</v>
      </c>
      <c r="EZ20" s="9">
        <v>101.3</v>
      </c>
      <c r="FA20" s="9">
        <v>101.1</v>
      </c>
      <c r="FB20" s="9">
        <v>100.9</v>
      </c>
      <c r="FC20" s="9">
        <v>101.3</v>
      </c>
      <c r="FD20" s="9">
        <v>100.4</v>
      </c>
      <c r="FE20" s="9">
        <v>101</v>
      </c>
      <c r="FF20" s="9">
        <v>101.9</v>
      </c>
      <c r="FG20" s="9">
        <v>100.3</v>
      </c>
      <c r="FH20" s="9">
        <v>100.6</v>
      </c>
      <c r="FI20" s="9">
        <v>100.3</v>
      </c>
      <c r="FJ20" s="9">
        <v>100.5</v>
      </c>
      <c r="FK20" s="9">
        <v>100.6</v>
      </c>
      <c r="FL20" s="9">
        <v>100.2</v>
      </c>
      <c r="FM20" s="9">
        <v>100.5</v>
      </c>
      <c r="FN20" s="9">
        <v>100.8</v>
      </c>
      <c r="FO20" s="9">
        <v>101.5</v>
      </c>
      <c r="FP20" s="9">
        <v>101</v>
      </c>
      <c r="FQ20" s="9">
        <v>101.2</v>
      </c>
      <c r="FR20" s="9">
        <v>101.9</v>
      </c>
      <c r="FS20" s="9">
        <v>102.4</v>
      </c>
      <c r="FT20" s="9">
        <v>101.2</v>
      </c>
      <c r="FU20" s="9">
        <v>100.2</v>
      </c>
      <c r="FV20" s="9">
        <v>101.2</v>
      </c>
      <c r="FW20" s="9">
        <v>100.8</v>
      </c>
      <c r="FX20" s="9">
        <v>100.8</v>
      </c>
      <c r="FY20" s="9">
        <v>100.9</v>
      </c>
      <c r="FZ20" s="9">
        <v>100.2</v>
      </c>
      <c r="GA20" s="9">
        <v>100.6</v>
      </c>
      <c r="GB20" s="9">
        <v>101</v>
      </c>
      <c r="GC20" s="9">
        <v>100.9</v>
      </c>
      <c r="GD20" s="9">
        <v>101</v>
      </c>
      <c r="GE20" s="9">
        <v>100.4</v>
      </c>
      <c r="GF20" s="9">
        <v>100.7</v>
      </c>
      <c r="GG20" s="9">
        <v>100.6</v>
      </c>
      <c r="GH20" s="9">
        <v>101</v>
      </c>
      <c r="GI20" s="9">
        <v>100.4</v>
      </c>
      <c r="GJ20" s="10"/>
    </row>
    <row r="21" customHeight="1" spans="1:192">
      <c r="A21" s="8" t="s">
        <v>212</v>
      </c>
      <c r="B21" s="8" t="s">
        <v>194</v>
      </c>
      <c r="C21" s="8" t="s">
        <v>195</v>
      </c>
      <c r="D21" s="8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9">
        <v>100.1</v>
      </c>
      <c r="CQ21" s="9">
        <v>100</v>
      </c>
      <c r="CR21" s="9">
        <v>100.3</v>
      </c>
      <c r="CS21" s="9">
        <v>100.6</v>
      </c>
      <c r="CT21" s="9">
        <v>100.3</v>
      </c>
      <c r="CU21" s="9">
        <v>100.7</v>
      </c>
      <c r="CV21" s="9">
        <v>100.8</v>
      </c>
      <c r="CW21" s="9">
        <v>100</v>
      </c>
      <c r="CX21" s="9">
        <v>101.1</v>
      </c>
      <c r="CY21" s="9">
        <v>100.8</v>
      </c>
      <c r="CZ21" s="9">
        <v>100.7</v>
      </c>
      <c r="DA21" s="9">
        <v>100.5</v>
      </c>
      <c r="DB21" s="9">
        <v>100.2</v>
      </c>
      <c r="DC21" s="9">
        <v>99.8</v>
      </c>
      <c r="DD21" s="9">
        <v>100.4</v>
      </c>
      <c r="DE21" s="9">
        <v>100.2</v>
      </c>
      <c r="DF21" s="9">
        <v>100.6</v>
      </c>
      <c r="DG21" s="9">
        <v>100.6</v>
      </c>
      <c r="DH21" s="9">
        <v>100.6</v>
      </c>
      <c r="DI21" s="9">
        <v>101</v>
      </c>
      <c r="DJ21" s="9">
        <v>100.4</v>
      </c>
      <c r="DK21" s="9">
        <v>101</v>
      </c>
      <c r="DL21" s="9">
        <v>100.8</v>
      </c>
      <c r="DM21" s="9">
        <v>100.7</v>
      </c>
      <c r="DN21" s="9">
        <v>100.1</v>
      </c>
      <c r="DO21" s="9">
        <v>100.1</v>
      </c>
      <c r="DP21" s="9">
        <v>100.1</v>
      </c>
      <c r="DQ21" s="9">
        <v>100.5</v>
      </c>
      <c r="DR21" s="9">
        <v>100.8</v>
      </c>
      <c r="DS21" s="9">
        <v>100.8</v>
      </c>
      <c r="DT21" s="9">
        <v>100.6</v>
      </c>
      <c r="DU21" s="9">
        <v>100.6</v>
      </c>
      <c r="DV21" s="9">
        <v>100.8</v>
      </c>
      <c r="DW21" s="9">
        <v>100.6</v>
      </c>
      <c r="DX21" s="9">
        <v>101.1</v>
      </c>
      <c r="DY21" s="9">
        <v>100.5</v>
      </c>
      <c r="DZ21" s="9">
        <v>101.1</v>
      </c>
      <c r="EA21" s="9">
        <v>100.6</v>
      </c>
      <c r="EB21" s="9">
        <v>100.4</v>
      </c>
      <c r="EC21" s="9">
        <v>100.7</v>
      </c>
      <c r="ED21" s="9">
        <v>100.6</v>
      </c>
      <c r="EE21" s="9">
        <v>100.4</v>
      </c>
      <c r="EF21" s="9">
        <v>100.5</v>
      </c>
      <c r="EG21" s="9">
        <v>100.9</v>
      </c>
      <c r="EH21" s="9">
        <v>100.7</v>
      </c>
      <c r="EI21" s="9">
        <v>104.3</v>
      </c>
      <c r="EJ21" s="9">
        <v>101.2</v>
      </c>
      <c r="EK21" s="9">
        <v>101.4</v>
      </c>
      <c r="EL21" s="9">
        <v>101.3</v>
      </c>
      <c r="EM21" s="9">
        <v>101.1</v>
      </c>
      <c r="EN21" s="9">
        <v>101.4</v>
      </c>
      <c r="EO21" s="9">
        <v>101.5</v>
      </c>
      <c r="EP21" s="9">
        <v>102.3</v>
      </c>
      <c r="EQ21" s="9">
        <v>101.3</v>
      </c>
      <c r="ER21" s="9">
        <v>100.7</v>
      </c>
      <c r="ES21" s="9">
        <v>101.5</v>
      </c>
      <c r="ET21" s="9">
        <v>101</v>
      </c>
      <c r="EU21" s="9">
        <v>100.7</v>
      </c>
      <c r="EV21" s="9">
        <v>100.7</v>
      </c>
      <c r="EW21" s="9">
        <v>101</v>
      </c>
      <c r="EX21" s="9">
        <v>100</v>
      </c>
      <c r="EY21" s="9">
        <v>100.7</v>
      </c>
      <c r="EZ21" s="9">
        <v>100.2</v>
      </c>
      <c r="FA21" s="9">
        <v>100.3</v>
      </c>
      <c r="FB21" s="9">
        <v>101.1</v>
      </c>
      <c r="FC21" s="9">
        <v>100.9</v>
      </c>
      <c r="FD21" s="9">
        <v>101</v>
      </c>
      <c r="FE21" s="9">
        <v>101</v>
      </c>
      <c r="FF21" s="9">
        <v>100.9</v>
      </c>
      <c r="FG21" s="9">
        <v>100.8</v>
      </c>
      <c r="FH21" s="9">
        <v>100.4</v>
      </c>
      <c r="FI21" s="9">
        <v>100</v>
      </c>
      <c r="FJ21" s="9">
        <v>100.2</v>
      </c>
      <c r="FK21" s="9">
        <v>100.3</v>
      </c>
      <c r="FL21" s="9">
        <v>100.3</v>
      </c>
      <c r="FM21" s="9">
        <v>100.4</v>
      </c>
      <c r="FN21" s="9">
        <v>100.7</v>
      </c>
      <c r="FO21" s="9">
        <v>101.4</v>
      </c>
      <c r="FP21" s="9">
        <v>100.6</v>
      </c>
      <c r="FQ21" s="9">
        <v>101.1</v>
      </c>
      <c r="FR21" s="9">
        <v>101.5</v>
      </c>
      <c r="FS21" s="9">
        <v>101.1</v>
      </c>
      <c r="FT21" s="9">
        <v>101.5</v>
      </c>
      <c r="FU21" s="9">
        <v>100.9</v>
      </c>
      <c r="FV21" s="9">
        <v>100.3</v>
      </c>
      <c r="FW21" s="9">
        <v>101</v>
      </c>
      <c r="FX21" s="9">
        <v>100.9</v>
      </c>
      <c r="FY21" s="9">
        <v>101.5</v>
      </c>
      <c r="FZ21" s="9">
        <v>100.7</v>
      </c>
      <c r="GA21" s="9">
        <v>100.1</v>
      </c>
      <c r="GB21" s="9">
        <v>100.9</v>
      </c>
      <c r="GC21" s="9">
        <v>101</v>
      </c>
      <c r="GD21" s="9">
        <v>101.2</v>
      </c>
      <c r="GE21" s="9">
        <v>100.4</v>
      </c>
      <c r="GF21" s="9">
        <v>101.2</v>
      </c>
      <c r="GG21" s="9">
        <v>100.3</v>
      </c>
      <c r="GH21" s="9">
        <v>100.8</v>
      </c>
      <c r="GI21" s="9">
        <v>100.4</v>
      </c>
      <c r="GJ21" s="10"/>
    </row>
    <row r="22" customHeight="1" spans="1:192">
      <c r="A22" s="8" t="s">
        <v>213</v>
      </c>
      <c r="B22" s="8" t="s">
        <v>194</v>
      </c>
      <c r="C22" s="8" t="s">
        <v>195</v>
      </c>
      <c r="D22" s="8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9">
        <v>100</v>
      </c>
      <c r="CQ22" s="9">
        <v>99.8</v>
      </c>
      <c r="CR22" s="9">
        <v>100.3</v>
      </c>
      <c r="CS22" s="9">
        <v>100.6</v>
      </c>
      <c r="CT22" s="9">
        <v>100.3</v>
      </c>
      <c r="CU22" s="9">
        <v>100.3</v>
      </c>
      <c r="CV22" s="9">
        <v>100.9</v>
      </c>
      <c r="CW22" s="9">
        <v>100.2</v>
      </c>
      <c r="CX22" s="9">
        <v>100.6</v>
      </c>
      <c r="CY22" s="9">
        <v>100.8</v>
      </c>
      <c r="CZ22" s="9">
        <v>100.4</v>
      </c>
      <c r="DA22" s="9">
        <v>100.6</v>
      </c>
      <c r="DB22" s="9">
        <v>100.4</v>
      </c>
      <c r="DC22" s="9">
        <v>100</v>
      </c>
      <c r="DD22" s="9">
        <v>100.6</v>
      </c>
      <c r="DE22" s="9">
        <v>100</v>
      </c>
      <c r="DF22" s="9">
        <v>100.2</v>
      </c>
      <c r="DG22" s="9">
        <v>100.6</v>
      </c>
      <c r="DH22" s="9">
        <v>100.8</v>
      </c>
      <c r="DI22" s="9">
        <v>101.4</v>
      </c>
      <c r="DJ22" s="9">
        <v>100.4</v>
      </c>
      <c r="DK22" s="9">
        <v>100.7</v>
      </c>
      <c r="DL22" s="9">
        <v>100.9</v>
      </c>
      <c r="DM22" s="9">
        <v>100.8</v>
      </c>
      <c r="DN22" s="9">
        <v>100.2</v>
      </c>
      <c r="DO22" s="9">
        <v>100</v>
      </c>
      <c r="DP22" s="9">
        <v>100.3</v>
      </c>
      <c r="DQ22" s="9">
        <v>100.6</v>
      </c>
      <c r="DR22" s="9">
        <v>100.6</v>
      </c>
      <c r="DS22" s="9">
        <v>100.9</v>
      </c>
      <c r="DT22" s="9">
        <v>101</v>
      </c>
      <c r="DU22" s="9">
        <v>100.6</v>
      </c>
      <c r="DV22" s="9">
        <v>100.6</v>
      </c>
      <c r="DW22" s="9">
        <v>100.7</v>
      </c>
      <c r="DX22" s="9">
        <v>100.7</v>
      </c>
      <c r="DY22" s="9">
        <v>101</v>
      </c>
      <c r="DZ22" s="9">
        <v>100.9</v>
      </c>
      <c r="EA22" s="9">
        <v>100.7</v>
      </c>
      <c r="EB22" s="9">
        <v>101</v>
      </c>
      <c r="EC22" s="9">
        <v>100.3</v>
      </c>
      <c r="ED22" s="9">
        <v>101</v>
      </c>
      <c r="EE22" s="9">
        <v>100.3</v>
      </c>
      <c r="EF22" s="9">
        <v>100.3</v>
      </c>
      <c r="EG22" s="9">
        <v>100.7</v>
      </c>
      <c r="EH22" s="9">
        <v>101.3</v>
      </c>
      <c r="EI22" s="9">
        <v>104.1</v>
      </c>
      <c r="EJ22" s="9">
        <v>103</v>
      </c>
      <c r="EK22" s="9">
        <v>100.9</v>
      </c>
      <c r="EL22" s="9">
        <v>101.1</v>
      </c>
      <c r="EM22" s="9">
        <v>100.7</v>
      </c>
      <c r="EN22" s="9">
        <v>101.3</v>
      </c>
      <c r="EO22" s="9">
        <v>101.6</v>
      </c>
      <c r="EP22" s="9">
        <v>101.1</v>
      </c>
      <c r="EQ22" s="9">
        <v>101.4</v>
      </c>
      <c r="ER22" s="9">
        <v>101.6</v>
      </c>
      <c r="ES22" s="9">
        <v>101.2</v>
      </c>
      <c r="ET22" s="9">
        <v>101.6</v>
      </c>
      <c r="EU22" s="9">
        <v>101</v>
      </c>
      <c r="EV22" s="9">
        <v>101.2</v>
      </c>
      <c r="EW22" s="9">
        <v>100.6</v>
      </c>
      <c r="EX22" s="9">
        <v>100.3</v>
      </c>
      <c r="EY22" s="9">
        <v>100.3</v>
      </c>
      <c r="EZ22" s="9">
        <v>100.6</v>
      </c>
      <c r="FA22" s="9">
        <v>100.4</v>
      </c>
      <c r="FB22" s="9">
        <v>100.6</v>
      </c>
      <c r="FC22" s="9">
        <v>101.3</v>
      </c>
      <c r="FD22" s="9">
        <v>100.8</v>
      </c>
      <c r="FE22" s="9">
        <v>100.7</v>
      </c>
      <c r="FF22" s="9">
        <v>100.8</v>
      </c>
      <c r="FG22" s="9">
        <v>100.2</v>
      </c>
      <c r="FH22" s="9">
        <v>100.3</v>
      </c>
      <c r="FI22" s="9">
        <v>100</v>
      </c>
      <c r="FJ22" s="9">
        <v>100.4</v>
      </c>
      <c r="FK22" s="9">
        <v>100.7</v>
      </c>
      <c r="FL22" s="9">
        <v>100.9</v>
      </c>
      <c r="FM22" s="9">
        <v>100.6</v>
      </c>
      <c r="FN22" s="9">
        <v>100.6</v>
      </c>
      <c r="FO22" s="9">
        <v>101.2</v>
      </c>
      <c r="FP22" s="9">
        <v>100.7</v>
      </c>
      <c r="FQ22" s="9">
        <v>100.7</v>
      </c>
      <c r="FR22" s="9">
        <v>101.3</v>
      </c>
      <c r="FS22" s="9">
        <v>101.3</v>
      </c>
      <c r="FT22" s="9">
        <v>101.5</v>
      </c>
      <c r="FU22" s="9">
        <v>100.6</v>
      </c>
      <c r="FV22" s="9">
        <v>100.8</v>
      </c>
      <c r="FW22" s="9">
        <v>100.3</v>
      </c>
      <c r="FX22" s="9">
        <v>101.4</v>
      </c>
      <c r="FY22" s="9">
        <v>101.1</v>
      </c>
      <c r="FZ22" s="9">
        <v>100.7</v>
      </c>
      <c r="GA22" s="9">
        <v>101.2</v>
      </c>
      <c r="GB22" s="9">
        <v>100.8</v>
      </c>
      <c r="GC22" s="9">
        <v>101.1</v>
      </c>
      <c r="GD22" s="9">
        <v>101.4</v>
      </c>
      <c r="GE22" s="9">
        <v>100.6</v>
      </c>
      <c r="GF22" s="9">
        <v>100.8</v>
      </c>
      <c r="GG22" s="9">
        <v>100.7</v>
      </c>
      <c r="GH22" s="9">
        <v>100.2</v>
      </c>
      <c r="GI22" s="9">
        <v>100.9</v>
      </c>
      <c r="GJ22" s="10"/>
    </row>
    <row r="23" customHeight="1" spans="1:192">
      <c r="A23" s="8" t="s">
        <v>214</v>
      </c>
      <c r="B23" s="8" t="s">
        <v>194</v>
      </c>
      <c r="C23" s="8" t="s">
        <v>195</v>
      </c>
      <c r="D23" s="8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9">
        <v>101.3</v>
      </c>
      <c r="EM23" s="9">
        <v>101.5</v>
      </c>
      <c r="EN23" s="9">
        <v>101.7</v>
      </c>
      <c r="EO23" s="9">
        <v>101.8</v>
      </c>
      <c r="EP23" s="9">
        <v>101.4</v>
      </c>
      <c r="EQ23" s="9">
        <v>101.1</v>
      </c>
      <c r="ER23" s="9">
        <v>101.1</v>
      </c>
      <c r="ES23" s="9">
        <v>101.2</v>
      </c>
      <c r="ET23" s="9">
        <v>100.8</v>
      </c>
      <c r="EU23" s="9">
        <v>101</v>
      </c>
      <c r="EV23" s="9">
        <v>101.4</v>
      </c>
      <c r="EW23" s="9">
        <v>100.5</v>
      </c>
      <c r="EX23" s="9">
        <v>100.4</v>
      </c>
      <c r="EY23" s="9">
        <v>100.4</v>
      </c>
      <c r="EZ23" s="9">
        <v>100.7</v>
      </c>
      <c r="FA23" s="9">
        <v>100.3</v>
      </c>
      <c r="FB23" s="9">
        <v>100.5</v>
      </c>
      <c r="FC23" s="9">
        <v>101</v>
      </c>
      <c r="FD23" s="9">
        <v>101.2</v>
      </c>
      <c r="FE23" s="9">
        <v>101.1</v>
      </c>
      <c r="FF23" s="9">
        <v>100.5</v>
      </c>
      <c r="FG23" s="9">
        <v>100.9</v>
      </c>
      <c r="FH23" s="9">
        <v>100.3</v>
      </c>
      <c r="FI23" s="9">
        <v>100.4</v>
      </c>
      <c r="FJ23" s="9">
        <v>100.2</v>
      </c>
      <c r="FK23" s="9">
        <v>100.6</v>
      </c>
      <c r="FL23" s="9">
        <v>100.7</v>
      </c>
      <c r="FM23" s="9">
        <v>100.9</v>
      </c>
      <c r="FN23" s="9">
        <v>100.9</v>
      </c>
      <c r="FO23" s="9">
        <v>101.1</v>
      </c>
      <c r="FP23" s="9">
        <v>100.9</v>
      </c>
      <c r="FQ23" s="9">
        <v>101.2</v>
      </c>
      <c r="FR23" s="9">
        <v>100.7</v>
      </c>
      <c r="FS23" s="9">
        <v>101.3</v>
      </c>
      <c r="FT23" s="9">
        <v>101</v>
      </c>
      <c r="FU23" s="9">
        <v>100.9</v>
      </c>
      <c r="FV23" s="9">
        <v>101.3</v>
      </c>
      <c r="FW23" s="9">
        <v>100.8</v>
      </c>
      <c r="FX23" s="9">
        <v>100.3</v>
      </c>
      <c r="FY23" s="9">
        <v>100.9</v>
      </c>
      <c r="FZ23" s="9">
        <v>100.8</v>
      </c>
      <c r="GA23" s="9">
        <v>101</v>
      </c>
      <c r="GB23" s="9">
        <v>100.8</v>
      </c>
      <c r="GC23" s="9">
        <v>101</v>
      </c>
      <c r="GD23" s="9">
        <v>101</v>
      </c>
      <c r="GE23" s="9">
        <v>100.7</v>
      </c>
      <c r="GF23" s="9">
        <v>100.7</v>
      </c>
      <c r="GG23" s="9">
        <v>100.4</v>
      </c>
      <c r="GH23" s="9">
        <v>100.8</v>
      </c>
      <c r="GI23" s="9">
        <v>100.3</v>
      </c>
      <c r="GJ23" s="10"/>
    </row>
    <row r="24" customHeight="1" spans="1:192">
      <c r="A24" s="8" t="s">
        <v>215</v>
      </c>
      <c r="B24" s="8" t="s">
        <v>194</v>
      </c>
      <c r="C24" s="8" t="s">
        <v>195</v>
      </c>
      <c r="D24" s="8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9">
        <v>102.4</v>
      </c>
      <c r="EM24" s="9">
        <v>100.9</v>
      </c>
      <c r="EN24" s="9">
        <v>101.6</v>
      </c>
      <c r="EO24" s="9">
        <v>101.1</v>
      </c>
      <c r="EP24" s="9">
        <v>101.4</v>
      </c>
      <c r="EQ24" s="9">
        <v>101.5</v>
      </c>
      <c r="ER24" s="9">
        <v>101.4</v>
      </c>
      <c r="ES24" s="9">
        <v>101</v>
      </c>
      <c r="ET24" s="9">
        <v>101.2</v>
      </c>
      <c r="EU24" s="9">
        <v>101.2</v>
      </c>
      <c r="EV24" s="9">
        <v>101.1</v>
      </c>
      <c r="EW24" s="9">
        <v>100.8</v>
      </c>
      <c r="EX24" s="9">
        <v>100.6</v>
      </c>
      <c r="EY24" s="9">
        <v>100.6</v>
      </c>
      <c r="EZ24" s="9">
        <v>100.7</v>
      </c>
      <c r="FA24" s="9">
        <v>100.6</v>
      </c>
      <c r="FB24" s="9">
        <v>100.5</v>
      </c>
      <c r="FC24" s="9">
        <v>100.6</v>
      </c>
      <c r="FD24" s="9">
        <v>100.8</v>
      </c>
      <c r="FE24" s="9">
        <v>100.9</v>
      </c>
      <c r="FF24" s="9">
        <v>101</v>
      </c>
      <c r="FG24" s="9">
        <v>100.8</v>
      </c>
      <c r="FH24" s="9">
        <v>101.1</v>
      </c>
      <c r="FI24" s="9">
        <v>100.3</v>
      </c>
      <c r="FJ24" s="9">
        <v>100.5</v>
      </c>
      <c r="FK24" s="9">
        <v>100.6</v>
      </c>
      <c r="FL24" s="9">
        <v>100.3</v>
      </c>
      <c r="FM24" s="9">
        <v>100.5</v>
      </c>
      <c r="FN24" s="9">
        <v>100.5</v>
      </c>
      <c r="FO24" s="9">
        <v>100.8</v>
      </c>
      <c r="FP24" s="9">
        <v>100.9</v>
      </c>
      <c r="FQ24" s="9">
        <v>100.9</v>
      </c>
      <c r="FR24" s="9">
        <v>101.2</v>
      </c>
      <c r="FS24" s="9">
        <v>100.8</v>
      </c>
      <c r="FT24" s="9">
        <v>101.1</v>
      </c>
      <c r="FU24" s="9">
        <v>101.3</v>
      </c>
      <c r="FV24" s="9">
        <v>101</v>
      </c>
      <c r="FW24" s="9">
        <v>100.8</v>
      </c>
      <c r="FX24" s="9">
        <v>101.1</v>
      </c>
      <c r="FY24" s="9">
        <v>101.3</v>
      </c>
      <c r="FZ24" s="9">
        <v>101</v>
      </c>
      <c r="GA24" s="9">
        <v>100.6</v>
      </c>
      <c r="GB24" s="9">
        <v>100.4</v>
      </c>
      <c r="GC24" s="9">
        <v>101</v>
      </c>
      <c r="GD24" s="9">
        <v>100.9</v>
      </c>
      <c r="GE24" s="9">
        <v>100.8</v>
      </c>
      <c r="GF24" s="9">
        <v>100.8</v>
      </c>
      <c r="GG24" s="9">
        <v>100.5</v>
      </c>
      <c r="GH24" s="9">
        <v>102.1</v>
      </c>
      <c r="GI24" s="9">
        <v>101.2</v>
      </c>
      <c r="GJ24" s="10"/>
    </row>
    <row r="25" customHeight="1" spans="1:192">
      <c r="A25" s="8" t="s">
        <v>216</v>
      </c>
      <c r="B25" s="8" t="s">
        <v>194</v>
      </c>
      <c r="C25" s="8" t="s">
        <v>195</v>
      </c>
      <c r="D25" s="8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9">
        <v>101.3</v>
      </c>
      <c r="EM25" s="9">
        <v>101.4</v>
      </c>
      <c r="EN25" s="9">
        <v>102.7</v>
      </c>
      <c r="EO25" s="9">
        <v>101.5</v>
      </c>
      <c r="EP25" s="9">
        <v>100.8</v>
      </c>
      <c r="EQ25" s="9">
        <v>101.2</v>
      </c>
      <c r="ER25" s="9">
        <v>100.8</v>
      </c>
      <c r="ES25" s="9">
        <v>101</v>
      </c>
      <c r="ET25" s="9">
        <v>101.6</v>
      </c>
      <c r="EU25" s="9">
        <v>100.6</v>
      </c>
      <c r="EV25" s="9">
        <v>101.4</v>
      </c>
      <c r="EW25" s="9">
        <v>100.8</v>
      </c>
      <c r="EX25" s="9">
        <v>100.8</v>
      </c>
      <c r="EY25" s="9">
        <v>101</v>
      </c>
      <c r="EZ25" s="9">
        <v>100.3</v>
      </c>
      <c r="FA25" s="9">
        <v>100.6</v>
      </c>
      <c r="FB25" s="9">
        <v>100.5</v>
      </c>
      <c r="FC25" s="9">
        <v>101</v>
      </c>
      <c r="FD25" s="9">
        <v>100.3</v>
      </c>
      <c r="FE25" s="9">
        <v>100.5</v>
      </c>
      <c r="FF25" s="9">
        <v>100.7</v>
      </c>
      <c r="FG25" s="9">
        <v>100.5</v>
      </c>
      <c r="FH25" s="9">
        <v>100.7</v>
      </c>
      <c r="FI25" s="9">
        <v>100.1</v>
      </c>
      <c r="FJ25" s="9">
        <v>100.3</v>
      </c>
      <c r="FK25" s="9">
        <v>100.8</v>
      </c>
      <c r="FL25" s="9">
        <v>100.2</v>
      </c>
      <c r="FM25" s="9">
        <v>100.4</v>
      </c>
      <c r="FN25" s="9">
        <v>101.1</v>
      </c>
      <c r="FO25" s="9">
        <v>101</v>
      </c>
      <c r="FP25" s="9">
        <v>101</v>
      </c>
      <c r="FQ25" s="9">
        <v>101.3</v>
      </c>
      <c r="FR25" s="9">
        <v>101.4</v>
      </c>
      <c r="FS25" s="9">
        <v>101.6</v>
      </c>
      <c r="FT25" s="9">
        <v>101</v>
      </c>
      <c r="FU25" s="9">
        <v>100.6</v>
      </c>
      <c r="FV25" s="9">
        <v>100.6</v>
      </c>
      <c r="FW25" s="9">
        <v>101.1</v>
      </c>
      <c r="FX25" s="9">
        <v>101.8</v>
      </c>
      <c r="FY25" s="9">
        <v>101.1</v>
      </c>
      <c r="FZ25" s="9">
        <v>100.9</v>
      </c>
      <c r="GA25" s="9">
        <v>100.9</v>
      </c>
      <c r="GB25" s="9">
        <v>100.5</v>
      </c>
      <c r="GC25" s="9">
        <v>101.4</v>
      </c>
      <c r="GD25" s="9">
        <v>101.4</v>
      </c>
      <c r="GE25" s="9">
        <v>101</v>
      </c>
      <c r="GF25" s="9">
        <v>101</v>
      </c>
      <c r="GG25" s="9">
        <v>101</v>
      </c>
      <c r="GH25" s="9">
        <v>100.6</v>
      </c>
      <c r="GI25" s="9">
        <v>100.6</v>
      </c>
      <c r="GJ25" s="10"/>
    </row>
    <row r="26" spans="1:192">
      <c r="A26" s="6"/>
      <c r="B26" s="6"/>
      <c r="C26" s="6"/>
      <c r="D26" s="6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</row>
  </sheetData>
  <sheetProtection objects="1" scenarios="1"/>
  <mergeCells count="212"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A26:D26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Z2:CZ3"/>
    <mergeCell ref="DA2:DA3"/>
    <mergeCell ref="DB2:DB3"/>
    <mergeCell ref="DC2:DC3"/>
    <mergeCell ref="DD2:DD3"/>
    <mergeCell ref="DE2:DE3"/>
    <mergeCell ref="DF2:DF3"/>
    <mergeCell ref="DG2:DG3"/>
    <mergeCell ref="DH2:DH3"/>
    <mergeCell ref="DI2:DI3"/>
    <mergeCell ref="DJ2:DJ3"/>
    <mergeCell ref="DK2:DK3"/>
    <mergeCell ref="DL2:DL3"/>
    <mergeCell ref="DM2:DM3"/>
    <mergeCell ref="DN2:DN3"/>
    <mergeCell ref="DO2:DO3"/>
    <mergeCell ref="DP2:DP3"/>
    <mergeCell ref="DQ2:DQ3"/>
    <mergeCell ref="DR2:DR3"/>
    <mergeCell ref="DS2:DS3"/>
    <mergeCell ref="DT2:DT3"/>
    <mergeCell ref="DU2:DU3"/>
    <mergeCell ref="DV2:DV3"/>
    <mergeCell ref="DW2:DW3"/>
    <mergeCell ref="DX2:DX3"/>
    <mergeCell ref="DY2:DY3"/>
    <mergeCell ref="DZ2:DZ3"/>
    <mergeCell ref="EA2:EA3"/>
    <mergeCell ref="EB2:EB3"/>
    <mergeCell ref="EC2:EC3"/>
    <mergeCell ref="ED2:ED3"/>
    <mergeCell ref="EE2:EE3"/>
    <mergeCell ref="EF2:EF3"/>
    <mergeCell ref="EG2:EG3"/>
    <mergeCell ref="EH2:EH3"/>
    <mergeCell ref="EI2:EI3"/>
    <mergeCell ref="EJ2:EJ3"/>
    <mergeCell ref="EK2:EK3"/>
    <mergeCell ref="EL2:EL3"/>
    <mergeCell ref="EM2:EM3"/>
    <mergeCell ref="EN2:EN3"/>
    <mergeCell ref="EO2:EO3"/>
    <mergeCell ref="EP2:EP3"/>
    <mergeCell ref="EQ2:EQ3"/>
    <mergeCell ref="ER2:ER3"/>
    <mergeCell ref="ES2:ES3"/>
    <mergeCell ref="ET2:ET3"/>
    <mergeCell ref="EU2:EU3"/>
    <mergeCell ref="EV2:EV3"/>
    <mergeCell ref="EW2:EW3"/>
    <mergeCell ref="EX2:EX3"/>
    <mergeCell ref="EY2:EY3"/>
    <mergeCell ref="EZ2:EZ3"/>
    <mergeCell ref="FA2:FA3"/>
    <mergeCell ref="FB2:FB3"/>
    <mergeCell ref="FC2:FC3"/>
    <mergeCell ref="FD2:FD3"/>
    <mergeCell ref="FE2:FE3"/>
    <mergeCell ref="FF2:FF3"/>
    <mergeCell ref="FG2:FG3"/>
    <mergeCell ref="FH2:FH3"/>
    <mergeCell ref="FI2:FI3"/>
    <mergeCell ref="FJ2:FJ3"/>
    <mergeCell ref="FK2:FK3"/>
    <mergeCell ref="FL2:FL3"/>
    <mergeCell ref="FM2:FM3"/>
    <mergeCell ref="FN2:FN3"/>
    <mergeCell ref="FO2:FO3"/>
    <mergeCell ref="FP2:FP3"/>
    <mergeCell ref="FQ2:FQ3"/>
    <mergeCell ref="FR2:FR3"/>
    <mergeCell ref="FS2:FS3"/>
    <mergeCell ref="FT2:FT3"/>
    <mergeCell ref="FU2:FU3"/>
    <mergeCell ref="FV2:FV3"/>
    <mergeCell ref="FW2:FW3"/>
    <mergeCell ref="FX2:FX3"/>
    <mergeCell ref="FY2:FY3"/>
    <mergeCell ref="FZ2:FZ3"/>
    <mergeCell ref="GA2:GA3"/>
    <mergeCell ref="GB2:GB3"/>
    <mergeCell ref="GC2:GC3"/>
    <mergeCell ref="GD2:GD3"/>
    <mergeCell ref="GE2:GE3"/>
    <mergeCell ref="GF2:GF3"/>
    <mergeCell ref="GG2:GG3"/>
    <mergeCell ref="GH2:GH3"/>
    <mergeCell ref="GI2:GI3"/>
    <mergeCell ref="GJ1:GJ3"/>
    <mergeCell ref="A1:C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GG191"/>
  <sheetViews>
    <sheetView topLeftCell="A165" workbookViewId="0">
      <selection activeCell="E191" sqref="E191"/>
    </sheetView>
  </sheetViews>
  <sheetFormatPr defaultColWidth="9" defaultRowHeight="16.8"/>
  <cols>
    <col min="1" max="1" width="22.421875" customWidth="1"/>
    <col min="2" max="2" width="29.078125" customWidth="1"/>
    <col min="3" max="3" width="12.140625" customWidth="1"/>
    <col min="4" max="4" width="13.3125" customWidth="1"/>
    <col min="5" max="5" width="10.484375" customWidth="1"/>
    <col min="6" max="6" width="12.0859375" customWidth="1"/>
    <col min="7" max="7" width="9.640625" customWidth="1"/>
    <col min="8" max="9" width="10.703125" customWidth="1"/>
    <col min="10" max="10" width="11.5546875" customWidth="1"/>
    <col min="11" max="11" width="13.890625" customWidth="1"/>
    <col min="12" max="12" width="12.9921875" customWidth="1"/>
    <col min="13" max="13" width="12.2421875" customWidth="1"/>
    <col min="14" max="14" width="13.0390625" customWidth="1"/>
    <col min="15" max="15" width="12.140625" customWidth="1"/>
    <col min="16" max="16" width="13.3125" customWidth="1"/>
    <col min="17" max="17" width="10.484375" customWidth="1"/>
    <col min="18" max="18" width="12.0859375" customWidth="1"/>
    <col min="19" max="19" width="9.640625" customWidth="1"/>
    <col min="20" max="21" width="10.703125" customWidth="1"/>
    <col min="22" max="22" width="11.5546875" customWidth="1"/>
    <col min="23" max="23" width="13.890625" customWidth="1"/>
    <col min="24" max="24" width="12.9921875" customWidth="1"/>
    <col min="25" max="25" width="12.2421875" customWidth="1"/>
    <col min="26" max="26" width="13.0390625" customWidth="1"/>
    <col min="27" max="27" width="12.140625" customWidth="1"/>
    <col min="28" max="28" width="13.3125" customWidth="1"/>
    <col min="29" max="29" width="10.484375" customWidth="1"/>
    <col min="30" max="30" width="12.0859375" customWidth="1"/>
    <col min="31" max="31" width="9.640625" customWidth="1"/>
    <col min="32" max="33" width="10.703125" customWidth="1"/>
    <col min="34" max="34" width="11.5546875" customWidth="1"/>
    <col min="35" max="35" width="13.890625" customWidth="1"/>
    <col min="36" max="36" width="12.9921875" customWidth="1"/>
    <col min="37" max="37" width="12.2421875" customWidth="1"/>
    <col min="38" max="38" width="13.0390625" customWidth="1"/>
    <col min="39" max="39" width="12.140625" customWidth="1"/>
    <col min="40" max="40" width="13.3125" customWidth="1"/>
    <col min="41" max="41" width="10.484375" customWidth="1"/>
    <col min="42" max="42" width="12.0859375" customWidth="1"/>
    <col min="43" max="43" width="9.640625" customWidth="1"/>
    <col min="44" max="45" width="10.703125" customWidth="1"/>
    <col min="46" max="46" width="11.5546875" customWidth="1"/>
    <col min="47" max="47" width="13.890625" customWidth="1"/>
    <col min="48" max="48" width="12.9921875" customWidth="1"/>
    <col min="49" max="49" width="12.2421875" customWidth="1"/>
    <col min="50" max="50" width="13.0390625" customWidth="1"/>
    <col min="51" max="51" width="12.140625" customWidth="1"/>
    <col min="52" max="52" width="13.3125" customWidth="1"/>
    <col min="53" max="53" width="10.484375" customWidth="1"/>
    <col min="54" max="54" width="12.0859375" customWidth="1"/>
    <col min="55" max="55" width="9.640625" customWidth="1"/>
    <col min="56" max="57" width="10.703125" customWidth="1"/>
    <col min="58" max="58" width="11.5546875" customWidth="1"/>
    <col min="59" max="59" width="13.890625" customWidth="1"/>
    <col min="60" max="60" width="12.9921875" customWidth="1"/>
    <col min="61" max="61" width="12.2421875" customWidth="1"/>
    <col min="62" max="62" width="13.0390625" customWidth="1"/>
    <col min="63" max="63" width="12.140625" customWidth="1"/>
    <col min="64" max="64" width="13.3125" customWidth="1"/>
    <col min="65" max="65" width="10.484375" customWidth="1"/>
    <col min="66" max="66" width="12.0859375" customWidth="1"/>
    <col min="67" max="67" width="9.640625" customWidth="1"/>
    <col min="68" max="69" width="10.703125" customWidth="1"/>
    <col min="70" max="70" width="11.5546875" customWidth="1"/>
    <col min="71" max="71" width="13.890625" customWidth="1"/>
    <col min="72" max="72" width="12.9921875" customWidth="1"/>
    <col min="73" max="73" width="12.2421875" customWidth="1"/>
    <col min="74" max="74" width="13.0390625" customWidth="1"/>
    <col min="75" max="75" width="12.140625" customWidth="1"/>
    <col min="76" max="76" width="13.3125" customWidth="1"/>
    <col min="77" max="77" width="10.484375" customWidth="1"/>
    <col min="78" max="78" width="12.0859375" customWidth="1"/>
    <col min="79" max="79" width="9.640625" customWidth="1"/>
    <col min="80" max="81" width="10.703125" customWidth="1"/>
    <col min="82" max="82" width="11.5546875" customWidth="1"/>
    <col min="83" max="83" width="13.890625" customWidth="1"/>
    <col min="84" max="84" width="12.9921875" customWidth="1"/>
    <col min="85" max="85" width="12.2421875" customWidth="1"/>
    <col min="86" max="86" width="13.0390625" customWidth="1"/>
    <col min="87" max="87" width="12.140625" customWidth="1"/>
    <col min="88" max="88" width="13.3125" customWidth="1"/>
    <col min="89" max="89" width="10.484375" customWidth="1"/>
    <col min="90" max="90" width="12.0859375" customWidth="1"/>
    <col min="91" max="91" width="9.640625" customWidth="1"/>
    <col min="92" max="93" width="10.703125" customWidth="1"/>
    <col min="94" max="94" width="11.5546875" customWidth="1"/>
    <col min="95" max="95" width="13.890625" customWidth="1"/>
    <col min="96" max="96" width="12.9921875" customWidth="1"/>
    <col min="97" max="97" width="12.2421875" customWidth="1"/>
    <col min="98" max="98" width="13.0390625" customWidth="1"/>
    <col min="99" max="99" width="12.140625" customWidth="1"/>
    <col min="100" max="100" width="13.3125" customWidth="1"/>
    <col min="101" max="101" width="10.484375" customWidth="1"/>
    <col min="102" max="102" width="12.0859375" customWidth="1"/>
    <col min="103" max="103" width="9.640625" customWidth="1"/>
    <col min="104" max="105" width="10.703125" customWidth="1"/>
    <col min="106" max="106" width="11.5546875" customWidth="1"/>
    <col min="107" max="107" width="13.890625" customWidth="1"/>
    <col min="108" max="108" width="12.9921875" customWidth="1"/>
    <col min="109" max="109" width="12.2421875" customWidth="1"/>
    <col min="110" max="110" width="13.0390625" customWidth="1"/>
    <col min="111" max="111" width="12.140625" customWidth="1"/>
    <col min="112" max="112" width="13.3125" customWidth="1"/>
    <col min="113" max="113" width="10.484375" customWidth="1"/>
    <col min="114" max="114" width="12.0859375" customWidth="1"/>
    <col min="115" max="115" width="9.640625" customWidth="1"/>
    <col min="116" max="117" width="10.703125" customWidth="1"/>
    <col min="118" max="118" width="11.5546875" customWidth="1"/>
    <col min="119" max="119" width="13.890625" customWidth="1"/>
    <col min="120" max="120" width="12.9921875" customWidth="1"/>
    <col min="121" max="121" width="12.2421875" customWidth="1"/>
    <col min="122" max="122" width="13.0390625" customWidth="1"/>
    <col min="123" max="123" width="12.140625" customWidth="1"/>
    <col min="124" max="124" width="13.3125" customWidth="1"/>
    <col min="125" max="125" width="10.484375" customWidth="1"/>
    <col min="126" max="126" width="12.0859375" customWidth="1"/>
    <col min="127" max="127" width="9.640625" customWidth="1"/>
    <col min="128" max="129" width="10.703125" customWidth="1"/>
    <col min="130" max="130" width="11.5546875" customWidth="1"/>
    <col min="131" max="131" width="13.890625" customWidth="1"/>
    <col min="132" max="132" width="12.9921875" customWidth="1"/>
    <col min="133" max="133" width="12.2421875" customWidth="1"/>
    <col min="134" max="134" width="13.0390625" customWidth="1"/>
    <col min="135" max="135" width="12.140625" customWidth="1"/>
    <col min="136" max="136" width="13.3125" customWidth="1"/>
    <col min="137" max="137" width="10.484375" customWidth="1"/>
    <col min="138" max="138" width="12.0859375" customWidth="1"/>
    <col min="139" max="139" width="9.640625" customWidth="1"/>
    <col min="140" max="141" width="10.703125" customWidth="1"/>
    <col min="142" max="142" width="11.5546875" customWidth="1"/>
    <col min="143" max="143" width="13.890625" customWidth="1"/>
    <col min="144" max="144" width="12.9921875" customWidth="1"/>
    <col min="145" max="145" width="12.2421875" customWidth="1"/>
    <col min="146" max="146" width="13.0390625" customWidth="1"/>
    <col min="147" max="147" width="12.140625" customWidth="1"/>
    <col min="148" max="148" width="13.3125" customWidth="1"/>
    <col min="149" max="149" width="10.484375" customWidth="1"/>
    <col min="150" max="150" width="12.0859375" customWidth="1"/>
    <col min="151" max="151" width="9.640625" customWidth="1"/>
    <col min="152" max="153" width="10.703125" customWidth="1"/>
    <col min="154" max="154" width="11.5546875" customWidth="1"/>
    <col min="155" max="155" width="13.890625" customWidth="1"/>
    <col min="156" max="156" width="12.9921875" customWidth="1"/>
    <col min="157" max="157" width="12.2421875" customWidth="1"/>
    <col min="158" max="158" width="13.0390625" customWidth="1"/>
    <col min="159" max="159" width="12.140625" customWidth="1"/>
    <col min="160" max="160" width="13.3125" customWidth="1"/>
    <col min="161" max="161" width="10.484375" customWidth="1"/>
    <col min="162" max="162" width="12.0859375" customWidth="1"/>
    <col min="163" max="163" width="9.640625" customWidth="1"/>
    <col min="164" max="165" width="10.703125" customWidth="1"/>
    <col min="166" max="166" width="11.5546875" customWidth="1"/>
    <col min="167" max="167" width="13.890625" customWidth="1"/>
    <col min="168" max="168" width="12.9921875" customWidth="1"/>
    <col min="169" max="169" width="12.2421875" customWidth="1"/>
    <col min="170" max="170" width="13.0390625" customWidth="1"/>
    <col min="171" max="171" width="12.140625" customWidth="1"/>
    <col min="172" max="172" width="13.3125" customWidth="1"/>
    <col min="173" max="173" width="10.484375" customWidth="1"/>
    <col min="174" max="174" width="12.0859375" customWidth="1"/>
    <col min="175" max="175" width="9.640625" customWidth="1"/>
    <col min="176" max="177" width="10.703125" customWidth="1"/>
    <col min="178" max="178" width="11.5546875" customWidth="1"/>
    <col min="179" max="179" width="13.890625" customWidth="1"/>
    <col min="180" max="180" width="12.9921875" customWidth="1"/>
    <col min="181" max="181" width="12.2421875" customWidth="1"/>
    <col min="182" max="182" width="13.0390625" customWidth="1"/>
    <col min="183" max="183" width="12.140625" customWidth="1"/>
    <col min="184" max="184" width="13.3125" customWidth="1"/>
    <col min="185" max="185" width="10.484375" customWidth="1"/>
    <col min="186" max="186" width="12.0859375" customWidth="1"/>
    <col min="187" max="187" width="9.640625" customWidth="1"/>
    <col min="188" max="189" width="10.703125" customWidth="1"/>
  </cols>
  <sheetData>
    <row r="1" spans="1:189">
      <c r="B1" s="1" t="str">
        <f>'W3C Example Table'!D1</f>
        <v>Даты</v>
      </c>
      <c r="C1" s="1" t="str">
        <f>'W3C Example Table'!E1</f>
        <v>Январь 2011 г.</v>
      </c>
      <c r="D1" s="1" t="str">
        <f>'W3C Example Table'!F1</f>
        <v>Февраль 2011 г.</v>
      </c>
      <c r="E1" s="1" t="str">
        <f>'W3C Example Table'!G1</f>
        <v>Март 2011 г.</v>
      </c>
      <c r="F1" s="1" t="str">
        <f>'W3C Example Table'!H1</f>
        <v>Апрель 2011 г.</v>
      </c>
      <c r="G1" s="1" t="str">
        <f>'W3C Example Table'!I1</f>
        <v>Май 2011 г.</v>
      </c>
      <c r="H1" s="1" t="str">
        <f>'W3C Example Table'!J1</f>
        <v>Июнь 2011 г.</v>
      </c>
      <c r="I1" s="1" t="str">
        <f>'W3C Example Table'!K1</f>
        <v>Июль 2011 г.</v>
      </c>
      <c r="J1" s="1" t="str">
        <f>'W3C Example Table'!L1</f>
        <v>Август 2011 г.</v>
      </c>
      <c r="K1" s="1" t="str">
        <f>'W3C Example Table'!M1</f>
        <v>Сентябрь 2011 г.</v>
      </c>
      <c r="L1" s="1" t="str">
        <f>'W3C Example Table'!N1</f>
        <v>Октябрь 2011 г.</v>
      </c>
      <c r="M1" s="1" t="str">
        <f>'W3C Example Table'!O1</f>
        <v>Ноябрь 2011 г.</v>
      </c>
      <c r="N1" s="1" t="str">
        <f>'W3C Example Table'!P1</f>
        <v>Декабрь 2011 г.</v>
      </c>
      <c r="O1" s="1" t="str">
        <f>'W3C Example Table'!Q1</f>
        <v>Январь 2012 г.</v>
      </c>
      <c r="P1" s="1" t="str">
        <f>'W3C Example Table'!R1</f>
        <v>Февраль 2012 г.</v>
      </c>
      <c r="Q1" s="1" t="str">
        <f>'W3C Example Table'!S1</f>
        <v>Март 2012 г.</v>
      </c>
      <c r="R1" s="1" t="str">
        <f>'W3C Example Table'!T1</f>
        <v>Апрель 2012 г.</v>
      </c>
      <c r="S1" s="1" t="str">
        <f>'W3C Example Table'!U1</f>
        <v>Май 2012 г.</v>
      </c>
      <c r="T1" s="1" t="str">
        <f>'W3C Example Table'!V1</f>
        <v>Июнь 2012 г.</v>
      </c>
      <c r="U1" s="1" t="str">
        <f>'W3C Example Table'!W1</f>
        <v>Июль 2012 г.</v>
      </c>
      <c r="V1" s="1" t="str">
        <f>'W3C Example Table'!X1</f>
        <v>Август 2012 г.</v>
      </c>
      <c r="W1" s="1" t="str">
        <f>'W3C Example Table'!Y1</f>
        <v>Сентябрь 2012 г.</v>
      </c>
      <c r="X1" s="1" t="str">
        <f>'W3C Example Table'!Z1</f>
        <v>Октябрь 2012 г.</v>
      </c>
      <c r="Y1" s="1" t="str">
        <f>'W3C Example Table'!AA1</f>
        <v>Ноябрь 2012 г.</v>
      </c>
      <c r="Z1" s="1" t="str">
        <f>'W3C Example Table'!AB1</f>
        <v>Декабрь 2012 г.</v>
      </c>
      <c r="AA1" s="1" t="str">
        <f>'W3C Example Table'!AC1</f>
        <v>Январь 2013 г.</v>
      </c>
      <c r="AB1" s="1" t="str">
        <f>'W3C Example Table'!AD1</f>
        <v>Февраль 2013 г.</v>
      </c>
      <c r="AC1" s="1" t="str">
        <f>'W3C Example Table'!AE1</f>
        <v>Март 2013 г.</v>
      </c>
      <c r="AD1" s="1" t="str">
        <f>'W3C Example Table'!AF1</f>
        <v>Апрель 2013 г.</v>
      </c>
      <c r="AE1" s="1" t="str">
        <f>'W3C Example Table'!AG1</f>
        <v>Май 2013 г.</v>
      </c>
      <c r="AF1" s="1" t="str">
        <f>'W3C Example Table'!AH1</f>
        <v>Июнь 2013 г.</v>
      </c>
      <c r="AG1" s="1" t="str">
        <f>'W3C Example Table'!AI1</f>
        <v>Июль 2013 г.</v>
      </c>
      <c r="AH1" s="1" t="str">
        <f>'W3C Example Table'!AJ1</f>
        <v>Август 2013 г.</v>
      </c>
      <c r="AI1" s="1" t="str">
        <f>'W3C Example Table'!AK1</f>
        <v>Сентябрь 2013 г.</v>
      </c>
      <c r="AJ1" s="1" t="str">
        <f>'W3C Example Table'!AL1</f>
        <v>Октябрь 2013 г.</v>
      </c>
      <c r="AK1" s="1" t="str">
        <f>'W3C Example Table'!AM1</f>
        <v>Ноябрь 2013 г.</v>
      </c>
      <c r="AL1" s="1" t="str">
        <f>'W3C Example Table'!AN1</f>
        <v>Декабрь 2013 г.</v>
      </c>
      <c r="AM1" s="1" t="str">
        <f>'W3C Example Table'!AO1</f>
        <v>Январь 2014 г.</v>
      </c>
      <c r="AN1" s="1" t="str">
        <f>'W3C Example Table'!AP1</f>
        <v>Февраль 2014 г.</v>
      </c>
      <c r="AO1" s="1" t="str">
        <f>'W3C Example Table'!AQ1</f>
        <v>Март 2014 г.</v>
      </c>
      <c r="AP1" s="1" t="str">
        <f>'W3C Example Table'!AR1</f>
        <v>Апрель 2014 г.</v>
      </c>
      <c r="AQ1" s="1" t="str">
        <f>'W3C Example Table'!AS1</f>
        <v>Май 2014 г.</v>
      </c>
      <c r="AR1" s="1" t="str">
        <f>'W3C Example Table'!AT1</f>
        <v>Июнь 2014 г.</v>
      </c>
      <c r="AS1" s="1" t="str">
        <f>'W3C Example Table'!AU1</f>
        <v>Июль 2014 г.</v>
      </c>
      <c r="AT1" s="1" t="str">
        <f>'W3C Example Table'!AV1</f>
        <v>Август 2014 г.</v>
      </c>
      <c r="AU1" s="1" t="str">
        <f>'W3C Example Table'!AW1</f>
        <v>Сентябрь 2014 г.</v>
      </c>
      <c r="AV1" s="1" t="str">
        <f>'W3C Example Table'!AX1</f>
        <v>Октябрь 2014 г.</v>
      </c>
      <c r="AW1" s="1" t="str">
        <f>'W3C Example Table'!AY1</f>
        <v>Ноябрь 2014 г.</v>
      </c>
      <c r="AX1" s="1" t="str">
        <f>'W3C Example Table'!AZ1</f>
        <v>Декабрь 2014 г.</v>
      </c>
      <c r="AY1" s="1" t="str">
        <f>'W3C Example Table'!BA1</f>
        <v>Январь 2015 г.</v>
      </c>
      <c r="AZ1" s="1" t="str">
        <f>'W3C Example Table'!BB1</f>
        <v>Февраль 2015 г.</v>
      </c>
      <c r="BA1" s="1" t="str">
        <f>'W3C Example Table'!BC1</f>
        <v>Март 2015 г.</v>
      </c>
      <c r="BB1" s="1" t="str">
        <f>'W3C Example Table'!BD1</f>
        <v>Апрель 2015 г.</v>
      </c>
      <c r="BC1" s="1" t="str">
        <f>'W3C Example Table'!BE1</f>
        <v>Май 2015 г.</v>
      </c>
      <c r="BD1" s="1" t="str">
        <f>'W3C Example Table'!BF1</f>
        <v>Июнь 2015 г.</v>
      </c>
      <c r="BE1" s="1" t="str">
        <f>'W3C Example Table'!BG1</f>
        <v>Июль 2015 г.</v>
      </c>
      <c r="BF1" s="1" t="str">
        <f>'W3C Example Table'!BH1</f>
        <v>Август 2015 г.</v>
      </c>
      <c r="BG1" s="1" t="str">
        <f>'W3C Example Table'!BI1</f>
        <v>Сентябрь 2015 г.</v>
      </c>
      <c r="BH1" s="1" t="str">
        <f>'W3C Example Table'!BJ1</f>
        <v>Октябрь 2015 г.</v>
      </c>
      <c r="BI1" s="1" t="str">
        <f>'W3C Example Table'!BK1</f>
        <v>Ноябрь 2015 г.</v>
      </c>
      <c r="BJ1" s="1" t="str">
        <f>'W3C Example Table'!BL1</f>
        <v>Декабрь 2015 г.</v>
      </c>
      <c r="BK1" s="1" t="str">
        <f>'W3C Example Table'!BM1</f>
        <v>Январь 2016 г.</v>
      </c>
      <c r="BL1" s="1" t="str">
        <f>'W3C Example Table'!BN1</f>
        <v>Февраль 2016 г.</v>
      </c>
      <c r="BM1" s="1" t="str">
        <f>'W3C Example Table'!BO1</f>
        <v>Март 2016 г.</v>
      </c>
      <c r="BN1" s="1" t="str">
        <f>'W3C Example Table'!BP1</f>
        <v>Апрель 2016 г.</v>
      </c>
      <c r="BO1" s="1" t="str">
        <f>'W3C Example Table'!BQ1</f>
        <v>Май 2016 г.</v>
      </c>
      <c r="BP1" s="1" t="str">
        <f>'W3C Example Table'!BR1</f>
        <v>Июнь 2016 г.</v>
      </c>
      <c r="BQ1" s="1" t="str">
        <f>'W3C Example Table'!BS1</f>
        <v>Июль 2016 г.</v>
      </c>
      <c r="BR1" s="1" t="str">
        <f>'W3C Example Table'!BT1</f>
        <v>Август 2016 г.</v>
      </c>
      <c r="BS1" s="1" t="str">
        <f>'W3C Example Table'!BU1</f>
        <v>Сентябрь 2016 г.</v>
      </c>
      <c r="BT1" s="1" t="str">
        <f>'W3C Example Table'!BV1</f>
        <v>Октябрь 2016 г.</v>
      </c>
      <c r="BU1" s="1" t="str">
        <f>'W3C Example Table'!BW1</f>
        <v>Ноябрь 2016 г.</v>
      </c>
      <c r="BV1" s="1" t="str">
        <f>'W3C Example Table'!BX1</f>
        <v>Декабрь 2016 г.</v>
      </c>
      <c r="BW1" s="1" t="str">
        <f>'W3C Example Table'!BY1</f>
        <v>Январь 2017 г.</v>
      </c>
      <c r="BX1" s="1" t="str">
        <f>'W3C Example Table'!BZ1</f>
        <v>Февраль 2017 г.</v>
      </c>
      <c r="BY1" s="1" t="str">
        <f>'W3C Example Table'!CA1</f>
        <v>Март 2017 г.</v>
      </c>
      <c r="BZ1" s="1" t="str">
        <f>'W3C Example Table'!CB1</f>
        <v>Апрель 2017 г.</v>
      </c>
      <c r="CA1" s="1" t="str">
        <f>'W3C Example Table'!CC1</f>
        <v>Май 2017 г.</v>
      </c>
      <c r="CB1" s="1" t="str">
        <f>'W3C Example Table'!CD1</f>
        <v>Июнь 2017 г.</v>
      </c>
      <c r="CC1" s="1" t="str">
        <f>'W3C Example Table'!CE1</f>
        <v>Июль 2017 г.</v>
      </c>
      <c r="CD1" s="1" t="str">
        <f>'W3C Example Table'!CF1</f>
        <v>Август 2017 г.</v>
      </c>
      <c r="CE1" s="1" t="str">
        <f>'W3C Example Table'!CG1</f>
        <v>Сентябрь 2017 г.</v>
      </c>
      <c r="CF1" s="1" t="str">
        <f>'W3C Example Table'!CH1</f>
        <v>Октябрь 2017 г.</v>
      </c>
      <c r="CG1" s="1" t="str">
        <f>'W3C Example Table'!CI1</f>
        <v>Ноябрь 2017 г.</v>
      </c>
      <c r="CH1" s="1" t="str">
        <f>'W3C Example Table'!CJ1</f>
        <v>Декабрь 2017 г.</v>
      </c>
      <c r="CI1" s="1" t="str">
        <f>'W3C Example Table'!CK1</f>
        <v>Январь 2018 г.</v>
      </c>
      <c r="CJ1" s="1" t="str">
        <f>'W3C Example Table'!CL1</f>
        <v>Февраль 2018 г.</v>
      </c>
      <c r="CK1" s="1" t="str">
        <f>'W3C Example Table'!CM1</f>
        <v>Март 2018 г.</v>
      </c>
      <c r="CL1" s="1" t="str">
        <f>'W3C Example Table'!CN1</f>
        <v>Апрель 2018 г.</v>
      </c>
      <c r="CM1" s="1" t="str">
        <f>'W3C Example Table'!CO1</f>
        <v>Май 2018 г.</v>
      </c>
      <c r="CN1" s="1" t="str">
        <f>'W3C Example Table'!CP1</f>
        <v>Июнь 2018 г.</v>
      </c>
      <c r="CO1" s="1" t="str">
        <f>'W3C Example Table'!CQ1</f>
        <v>Июль 2018 г.</v>
      </c>
      <c r="CP1" s="1" t="str">
        <f>'W3C Example Table'!CR1</f>
        <v>Август 2018 г.</v>
      </c>
      <c r="CQ1" s="1" t="str">
        <f>'W3C Example Table'!CS1</f>
        <v>Сентябрь 2018 г.</v>
      </c>
      <c r="CR1" s="1" t="str">
        <f>'W3C Example Table'!CT1</f>
        <v>Октябрь 2018 г.</v>
      </c>
      <c r="CS1" s="1" t="str">
        <f>'W3C Example Table'!CU1</f>
        <v>Ноябрь 2018 г.</v>
      </c>
      <c r="CT1" s="1" t="str">
        <f>'W3C Example Table'!CV1</f>
        <v>Декабрь 2018 г.</v>
      </c>
      <c r="CU1" s="1" t="str">
        <f>'W3C Example Table'!CW1</f>
        <v>Январь 2019 г.</v>
      </c>
      <c r="CV1" s="1" t="str">
        <f>'W3C Example Table'!CX1</f>
        <v>Февраль 2019 г.</v>
      </c>
      <c r="CW1" s="1" t="str">
        <f>'W3C Example Table'!CY1</f>
        <v>Март 2019 г.</v>
      </c>
      <c r="CX1" s="1" t="str">
        <f>'W3C Example Table'!CZ1</f>
        <v>Апрель 2019 г.</v>
      </c>
      <c r="CY1" s="1" t="str">
        <f>'W3C Example Table'!DA1</f>
        <v>Май 2019 г.</v>
      </c>
      <c r="CZ1" s="1" t="str">
        <f>'W3C Example Table'!DB1</f>
        <v>Июнь 2019 г.</v>
      </c>
      <c r="DA1" s="1" t="str">
        <f>'W3C Example Table'!DC1</f>
        <v>Июль 2019 г.</v>
      </c>
      <c r="DB1" s="1" t="str">
        <f>'W3C Example Table'!DD1</f>
        <v>Август 2019 г.</v>
      </c>
      <c r="DC1" s="1" t="str">
        <f>'W3C Example Table'!DE1</f>
        <v>Сентябрь 2019 г.</v>
      </c>
      <c r="DD1" s="1" t="str">
        <f>'W3C Example Table'!DF1</f>
        <v>Октябрь 2019 г.</v>
      </c>
      <c r="DE1" s="1" t="str">
        <f>'W3C Example Table'!DG1</f>
        <v>Ноябрь 2019 г.</v>
      </c>
      <c r="DF1" s="1" t="str">
        <f>'W3C Example Table'!DH1</f>
        <v>Декабрь 2019 г.</v>
      </c>
      <c r="DG1" s="1" t="str">
        <f>'W3C Example Table'!DI1</f>
        <v>Январь 2020 г.</v>
      </c>
      <c r="DH1" s="1" t="str">
        <f>'W3C Example Table'!DJ1</f>
        <v>Февраль 2020 г.</v>
      </c>
      <c r="DI1" s="1" t="str">
        <f>'W3C Example Table'!DK1</f>
        <v>Март 2020 г.</v>
      </c>
      <c r="DJ1" s="1" t="str">
        <f>'W3C Example Table'!DL1</f>
        <v>Апрель 2020 г.</v>
      </c>
      <c r="DK1" s="1" t="str">
        <f>'W3C Example Table'!DM1</f>
        <v>Май 2020 г.</v>
      </c>
      <c r="DL1" s="1" t="str">
        <f>'W3C Example Table'!DN1</f>
        <v>Июнь 2020 г.</v>
      </c>
      <c r="DM1" s="1" t="str">
        <f>'W3C Example Table'!DO1</f>
        <v>Июль 2020 г.</v>
      </c>
      <c r="DN1" s="1" t="str">
        <f>'W3C Example Table'!DP1</f>
        <v>Август 2020 г.</v>
      </c>
      <c r="DO1" s="1" t="str">
        <f>'W3C Example Table'!DQ1</f>
        <v>Сентябрь 2020 г.</v>
      </c>
      <c r="DP1" s="1" t="str">
        <f>'W3C Example Table'!DR1</f>
        <v>Октябрь 2020 г.</v>
      </c>
      <c r="DQ1" s="1" t="str">
        <f>'W3C Example Table'!DS1</f>
        <v>Ноябрь 2020 г.</v>
      </c>
      <c r="DR1" s="1" t="str">
        <f>'W3C Example Table'!DT1</f>
        <v>Декабрь 2020 г.</v>
      </c>
      <c r="DS1" s="1" t="str">
        <f>'W3C Example Table'!DU1</f>
        <v>Январь 2021 г.</v>
      </c>
      <c r="DT1" s="1" t="str">
        <f>'W3C Example Table'!DV1</f>
        <v>Февраль 2021 г.</v>
      </c>
      <c r="DU1" s="1" t="str">
        <f>'W3C Example Table'!DW1</f>
        <v>Март 2021 г.</v>
      </c>
      <c r="DV1" s="1" t="str">
        <f>'W3C Example Table'!DX1</f>
        <v>Апрель 2021 г.</v>
      </c>
      <c r="DW1" s="1" t="str">
        <f>'W3C Example Table'!DY1</f>
        <v>Май 2021 г.</v>
      </c>
      <c r="DX1" s="1" t="str">
        <f>'W3C Example Table'!DZ1</f>
        <v>Июнь 2021 г.</v>
      </c>
      <c r="DY1" s="1" t="str">
        <f>'W3C Example Table'!EA1</f>
        <v>Июль 2021 г.</v>
      </c>
      <c r="DZ1" s="1" t="str">
        <f>'W3C Example Table'!EB1</f>
        <v>Август 2021 г.</v>
      </c>
      <c r="EA1" s="1" t="str">
        <f>'W3C Example Table'!EC1</f>
        <v>Сентябрь 2021 г.</v>
      </c>
      <c r="EB1" s="1" t="str">
        <f>'W3C Example Table'!ED1</f>
        <v>Октябрь 2021 г.</v>
      </c>
      <c r="EC1" s="1" t="str">
        <f>'W3C Example Table'!EE1</f>
        <v>Ноябрь 2021 г.</v>
      </c>
      <c r="ED1" s="1" t="str">
        <f>'W3C Example Table'!EF1</f>
        <v>Декабрь 2021 г.</v>
      </c>
      <c r="EE1" s="1" t="str">
        <f>'W3C Example Table'!EG1</f>
        <v>Январь 2022 г.</v>
      </c>
      <c r="EF1" s="1" t="str">
        <f>'W3C Example Table'!EH1</f>
        <v>Февраль 2022 г.</v>
      </c>
      <c r="EG1" s="1" t="str">
        <f>'W3C Example Table'!EI1</f>
        <v>Март 2022 г.</v>
      </c>
      <c r="EH1" s="1" t="str">
        <f>'W3C Example Table'!EJ1</f>
        <v>Апрель 2022 г.</v>
      </c>
      <c r="EI1" s="1" t="str">
        <f>'W3C Example Table'!EK1</f>
        <v>Май 2022 г.</v>
      </c>
      <c r="EJ1" s="1" t="str">
        <f>'W3C Example Table'!EL1</f>
        <v>Июнь 2022 г.</v>
      </c>
      <c r="EK1" s="1" t="str">
        <f>'W3C Example Table'!EM1</f>
        <v>Июль 2022 г.</v>
      </c>
      <c r="EL1" s="1" t="str">
        <f>'W3C Example Table'!EN1</f>
        <v>Август 2022 г.</v>
      </c>
      <c r="EM1" s="1" t="str">
        <f>'W3C Example Table'!EO1</f>
        <v>Сентябрь 2022 г.</v>
      </c>
      <c r="EN1" s="1" t="str">
        <f>'W3C Example Table'!EP1</f>
        <v>Октябрь 2022 г.</v>
      </c>
      <c r="EO1" s="1" t="str">
        <f>'W3C Example Table'!EQ1</f>
        <v>Ноябрь 2022 г.</v>
      </c>
      <c r="EP1" s="1" t="str">
        <f>'W3C Example Table'!ER1</f>
        <v>Декабрь 2022 г.</v>
      </c>
      <c r="EQ1" s="1" t="str">
        <f>'W3C Example Table'!ES1</f>
        <v>Январь 2023 г.</v>
      </c>
      <c r="ER1" s="1" t="str">
        <f>'W3C Example Table'!ET1</f>
        <v>Февраль 2023 г.</v>
      </c>
      <c r="ES1" s="1" t="str">
        <f>'W3C Example Table'!EU1</f>
        <v>Март 2023 г.</v>
      </c>
      <c r="ET1" s="1" t="str">
        <f>'W3C Example Table'!EV1</f>
        <v>Апрель 2023 г.</v>
      </c>
      <c r="EU1" s="1" t="str">
        <f>'W3C Example Table'!EW1</f>
        <v>Май 2023 г.</v>
      </c>
      <c r="EV1" s="1" t="str">
        <f>'W3C Example Table'!EX1</f>
        <v>Июнь 2023 г.</v>
      </c>
      <c r="EW1" s="1" t="str">
        <f>'W3C Example Table'!EY1</f>
        <v>Июль 2023 г.</v>
      </c>
      <c r="EX1" s="1" t="str">
        <f>'W3C Example Table'!EZ1</f>
        <v>Август 2023 г.</v>
      </c>
      <c r="EY1" s="1" t="str">
        <f>'W3C Example Table'!FA1</f>
        <v>Сентябрь 2023 г.</v>
      </c>
      <c r="EZ1" s="1" t="str">
        <f>'W3C Example Table'!FB1</f>
        <v>Октябрь 2023 г.</v>
      </c>
      <c r="FA1" s="1" t="str">
        <f>'W3C Example Table'!FC1</f>
        <v>Ноябрь 2023 г.</v>
      </c>
      <c r="FB1" s="1" t="str">
        <f>'W3C Example Table'!FD1</f>
        <v>Декабрь 2023 г.</v>
      </c>
      <c r="FC1" s="1" t="str">
        <f>'W3C Example Table'!FE1</f>
        <v>Январь 2024 г.</v>
      </c>
      <c r="FD1" s="1" t="str">
        <f>'W3C Example Table'!FF1</f>
        <v>Февраль 2024 г.</v>
      </c>
      <c r="FE1" s="1" t="str">
        <f>'W3C Example Table'!FG1</f>
        <v>Март 2024 г.</v>
      </c>
      <c r="FF1" s="1" t="str">
        <f>'W3C Example Table'!FH1</f>
        <v>Апрель 2024 г.</v>
      </c>
      <c r="FG1" s="1" t="str">
        <f>'W3C Example Table'!FI1</f>
        <v>Май 2024 г.</v>
      </c>
      <c r="FH1" s="1" t="str">
        <f>'W3C Example Table'!FJ1</f>
        <v>Июнь 2024 г.</v>
      </c>
      <c r="FI1" s="1" t="str">
        <f>'W3C Example Table'!FK1</f>
        <v>Июль 2024 г.</v>
      </c>
      <c r="FJ1" s="1" t="str">
        <f>'W3C Example Table'!FL1</f>
        <v>Август 2024 г.</v>
      </c>
      <c r="FK1" s="1" t="str">
        <f>'W3C Example Table'!FM1</f>
        <v>Сентябрь 2024 г.</v>
      </c>
      <c r="FL1" s="1" t="str">
        <f>'W3C Example Table'!FN1</f>
        <v>Октябрь 2024 г.</v>
      </c>
      <c r="FM1" s="1" t="str">
        <f>'W3C Example Table'!FO1</f>
        <v>Ноябрь 2024 г.</v>
      </c>
      <c r="FN1" s="1" t="str">
        <f>'W3C Example Table'!FP1</f>
        <v>Декабрь 2024 г.</v>
      </c>
      <c r="FO1" s="1" t="str">
        <f>'W3C Example Table'!FQ1</f>
        <v>Январь 2025 г.</v>
      </c>
      <c r="FP1" s="1" t="str">
        <f>'W3C Example Table'!FR1</f>
        <v>Февраль 2025 г.</v>
      </c>
      <c r="FQ1" s="1" t="str">
        <f>'W3C Example Table'!FS1</f>
        <v>Март 2025 г.</v>
      </c>
      <c r="FR1" s="1" t="str">
        <f>'W3C Example Table'!FT1</f>
        <v>Апрель 2025 г.</v>
      </c>
      <c r="FS1" s="1" t="str">
        <f>'W3C Example Table'!FU1</f>
        <v>Май 2025 г.</v>
      </c>
      <c r="FT1" s="1" t="str">
        <f>'W3C Example Table'!FV1</f>
        <v>Июнь 2025 г.</v>
      </c>
      <c r="FU1" s="1" t="str">
        <f>'W3C Example Table'!FW1</f>
        <v>Июль 2025 г.</v>
      </c>
      <c r="FV1" s="1" t="str">
        <f>'W3C Example Table'!FX1</f>
        <v>Август 2025 г.</v>
      </c>
      <c r="FW1" s="1" t="str">
        <f>'W3C Example Table'!FY1</f>
        <v>Сентябрь 2025 г.</v>
      </c>
      <c r="FX1" s="1" t="str">
        <f>'W3C Example Table'!FZ1</f>
        <v>Октябрь 2025 г.</v>
      </c>
      <c r="FY1" s="1" t="str">
        <f>'W3C Example Table'!GA1</f>
        <v>Ноябрь 2025 г.</v>
      </c>
      <c r="FZ1" s="1" t="str">
        <f>'W3C Example Table'!GB1</f>
        <v>Декабрь 2025 г.</v>
      </c>
      <c r="GA1" s="1" t="str">
        <f>'W3C Example Table'!GC1</f>
        <v>Январь 2026 г.</v>
      </c>
      <c r="GB1" s="1" t="str">
        <f>'W3C Example Table'!GD1</f>
        <v>Февраль 2026 г.</v>
      </c>
      <c r="GC1" s="1" t="str">
        <f>'W3C Example Table'!GE1</f>
        <v>Март 2026 г.</v>
      </c>
      <c r="GD1" s="1" t="str">
        <f>'W3C Example Table'!GF1</f>
        <v>Апрель 2026 г.</v>
      </c>
      <c r="GE1" s="1" t="str">
        <f>'W3C Example Table'!GG1</f>
        <v>Май 2026 г.</v>
      </c>
      <c r="GF1" s="1" t="str">
        <f>'W3C Example Table'!GH1</f>
        <v>Июнь 2026 г.</v>
      </c>
      <c r="GG1" s="1" t="str">
        <f>'W3C Example Table'!GI1</f>
        <v>Июль 2026 г.</v>
      </c>
    </row>
    <row r="2" spans="1:189">
      <c r="A2" s="1" t="str">
        <f>'W3C Example Table'!A6</f>
        <v>REPUBLIC OF KAZAKHSTAN</v>
      </c>
      <c r="B2" s="1" t="str">
        <f>'W3C Example Table'!B6</f>
        <v>reporting period to the previous period</v>
      </c>
      <c r="C2" s="1">
        <f>'W3C Example Table'!E6</f>
        <v>101.7</v>
      </c>
      <c r="D2" s="1">
        <f>'W3C Example Table'!F6</f>
        <v>101.5</v>
      </c>
      <c r="E2" s="1">
        <f>'W3C Example Table'!G6</f>
        <v>100.5</v>
      </c>
      <c r="F2" s="1">
        <f>'W3C Example Table'!H6</f>
        <v>100.5</v>
      </c>
      <c r="G2" s="1">
        <f>'W3C Example Table'!I6</f>
        <v>100.5</v>
      </c>
      <c r="H2" s="1">
        <f>'W3C Example Table'!J6</f>
        <v>100.3</v>
      </c>
      <c r="I2" s="1">
        <f>'W3C Example Table'!K6</f>
        <v>100.5</v>
      </c>
      <c r="J2" s="1">
        <f>'W3C Example Table'!L6</f>
        <v>100.3</v>
      </c>
      <c r="K2" s="1">
        <f>'W3C Example Table'!M6</f>
        <v>100.3</v>
      </c>
      <c r="L2" s="1">
        <f>'W3C Example Table'!N6</f>
        <v>100.2</v>
      </c>
      <c r="M2" s="1">
        <f>'W3C Example Table'!O6</f>
        <v>100.6</v>
      </c>
      <c r="N2" s="1">
        <f>'W3C Example Table'!P6</f>
        <v>100.3</v>
      </c>
      <c r="O2" s="1">
        <f>'W3C Example Table'!Q6</f>
        <v>100.3</v>
      </c>
      <c r="P2" s="1">
        <f>'W3C Example Table'!R6</f>
        <v>100.4</v>
      </c>
      <c r="Q2" s="1">
        <f>'W3C Example Table'!S6</f>
        <v>100.3</v>
      </c>
      <c r="R2" s="1">
        <f>'W3C Example Table'!T6</f>
        <v>100.7</v>
      </c>
      <c r="S2" s="1">
        <f>'W3C Example Table'!U6</f>
        <v>100.7</v>
      </c>
      <c r="T2" s="1">
        <f>'W3C Example Table'!V6</f>
        <v>100.3</v>
      </c>
      <c r="U2" s="1">
        <f>'W3C Example Table'!W6</f>
        <v>100.3</v>
      </c>
      <c r="V2" s="1">
        <f>'W3C Example Table'!X6</f>
        <v>100.3</v>
      </c>
      <c r="W2" s="1">
        <f>'W3C Example Table'!Y6</f>
        <v>100.6</v>
      </c>
      <c r="X2" s="1">
        <f>'W3C Example Table'!Z6</f>
        <v>100.7</v>
      </c>
      <c r="Y2" s="1">
        <f>'W3C Example Table'!AA6</f>
        <v>100.7</v>
      </c>
      <c r="Z2" s="1">
        <f>'W3C Example Table'!AB6</f>
        <v>100.6</v>
      </c>
      <c r="AA2" s="1">
        <f>'W3C Example Table'!AC6</f>
        <v>100.9</v>
      </c>
      <c r="AB2" s="1">
        <f>'W3C Example Table'!AD6</f>
        <v>100.8</v>
      </c>
      <c r="AC2" s="1">
        <f>'W3C Example Table'!AE6</f>
        <v>100.2</v>
      </c>
      <c r="AD2" s="1">
        <f>'W3C Example Table'!AF6</f>
        <v>100.3</v>
      </c>
      <c r="AE2" s="1">
        <f>'W3C Example Table'!AG6</f>
        <v>100.2</v>
      </c>
      <c r="AF2" s="1">
        <f>'W3C Example Table'!AH6</f>
        <v>100.3</v>
      </c>
      <c r="AG2" s="1">
        <f>'W3C Example Table'!AI6</f>
        <v>100.2</v>
      </c>
      <c r="AH2" s="1">
        <f>'W3C Example Table'!AJ6</f>
        <v>100.2</v>
      </c>
      <c r="AI2" s="1">
        <f>'W3C Example Table'!AK6</f>
        <v>100.2</v>
      </c>
      <c r="AJ2" s="1">
        <f>'W3C Example Table'!AL6</f>
        <v>100.3</v>
      </c>
      <c r="AK2" s="1">
        <f>'W3C Example Table'!AM6</f>
        <v>100.5</v>
      </c>
      <c r="AL2" s="1">
        <f>'W3C Example Table'!AN6</f>
        <v>100.7</v>
      </c>
      <c r="AM2" s="1">
        <f>'W3C Example Table'!AO6</f>
        <v>100.6</v>
      </c>
      <c r="AN2" s="1">
        <f>'W3C Example Table'!AP6</f>
        <v>101.7</v>
      </c>
      <c r="AO2" s="1">
        <f>'W3C Example Table'!AQ6</f>
        <v>101</v>
      </c>
      <c r="AP2" s="1">
        <f>'W3C Example Table'!AR6</f>
        <v>100.6</v>
      </c>
      <c r="AQ2" s="1">
        <f>'W3C Example Table'!AS6</f>
        <v>100.6</v>
      </c>
      <c r="AR2" s="1">
        <f>'W3C Example Table'!AT6</f>
        <v>100.3</v>
      </c>
      <c r="AS2" s="1">
        <f>'W3C Example Table'!AU6</f>
        <v>100.1</v>
      </c>
      <c r="AT2" s="1">
        <f>'W3C Example Table'!AV6</f>
        <v>100.4</v>
      </c>
      <c r="AU2" s="1">
        <f>'W3C Example Table'!AW6</f>
        <v>100.5</v>
      </c>
      <c r="AV2" s="1">
        <f>'W3C Example Table'!AX6</f>
        <v>100.4</v>
      </c>
      <c r="AW2" s="1">
        <f>'W3C Example Table'!AY6</f>
        <v>100.6</v>
      </c>
      <c r="AX2" s="1">
        <f>'W3C Example Table'!AZ6</f>
        <v>100.5</v>
      </c>
      <c r="AY2" s="1">
        <f>'W3C Example Table'!BA6</f>
        <v>100.6</v>
      </c>
      <c r="AZ2" s="1">
        <f>'W3C Example Table'!BB6</f>
        <v>100.4</v>
      </c>
      <c r="BA2" s="1">
        <f>'W3C Example Table'!BC6</f>
        <v>100.1</v>
      </c>
      <c r="BB2" s="1">
        <f>'W3C Example Table'!BD6</f>
        <v>100.1</v>
      </c>
      <c r="BC2" s="1">
        <f>'W3C Example Table'!BE6</f>
        <v>100.3</v>
      </c>
      <c r="BD2" s="1">
        <f>'W3C Example Table'!BF6</f>
        <v>99.9</v>
      </c>
      <c r="BE2" s="1">
        <f>'W3C Example Table'!BG6</f>
        <v>100.1</v>
      </c>
      <c r="BF2" s="1">
        <f>'W3C Example Table'!BH6</f>
        <v>100.3</v>
      </c>
      <c r="BG2" s="1">
        <f>'W3C Example Table'!BI6</f>
        <v>101</v>
      </c>
      <c r="BH2" s="1">
        <f>'W3C Example Table'!BJ6</f>
        <v>105.2</v>
      </c>
      <c r="BI2" s="1">
        <f>'W3C Example Table'!BK6</f>
        <v>103.7</v>
      </c>
      <c r="BJ2" s="1">
        <f>'W3C Example Table'!BL6</f>
        <v>101.2</v>
      </c>
      <c r="BK2" s="1">
        <f>'W3C Example Table'!BM6</f>
        <v>101.3</v>
      </c>
      <c r="BL2" s="1">
        <f>'W3C Example Table'!BN6</f>
        <v>101.1</v>
      </c>
      <c r="BM2" s="1">
        <f>'W3C Example Table'!BO6</f>
        <v>100.5</v>
      </c>
      <c r="BN2" s="1">
        <f>'W3C Example Table'!BP6</f>
        <v>100.6</v>
      </c>
      <c r="BO2" s="1">
        <f>'W3C Example Table'!BQ6</f>
        <v>100.5</v>
      </c>
      <c r="BP2" s="1">
        <f>'W3C Example Table'!BR6</f>
        <v>100.4</v>
      </c>
      <c r="BQ2" s="1">
        <f>'W3C Example Table'!BS6</f>
        <v>100.5</v>
      </c>
      <c r="BR2" s="1">
        <f>'W3C Example Table'!BT6</f>
        <v>100.2</v>
      </c>
      <c r="BS2" s="1">
        <f>'W3C Example Table'!BU6</f>
        <v>100.2</v>
      </c>
      <c r="BT2" s="1">
        <f>'W3C Example Table'!BV6</f>
        <v>100.6</v>
      </c>
      <c r="BU2" s="1">
        <f>'W3C Example Table'!BW6</f>
        <v>101.2</v>
      </c>
      <c r="BV2" s="1">
        <f>'W3C Example Table'!BX6</f>
        <v>100.9</v>
      </c>
      <c r="BW2" s="1">
        <f>'W3C Example Table'!BY6</f>
        <v>100.8</v>
      </c>
      <c r="BX2" s="1">
        <f>'W3C Example Table'!BZ6</f>
        <v>101</v>
      </c>
      <c r="BY2" s="1">
        <f>'W3C Example Table'!CA6</f>
        <v>100.5</v>
      </c>
      <c r="BZ2" s="1">
        <f>'W3C Example Table'!CB6</f>
        <v>100.5</v>
      </c>
      <c r="CA2" s="1">
        <f>'W3C Example Table'!CC6</f>
        <v>100.5</v>
      </c>
      <c r="CB2" s="1">
        <f>'W3C Example Table'!CD6</f>
        <v>100.4</v>
      </c>
      <c r="CC2" s="1">
        <f>'W3C Example Table'!CE6</f>
        <v>100.1</v>
      </c>
      <c r="CD2" s="1">
        <f>'W3C Example Table'!CF6</f>
        <v>100.1</v>
      </c>
      <c r="CE2" s="1">
        <f>'W3C Example Table'!CG6</f>
        <v>100.3</v>
      </c>
      <c r="CF2" s="1">
        <f>'W3C Example Table'!CH6</f>
        <v>101.2</v>
      </c>
      <c r="CG2" s="1">
        <f>'W3C Example Table'!CI6</f>
        <v>100.9</v>
      </c>
      <c r="CH2" s="1">
        <f>'W3C Example Table'!CJ6</f>
        <v>100.7</v>
      </c>
      <c r="CI2" s="1">
        <f>'W3C Example Table'!CK6</f>
        <v>100.6</v>
      </c>
      <c r="CJ2" s="1">
        <f>'W3C Example Table'!CL6</f>
        <v>100.7</v>
      </c>
      <c r="CK2" s="1">
        <f>'W3C Example Table'!CM6</f>
        <v>100.5</v>
      </c>
      <c r="CL2" s="1">
        <f>'W3C Example Table'!CN6</f>
        <v>100.4</v>
      </c>
      <c r="CM2" s="1">
        <f>'W3C Example Table'!CO6</f>
        <v>100.2</v>
      </c>
      <c r="CN2" s="1">
        <f>'W3C Example Table'!CP6</f>
        <v>100.2</v>
      </c>
      <c r="CO2" s="1">
        <f>'W3C Example Table'!CQ6</f>
        <v>100.1</v>
      </c>
      <c r="CP2" s="1">
        <f>'W3C Example Table'!CR6</f>
        <v>100.2</v>
      </c>
      <c r="CQ2" s="1">
        <f>'W3C Example Table'!CS6</f>
        <v>100.4</v>
      </c>
      <c r="CR2" s="1">
        <f>'W3C Example Table'!CT6</f>
        <v>100.4</v>
      </c>
      <c r="CS2" s="1">
        <f>'W3C Example Table'!CU6</f>
        <v>100.9</v>
      </c>
      <c r="CT2" s="1">
        <f>'W3C Example Table'!CV6</f>
        <v>100.7</v>
      </c>
      <c r="CU2" s="1">
        <f>'W3C Example Table'!CW6</f>
        <v>100.5</v>
      </c>
      <c r="CV2" s="1">
        <f>'W3C Example Table'!CX6</f>
        <v>100.3</v>
      </c>
      <c r="CW2" s="1">
        <f>'W3C Example Table'!CY6</f>
        <v>100.5</v>
      </c>
      <c r="CX2" s="1">
        <f>'W3C Example Table'!CZ6</f>
        <v>100.5</v>
      </c>
      <c r="CY2" s="1">
        <f>'W3C Example Table'!DA6</f>
        <v>100.6</v>
      </c>
      <c r="CZ2" s="1">
        <f>'W3C Example Table'!DB6</f>
        <v>100.2</v>
      </c>
      <c r="DA2" s="1">
        <f>'W3C Example Table'!DC6</f>
        <v>100.2</v>
      </c>
      <c r="DB2" s="1">
        <f>'W3C Example Table'!DD6</f>
        <v>100.2</v>
      </c>
      <c r="DC2" s="1">
        <f>'W3C Example Table'!DE6</f>
        <v>100.3</v>
      </c>
      <c r="DD2" s="1">
        <f>'W3C Example Table'!DF6</f>
        <v>100.6</v>
      </c>
      <c r="DE2" s="1">
        <f>'W3C Example Table'!DG6</f>
        <v>100.7</v>
      </c>
      <c r="DF2" s="1">
        <f>'W3C Example Table'!DH6</f>
        <v>100.7</v>
      </c>
      <c r="DG2" s="1">
        <f>'W3C Example Table'!DI6</f>
        <v>100.7</v>
      </c>
      <c r="DH2" s="1">
        <f>'W3C Example Table'!DJ6</f>
        <v>100.6</v>
      </c>
      <c r="DI2" s="1">
        <f>'W3C Example Table'!DK6</f>
        <v>100.9</v>
      </c>
      <c r="DJ2" s="1">
        <f>'W3C Example Table'!DL6</f>
        <v>100.9</v>
      </c>
      <c r="DK2" s="1">
        <f>'W3C Example Table'!DM6</f>
        <v>100.5</v>
      </c>
      <c r="DL2" s="1">
        <f>'W3C Example Table'!DN6</f>
        <v>100.4</v>
      </c>
      <c r="DM2" s="1">
        <f>'W3C Example Table'!DO6</f>
        <v>100.3</v>
      </c>
      <c r="DN2" s="1">
        <f>'W3C Example Table'!DP6</f>
        <v>100.1</v>
      </c>
      <c r="DO2" s="1">
        <f>'W3C Example Table'!DQ6</f>
        <v>100.3</v>
      </c>
      <c r="DP2" s="1">
        <f>'W3C Example Table'!DR6</f>
        <v>100.6</v>
      </c>
      <c r="DQ2" s="1">
        <f>'W3C Example Table'!DS6</f>
        <v>100.9</v>
      </c>
      <c r="DR2" s="1">
        <f>'W3C Example Table'!DT6</f>
        <v>100.9</v>
      </c>
      <c r="DS2" s="1">
        <f>'W3C Example Table'!DU6</f>
        <v>100.6</v>
      </c>
      <c r="DT2" s="1">
        <f>'W3C Example Table'!DV6</f>
        <v>100.7</v>
      </c>
      <c r="DU2" s="1">
        <f>'W3C Example Table'!DW6</f>
        <v>100.6</v>
      </c>
      <c r="DV2" s="1">
        <f>'W3C Example Table'!DX6</f>
        <v>100.9</v>
      </c>
      <c r="DW2" s="1">
        <f>'W3C Example Table'!DY6</f>
        <v>100.7</v>
      </c>
      <c r="DX2" s="1">
        <f>'W3C Example Table'!DZ6</f>
        <v>101.1</v>
      </c>
      <c r="DY2" s="1">
        <f>'W3C Example Table'!EA6</f>
        <v>100.7</v>
      </c>
      <c r="DZ2" s="1">
        <f>'W3C Example Table'!EB6</f>
        <v>100.5</v>
      </c>
      <c r="EA2" s="1">
        <f>'W3C Example Table'!EC6</f>
        <v>100.4</v>
      </c>
      <c r="EB2" s="1">
        <f>'W3C Example Table'!ED6</f>
        <v>100.7</v>
      </c>
      <c r="EC2" s="1">
        <f>'W3C Example Table'!EE6</f>
        <v>100.7</v>
      </c>
      <c r="ED2" s="1">
        <f>'W3C Example Table'!EF6</f>
        <v>100.6</v>
      </c>
      <c r="EE2" s="1">
        <f>'W3C Example Table'!EG6</f>
        <v>100.7</v>
      </c>
      <c r="EF2" s="1">
        <f>'W3C Example Table'!EH6</f>
        <v>100.8</v>
      </c>
      <c r="EG2" s="1">
        <f>'W3C Example Table'!EI6</f>
        <v>103.7</v>
      </c>
      <c r="EH2" s="1">
        <f>'W3C Example Table'!EJ6</f>
        <v>102</v>
      </c>
      <c r="EI2" s="1">
        <f>'W3C Example Table'!EK6</f>
        <v>101.4</v>
      </c>
      <c r="EJ2" s="1">
        <f>'W3C Example Table'!EL6</f>
        <v>101.6</v>
      </c>
      <c r="EK2" s="1">
        <f>'W3C Example Table'!EM6</f>
        <v>101.1</v>
      </c>
      <c r="EL2" s="1">
        <f>'W3C Example Table'!EN6</f>
        <v>101.4</v>
      </c>
      <c r="EM2" s="1">
        <f>'W3C Example Table'!EO6</f>
        <v>101.8</v>
      </c>
      <c r="EN2" s="1">
        <f>'W3C Example Table'!EP6</f>
        <v>101.6</v>
      </c>
      <c r="EO2" s="1">
        <f>'W3C Example Table'!EQ6</f>
        <v>101.4</v>
      </c>
      <c r="EP2" s="1">
        <f>'W3C Example Table'!ER6</f>
        <v>101.2</v>
      </c>
      <c r="EQ2" s="1">
        <f>'W3C Example Table'!ES6</f>
        <v>101.1</v>
      </c>
      <c r="ER2" s="1">
        <f>'W3C Example Table'!ET6</f>
        <v>101.3</v>
      </c>
      <c r="ES2" s="1">
        <f>'W3C Example Table'!EU6</f>
        <v>100.9</v>
      </c>
      <c r="ET2" s="1">
        <f>'W3C Example Table'!EV6</f>
        <v>100.9</v>
      </c>
      <c r="EU2" s="1">
        <f>'W3C Example Table'!EW6</f>
        <v>100.6</v>
      </c>
      <c r="EV2" s="1">
        <f>'W3C Example Table'!EX6</f>
        <v>100.5</v>
      </c>
      <c r="EW2" s="1">
        <f>'W3C Example Table'!EY6</f>
        <v>100.6</v>
      </c>
      <c r="EX2" s="1">
        <f>'W3C Example Table'!EZ6</f>
        <v>100.7</v>
      </c>
      <c r="EY2" s="1">
        <f>'W3C Example Table'!FA6</f>
        <v>100.6</v>
      </c>
      <c r="EZ2" s="1">
        <f>'W3C Example Table'!FB6</f>
        <v>100.7</v>
      </c>
      <c r="FA2" s="1">
        <f>'W3C Example Table'!FC6</f>
        <v>101</v>
      </c>
      <c r="FB2" s="1">
        <f>'W3C Example Table'!FD6</f>
        <v>100.8</v>
      </c>
      <c r="FC2" s="1">
        <f>'W3C Example Table'!FE6</f>
        <v>100.8</v>
      </c>
      <c r="FD2" s="1">
        <f>'W3C Example Table'!FF6</f>
        <v>101.1</v>
      </c>
      <c r="FE2" s="1">
        <f>'W3C Example Table'!FG6</f>
        <v>100.7</v>
      </c>
      <c r="FF2" s="1">
        <f>'W3C Example Table'!FH6</f>
        <v>100.6</v>
      </c>
      <c r="FG2" s="1">
        <f>'W3C Example Table'!FI6</f>
        <v>100.4</v>
      </c>
      <c r="FH2" s="1">
        <f>'W3C Example Table'!FJ6</f>
        <v>100.4</v>
      </c>
      <c r="FI2" s="1">
        <f>'W3C Example Table'!FK6</f>
        <v>100.7</v>
      </c>
      <c r="FJ2" s="1">
        <f>'W3C Example Table'!FL6</f>
        <v>100.6</v>
      </c>
      <c r="FK2" s="1">
        <f>'W3C Example Table'!FM6</f>
        <v>100.4</v>
      </c>
      <c r="FL2" s="1">
        <f>'W3C Example Table'!FN6</f>
        <v>100.9</v>
      </c>
      <c r="FM2" s="1">
        <f>'W3C Example Table'!FO6</f>
        <v>100.9</v>
      </c>
      <c r="FN2" s="1">
        <f>'W3C Example Table'!FP6</f>
        <v>100.9</v>
      </c>
      <c r="FO2" s="1">
        <f>'W3C Example Table'!FQ6</f>
        <v>101.1</v>
      </c>
      <c r="FP2" s="1">
        <f>'W3C Example Table'!FR6</f>
        <v>101.5</v>
      </c>
      <c r="FQ2" s="1">
        <f>'W3C Example Table'!FS6</f>
        <v>101.3</v>
      </c>
      <c r="FR2" s="1">
        <f>'W3C Example Table'!FT6</f>
        <v>101.2</v>
      </c>
      <c r="FS2" s="1">
        <f>'W3C Example Table'!FU6</f>
        <v>100.9</v>
      </c>
      <c r="FT2" s="1">
        <f>'W3C Example Table'!FV6</f>
        <v>100.8</v>
      </c>
      <c r="FU2" s="1">
        <f>'W3C Example Table'!FW6</f>
        <v>100.7</v>
      </c>
      <c r="FV2" s="1">
        <f>'W3C Example Table'!FX6</f>
        <v>101</v>
      </c>
      <c r="FW2" s="1">
        <f>'W3C Example Table'!FY6</f>
        <v>101.1</v>
      </c>
      <c r="FX2" s="1">
        <f>'W3C Example Table'!FZ6</f>
        <v>100.5</v>
      </c>
      <c r="FY2" s="1">
        <f>'W3C Example Table'!GA6</f>
        <v>100.8</v>
      </c>
      <c r="FZ2" s="1">
        <f>'W3C Example Table'!GB6</f>
        <v>100.9</v>
      </c>
      <c r="GA2" s="1">
        <f>'W3C Example Table'!GC6</f>
        <v>101</v>
      </c>
      <c r="GB2" s="1">
        <f>'W3C Example Table'!GD6</f>
        <v>101.1</v>
      </c>
      <c r="GC2" s="1">
        <f>'W3C Example Table'!GE6</f>
        <v>100.6</v>
      </c>
      <c r="GD2" s="1">
        <f>'W3C Example Table'!GF6</f>
        <v>100.8</v>
      </c>
      <c r="GE2" s="1">
        <f>'W3C Example Table'!GG6</f>
        <v>100.7</v>
      </c>
      <c r="GF2" s="1">
        <f>'W3C Example Table'!GH6</f>
        <v>100.8</v>
      </c>
      <c r="GG2" s="1">
        <f>'W3C Example Table'!GI6</f>
        <v>100.6</v>
      </c>
    </row>
    <row r="4" spans="1:189">
      <c r="A4" s="3" t="s">
        <v>0</v>
      </c>
      <c r="B4" s="3" t="str">
        <f>A2</f>
        <v>REPUBLIC OF KAZAKHSTAN</v>
      </c>
      <c r="C4" s="3" t="s">
        <v>217</v>
      </c>
      <c r="D4" s="1" t="s">
        <v>218</v>
      </c>
      <c r="E4" s="1" t="s">
        <v>219</v>
      </c>
    </row>
    <row r="5" spans="1:189">
      <c r="A5" s="3" t="s">
        <v>1</v>
      </c>
      <c r="B5" s="3">
        <f t="array" ref="B5:B191">TRANSPOSE(C2:GG2)</f>
        <v>101.7</v>
      </c>
      <c r="C5" s="4">
        <f>DATE(VALUE(MID(A5,FIND(" ",A5)+1,4)),MATCH(LEFT(A5,FIND(" ",A5)-1),{"Январь","Февраль","Март","Апрель","Май","Июнь","Июль","Август","Сентябрь","Октябрь","Ноябрь","Декабрь"},0),1)</f>
        <v>40544</v>
      </c>
      <c r="D5" s="4" t="str">
        <f t="shared" ref="D5:D68" si="0">TEXT(C5,"yyyy-mm-01")</f>
        <v>2011-01-01</v>
      </c>
      <c r="E5" s="5"/>
    </row>
    <row r="6" spans="1:189">
      <c r="A6" s="3" t="s">
        <v>2</v>
      </c>
      <c r="B6" s="3">
        <v>101.5</v>
      </c>
      <c r="C6" s="4">
        <f>DATE(VALUE(MID(A6,FIND(" ",A6)+1,4)),MATCH(LEFT(A6,FIND(" ",A6)-1),{"Январь","Февраль","Март","Апрель","Май","Июнь","Июль","Август","Сентябрь","Октябрь","Ноябрь","Декабрь"},0),1)</f>
        <v>40575</v>
      </c>
      <c r="D6" s="4" t="str">
        <f t="shared" si="0"/>
        <v>2011-02-01</v>
      </c>
      <c r="E6" s="5"/>
    </row>
    <row r="7" spans="1:189">
      <c r="A7" s="3" t="s">
        <v>3</v>
      </c>
      <c r="B7" s="3">
        <v>100.5</v>
      </c>
      <c r="C7" s="4">
        <f>DATE(VALUE(MID(A7,FIND(" ",A7)+1,4)),MATCH(LEFT(A7,FIND(" ",A7)-1),{"Январь","Февраль","Март","Апрель","Май","Июнь","Июль","Август","Сентябрь","Октябрь","Ноябрь","Декабрь"},0),1)</f>
        <v>40603</v>
      </c>
      <c r="D7" s="4" t="str">
        <f t="shared" si="0"/>
        <v>2011-03-01</v>
      </c>
      <c r="E7" s="5"/>
    </row>
    <row r="8" spans="1:189">
      <c r="A8" s="3" t="s">
        <v>4</v>
      </c>
      <c r="B8" s="3">
        <v>100.5</v>
      </c>
      <c r="C8" s="4">
        <f>DATE(VALUE(MID(A8,FIND(" ",A8)+1,4)),MATCH(LEFT(A8,FIND(" ",A8)-1),{"Январь","Февраль","Март","Апрель","Май","Июнь","Июль","Август","Сентябрь","Октябрь","Ноябрь","Декабрь"},0),1)</f>
        <v>40634</v>
      </c>
      <c r="D8" s="4" t="str">
        <f t="shared" si="0"/>
        <v>2011-04-01</v>
      </c>
      <c r="E8" s="5"/>
    </row>
    <row r="9" spans="1:189">
      <c r="A9" s="3" t="s">
        <v>5</v>
      </c>
      <c r="B9" s="3">
        <v>100.5</v>
      </c>
      <c r="C9" s="4">
        <f>DATE(VALUE(MID(A9,FIND(" ",A9)+1,4)),MATCH(LEFT(A9,FIND(" ",A9)-1),{"Январь","Февраль","Март","Апрель","Май","Июнь","Июль","Август","Сентябрь","Октябрь","Ноябрь","Декабрь"},0),1)</f>
        <v>40664</v>
      </c>
      <c r="D9" s="4" t="str">
        <f t="shared" si="0"/>
        <v>2011-05-01</v>
      </c>
      <c r="E9" s="5"/>
    </row>
    <row r="10" spans="1:189">
      <c r="A10" s="3" t="s">
        <v>6</v>
      </c>
      <c r="B10" s="3">
        <v>100.3</v>
      </c>
      <c r="C10" s="4">
        <f>DATE(VALUE(MID(A10,FIND(" ",A10)+1,4)),MATCH(LEFT(A10,FIND(" ",A10)-1),{"Январь","Февраль","Март","Апрель","Май","Июнь","Июль","Август","Сентябрь","Октябрь","Ноябрь","Декабрь"},0),1)</f>
        <v>40695</v>
      </c>
      <c r="D10" s="4" t="str">
        <f t="shared" si="0"/>
        <v>2011-06-01</v>
      </c>
      <c r="E10" s="5"/>
    </row>
    <row r="11" spans="1:189">
      <c r="A11" s="3" t="s">
        <v>7</v>
      </c>
      <c r="B11" s="3">
        <v>100.5</v>
      </c>
      <c r="C11" s="4">
        <f>DATE(VALUE(MID(A11,FIND(" ",A11)+1,4)),MATCH(LEFT(A11,FIND(" ",A11)-1),{"Январь","Февраль","Март","Апрель","Май","Июнь","Июль","Август","Сентябрь","Октябрь","Ноябрь","Декабрь"},0),1)</f>
        <v>40725</v>
      </c>
      <c r="D11" s="4" t="str">
        <f t="shared" si="0"/>
        <v>2011-07-01</v>
      </c>
      <c r="E11" s="5"/>
    </row>
    <row r="12" spans="1:189">
      <c r="A12" s="3" t="s">
        <v>8</v>
      </c>
      <c r="B12" s="3">
        <v>100.3</v>
      </c>
      <c r="C12" s="4">
        <f>DATE(VALUE(MID(A12,FIND(" ",A12)+1,4)),MATCH(LEFT(A12,FIND(" ",A12)-1),{"Январь","Февраль","Март","Апрель","Май","Июнь","Июль","Август","Сентябрь","Октябрь","Ноябрь","Декабрь"},0),1)</f>
        <v>40756</v>
      </c>
      <c r="D12" s="4" t="str">
        <f t="shared" si="0"/>
        <v>2011-08-01</v>
      </c>
      <c r="E12" s="5"/>
    </row>
    <row r="13" spans="1:189">
      <c r="A13" s="3" t="s">
        <v>9</v>
      </c>
      <c r="B13" s="3">
        <v>100.3</v>
      </c>
      <c r="C13" s="4">
        <f>DATE(VALUE(MID(A13,FIND(" ",A13)+1,4)),MATCH(LEFT(A13,FIND(" ",A13)-1),{"Январь","Февраль","Март","Апрель","Май","Июнь","Июль","Август","Сентябрь","Октябрь","Ноябрь","Декабрь"},0),1)</f>
        <v>40787</v>
      </c>
      <c r="D13" s="4" t="str">
        <f t="shared" si="0"/>
        <v>2011-09-01</v>
      </c>
      <c r="E13" s="5"/>
    </row>
    <row r="14" spans="1:189">
      <c r="A14" s="3" t="s">
        <v>10</v>
      </c>
      <c r="B14" s="3">
        <v>100.2</v>
      </c>
      <c r="C14" s="4">
        <f>DATE(VALUE(MID(A14,FIND(" ",A14)+1,4)),MATCH(LEFT(A14,FIND(" ",A14)-1),{"Январь","Февраль","Март","Апрель","Май","Июнь","Июль","Август","Сентябрь","Октябрь","Ноябрь","Декабрь"},0),1)</f>
        <v>40817</v>
      </c>
      <c r="D14" s="4" t="str">
        <f t="shared" si="0"/>
        <v>2011-10-01</v>
      </c>
      <c r="E14" s="5"/>
    </row>
    <row r="15" spans="1:189">
      <c r="A15" s="3" t="s">
        <v>11</v>
      </c>
      <c r="B15" s="3">
        <v>100.6</v>
      </c>
      <c r="C15" s="4">
        <f>DATE(VALUE(MID(A15,FIND(" ",A15)+1,4)),MATCH(LEFT(A15,FIND(" ",A15)-1),{"Январь","Февраль","Март","Апрель","Май","Июнь","Июль","Август","Сентябрь","Октябрь","Ноябрь","Декабрь"},0),1)</f>
        <v>40848</v>
      </c>
      <c r="D15" s="4" t="str">
        <f t="shared" si="0"/>
        <v>2011-11-01</v>
      </c>
      <c r="E15" s="5"/>
    </row>
    <row r="16" spans="1:189">
      <c r="A16" s="3" t="s">
        <v>12</v>
      </c>
      <c r="B16" s="3">
        <v>100.3</v>
      </c>
      <c r="C16" s="4">
        <f>DATE(VALUE(MID(A16,FIND(" ",A16)+1,4)),MATCH(LEFT(A16,FIND(" ",A16)-1),{"Январь","Февраль","Март","Апрель","Май","Июнь","Июль","Август","Сентябрь","Октябрь","Ноябрь","Декабрь"},0),1)</f>
        <v>40878</v>
      </c>
      <c r="D16" s="4" t="str">
        <f t="shared" si="0"/>
        <v>2011-12-01</v>
      </c>
      <c r="E16" s="5"/>
    </row>
    <row r="17" spans="1:5">
      <c r="A17" s="3" t="s">
        <v>13</v>
      </c>
      <c r="B17" s="3">
        <v>100.3</v>
      </c>
      <c r="C17" s="4">
        <f>DATE(VALUE(MID(A17,FIND(" ",A17)+1,4)),MATCH(LEFT(A17,FIND(" ",A17)-1),{"Январь","Февраль","Март","Апрель","Май","Июнь","Июль","Август","Сентябрь","Октябрь","Ноябрь","Декабрь"},0),1)</f>
        <v>40909</v>
      </c>
      <c r="D17" s="4" t="str">
        <f t="shared" si="0"/>
        <v>2012-01-01</v>
      </c>
      <c r="E17" s="2">
        <f t="shared" ref="E17:E80" si="1">(B5/100)*(B6/100)*(B7/100)*(B8/100)*(B9/100)*(B10/100)*(B11/100)*(B12/100)*(B13/100)*(B14/100)*(B15/100)*(B16/100)-1</f>
        <v>0.0742878810763221</v>
      </c>
    </row>
    <row r="18" spans="1:5">
      <c r="A18" s="3" t="s">
        <v>14</v>
      </c>
      <c r="B18" s="3">
        <v>100.4</v>
      </c>
      <c r="C18" s="4">
        <f>DATE(VALUE(MID(A18,FIND(" ",A18)+1,4)),MATCH(LEFT(A18,FIND(" ",A18)-1),{"Январь","Февраль","Март","Апрель","Май","Июнь","Июль","Август","Сентябрь","Октябрь","Ноябрь","Декабрь"},0),1)</f>
        <v>40940</v>
      </c>
      <c r="D18" s="4" t="str">
        <f t="shared" si="0"/>
        <v>2012-02-01</v>
      </c>
      <c r="E18" s="2">
        <f t="shared" si="1"/>
        <v>0.0594992573446913</v>
      </c>
    </row>
    <row r="19" spans="1:5">
      <c r="A19" s="3" t="s">
        <v>15</v>
      </c>
      <c r="B19" s="3">
        <v>100.3</v>
      </c>
      <c r="C19" s="4">
        <f>DATE(VALUE(MID(A19,FIND(" ",A19)+1,4)),MATCH(LEFT(A19,FIND(" ",A19)-1),{"Январь","Февраль","Март","Апрель","Май","Июнь","Июль","Август","Сентябрь","Октябрь","Ноябрь","Декабрь"},0),1)</f>
        <v>40969</v>
      </c>
      <c r="D19" s="4" t="str">
        <f t="shared" si="0"/>
        <v>2012-03-01</v>
      </c>
      <c r="E19" s="2">
        <f t="shared" si="1"/>
        <v>0.0480169993833202</v>
      </c>
    </row>
    <row r="20" spans="1:5">
      <c r="A20" s="3" t="s">
        <v>16</v>
      </c>
      <c r="B20" s="3">
        <v>100.7</v>
      </c>
      <c r="C20" s="4">
        <f>DATE(VALUE(MID(A20,FIND(" ",A20)+1,4)),MATCH(LEFT(A20,FIND(" ",A20)-1),{"Январь","Февраль","Март","Апрель","Май","Июнь","Июль","Август","Сентябрь","Октябрь","Ноябрь","Декабрь"},0),1)</f>
        <v>41000</v>
      </c>
      <c r="D20" s="4" t="str">
        <f t="shared" si="0"/>
        <v>2012-04-01</v>
      </c>
      <c r="E20" s="2">
        <f t="shared" si="1"/>
        <v>0.0459313934143979</v>
      </c>
    </row>
    <row r="21" spans="1:5">
      <c r="A21" s="3" t="s">
        <v>17</v>
      </c>
      <c r="B21" s="3">
        <v>100.7</v>
      </c>
      <c r="C21" s="4">
        <f>DATE(VALUE(MID(A21,FIND(" ",A21)+1,4)),MATCH(LEFT(A21,FIND(" ",A21)-1),{"Январь","Февраль","Март","Апрель","Май","Июнь","Июль","Август","Сентябрь","Октябрь","Ноябрь","Декабрь"},0),1)</f>
        <v>41030</v>
      </c>
      <c r="D21" s="4" t="str">
        <f t="shared" si="0"/>
        <v>2012-05-01</v>
      </c>
      <c r="E21" s="2">
        <f t="shared" si="1"/>
        <v>0.0480128489236804</v>
      </c>
    </row>
    <row r="22" spans="1:5">
      <c r="A22" s="3" t="s">
        <v>18</v>
      </c>
      <c r="B22" s="3">
        <v>100.3</v>
      </c>
      <c r="C22" s="4">
        <f>DATE(VALUE(MID(A22,FIND(" ",A22)+1,4)),MATCH(LEFT(A22,FIND(" ",A22)-1),{"Январь","Февраль","Март","Апрель","Май","Июнь","Июль","Август","Сентябрь","Октябрь","Ноябрь","Декабрь"},0),1)</f>
        <v>41061</v>
      </c>
      <c r="D22" s="4" t="str">
        <f t="shared" si="0"/>
        <v>2012-06-01</v>
      </c>
      <c r="E22" s="2">
        <f t="shared" si="1"/>
        <v>0.0500984466329821</v>
      </c>
    </row>
    <row r="23" spans="1:5">
      <c r="A23" s="3" t="s">
        <v>19</v>
      </c>
      <c r="B23" s="3">
        <v>100.3</v>
      </c>
      <c r="C23" s="4">
        <f>DATE(VALUE(MID(A23,FIND(" ",A23)+1,4)),MATCH(LEFT(A23,FIND(" ",A23)-1),{"Январь","Февраль","Март","Апрель","Май","Июнь","Июль","Август","Сентябрь","Октябрь","Ноябрь","Декабрь"},0),1)</f>
        <v>41091</v>
      </c>
      <c r="D23" s="4" t="str">
        <f t="shared" si="0"/>
        <v>2012-07-01</v>
      </c>
      <c r="E23" s="2">
        <f t="shared" si="1"/>
        <v>0.0500984466329821</v>
      </c>
    </row>
    <row r="24" spans="1:5">
      <c r="A24" s="3" t="s">
        <v>20</v>
      </c>
      <c r="B24" s="3">
        <v>100.3</v>
      </c>
      <c r="C24" s="4">
        <f>DATE(VALUE(MID(A24,FIND(" ",A24)+1,4)),MATCH(LEFT(A24,FIND(" ",A24)-1),{"Январь","Февраль","Март","Апрель","Май","Июнь","Июль","Август","Сентябрь","Октябрь","Ноябрь","Декабрь"},0),1)</f>
        <v>41122</v>
      </c>
      <c r="D24" s="4" t="str">
        <f t="shared" si="0"/>
        <v>2012-08-01</v>
      </c>
      <c r="E24" s="2">
        <f t="shared" si="1"/>
        <v>0.0480086984804786</v>
      </c>
    </row>
    <row r="25" spans="1:5">
      <c r="A25" s="3" t="s">
        <v>21</v>
      </c>
      <c r="B25" s="3">
        <v>100.6</v>
      </c>
      <c r="C25" s="4">
        <f>DATE(VALUE(MID(A25,FIND(" ",A25)+1,4)),MATCH(LEFT(A25,FIND(" ",A25)-1),{"Январь","Февраль","Март","Апрель","Май","Июнь","Июль","Август","Сентябрь","Октябрь","Ноябрь","Декабрь"},0),1)</f>
        <v>41153</v>
      </c>
      <c r="D25" s="4" t="str">
        <f t="shared" si="0"/>
        <v>2012-09-01</v>
      </c>
      <c r="E25" s="2">
        <f t="shared" si="1"/>
        <v>0.0480086984804786</v>
      </c>
    </row>
    <row r="26" spans="1:5">
      <c r="A26" s="3" t="s">
        <v>22</v>
      </c>
      <c r="B26" s="3">
        <v>100.7</v>
      </c>
      <c r="C26" s="4">
        <f>DATE(VALUE(MID(A26,FIND(" ",A26)+1,4)),MATCH(LEFT(A26,FIND(" ",A26)-1),{"Январь","Февраль","Март","Апрель","Май","Июнь","Июль","Август","Сентябрь","Октябрь","Ноябрь","Декабрь"},0),1)</f>
        <v>41183</v>
      </c>
      <c r="D26" s="4" t="str">
        <f t="shared" si="0"/>
        <v>2012-10-01</v>
      </c>
      <c r="E26" s="2">
        <f t="shared" si="1"/>
        <v>0.0511433207092336</v>
      </c>
    </row>
    <row r="27" spans="1:5">
      <c r="A27" s="3" t="s">
        <v>23</v>
      </c>
      <c r="B27" s="3">
        <v>100.7</v>
      </c>
      <c r="C27" s="4">
        <f>DATE(VALUE(MID(A27,FIND(" ",A27)+1,4)),MATCH(LEFT(A27,FIND(" ",A27)-1),{"Январь","Февраль","Март","Апрель","Май","Июнь","Июль","Август","Сентябрь","Октябрь","Ноябрь","Декабрь"},0),1)</f>
        <v>41214</v>
      </c>
      <c r="D27" s="4" t="str">
        <f t="shared" si="0"/>
        <v>2012-11-01</v>
      </c>
      <c r="E27" s="2">
        <f t="shared" si="1"/>
        <v>0.0563885468604775</v>
      </c>
    </row>
    <row r="28" spans="1:5">
      <c r="A28" s="3" t="s">
        <v>24</v>
      </c>
      <c r="B28" s="3">
        <v>100.6</v>
      </c>
      <c r="C28" s="4">
        <f>DATE(VALUE(MID(A28,FIND(" ",A28)+1,4)),MATCH(LEFT(A28,FIND(" ",A28)-1),{"Январь","Февраль","Март","Апрель","Май","Июнь","Июль","Август","Сентябрь","Октябрь","Ноябрь","Декабрь"},0),1)</f>
        <v>41244</v>
      </c>
      <c r="D28" s="4" t="str">
        <f t="shared" si="0"/>
        <v>2012-12-01</v>
      </c>
      <c r="E28" s="2">
        <f t="shared" si="1"/>
        <v>0.0574386348792253</v>
      </c>
    </row>
    <row r="29" spans="1:5">
      <c r="A29" s="3" t="s">
        <v>25</v>
      </c>
      <c r="B29" s="3">
        <v>100.9</v>
      </c>
      <c r="C29" s="4">
        <f>DATE(VALUE(MID(A29,FIND(" ",A29)+1,4)),MATCH(LEFT(A29,FIND(" ",A29)-1),{"Январь","Февраль","Март","Апрель","Май","Июнь","Июль","Август","Сентябрь","Октябрь","Ноябрь","Декабрь"},0),1)</f>
        <v>41275</v>
      </c>
      <c r="D29" s="4" t="str">
        <f t="shared" si="0"/>
        <v>2013-01-01</v>
      </c>
      <c r="E29" s="2">
        <f t="shared" si="1"/>
        <v>0.0606014623015958</v>
      </c>
    </row>
    <row r="30" spans="1:5">
      <c r="A30" s="3" t="s">
        <v>26</v>
      </c>
      <c r="B30" s="3">
        <v>100.8</v>
      </c>
      <c r="C30" s="4">
        <f>DATE(VALUE(MID(A30,FIND(" ",A30)+1,4)),MATCH(LEFT(A30,FIND(" ",A30)-1),{"Январь","Февраль","Март","Апрель","Май","Июнь","Июль","Август","Сентябрь","Октябрь","Ноябрь","Декабрь"},0),1)</f>
        <v>41306</v>
      </c>
      <c r="D30" s="4" t="str">
        <f t="shared" si="0"/>
        <v>2013-02-01</v>
      </c>
      <c r="E30" s="2">
        <f t="shared" si="1"/>
        <v>0.0669460373502602</v>
      </c>
    </row>
    <row r="31" spans="1:5">
      <c r="A31" s="3" t="s">
        <v>27</v>
      </c>
      <c r="B31" s="3">
        <v>100.2</v>
      </c>
      <c r="C31" s="4">
        <f>DATE(VALUE(MID(A31,FIND(" ",A31)+1,4)),MATCH(LEFT(A31,FIND(" ",A31)-1),{"Январь","Февраль","Март","Апрель","Май","Июнь","Июль","Август","Сентябрь","Октябрь","Ноябрь","Декабрь"},0),1)</f>
        <v>41334</v>
      </c>
      <c r="D31" s="4" t="str">
        <f t="shared" si="0"/>
        <v>2013-03-01</v>
      </c>
      <c r="E31" s="2">
        <f t="shared" si="1"/>
        <v>0.0711968183755596</v>
      </c>
    </row>
    <row r="32" spans="1:5">
      <c r="A32" s="3" t="s">
        <v>28</v>
      </c>
      <c r="B32" s="3">
        <v>100.3</v>
      </c>
      <c r="C32" s="4">
        <f>DATE(VALUE(MID(A32,FIND(" ",A32)+1,4)),MATCH(LEFT(A32,FIND(" ",A32)-1),{"Январь","Февраль","Март","Апрель","Май","Июнь","Июль","Август","Сентябрь","Октябрь","Ноябрь","Декабрь"},0),1)</f>
        <v>41365</v>
      </c>
      <c r="D32" s="4" t="str">
        <f t="shared" si="0"/>
        <v>2013-04-01</v>
      </c>
      <c r="E32" s="2">
        <f t="shared" si="1"/>
        <v>0.0701288255357044</v>
      </c>
    </row>
    <row r="33" spans="1:5">
      <c r="A33" s="3" t="s">
        <v>29</v>
      </c>
      <c r="B33" s="3">
        <v>100.2</v>
      </c>
      <c r="C33" s="4">
        <f>DATE(VALUE(MID(A33,FIND(" ",A33)+1,4)),MATCH(LEFT(A33,FIND(" ",A33)-1),{"Январь","Февраль","Март","Апрель","Май","Июнь","Июль","Август","Сентябрь","Октябрь","Ноябрь","Декабрь"},0),1)</f>
        <v>41395</v>
      </c>
      <c r="D33" s="4" t="str">
        <f t="shared" si="0"/>
        <v>2013-05-01</v>
      </c>
      <c r="E33" s="2">
        <f t="shared" si="1"/>
        <v>0.0658780655534372</v>
      </c>
    </row>
    <row r="34" spans="1:5">
      <c r="A34" s="3" t="s">
        <v>30</v>
      </c>
      <c r="B34" s="3">
        <v>100.3</v>
      </c>
      <c r="C34" s="4">
        <f>DATE(VALUE(MID(A34,FIND(" ",A34)+1,4)),MATCH(LEFT(A34,FIND(" ",A34)-1),{"Январь","Февраль","Март","Апрель","Май","Июнь","Июль","Август","Сентябрь","Октябрь","Ноябрь","Декабрь"},0),1)</f>
        <v>41426</v>
      </c>
      <c r="D34" s="4" t="str">
        <f t="shared" si="0"/>
        <v>2013-06-01</v>
      </c>
      <c r="E34" s="2">
        <f t="shared" si="1"/>
        <v>0.060585721633112</v>
      </c>
    </row>
    <row r="35" spans="1:5">
      <c r="A35" s="3" t="s">
        <v>31</v>
      </c>
      <c r="B35" s="3">
        <v>100.2</v>
      </c>
      <c r="C35" s="4">
        <f>DATE(VALUE(MID(A35,FIND(" ",A35)+1,4)),MATCH(LEFT(A35,FIND(" ",A35)-1),{"Январь","Февраль","Март","Апрель","Май","Июнь","Июль","Август","Сентябрь","Октябрь","Ноябрь","Декабрь"},0),1)</f>
        <v>41456</v>
      </c>
      <c r="D35" s="4" t="str">
        <f t="shared" si="0"/>
        <v>2013-07-01</v>
      </c>
      <c r="E35" s="2">
        <f t="shared" si="1"/>
        <v>0.0605857216331118</v>
      </c>
    </row>
    <row r="36" spans="1:5">
      <c r="A36" s="3" t="s">
        <v>32</v>
      </c>
      <c r="B36" s="3">
        <v>100.2</v>
      </c>
      <c r="C36" s="4">
        <f>DATE(VALUE(MID(A36,FIND(" ",A36)+1,4)),MATCH(LEFT(A36,FIND(" ",A36)-1),{"Январь","Февраль","Март","Апрель","Май","Июнь","Июль","Август","Сентябрь","Октябрь","Ноябрь","Декабрь"},0),1)</f>
        <v>41487</v>
      </c>
      <c r="D36" s="4" t="str">
        <f t="shared" si="0"/>
        <v>2013-08-01</v>
      </c>
      <c r="E36" s="2">
        <f t="shared" si="1"/>
        <v>0.0595283081519227</v>
      </c>
    </row>
    <row r="37" spans="1:5">
      <c r="A37" s="3" t="s">
        <v>33</v>
      </c>
      <c r="B37" s="3">
        <v>100.2</v>
      </c>
      <c r="C37" s="4">
        <f>DATE(VALUE(MID(A37,FIND(" ",A37)+1,4)),MATCH(LEFT(A37,FIND(" ",A37)-1),{"Январь","Февраль","Март","Апрель","Май","Июнь","Июль","Август","Сентябрь","Октябрь","Ноябрь","Декабрь"},0),1)</f>
        <v>41518</v>
      </c>
      <c r="D37" s="4" t="str">
        <f t="shared" si="0"/>
        <v>2013-09-01</v>
      </c>
      <c r="E37" s="2">
        <f t="shared" si="1"/>
        <v>0.0584719489214622</v>
      </c>
    </row>
    <row r="38" spans="1:5">
      <c r="A38" s="3" t="s">
        <v>34</v>
      </c>
      <c r="B38" s="3">
        <v>100.3</v>
      </c>
      <c r="C38" s="4">
        <f>DATE(VALUE(MID(A38,FIND(" ",A38)+1,4)),MATCH(LEFT(A38,FIND(" ",A38)-1),{"Январь","Февраль","Март","Апрель","Май","Июнь","Июль","Август","Сентябрь","Октябрь","Ноябрь","Декабрь"},0),1)</f>
        <v>41548</v>
      </c>
      <c r="D38" s="4" t="str">
        <f t="shared" si="0"/>
        <v>2013-10-01</v>
      </c>
      <c r="E38" s="2">
        <f t="shared" si="1"/>
        <v>0.0542633129416548</v>
      </c>
    </row>
    <row r="39" spans="1:5">
      <c r="A39" s="3" t="s">
        <v>35</v>
      </c>
      <c r="B39" s="3">
        <v>100.5</v>
      </c>
      <c r="C39" s="4">
        <f>DATE(VALUE(MID(A39,FIND(" ",A39)+1,4)),MATCH(LEFT(A39,FIND(" ",A39)-1),{"Январь","Февраль","Март","Апрель","Май","Июнь","Июль","Август","Сентябрь","Октябрь","Ноябрь","Декабрь"},0),1)</f>
        <v>41579</v>
      </c>
      <c r="D39" s="4" t="str">
        <f t="shared" si="0"/>
        <v>2013-11-01</v>
      </c>
      <c r="E39" s="2">
        <f t="shared" si="1"/>
        <v>0.050075573863436</v>
      </c>
    </row>
    <row r="40" spans="1:5">
      <c r="A40" s="3" t="s">
        <v>36</v>
      </c>
      <c r="B40" s="3">
        <v>100.7</v>
      </c>
      <c r="C40" s="4">
        <f>DATE(VALUE(MID(A40,FIND(" ",A40)+1,4)),MATCH(LEFT(A40,FIND(" ",A40)-1),{"Январь","Февраль","Март","Апрель","Май","Июнь","Июль","Август","Сентябрь","Октябрь","Ноябрь","Декабрь"},0),1)</f>
        <v>41609</v>
      </c>
      <c r="D40" s="4" t="str">
        <f t="shared" si="0"/>
        <v>2013-12-01</v>
      </c>
      <c r="E40" s="2">
        <f t="shared" si="1"/>
        <v>0.0479900215816804</v>
      </c>
    </row>
    <row r="41" spans="1:5">
      <c r="A41" s="3" t="s">
        <v>37</v>
      </c>
      <c r="B41" s="3">
        <v>100.6</v>
      </c>
      <c r="C41" s="4">
        <f>DATE(VALUE(MID(A41,FIND(" ",A41)+1,4)),MATCH(LEFT(A41,FIND(" ",A41)-1),{"Январь","Февраль","Март","Апрель","Май","Июнь","Июль","Август","Сентябрь","Октябрь","Ноябрь","Декабрь"},0),1)</f>
        <v>41640</v>
      </c>
      <c r="D41" s="4" t="str">
        <f t="shared" si="0"/>
        <v>2014-01-01</v>
      </c>
      <c r="E41" s="2">
        <f t="shared" si="1"/>
        <v>0.049031761165758</v>
      </c>
    </row>
    <row r="42" spans="1:5">
      <c r="A42" s="3" t="s">
        <v>38</v>
      </c>
      <c r="B42" s="3">
        <v>101.7</v>
      </c>
      <c r="C42" s="4">
        <f>DATE(VALUE(MID(A42,FIND(" ",A42)+1,4)),MATCH(LEFT(A42,FIND(" ",A42)-1),{"Январь","Февраль","Март","Апрель","Май","Июнь","Июль","Август","Сентябрь","Октябрь","Ноябрь","Декабрь"},0),1)</f>
        <v>41671</v>
      </c>
      <c r="D42" s="4" t="str">
        <f t="shared" si="0"/>
        <v>2014-02-01</v>
      </c>
      <c r="E42" s="2">
        <f t="shared" si="1"/>
        <v>0.0459127370988623</v>
      </c>
    </row>
    <row r="43" spans="1:5">
      <c r="A43" s="3" t="s">
        <v>39</v>
      </c>
      <c r="B43" s="3">
        <v>101</v>
      </c>
      <c r="C43" s="4">
        <f>DATE(VALUE(MID(A43,FIND(" ",A43)+1,4)),MATCH(LEFT(A43,FIND(" ",A43)-1),{"Январь","Февраль","Март","Апрель","Май","Июнь","Июль","Август","Сентябрь","Октябрь","Ноябрь","Декабрь"},0),1)</f>
        <v>41699</v>
      </c>
      <c r="D43" s="4" t="str">
        <f t="shared" si="0"/>
        <v>2014-03-01</v>
      </c>
      <c r="E43" s="2">
        <f t="shared" si="1"/>
        <v>0.0552512436801025</v>
      </c>
    </row>
    <row r="44" spans="1:5">
      <c r="A44" s="3" t="s">
        <v>40</v>
      </c>
      <c r="B44" s="3">
        <v>100.6</v>
      </c>
      <c r="C44" s="4">
        <f>DATE(VALUE(MID(A44,FIND(" ",A44)+1,4)),MATCH(LEFT(A44,FIND(" ",A44)-1),{"Январь","Февраль","Март","Апрель","Май","Июнь","Июль","Август","Сентябрь","Октябрь","Ноябрь","Декабрь"},0),1)</f>
        <v>41730</v>
      </c>
      <c r="D44" s="4" t="str">
        <f t="shared" si="0"/>
        <v>2014-04-01</v>
      </c>
      <c r="E44" s="2">
        <f t="shared" si="1"/>
        <v>0.0636764033102835</v>
      </c>
    </row>
    <row r="45" spans="1:5">
      <c r="A45" s="3" t="s">
        <v>41</v>
      </c>
      <c r="B45" s="3">
        <v>100.6</v>
      </c>
      <c r="C45" s="4">
        <f>DATE(VALUE(MID(A45,FIND(" ",A45)+1,4)),MATCH(LEFT(A45,FIND(" ",A45)-1),{"Январь","Февраль","Март","Апрель","Май","Июнь","Июль","Август","Сентябрь","Октябрь","Ноябрь","Декабрь"},0),1)</f>
        <v>41760</v>
      </c>
      <c r="D45" s="4" t="str">
        <f t="shared" si="0"/>
        <v>2014-05-01</v>
      </c>
      <c r="E45" s="2">
        <f t="shared" si="1"/>
        <v>0.0668578880659472</v>
      </c>
    </row>
    <row r="46" spans="1:5">
      <c r="A46" s="3" t="s">
        <v>42</v>
      </c>
      <c r="B46" s="3">
        <v>100.3</v>
      </c>
      <c r="C46" s="4">
        <f>DATE(VALUE(MID(A46,FIND(" ",A46)+1,4)),MATCH(LEFT(A46,FIND(" ",A46)-1),{"Январь","Февраль","Март","Апрель","Май","Июнь","Июль","Август","Сентябрь","Октябрь","Ноябрь","Декабрь"},0),1)</f>
        <v>41791</v>
      </c>
      <c r="D46" s="4" t="str">
        <f t="shared" si="0"/>
        <v>2014-06-01</v>
      </c>
      <c r="E46" s="2">
        <f t="shared" si="1"/>
        <v>0.0711168017907611</v>
      </c>
    </row>
    <row r="47" spans="1:5">
      <c r="A47" s="3" t="s">
        <v>43</v>
      </c>
      <c r="B47" s="3">
        <v>100.1</v>
      </c>
      <c r="C47" s="4">
        <f>DATE(VALUE(MID(A47,FIND(" ",A47)+1,4)),MATCH(LEFT(A47,FIND(" ",A47)-1),{"Январь","Февраль","Март","Апрель","Май","Июнь","Июль","Август","Сентябрь","Октябрь","Ноябрь","Декабрь"},0),1)</f>
        <v>41821</v>
      </c>
      <c r="D47" s="4" t="str">
        <f t="shared" si="0"/>
        <v>2014-07-01</v>
      </c>
      <c r="E47" s="2">
        <f t="shared" si="1"/>
        <v>0.0711168017907615</v>
      </c>
    </row>
    <row r="48" spans="1:5">
      <c r="A48" s="3" t="s">
        <v>44</v>
      </c>
      <c r="B48" s="3">
        <v>100.4</v>
      </c>
      <c r="C48" s="4">
        <f>DATE(VALUE(MID(A48,FIND(" ",A48)+1,4)),MATCH(LEFT(A48,FIND(" ",A48)-1),{"Январь","Февраль","Март","Апрель","Май","Июнь","Июль","Август","Сентябрь","Октябрь","Ноябрь","Декабрь"},0),1)</f>
        <v>41852</v>
      </c>
      <c r="D48" s="4" t="str">
        <f t="shared" si="0"/>
        <v>2014-08-01</v>
      </c>
      <c r="E48" s="2">
        <f t="shared" si="1"/>
        <v>0.0700478229466588</v>
      </c>
    </row>
    <row r="49" spans="1:5">
      <c r="A49" s="3" t="s">
        <v>45</v>
      </c>
      <c r="B49" s="3">
        <v>100.5</v>
      </c>
      <c r="C49" s="4">
        <f>DATE(VALUE(MID(A49,FIND(" ",A49)+1,4)),MATCH(LEFT(A49,FIND(" ",A49)-1),{"Январь","Февраль","Март","Апрель","Май","Июнь","Июль","Август","Сентябрь","Октябрь","Ноябрь","Декабрь"},0),1)</f>
        <v>41883</v>
      </c>
      <c r="D49" s="4" t="str">
        <f t="shared" si="0"/>
        <v>2014-09-01</v>
      </c>
      <c r="E49" s="2">
        <f t="shared" si="1"/>
        <v>0.072183646944556</v>
      </c>
    </row>
    <row r="50" spans="1:5">
      <c r="A50" s="3" t="s">
        <v>46</v>
      </c>
      <c r="B50" s="3">
        <v>100.4</v>
      </c>
      <c r="C50" s="4">
        <f>DATE(VALUE(MID(A50,FIND(" ",A50)+1,4)),MATCH(LEFT(A50,FIND(" ",A50)-1),{"Январь","Февраль","Март","Апрель","Май","Июнь","Июль","Август","Сентябрь","Октябрь","Ноябрь","Декабрь"},0),1)</f>
        <v>41913</v>
      </c>
      <c r="D50" s="4" t="str">
        <f t="shared" si="0"/>
        <v>2014-10-01</v>
      </c>
      <c r="E50" s="2">
        <f t="shared" si="1"/>
        <v>0.0753937776240308</v>
      </c>
    </row>
    <row r="51" spans="1:5">
      <c r="A51" s="3" t="s">
        <v>47</v>
      </c>
      <c r="B51" s="3">
        <v>100.6</v>
      </c>
      <c r="C51" s="4">
        <f>DATE(VALUE(MID(A51,FIND(" ",A51)+1,4)),MATCH(LEFT(A51,FIND(" ",A51)-1),{"Январь","Февраль","Март","Апрель","Май","Июнь","Июль","Август","Сентябрь","Октябрь","Ноябрь","Декабрь"},0),1)</f>
        <v>41944</v>
      </c>
      <c r="D51" s="4" t="str">
        <f t="shared" si="0"/>
        <v>2014-11-01</v>
      </c>
      <c r="E51" s="2">
        <f t="shared" si="1"/>
        <v>0.0764659548699174</v>
      </c>
    </row>
    <row r="52" spans="1:5">
      <c r="A52" s="3" t="s">
        <v>48</v>
      </c>
      <c r="B52" s="3">
        <v>100.5</v>
      </c>
      <c r="C52" s="4">
        <f>DATE(VALUE(MID(A52,FIND(" ",A52)+1,4)),MATCH(LEFT(A52,FIND(" ",A52)-1),{"Январь","Февраль","Март","Апрель","Май","Июнь","Июль","Август","Сентябрь","Октябрь","Ноябрь","Декабрь"},0),1)</f>
        <v>41974</v>
      </c>
      <c r="D52" s="4" t="str">
        <f t="shared" si="0"/>
        <v>2014-12-01</v>
      </c>
      <c r="E52" s="2">
        <f t="shared" si="1"/>
        <v>0.0775370652727732</v>
      </c>
    </row>
    <row r="53" spans="1:5">
      <c r="A53" s="3" t="s">
        <v>49</v>
      </c>
      <c r="B53" s="3">
        <v>100.6</v>
      </c>
      <c r="C53" s="4">
        <f>DATE(VALUE(MID(A53,FIND(" ",A53)+1,4)),MATCH(LEFT(A53,FIND(" ",A53)-1),{"Январь","Февраль","Март","Апрель","Май","Июнь","Июль","Август","Сентябрь","Октябрь","Ноябрь","Декабрь"},0),1)</f>
        <v>42005</v>
      </c>
      <c r="D53" s="4" t="str">
        <f t="shared" si="0"/>
        <v>2015-01-01</v>
      </c>
      <c r="E53" s="2">
        <f t="shared" si="1"/>
        <v>0.075396971796561</v>
      </c>
    </row>
    <row r="54" spans="1:5">
      <c r="A54" s="3" t="s">
        <v>50</v>
      </c>
      <c r="B54" s="3">
        <v>100.4</v>
      </c>
      <c r="C54" s="4">
        <f>DATE(VALUE(MID(A54,FIND(" ",A54)+1,4)),MATCH(LEFT(A54,FIND(" ",A54)-1),{"Январь","Февраль","Март","Апрель","Май","Июнь","Июль","Август","Сентябрь","Октябрь","Ноябрь","Декабрь"},0),1)</f>
        <v>42036</v>
      </c>
      <c r="D54" s="4" t="str">
        <f t="shared" si="0"/>
        <v>2015-02-01</v>
      </c>
      <c r="E54" s="2">
        <f t="shared" si="1"/>
        <v>0.0753969717965606</v>
      </c>
    </row>
    <row r="55" spans="1:5">
      <c r="A55" s="3" t="s">
        <v>51</v>
      </c>
      <c r="B55" s="3">
        <v>100.1</v>
      </c>
      <c r="C55" s="4">
        <f>DATE(VALUE(MID(A55,FIND(" ",A55)+1,4)),MATCH(LEFT(A55,FIND(" ",A55)-1),{"Январь","Февраль","Март","Апрель","Май","Июнь","Июль","Август","Сентябрь","Октябрь","Ноябрь","Декабрь"},0),1)</f>
        <v>42064</v>
      </c>
      <c r="D55" s="4" t="str">
        <f t="shared" si="0"/>
        <v>2015-03-01</v>
      </c>
      <c r="E55" s="2">
        <f t="shared" si="1"/>
        <v>0.0616505011639594</v>
      </c>
    </row>
    <row r="56" spans="1:5">
      <c r="A56" s="3" t="s">
        <v>52</v>
      </c>
      <c r="B56" s="3">
        <v>100.1</v>
      </c>
      <c r="C56" s="4">
        <f>DATE(VALUE(MID(A56,FIND(" ",A56)+1,4)),MATCH(LEFT(A56,FIND(" ",A56)-1),{"Январь","Февраль","Март","Апрель","Май","Июнь","Июль","Август","Сентябрь","Октябрь","Ноябрь","Декабрь"},0),1)</f>
        <v>42095</v>
      </c>
      <c r="D56" s="4" t="str">
        <f t="shared" si="0"/>
        <v>2015-04-01</v>
      </c>
      <c r="E56" s="2">
        <f t="shared" si="1"/>
        <v>0.052190249173389</v>
      </c>
    </row>
    <row r="57" spans="1:5">
      <c r="A57" s="3" t="s">
        <v>53</v>
      </c>
      <c r="B57" s="3">
        <v>100.3</v>
      </c>
      <c r="C57" s="4">
        <f>DATE(VALUE(MID(A57,FIND(" ",A57)+1,4)),MATCH(LEFT(A57,FIND(" ",A57)-1),{"Январь","Февраль","Март","Апрель","Май","Июнь","Июль","Август","Сентябрь","Октябрь","Ноябрь","Декабрь"},0),1)</f>
        <v>42125</v>
      </c>
      <c r="D57" s="4" t="str">
        <f t="shared" si="0"/>
        <v>2015-05-01</v>
      </c>
      <c r="E57" s="2">
        <f t="shared" si="1"/>
        <v>0.0469606753703409</v>
      </c>
    </row>
    <row r="58" spans="1:5">
      <c r="A58" s="3" t="s">
        <v>54</v>
      </c>
      <c r="B58" s="3">
        <v>99.9</v>
      </c>
      <c r="C58" s="4">
        <f>DATE(VALUE(MID(A58,FIND(" ",A58)+1,4)),MATCH(LEFT(A58,FIND(" ",A58)-1),{"Январь","Февраль","Март","Апрель","Май","Июнь","Июль","Август","Сентябрь","Октябрь","Ноябрь","Декабрь"},0),1)</f>
        <v>42156</v>
      </c>
      <c r="D58" s="4" t="str">
        <f t="shared" si="0"/>
        <v>2015-06-01</v>
      </c>
      <c r="E58" s="2">
        <f t="shared" si="1"/>
        <v>0.0438385262390175</v>
      </c>
    </row>
    <row r="59" spans="1:5">
      <c r="A59" s="3" t="s">
        <v>55</v>
      </c>
      <c r="B59" s="3">
        <v>100.1</v>
      </c>
      <c r="C59" s="4">
        <f>DATE(VALUE(MID(A59,FIND(" ",A59)+1,4)),MATCH(LEFT(A59,FIND(" ",A59)-1),{"Январь","Февраль","Март","Апрель","Май","Июнь","Июль","Август","Сентябрь","Октябрь","Ноябрь","Декабрь"},0),1)</f>
        <v>42186</v>
      </c>
      <c r="D59" s="4" t="str">
        <f t="shared" si="0"/>
        <v>2015-07-01</v>
      </c>
      <c r="E59" s="2">
        <f t="shared" si="1"/>
        <v>0.0396756607305873</v>
      </c>
    </row>
    <row r="60" spans="1:5">
      <c r="A60" s="3" t="s">
        <v>56</v>
      </c>
      <c r="B60" s="3">
        <v>100.3</v>
      </c>
      <c r="C60" s="4">
        <f>DATE(VALUE(MID(A60,FIND(" ",A60)+1,4)),MATCH(LEFT(A60,FIND(" ",A60)-1),{"Январь","Февраль","Март","Апрель","Май","Июнь","Июль","Август","Сентябрь","Октябрь","Ноябрь","Декабрь"},0),1)</f>
        <v>42217</v>
      </c>
      <c r="D60" s="4" t="str">
        <f t="shared" si="0"/>
        <v>2015-08-01</v>
      </c>
      <c r="E60" s="2">
        <f t="shared" si="1"/>
        <v>0.0396756607305873</v>
      </c>
    </row>
    <row r="61" spans="1:5">
      <c r="A61" s="3" t="s">
        <v>57</v>
      </c>
      <c r="B61" s="3">
        <v>101</v>
      </c>
      <c r="C61" s="4">
        <f>DATE(VALUE(MID(A61,FIND(" ",A61)+1,4)),MATCH(LEFT(A61,FIND(" ",A61)-1),{"Январь","Февраль","Март","Апрель","Май","Июнь","Июль","Август","Сентябрь","Октябрь","Ноябрь","Декабрь"},0),1)</f>
        <v>42248</v>
      </c>
      <c r="D61" s="4" t="str">
        <f t="shared" si="0"/>
        <v>2015-09-01</v>
      </c>
      <c r="E61" s="2">
        <f t="shared" si="1"/>
        <v>0.0386401272039627</v>
      </c>
    </row>
    <row r="62" spans="1:5">
      <c r="A62" s="3" t="s">
        <v>58</v>
      </c>
      <c r="B62" s="3">
        <v>105.2</v>
      </c>
      <c r="C62" s="4">
        <f>DATE(VALUE(MID(A62,FIND(" ",A62)+1,4)),MATCH(LEFT(A62,FIND(" ",A62)-1),{"Январь","Февраль","Март","Апрель","Май","Июнь","Июль","Август","Сентябрь","Октябрь","Ноябрь","Декабрь"},0),1)</f>
        <v>42278</v>
      </c>
      <c r="D62" s="4" t="str">
        <f t="shared" si="0"/>
        <v>2015-10-01</v>
      </c>
      <c r="E62" s="2">
        <f t="shared" si="1"/>
        <v>0.0438074910208983</v>
      </c>
    </row>
    <row r="63" spans="1:5">
      <c r="A63" s="3" t="s">
        <v>59</v>
      </c>
      <c r="B63" s="3">
        <v>103.7</v>
      </c>
      <c r="C63" s="4">
        <f>DATE(VALUE(MID(A63,FIND(" ",A63)+1,4)),MATCH(LEFT(A63,FIND(" ",A63)-1),{"Январь","Февраль","Март","Апрель","Май","Июнь","Июль","Август","Сентябрь","Октябрь","Ноябрь","Декабрь"},0),1)</f>
        <v>42309</v>
      </c>
      <c r="D63" s="4" t="str">
        <f t="shared" si="0"/>
        <v>2015-11-01</v>
      </c>
      <c r="E63" s="2">
        <f t="shared" si="1"/>
        <v>0.0937106380019768</v>
      </c>
    </row>
    <row r="64" spans="1:5">
      <c r="A64" s="3" t="s">
        <v>60</v>
      </c>
      <c r="B64" s="3">
        <v>101.2</v>
      </c>
      <c r="C64" s="4">
        <f>DATE(VALUE(MID(A64,FIND(" ",A64)+1,4)),MATCH(LEFT(A64,FIND(" ",A64)-1),{"Январь","Февраль","Март","Апрель","Май","Июнь","Июль","Август","Сентябрь","Октябрь","Ноябрь","Декабрь"},0),1)</f>
        <v>42339</v>
      </c>
      <c r="D64" s="4" t="str">
        <f t="shared" si="0"/>
        <v>2015-12-01</v>
      </c>
      <c r="E64" s="2">
        <f t="shared" si="1"/>
        <v>0.127413450902635</v>
      </c>
    </row>
    <row r="65" spans="1:5">
      <c r="A65" s="3" t="s">
        <v>61</v>
      </c>
      <c r="B65" s="3">
        <v>101.3</v>
      </c>
      <c r="C65" s="4">
        <f>DATE(VALUE(MID(A65,FIND(" ",A65)+1,4)),MATCH(LEFT(A65,FIND(" ",A65)-1),{"Январь","Февраль","Март","Апрель","Май","Июнь","Июль","Август","Сентябрь","Октябрь","Ноябрь","Декабрь"},0),1)</f>
        <v>42370</v>
      </c>
      <c r="D65" s="4" t="str">
        <f t="shared" si="0"/>
        <v>2016-01-01</v>
      </c>
      <c r="E65" s="2">
        <f t="shared" si="1"/>
        <v>0.135266081903947</v>
      </c>
    </row>
    <row r="66" spans="1:5">
      <c r="A66" s="3" t="s">
        <v>62</v>
      </c>
      <c r="B66" s="3">
        <v>101.1</v>
      </c>
      <c r="C66" s="4">
        <f>DATE(VALUE(MID(A66,FIND(" ",A66)+1,4)),MATCH(LEFT(A66,FIND(" ",A66)-1),{"Январь","Февраль","Март","Апрель","Май","Июнь","Июль","Август","Сентябрь","Октябрь","Ноябрь","Декабрь"},0),1)</f>
        <v>42401</v>
      </c>
      <c r="D66" s="4" t="str">
        <f t="shared" si="0"/>
        <v>2016-02-01</v>
      </c>
      <c r="E66" s="2">
        <f t="shared" si="1"/>
        <v>0.143165547682601</v>
      </c>
    </row>
    <row r="67" spans="1:5">
      <c r="A67" s="3" t="s">
        <v>63</v>
      </c>
      <c r="B67" s="3">
        <v>100.5</v>
      </c>
      <c r="C67" s="4">
        <f>DATE(VALUE(MID(A67,FIND(" ",A67)+1,4)),MATCH(LEFT(A67,FIND(" ",A67)-1),{"Январь","Февраль","Март","Апрель","Май","Июнь","Июль","Август","Сентябрь","Октябрь","Ноябрь","Декабрь"},0),1)</f>
        <v>42430</v>
      </c>
      <c r="D67" s="4" t="str">
        <f t="shared" si="0"/>
        <v>2016-03-01</v>
      </c>
      <c r="E67" s="2">
        <f t="shared" si="1"/>
        <v>0.151135825405488</v>
      </c>
    </row>
    <row r="68" spans="1:5">
      <c r="A68" s="3" t="s">
        <v>64</v>
      </c>
      <c r="B68" s="3">
        <v>100.6</v>
      </c>
      <c r="C68" s="4">
        <f>DATE(VALUE(MID(A68,FIND(" ",A68)+1,4)),MATCH(LEFT(A68,FIND(" ",A68)-1),{"Январь","Февраль","Март","Апрель","Май","Июнь","Июль","Август","Сентябрь","Октябрь","Ноябрь","Декабрь"},0),1)</f>
        <v>42461</v>
      </c>
      <c r="D68" s="4" t="str">
        <f t="shared" si="0"/>
        <v>2016-04-01</v>
      </c>
      <c r="E68" s="2">
        <f t="shared" si="1"/>
        <v>0.155735768763752</v>
      </c>
    </row>
    <row r="69" spans="1:5">
      <c r="A69" s="3" t="s">
        <v>65</v>
      </c>
      <c r="B69" s="3">
        <v>100.5</v>
      </c>
      <c r="C69" s="4">
        <f>DATE(VALUE(MID(A69,FIND(" ",A69)+1,4)),MATCH(LEFT(A69,FIND(" ",A69)-1),{"Январь","Февраль","Март","Апрель","Май","Июнь","Июль","Август","Сентябрь","Октябрь","Ноябрь","Декабрь"},0),1)</f>
        <v>42491</v>
      </c>
      <c r="D69" s="4" t="str">
        <f t="shared" ref="D69:D132" si="2">TEXT(C69,"yyyy-mm-01")</f>
        <v>2016-05-01</v>
      </c>
      <c r="E69" s="2">
        <f t="shared" si="1"/>
        <v>0.161508674701633</v>
      </c>
    </row>
    <row r="70" spans="1:5">
      <c r="A70" s="3" t="s">
        <v>66</v>
      </c>
      <c r="B70" s="3">
        <v>100.4</v>
      </c>
      <c r="C70" s="4">
        <f>DATE(VALUE(MID(A70,FIND(" ",A70)+1,4)),MATCH(LEFT(A70,FIND(" ",A70)-1),{"Январь","Февраль","Март","Апрель","Май","Июнь","Июль","Август","Сентябрь","Октябрь","Ноябрь","Декабрь"},0),1)</f>
        <v>42522</v>
      </c>
      <c r="D70" s="4" t="str">
        <f t="shared" si="2"/>
        <v>2016-06-01</v>
      </c>
      <c r="E70" s="2">
        <f t="shared" si="1"/>
        <v>0.16382474384361</v>
      </c>
    </row>
    <row r="71" spans="1:5">
      <c r="A71" s="3" t="s">
        <v>67</v>
      </c>
      <c r="B71" s="3">
        <v>100.5</v>
      </c>
      <c r="C71" s="4">
        <f>DATE(VALUE(MID(A71,FIND(" ",A71)+1,4)),MATCH(LEFT(A71,FIND(" ",A71)-1),{"Январь","Февраль","Март","Апрель","Май","Июнь","Июль","Август","Сентябрь","Октябрь","Ноябрь","Декабрь"},0),1)</f>
        <v>42552</v>
      </c>
      <c r="D71" s="4" t="str">
        <f t="shared" si="2"/>
        <v>2016-07-01</v>
      </c>
      <c r="E71" s="2">
        <f t="shared" si="1"/>
        <v>0.169649692511496</v>
      </c>
    </row>
    <row r="72" spans="1:5">
      <c r="A72" s="3" t="s">
        <v>68</v>
      </c>
      <c r="B72" s="3">
        <v>100.2</v>
      </c>
      <c r="C72" s="4">
        <f>DATE(VALUE(MID(A72,FIND(" ",A72)+1,4)),MATCH(LEFT(A72,FIND(" ",A72)-1),{"Январь","Февраль","Март","Апрель","Май","Июнь","Июль","Август","Сентябрь","Октябрь","Ноябрь","Декабрь"},0),1)</f>
        <v>42583</v>
      </c>
      <c r="D72" s="4" t="str">
        <f t="shared" si="2"/>
        <v>2016-08-01</v>
      </c>
      <c r="E72" s="2">
        <f t="shared" si="1"/>
        <v>0.174323617356696</v>
      </c>
    </row>
    <row r="73" spans="1:5">
      <c r="A73" s="3" t="s">
        <v>69</v>
      </c>
      <c r="B73" s="3">
        <v>100.2</v>
      </c>
      <c r="C73" s="4">
        <f>DATE(VALUE(MID(A73,FIND(" ",A73)+1,4)),MATCH(LEFT(A73,FIND(" ",A73)-1),{"Январь","Февраль","Март","Апрель","Май","Июнь","Июль","Август","Сентябрь","Октябрь","Ноябрь","Декабрь"},0),1)</f>
        <v>42614</v>
      </c>
      <c r="D73" s="4" t="str">
        <f t="shared" si="2"/>
        <v>2016-09-01</v>
      </c>
      <c r="E73" s="2">
        <f t="shared" si="1"/>
        <v>0.173152806172892</v>
      </c>
    </row>
    <row r="74" spans="1:5">
      <c r="A74" s="3" t="s">
        <v>70</v>
      </c>
      <c r="B74" s="3">
        <v>100.6</v>
      </c>
      <c r="C74" s="4">
        <f>DATE(VALUE(MID(A74,FIND(" ",A74)+1,4)),MATCH(LEFT(A74,FIND(" ",A74)-1),{"Январь","Февраль","Март","Апрель","Май","Июнь","Июль","Август","Сентябрь","Октябрь","Ноябрь","Декабрь"},0),1)</f>
        <v>42644</v>
      </c>
      <c r="D74" s="4" t="str">
        <f t="shared" si="2"/>
        <v>2016-10-01</v>
      </c>
      <c r="E74" s="2">
        <f t="shared" si="1"/>
        <v>0.163860506718057</v>
      </c>
    </row>
    <row r="75" spans="1:5">
      <c r="A75" s="3" t="s">
        <v>71</v>
      </c>
      <c r="B75" s="3">
        <v>101.2</v>
      </c>
      <c r="C75" s="4">
        <f>DATE(VALUE(MID(A75,FIND(" ",A75)+1,4)),MATCH(LEFT(A75,FIND(" ",A75)-1),{"Январь","Февраль","Март","Апрель","Май","Июнь","Июль","Август","Сентябрь","Октябрь","Ноябрь","Декабрь"},0),1)</f>
        <v>42675</v>
      </c>
      <c r="D75" s="4" t="str">
        <f t="shared" si="2"/>
        <v>2016-11-01</v>
      </c>
      <c r="E75" s="2">
        <f t="shared" si="1"/>
        <v>0.112969267831145</v>
      </c>
    </row>
    <row r="76" spans="1:5">
      <c r="A76" s="3" t="s">
        <v>72</v>
      </c>
      <c r="B76" s="3">
        <v>100.9</v>
      </c>
      <c r="C76" s="4">
        <f>DATE(VALUE(MID(A76,FIND(" ",A76)+1,4)),MATCH(LEFT(A76,FIND(" ",A76)-1),{"Январь","Февраль","Март","Апрель","Май","Июнь","Июль","Август","Сентябрь","Октябрь","Ноябрь","Декабрь"},0),1)</f>
        <v>42705</v>
      </c>
      <c r="D76" s="4" t="str">
        <f t="shared" si="2"/>
        <v>2016-12-01</v>
      </c>
      <c r="E76" s="2">
        <f t="shared" si="1"/>
        <v>0.0861378004292377</v>
      </c>
    </row>
    <row r="77" spans="1:5">
      <c r="A77" s="3" t="s">
        <v>73</v>
      </c>
      <c r="B77" s="3">
        <v>100.8</v>
      </c>
      <c r="C77" s="4">
        <f>DATE(VALUE(MID(A77,FIND(" ",A77)+1,4)),MATCH(LEFT(A77,FIND(" ",A77)-1),{"Январь","Февраль","Март","Апрель","Май","Июнь","Июль","Август","Сентябрь","Октябрь","Ноябрь","Декабрь"},0),1)</f>
        <v>42736</v>
      </c>
      <c r="D77" s="4" t="str">
        <f t="shared" si="2"/>
        <v>2017-01-01</v>
      </c>
      <c r="E77" s="2">
        <f t="shared" si="1"/>
        <v>0.082918024341009</v>
      </c>
    </row>
    <row r="78" spans="1:5">
      <c r="A78" s="3" t="s">
        <v>74</v>
      </c>
      <c r="B78" s="3">
        <v>101</v>
      </c>
      <c r="C78" s="4">
        <f>DATE(VALUE(MID(A78,FIND(" ",A78)+1,4)),MATCH(LEFT(A78,FIND(" ",A78)-1),{"Январь","Февраль","Март","Апрель","Май","Июнь","Июль","Август","Сентябрь","Октябрь","Ноябрь","Декабрь"},0),1)</f>
        <v>42767</v>
      </c>
      <c r="D78" s="4" t="str">
        <f t="shared" si="2"/>
        <v>2017-02-01</v>
      </c>
      <c r="E78" s="2">
        <f t="shared" si="1"/>
        <v>0.0775729205683484</v>
      </c>
    </row>
    <row r="79" spans="1:5">
      <c r="A79" s="3" t="s">
        <v>75</v>
      </c>
      <c r="B79" s="3">
        <v>100.5</v>
      </c>
      <c r="C79" s="4">
        <f>DATE(VALUE(MID(A79,FIND(" ",A79)+1,4)),MATCH(LEFT(A79,FIND(" ",A79)-1),{"Январь","Февраль","Март","Апрель","Май","Июнь","Июль","Август","Сентябрь","Октябрь","Ноябрь","Декабрь"},0),1)</f>
        <v>42795</v>
      </c>
      <c r="D79" s="4" t="str">
        <f t="shared" si="2"/>
        <v>2017-03-01</v>
      </c>
      <c r="E79" s="2">
        <f t="shared" si="1"/>
        <v>0.0765070719822276</v>
      </c>
    </row>
    <row r="80" spans="1:5">
      <c r="A80" s="3" t="s">
        <v>76</v>
      </c>
      <c r="B80" s="3">
        <v>100.5</v>
      </c>
      <c r="C80" s="4">
        <f>DATE(VALUE(MID(A80,FIND(" ",A80)+1,4)),MATCH(LEFT(A80,FIND(" ",A80)-1),{"Январь","Февраль","Март","Апрель","Май","Июнь","Июль","Август","Сентябрь","Октябрь","Ноябрь","Декабрь"},0),1)</f>
        <v>42826</v>
      </c>
      <c r="D80" s="4" t="str">
        <f t="shared" si="2"/>
        <v>2017-04-01</v>
      </c>
      <c r="E80" s="2">
        <f t="shared" si="1"/>
        <v>0.0765070719822278</v>
      </c>
    </row>
    <row r="81" spans="1:5">
      <c r="A81" s="3" t="s">
        <v>77</v>
      </c>
      <c r="B81" s="3">
        <v>100.5</v>
      </c>
      <c r="C81" s="4">
        <f>DATE(VALUE(MID(A81,FIND(" ",A81)+1,4)),MATCH(LEFT(A81,FIND(" ",A81)-1),{"Январь","Февраль","Март","Апрель","Май","Июнь","Июль","Август","Сентябрь","Октябрь","Ноябрь","Декабрь"},0),1)</f>
        <v>42856</v>
      </c>
      <c r="D81" s="4" t="str">
        <f t="shared" si="2"/>
        <v>2017-05-01</v>
      </c>
      <c r="E81" s="2">
        <f t="shared" ref="E81:E144" si="3">(B69/100)*(B70/100)*(B71/100)*(B72/100)*(B73/100)*(B74/100)*(B75/100)*(B76/100)*(B77/100)*(B78/100)*(B79/100)*(B80/100)-1</f>
        <v>0.0754369854295613</v>
      </c>
    </row>
    <row r="82" spans="1:5">
      <c r="A82" s="3" t="s">
        <v>78</v>
      </c>
      <c r="B82" s="3">
        <v>100.4</v>
      </c>
      <c r="C82" s="4">
        <f>DATE(VALUE(MID(A82,FIND(" ",A82)+1,4)),MATCH(LEFT(A82,FIND(" ",A82)-1),{"Январь","Февраль","Март","Апрель","Май","Июнь","Июль","Август","Сентябрь","Октябрь","Ноябрь","Декабрь"},0),1)</f>
        <v>42887</v>
      </c>
      <c r="D82" s="4" t="str">
        <f t="shared" si="2"/>
        <v>2017-06-01</v>
      </c>
      <c r="E82" s="2">
        <f t="shared" si="3"/>
        <v>0.0754369854295616</v>
      </c>
    </row>
    <row r="83" spans="1:5">
      <c r="A83" s="3" t="s">
        <v>79</v>
      </c>
      <c r="B83" s="3">
        <v>100.1</v>
      </c>
      <c r="C83" s="4">
        <f>DATE(VALUE(MID(A83,FIND(" ",A83)+1,4)),MATCH(LEFT(A83,FIND(" ",A83)-1),{"Январь","Февраль","Март","Апрель","Май","Июнь","Июль","Август","Сентябрь","Октябрь","Ноябрь","Декабрь"},0),1)</f>
        <v>42917</v>
      </c>
      <c r="D83" s="4" t="str">
        <f t="shared" si="2"/>
        <v>2017-07-01</v>
      </c>
      <c r="E83" s="2">
        <f t="shared" si="3"/>
        <v>0.0754369854295613</v>
      </c>
    </row>
    <row r="84" spans="1:5">
      <c r="A84" s="3" t="s">
        <v>80</v>
      </c>
      <c r="B84" s="3">
        <v>100.1</v>
      </c>
      <c r="C84" s="4">
        <f>DATE(VALUE(MID(A84,FIND(" ",A84)+1,4)),MATCH(LEFT(A84,FIND(" ",A84)-1),{"Январь","Февраль","Март","Апрель","Май","Июнь","Июль","Август","Сентябрь","Октябрь","Ноябрь","Декабрь"},0),1)</f>
        <v>42948</v>
      </c>
      <c r="D84" s="4" t="str">
        <f t="shared" si="2"/>
        <v>2017-08-01</v>
      </c>
      <c r="E84" s="2">
        <f t="shared" si="3"/>
        <v>0.0711566392188963</v>
      </c>
    </row>
    <row r="85" spans="1:5">
      <c r="A85" s="3" t="s">
        <v>81</v>
      </c>
      <c r="B85" s="3">
        <v>100.3</v>
      </c>
      <c r="C85" s="4">
        <f>DATE(VALUE(MID(A85,FIND(" ",A85)+1,4)),MATCH(LEFT(A85,FIND(" ",A85)-1),{"Январь","Февраль","Март","Апрель","Май","Июнь","Июль","Август","Сентябрь","Октябрь","Ноябрь","Декабрь"},0),1)</f>
        <v>42979</v>
      </c>
      <c r="D85" s="4" t="str">
        <f t="shared" si="2"/>
        <v>2017-09-01</v>
      </c>
      <c r="E85" s="2">
        <f t="shared" si="3"/>
        <v>0.0700876206168815</v>
      </c>
    </row>
    <row r="86" spans="1:5">
      <c r="A86" s="3" t="s">
        <v>82</v>
      </c>
      <c r="B86" s="3">
        <v>101.2</v>
      </c>
      <c r="C86" s="4">
        <f>DATE(VALUE(MID(A86,FIND(" ",A86)+1,4)),MATCH(LEFT(A86,FIND(" ",A86)-1),{"Январь","Февраль","Март","Апрель","Май","Июнь","Июль","Август","Сентябрь","Октябрь","Ноябрь","Декабрь"},0),1)</f>
        <v>43009</v>
      </c>
      <c r="D86" s="4" t="str">
        <f t="shared" si="2"/>
        <v>2017-10-01</v>
      </c>
      <c r="E86" s="2">
        <f t="shared" si="3"/>
        <v>0.071155572334064</v>
      </c>
    </row>
    <row r="87" spans="1:5">
      <c r="A87" s="3" t="s">
        <v>83</v>
      </c>
      <c r="B87" s="3">
        <v>100.9</v>
      </c>
      <c r="C87" s="4">
        <f>DATE(VALUE(MID(A87,FIND(" ",A87)+1,4)),MATCH(LEFT(A87,FIND(" ",A87)-1),{"Январь","Февраль","Март","Апрель","Май","Июнь","Июль","Август","Сентябрь","Октябрь","Ноябрь","Декабрь"},0),1)</f>
        <v>43040</v>
      </c>
      <c r="D87" s="4" t="str">
        <f t="shared" si="2"/>
        <v>2017-11-01</v>
      </c>
      <c r="E87" s="2">
        <f t="shared" si="3"/>
        <v>0.0775441741571299</v>
      </c>
    </row>
    <row r="88" spans="1:5">
      <c r="A88" s="3" t="s">
        <v>84</v>
      </c>
      <c r="B88" s="3">
        <v>100.7</v>
      </c>
      <c r="C88" s="4">
        <f>DATE(VALUE(MID(A88,FIND(" ",A88)+1,4)),MATCH(LEFT(A88,FIND(" ",A88)-1),{"Январь","Февраль","Март","Апрель","Май","Июнь","Июль","Август","Сентябрь","Октябрь","Ноябрь","Декабрь"},0),1)</f>
        <v>43070</v>
      </c>
      <c r="D88" s="4" t="str">
        <f t="shared" si="2"/>
        <v>2017-12-01</v>
      </c>
      <c r="E88" s="2">
        <f t="shared" si="3"/>
        <v>0.0743498732455969</v>
      </c>
    </row>
    <row r="89" spans="1:5">
      <c r="A89" s="3" t="s">
        <v>85</v>
      </c>
      <c r="B89" s="3">
        <v>100.6</v>
      </c>
      <c r="C89" s="4">
        <f>DATE(VALUE(MID(A89,FIND(" ",A89)+1,4)),MATCH(LEFT(A89,FIND(" ",A89)-1),{"Январь","Февраль","Март","Апрель","Май","Июнь","Июль","Август","Сентябрь","Октябрь","Ноябрь","Декабрь"},0),1)</f>
        <v>43101</v>
      </c>
      <c r="D89" s="4" t="str">
        <f t="shared" si="2"/>
        <v>2018-01-01</v>
      </c>
      <c r="E89" s="2">
        <f t="shared" si="3"/>
        <v>0.0722203393045751</v>
      </c>
    </row>
    <row r="90" spans="1:5">
      <c r="A90" s="3" t="s">
        <v>86</v>
      </c>
      <c r="B90" s="3">
        <v>100.7</v>
      </c>
      <c r="C90" s="4">
        <f>DATE(VALUE(MID(A90,FIND(" ",A90)+1,4)),MATCH(LEFT(A90,FIND(" ",A90)-1),{"Январь","Февраль","Март","Апрель","Май","Июнь","Июль","Август","Сентябрь","Октябрь","Ноябрь","Декабрь"},0),1)</f>
        <v>43132</v>
      </c>
      <c r="D90" s="4" t="str">
        <f t="shared" si="2"/>
        <v>2018-02-01</v>
      </c>
      <c r="E90" s="2">
        <f t="shared" si="3"/>
        <v>0.0700929179964309</v>
      </c>
    </row>
    <row r="91" spans="1:5">
      <c r="A91" s="3" t="s">
        <v>87</v>
      </c>
      <c r="B91" s="3">
        <v>100.5</v>
      </c>
      <c r="C91" s="4">
        <f>DATE(VALUE(MID(A91,FIND(" ",A91)+1,4)),MATCH(LEFT(A91,FIND(" ",A91)-1),{"Январь","Февраль","Март","Апрель","Май","Июнь","Июль","Август","Сентябрь","Октябрь","Ноябрь","Декабрь"},0),1)</f>
        <v>43160</v>
      </c>
      <c r="D91" s="4" t="str">
        <f t="shared" si="2"/>
        <v>2018-03-01</v>
      </c>
      <c r="E91" s="2">
        <f t="shared" si="3"/>
        <v>0.0669144241805999</v>
      </c>
    </row>
    <row r="92" spans="1:5">
      <c r="A92" s="3" t="s">
        <v>88</v>
      </c>
      <c r="B92" s="3">
        <v>100.4</v>
      </c>
      <c r="C92" s="4">
        <f>DATE(VALUE(MID(A92,FIND(" ",A92)+1,4)),MATCH(LEFT(A92,FIND(" ",A92)-1),{"Январь","Февраль","Март","Апрель","Май","Июнь","Июль","Август","Сентябрь","Октябрь","Ноябрь","Декабрь"},0),1)</f>
        <v>43191</v>
      </c>
      <c r="D92" s="4" t="str">
        <f t="shared" si="2"/>
        <v>2018-04-01</v>
      </c>
      <c r="E92" s="2">
        <f t="shared" si="3"/>
        <v>0.0669144241806001</v>
      </c>
    </row>
    <row r="93" spans="1:5">
      <c r="A93" s="3" t="s">
        <v>89</v>
      </c>
      <c r="B93" s="3">
        <v>100.2</v>
      </c>
      <c r="C93" s="4">
        <f>DATE(VALUE(MID(A93,FIND(" ",A93)+1,4)),MATCH(LEFT(A93,FIND(" ",A93)-1),{"Январь","Февраль","Март","Апрель","Май","Июнь","Июль","Август","Сентябрь","Октябрь","Ноябрь","Декабрь"},0),1)</f>
        <v>43221</v>
      </c>
      <c r="D93" s="4" t="str">
        <f t="shared" si="2"/>
        <v>2018-05-01</v>
      </c>
      <c r="E93" s="2">
        <f t="shared" si="3"/>
        <v>0.0658528177883806</v>
      </c>
    </row>
    <row r="94" spans="1:5">
      <c r="A94" s="3" t="s">
        <v>90</v>
      </c>
      <c r="B94" s="3">
        <v>100.2</v>
      </c>
      <c r="C94" s="4">
        <f>DATE(VALUE(MID(A94,FIND(" ",A94)+1,4)),MATCH(LEFT(A94,FIND(" ",A94)-1),{"Январь","Февраль","Март","Апрель","Май","Июнь","Июль","Август","Сентябрь","Октябрь","Ноябрь","Декабрь"},0),1)</f>
        <v>43252</v>
      </c>
      <c r="D94" s="4" t="str">
        <f t="shared" si="2"/>
        <v>2018-06-01</v>
      </c>
      <c r="E94" s="2">
        <f t="shared" si="3"/>
        <v>0.0626711675860272</v>
      </c>
    </row>
    <row r="95" spans="1:5">
      <c r="A95" s="3" t="s">
        <v>91</v>
      </c>
      <c r="B95" s="3">
        <v>100.1</v>
      </c>
      <c r="C95" s="4">
        <f>DATE(VALUE(MID(A95,FIND(" ",A95)+1,4)),MATCH(LEFT(A95,FIND(" ",A95)-1),{"Январь","Февраль","Март","Апрель","Май","Июнь","Июль","Август","Сентябрь","Октябрь","Ноябрь","Декабрь"},0),1)</f>
        <v>43282</v>
      </c>
      <c r="D95" s="4" t="str">
        <f t="shared" si="2"/>
        <v>2018-07-01</v>
      </c>
      <c r="E95" s="2">
        <f t="shared" si="3"/>
        <v>0.0605542927501981</v>
      </c>
    </row>
    <row r="96" spans="1:5">
      <c r="A96" s="3" t="s">
        <v>92</v>
      </c>
      <c r="B96" s="3">
        <v>100.2</v>
      </c>
      <c r="C96" s="4">
        <f>DATE(VALUE(MID(A96,FIND(" ",A96)+1,4)),MATCH(LEFT(A96,FIND(" ",A96)-1),{"Январь","Февраль","Март","Апрель","Май","Июнь","Июль","Август","Сентябрь","Октябрь","Ноябрь","Декабрь"},0),1)</f>
        <v>43313</v>
      </c>
      <c r="D96" s="4" t="str">
        <f t="shared" si="2"/>
        <v>2018-08-01</v>
      </c>
      <c r="E96" s="2">
        <f t="shared" si="3"/>
        <v>0.0605542927501985</v>
      </c>
    </row>
    <row r="97" spans="1:5">
      <c r="A97" s="3" t="s">
        <v>93</v>
      </c>
      <c r="B97" s="3">
        <v>100.4</v>
      </c>
      <c r="C97" s="4">
        <f>DATE(VALUE(MID(A97,FIND(" ",A97)+1,4)),MATCH(LEFT(A97,FIND(" ",A97)-1),{"Январь","Февраль","Март","Апрель","Май","Июнь","Июль","Август","Сентябрь","Октябрь","Ноябрь","Декабрь"},0),1)</f>
        <v>43344</v>
      </c>
      <c r="D97" s="4" t="str">
        <f t="shared" si="2"/>
        <v>2018-09-01</v>
      </c>
      <c r="E97" s="2">
        <f t="shared" si="3"/>
        <v>0.0616137875481506</v>
      </c>
    </row>
    <row r="98" spans="1:5">
      <c r="A98" s="3" t="s">
        <v>94</v>
      </c>
      <c r="B98" s="3">
        <v>100.4</v>
      </c>
      <c r="C98" s="4">
        <f>DATE(VALUE(MID(A98,FIND(" ",A98)+1,4)),MATCH(LEFT(A98,FIND(" ",A98)-1),{"Январь","Февраль","Март","Апрель","Май","Июнь","Июль","Август","Сентябрь","Октябрь","Ноябрь","Декабрь"},0),1)</f>
        <v>43374</v>
      </c>
      <c r="D98" s="4" t="str">
        <f t="shared" si="2"/>
        <v>2018-10-01</v>
      </c>
      <c r="E98" s="2">
        <f t="shared" si="3"/>
        <v>0.0626722260202828</v>
      </c>
    </row>
    <row r="99" spans="1:5">
      <c r="A99" s="3" t="s">
        <v>95</v>
      </c>
      <c r="B99" s="3">
        <v>100.9</v>
      </c>
      <c r="C99" s="4">
        <f>DATE(VALUE(MID(A99,FIND(" ",A99)+1,4)),MATCH(LEFT(A99,FIND(" ",A99)-1),{"Январь","Февраль","Март","Апрель","Май","Июнь","Июль","Август","Сентябрь","Октябрь","Ноябрь","Декабрь"},0),1)</f>
        <v>43405</v>
      </c>
      <c r="D99" s="4" t="str">
        <f t="shared" si="2"/>
        <v>2018-11-01</v>
      </c>
      <c r="E99" s="2">
        <f t="shared" si="3"/>
        <v>0.0542716550636007</v>
      </c>
    </row>
    <row r="100" spans="1:5">
      <c r="A100" s="3" t="s">
        <v>96</v>
      </c>
      <c r="B100" s="3">
        <v>100.7</v>
      </c>
      <c r="C100" s="4">
        <f>DATE(VALUE(MID(A100,FIND(" ",A100)+1,4)),MATCH(LEFT(A100,FIND(" ",A100)-1),{"Январь","Февраль","Март","Апрель","Май","Июнь","Июль","Август","Сентябрь","Октябрь","Ноябрь","Декабрь"},0),1)</f>
        <v>43435</v>
      </c>
      <c r="D100" s="4" t="str">
        <f t="shared" si="2"/>
        <v>2018-12-01</v>
      </c>
      <c r="E100" s="2">
        <f t="shared" si="3"/>
        <v>0.0542716550636009</v>
      </c>
    </row>
    <row r="101" spans="1:5">
      <c r="A101" s="3" t="s">
        <v>97</v>
      </c>
      <c r="B101" s="3">
        <v>100.5</v>
      </c>
      <c r="C101" s="4">
        <f>DATE(VALUE(MID(A101,FIND(" ",A101)+1,4)),MATCH(LEFT(A101,FIND(" ",A101)-1),{"Январь","Февраль","Март","Апрель","Май","Июнь","Июль","Август","Сентябрь","Октябрь","Ноябрь","Декабрь"},0),1)</f>
        <v>43466</v>
      </c>
      <c r="D101" s="4" t="str">
        <f t="shared" si="2"/>
        <v>2019-01-01</v>
      </c>
      <c r="E101" s="2">
        <f t="shared" si="3"/>
        <v>0.0542716550636009</v>
      </c>
    </row>
    <row r="102" spans="1:5">
      <c r="A102" s="3" t="s">
        <v>98</v>
      </c>
      <c r="B102" s="3">
        <v>100.3</v>
      </c>
      <c r="C102" s="4">
        <f>DATE(VALUE(MID(A102,FIND(" ",A102)+1,4)),MATCH(LEFT(A102,FIND(" ",A102)-1),{"Январь","Февраль","Март","Апрель","Май","Июнь","Июль","Август","Сентябрь","Октябрь","Ноябрь","Декабрь"},0),1)</f>
        <v>43497</v>
      </c>
      <c r="D102" s="4" t="str">
        <f t="shared" si="2"/>
        <v>2019-02-01</v>
      </c>
      <c r="E102" s="2">
        <f t="shared" si="3"/>
        <v>0.0532236713110523</v>
      </c>
    </row>
    <row r="103" spans="1:5">
      <c r="A103" s="3" t="s">
        <v>99</v>
      </c>
      <c r="B103" s="3">
        <v>100.5</v>
      </c>
      <c r="C103" s="4">
        <f>DATE(VALUE(MID(A103,FIND(" ",A103)+1,4)),MATCH(LEFT(A103,FIND(" ",A103)-1),{"Январь","Февраль","Март","Апрель","Май","Июнь","Июль","Август","Сентябрь","Октябрь","Ноябрь","Декабрь"},0),1)</f>
        <v>43525</v>
      </c>
      <c r="D103" s="4" t="str">
        <f t="shared" si="2"/>
        <v>2019-03-01</v>
      </c>
      <c r="E103" s="2">
        <f t="shared" si="3"/>
        <v>0.0490400618917428</v>
      </c>
    </row>
    <row r="104" spans="1:5">
      <c r="A104" s="3" t="s">
        <v>100</v>
      </c>
      <c r="B104" s="3">
        <v>100.5</v>
      </c>
      <c r="C104" s="4">
        <f>DATE(VALUE(MID(A104,FIND(" ",A104)+1,4)),MATCH(LEFT(A104,FIND(" ",A104)-1),{"Январь","Февраль","Март","Апрель","Май","Июнь","Июль","Август","Сентябрь","Октябрь","Ноябрь","Декабрь"},0),1)</f>
        <v>43556</v>
      </c>
      <c r="D104" s="4" t="str">
        <f t="shared" si="2"/>
        <v>2019-04-01</v>
      </c>
      <c r="E104" s="2">
        <f t="shared" si="3"/>
        <v>0.049040061891743</v>
      </c>
    </row>
    <row r="105" spans="1:5">
      <c r="A105" s="3" t="s">
        <v>101</v>
      </c>
      <c r="B105" s="3">
        <v>100.6</v>
      </c>
      <c r="C105" s="4">
        <f>DATE(VALUE(MID(A105,FIND(" ",A105)+1,4)),MATCH(LEFT(A105,FIND(" ",A105)-1),{"Январь","Февраль","Март","Апрель","Май","Июнь","Июль","Август","Сентябрь","Октябрь","Ноябрь","Декабрь"},0),1)</f>
        <v>43586</v>
      </c>
      <c r="D105" s="4" t="str">
        <f t="shared" si="2"/>
        <v>2019-05-01</v>
      </c>
      <c r="E105" s="2">
        <f t="shared" si="3"/>
        <v>0.0500849225111568</v>
      </c>
    </row>
    <row r="106" spans="1:5">
      <c r="A106" s="3" t="s">
        <v>102</v>
      </c>
      <c r="B106" s="3">
        <v>100.2</v>
      </c>
      <c r="C106" s="4">
        <f>DATE(VALUE(MID(A106,FIND(" ",A106)+1,4)),MATCH(LEFT(A106,FIND(" ",A106)-1),{"Январь","Февраль","Март","Апрель","Май","Июнь","Июль","Август","Сентябрь","Октябрь","Ноябрь","Декабрь"},0),1)</f>
        <v>43617</v>
      </c>
      <c r="D106" s="4" t="str">
        <f t="shared" si="2"/>
        <v>2019-06-01</v>
      </c>
      <c r="E106" s="2">
        <f t="shared" si="3"/>
        <v>0.0542768782896446</v>
      </c>
    </row>
    <row r="107" spans="1:5">
      <c r="A107" s="3" t="s">
        <v>103</v>
      </c>
      <c r="B107" s="3">
        <v>100.2</v>
      </c>
      <c r="C107" s="4">
        <f>DATE(VALUE(MID(A107,FIND(" ",A107)+1,4)),MATCH(LEFT(A107,FIND(" ",A107)-1),{"Январь","Февраль","Март","Апрель","Май","Июнь","Июль","Август","Сентябрь","Октябрь","Ноябрь","Декабрь"},0),1)</f>
        <v>43647</v>
      </c>
      <c r="D107" s="4" t="str">
        <f t="shared" si="2"/>
        <v>2019-07-01</v>
      </c>
      <c r="E107" s="2">
        <f t="shared" si="3"/>
        <v>0.0542768782896448</v>
      </c>
    </row>
    <row r="108" spans="1:5">
      <c r="A108" s="3" t="s">
        <v>104</v>
      </c>
      <c r="B108" s="3">
        <v>100.2</v>
      </c>
      <c r="C108" s="4">
        <f>DATE(VALUE(MID(A108,FIND(" ",A108)+1,4)),MATCH(LEFT(A108,FIND(" ",A108)-1),{"Январь","Февраль","Март","Апрель","Май","Июнь","Июль","Август","Сентябрь","Октябрь","Ноябрь","Декабрь"},0),1)</f>
        <v>43678</v>
      </c>
      <c r="D108" s="4" t="str">
        <f t="shared" si="2"/>
        <v>2019-08-01</v>
      </c>
      <c r="E108" s="2">
        <f t="shared" si="3"/>
        <v>0.0553301019442798</v>
      </c>
    </row>
    <row r="109" spans="1:5">
      <c r="A109" s="3" t="s">
        <v>105</v>
      </c>
      <c r="B109" s="3">
        <v>100.3</v>
      </c>
      <c r="C109" s="4">
        <f>DATE(VALUE(MID(A109,FIND(" ",A109)+1,4)),MATCH(LEFT(A109,FIND(" ",A109)-1),{"Январь","Февраль","Март","Апрель","Май","Июнь","Июль","Август","Сентябрь","Октябрь","Ноябрь","Декабрь"},0),1)</f>
        <v>43709</v>
      </c>
      <c r="D109" s="4" t="str">
        <f t="shared" si="2"/>
        <v>2019-09-01</v>
      </c>
      <c r="E109" s="2">
        <f t="shared" si="3"/>
        <v>0.05533010194428</v>
      </c>
    </row>
    <row r="110" spans="1:5">
      <c r="A110" s="3" t="s">
        <v>106</v>
      </c>
      <c r="B110" s="3">
        <v>100.6</v>
      </c>
      <c r="C110" s="4">
        <f>DATE(VALUE(MID(A110,FIND(" ",A110)+1,4)),MATCH(LEFT(A110,FIND(" ",A110)-1),{"Январь","Февраль","Март","Апрель","Май","Июнь","Июль","Август","Сентябрь","Октябрь","Ноябрь","Декабрь"},0),1)</f>
        <v>43739</v>
      </c>
      <c r="D110" s="4" t="str">
        <f t="shared" si="2"/>
        <v>2019-10-01</v>
      </c>
      <c r="E110" s="2">
        <f t="shared" si="3"/>
        <v>0.0542789763447336</v>
      </c>
    </row>
    <row r="111" spans="1:5">
      <c r="A111" s="3" t="s">
        <v>107</v>
      </c>
      <c r="B111" s="3">
        <v>100.7</v>
      </c>
      <c r="C111" s="4">
        <f>DATE(VALUE(MID(A111,FIND(" ",A111)+1,4)),MATCH(LEFT(A111,FIND(" ",A111)-1),{"Январь","Февраль","Март","Апрель","Май","Июнь","Июль","Август","Сентябрь","Октябрь","Ноябрь","Декабрь"},0),1)</f>
        <v>43770</v>
      </c>
      <c r="D111" s="4" t="str">
        <f t="shared" si="2"/>
        <v>2019-11-01</v>
      </c>
      <c r="E111" s="2">
        <f t="shared" si="3"/>
        <v>0.0563791336681294</v>
      </c>
    </row>
    <row r="112" spans="1:5">
      <c r="A112" s="3" t="s">
        <v>108</v>
      </c>
      <c r="B112" s="3">
        <v>100.7</v>
      </c>
      <c r="C112" s="4">
        <f>DATE(VALUE(MID(A112,FIND(" ",A112)+1,4)),MATCH(LEFT(A112,FIND(" ",A112)-1),{"Январь","Февраль","Март","Апрель","Май","Июнь","Июль","Август","Сентябрь","Октябрь","Ноябрь","Декабрь"},0),1)</f>
        <v>43800</v>
      </c>
      <c r="D112" s="4" t="str">
        <f t="shared" si="2"/>
        <v>2019-12-01</v>
      </c>
      <c r="E112" s="2">
        <f t="shared" si="3"/>
        <v>0.0542852206182418</v>
      </c>
    </row>
    <row r="113" spans="1:5">
      <c r="A113" s="3" t="s">
        <v>109</v>
      </c>
      <c r="B113" s="3">
        <v>100.7</v>
      </c>
      <c r="C113" s="4">
        <f>DATE(VALUE(MID(A113,FIND(" ",A113)+1,4)),MATCH(LEFT(A113,FIND(" ",A113)-1),{"Январь","Февраль","Март","Апрель","Май","Июнь","Июль","Август","Сентябрь","Октябрь","Ноябрь","Декабрь"},0),1)</f>
        <v>43831</v>
      </c>
      <c r="D113" s="4" t="str">
        <f t="shared" si="2"/>
        <v>2020-01-01</v>
      </c>
      <c r="E113" s="2">
        <f t="shared" si="3"/>
        <v>0.0542852206182423</v>
      </c>
    </row>
    <row r="114" spans="1:5">
      <c r="A114" s="3" t="s">
        <v>110</v>
      </c>
      <c r="B114" s="3">
        <v>100.6</v>
      </c>
      <c r="C114" s="4">
        <f>DATE(VALUE(MID(A114,FIND(" ",A114)+1,4)),MATCH(LEFT(A114,FIND(" ",A114)-1),{"Январь","Февраль","Март","Апрель","Май","Июнь","Июль","Август","Сентябрь","Октябрь","Ноябрь","Декабрь"},0),1)</f>
        <v>43862</v>
      </c>
      <c r="D114" s="4" t="str">
        <f t="shared" si="2"/>
        <v>2020-02-01</v>
      </c>
      <c r="E114" s="2">
        <f t="shared" si="3"/>
        <v>0.056383300659274</v>
      </c>
    </row>
    <row r="115" spans="1:5">
      <c r="A115" s="3" t="s">
        <v>111</v>
      </c>
      <c r="B115" s="3">
        <v>100.9</v>
      </c>
      <c r="C115" s="4">
        <f>DATE(VALUE(MID(A115,FIND(" ",A115)+1,4)),MATCH(LEFT(A115,FIND(" ",A115)-1),{"Январь","Февраль","Март","Апрель","Май","Июнь","Июль","Август","Сентябрь","Октябрь","Ноябрь","Декабрь"},0),1)</f>
        <v>43891</v>
      </c>
      <c r="D115" s="4" t="str">
        <f t="shared" si="2"/>
        <v>2020-03-01</v>
      </c>
      <c r="E115" s="2">
        <f t="shared" si="3"/>
        <v>0.0595429715485836</v>
      </c>
    </row>
    <row r="116" spans="1:5">
      <c r="A116" s="3" t="s">
        <v>112</v>
      </c>
      <c r="B116" s="3">
        <v>100.9</v>
      </c>
      <c r="C116" s="4">
        <f>DATE(VALUE(MID(A116,FIND(" ",A116)+1,4)),MATCH(LEFT(A116,FIND(" ",A116)-1),{"Январь","Февраль","Март","Апрель","Май","Июнь","Июль","Август","Сентябрь","Октябрь","Ноябрь","Декабрь"},0),1)</f>
        <v>43922</v>
      </c>
      <c r="D116" s="4" t="str">
        <f t="shared" si="2"/>
        <v>2020-04-01</v>
      </c>
      <c r="E116" s="2">
        <f t="shared" si="3"/>
        <v>0.0637600580025093</v>
      </c>
    </row>
    <row r="117" spans="1:5">
      <c r="A117" s="3" t="s">
        <v>113</v>
      </c>
      <c r="B117" s="3">
        <v>100.5</v>
      </c>
      <c r="C117" s="4">
        <f>DATE(VALUE(MID(A117,FIND(" ",A117)+1,4)),MATCH(LEFT(A117,FIND(" ",A117)-1),{"Январь","Февраль","Март","Апрель","Май","Июнь","Июль","Август","Сентябрь","Октябрь","Ноябрь","Декабрь"},0),1)</f>
        <v>43952</v>
      </c>
      <c r="D117" s="4" t="str">
        <f t="shared" si="2"/>
        <v>2020-05-01</v>
      </c>
      <c r="E117" s="2">
        <f t="shared" si="3"/>
        <v>0.0679939288801308</v>
      </c>
    </row>
    <row r="118" spans="1:5">
      <c r="A118" s="3" t="s">
        <v>114</v>
      </c>
      <c r="B118" s="3">
        <v>100.4</v>
      </c>
      <c r="C118" s="4">
        <f>DATE(VALUE(MID(A118,FIND(" ",A118)+1,4)),MATCH(LEFT(A118,FIND(" ",A118)-1),{"Январь","Февраль","Март","Апрель","Май","Июнь","Июль","Август","Сентябрь","Октябрь","Ноябрь","Декабрь"},0),1)</f>
        <v>43983</v>
      </c>
      <c r="D118" s="4" t="str">
        <f t="shared" si="2"/>
        <v>2020-06-01</v>
      </c>
      <c r="E118" s="2">
        <f t="shared" si="3"/>
        <v>0.0669323046963533</v>
      </c>
    </row>
    <row r="119" spans="1:5">
      <c r="A119" s="3" t="s">
        <v>115</v>
      </c>
      <c r="B119" s="3">
        <v>100.3</v>
      </c>
      <c r="C119" s="4">
        <f>DATE(VALUE(MID(A119,FIND(" ",A119)+1,4)),MATCH(LEFT(A119,FIND(" ",A119)-1),{"Январь","Февраль","Март","Апрель","Май","Июнь","Июль","Август","Сентябрь","Октябрь","Ноябрь","Декабрь"},0),1)</f>
        <v>44013</v>
      </c>
      <c r="D119" s="4" t="str">
        <f t="shared" si="2"/>
        <v>2020-07-01</v>
      </c>
      <c r="E119" s="2">
        <f t="shared" si="3"/>
        <v>0.0690619100949488</v>
      </c>
    </row>
    <row r="120" spans="1:5">
      <c r="A120" s="3" t="s">
        <v>116</v>
      </c>
      <c r="B120" s="3">
        <v>100.1</v>
      </c>
      <c r="C120" s="4">
        <f>DATE(VALUE(MID(A120,FIND(" ",A120)+1,4)),MATCH(LEFT(A120,FIND(" ",A120)-1),{"Январь","Февраль","Март","Апрель","Май","Июнь","Июль","Август","Сентябрь","Октябрь","Ноябрь","Декабрь"},0),1)</f>
        <v>44044</v>
      </c>
      <c r="D120" s="4" t="str">
        <f t="shared" si="2"/>
        <v>2020-08-01</v>
      </c>
      <c r="E120" s="2">
        <f t="shared" si="3"/>
        <v>0.0701288381489356</v>
      </c>
    </row>
    <row r="121" spans="1:5">
      <c r="A121" s="3" t="s">
        <v>117</v>
      </c>
      <c r="B121" s="3">
        <v>100.3</v>
      </c>
      <c r="C121" s="4">
        <f>DATE(VALUE(MID(A121,FIND(" ",A121)+1,4)),MATCH(LEFT(A121,FIND(" ",A121)-1),{"Январь","Февраль","Март","Апрель","Май","Июнь","Июль","Август","Сентябрь","Октябрь","Ноябрь","Декабрь"},0),1)</f>
        <v>44075</v>
      </c>
      <c r="D121" s="4" t="str">
        <f t="shared" si="2"/>
        <v>2020-09-01</v>
      </c>
      <c r="E121" s="2">
        <f t="shared" si="3"/>
        <v>0.0690608452964916</v>
      </c>
    </row>
    <row r="122" spans="1:5">
      <c r="A122" s="3" t="s">
        <v>118</v>
      </c>
      <c r="B122" s="3">
        <v>100.6</v>
      </c>
      <c r="C122" s="4">
        <f>DATE(VALUE(MID(A122,FIND(" ",A122)+1,4)),MATCH(LEFT(A122,FIND(" ",A122)-1),{"Январь","Февраль","Март","Апрель","Май","Июнь","Июль","Август","Сентябрь","Октябрь","Ноябрь","Декабрь"},0),1)</f>
        <v>44105</v>
      </c>
      <c r="D122" s="4" t="str">
        <f t="shared" si="2"/>
        <v>2020-10-01</v>
      </c>
      <c r="E122" s="2">
        <f t="shared" si="3"/>
        <v>0.0690608452964914</v>
      </c>
    </row>
    <row r="123" spans="1:5">
      <c r="A123" s="3" t="s">
        <v>119</v>
      </c>
      <c r="B123" s="3">
        <v>100.9</v>
      </c>
      <c r="C123" s="4">
        <f>DATE(VALUE(MID(A123,FIND(" ",A123)+1,4)),MATCH(LEFT(A123,FIND(" ",A123)-1),{"Январь","Февраль","Март","Апрель","Май","Июнь","Июль","Август","Сентябрь","Октябрь","Ноябрь","Декабрь"},0),1)</f>
        <v>44136</v>
      </c>
      <c r="D123" s="4" t="str">
        <f t="shared" si="2"/>
        <v>2020-11-01</v>
      </c>
      <c r="E123" s="2">
        <f t="shared" si="3"/>
        <v>0.0690608452964916</v>
      </c>
    </row>
    <row r="124" spans="1:5">
      <c r="A124" s="3" t="s">
        <v>120</v>
      </c>
      <c r="B124" s="3">
        <v>100.9</v>
      </c>
      <c r="C124" s="4">
        <f>DATE(VALUE(MID(A124,FIND(" ",A124)+1,4)),MATCH(LEFT(A124,FIND(" ",A124)-1),{"Январь","Февраль","Март","Апрель","Май","Июнь","Июль","Август","Сентябрь","Октябрь","Ноябрь","Декабрь"},0),1)</f>
        <v>44166</v>
      </c>
      <c r="D124" s="4" t="str">
        <f t="shared" si="2"/>
        <v>2020-12-01</v>
      </c>
      <c r="E124" s="2">
        <f t="shared" si="3"/>
        <v>0.0711841041749355</v>
      </c>
    </row>
    <row r="125" spans="1:5">
      <c r="A125" s="3" t="s">
        <v>121</v>
      </c>
      <c r="B125" s="3">
        <v>100.6</v>
      </c>
      <c r="C125" s="4">
        <f>DATE(VALUE(MID(A125,FIND(" ",A125)+1,4)),MATCH(LEFT(A125,FIND(" ",A125)-1),{"Январь","Февраль","Март","Апрель","Май","Июнь","Июль","Август","Сентябрь","Октябрь","Ноябрь","Декабрь"},0),1)</f>
        <v>44197</v>
      </c>
      <c r="D125" s="4" t="str">
        <f t="shared" si="2"/>
        <v>2021-01-01</v>
      </c>
      <c r="E125" s="2">
        <f t="shared" si="3"/>
        <v>0.0733115800521449</v>
      </c>
    </row>
    <row r="126" spans="1:5">
      <c r="A126" s="3" t="s">
        <v>122</v>
      </c>
      <c r="B126" s="3">
        <v>100.7</v>
      </c>
      <c r="C126" s="4">
        <f>DATE(VALUE(MID(A126,FIND(" ",A126)+1,4)),MATCH(LEFT(A126,FIND(" ",A126)-1),{"Январь","Февраль","Март","Апрель","Май","Июнь","Июль","Август","Сентябрь","Октябрь","Ноябрь","Декабрь"},0),1)</f>
        <v>44228</v>
      </c>
      <c r="D126" s="4" t="str">
        <f t="shared" si="2"/>
        <v>2021-02-01</v>
      </c>
      <c r="E126" s="2">
        <f t="shared" si="3"/>
        <v>0.0722457294264724</v>
      </c>
    </row>
    <row r="127" spans="1:5">
      <c r="A127" s="3" t="s">
        <v>123</v>
      </c>
      <c r="B127" s="3">
        <v>100.6</v>
      </c>
      <c r="C127" s="4">
        <f>DATE(VALUE(MID(A127,FIND(" ",A127)+1,4)),MATCH(LEFT(A127,FIND(" ",A127)-1),{"Январь","Февраль","Март","Апрель","Май","Июнь","Июль","Август","Сентябрь","Октябрь","Ноябрь","Декабрь"},0),1)</f>
        <v>44256</v>
      </c>
      <c r="D127" s="4" t="str">
        <f t="shared" si="2"/>
        <v>2021-03-01</v>
      </c>
      <c r="E127" s="2">
        <f t="shared" si="3"/>
        <v>0.0733115800521447</v>
      </c>
    </row>
    <row r="128" spans="1:5">
      <c r="A128" s="3" t="s">
        <v>124</v>
      </c>
      <c r="B128" s="3">
        <v>100.9</v>
      </c>
      <c r="C128" s="4">
        <f>DATE(VALUE(MID(A128,FIND(" ",A128)+1,4)),MATCH(LEFT(A128,FIND(" ",A128)-1),{"Январь","Февраль","Март","Апрель","Май","Июнь","Июль","Август","Сентябрь","Октябрь","Ноябрь","Декабрь"},0),1)</f>
        <v>44287</v>
      </c>
      <c r="D128" s="4" t="str">
        <f t="shared" si="2"/>
        <v>2021-04-01</v>
      </c>
      <c r="E128" s="2">
        <f t="shared" si="3"/>
        <v>0.070120366236331</v>
      </c>
    </row>
    <row r="129" spans="1:5">
      <c r="A129" s="3" t="s">
        <v>125</v>
      </c>
      <c r="B129" s="3">
        <v>100.7</v>
      </c>
      <c r="C129" s="4">
        <f>DATE(VALUE(MID(A129,FIND(" ",A129)+1,4)),MATCH(LEFT(A129,FIND(" ",A129)-1),{"Январь","Февраль","Март","Апрель","Май","Июнь","Июль","Август","Сентябрь","Октябрь","Ноябрь","Декабрь"},0),1)</f>
        <v>44317</v>
      </c>
      <c r="D129" s="4" t="str">
        <f t="shared" si="2"/>
        <v>2021-05-01</v>
      </c>
      <c r="E129" s="2">
        <f t="shared" si="3"/>
        <v>0.0701203662363308</v>
      </c>
    </row>
    <row r="130" spans="1:5">
      <c r="A130" s="3" t="s">
        <v>126</v>
      </c>
      <c r="B130" s="3">
        <v>101.1</v>
      </c>
      <c r="C130" s="4">
        <f>DATE(VALUE(MID(A130,FIND(" ",A130)+1,4)),MATCH(LEFT(A130,FIND(" ",A130)-1),{"Январь","Февраль","Март","Апрель","Май","Июнь","Июль","Август","Сентябрь","Октябрь","Ноябрь","Декабрь"},0),1)</f>
        <v>44348</v>
      </c>
      <c r="D130" s="4" t="str">
        <f t="shared" si="2"/>
        <v>2021-06-01</v>
      </c>
      <c r="E130" s="2">
        <f t="shared" si="3"/>
        <v>0.0722499590049599</v>
      </c>
    </row>
    <row r="131" spans="1:5">
      <c r="A131" s="3" t="s">
        <v>127</v>
      </c>
      <c r="B131" s="3">
        <v>100.7</v>
      </c>
      <c r="C131" s="4">
        <f>DATE(VALUE(MID(A131,FIND(" ",A131)+1,4)),MATCH(LEFT(A131,FIND(" ",A131)-1),{"Январь","Февраль","Март","Апрель","Май","Июнь","Июль","Август","Сентябрь","Октябрь","Ноябрь","Декабрь"},0),1)</f>
        <v>44378</v>
      </c>
      <c r="D131" s="4" t="str">
        <f t="shared" si="2"/>
        <v>2021-07-01</v>
      </c>
      <c r="E131" s="2">
        <f t="shared" si="3"/>
        <v>0.0797258053326839</v>
      </c>
    </row>
    <row r="132" spans="1:5">
      <c r="A132" s="3" t="s">
        <v>128</v>
      </c>
      <c r="B132" s="3">
        <v>100.5</v>
      </c>
      <c r="C132" s="4">
        <f>DATE(VALUE(MID(A132,FIND(" ",A132)+1,4)),MATCH(LEFT(A132,FIND(" ",A132)-1),{"Январь","Февраль","Март","Апрель","Май","Июнь","Июль","Август","Сентябрь","Октябрь","Ноябрь","Декабрь"},0),1)</f>
        <v>44409</v>
      </c>
      <c r="D132" s="4" t="str">
        <f t="shared" si="2"/>
        <v>2021-08-01</v>
      </c>
      <c r="E132" s="2">
        <f t="shared" si="3"/>
        <v>0.0840317905982184</v>
      </c>
    </row>
    <row r="133" spans="1:5">
      <c r="A133" s="3" t="s">
        <v>129</v>
      </c>
      <c r="B133" s="3">
        <v>100.4</v>
      </c>
      <c r="C133" s="4">
        <f>DATE(VALUE(MID(A133,FIND(" ",A133)+1,4)),MATCH(LEFT(A133,FIND(" ",A133)-1),{"Январь","Февраль","Март","Апрель","Май","Июнь","Июль","Август","Сентябрь","Октябрь","Ноябрь","Декабрь"},0),1)</f>
        <v>44440</v>
      </c>
      <c r="D133" s="4" t="str">
        <f t="shared" ref="D133:D191" si="4">TEXT(C133,"yyyy-mm-01")</f>
        <v>2021-09-01</v>
      </c>
      <c r="E133" s="2">
        <f t="shared" si="3"/>
        <v>0.0883635859652441</v>
      </c>
    </row>
    <row r="134" spans="1:5">
      <c r="A134" s="3" t="s">
        <v>130</v>
      </c>
      <c r="B134" s="3">
        <v>100.7</v>
      </c>
      <c r="C134" s="4">
        <f>DATE(VALUE(MID(A134,FIND(" ",A134)+1,4)),MATCH(LEFT(A134,FIND(" ",A134)-1),{"Январь","Февраль","Март","Апрель","Май","Июнь","Июль","Август","Сентябрь","Октябрь","Ноябрь","Декабрь"},0),1)</f>
        <v>44470</v>
      </c>
      <c r="D134" s="4" t="str">
        <f t="shared" si="4"/>
        <v>2021-10-01</v>
      </c>
      <c r="E134" s="2">
        <f t="shared" si="3"/>
        <v>0.0894486942264257</v>
      </c>
    </row>
    <row r="135" spans="1:5">
      <c r="A135" s="3" t="s">
        <v>131</v>
      </c>
      <c r="B135" s="3">
        <v>100.7</v>
      </c>
      <c r="C135" s="4">
        <f>DATE(VALUE(MID(A135,FIND(" ",A135)+1,4)),MATCH(LEFT(A135,FIND(" ",A135)-1),{"Январь","Февраль","Март","Апрель","Май","Июнь","Июль","Август","Сентябрь","Октябрь","Ноябрь","Декабрь"},0),1)</f>
        <v>44501</v>
      </c>
      <c r="D135" s="4" t="str">
        <f t="shared" si="4"/>
        <v>2021-11-01</v>
      </c>
      <c r="E135" s="2">
        <f t="shared" si="3"/>
        <v>0.0905316452147233</v>
      </c>
    </row>
    <row r="136" spans="1:5">
      <c r="A136" s="3" t="s">
        <v>132</v>
      </c>
      <c r="B136" s="3">
        <v>100.6</v>
      </c>
      <c r="C136" s="4">
        <f>DATE(VALUE(MID(A136,FIND(" ",A136)+1,4)),MATCH(LEFT(A136,FIND(" ",A136)-1),{"Январь","Февраль","Март","Апрель","Май","Июнь","Июль","Август","Сентябрь","Октябрь","Ноябрь","Декабрь"},0),1)</f>
        <v>44531</v>
      </c>
      <c r="D136" s="4" t="str">
        <f t="shared" si="4"/>
        <v>2021-12-01</v>
      </c>
      <c r="E136" s="2">
        <f t="shared" si="3"/>
        <v>0.0883700364035933</v>
      </c>
    </row>
    <row r="137" spans="1:5">
      <c r="A137" s="3" t="s">
        <v>133</v>
      </c>
      <c r="B137" s="3">
        <v>100.7</v>
      </c>
      <c r="C137" s="4">
        <f>DATE(VALUE(MID(A137,FIND(" ",A137)+1,4)),MATCH(LEFT(A137,FIND(" ",A137)-1),{"Январь","Февраль","Март","Апрель","Май","Июнь","Июль","Август","Сентябрь","Октябрь","Ноябрь","Декабрь"},0),1)</f>
        <v>44562</v>
      </c>
      <c r="D137" s="4" t="str">
        <f t="shared" si="4"/>
        <v>2022-01-01</v>
      </c>
      <c r="E137" s="2">
        <f t="shared" si="3"/>
        <v>0.0851340501704807</v>
      </c>
    </row>
    <row r="138" spans="1:5">
      <c r="A138" s="3" t="s">
        <v>134</v>
      </c>
      <c r="B138" s="3">
        <v>100.8</v>
      </c>
      <c r="C138" s="4">
        <f>DATE(VALUE(MID(A138,FIND(" ",A138)+1,4)),MATCH(LEFT(A138,FIND(" ",A138)-1),{"Январь","Февраль","Март","Апрель","Май","Июнь","Июль","Август","Сентябрь","Октябрь","Ноябрь","Декабрь"},0),1)</f>
        <v>44593</v>
      </c>
      <c r="D138" s="4" t="str">
        <f t="shared" si="4"/>
        <v>2022-02-01</v>
      </c>
      <c r="E138" s="2">
        <f t="shared" si="3"/>
        <v>0.0862127122481851</v>
      </c>
    </row>
    <row r="139" spans="1:5">
      <c r="A139" s="3" t="s">
        <v>135</v>
      </c>
      <c r="B139" s="3">
        <v>103.7</v>
      </c>
      <c r="C139" s="4">
        <f>DATE(VALUE(MID(A139,FIND(" ",A139)+1,4)),MATCH(LEFT(A139,FIND(" ",A139)-1),{"Январь","Февраль","Март","Апрель","Май","Июнь","Июль","Август","Сентябрь","Октябрь","Ноябрь","Декабрь"},0),1)</f>
        <v>44621</v>
      </c>
      <c r="D139" s="4" t="str">
        <f t="shared" si="4"/>
        <v>2022-03-01</v>
      </c>
      <c r="E139" s="2">
        <f t="shared" si="3"/>
        <v>0.0872913743258892</v>
      </c>
    </row>
    <row r="140" spans="1:5">
      <c r="A140" s="3" t="s">
        <v>136</v>
      </c>
      <c r="B140" s="3">
        <v>102</v>
      </c>
      <c r="C140" s="4">
        <f>DATE(VALUE(MID(A140,FIND(" ",A140)+1,4)),MATCH(LEFT(A140,FIND(" ",A140)-1),{"Январь","Февраль","Март","Апрель","Май","Июнь","Июль","Август","Сентябрь","Октябрь","Ноябрь","Декабрь"},0),1)</f>
        <v>44652</v>
      </c>
      <c r="D140" s="4" t="str">
        <f t="shared" si="4"/>
        <v>2022-04-01</v>
      </c>
      <c r="E140" s="2">
        <f t="shared" si="3"/>
        <v>0.12079637691446</v>
      </c>
    </row>
    <row r="141" spans="1:5">
      <c r="A141" s="3" t="s">
        <v>137</v>
      </c>
      <c r="B141" s="3">
        <v>101.4</v>
      </c>
      <c r="C141" s="4">
        <f>DATE(VALUE(MID(A141,FIND(" ",A141)+1,4)),MATCH(LEFT(A141,FIND(" ",A141)-1),{"Январь","Февраль","Март","Апрель","Май","Июнь","Июль","Август","Сентябрь","Октябрь","Ноябрь","Декабрь"},0),1)</f>
        <v>44682</v>
      </c>
      <c r="D141" s="4" t="str">
        <f t="shared" si="4"/>
        <v>2022-05-01</v>
      </c>
      <c r="E141" s="2">
        <f t="shared" si="3"/>
        <v>0.133015167941278</v>
      </c>
    </row>
    <row r="142" spans="1:5">
      <c r="A142" s="3" t="s">
        <v>138</v>
      </c>
      <c r="B142" s="3">
        <v>101.6</v>
      </c>
      <c r="C142" s="4">
        <f>DATE(VALUE(MID(A142,FIND(" ",A142)+1,4)),MATCH(LEFT(A142,FIND(" ",A142)-1),{"Январь","Февраль","Март","Апрель","Май","Июнь","Июль","Август","Сентябрь","Октябрь","Ноябрь","Декабрь"},0),1)</f>
        <v>44713</v>
      </c>
      <c r="D142" s="4" t="str">
        <f t="shared" si="4"/>
        <v>2022-06-01</v>
      </c>
      <c r="E142" s="2">
        <f t="shared" si="3"/>
        <v>0.140891142296381</v>
      </c>
    </row>
    <row r="143" spans="1:5">
      <c r="A143" s="3" t="s">
        <v>139</v>
      </c>
      <c r="B143" s="3">
        <v>101.1</v>
      </c>
      <c r="C143" s="4">
        <f>DATE(VALUE(MID(A143,FIND(" ",A143)+1,4)),MATCH(LEFT(A143,FIND(" ",A143)-1),{"Январь","Февраль","Март","Апрель","Май","Июнь","Июль","Август","Сентябрь","Октябрь","Ноябрь","Декабрь"},0),1)</f>
        <v>44743</v>
      </c>
      <c r="D143" s="4" t="str">
        <f t="shared" si="4"/>
        <v>2022-07-01</v>
      </c>
      <c r="E143" s="2">
        <f t="shared" si="3"/>
        <v>0.146533531724158</v>
      </c>
    </row>
    <row r="144" spans="1:5">
      <c r="A144" s="3" t="s">
        <v>140</v>
      </c>
      <c r="B144" s="3">
        <v>101.4</v>
      </c>
      <c r="C144" s="4">
        <f>DATE(VALUE(MID(A144,FIND(" ",A144)+1,4)),MATCH(LEFT(A144,FIND(" ",A144)-1),{"Январь","Февраль","Март","Апрель","Май","Июнь","Июль","Август","Сентябрь","Октябрь","Ноябрь","Декабрь"},0),1)</f>
        <v>44774</v>
      </c>
      <c r="D144" s="4" t="str">
        <f t="shared" si="4"/>
        <v>2022-08-01</v>
      </c>
      <c r="E144" s="2">
        <f t="shared" si="3"/>
        <v>0.151087786070628</v>
      </c>
    </row>
    <row r="145" spans="1:5">
      <c r="A145" s="3" t="s">
        <v>141</v>
      </c>
      <c r="B145" s="3">
        <v>101.8</v>
      </c>
      <c r="C145" s="4">
        <f>DATE(VALUE(MID(A145,FIND(" ",A145)+1,4)),MATCH(LEFT(A145,FIND(" ",A145)-1),{"Январь","Февраль","Март","Апрель","Май","Июнь","Июль","Август","Сентябрь","Октябрь","Ноябрь","Декабрь"},0),1)</f>
        <v>44805</v>
      </c>
      <c r="D145" s="4" t="str">
        <f t="shared" si="4"/>
        <v>2022-09-01</v>
      </c>
      <c r="E145" s="2">
        <f t="shared" ref="E145:E191" si="5">(B133/100)*(B134/100)*(B135/100)*(B136/100)*(B137/100)*(B138/100)*(B139/100)*(B140/100)*(B141/100)*(B142/100)*(B143/100)*(B144/100)-1</f>
        <v>0.161396034901111</v>
      </c>
    </row>
    <row r="146" spans="1:5">
      <c r="A146" s="3" t="s">
        <v>142</v>
      </c>
      <c r="B146" s="3">
        <v>101.6</v>
      </c>
      <c r="C146" s="4">
        <f>DATE(VALUE(MID(A146,FIND(" ",A146)+1,4)),MATCH(LEFT(A146,FIND(" ",A146)-1),{"Январь","Февраль","Март","Апрель","Май","Июнь","Июль","Август","Сентябрь","Октябрь","Ноябрь","Декабрь"},0),1)</f>
        <v>44835</v>
      </c>
      <c r="D146" s="4" t="str">
        <f t="shared" si="4"/>
        <v>2022-10-01</v>
      </c>
      <c r="E146" s="2">
        <f t="shared" si="5"/>
        <v>0.17759080032802</v>
      </c>
    </row>
    <row r="147" spans="1:5">
      <c r="A147" s="3" t="s">
        <v>143</v>
      </c>
      <c r="B147" s="3">
        <v>101.4</v>
      </c>
      <c r="C147" s="4">
        <f>DATE(VALUE(MID(A147,FIND(" ",A147)+1,4)),MATCH(LEFT(A147,FIND(" ",A147)-1),{"Январь","Февраль","Март","Апрель","Май","Июнь","Июль","Август","Сентябрь","Октябрь","Ноябрь","Декабрь"},0),1)</f>
        <v>44866</v>
      </c>
      <c r="D147" s="4" t="str">
        <f t="shared" si="4"/>
        <v>2022-11-01</v>
      </c>
      <c r="E147" s="2">
        <f t="shared" si="5"/>
        <v>0.188115445018141</v>
      </c>
    </row>
    <row r="148" spans="1:5">
      <c r="A148" s="3" t="s">
        <v>144</v>
      </c>
      <c r="B148" s="3">
        <v>101.2</v>
      </c>
      <c r="C148" s="4">
        <f>DATE(VALUE(MID(A148,FIND(" ",A148)+1,4)),MATCH(LEFT(A148,FIND(" ",A148)-1),{"Январь","Февраль","Март","Апрель","Май","Июнь","Июль","Август","Сентябрь","Октябрь","Ноябрь","Декабрь"},0),1)</f>
        <v>44896</v>
      </c>
      <c r="D148" s="4" t="str">
        <f t="shared" si="4"/>
        <v>2022-12-01</v>
      </c>
      <c r="E148" s="2">
        <f t="shared" si="5"/>
        <v>0.196374440167225</v>
      </c>
    </row>
    <row r="149" spans="1:5">
      <c r="A149" s="3" t="s">
        <v>145</v>
      </c>
      <c r="B149" s="3">
        <v>101.1</v>
      </c>
      <c r="C149" s="4">
        <f>DATE(VALUE(MID(A149,FIND(" ",A149)+1,4)),MATCH(LEFT(A149,FIND(" ",A149)-1),{"Январь","Февраль","Март","Апрель","Май","Июнь","Июль","Август","Сентябрь","Октябрь","Ноябрь","Декабрь"},0),1)</f>
        <v>44927</v>
      </c>
      <c r="D149" s="4" t="str">
        <f t="shared" si="4"/>
        <v>2023-01-01</v>
      </c>
      <c r="E149" s="2">
        <f t="shared" si="5"/>
        <v>0.203509874204007</v>
      </c>
    </row>
    <row r="150" spans="1:5">
      <c r="A150" s="3" t="s">
        <v>146</v>
      </c>
      <c r="B150" s="3">
        <v>101.3</v>
      </c>
      <c r="C150" s="4">
        <f>DATE(VALUE(MID(A150,FIND(" ",A150)+1,4)),MATCH(LEFT(A150,FIND(" ",A150)-1),{"Январь","Февраль","Март","Апрель","Май","Июнь","Июль","Август","Сентябрь","Октябрь","Ноябрь","Декабрь"},0),1)</f>
        <v>44958</v>
      </c>
      <c r="D150" s="4" t="str">
        <f t="shared" si="4"/>
        <v>2023-02-01</v>
      </c>
      <c r="E150" s="2">
        <f t="shared" si="5"/>
        <v>0.208290449672543</v>
      </c>
    </row>
    <row r="151" spans="1:5">
      <c r="A151" s="3" t="s">
        <v>147</v>
      </c>
      <c r="B151" s="3">
        <v>100.9</v>
      </c>
      <c r="C151" s="4">
        <f>DATE(VALUE(MID(A151,FIND(" ",A151)+1,4)),MATCH(LEFT(A151,FIND(" ",A151)-1),{"Январь","Февраль","Март","Апрель","Май","Июнь","Июль","Август","Сентябрь","Октябрь","Ноябрь","Декабрь"},0),1)</f>
        <v>44986</v>
      </c>
      <c r="D151" s="4" t="str">
        <f t="shared" si="4"/>
        <v>2023-03-01</v>
      </c>
      <c r="E151" s="2">
        <f t="shared" si="5"/>
        <v>0.214283953887188</v>
      </c>
    </row>
    <row r="152" spans="1:5">
      <c r="A152" s="3" t="s">
        <v>148</v>
      </c>
      <c r="B152" s="3">
        <v>100.9</v>
      </c>
      <c r="C152" s="4">
        <f>DATE(VALUE(MID(A152,FIND(" ",A152)+1,4)),MATCH(LEFT(A152,FIND(" ",A152)-1),{"Январь","Февраль","Март","Апрель","Май","Июнь","Июль","Август","Сентябрь","Октябрь","Ноябрь","Декабрь"},0),1)</f>
        <v>45017</v>
      </c>
      <c r="D152" s="4" t="str">
        <f t="shared" si="4"/>
        <v>2023-04-01</v>
      </c>
      <c r="E152" s="2">
        <f t="shared" si="5"/>
        <v>0.181497116173745</v>
      </c>
    </row>
    <row r="153" spans="1:5">
      <c r="A153" s="3" t="s">
        <v>149</v>
      </c>
      <c r="B153" s="3">
        <v>100.6</v>
      </c>
      <c r="C153" s="4">
        <f>DATE(VALUE(MID(A153,FIND(" ",A153)+1,4)),MATCH(LEFT(A153,FIND(" ",A153)-1),{"Январь","Февраль","Март","Апрель","Май","Июнь","Июль","Август","Сентябрь","Октябрь","Ноябрь","Декабрь"},0),1)</f>
        <v>45047</v>
      </c>
      <c r="D153" s="4" t="str">
        <f t="shared" si="4"/>
        <v>2023-05-01</v>
      </c>
      <c r="E153" s="2">
        <f t="shared" si="5"/>
        <v>0.168755480607165</v>
      </c>
    </row>
    <row r="154" spans="1:5">
      <c r="A154" s="3" t="s">
        <v>150</v>
      </c>
      <c r="B154" s="3">
        <v>100.5</v>
      </c>
      <c r="C154" s="4">
        <f>DATE(VALUE(MID(A154,FIND(" ",A154)+1,4)),MATCH(LEFT(A154,FIND(" ",A154)-1),{"Январь","Февраль","Март","Апрель","Май","Июнь","Июль","Август","Сентябрь","Октябрь","Ноябрь","Декабрь"},0),1)</f>
        <v>45078</v>
      </c>
      <c r="D154" s="4" t="str">
        <f t="shared" si="4"/>
        <v>2023-06-01</v>
      </c>
      <c r="E154" s="2">
        <f t="shared" si="5"/>
        <v>0.159534530069831</v>
      </c>
    </row>
    <row r="155" spans="1:5">
      <c r="A155" s="3" t="s">
        <v>151</v>
      </c>
      <c r="B155" s="3">
        <v>100.6</v>
      </c>
      <c r="C155" s="4">
        <f>DATE(VALUE(MID(A155,FIND(" ",A155)+1,4)),MATCH(LEFT(A155,FIND(" ",A155)-1),{"Январь","Февраль","Март","Апрель","Май","Июнь","Июль","Август","Сентябрь","Октябрь","Ноябрь","Декабрь"},0),1)</f>
        <v>45108</v>
      </c>
      <c r="D155" s="4" t="str">
        <f t="shared" si="4"/>
        <v>2023-07-01</v>
      </c>
      <c r="E155" s="2">
        <f t="shared" si="5"/>
        <v>0.146980514488366</v>
      </c>
    </row>
    <row r="156" spans="1:5">
      <c r="A156" s="3" t="s">
        <v>152</v>
      </c>
      <c r="B156" s="3">
        <v>100.7</v>
      </c>
      <c r="C156" s="4">
        <f>DATE(VALUE(MID(A156,FIND(" ",A156)+1,4)),MATCH(LEFT(A156,FIND(" ",A156)-1),{"Январь","Февраль","Март","Апрель","Май","Июнь","Июль","Август","Сентябрь","Октябрь","Ноябрь","Декабрь"},0),1)</f>
        <v>45139</v>
      </c>
      <c r="D156" s="4" t="str">
        <f t="shared" si="4"/>
        <v>2023-08-01</v>
      </c>
      <c r="E156" s="2">
        <f t="shared" si="5"/>
        <v>0.141308009471114</v>
      </c>
    </row>
    <row r="157" spans="1:5">
      <c r="A157" s="3" t="s">
        <v>153</v>
      </c>
      <c r="B157" s="3">
        <v>100.6</v>
      </c>
      <c r="C157" s="4">
        <f>DATE(VALUE(MID(A157,FIND(" ",A157)+1,4)),MATCH(LEFT(A157,FIND(" ",A157)-1),{"Январь","Февраль","Март","Апрель","Май","Июнь","Июль","Август","Сентябрь","Октябрь","Ноябрь","Декабрь"},0),1)</f>
        <v>45170</v>
      </c>
      <c r="D157" s="4" t="str">
        <f t="shared" si="4"/>
        <v>2023-09-01</v>
      </c>
      <c r="E157" s="2">
        <f t="shared" si="5"/>
        <v>0.133429157334726</v>
      </c>
    </row>
    <row r="158" spans="1:5">
      <c r="A158" s="3" t="s">
        <v>154</v>
      </c>
      <c r="B158" s="3">
        <v>100.7</v>
      </c>
      <c r="C158" s="4">
        <f>DATE(VALUE(MID(A158,FIND(" ",A158)+1,4)),MATCH(LEFT(A158,FIND(" ",A158)-1),{"Январь","Февраль","Март","Апрель","Май","Июнь","Июль","Август","Сентябрь","Октябрь","Ноябрь","Декабрь"},0),1)</f>
        <v>45200</v>
      </c>
      <c r="D158" s="4" t="str">
        <f t="shared" si="4"/>
        <v>2023-10-01</v>
      </c>
      <c r="E158" s="2">
        <f t="shared" si="5"/>
        <v>0.120068499291487</v>
      </c>
    </row>
    <row r="159" spans="1:5">
      <c r="A159" s="3" t="s">
        <v>155</v>
      </c>
      <c r="B159" s="3">
        <v>101</v>
      </c>
      <c r="C159" s="4">
        <f>DATE(VALUE(MID(A159,FIND(" ",A159)+1,4)),MATCH(LEFT(A159,FIND(" ",A159)-1),{"Январь","Февраль","Март","Апрель","Май","Июнь","Июль","Август","Сентябрь","Октябрь","Ноябрь","Декабрь"},0),1)</f>
        <v>45231</v>
      </c>
      <c r="D159" s="4" t="str">
        <f t="shared" si="4"/>
        <v>2023-11-01</v>
      </c>
      <c r="E159" s="2">
        <f t="shared" si="5"/>
        <v>0.110146632663905</v>
      </c>
    </row>
    <row r="160" spans="1:5">
      <c r="A160" s="3" t="s">
        <v>156</v>
      </c>
      <c r="B160" s="3">
        <v>100.8</v>
      </c>
      <c r="C160" s="4">
        <f>DATE(VALUE(MID(A160,FIND(" ",A160)+1,4)),MATCH(LEFT(A160,FIND(" ",A160)-1),{"Январь","Февраль","Март","Апрель","Май","Июнь","Июль","Август","Сентябрь","Октябрь","Ноябрь","Декабрь"},0),1)</f>
        <v>45261</v>
      </c>
      <c r="D160" s="4" t="str">
        <f t="shared" si="4"/>
        <v>2023-12-01</v>
      </c>
      <c r="E160" s="2">
        <f t="shared" si="5"/>
        <v>0.105767356006454</v>
      </c>
    </row>
    <row r="161" spans="1:5">
      <c r="A161" s="3" t="s">
        <v>157</v>
      </c>
      <c r="B161" s="3">
        <v>100.8</v>
      </c>
      <c r="C161" s="4">
        <f>DATE(VALUE(MID(A161,FIND(" ",A161)+1,4)),MATCH(LEFT(A161,FIND(" ",A161)-1),{"Январь","Февраль","Март","Апрель","Май","Июнь","Июль","Август","Сентябрь","Октябрь","Ноябрь","Декабрь"},0),1)</f>
        <v>45292</v>
      </c>
      <c r="D161" s="4" t="str">
        <f t="shared" si="4"/>
        <v>2024-01-01</v>
      </c>
      <c r="E161" s="2">
        <f t="shared" si="5"/>
        <v>0.101396734045954</v>
      </c>
    </row>
    <row r="162" spans="1:5">
      <c r="A162" s="3" t="s">
        <v>158</v>
      </c>
      <c r="B162" s="3">
        <v>101.1</v>
      </c>
      <c r="C162" s="4">
        <f>DATE(VALUE(MID(A162,FIND(" ",A162)+1,4)),MATCH(LEFT(A162,FIND(" ",A162)-1),{"Январь","Февраль","Март","Апрель","Май","Июнь","Июль","Август","Сентябрь","Октябрь","Ноябрь","Декабрь"},0),1)</f>
        <v>45323</v>
      </c>
      <c r="D162" s="4" t="str">
        <f t="shared" si="4"/>
        <v>2024-02-01</v>
      </c>
      <c r="E162" s="2">
        <f t="shared" si="5"/>
        <v>0.0981284944790524</v>
      </c>
    </row>
    <row r="163" spans="1:5">
      <c r="A163" s="3" t="s">
        <v>159</v>
      </c>
      <c r="B163" s="3">
        <v>100.7</v>
      </c>
      <c r="C163" s="4">
        <f>DATE(VALUE(MID(A163,FIND(" ",A163)+1,4)),MATCH(LEFT(A163,FIND(" ",A163)-1),{"Январь","Февраль","Март","Апрель","Май","Июнь","Июль","Август","Сентябрь","Октябрь","Ноябрь","Декабрь"},0),1)</f>
        <v>45352</v>
      </c>
      <c r="D163" s="4" t="str">
        <f t="shared" si="4"/>
        <v>2024-03-01</v>
      </c>
      <c r="E163" s="2">
        <f t="shared" si="5"/>
        <v>0.0959604224267736</v>
      </c>
    </row>
    <row r="164" spans="1:5">
      <c r="A164" s="3" t="s">
        <v>160</v>
      </c>
      <c r="B164" s="3">
        <v>100.6</v>
      </c>
      <c r="C164" s="4">
        <f>DATE(VALUE(MID(A164,FIND(" ",A164)+1,4)),MATCH(LEFT(A164,FIND(" ",A164)-1),{"Январь","Февраль","Март","Апрель","Май","Июнь","Июль","Август","Сентябрь","Октябрь","Ноябрь","Декабрь"},0),1)</f>
        <v>45383</v>
      </c>
      <c r="D164" s="4" t="str">
        <f t="shared" si="4"/>
        <v>2024-04-01</v>
      </c>
      <c r="E164" s="2">
        <f t="shared" si="5"/>
        <v>0.0937880529075927</v>
      </c>
    </row>
    <row r="165" spans="1:5">
      <c r="A165" s="3" t="s">
        <v>161</v>
      </c>
      <c r="B165" s="3">
        <v>100.4</v>
      </c>
      <c r="C165" s="4">
        <f>DATE(VALUE(MID(A165,FIND(" ",A165)+1,4)),MATCH(LEFT(A165,FIND(" ",A165)-1),{"Январь","Февраль","Март","Апрель","Май","Июнь","Июль","Август","Сентябрь","Октябрь","Ноябрь","Декабрь"},0),1)</f>
        <v>45413</v>
      </c>
      <c r="D165" s="4" t="str">
        <f t="shared" si="4"/>
        <v>2024-05-01</v>
      </c>
      <c r="E165" s="2">
        <f t="shared" si="5"/>
        <v>0.090535957606579</v>
      </c>
    </row>
    <row r="166" spans="1:5">
      <c r="A166" s="3" t="s">
        <v>162</v>
      </c>
      <c r="B166" s="3">
        <v>100.4</v>
      </c>
      <c r="C166" s="4">
        <f>DATE(VALUE(MID(A166,FIND(" ",A166)+1,4)),MATCH(LEFT(A166,FIND(" ",A166)-1),{"Январь","Февраль","Март","Апрель","Май","Июнь","Июль","Август","Сентябрь","Октябрь","Ноябрь","Декабрь"},0),1)</f>
        <v>45444</v>
      </c>
      <c r="D166" s="4" t="str">
        <f t="shared" si="4"/>
        <v>2024-06-01</v>
      </c>
      <c r="E166" s="2">
        <f t="shared" si="5"/>
        <v>0.0883678940725694</v>
      </c>
    </row>
    <row r="167" spans="1:5">
      <c r="A167" s="3" t="s">
        <v>163</v>
      </c>
      <c r="B167" s="3">
        <v>100.7</v>
      </c>
      <c r="C167" s="4">
        <f>DATE(VALUE(MID(A167,FIND(" ",A167)+1,4)),MATCH(LEFT(A167,FIND(" ",A167)-1),{"Январь","Февраль","Март","Апрель","Май","Июнь","Июль","Август","Сентябрь","Октябрь","Ноябрь","Декабрь"},0),1)</f>
        <v>45474</v>
      </c>
      <c r="D167" s="4" t="str">
        <f t="shared" si="4"/>
        <v>2024-07-01</v>
      </c>
      <c r="E167" s="2">
        <f t="shared" si="5"/>
        <v>0.0872849409441401</v>
      </c>
    </row>
    <row r="168" spans="1:5">
      <c r="A168" s="3" t="s">
        <v>164</v>
      </c>
      <c r="B168" s="3">
        <v>100.6</v>
      </c>
      <c r="C168" s="4">
        <f>DATE(VALUE(MID(A168,FIND(" ",A168)+1,4)),MATCH(LEFT(A168,FIND(" ",A168)-1),{"Январь","Февраль","Март","Апрель","Май","Июнь","Июль","Август","Сентябрь","Октябрь","Ноябрь","Декабрь"},0),1)</f>
        <v>45505</v>
      </c>
      <c r="D168" s="4" t="str">
        <f t="shared" si="4"/>
        <v>2024-08-01</v>
      </c>
      <c r="E168" s="2">
        <f t="shared" si="5"/>
        <v>0.0883657410842433</v>
      </c>
    </row>
    <row r="169" spans="1:5">
      <c r="A169" s="3" t="s">
        <v>165</v>
      </c>
      <c r="B169" s="3">
        <v>100.4</v>
      </c>
      <c r="C169" s="4">
        <f>DATE(VALUE(MID(A169,FIND(" ",A169)+1,4)),MATCH(LEFT(A169,FIND(" ",A169)-1),{"Январь","Февраль","Март","Апрель","Май","Июнь","Июль","Август","Сентябрь","Октябрь","Ноябрь","Декабрь"},0),1)</f>
        <v>45536</v>
      </c>
      <c r="D169" s="4" t="str">
        <f t="shared" si="4"/>
        <v>2024-09-01</v>
      </c>
      <c r="E169" s="2">
        <f t="shared" si="5"/>
        <v>0.0872849409441401</v>
      </c>
    </row>
    <row r="170" spans="1:5">
      <c r="A170" s="3" t="s">
        <v>166</v>
      </c>
      <c r="B170" s="3">
        <v>100.9</v>
      </c>
      <c r="C170" s="4">
        <f>DATE(VALUE(MID(A170,FIND(" ",A170)+1,4)),MATCH(LEFT(A170,FIND(" ",A170)-1),{"Январь","Февраль","Март","Апрель","Май","Июнь","Июль","Август","Сентябрь","Октябрь","Ноябрь","Декабрь"},0),1)</f>
        <v>45566</v>
      </c>
      <c r="D170" s="4" t="str">
        <f t="shared" si="4"/>
        <v>2024-10-01</v>
      </c>
      <c r="E170" s="2">
        <f t="shared" si="5"/>
        <v>0.0851233406639327</v>
      </c>
    </row>
    <row r="171" spans="1:5">
      <c r="A171" s="3" t="s">
        <v>167</v>
      </c>
      <c r="B171" s="3">
        <v>100.9</v>
      </c>
      <c r="C171" s="4">
        <f>DATE(VALUE(MID(A171,FIND(" ",A171)+1,4)),MATCH(LEFT(A171,FIND(" ",A171)-1),{"Январь","Февраль","Март","Апрель","Май","Июнь","Июль","Август","Сентябрь","Октябрь","Ноябрь","Декабрь"},0),1)</f>
        <v>45597</v>
      </c>
      <c r="D171" s="4" t="str">
        <f t="shared" si="4"/>
        <v>2024-11-01</v>
      </c>
      <c r="E171" s="2">
        <f t="shared" si="5"/>
        <v>0.0872785012213586</v>
      </c>
    </row>
    <row r="172" spans="1:5">
      <c r="A172" s="3" t="s">
        <v>168</v>
      </c>
      <c r="B172" s="3">
        <v>100.9</v>
      </c>
      <c r="C172" s="4">
        <f>DATE(VALUE(MID(A172,FIND(" ",A172)+1,4)),MATCH(LEFT(A172,FIND(" ",A172)-1),{"Январь","Февраль","Март","Апрель","Май","Июнь","Июль","Август","Сентябрь","Октябрь","Ноябрь","Декабрь"},0),1)</f>
        <v>45627</v>
      </c>
      <c r="D172" s="4" t="str">
        <f t="shared" si="4"/>
        <v>2024-12-01</v>
      </c>
      <c r="E172" s="2">
        <f t="shared" si="5"/>
        <v>0.0862019878538127</v>
      </c>
    </row>
    <row r="173" spans="1:5">
      <c r="A173" s="3" t="s">
        <v>169</v>
      </c>
      <c r="B173" s="3">
        <v>101.1</v>
      </c>
      <c r="C173" s="4">
        <f>DATE(VALUE(MID(A173,FIND(" ",A173)+1,4)),MATCH(LEFT(A173,FIND(" ",A173)-1),{"Январь","Февраль","Март","Апрель","Май","Июнь","Июль","Август","Сентябрь","Октябрь","Ноябрь","Декабрь"},0),1)</f>
        <v>45658</v>
      </c>
      <c r="D173" s="4" t="str">
        <f t="shared" si="4"/>
        <v>2025-01-01</v>
      </c>
      <c r="E173" s="2">
        <f t="shared" si="5"/>
        <v>0.0872795691909698</v>
      </c>
    </row>
    <row r="174" spans="1:5">
      <c r="A174" s="3" t="s">
        <v>170</v>
      </c>
      <c r="B174" s="3">
        <v>101.5</v>
      </c>
      <c r="C174" s="4">
        <f>DATE(VALUE(MID(A174,FIND(" ",A174)+1,4)),MATCH(LEFT(A174,FIND(" ",A174)-1),{"Январь","Февраль","Март","Апрель","Май","Июнь","Июль","Август","Сентябрь","Октябрь","Ноябрь","Декабрь"},0),1)</f>
        <v>45689</v>
      </c>
      <c r="D174" s="4" t="str">
        <f t="shared" si="4"/>
        <v>2025-02-01</v>
      </c>
      <c r="E174" s="2">
        <f t="shared" si="5"/>
        <v>0.0905155202897523</v>
      </c>
    </row>
    <row r="175" spans="1:5">
      <c r="A175" s="3" t="s">
        <v>171</v>
      </c>
      <c r="B175" s="3">
        <v>101.3</v>
      </c>
      <c r="C175" s="4">
        <f>DATE(VALUE(MID(A175,FIND(" ",A175)+1,4)),MATCH(LEFT(A175,FIND(" ",A175)-1),{"Январь","Февраль","Март","Апрель","Май","Июнь","Июль","Август","Сентябрь","Октябрь","Ноябрь","Декабрь"},0),1)</f>
        <v>45717</v>
      </c>
      <c r="D175" s="4" t="str">
        <f t="shared" si="4"/>
        <v>2025-03-01</v>
      </c>
      <c r="E175" s="2">
        <f t="shared" si="5"/>
        <v>0.0948301217547958</v>
      </c>
    </row>
    <row r="176" spans="1:5">
      <c r="A176" s="3" t="s">
        <v>172</v>
      </c>
      <c r="B176" s="3">
        <v>101.2</v>
      </c>
      <c r="C176" s="4">
        <f>DATE(VALUE(MID(A176,FIND(" ",A176)+1,4)),MATCH(LEFT(A176,FIND(" ",A176)-1),{"Январь","Февраль","Март","Апрель","Май","Июнь","Июль","Август","Сентябрь","Октябрь","Ноябрь","Декабрь"},0),1)</f>
        <v>45748</v>
      </c>
      <c r="D176" s="4" t="str">
        <f t="shared" si="4"/>
        <v>2025-04-01</v>
      </c>
      <c r="E176" s="2">
        <f t="shared" si="5"/>
        <v>0.101353439262768</v>
      </c>
    </row>
    <row r="177" spans="1:5">
      <c r="A177" s="3" t="s">
        <v>173</v>
      </c>
      <c r="B177" s="3">
        <v>100.9</v>
      </c>
      <c r="C177" s="4">
        <f>DATE(VALUE(MID(A177,FIND(" ",A177)+1,4)),MATCH(LEFT(A177,FIND(" ",A177)-1),{"Январь","Февраль","Март","Апрель","Май","Июнь","Июль","Август","Сентябрь","Октябрь","Ноябрь","Декабрь"},0),1)</f>
        <v>45778</v>
      </c>
      <c r="D177" s="4" t="str">
        <f t="shared" si="4"/>
        <v>2025-05-01</v>
      </c>
      <c r="E177" s="2">
        <f t="shared" si="5"/>
        <v>0.107922147648033</v>
      </c>
    </row>
    <row r="178" spans="1:5">
      <c r="A178" s="3" t="s">
        <v>174</v>
      </c>
      <c r="B178" s="3">
        <v>100.8</v>
      </c>
      <c r="C178" s="4">
        <f>DATE(VALUE(MID(A178,FIND(" ",A178)+1,4)),MATCH(LEFT(A178,FIND(" ",A178)-1),{"Январь","Февраль","Март","Апрель","Май","Июнь","Июль","Август","Сентябрь","Октябрь","Ноябрь","Декабрь"},0),1)</f>
        <v>45809</v>
      </c>
      <c r="D178" s="4" t="str">
        <f t="shared" si="4"/>
        <v>2025-06-01</v>
      </c>
      <c r="E178" s="2">
        <f t="shared" si="5"/>
        <v>0.11343968822397</v>
      </c>
    </row>
    <row r="179" spans="1:5">
      <c r="A179" s="3" t="s">
        <v>175</v>
      </c>
      <c r="B179" s="3">
        <v>100.7</v>
      </c>
      <c r="C179" s="4">
        <f>DATE(VALUE(MID(A179,FIND(" ",A179)+1,4)),MATCH(LEFT(A179,FIND(" ",A179)-1),{"Январь","Февраль","Март","Апрель","Май","Июнь","Июль","Август","Сентябрь","Октябрь","Ноябрь","Декабрь"},0),1)</f>
        <v>45839</v>
      </c>
      <c r="D179" s="4" t="str">
        <f t="shared" si="4"/>
        <v>2025-07-01</v>
      </c>
      <c r="E179" s="2">
        <f t="shared" si="5"/>
        <v>0.117875702918089</v>
      </c>
    </row>
    <row r="180" spans="1:5">
      <c r="A180" s="3" t="s">
        <v>176</v>
      </c>
      <c r="B180" s="3">
        <v>101</v>
      </c>
      <c r="C180" s="4">
        <f>DATE(VALUE(MID(A180,FIND(" ",A180)+1,4)),MATCH(LEFT(A180,FIND(" ",A180)-1),{"Январь","Февраль","Март","Апрель","Май","Июнь","Июль","Август","Сентябрь","Октябрь","Ноябрь","Декабрь"},0),1)</f>
        <v>45870</v>
      </c>
      <c r="D180" s="4" t="str">
        <f t="shared" si="4"/>
        <v>2025-08-01</v>
      </c>
      <c r="E180" s="2">
        <f t="shared" si="5"/>
        <v>0.117875702918089</v>
      </c>
    </row>
    <row r="181" spans="1:5">
      <c r="A181" s="3" t="s">
        <v>177</v>
      </c>
      <c r="B181" s="3">
        <v>101.1</v>
      </c>
      <c r="C181" s="4">
        <f>DATE(VALUE(MID(A181,FIND(" ",A181)+1,4)),MATCH(LEFT(A181,FIND(" ",A181)-1),{"Январь","Февраль","Март","Апрель","Май","Июнь","Июль","Август","Сентябрь","Октябрь","Ноябрь","Декабрь"},0),1)</f>
        <v>45901</v>
      </c>
      <c r="D181" s="4" t="str">
        <f t="shared" si="4"/>
        <v>2025-09-01</v>
      </c>
      <c r="E181" s="2">
        <f t="shared" si="5"/>
        <v>0.122320536726909</v>
      </c>
    </row>
    <row r="182" spans="1:5">
      <c r="A182" s="3" t="s">
        <v>178</v>
      </c>
      <c r="B182" s="3">
        <v>100.5</v>
      </c>
      <c r="C182" s="4">
        <f>DATE(VALUE(MID(A182,FIND(" ",A182)+1,4)),MATCH(LEFT(A182,FIND(" ",A182)-1),{"Январь","Февраль","Март","Апрель","Май","Июнь","Июль","Август","Сентябрь","Октябрь","Ноябрь","Декабрь"},0),1)</f>
        <v>45931</v>
      </c>
      <c r="D182" s="4" t="str">
        <f t="shared" si="4"/>
        <v>2025-10-01</v>
      </c>
      <c r="E182" s="2">
        <f t="shared" si="5"/>
        <v>0.130145480708072</v>
      </c>
    </row>
    <row r="183" spans="1:5">
      <c r="A183" s="3" t="s">
        <v>179</v>
      </c>
      <c r="B183" s="3">
        <v>100.8</v>
      </c>
      <c r="C183" s="4">
        <f>DATE(VALUE(MID(A183,FIND(" ",A183)+1,4)),MATCH(LEFT(A183,FIND(" ",A183)-1),{"Январь","Февраль","Март","Апрель","Май","Июнь","Июль","Август","Сентябрь","Октябрь","Ноябрь","Декабрь"},0),1)</f>
        <v>45962</v>
      </c>
      <c r="D183" s="4" t="str">
        <f t="shared" si="4"/>
        <v>2025-11-01</v>
      </c>
      <c r="E183" s="2">
        <f t="shared" si="5"/>
        <v>0.125665221121519</v>
      </c>
    </row>
    <row r="184" spans="1:5">
      <c r="A184" s="3" t="s">
        <v>180</v>
      </c>
      <c r="B184" s="3">
        <v>100.9</v>
      </c>
      <c r="C184" s="4">
        <f>DATE(VALUE(MID(A184,FIND(" ",A184)+1,4)),MATCH(LEFT(A184,FIND(" ",A184)-1),{"Январь","Февраль","Март","Апрель","Май","Июнь","Июль","Август","Сентябрь","Октябрь","Ноябрь","Декабрь"},0),1)</f>
        <v>45992</v>
      </c>
      <c r="D184" s="4" t="str">
        <f t="shared" si="4"/>
        <v>2025-12-01</v>
      </c>
      <c r="E184" s="2">
        <f t="shared" si="5"/>
        <v>0.124549596521795</v>
      </c>
    </row>
    <row r="185" spans="1:5">
      <c r="A185" s="3" t="s">
        <v>181</v>
      </c>
      <c r="B185" s="3">
        <v>101</v>
      </c>
      <c r="C185" s="4">
        <f>DATE(VALUE(MID(A185,FIND(" ",A185)+1,4)),MATCH(LEFT(A185,FIND(" ",A185)-1),{"Январь","Февраль","Март","Апрель","Май","Июнь","Июль","Август","Сентябрь","Октябрь","Ноябрь","Декабрь"},0),1)</f>
        <v>46023</v>
      </c>
      <c r="D185" s="4" t="str">
        <f t="shared" si="4"/>
        <v>2026-01-01</v>
      </c>
      <c r="E185" s="2">
        <f t="shared" si="5"/>
        <v>0.124549596521795</v>
      </c>
    </row>
    <row r="186" spans="1:5">
      <c r="A186" s="3" t="s">
        <v>182</v>
      </c>
      <c r="B186" s="3">
        <v>101.1</v>
      </c>
      <c r="C186" s="4">
        <f>DATE(VALUE(MID(A186,FIND(" ",A186)+1,4)),MATCH(LEFT(A186,FIND(" ",A186)-1),{"Январь","Февраль","Март","Апрель","Май","Июнь","Июль","Август","Сентябрь","Октябрь","Ноябрь","Декабрь"},0),1)</f>
        <v>46054</v>
      </c>
      <c r="D186" s="4" t="str">
        <f t="shared" si="4"/>
        <v>2026-02-01</v>
      </c>
      <c r="E186" s="2">
        <f t="shared" si="5"/>
        <v>0.123437282380824</v>
      </c>
    </row>
    <row r="187" spans="1:5">
      <c r="A187" s="3" t="s">
        <v>183</v>
      </c>
      <c r="B187" s="3">
        <v>100.6</v>
      </c>
      <c r="C187" s="4">
        <f>DATE(VALUE(MID(A187,FIND(" ",A187)+1,4)),MATCH(LEFT(A187,FIND(" ",A187)-1),{"Январь","Февраль","Март","Апрель","Май","Июнь","Июль","Август","Сентябрь","Октябрь","Ноябрь","Декабрь"},0),1)</f>
        <v>46082</v>
      </c>
      <c r="D187" s="4" t="str">
        <f t="shared" si="4"/>
        <v>2026-03-01</v>
      </c>
      <c r="E187" s="2">
        <f t="shared" si="5"/>
        <v>0.119009943336958</v>
      </c>
    </row>
    <row r="188" spans="1:5">
      <c r="A188" s="3" t="s">
        <v>184</v>
      </c>
      <c r="B188" s="3">
        <v>100.8</v>
      </c>
      <c r="C188" s="4">
        <f>DATE(VALUE(MID(A188,FIND(" ",A188)+1,4)),MATCH(LEFT(A188,FIND(" ",A188)-1),{"Январь","Февраль","Март","Апрель","Май","Июнь","Июль","Август","Сентябрь","Октябрь","Ноябрь","Декабрь"},0),1)</f>
        <v>46113</v>
      </c>
      <c r="D188" s="4" t="str">
        <f t="shared" si="4"/>
        <v>2026-04-01</v>
      </c>
      <c r="E188" s="2">
        <f t="shared" si="5"/>
        <v>0.111277396838085</v>
      </c>
    </row>
    <row r="189" spans="1:5">
      <c r="A189" s="3" t="s">
        <v>185</v>
      </c>
      <c r="B189" s="3">
        <v>100.7</v>
      </c>
      <c r="C189" s="4">
        <f>DATE(VALUE(MID(A189,FIND(" ",A189)+1,4)),MATCH(LEFT(A189,FIND(" ",A189)-1),{"Январь","Февраль","Март","Апрель","Май","Июнь","Июль","Август","Сентябрь","Октябрь","Ноябрь","Декабрь"},0),1)</f>
        <v>46143</v>
      </c>
      <c r="D189" s="4" t="str">
        <f t="shared" si="4"/>
        <v>2026-05-01</v>
      </c>
      <c r="E189" s="2">
        <f t="shared" si="5"/>
        <v>0.106884996060069</v>
      </c>
    </row>
    <row r="190" spans="1:5">
      <c r="A190" s="3" t="s">
        <v>186</v>
      </c>
      <c r="B190" s="3">
        <v>100.8</v>
      </c>
      <c r="C190" s="4">
        <f>DATE(VALUE(MID(A190,FIND(" ",A190)+1,4)),MATCH(LEFT(A190,FIND(" ",A190)-1),{"Январь","Февраль","Март","Апрель","Май","Июнь","Июль","Август","Сентябрь","Октябрь","Ноябрь","Декабрь"},0),1)</f>
        <v>46174</v>
      </c>
      <c r="D190" s="4" t="str">
        <f t="shared" si="4"/>
        <v>2026-06-01</v>
      </c>
      <c r="E190" s="2">
        <f t="shared" si="5"/>
        <v>0.104690972281952</v>
      </c>
    </row>
    <row r="191" spans="1:5">
      <c r="A191" s="3" t="s">
        <v>187</v>
      </c>
      <c r="B191" s="3">
        <v>100.6</v>
      </c>
      <c r="C191" s="4">
        <f>DATE(VALUE(MID(A191,FIND(" ",A191)+1,4)),MATCH(LEFT(A191,FIND(" ",A191)-1),{"Январь","Февраль","Март","Апрель","Май","Июнь","Июль","Август","Сентябрь","Октябрь","Ноябрь","Декабрь"},0),1)</f>
        <v>46204</v>
      </c>
      <c r="D191" s="4" t="str">
        <f t="shared" si="4"/>
        <v>2026-07-01</v>
      </c>
      <c r="E191" s="2">
        <f t="shared" si="5"/>
        <v>0.104690972281952</v>
      </c>
    </row>
  </sheetData>
  <autoFilter xmlns:etc="http://www.wps.cn/officeDocument/2017/etCustomData" ref="A4:C191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C176"/>
  <sheetViews>
    <sheetView tabSelected="1" workbookViewId="0">
      <selection activeCell="H20" sqref="H20"/>
    </sheetView>
  </sheetViews>
  <sheetFormatPr defaultColWidth="9" defaultRowHeight="16.8" outlineLevelCol="2"/>
  <cols>
    <col min="1" max="1" width="9.375" customWidth="1"/>
    <col min="2" max="2" width="10.6015625" customWidth="1"/>
    <col min="3" max="3" width="9" customWidth="1"/>
  </cols>
  <sheetData>
    <row r="1" spans="1:3">
      <c r="A1" s="1" t="s">
        <v>220</v>
      </c>
      <c r="B1" s="1" t="s">
        <v>221</v>
      </c>
      <c r="C1" s="1"/>
    </row>
    <row r="2" spans="1:3">
      <c r="A2" s="1" t="str">
        <f>'KZ Whole'!D17</f>
        <v>2012-01-01</v>
      </c>
      <c r="B2" s="2">
        <f>'KZ Whole'!E17</f>
        <v>0.0742878810763221</v>
      </c>
    </row>
    <row r="3" spans="1:3">
      <c r="A3" s="1" t="str">
        <f>'KZ Whole'!D18</f>
        <v>2012-02-01</v>
      </c>
      <c r="B3" s="2">
        <f>'KZ Whole'!E18</f>
        <v>0.0594992573446913</v>
      </c>
    </row>
    <row r="4" spans="1:3">
      <c r="A4" s="1" t="str">
        <f>'KZ Whole'!D19</f>
        <v>2012-03-01</v>
      </c>
      <c r="B4" s="2">
        <f>'KZ Whole'!E19</f>
        <v>0.0480169993833202</v>
      </c>
    </row>
    <row r="5" spans="1:3">
      <c r="A5" s="1" t="str">
        <f>'KZ Whole'!D20</f>
        <v>2012-04-01</v>
      </c>
      <c r="B5" s="2">
        <f>'KZ Whole'!E20</f>
        <v>0.0459313934143979</v>
      </c>
    </row>
    <row r="6" spans="1:3">
      <c r="A6" s="1" t="str">
        <f>'KZ Whole'!D21</f>
        <v>2012-05-01</v>
      </c>
      <c r="B6" s="2">
        <f>'KZ Whole'!E21</f>
        <v>0.0480128489236804</v>
      </c>
    </row>
    <row r="7" spans="1:3">
      <c r="A7" s="1" t="str">
        <f>'KZ Whole'!D22</f>
        <v>2012-06-01</v>
      </c>
      <c r="B7" s="2">
        <f>'KZ Whole'!E22</f>
        <v>0.0500984466329821</v>
      </c>
    </row>
    <row r="8" spans="1:3">
      <c r="A8" s="1" t="str">
        <f>'KZ Whole'!D23</f>
        <v>2012-07-01</v>
      </c>
      <c r="B8" s="2">
        <f>'KZ Whole'!E23</f>
        <v>0.0500984466329821</v>
      </c>
    </row>
    <row r="9" spans="1:3">
      <c r="A9" s="1" t="str">
        <f>'KZ Whole'!D24</f>
        <v>2012-08-01</v>
      </c>
      <c r="B9" s="2">
        <f>'KZ Whole'!E24</f>
        <v>0.0480086984804786</v>
      </c>
    </row>
    <row r="10" spans="1:3">
      <c r="A10" s="1" t="str">
        <f>'KZ Whole'!D25</f>
        <v>2012-09-01</v>
      </c>
      <c r="B10" s="2">
        <f>'KZ Whole'!E25</f>
        <v>0.0480086984804786</v>
      </c>
    </row>
    <row r="11" spans="1:3">
      <c r="A11" s="1" t="str">
        <f>'KZ Whole'!D26</f>
        <v>2012-10-01</v>
      </c>
      <c r="B11" s="2">
        <f>'KZ Whole'!E26</f>
        <v>0.0511433207092336</v>
      </c>
    </row>
    <row r="12" spans="1:3">
      <c r="A12" s="1" t="str">
        <f>'KZ Whole'!D27</f>
        <v>2012-11-01</v>
      </c>
      <c r="B12" s="2">
        <f>'KZ Whole'!E27</f>
        <v>0.0563885468604775</v>
      </c>
    </row>
    <row r="13" spans="1:3">
      <c r="A13" s="1" t="str">
        <f>'KZ Whole'!D28</f>
        <v>2012-12-01</v>
      </c>
      <c r="B13" s="2">
        <f>'KZ Whole'!E28</f>
        <v>0.0574386348792253</v>
      </c>
    </row>
    <row r="14" spans="1:3">
      <c r="A14" s="1" t="str">
        <f>'KZ Whole'!D29</f>
        <v>2013-01-01</v>
      </c>
      <c r="B14" s="2">
        <f>'KZ Whole'!E29</f>
        <v>0.0606014623015958</v>
      </c>
    </row>
    <row r="15" spans="1:3">
      <c r="A15" s="1" t="str">
        <f>'KZ Whole'!D30</f>
        <v>2013-02-01</v>
      </c>
      <c r="B15" s="2">
        <f>'KZ Whole'!E30</f>
        <v>0.0669460373502602</v>
      </c>
    </row>
    <row r="16" spans="1:3">
      <c r="A16" s="1" t="str">
        <f>'KZ Whole'!D31</f>
        <v>2013-03-01</v>
      </c>
      <c r="B16" s="2">
        <f>'KZ Whole'!E31</f>
        <v>0.0711968183755596</v>
      </c>
    </row>
    <row r="17" spans="1:2">
      <c r="A17" s="1" t="str">
        <f>'KZ Whole'!D32</f>
        <v>2013-04-01</v>
      </c>
      <c r="B17" s="2">
        <f>'KZ Whole'!E32</f>
        <v>0.0701288255357044</v>
      </c>
    </row>
    <row r="18" spans="1:2">
      <c r="A18" s="1" t="str">
        <f>'KZ Whole'!D33</f>
        <v>2013-05-01</v>
      </c>
      <c r="B18" s="2">
        <f>'KZ Whole'!E33</f>
        <v>0.0658780655534372</v>
      </c>
    </row>
    <row r="19" spans="1:2">
      <c r="A19" s="1" t="str">
        <f>'KZ Whole'!D34</f>
        <v>2013-06-01</v>
      </c>
      <c r="B19" s="2">
        <f>'KZ Whole'!E34</f>
        <v>0.060585721633112</v>
      </c>
    </row>
    <row r="20" spans="1:2">
      <c r="A20" s="1" t="str">
        <f>'KZ Whole'!D35</f>
        <v>2013-07-01</v>
      </c>
      <c r="B20" s="2">
        <f>'KZ Whole'!E35</f>
        <v>0.0605857216331118</v>
      </c>
    </row>
    <row r="21" spans="1:2">
      <c r="A21" s="1" t="str">
        <f>'KZ Whole'!D36</f>
        <v>2013-08-01</v>
      </c>
      <c r="B21" s="2">
        <f>'KZ Whole'!E36</f>
        <v>0.0595283081519227</v>
      </c>
    </row>
    <row r="22" spans="1:2">
      <c r="A22" s="1" t="str">
        <f>'KZ Whole'!D37</f>
        <v>2013-09-01</v>
      </c>
      <c r="B22" s="2">
        <f>'KZ Whole'!E37</f>
        <v>0.0584719489214622</v>
      </c>
    </row>
    <row r="23" spans="1:2">
      <c r="A23" s="1" t="str">
        <f>'KZ Whole'!D38</f>
        <v>2013-10-01</v>
      </c>
      <c r="B23" s="2">
        <f>'KZ Whole'!E38</f>
        <v>0.0542633129416548</v>
      </c>
    </row>
    <row r="24" spans="1:2">
      <c r="A24" s="1" t="str">
        <f>'KZ Whole'!D39</f>
        <v>2013-11-01</v>
      </c>
      <c r="B24" s="2">
        <f>'KZ Whole'!E39</f>
        <v>0.050075573863436</v>
      </c>
    </row>
    <row r="25" spans="1:2">
      <c r="A25" s="1" t="str">
        <f>'KZ Whole'!D40</f>
        <v>2013-12-01</v>
      </c>
      <c r="B25" s="2">
        <f>'KZ Whole'!E40</f>
        <v>0.0479900215816804</v>
      </c>
    </row>
    <row r="26" spans="1:2">
      <c r="A26" s="1" t="str">
        <f>'KZ Whole'!D41</f>
        <v>2014-01-01</v>
      </c>
      <c r="B26" s="2">
        <f>'KZ Whole'!E41</f>
        <v>0.049031761165758</v>
      </c>
    </row>
    <row r="27" spans="1:2">
      <c r="A27" s="1" t="str">
        <f>'KZ Whole'!D42</f>
        <v>2014-02-01</v>
      </c>
      <c r="B27" s="2">
        <f>'KZ Whole'!E42</f>
        <v>0.0459127370988623</v>
      </c>
    </row>
    <row r="28" spans="1:2">
      <c r="A28" s="1" t="str">
        <f>'KZ Whole'!D43</f>
        <v>2014-03-01</v>
      </c>
      <c r="B28" s="2">
        <f>'KZ Whole'!E43</f>
        <v>0.0552512436801025</v>
      </c>
    </row>
    <row r="29" spans="1:2">
      <c r="A29" s="1" t="str">
        <f>'KZ Whole'!D44</f>
        <v>2014-04-01</v>
      </c>
      <c r="B29" s="2">
        <f>'KZ Whole'!E44</f>
        <v>0.0636764033102835</v>
      </c>
    </row>
    <row r="30" spans="1:2">
      <c r="A30" s="1" t="str">
        <f>'KZ Whole'!D45</f>
        <v>2014-05-01</v>
      </c>
      <c r="B30" s="2">
        <f>'KZ Whole'!E45</f>
        <v>0.0668578880659472</v>
      </c>
    </row>
    <row r="31" spans="1:2">
      <c r="A31" s="1" t="str">
        <f>'KZ Whole'!D46</f>
        <v>2014-06-01</v>
      </c>
      <c r="B31" s="2">
        <f>'KZ Whole'!E46</f>
        <v>0.0711168017907611</v>
      </c>
    </row>
    <row r="32" spans="1:2">
      <c r="A32" s="1" t="str">
        <f>'KZ Whole'!D47</f>
        <v>2014-07-01</v>
      </c>
      <c r="B32" s="2">
        <f>'KZ Whole'!E47</f>
        <v>0.0711168017907615</v>
      </c>
    </row>
    <row r="33" spans="1:2">
      <c r="A33" s="1" t="str">
        <f>'KZ Whole'!D48</f>
        <v>2014-08-01</v>
      </c>
      <c r="B33" s="2">
        <f>'KZ Whole'!E48</f>
        <v>0.0700478229466588</v>
      </c>
    </row>
    <row r="34" spans="1:2">
      <c r="A34" s="1" t="str">
        <f>'KZ Whole'!D49</f>
        <v>2014-09-01</v>
      </c>
      <c r="B34" s="2">
        <f>'KZ Whole'!E49</f>
        <v>0.072183646944556</v>
      </c>
    </row>
    <row r="35" spans="1:2">
      <c r="A35" s="1" t="str">
        <f>'KZ Whole'!D50</f>
        <v>2014-10-01</v>
      </c>
      <c r="B35" s="2">
        <f>'KZ Whole'!E50</f>
        <v>0.0753937776240308</v>
      </c>
    </row>
    <row r="36" spans="1:2">
      <c r="A36" s="1" t="str">
        <f>'KZ Whole'!D51</f>
        <v>2014-11-01</v>
      </c>
      <c r="B36" s="2">
        <f>'KZ Whole'!E51</f>
        <v>0.0764659548699174</v>
      </c>
    </row>
    <row r="37" spans="1:2">
      <c r="A37" s="1" t="str">
        <f>'KZ Whole'!D52</f>
        <v>2014-12-01</v>
      </c>
      <c r="B37" s="2">
        <f>'KZ Whole'!E52</f>
        <v>0.0775370652727732</v>
      </c>
    </row>
    <row r="38" spans="1:2">
      <c r="A38" s="1" t="str">
        <f>'KZ Whole'!D53</f>
        <v>2015-01-01</v>
      </c>
      <c r="B38" s="2">
        <f>'KZ Whole'!E53</f>
        <v>0.075396971796561</v>
      </c>
    </row>
    <row r="39" spans="1:2">
      <c r="A39" s="1" t="str">
        <f>'KZ Whole'!D54</f>
        <v>2015-02-01</v>
      </c>
      <c r="B39" s="2">
        <f>'KZ Whole'!E54</f>
        <v>0.0753969717965606</v>
      </c>
    </row>
    <row r="40" spans="1:2">
      <c r="A40" s="1" t="str">
        <f>'KZ Whole'!D55</f>
        <v>2015-03-01</v>
      </c>
      <c r="B40" s="2">
        <f>'KZ Whole'!E55</f>
        <v>0.0616505011639594</v>
      </c>
    </row>
    <row r="41" spans="1:2">
      <c r="A41" s="1" t="str">
        <f>'KZ Whole'!D56</f>
        <v>2015-04-01</v>
      </c>
      <c r="B41" s="2">
        <f>'KZ Whole'!E56</f>
        <v>0.052190249173389</v>
      </c>
    </row>
    <row r="42" spans="1:2">
      <c r="A42" s="1" t="str">
        <f>'KZ Whole'!D57</f>
        <v>2015-05-01</v>
      </c>
      <c r="B42" s="2">
        <f>'KZ Whole'!E57</f>
        <v>0.0469606753703409</v>
      </c>
    </row>
    <row r="43" spans="1:2">
      <c r="A43" s="1" t="str">
        <f>'KZ Whole'!D58</f>
        <v>2015-06-01</v>
      </c>
      <c r="B43" s="2">
        <f>'KZ Whole'!E58</f>
        <v>0.0438385262390175</v>
      </c>
    </row>
    <row r="44" spans="1:2">
      <c r="A44" s="1" t="str">
        <f>'KZ Whole'!D59</f>
        <v>2015-07-01</v>
      </c>
      <c r="B44" s="2">
        <f>'KZ Whole'!E59</f>
        <v>0.0396756607305873</v>
      </c>
    </row>
    <row r="45" spans="1:2">
      <c r="A45" s="1" t="str">
        <f>'KZ Whole'!D60</f>
        <v>2015-08-01</v>
      </c>
      <c r="B45" s="2">
        <f>'KZ Whole'!E60</f>
        <v>0.0396756607305873</v>
      </c>
    </row>
    <row r="46" spans="1:2">
      <c r="A46" s="1" t="str">
        <f>'KZ Whole'!D61</f>
        <v>2015-09-01</v>
      </c>
      <c r="B46" s="2">
        <f>'KZ Whole'!E61</f>
        <v>0.0386401272039627</v>
      </c>
    </row>
    <row r="47" spans="1:2">
      <c r="A47" s="1" t="str">
        <f>'KZ Whole'!D62</f>
        <v>2015-10-01</v>
      </c>
      <c r="B47" s="2">
        <f>'KZ Whole'!E62</f>
        <v>0.0438074910208983</v>
      </c>
    </row>
    <row r="48" spans="1:2">
      <c r="A48" s="1" t="str">
        <f>'KZ Whole'!D63</f>
        <v>2015-11-01</v>
      </c>
      <c r="B48" s="2">
        <f>'KZ Whole'!E63</f>
        <v>0.0937106380019768</v>
      </c>
    </row>
    <row r="49" spans="1:2">
      <c r="A49" s="1" t="str">
        <f>'KZ Whole'!D64</f>
        <v>2015-12-01</v>
      </c>
      <c r="B49" s="2">
        <f>'KZ Whole'!E64</f>
        <v>0.127413450902635</v>
      </c>
    </row>
    <row r="50" spans="1:2">
      <c r="A50" s="1" t="str">
        <f>'KZ Whole'!D65</f>
        <v>2016-01-01</v>
      </c>
      <c r="B50" s="2">
        <f>'KZ Whole'!E65</f>
        <v>0.135266081903947</v>
      </c>
    </row>
    <row r="51" spans="1:2">
      <c r="A51" s="1" t="str">
        <f>'KZ Whole'!D66</f>
        <v>2016-02-01</v>
      </c>
      <c r="B51" s="2">
        <f>'KZ Whole'!E66</f>
        <v>0.143165547682601</v>
      </c>
    </row>
    <row r="52" spans="1:2">
      <c r="A52" s="1" t="str">
        <f>'KZ Whole'!D67</f>
        <v>2016-03-01</v>
      </c>
      <c r="B52" s="2">
        <f>'KZ Whole'!E67</f>
        <v>0.151135825405488</v>
      </c>
    </row>
    <row r="53" spans="1:2">
      <c r="A53" s="1" t="str">
        <f>'KZ Whole'!D68</f>
        <v>2016-04-01</v>
      </c>
      <c r="B53" s="2">
        <f>'KZ Whole'!E68</f>
        <v>0.155735768763752</v>
      </c>
    </row>
    <row r="54" spans="1:2">
      <c r="A54" s="1" t="str">
        <f>'KZ Whole'!D69</f>
        <v>2016-05-01</v>
      </c>
      <c r="B54" s="2">
        <f>'KZ Whole'!E69</f>
        <v>0.161508674701633</v>
      </c>
    </row>
    <row r="55" spans="1:2">
      <c r="A55" s="1" t="str">
        <f>'KZ Whole'!D70</f>
        <v>2016-06-01</v>
      </c>
      <c r="B55" s="2">
        <f>'KZ Whole'!E70</f>
        <v>0.16382474384361</v>
      </c>
    </row>
    <row r="56" spans="1:2">
      <c r="A56" s="1" t="str">
        <f>'KZ Whole'!D71</f>
        <v>2016-07-01</v>
      </c>
      <c r="B56" s="2">
        <f>'KZ Whole'!E71</f>
        <v>0.169649692511496</v>
      </c>
    </row>
    <row r="57" spans="1:2">
      <c r="A57" s="1" t="str">
        <f>'KZ Whole'!D72</f>
        <v>2016-08-01</v>
      </c>
      <c r="B57" s="2">
        <f>'KZ Whole'!E72</f>
        <v>0.174323617356696</v>
      </c>
    </row>
    <row r="58" spans="1:2">
      <c r="A58" s="1" t="str">
        <f>'KZ Whole'!D73</f>
        <v>2016-09-01</v>
      </c>
      <c r="B58" s="2">
        <f>'KZ Whole'!E73</f>
        <v>0.173152806172892</v>
      </c>
    </row>
    <row r="59" spans="1:2">
      <c r="A59" s="1" t="str">
        <f>'KZ Whole'!D74</f>
        <v>2016-10-01</v>
      </c>
      <c r="B59" s="2">
        <f>'KZ Whole'!E74</f>
        <v>0.163860506718057</v>
      </c>
    </row>
    <row r="60" spans="1:2">
      <c r="A60" s="1" t="str">
        <f>'KZ Whole'!D75</f>
        <v>2016-11-01</v>
      </c>
      <c r="B60" s="2">
        <f>'KZ Whole'!E75</f>
        <v>0.112969267831145</v>
      </c>
    </row>
    <row r="61" spans="1:2">
      <c r="A61" s="1" t="str">
        <f>'KZ Whole'!D76</f>
        <v>2016-12-01</v>
      </c>
      <c r="B61" s="2">
        <f>'KZ Whole'!E76</f>
        <v>0.0861378004292377</v>
      </c>
    </row>
    <row r="62" spans="1:2">
      <c r="A62" s="1" t="str">
        <f>'KZ Whole'!D77</f>
        <v>2017-01-01</v>
      </c>
      <c r="B62" s="2">
        <f>'KZ Whole'!E77</f>
        <v>0.082918024341009</v>
      </c>
    </row>
    <row r="63" spans="1:2">
      <c r="A63" s="1" t="str">
        <f>'KZ Whole'!D78</f>
        <v>2017-02-01</v>
      </c>
      <c r="B63" s="2">
        <f>'KZ Whole'!E78</f>
        <v>0.0775729205683484</v>
      </c>
    </row>
    <row r="64" spans="1:2">
      <c r="A64" s="1" t="str">
        <f>'KZ Whole'!D79</f>
        <v>2017-03-01</v>
      </c>
      <c r="B64" s="2">
        <f>'KZ Whole'!E79</f>
        <v>0.0765070719822276</v>
      </c>
    </row>
    <row r="65" spans="1:2">
      <c r="A65" s="1" t="str">
        <f>'KZ Whole'!D80</f>
        <v>2017-04-01</v>
      </c>
      <c r="B65" s="2">
        <f>'KZ Whole'!E80</f>
        <v>0.0765070719822278</v>
      </c>
    </row>
    <row r="66" spans="1:2">
      <c r="A66" s="1" t="str">
        <f>'KZ Whole'!D81</f>
        <v>2017-05-01</v>
      </c>
      <c r="B66" s="2">
        <f>'KZ Whole'!E81</f>
        <v>0.0754369854295613</v>
      </c>
    </row>
    <row r="67" spans="1:2">
      <c r="A67" s="1" t="str">
        <f>'KZ Whole'!D82</f>
        <v>2017-06-01</v>
      </c>
      <c r="B67" s="2">
        <f>'KZ Whole'!E82</f>
        <v>0.0754369854295616</v>
      </c>
    </row>
    <row r="68" spans="1:2">
      <c r="A68" s="1" t="str">
        <f>'KZ Whole'!D83</f>
        <v>2017-07-01</v>
      </c>
      <c r="B68" s="2">
        <f>'KZ Whole'!E83</f>
        <v>0.0754369854295613</v>
      </c>
    </row>
    <row r="69" spans="1:2">
      <c r="A69" s="1" t="str">
        <f>'KZ Whole'!D84</f>
        <v>2017-08-01</v>
      </c>
      <c r="B69" s="2">
        <f>'KZ Whole'!E84</f>
        <v>0.0711566392188963</v>
      </c>
    </row>
    <row r="70" spans="1:2">
      <c r="A70" s="1" t="str">
        <f>'KZ Whole'!D85</f>
        <v>2017-09-01</v>
      </c>
      <c r="B70" s="2">
        <f>'KZ Whole'!E85</f>
        <v>0.0700876206168815</v>
      </c>
    </row>
    <row r="71" spans="1:2">
      <c r="A71" s="1" t="str">
        <f>'KZ Whole'!D86</f>
        <v>2017-10-01</v>
      </c>
      <c r="B71" s="2">
        <f>'KZ Whole'!E86</f>
        <v>0.071155572334064</v>
      </c>
    </row>
    <row r="72" spans="1:2">
      <c r="A72" s="1" t="str">
        <f>'KZ Whole'!D87</f>
        <v>2017-11-01</v>
      </c>
      <c r="B72" s="2">
        <f>'KZ Whole'!E87</f>
        <v>0.0775441741571299</v>
      </c>
    </row>
    <row r="73" spans="1:2">
      <c r="A73" s="1" t="str">
        <f>'KZ Whole'!D88</f>
        <v>2017-12-01</v>
      </c>
      <c r="B73" s="2">
        <f>'KZ Whole'!E88</f>
        <v>0.0743498732455969</v>
      </c>
    </row>
    <row r="74" spans="1:2">
      <c r="A74" s="1" t="str">
        <f>'KZ Whole'!D89</f>
        <v>2018-01-01</v>
      </c>
      <c r="B74" s="2">
        <f>'KZ Whole'!E89</f>
        <v>0.0722203393045751</v>
      </c>
    </row>
    <row r="75" spans="1:2">
      <c r="A75" s="1" t="str">
        <f>'KZ Whole'!D90</f>
        <v>2018-02-01</v>
      </c>
      <c r="B75" s="2">
        <f>'KZ Whole'!E90</f>
        <v>0.0700929179964309</v>
      </c>
    </row>
    <row r="76" spans="1:2">
      <c r="A76" s="1" t="str">
        <f>'KZ Whole'!D91</f>
        <v>2018-03-01</v>
      </c>
      <c r="B76" s="2">
        <f>'KZ Whole'!E91</f>
        <v>0.0669144241805999</v>
      </c>
    </row>
    <row r="77" spans="1:2">
      <c r="A77" s="1" t="str">
        <f>'KZ Whole'!D92</f>
        <v>2018-04-01</v>
      </c>
      <c r="B77" s="2">
        <f>'KZ Whole'!E92</f>
        <v>0.0669144241806001</v>
      </c>
    </row>
    <row r="78" spans="1:2">
      <c r="A78" s="1" t="str">
        <f>'KZ Whole'!D93</f>
        <v>2018-05-01</v>
      </c>
      <c r="B78" s="2">
        <f>'KZ Whole'!E93</f>
        <v>0.0658528177883806</v>
      </c>
    </row>
    <row r="79" spans="1:2">
      <c r="A79" s="1" t="str">
        <f>'KZ Whole'!D94</f>
        <v>2018-06-01</v>
      </c>
      <c r="B79" s="2">
        <f>'KZ Whole'!E94</f>
        <v>0.0626711675860272</v>
      </c>
    </row>
    <row r="80" spans="1:2">
      <c r="A80" s="1" t="str">
        <f>'KZ Whole'!D95</f>
        <v>2018-07-01</v>
      </c>
      <c r="B80" s="2">
        <f>'KZ Whole'!E95</f>
        <v>0.0605542927501981</v>
      </c>
    </row>
    <row r="81" spans="1:2">
      <c r="A81" s="1" t="str">
        <f>'KZ Whole'!D96</f>
        <v>2018-08-01</v>
      </c>
      <c r="B81" s="2">
        <f>'KZ Whole'!E96</f>
        <v>0.0605542927501985</v>
      </c>
    </row>
    <row r="82" spans="1:2">
      <c r="A82" s="1" t="str">
        <f>'KZ Whole'!D97</f>
        <v>2018-09-01</v>
      </c>
      <c r="B82" s="2">
        <f>'KZ Whole'!E97</f>
        <v>0.0616137875481506</v>
      </c>
    </row>
    <row r="83" spans="1:2">
      <c r="A83" s="1" t="str">
        <f>'KZ Whole'!D98</f>
        <v>2018-10-01</v>
      </c>
      <c r="B83" s="2">
        <f>'KZ Whole'!E98</f>
        <v>0.0626722260202828</v>
      </c>
    </row>
    <row r="84" spans="1:2">
      <c r="A84" s="1" t="str">
        <f>'KZ Whole'!D99</f>
        <v>2018-11-01</v>
      </c>
      <c r="B84" s="2">
        <f>'KZ Whole'!E99</f>
        <v>0.0542716550636007</v>
      </c>
    </row>
    <row r="85" spans="1:2">
      <c r="A85" s="1" t="str">
        <f>'KZ Whole'!D100</f>
        <v>2018-12-01</v>
      </c>
      <c r="B85" s="2">
        <f>'KZ Whole'!E100</f>
        <v>0.0542716550636009</v>
      </c>
    </row>
    <row r="86" spans="1:2">
      <c r="A86" s="1" t="str">
        <f>'KZ Whole'!D101</f>
        <v>2019-01-01</v>
      </c>
      <c r="B86" s="2">
        <f>'KZ Whole'!E101</f>
        <v>0.0542716550636009</v>
      </c>
    </row>
    <row r="87" spans="1:2">
      <c r="A87" s="1" t="str">
        <f>'KZ Whole'!D102</f>
        <v>2019-02-01</v>
      </c>
      <c r="B87" s="2">
        <f>'KZ Whole'!E102</f>
        <v>0.0532236713110523</v>
      </c>
    </row>
    <row r="88" spans="1:2">
      <c r="A88" s="1" t="str">
        <f>'KZ Whole'!D103</f>
        <v>2019-03-01</v>
      </c>
      <c r="B88" s="2">
        <f>'KZ Whole'!E103</f>
        <v>0.0490400618917428</v>
      </c>
    </row>
    <row r="89" spans="1:2">
      <c r="A89" s="1" t="str">
        <f>'KZ Whole'!D104</f>
        <v>2019-04-01</v>
      </c>
      <c r="B89" s="2">
        <f>'KZ Whole'!E104</f>
        <v>0.049040061891743</v>
      </c>
    </row>
    <row r="90" spans="1:2">
      <c r="A90" s="1" t="str">
        <f>'KZ Whole'!D105</f>
        <v>2019-05-01</v>
      </c>
      <c r="B90" s="2">
        <f>'KZ Whole'!E105</f>
        <v>0.0500849225111568</v>
      </c>
    </row>
    <row r="91" spans="1:2">
      <c r="A91" s="1" t="str">
        <f>'KZ Whole'!D106</f>
        <v>2019-06-01</v>
      </c>
      <c r="B91" s="2">
        <f>'KZ Whole'!E106</f>
        <v>0.0542768782896446</v>
      </c>
    </row>
    <row r="92" spans="1:2">
      <c r="A92" s="1" t="str">
        <f>'KZ Whole'!D107</f>
        <v>2019-07-01</v>
      </c>
      <c r="B92" s="2">
        <f>'KZ Whole'!E107</f>
        <v>0.0542768782896448</v>
      </c>
    </row>
    <row r="93" spans="1:2">
      <c r="A93" s="1" t="str">
        <f>'KZ Whole'!D108</f>
        <v>2019-08-01</v>
      </c>
      <c r="B93" s="2">
        <f>'KZ Whole'!E108</f>
        <v>0.0553301019442798</v>
      </c>
    </row>
    <row r="94" spans="1:2">
      <c r="A94" s="1" t="str">
        <f>'KZ Whole'!D109</f>
        <v>2019-09-01</v>
      </c>
      <c r="B94" s="2">
        <f>'KZ Whole'!E109</f>
        <v>0.05533010194428</v>
      </c>
    </row>
    <row r="95" spans="1:2">
      <c r="A95" s="1" t="str">
        <f>'KZ Whole'!D110</f>
        <v>2019-10-01</v>
      </c>
      <c r="B95" s="2">
        <f>'KZ Whole'!E110</f>
        <v>0.0542789763447336</v>
      </c>
    </row>
    <row r="96" spans="1:2">
      <c r="A96" s="1" t="str">
        <f>'KZ Whole'!D111</f>
        <v>2019-11-01</v>
      </c>
      <c r="B96" s="2">
        <f>'KZ Whole'!E111</f>
        <v>0.0563791336681294</v>
      </c>
    </row>
    <row r="97" spans="1:2">
      <c r="A97" s="1" t="str">
        <f>'KZ Whole'!D112</f>
        <v>2019-12-01</v>
      </c>
      <c r="B97" s="2">
        <f>'KZ Whole'!E112</f>
        <v>0.0542852206182418</v>
      </c>
    </row>
    <row r="98" spans="1:2">
      <c r="A98" s="1" t="str">
        <f>'KZ Whole'!D113</f>
        <v>2020-01-01</v>
      </c>
      <c r="B98" s="2">
        <f>'KZ Whole'!E113</f>
        <v>0.0542852206182423</v>
      </c>
    </row>
    <row r="99" spans="1:2">
      <c r="A99" s="1" t="str">
        <f>'KZ Whole'!D114</f>
        <v>2020-02-01</v>
      </c>
      <c r="B99" s="2">
        <f>'KZ Whole'!E114</f>
        <v>0.056383300659274</v>
      </c>
    </row>
    <row r="100" spans="1:2">
      <c r="A100" s="1" t="str">
        <f>'KZ Whole'!D115</f>
        <v>2020-03-01</v>
      </c>
      <c r="B100" s="2">
        <f>'KZ Whole'!E115</f>
        <v>0.0595429715485836</v>
      </c>
    </row>
    <row r="101" spans="1:2">
      <c r="A101" s="1" t="str">
        <f>'KZ Whole'!D116</f>
        <v>2020-04-01</v>
      </c>
      <c r="B101" s="2">
        <f>'KZ Whole'!E116</f>
        <v>0.0637600580025093</v>
      </c>
    </row>
    <row r="102" spans="1:2">
      <c r="A102" s="1" t="str">
        <f>'KZ Whole'!D117</f>
        <v>2020-05-01</v>
      </c>
      <c r="B102" s="2">
        <f>'KZ Whole'!E117</f>
        <v>0.0679939288801308</v>
      </c>
    </row>
    <row r="103" spans="1:2">
      <c r="A103" s="1" t="str">
        <f>'KZ Whole'!D118</f>
        <v>2020-06-01</v>
      </c>
      <c r="B103" s="2">
        <f>'KZ Whole'!E118</f>
        <v>0.0669323046963533</v>
      </c>
    </row>
    <row r="104" spans="1:2">
      <c r="A104" s="1" t="str">
        <f>'KZ Whole'!D119</f>
        <v>2020-07-01</v>
      </c>
      <c r="B104" s="2">
        <f>'KZ Whole'!E119</f>
        <v>0.0690619100949488</v>
      </c>
    </row>
    <row r="105" spans="1:2">
      <c r="A105" s="1" t="str">
        <f>'KZ Whole'!D120</f>
        <v>2020-08-01</v>
      </c>
      <c r="B105" s="2">
        <f>'KZ Whole'!E120</f>
        <v>0.0701288381489356</v>
      </c>
    </row>
    <row r="106" spans="1:2">
      <c r="A106" s="1" t="str">
        <f>'KZ Whole'!D121</f>
        <v>2020-09-01</v>
      </c>
      <c r="B106" s="2">
        <f>'KZ Whole'!E121</f>
        <v>0.0690608452964916</v>
      </c>
    </row>
    <row r="107" spans="1:2">
      <c r="A107" s="1" t="str">
        <f>'KZ Whole'!D122</f>
        <v>2020-10-01</v>
      </c>
      <c r="B107" s="2">
        <f>'KZ Whole'!E122</f>
        <v>0.0690608452964914</v>
      </c>
    </row>
    <row r="108" spans="1:2">
      <c r="A108" s="1" t="str">
        <f>'KZ Whole'!D123</f>
        <v>2020-11-01</v>
      </c>
      <c r="B108" s="2">
        <f>'KZ Whole'!E123</f>
        <v>0.0690608452964916</v>
      </c>
    </row>
    <row r="109" spans="1:2">
      <c r="A109" s="1" t="str">
        <f>'KZ Whole'!D124</f>
        <v>2020-12-01</v>
      </c>
      <c r="B109" s="2">
        <f>'KZ Whole'!E124</f>
        <v>0.0711841041749355</v>
      </c>
    </row>
    <row r="110" spans="1:2">
      <c r="A110" s="1" t="str">
        <f>'KZ Whole'!D125</f>
        <v>2021-01-01</v>
      </c>
      <c r="B110" s="2">
        <f>'KZ Whole'!E125</f>
        <v>0.0733115800521449</v>
      </c>
    </row>
    <row r="111" spans="1:2">
      <c r="A111" s="1" t="str">
        <f>'KZ Whole'!D126</f>
        <v>2021-02-01</v>
      </c>
      <c r="B111" s="2">
        <f>'KZ Whole'!E126</f>
        <v>0.0722457294264724</v>
      </c>
    </row>
    <row r="112" spans="1:2">
      <c r="A112" s="1" t="str">
        <f>'KZ Whole'!D127</f>
        <v>2021-03-01</v>
      </c>
      <c r="B112" s="2">
        <f>'KZ Whole'!E127</f>
        <v>0.0733115800521447</v>
      </c>
    </row>
    <row r="113" spans="1:2">
      <c r="A113" s="1" t="str">
        <f>'KZ Whole'!D128</f>
        <v>2021-04-01</v>
      </c>
      <c r="B113" s="2">
        <f>'KZ Whole'!E128</f>
        <v>0.070120366236331</v>
      </c>
    </row>
    <row r="114" spans="1:2">
      <c r="A114" s="1" t="str">
        <f>'KZ Whole'!D129</f>
        <v>2021-05-01</v>
      </c>
      <c r="B114" s="2">
        <f>'KZ Whole'!E129</f>
        <v>0.0701203662363308</v>
      </c>
    </row>
    <row r="115" spans="1:2">
      <c r="A115" s="1" t="str">
        <f>'KZ Whole'!D130</f>
        <v>2021-06-01</v>
      </c>
      <c r="B115" s="2">
        <f>'KZ Whole'!E130</f>
        <v>0.0722499590049599</v>
      </c>
    </row>
    <row r="116" spans="1:2">
      <c r="A116" s="1" t="str">
        <f>'KZ Whole'!D131</f>
        <v>2021-07-01</v>
      </c>
      <c r="B116" s="2">
        <f>'KZ Whole'!E131</f>
        <v>0.0797258053326839</v>
      </c>
    </row>
    <row r="117" spans="1:2">
      <c r="A117" s="1" t="str">
        <f>'KZ Whole'!D132</f>
        <v>2021-08-01</v>
      </c>
      <c r="B117" s="2">
        <f>'KZ Whole'!E132</f>
        <v>0.0840317905982184</v>
      </c>
    </row>
    <row r="118" spans="1:2">
      <c r="A118" s="1" t="str">
        <f>'KZ Whole'!D133</f>
        <v>2021-09-01</v>
      </c>
      <c r="B118" s="2">
        <f>'KZ Whole'!E133</f>
        <v>0.0883635859652441</v>
      </c>
    </row>
    <row r="119" spans="1:2">
      <c r="A119" s="1" t="str">
        <f>'KZ Whole'!D134</f>
        <v>2021-10-01</v>
      </c>
      <c r="B119" s="2">
        <f>'KZ Whole'!E134</f>
        <v>0.0894486942264257</v>
      </c>
    </row>
    <row r="120" spans="1:2">
      <c r="A120" s="1" t="str">
        <f>'KZ Whole'!D135</f>
        <v>2021-11-01</v>
      </c>
      <c r="B120" s="2">
        <f>'KZ Whole'!E135</f>
        <v>0.0905316452147233</v>
      </c>
    </row>
    <row r="121" spans="1:2">
      <c r="A121" s="1" t="str">
        <f>'KZ Whole'!D136</f>
        <v>2021-12-01</v>
      </c>
      <c r="B121" s="2">
        <f>'KZ Whole'!E136</f>
        <v>0.0883700364035933</v>
      </c>
    </row>
    <row r="122" spans="1:2">
      <c r="A122" s="1" t="str">
        <f>'KZ Whole'!D137</f>
        <v>2022-01-01</v>
      </c>
      <c r="B122" s="2">
        <f>'KZ Whole'!E137</f>
        <v>0.0851340501704807</v>
      </c>
    </row>
    <row r="123" spans="1:2">
      <c r="A123" s="1" t="str">
        <f>'KZ Whole'!D138</f>
        <v>2022-02-01</v>
      </c>
      <c r="B123" s="2">
        <f>'KZ Whole'!E138</f>
        <v>0.0862127122481851</v>
      </c>
    </row>
    <row r="124" spans="1:2">
      <c r="A124" s="1" t="str">
        <f>'KZ Whole'!D139</f>
        <v>2022-03-01</v>
      </c>
      <c r="B124" s="2">
        <f>'KZ Whole'!E139</f>
        <v>0.0872913743258892</v>
      </c>
    </row>
    <row r="125" spans="1:2">
      <c r="A125" s="1" t="str">
        <f>'KZ Whole'!D140</f>
        <v>2022-04-01</v>
      </c>
      <c r="B125" s="2">
        <f>'KZ Whole'!E140</f>
        <v>0.12079637691446</v>
      </c>
    </row>
    <row r="126" spans="1:2">
      <c r="A126" s="1" t="str">
        <f>'KZ Whole'!D141</f>
        <v>2022-05-01</v>
      </c>
      <c r="B126" s="2">
        <f>'KZ Whole'!E141</f>
        <v>0.133015167941278</v>
      </c>
    </row>
    <row r="127" spans="1:2">
      <c r="A127" s="1" t="str">
        <f>'KZ Whole'!D142</f>
        <v>2022-06-01</v>
      </c>
      <c r="B127" s="2">
        <f>'KZ Whole'!E142</f>
        <v>0.140891142296381</v>
      </c>
    </row>
    <row r="128" spans="1:2">
      <c r="A128" s="1" t="str">
        <f>'KZ Whole'!D143</f>
        <v>2022-07-01</v>
      </c>
      <c r="B128" s="2">
        <f>'KZ Whole'!E143</f>
        <v>0.146533531724158</v>
      </c>
    </row>
    <row r="129" spans="1:2">
      <c r="A129" s="1" t="str">
        <f>'KZ Whole'!D144</f>
        <v>2022-08-01</v>
      </c>
      <c r="B129" s="2">
        <f>'KZ Whole'!E144</f>
        <v>0.151087786070628</v>
      </c>
    </row>
    <row r="130" spans="1:2">
      <c r="A130" s="1" t="str">
        <f>'KZ Whole'!D145</f>
        <v>2022-09-01</v>
      </c>
      <c r="B130" s="2">
        <f>'KZ Whole'!E145</f>
        <v>0.161396034901111</v>
      </c>
    </row>
    <row r="131" spans="1:2">
      <c r="A131" s="1" t="str">
        <f>'KZ Whole'!D146</f>
        <v>2022-10-01</v>
      </c>
      <c r="B131" s="2">
        <f>'KZ Whole'!E146</f>
        <v>0.17759080032802</v>
      </c>
    </row>
    <row r="132" spans="1:2">
      <c r="A132" s="1" t="str">
        <f>'KZ Whole'!D147</f>
        <v>2022-11-01</v>
      </c>
      <c r="B132" s="2">
        <f>'KZ Whole'!E147</f>
        <v>0.188115445018141</v>
      </c>
    </row>
    <row r="133" spans="1:2">
      <c r="A133" s="1" t="str">
        <f>'KZ Whole'!D148</f>
        <v>2022-12-01</v>
      </c>
      <c r="B133" s="2">
        <f>'KZ Whole'!E148</f>
        <v>0.196374440167225</v>
      </c>
    </row>
    <row r="134" spans="1:2">
      <c r="A134" s="1" t="str">
        <f>'KZ Whole'!D149</f>
        <v>2023-01-01</v>
      </c>
      <c r="B134" s="2">
        <f>'KZ Whole'!E149</f>
        <v>0.203509874204007</v>
      </c>
    </row>
    <row r="135" spans="1:2">
      <c r="A135" s="1" t="str">
        <f>'KZ Whole'!D150</f>
        <v>2023-02-01</v>
      </c>
      <c r="B135" s="2">
        <f>'KZ Whole'!E150</f>
        <v>0.208290449672543</v>
      </c>
    </row>
    <row r="136" spans="1:2">
      <c r="A136" s="1" t="str">
        <f>'KZ Whole'!D151</f>
        <v>2023-03-01</v>
      </c>
      <c r="B136" s="2">
        <f>'KZ Whole'!E151</f>
        <v>0.214283953887188</v>
      </c>
    </row>
    <row r="137" spans="1:2">
      <c r="A137" s="1" t="str">
        <f>'KZ Whole'!D152</f>
        <v>2023-04-01</v>
      </c>
      <c r="B137" s="2">
        <f>'KZ Whole'!E152</f>
        <v>0.181497116173745</v>
      </c>
    </row>
    <row r="138" spans="1:2">
      <c r="A138" s="1" t="str">
        <f>'KZ Whole'!D153</f>
        <v>2023-05-01</v>
      </c>
      <c r="B138" s="2">
        <f>'KZ Whole'!E153</f>
        <v>0.168755480607165</v>
      </c>
    </row>
    <row r="139" spans="1:2">
      <c r="A139" s="1" t="str">
        <f>'KZ Whole'!D154</f>
        <v>2023-06-01</v>
      </c>
      <c r="B139" s="2">
        <f>'KZ Whole'!E154</f>
        <v>0.159534530069831</v>
      </c>
    </row>
    <row r="140" spans="1:2">
      <c r="A140" s="1" t="str">
        <f>'KZ Whole'!D155</f>
        <v>2023-07-01</v>
      </c>
      <c r="B140" s="2">
        <f>'KZ Whole'!E155</f>
        <v>0.146980514488366</v>
      </c>
    </row>
    <row r="141" spans="1:2">
      <c r="A141" s="1" t="str">
        <f>'KZ Whole'!D156</f>
        <v>2023-08-01</v>
      </c>
      <c r="B141" s="2">
        <f>'KZ Whole'!E156</f>
        <v>0.141308009471114</v>
      </c>
    </row>
    <row r="142" spans="1:2">
      <c r="A142" s="1" t="str">
        <f>'KZ Whole'!D157</f>
        <v>2023-09-01</v>
      </c>
      <c r="B142" s="2">
        <f>'KZ Whole'!E157</f>
        <v>0.133429157334726</v>
      </c>
    </row>
    <row r="143" spans="1:2">
      <c r="A143" s="1" t="str">
        <f>'KZ Whole'!D158</f>
        <v>2023-10-01</v>
      </c>
      <c r="B143" s="2">
        <f>'KZ Whole'!E158</f>
        <v>0.120068499291487</v>
      </c>
    </row>
    <row r="144" spans="1:2">
      <c r="A144" s="1" t="str">
        <f>'KZ Whole'!D159</f>
        <v>2023-11-01</v>
      </c>
      <c r="B144" s="2">
        <f>'KZ Whole'!E159</f>
        <v>0.110146632663905</v>
      </c>
    </row>
    <row r="145" spans="1:2">
      <c r="A145" s="1" t="str">
        <f>'KZ Whole'!D160</f>
        <v>2023-12-01</v>
      </c>
      <c r="B145" s="2">
        <f>'KZ Whole'!E160</f>
        <v>0.105767356006454</v>
      </c>
    </row>
    <row r="146" spans="1:2">
      <c r="A146" s="1" t="str">
        <f>'KZ Whole'!D161</f>
        <v>2024-01-01</v>
      </c>
      <c r="B146" s="2">
        <f>'KZ Whole'!E161</f>
        <v>0.101396734045954</v>
      </c>
    </row>
    <row r="147" spans="1:2">
      <c r="A147" s="1" t="str">
        <f>'KZ Whole'!D162</f>
        <v>2024-02-01</v>
      </c>
      <c r="B147" s="2">
        <f>'KZ Whole'!E162</f>
        <v>0.0981284944790524</v>
      </c>
    </row>
    <row r="148" spans="1:2">
      <c r="A148" s="1" t="str">
        <f>'KZ Whole'!D163</f>
        <v>2024-03-01</v>
      </c>
      <c r="B148" s="2">
        <f>'KZ Whole'!E163</f>
        <v>0.0959604224267736</v>
      </c>
    </row>
    <row r="149" spans="1:2">
      <c r="A149" s="1" t="str">
        <f>'KZ Whole'!D164</f>
        <v>2024-04-01</v>
      </c>
      <c r="B149" s="2">
        <f>'KZ Whole'!E164</f>
        <v>0.0937880529075927</v>
      </c>
    </row>
    <row r="150" spans="1:2">
      <c r="A150" s="1" t="str">
        <f>'KZ Whole'!D165</f>
        <v>2024-05-01</v>
      </c>
      <c r="B150" s="2">
        <f>'KZ Whole'!E165</f>
        <v>0.090535957606579</v>
      </c>
    </row>
    <row r="151" spans="1:2">
      <c r="A151" s="1" t="str">
        <f>'KZ Whole'!D166</f>
        <v>2024-06-01</v>
      </c>
      <c r="B151" s="2">
        <f>'KZ Whole'!E166</f>
        <v>0.0883678940725694</v>
      </c>
    </row>
    <row r="152" spans="1:2">
      <c r="A152" s="1" t="str">
        <f>'KZ Whole'!D167</f>
        <v>2024-07-01</v>
      </c>
      <c r="B152" s="2">
        <f>'KZ Whole'!E167</f>
        <v>0.0872849409441401</v>
      </c>
    </row>
    <row r="153" spans="1:2">
      <c r="A153" s="1" t="str">
        <f>'KZ Whole'!D168</f>
        <v>2024-08-01</v>
      </c>
      <c r="B153" s="2">
        <f>'KZ Whole'!E168</f>
        <v>0.0883657410842433</v>
      </c>
    </row>
    <row r="154" spans="1:2">
      <c r="A154" s="1" t="str">
        <f>'KZ Whole'!D169</f>
        <v>2024-09-01</v>
      </c>
      <c r="B154" s="2">
        <f>'KZ Whole'!E169</f>
        <v>0.0872849409441401</v>
      </c>
    </row>
    <row r="155" spans="1:2">
      <c r="A155" s="1" t="str">
        <f>'KZ Whole'!D170</f>
        <v>2024-10-01</v>
      </c>
      <c r="B155" s="2">
        <f>'KZ Whole'!E170</f>
        <v>0.0851233406639327</v>
      </c>
    </row>
    <row r="156" spans="1:2">
      <c r="A156" s="1" t="str">
        <f>'KZ Whole'!D171</f>
        <v>2024-11-01</v>
      </c>
      <c r="B156" s="2">
        <f>'KZ Whole'!E171</f>
        <v>0.0872785012213586</v>
      </c>
    </row>
    <row r="157" spans="1:2">
      <c r="A157" s="1" t="str">
        <f>'KZ Whole'!D172</f>
        <v>2024-12-01</v>
      </c>
      <c r="B157" s="2">
        <f>'KZ Whole'!E172</f>
        <v>0.0862019878538127</v>
      </c>
    </row>
    <row r="158" spans="1:2">
      <c r="A158" s="1" t="str">
        <f>'KZ Whole'!D173</f>
        <v>2025-01-01</v>
      </c>
      <c r="B158" s="2">
        <f>'KZ Whole'!E173</f>
        <v>0.0872795691909698</v>
      </c>
    </row>
    <row r="159" spans="1:2">
      <c r="A159" s="1" t="str">
        <f>'KZ Whole'!D174</f>
        <v>2025-02-01</v>
      </c>
      <c r="B159" s="2">
        <f>'KZ Whole'!E174</f>
        <v>0.0905155202897523</v>
      </c>
    </row>
    <row r="160" spans="1:2">
      <c r="A160" s="1" t="str">
        <f>'KZ Whole'!D175</f>
        <v>2025-03-01</v>
      </c>
      <c r="B160" s="2">
        <f>'KZ Whole'!E175</f>
        <v>0.0948301217547958</v>
      </c>
    </row>
    <row r="161" spans="1:2">
      <c r="A161" s="1" t="str">
        <f>'KZ Whole'!D176</f>
        <v>2025-04-01</v>
      </c>
      <c r="B161" s="2">
        <f>'KZ Whole'!E176</f>
        <v>0.101353439262768</v>
      </c>
    </row>
    <row r="162" spans="1:2">
      <c r="A162" s="1" t="str">
        <f>'KZ Whole'!D177</f>
        <v>2025-05-01</v>
      </c>
      <c r="B162" s="2">
        <f>'KZ Whole'!E177</f>
        <v>0.107922147648033</v>
      </c>
    </row>
    <row r="163" spans="1:2">
      <c r="A163" s="1" t="str">
        <f>'KZ Whole'!D178</f>
        <v>2025-06-01</v>
      </c>
      <c r="B163" s="2">
        <f>'KZ Whole'!E178</f>
        <v>0.11343968822397</v>
      </c>
    </row>
    <row r="164" spans="1:2">
      <c r="A164" s="1" t="str">
        <f>'KZ Whole'!D179</f>
        <v>2025-07-01</v>
      </c>
      <c r="B164" s="2">
        <f>'KZ Whole'!E179</f>
        <v>0.117875702918089</v>
      </c>
    </row>
    <row r="165" spans="1:2">
      <c r="A165" s="1" t="str">
        <f>'KZ Whole'!D180</f>
        <v>2025-08-01</v>
      </c>
      <c r="B165" s="2">
        <f>'KZ Whole'!E180</f>
        <v>0.117875702918089</v>
      </c>
    </row>
    <row r="166" spans="1:2">
      <c r="A166" s="1" t="str">
        <f>'KZ Whole'!D181</f>
        <v>2025-09-01</v>
      </c>
      <c r="B166" s="2">
        <f>'KZ Whole'!E181</f>
        <v>0.122320536726909</v>
      </c>
    </row>
    <row r="167" spans="1:2">
      <c r="A167" s="1" t="str">
        <f>'KZ Whole'!D182</f>
        <v>2025-10-01</v>
      </c>
      <c r="B167" s="2">
        <f>'KZ Whole'!E182</f>
        <v>0.130145480708072</v>
      </c>
    </row>
    <row r="168" spans="1:2">
      <c r="A168" s="1" t="str">
        <f>'KZ Whole'!D183</f>
        <v>2025-11-01</v>
      </c>
      <c r="B168" s="2">
        <f>'KZ Whole'!E183</f>
        <v>0.125665221121519</v>
      </c>
    </row>
    <row r="169" spans="1:2">
      <c r="A169" s="1" t="str">
        <f>'KZ Whole'!D184</f>
        <v>2025-12-01</v>
      </c>
      <c r="B169" s="2">
        <f>'KZ Whole'!E184</f>
        <v>0.124549596521795</v>
      </c>
    </row>
    <row r="170" spans="1:2">
      <c r="A170" s="1" t="str">
        <f>'KZ Whole'!D185</f>
        <v>2026-01-01</v>
      </c>
      <c r="B170" s="2">
        <f>'KZ Whole'!E185</f>
        <v>0.124549596521795</v>
      </c>
    </row>
    <row r="171" spans="1:2">
      <c r="A171" s="1" t="str">
        <f>'KZ Whole'!D186</f>
        <v>2026-02-01</v>
      </c>
      <c r="B171" s="2">
        <f>'KZ Whole'!E186</f>
        <v>0.123437282380824</v>
      </c>
    </row>
    <row r="172" spans="1:2">
      <c r="A172" s="1" t="str">
        <f>'KZ Whole'!D187</f>
        <v>2026-03-01</v>
      </c>
      <c r="B172" s="2">
        <f>'KZ Whole'!E187</f>
        <v>0.119009943336958</v>
      </c>
    </row>
    <row r="173" spans="1:2">
      <c r="A173" s="1" t="str">
        <f>'KZ Whole'!D188</f>
        <v>2026-04-01</v>
      </c>
      <c r="B173" s="2">
        <f>'KZ Whole'!E188</f>
        <v>0.111277396838085</v>
      </c>
    </row>
    <row r="174" spans="1:2">
      <c r="A174" s="1" t="str">
        <f>'KZ Whole'!D189</f>
        <v>2026-05-01</v>
      </c>
      <c r="B174" s="2">
        <f>'KZ Whole'!E189</f>
        <v>0.106884996060069</v>
      </c>
    </row>
    <row r="175" spans="1:2">
      <c r="A175" s="1" t="str">
        <f>'KZ Whole'!D190</f>
        <v>2026-06-01</v>
      </c>
      <c r="B175" s="2">
        <f>'KZ Whole'!E190</f>
        <v>0.104690972281952</v>
      </c>
    </row>
    <row r="176" spans="1:2">
      <c r="A176" s="1" t="str">
        <f>'KZ Whole'!D191</f>
        <v>2026-07-01</v>
      </c>
      <c r="B176" s="2">
        <f>'KZ Whole'!E191</f>
        <v>0.104690972281952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W3C Example Table</vt:lpstr>
      <vt:lpstr>KZ Whole</vt:lpstr>
      <vt:lpstr>Final Cleaned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Darkhan Mashirapov</cp:lastModifiedBy>
  <dcterms:created xsi:type="dcterms:W3CDTF">2026-08-20T17:37:26Z</dcterms:created>
  <dcterms:modified xsi:type="dcterms:W3CDTF">2026-08-25T14:40:36Z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1033-12.1.26050.26050</vt:lpwstr>
  </property>
  <property fmtid="{D5CDD505-2E9C-101B-9397-08002B2CF9AE}" pid="3" name="CalculationRule">
    <vt:i4>0</vt:i4>
  </property>
  <property fmtid="{D5CDD505-2E9C-101B-9397-08002B2CF9AE}" pid="4" name="ICV">
    <vt:lpwstr>355C20CACB84D6EC14638D6ACD3717A8_43</vt:lpwstr>
  </property>
</Properties>
</file>