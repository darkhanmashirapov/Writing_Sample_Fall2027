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1"/>
  </bookViews>
  <sheets>
    <sheet name="Sheet1" sheetId="1" r:id="rId1"/>
    <sheet name="Sheet4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<sst xmlns="http://schemas.openxmlformats.org/spreadsheetml/2006/main" count="19" uniqueCount="19">
  <si>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Historical inflation rates for Russia</t>
  </si>
  <si>
    <r>
      <rPr>
        <b/>
        <sz val="10.2"/>
        <color rgb="FF555555"/>
        <rFont val="Calibri"/>
        <charset val="134"/>
        <scheme val="minor"/>
      </rPr>
      <t>Updated</t>
    </r>
    <r>
      <rPr>
        <sz val="10.2"/>
        <color rgb="FF555555"/>
        <rFont val="Calibri"/>
        <charset val="134"/>
        <scheme val="minor"/>
      </rPr>
      <t>: August 1, 2026</t>
    </r>
  </si>
  <si>
    <r>
      <rPr>
        <b/>
        <sz val="9.6"/>
        <color rgb="FF737272"/>
        <rFont val="Calibri"/>
        <charset val="134"/>
        <scheme val="minor"/>
      </rPr>
      <t>Next update</t>
    </r>
    <r>
      <rPr>
        <sz val="9.6"/>
        <color rgb="FF737272"/>
        <rFont val="Calibri"/>
        <charset val="134"/>
        <scheme val="minor"/>
      </rPr>
      <t>: September 1, 2026</t>
    </r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</si>
  <si>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</si>
  <si>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</si>
  <si>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</si>
  <si>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</si>
  <si>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</si>
  <si>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</si>
  <si>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</si>
  <si>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</si>
  <si>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</si>
  <si>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</si>
  <si>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</si>
  <si>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</si>
  <si>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</si>
  <si>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</si>
  <si>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Date</t>
  </si>
  <si>
    <t>YoY Inflation Russia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</si>
</sst>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7">
    <font>
      <sz val="11"/>
      <color theme="1"/>
      <name val="Calibri"/>
      <charset val="134"/>
      <scheme val="minor"/>
    </font>
    <font>
      <b/>
      <sz val="14.4"/>
      <color theme="1"/>
      <name val="Calibri"/>
      <charset val="134"/>
      <scheme val="minor"/>
    </font>
    <font>
      <b/>
      <sz val="10.2"/>
      <color rgb="FF555555"/>
      <name val="Calibri"/>
      <charset val="134"/>
      <scheme val="minor"/>
    </font>
    <font>
      <b/>
      <sz val="9.6"/>
      <color rgb="FF737272"/>
      <name val="Calibri"/>
      <charset val="134"/>
      <scheme val="minor"/>
    </font>
    <font>
      <b/>
      <sz val="9.35"/>
      <color theme="1"/>
      <name val="Calibri"/>
      <charset val="134"/>
      <scheme val="minor"/>
    </font>
    <font>
      <sz val="9.3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.6"/>
      <color rgb="FF737272"/>
      <name val="Calibri"/>
      <charset val="134"/>
      <scheme val="minor"/>
    </font>
    <font>
      <sz val="10.2"/>
      <color rgb="FF555555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EEEEEE"/>
      </left>
      <right/>
      <top style="medium">
        <color rgb="FFEEEEEE"/>
      </top>
      <bottom/>
      <diagonal/>
    </border>
    <border>
      <left/>
      <right/>
      <top style="medium">
        <color rgb="FFEEEEEE"/>
      </top>
      <bottom/>
      <diagonal/>
    </border>
    <border>
      <left/>
      <right style="medium">
        <color rgb="FFEEEEEE"/>
      </right>
      <top style="medium">
        <color rgb="FFEEEEEE"/>
      </top>
      <bottom/>
      <diagonal/>
    </border>
    <border>
      <left style="medium">
        <color rgb="FFEEEEEE"/>
      </left>
      <right/>
      <top/>
      <bottom/>
      <diagonal/>
    </border>
    <border>
      <left style="medium">
        <color rgb="FFCCCCCC"/>
      </left>
      <right style="medium">
        <color rgb="FFEEEEEE"/>
      </right>
      <top/>
      <bottom/>
      <diagonal/>
    </border>
    <border>
      <left style="medium">
        <color rgb="FFEEEEEE"/>
      </left>
      <right/>
      <top/>
      <bottom style="medium">
        <color rgb="FFEEEEEE"/>
      </bottom>
      <diagonal/>
    </border>
    <border>
      <left/>
      <right/>
      <top/>
      <bottom style="medium">
        <color rgb="FFEEEEEE"/>
      </bottom>
      <diagonal/>
    </border>
    <border>
      <left style="medium">
        <color rgb="FFCCCCCC"/>
      </left>
      <right style="medium">
        <color rgb="FFEEEEEE"/>
      </right>
      <top/>
      <bottom style="medium">
        <color rgb="FFEEEE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178" fontId="0" fillId="0" borderId="0" xfId="0" applyNumberFormat="1">
      <alignment vertical="center"/>
    </xf>
    <xf numFmtId="10" fontId="0" fillId="0" borderId="0" xfId="3" applyNumberFormat="1">
      <alignment vertical="center"/>
    </xf>
    <xf numFmtId="58" fontId="0" fillId="0" borderId="0" xfId="0" applyNumberForma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0" fontId="5" fillId="2" borderId="0" xfId="0" applyNumberFormat="1" applyFont="1" applyFill="1" applyAlignment="1">
      <alignment horizontal="center" vertical="center" wrapText="1"/>
    </xf>
    <xf numFmtId="10" fontId="5" fillId="2" borderId="5" xfId="0" applyNumberFormat="1" applyFont="1" applyFill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0" fontId="5" fillId="2" borderId="7" xfId="0" applyNumberFormat="1" applyFont="1" applyFill="1" applyBorder="1" applyAlignment="1">
      <alignment horizontal="center" vertical="center" wrapText="1"/>
    </xf>
    <xf numFmtId="10" fontId="5" fillId="2" borderId="8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topLeftCell="A23" workbookViewId="0">
      <selection activeCell="K35" sqref="K35"/>
    </sheetView>
  </sheetViews>
  <sheetFormatPr defaultColWidth="9" defaultRowHeight="16.8"/>
  <sheetData>
    <row r="1" ht="20.8" spans="1:1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17.55" spans="1:1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5">
      <c r="A4" s="7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9" t="s">
        <v>16</v>
      </c>
      <c r="O4" s="10"/>
    </row>
    <row r="5" spans="1:15">
      <c r="A5" s="11">
        <v>2026</v>
      </c>
      <c r="B5" s="12">
        <v>0.06</v>
      </c>
      <c r="C5" s="12">
        <v>0.051</v>
      </c>
      <c r="D5" s="12">
        <v>0.059</v>
      </c>
      <c r="E5" s="12">
        <v>0.056</v>
      </c>
      <c r="F5" s="12">
        <v>0.054</v>
      </c>
      <c r="G5" s="12">
        <v>0.06</v>
      </c>
      <c r="H5" s="13"/>
      <c r="I5" s="13"/>
      <c r="J5" s="13"/>
      <c r="K5" s="13"/>
      <c r="L5" s="13"/>
      <c r="M5" s="13"/>
      <c r="N5" s="14"/>
      <c r="O5" s="10"/>
    </row>
    <row r="6" spans="1:15">
      <c r="A6" s="15">
        <v>2025</v>
      </c>
      <c r="B6" s="16">
        <v>0.1</v>
      </c>
      <c r="C6" s="16">
        <v>0.1</v>
      </c>
      <c r="D6" s="16">
        <v>0.103</v>
      </c>
      <c r="E6" s="16">
        <v>0.103</v>
      </c>
      <c r="F6" s="16">
        <v>0.099</v>
      </c>
      <c r="G6" s="16">
        <v>0.094</v>
      </c>
      <c r="H6" s="16">
        <v>0.088</v>
      </c>
      <c r="I6" s="16">
        <v>0.081</v>
      </c>
      <c r="J6" s="16">
        <v>0.08</v>
      </c>
      <c r="K6" s="16">
        <v>0.078</v>
      </c>
      <c r="L6" s="16">
        <v>0.066</v>
      </c>
      <c r="M6" s="16">
        <v>0.056</v>
      </c>
      <c r="N6" s="17">
        <v>0.087</v>
      </c>
      <c r="O6" s="10"/>
    </row>
    <row r="7" spans="1:15">
      <c r="A7" s="11">
        <v>2024</v>
      </c>
      <c r="B7" s="12">
        <v>0.074</v>
      </c>
      <c r="C7" s="12">
        <v>0.077</v>
      </c>
      <c r="D7" s="12">
        <v>0.077</v>
      </c>
      <c r="E7" s="12">
        <v>0.078</v>
      </c>
      <c r="F7" s="12">
        <v>0.083</v>
      </c>
      <c r="G7" s="12">
        <v>0.087</v>
      </c>
      <c r="H7" s="12">
        <v>0.092</v>
      </c>
      <c r="I7" s="12">
        <v>0.091</v>
      </c>
      <c r="J7" s="12">
        <v>0.086</v>
      </c>
      <c r="K7" s="12">
        <v>0.085</v>
      </c>
      <c r="L7" s="12">
        <v>0.089</v>
      </c>
      <c r="M7" s="12">
        <v>0.095</v>
      </c>
      <c r="N7" s="18">
        <v>0.085</v>
      </c>
      <c r="O7" s="10"/>
    </row>
    <row r="8" spans="1:15">
      <c r="A8" s="15">
        <v>2023</v>
      </c>
      <c r="B8" s="16">
        <v>0.118</v>
      </c>
      <c r="C8" s="16">
        <v>0.11</v>
      </c>
      <c r="D8" s="16">
        <v>0.035</v>
      </c>
      <c r="E8" s="16">
        <v>0.023</v>
      </c>
      <c r="F8" s="16">
        <v>0.025</v>
      </c>
      <c r="G8" s="16">
        <v>0.032</v>
      </c>
      <c r="H8" s="16">
        <v>0.042</v>
      </c>
      <c r="I8" s="16">
        <v>0.052</v>
      </c>
      <c r="J8" s="16">
        <v>0.06</v>
      </c>
      <c r="K8" s="16">
        <v>0.067</v>
      </c>
      <c r="L8" s="16">
        <v>0.075</v>
      </c>
      <c r="M8" s="16">
        <v>0.074</v>
      </c>
      <c r="N8" s="17">
        <v>0.059</v>
      </c>
      <c r="O8" s="10"/>
    </row>
    <row r="9" spans="1:15">
      <c r="A9" s="11">
        <v>2022</v>
      </c>
      <c r="B9" s="12">
        <v>0.087</v>
      </c>
      <c r="C9" s="12">
        <v>0.092</v>
      </c>
      <c r="D9" s="12">
        <v>0.167</v>
      </c>
      <c r="E9" s="12">
        <v>0.179</v>
      </c>
      <c r="F9" s="12">
        <v>0.171</v>
      </c>
      <c r="G9" s="12">
        <v>0.159</v>
      </c>
      <c r="H9" s="12">
        <v>0.151</v>
      </c>
      <c r="I9" s="12">
        <v>0.143</v>
      </c>
      <c r="J9" s="12">
        <v>0.136</v>
      </c>
      <c r="K9" s="12">
        <v>0.126</v>
      </c>
      <c r="L9" s="12">
        <v>0.119</v>
      </c>
      <c r="M9" s="12">
        <v>0.119</v>
      </c>
      <c r="N9" s="18">
        <v>0.137</v>
      </c>
      <c r="O9" s="10"/>
    </row>
    <row r="10" spans="1:15">
      <c r="A10" s="15">
        <v>2021</v>
      </c>
      <c r="B10" s="16">
        <v>0.052</v>
      </c>
      <c r="C10" s="16">
        <v>0.057</v>
      </c>
      <c r="D10" s="16">
        <v>0.058</v>
      </c>
      <c r="E10" s="16">
        <v>0.055</v>
      </c>
      <c r="F10" s="16">
        <v>0.06</v>
      </c>
      <c r="G10" s="16">
        <v>0.065</v>
      </c>
      <c r="H10" s="16">
        <v>0.065</v>
      </c>
      <c r="I10" s="16">
        <v>0.067</v>
      </c>
      <c r="J10" s="16">
        <v>0.074</v>
      </c>
      <c r="K10" s="16">
        <v>0.081</v>
      </c>
      <c r="L10" s="16">
        <v>0.084</v>
      </c>
      <c r="M10" s="16">
        <v>0.084</v>
      </c>
      <c r="N10" s="17">
        <v>0.067</v>
      </c>
      <c r="O10" s="10"/>
    </row>
    <row r="11" spans="1:15">
      <c r="A11" s="11">
        <v>2020</v>
      </c>
      <c r="B11" s="12">
        <v>0.024</v>
      </c>
      <c r="C11" s="12">
        <v>0.023</v>
      </c>
      <c r="D11" s="12">
        <v>0.025</v>
      </c>
      <c r="E11" s="12">
        <v>0.031</v>
      </c>
      <c r="F11" s="12">
        <v>0.03</v>
      </c>
      <c r="G11" s="12">
        <v>0.032</v>
      </c>
      <c r="H11" s="12">
        <v>0.034</v>
      </c>
      <c r="I11" s="12">
        <v>0.036</v>
      </c>
      <c r="J11" s="12">
        <v>0.037</v>
      </c>
      <c r="K11" s="12">
        <v>0.04</v>
      </c>
      <c r="L11" s="12">
        <v>0.044</v>
      </c>
      <c r="M11" s="12">
        <v>0.049</v>
      </c>
      <c r="N11" s="18">
        <v>0.034</v>
      </c>
    </row>
    <row r="12" spans="1:15">
      <c r="A12" s="15">
        <v>2019</v>
      </c>
      <c r="B12" s="16">
        <v>0.05</v>
      </c>
      <c r="C12" s="16">
        <v>0.052</v>
      </c>
      <c r="D12" s="16">
        <v>0.053</v>
      </c>
      <c r="E12" s="16">
        <v>0.052</v>
      </c>
      <c r="F12" s="16">
        <v>0.051</v>
      </c>
      <c r="G12" s="16">
        <v>0.047</v>
      </c>
      <c r="H12" s="16">
        <v>0.046</v>
      </c>
      <c r="I12" s="16">
        <v>0.043</v>
      </c>
      <c r="J12" s="16">
        <v>0.04</v>
      </c>
      <c r="K12" s="16">
        <v>0.038</v>
      </c>
      <c r="L12" s="16">
        <v>0.035</v>
      </c>
      <c r="M12" s="16">
        <v>0.03</v>
      </c>
      <c r="N12" s="17">
        <v>0.045</v>
      </c>
    </row>
    <row r="13" spans="1:15">
      <c r="A13" s="11">
        <v>2018</v>
      </c>
      <c r="B13" s="12">
        <v>0.022</v>
      </c>
      <c r="C13" s="12">
        <v>0.022</v>
      </c>
      <c r="D13" s="12">
        <v>0.024</v>
      </c>
      <c r="E13" s="12">
        <v>0.024</v>
      </c>
      <c r="F13" s="12">
        <v>0.024</v>
      </c>
      <c r="G13" s="12">
        <v>0.023</v>
      </c>
      <c r="H13" s="12">
        <v>0.025</v>
      </c>
      <c r="I13" s="12">
        <v>0.031</v>
      </c>
      <c r="J13" s="12">
        <v>0.034</v>
      </c>
      <c r="K13" s="12">
        <v>0.035</v>
      </c>
      <c r="L13" s="12">
        <v>0.038</v>
      </c>
      <c r="M13" s="12">
        <v>0.043</v>
      </c>
      <c r="N13" s="18">
        <v>0.029</v>
      </c>
    </row>
    <row r="14" spans="1:15">
      <c r="A14" s="15">
        <v>2017</v>
      </c>
      <c r="B14" s="16">
        <v>0.05</v>
      </c>
      <c r="C14" s="16">
        <v>0.046</v>
      </c>
      <c r="D14" s="16">
        <v>0.043</v>
      </c>
      <c r="E14" s="16">
        <v>0.041</v>
      </c>
      <c r="F14" s="16">
        <v>0.041</v>
      </c>
      <c r="G14" s="16">
        <v>0.043</v>
      </c>
      <c r="H14" s="16">
        <v>0.039</v>
      </c>
      <c r="I14" s="16">
        <v>0.033</v>
      </c>
      <c r="J14" s="16">
        <v>0.03</v>
      </c>
      <c r="K14" s="16">
        <v>0.027</v>
      </c>
      <c r="L14" s="16">
        <v>0.025</v>
      </c>
      <c r="M14" s="16">
        <v>0.025</v>
      </c>
      <c r="N14" s="17">
        <v>0.037</v>
      </c>
    </row>
    <row r="15" spans="1:15">
      <c r="A15" s="11">
        <v>2016</v>
      </c>
      <c r="B15" s="12">
        <v>0.098</v>
      </c>
      <c r="C15" s="12">
        <v>0.081</v>
      </c>
      <c r="D15" s="12">
        <v>0.073</v>
      </c>
      <c r="E15" s="12">
        <v>0.072</v>
      </c>
      <c r="F15" s="12">
        <v>0.073</v>
      </c>
      <c r="G15" s="12">
        <v>0.075</v>
      </c>
      <c r="H15" s="12">
        <v>0.072</v>
      </c>
      <c r="I15" s="12">
        <v>0.068</v>
      </c>
      <c r="J15" s="12">
        <v>0.064</v>
      </c>
      <c r="K15" s="12">
        <v>0.061</v>
      </c>
      <c r="L15" s="12">
        <v>0.058</v>
      </c>
      <c r="M15" s="12">
        <v>0.054</v>
      </c>
      <c r="N15" s="18">
        <v>0.07</v>
      </c>
    </row>
    <row r="16" spans="1:15">
      <c r="A16" s="15">
        <v>2015</v>
      </c>
      <c r="B16" s="16">
        <v>0.15</v>
      </c>
      <c r="C16" s="16">
        <v>0.167</v>
      </c>
      <c r="D16" s="16">
        <v>0.169</v>
      </c>
      <c r="E16" s="16">
        <v>0.164</v>
      </c>
      <c r="F16" s="16">
        <v>0.158</v>
      </c>
      <c r="G16" s="16">
        <v>0.153</v>
      </c>
      <c r="H16" s="16">
        <v>0.156</v>
      </c>
      <c r="I16" s="16">
        <v>0.158</v>
      </c>
      <c r="J16" s="16">
        <v>0.157</v>
      </c>
      <c r="K16" s="16">
        <v>0.156</v>
      </c>
      <c r="L16" s="16">
        <v>0.15</v>
      </c>
      <c r="M16" s="16">
        <v>0.129</v>
      </c>
      <c r="N16" s="17">
        <v>0.155</v>
      </c>
    </row>
    <row r="17" spans="1:14">
      <c r="A17" s="11">
        <v>2014</v>
      </c>
      <c r="B17" s="12">
        <v>0.061</v>
      </c>
      <c r="C17" s="12">
        <v>0.062</v>
      </c>
      <c r="D17" s="12">
        <v>0.069</v>
      </c>
      <c r="E17" s="12">
        <v>0.073</v>
      </c>
      <c r="F17" s="12">
        <v>0.076</v>
      </c>
      <c r="G17" s="12">
        <v>0.078</v>
      </c>
      <c r="H17" s="12">
        <v>0.074</v>
      </c>
      <c r="I17" s="12">
        <v>0.076</v>
      </c>
      <c r="J17" s="12">
        <v>0.08</v>
      </c>
      <c r="K17" s="12">
        <v>0.083</v>
      </c>
      <c r="L17" s="12">
        <v>0.091</v>
      </c>
      <c r="M17" s="12">
        <v>0.114</v>
      </c>
      <c r="N17" s="18">
        <v>0.078</v>
      </c>
    </row>
    <row r="18" spans="1:14">
      <c r="A18" s="15">
        <v>2013</v>
      </c>
      <c r="B18" s="16">
        <v>0.071</v>
      </c>
      <c r="C18" s="16">
        <v>0.073</v>
      </c>
      <c r="D18" s="16">
        <v>0.07</v>
      </c>
      <c r="E18" s="16">
        <v>0.072</v>
      </c>
      <c r="F18" s="16">
        <v>0.074</v>
      </c>
      <c r="G18" s="16">
        <v>0.069</v>
      </c>
      <c r="H18" s="16">
        <v>0.065</v>
      </c>
      <c r="I18" s="16">
        <v>0.065</v>
      </c>
      <c r="J18" s="16">
        <v>0.061</v>
      </c>
      <c r="K18" s="16">
        <v>0.063</v>
      </c>
      <c r="L18" s="16">
        <v>0.065</v>
      </c>
      <c r="M18" s="16">
        <v>0.064</v>
      </c>
      <c r="N18" s="17">
        <v>0.068</v>
      </c>
    </row>
    <row r="19" spans="1:14">
      <c r="A19" s="11">
        <v>2012</v>
      </c>
      <c r="B19" s="12">
        <v>0.042</v>
      </c>
      <c r="C19" s="12">
        <v>0.037</v>
      </c>
      <c r="D19" s="12">
        <v>0.037</v>
      </c>
      <c r="E19" s="12">
        <v>0.036</v>
      </c>
      <c r="F19" s="12">
        <v>0.036</v>
      </c>
      <c r="G19" s="12">
        <v>0.043</v>
      </c>
      <c r="H19" s="12">
        <v>0.056</v>
      </c>
      <c r="I19" s="12">
        <v>0.06</v>
      </c>
      <c r="J19" s="12">
        <v>0.066</v>
      </c>
      <c r="K19" s="12">
        <v>0.066</v>
      </c>
      <c r="L19" s="12">
        <v>0.065</v>
      </c>
      <c r="M19" s="12">
        <v>0.066</v>
      </c>
      <c r="N19" s="18">
        <v>0.051</v>
      </c>
    </row>
    <row r="20" spans="1:14">
      <c r="A20" s="15">
        <v>2011</v>
      </c>
      <c r="B20" s="16">
        <v>0.096</v>
      </c>
      <c r="C20" s="16">
        <v>0.095</v>
      </c>
      <c r="D20" s="16">
        <v>0.095</v>
      </c>
      <c r="E20" s="16">
        <v>0.096</v>
      </c>
      <c r="F20" s="16">
        <v>0.096</v>
      </c>
      <c r="G20" s="16">
        <v>0.094</v>
      </c>
      <c r="H20" s="16">
        <v>0.09</v>
      </c>
      <c r="I20" s="16">
        <v>0.082</v>
      </c>
      <c r="J20" s="16">
        <v>0.072</v>
      </c>
      <c r="K20" s="16">
        <v>0.072</v>
      </c>
      <c r="L20" s="16">
        <v>0.068</v>
      </c>
      <c r="M20" s="16">
        <v>0.061</v>
      </c>
      <c r="N20" s="17">
        <v>0.084</v>
      </c>
    </row>
    <row r="21" spans="1:14">
      <c r="A21" s="11">
        <v>2010</v>
      </c>
      <c r="B21" s="12">
        <v>0.08</v>
      </c>
      <c r="C21" s="12">
        <v>0.072</v>
      </c>
      <c r="D21" s="12">
        <v>0.065</v>
      </c>
      <c r="E21" s="12">
        <v>0.06</v>
      </c>
      <c r="F21" s="12">
        <v>0.06</v>
      </c>
      <c r="G21" s="12">
        <v>0.057</v>
      </c>
      <c r="H21" s="12">
        <v>0.055</v>
      </c>
      <c r="I21" s="12">
        <v>0.06</v>
      </c>
      <c r="J21" s="12">
        <v>0.07</v>
      </c>
      <c r="K21" s="12">
        <v>0.075</v>
      </c>
      <c r="L21" s="12">
        <v>0.081</v>
      </c>
      <c r="M21" s="12">
        <v>0.088</v>
      </c>
      <c r="N21" s="18">
        <v>0.068</v>
      </c>
    </row>
    <row r="22" spans="1:14">
      <c r="A22" s="15">
        <v>2009</v>
      </c>
      <c r="B22" s="16">
        <v>0.133</v>
      </c>
      <c r="C22" s="16">
        <v>0.138</v>
      </c>
      <c r="D22" s="16">
        <v>0.14</v>
      </c>
      <c r="E22" s="16">
        <v>0.132</v>
      </c>
      <c r="F22" s="16">
        <v>0.123</v>
      </c>
      <c r="G22" s="16">
        <v>0.119</v>
      </c>
      <c r="H22" s="16">
        <v>0.12</v>
      </c>
      <c r="I22" s="16">
        <v>0.116</v>
      </c>
      <c r="J22" s="16">
        <v>0.107</v>
      </c>
      <c r="K22" s="16">
        <v>0.097</v>
      </c>
      <c r="L22" s="16">
        <v>0.091</v>
      </c>
      <c r="M22" s="16">
        <v>0.088</v>
      </c>
      <c r="N22" s="17">
        <v>0.116</v>
      </c>
    </row>
    <row r="23" spans="1:14">
      <c r="A23" s="11">
        <v>2008</v>
      </c>
      <c r="B23" s="12">
        <v>0.126</v>
      </c>
      <c r="C23" s="12">
        <v>0.127</v>
      </c>
      <c r="D23" s="12">
        <v>0.134</v>
      </c>
      <c r="E23" s="12">
        <v>0.143</v>
      </c>
      <c r="F23" s="12">
        <v>0.151</v>
      </c>
      <c r="G23" s="12">
        <v>0.152</v>
      </c>
      <c r="H23" s="12">
        <v>0.147</v>
      </c>
      <c r="I23" s="12">
        <v>0.15</v>
      </c>
      <c r="J23" s="12">
        <v>0.151</v>
      </c>
      <c r="K23" s="12">
        <v>0.142</v>
      </c>
      <c r="L23" s="12">
        <v>0.138</v>
      </c>
      <c r="M23" s="12">
        <v>0.133</v>
      </c>
      <c r="N23" s="18">
        <v>0.141</v>
      </c>
    </row>
    <row r="24" spans="1:14">
      <c r="A24" s="15">
        <v>2007</v>
      </c>
      <c r="B24" s="16">
        <v>0.082</v>
      </c>
      <c r="C24" s="16">
        <v>0.076</v>
      </c>
      <c r="D24" s="16">
        <v>0.074</v>
      </c>
      <c r="E24" s="16">
        <v>0.076</v>
      </c>
      <c r="F24" s="16">
        <v>0.078</v>
      </c>
      <c r="G24" s="16">
        <v>0.085</v>
      </c>
      <c r="H24" s="16">
        <v>0.087</v>
      </c>
      <c r="I24" s="16">
        <v>0.086</v>
      </c>
      <c r="J24" s="16">
        <v>0.094</v>
      </c>
      <c r="K24" s="16">
        <v>0.108</v>
      </c>
      <c r="L24" s="16">
        <v>0.115</v>
      </c>
      <c r="M24" s="16">
        <v>0.119</v>
      </c>
      <c r="N24" s="17">
        <v>0.09</v>
      </c>
    </row>
    <row r="25" spans="1:14">
      <c r="A25" s="11">
        <v>2006</v>
      </c>
      <c r="B25" s="12">
        <v>0.107</v>
      </c>
      <c r="C25" s="12">
        <v>0.112</v>
      </c>
      <c r="D25" s="12">
        <v>0.106</v>
      </c>
      <c r="E25" s="12">
        <v>0.098</v>
      </c>
      <c r="F25" s="12">
        <v>0.094</v>
      </c>
      <c r="G25" s="12">
        <v>0.09</v>
      </c>
      <c r="H25" s="12">
        <v>0.092</v>
      </c>
      <c r="I25" s="12">
        <v>0.096</v>
      </c>
      <c r="J25" s="12">
        <v>0.094</v>
      </c>
      <c r="K25" s="12">
        <v>0.091</v>
      </c>
      <c r="L25" s="12">
        <v>0.09</v>
      </c>
      <c r="M25" s="12">
        <v>0.09</v>
      </c>
      <c r="N25" s="18">
        <v>0.097</v>
      </c>
    </row>
    <row r="26" spans="1:14">
      <c r="A26" s="15">
        <v>2005</v>
      </c>
      <c r="B26" s="16">
        <v>0.127</v>
      </c>
      <c r="C26" s="16">
        <v>0.13</v>
      </c>
      <c r="D26" s="16">
        <v>0.136</v>
      </c>
      <c r="E26" s="16">
        <v>0.138</v>
      </c>
      <c r="F26" s="16">
        <v>0.138</v>
      </c>
      <c r="G26" s="16">
        <v>0.137</v>
      </c>
      <c r="H26" s="16">
        <v>0.132</v>
      </c>
      <c r="I26" s="16">
        <v>0.125</v>
      </c>
      <c r="J26" s="16">
        <v>0.123</v>
      </c>
      <c r="K26" s="16">
        <v>0.117</v>
      </c>
      <c r="L26" s="16">
        <v>0.113</v>
      </c>
      <c r="M26" s="16">
        <v>0.109</v>
      </c>
      <c r="N26" s="17">
        <v>0.127</v>
      </c>
    </row>
    <row r="27" spans="1:14">
      <c r="A27" s="11">
        <v>2004</v>
      </c>
      <c r="B27" s="12">
        <v>0.113</v>
      </c>
      <c r="C27" s="12">
        <v>0.106</v>
      </c>
      <c r="D27" s="12">
        <v>0.103</v>
      </c>
      <c r="E27" s="12">
        <v>0.102</v>
      </c>
      <c r="F27" s="12">
        <v>0.102</v>
      </c>
      <c r="G27" s="12">
        <v>0.101</v>
      </c>
      <c r="H27" s="12">
        <v>0.104</v>
      </c>
      <c r="I27" s="12">
        <v>0.113</v>
      </c>
      <c r="J27" s="12">
        <v>0.114</v>
      </c>
      <c r="K27" s="12">
        <v>0.115</v>
      </c>
      <c r="L27" s="12">
        <v>0.117</v>
      </c>
      <c r="M27" s="12">
        <v>0.117</v>
      </c>
      <c r="N27" s="18">
        <v>0.109</v>
      </c>
    </row>
    <row r="28" spans="1:14">
      <c r="A28" s="15">
        <v>2003</v>
      </c>
      <c r="B28" s="16">
        <v>0.143</v>
      </c>
      <c r="C28" s="16">
        <v>0.148</v>
      </c>
      <c r="D28" s="16">
        <v>0.148</v>
      </c>
      <c r="E28" s="16">
        <v>0.146</v>
      </c>
      <c r="F28" s="16">
        <v>0.136</v>
      </c>
      <c r="G28" s="16">
        <v>0.139</v>
      </c>
      <c r="H28" s="16">
        <v>0.139</v>
      </c>
      <c r="I28" s="16">
        <v>0.134</v>
      </c>
      <c r="J28" s="16">
        <v>0.133</v>
      </c>
      <c r="K28" s="16">
        <v>0.132</v>
      </c>
      <c r="L28" s="16">
        <v>0.125</v>
      </c>
      <c r="M28" s="16">
        <v>0.12</v>
      </c>
      <c r="N28" s="17">
        <v>0.137</v>
      </c>
    </row>
    <row r="29" spans="1:14">
      <c r="A29" s="11">
        <v>2002</v>
      </c>
      <c r="B29" s="12">
        <v>0.19</v>
      </c>
      <c r="C29" s="12">
        <v>0.177</v>
      </c>
      <c r="D29" s="12">
        <v>0.168</v>
      </c>
      <c r="E29" s="12">
        <v>0.161</v>
      </c>
      <c r="F29" s="12">
        <v>0.159</v>
      </c>
      <c r="G29" s="12">
        <v>0.147</v>
      </c>
      <c r="H29" s="12">
        <v>0.15</v>
      </c>
      <c r="I29" s="12">
        <v>0.151</v>
      </c>
      <c r="J29" s="12">
        <v>0.149</v>
      </c>
      <c r="K29" s="12">
        <v>0.149</v>
      </c>
      <c r="L29" s="12">
        <v>0.151</v>
      </c>
      <c r="M29" s="12">
        <v>0.151</v>
      </c>
      <c r="N29" s="18">
        <v>0.158</v>
      </c>
    </row>
    <row r="30" spans="1:14">
      <c r="A30" s="15">
        <v>2001</v>
      </c>
      <c r="B30" s="16">
        <v>0.207</v>
      </c>
      <c r="C30" s="16">
        <v>0.222</v>
      </c>
      <c r="D30" s="16">
        <v>0.237</v>
      </c>
      <c r="E30" s="16">
        <v>0.248</v>
      </c>
      <c r="F30" s="16">
        <v>0.248</v>
      </c>
      <c r="G30" s="16">
        <v>0.237</v>
      </c>
      <c r="H30" s="16">
        <v>0.22</v>
      </c>
      <c r="I30" s="16">
        <v>0.209</v>
      </c>
      <c r="J30" s="16">
        <v>0.2</v>
      </c>
      <c r="K30" s="16">
        <v>0.188</v>
      </c>
      <c r="L30" s="16">
        <v>0.186</v>
      </c>
      <c r="M30" s="16">
        <v>0.186</v>
      </c>
      <c r="N30" s="17">
        <v>0.215</v>
      </c>
    </row>
    <row r="31" spans="1:14">
      <c r="A31" s="11">
        <v>2000</v>
      </c>
      <c r="B31" s="12">
        <v>0.289</v>
      </c>
      <c r="C31" s="12">
        <v>0.251</v>
      </c>
      <c r="D31" s="12">
        <v>0.225</v>
      </c>
      <c r="E31" s="12">
        <v>0.199</v>
      </c>
      <c r="F31" s="12">
        <v>0.194</v>
      </c>
      <c r="G31" s="12">
        <v>0.201</v>
      </c>
      <c r="H31" s="12">
        <v>0.189</v>
      </c>
      <c r="I31" s="12">
        <v>0.187</v>
      </c>
      <c r="J31" s="12">
        <v>0.186</v>
      </c>
      <c r="K31" s="12">
        <v>0.194</v>
      </c>
      <c r="L31" s="12">
        <v>0.197</v>
      </c>
      <c r="M31" s="12">
        <v>0.202</v>
      </c>
      <c r="N31" s="18">
        <v>0.208</v>
      </c>
    </row>
    <row r="32" spans="1:14">
      <c r="A32" s="15">
        <v>1999</v>
      </c>
      <c r="B32" s="16">
        <v>0.97</v>
      </c>
      <c r="C32" s="16">
        <v>1.034</v>
      </c>
      <c r="D32" s="16">
        <v>1.075</v>
      </c>
      <c r="E32" s="16">
        <v>1.131</v>
      </c>
      <c r="F32" s="16">
        <v>1.167</v>
      </c>
      <c r="G32" s="16">
        <v>1.206</v>
      </c>
      <c r="H32" s="16">
        <v>1.264</v>
      </c>
      <c r="I32" s="16">
        <v>1.21</v>
      </c>
      <c r="J32" s="16">
        <v>0.62</v>
      </c>
      <c r="K32" s="16">
        <v>0.571</v>
      </c>
      <c r="L32" s="16">
        <v>0.505</v>
      </c>
      <c r="M32" s="16">
        <v>0.366</v>
      </c>
      <c r="N32" s="17">
        <v>0.857</v>
      </c>
    </row>
    <row r="33" spans="1:14">
      <c r="A33" s="11">
        <v>1998</v>
      </c>
      <c r="B33" s="12">
        <v>0.101</v>
      </c>
      <c r="C33" s="12">
        <v>0.094</v>
      </c>
      <c r="D33" s="12">
        <v>0.086</v>
      </c>
      <c r="E33" s="12">
        <v>0.079</v>
      </c>
      <c r="F33" s="12">
        <v>0.075</v>
      </c>
      <c r="G33" s="12">
        <v>0.065</v>
      </c>
      <c r="H33" s="12">
        <v>0.057</v>
      </c>
      <c r="I33" s="12">
        <v>0.096</v>
      </c>
      <c r="J33" s="12">
        <v>0.522</v>
      </c>
      <c r="K33" s="12">
        <v>0.588</v>
      </c>
      <c r="L33" s="12">
        <v>0.669</v>
      </c>
      <c r="M33" s="12">
        <v>0.844</v>
      </c>
      <c r="N33" s="18">
        <v>0.277</v>
      </c>
    </row>
    <row r="34" spans="1:14">
      <c r="A34" s="15">
        <v>1997</v>
      </c>
      <c r="B34" s="16">
        <v>0.197</v>
      </c>
      <c r="C34" s="16">
        <v>0.183</v>
      </c>
      <c r="D34" s="16">
        <v>0.168</v>
      </c>
      <c r="E34" s="16">
        <v>0.153</v>
      </c>
      <c r="F34" s="16">
        <v>0.147</v>
      </c>
      <c r="G34" s="16">
        <v>0.145</v>
      </c>
      <c r="H34" s="16">
        <v>0.147</v>
      </c>
      <c r="I34" s="16">
        <v>0.148</v>
      </c>
      <c r="J34" s="16">
        <v>0.142</v>
      </c>
      <c r="K34" s="16">
        <v>0.13</v>
      </c>
      <c r="L34" s="16">
        <v>0.115</v>
      </c>
      <c r="M34" s="16">
        <v>0.11</v>
      </c>
      <c r="N34" s="17">
        <v>0.148</v>
      </c>
    </row>
    <row r="35" spans="1:14">
      <c r="A35" s="11">
        <v>1996</v>
      </c>
      <c r="B35" s="12">
        <v>1.043</v>
      </c>
      <c r="C35" s="12">
        <v>0.896</v>
      </c>
      <c r="D35" s="12">
        <v>0.786</v>
      </c>
      <c r="E35" s="12">
        <v>0.682</v>
      </c>
      <c r="F35" s="12">
        <v>0.583</v>
      </c>
      <c r="G35" s="12">
        <v>0.502</v>
      </c>
      <c r="H35" s="12">
        <v>0.436</v>
      </c>
      <c r="I35" s="12">
        <v>0.371</v>
      </c>
      <c r="J35" s="12">
        <v>0.316</v>
      </c>
      <c r="K35" s="12">
        <v>0.273</v>
      </c>
      <c r="L35" s="12">
        <v>0.24</v>
      </c>
      <c r="M35" s="12">
        <v>0.219</v>
      </c>
      <c r="N35" s="18">
        <v>0.478</v>
      </c>
    </row>
    <row r="36" spans="1:14">
      <c r="A36" s="15">
        <v>1995</v>
      </c>
      <c r="B36" s="16">
        <v>2.159</v>
      </c>
      <c r="C36" s="16">
        <v>2.143</v>
      </c>
      <c r="D36" s="16">
        <v>2.19</v>
      </c>
      <c r="E36" s="16">
        <v>2.199</v>
      </c>
      <c r="F36" s="16">
        <v>2.224</v>
      </c>
      <c r="G36" s="16">
        <v>2.242</v>
      </c>
      <c r="H36" s="16">
        <v>2.25</v>
      </c>
      <c r="I36" s="16">
        <v>2.254</v>
      </c>
      <c r="J36" s="16">
        <v>2.148</v>
      </c>
      <c r="K36" s="16">
        <v>1.86</v>
      </c>
      <c r="L36" s="16">
        <v>1.609</v>
      </c>
      <c r="M36" s="16">
        <v>1.311</v>
      </c>
      <c r="N36" s="17">
        <v>1.974</v>
      </c>
    </row>
    <row r="37" spans="1:14">
      <c r="A37" s="11">
        <v>1994</v>
      </c>
      <c r="B37" s="12">
        <v>7.8</v>
      </c>
      <c r="C37" s="12">
        <v>6.737</v>
      </c>
      <c r="D37" s="12">
        <v>5.87</v>
      </c>
      <c r="E37" s="12">
        <v>5.333</v>
      </c>
      <c r="F37" s="12">
        <v>4.719</v>
      </c>
      <c r="G37" s="12">
        <v>4.105</v>
      </c>
      <c r="H37" s="12">
        <v>3.435</v>
      </c>
      <c r="I37" s="12">
        <v>2.672</v>
      </c>
      <c r="J37" s="12">
        <v>2.194</v>
      </c>
      <c r="K37" s="12">
        <v>2.081</v>
      </c>
      <c r="L37" s="12">
        <v>2.04</v>
      </c>
      <c r="M37" s="12">
        <v>2.161</v>
      </c>
      <c r="N37" s="18">
        <v>3.068</v>
      </c>
    </row>
    <row r="38" ht="17.55" spans="1:14">
      <c r="A38" s="19">
        <v>1993</v>
      </c>
      <c r="B38" s="20">
        <v>6.5</v>
      </c>
      <c r="C38" s="20">
        <v>8.5</v>
      </c>
      <c r="D38" s="20">
        <v>6.667</v>
      </c>
      <c r="E38" s="20">
        <v>8</v>
      </c>
      <c r="F38" s="20">
        <v>7</v>
      </c>
      <c r="G38" s="20">
        <v>6.6</v>
      </c>
      <c r="H38" s="20">
        <v>8.2</v>
      </c>
      <c r="I38" s="20">
        <v>8.667</v>
      </c>
      <c r="J38" s="20">
        <v>11</v>
      </c>
      <c r="K38" s="20">
        <v>9.75</v>
      </c>
      <c r="L38" s="20">
        <v>9</v>
      </c>
      <c r="M38" s="20">
        <v>8.333</v>
      </c>
      <c r="N38" s="21">
        <v>8.515</v>
      </c>
    </row>
  </sheetData>
  <mergeCells count="3">
    <mergeCell ref="A1:N1"/>
    <mergeCell ref="A2:N2"/>
    <mergeCell ref="A3:N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84"/>
  <sheetViews>
    <sheetView tabSelected="1" workbookViewId="0">
      <selection activeCell="J12" sqref="J12"/>
    </sheetView>
  </sheetViews>
  <sheetFormatPr defaultColWidth="9" defaultRowHeight="16.8" outlineLevelCol="1"/>
  <cols>
    <col min="2" max="2" width="17.9375" customWidth="1"/>
  </cols>
  <sheetData>
    <row r="1" spans="1:2">
      <c r="A1" t="s">
        <v>17</v>
      </c>
      <c r="B1" t="s">
        <v>18</v>
      </c>
    </row>
    <row r="2" spans="1:2">
      <c r="A2" s="1">
        <f>DATE(1993,1,1)</f>
        <v>33970</v>
      </c>
      <c r="B2" s="2" cm="1">
        <f t="array" ref="B2">INDEX(Sheet1!$B$5:$M$38,MATCH(YEAR(A2),Sheet1!$A$5:$A$38,0),MONTH(A2))</f>
        <v>6.5</v>
      </c>
    </row>
    <row r="3" spans="1:2">
      <c r="A3" s="3">
        <f t="shared" ref="A3:A66" si="0">EDATE(A2,1)</f>
        <v>34001</v>
      </c>
      <c r="B3" s="2" cm="1">
        <f t="array" ref="B3">INDEX(Sheet1!$B$5:$M$38,MATCH(YEAR(A3),Sheet1!$A$5:$A$38,0),MONTH(A3))</f>
        <v>8.5</v>
      </c>
    </row>
    <row r="4" spans="1:2">
      <c r="A4" s="3">
        <f t="shared" si="0"/>
        <v>34029</v>
      </c>
      <c r="B4" s="2" cm="1">
        <f t="array" ref="B4">INDEX(Sheet1!$B$5:$M$38,MATCH(YEAR(A4),Sheet1!$A$5:$A$38,0),MONTH(A4))</f>
        <v>6.667</v>
      </c>
    </row>
    <row r="5" spans="1:2">
      <c r="A5" s="3">
        <f t="shared" si="0"/>
        <v>34060</v>
      </c>
      <c r="B5" s="2" cm="1">
        <f t="array" ref="B5">INDEX(Sheet1!$B$5:$M$38,MATCH(YEAR(A5),Sheet1!$A$5:$A$38,0),MONTH(A5))</f>
        <v>8</v>
      </c>
    </row>
    <row r="6" spans="1:2">
      <c r="A6" s="3">
        <f t="shared" si="0"/>
        <v>34090</v>
      </c>
      <c r="B6" s="2" cm="1">
        <f t="array" ref="B6">INDEX(Sheet1!$B$5:$M$38,MATCH(YEAR(A6),Sheet1!$A$5:$A$38,0),MONTH(A6))</f>
        <v>7</v>
      </c>
    </row>
    <row r="7" spans="1:2">
      <c r="A7" s="3">
        <f t="shared" si="0"/>
        <v>34121</v>
      </c>
      <c r="B7" s="2" cm="1">
        <f t="array" ref="B7">INDEX(Sheet1!$B$5:$M$38,MATCH(YEAR(A7),Sheet1!$A$5:$A$38,0),MONTH(A7))</f>
        <v>6.6</v>
      </c>
    </row>
    <row r="8" spans="1:2">
      <c r="A8" s="3">
        <f t="shared" si="0"/>
        <v>34151</v>
      </c>
      <c r="B8" s="2" cm="1">
        <f t="array" ref="B8">INDEX(Sheet1!$B$5:$M$38,MATCH(YEAR(A8),Sheet1!$A$5:$A$38,0),MONTH(A8))</f>
        <v>8.2</v>
      </c>
    </row>
    <row r="9" spans="1:2">
      <c r="A9" s="3">
        <f t="shared" si="0"/>
        <v>34182</v>
      </c>
      <c r="B9" s="2" cm="1">
        <f t="array" ref="B9">INDEX(Sheet1!$B$5:$M$38,MATCH(YEAR(A9),Sheet1!$A$5:$A$38,0),MONTH(A9))</f>
        <v>8.667</v>
      </c>
    </row>
    <row r="10" spans="1:2">
      <c r="A10" s="3">
        <f t="shared" si="0"/>
        <v>34213</v>
      </c>
      <c r="B10" s="2" cm="1">
        <f t="array" ref="B10">INDEX(Sheet1!$B$5:$M$38,MATCH(YEAR(A10),Sheet1!$A$5:$A$38,0),MONTH(A10))</f>
        <v>11</v>
      </c>
    </row>
    <row r="11" spans="1:2">
      <c r="A11" s="3">
        <f t="shared" si="0"/>
        <v>34243</v>
      </c>
      <c r="B11" s="2" cm="1">
        <f t="array" ref="B11">INDEX(Sheet1!$B$5:$M$38,MATCH(YEAR(A11),Sheet1!$A$5:$A$38,0),MONTH(A11))</f>
        <v>9.75</v>
      </c>
    </row>
    <row r="12" spans="1:2">
      <c r="A12" s="3">
        <f t="shared" si="0"/>
        <v>34274</v>
      </c>
      <c r="B12" s="2" cm="1">
        <f t="array" ref="B12">INDEX(Sheet1!$B$5:$M$38,MATCH(YEAR(A12),Sheet1!$A$5:$A$38,0),MONTH(A12))</f>
        <v>9</v>
      </c>
    </row>
    <row r="13" spans="1:2">
      <c r="A13" s="3">
        <f t="shared" si="0"/>
        <v>34304</v>
      </c>
      <c r="B13" s="2" cm="1">
        <f t="array" ref="B13">INDEX(Sheet1!$B$5:$M$38,MATCH(YEAR(A13),Sheet1!$A$5:$A$38,0),MONTH(A13))</f>
        <v>8.333</v>
      </c>
    </row>
    <row r="14" spans="1:2">
      <c r="A14" s="3">
        <f t="shared" si="0"/>
        <v>34335</v>
      </c>
      <c r="B14" s="2" cm="1">
        <f t="array" ref="B14">INDEX(Sheet1!$B$5:$M$38,MATCH(YEAR(A14),Sheet1!$A$5:$A$38,0),MONTH(A14))</f>
        <v>7.8</v>
      </c>
    </row>
    <row r="15" spans="1:2">
      <c r="A15" s="3">
        <f t="shared" si="0"/>
        <v>34366</v>
      </c>
      <c r="B15" s="2" cm="1">
        <f t="array" ref="B15">INDEX(Sheet1!$B$5:$M$38,MATCH(YEAR(A15),Sheet1!$A$5:$A$38,0),MONTH(A15))</f>
        <v>6.737</v>
      </c>
    </row>
    <row r="16" spans="1:2">
      <c r="A16" s="3">
        <f t="shared" si="0"/>
        <v>34394</v>
      </c>
      <c r="B16" s="2" cm="1">
        <f t="array" ref="B16">INDEX(Sheet1!$B$5:$M$38,MATCH(YEAR(A16),Sheet1!$A$5:$A$38,0),MONTH(A16))</f>
        <v>5.87</v>
      </c>
    </row>
    <row r="17" spans="1:2">
      <c r="A17" s="3">
        <f t="shared" si="0"/>
        <v>34425</v>
      </c>
      <c r="B17" s="2" cm="1">
        <f t="array" ref="B17">INDEX(Sheet1!$B$5:$M$38,MATCH(YEAR(A17),Sheet1!$A$5:$A$38,0),MONTH(A17))</f>
        <v>5.333</v>
      </c>
    </row>
    <row r="18" spans="1:2">
      <c r="A18" s="3">
        <f t="shared" si="0"/>
        <v>34455</v>
      </c>
      <c r="B18" s="2" cm="1">
        <f t="array" ref="B18">INDEX(Sheet1!$B$5:$M$38,MATCH(YEAR(A18),Sheet1!$A$5:$A$38,0),MONTH(A18))</f>
        <v>4.719</v>
      </c>
    </row>
    <row r="19" spans="1:2">
      <c r="A19" s="3">
        <f t="shared" si="0"/>
        <v>34486</v>
      </c>
      <c r="B19" s="2" cm="1">
        <f t="array" ref="B19">INDEX(Sheet1!$B$5:$M$38,MATCH(YEAR(A19),Sheet1!$A$5:$A$38,0),MONTH(A19))</f>
        <v>4.105</v>
      </c>
    </row>
    <row r="20" spans="1:2">
      <c r="A20" s="3">
        <f t="shared" si="0"/>
        <v>34516</v>
      </c>
      <c r="B20" s="2" cm="1">
        <f t="array" ref="B20">INDEX(Sheet1!$B$5:$M$38,MATCH(YEAR(A20),Sheet1!$A$5:$A$38,0),MONTH(A20))</f>
        <v>3.435</v>
      </c>
    </row>
    <row r="21" spans="1:2">
      <c r="A21" s="3">
        <f t="shared" si="0"/>
        <v>34547</v>
      </c>
      <c r="B21" s="2" cm="1">
        <f t="array" ref="B21">INDEX(Sheet1!$B$5:$M$38,MATCH(YEAR(A21),Sheet1!$A$5:$A$38,0),MONTH(A21))</f>
        <v>2.672</v>
      </c>
    </row>
    <row r="22" spans="1:2">
      <c r="A22" s="3">
        <f t="shared" si="0"/>
        <v>34578</v>
      </c>
      <c r="B22" s="2" cm="1">
        <f t="array" ref="B22">INDEX(Sheet1!$B$5:$M$38,MATCH(YEAR(A22),Sheet1!$A$5:$A$38,0),MONTH(A22))</f>
        <v>2.194</v>
      </c>
    </row>
    <row r="23" spans="1:2">
      <c r="A23" s="3">
        <f t="shared" si="0"/>
        <v>34608</v>
      </c>
      <c r="B23" s="2" cm="1">
        <f t="array" ref="B23">INDEX(Sheet1!$B$5:$M$38,MATCH(YEAR(A23),Sheet1!$A$5:$A$38,0),MONTH(A23))</f>
        <v>2.081</v>
      </c>
    </row>
    <row r="24" spans="1:2">
      <c r="A24" s="3">
        <f t="shared" si="0"/>
        <v>34639</v>
      </c>
      <c r="B24" s="2" cm="1">
        <f t="array" ref="B24">INDEX(Sheet1!$B$5:$M$38,MATCH(YEAR(A24),Sheet1!$A$5:$A$38,0),MONTH(A24))</f>
        <v>2.04</v>
      </c>
    </row>
    <row r="25" spans="1:2">
      <c r="A25" s="3">
        <f t="shared" si="0"/>
        <v>34669</v>
      </c>
      <c r="B25" s="2" cm="1">
        <f t="array" ref="B25">INDEX(Sheet1!$B$5:$M$38,MATCH(YEAR(A25),Sheet1!$A$5:$A$38,0),MONTH(A25))</f>
        <v>2.161</v>
      </c>
    </row>
    <row r="26" spans="1:2">
      <c r="A26" s="3">
        <f t="shared" si="0"/>
        <v>34700</v>
      </c>
      <c r="B26" s="2" cm="1">
        <f t="array" ref="B26">INDEX(Sheet1!$B$5:$M$38,MATCH(YEAR(A26),Sheet1!$A$5:$A$38,0),MONTH(A26))</f>
        <v>2.159</v>
      </c>
    </row>
    <row r="27" spans="1:2">
      <c r="A27" s="3">
        <f t="shared" si="0"/>
        <v>34731</v>
      </c>
      <c r="B27" s="2" cm="1">
        <f t="array" ref="B27">INDEX(Sheet1!$B$5:$M$38,MATCH(YEAR(A27),Sheet1!$A$5:$A$38,0),MONTH(A27))</f>
        <v>2.143</v>
      </c>
    </row>
    <row r="28" spans="1:2">
      <c r="A28" s="3">
        <f t="shared" si="0"/>
        <v>34759</v>
      </c>
      <c r="B28" s="2" cm="1">
        <f t="array" ref="B28">INDEX(Sheet1!$B$5:$M$38,MATCH(YEAR(A28),Sheet1!$A$5:$A$38,0),MONTH(A28))</f>
        <v>2.19</v>
      </c>
    </row>
    <row r="29" spans="1:2">
      <c r="A29" s="3">
        <f t="shared" si="0"/>
        <v>34790</v>
      </c>
      <c r="B29" s="2" cm="1">
        <f t="array" ref="B29">INDEX(Sheet1!$B$5:$M$38,MATCH(YEAR(A29),Sheet1!$A$5:$A$38,0),MONTH(A29))</f>
        <v>2.199</v>
      </c>
    </row>
    <row r="30" spans="1:2">
      <c r="A30" s="3">
        <f t="shared" si="0"/>
        <v>34820</v>
      </c>
      <c r="B30" s="2" cm="1">
        <f t="array" ref="B30">INDEX(Sheet1!$B$5:$M$38,MATCH(YEAR(A30),Sheet1!$A$5:$A$38,0),MONTH(A30))</f>
        <v>2.224</v>
      </c>
    </row>
    <row r="31" spans="1:2">
      <c r="A31" s="3">
        <f t="shared" si="0"/>
        <v>34851</v>
      </c>
      <c r="B31" s="2" cm="1">
        <f t="array" ref="B31">INDEX(Sheet1!$B$5:$M$38,MATCH(YEAR(A31),Sheet1!$A$5:$A$38,0),MONTH(A31))</f>
        <v>2.242</v>
      </c>
    </row>
    <row r="32" spans="1:2">
      <c r="A32" s="3">
        <f t="shared" si="0"/>
        <v>34881</v>
      </c>
      <c r="B32" s="2" cm="1">
        <f t="array" ref="B32">INDEX(Sheet1!$B$5:$M$38,MATCH(YEAR(A32),Sheet1!$A$5:$A$38,0),MONTH(A32))</f>
        <v>2.25</v>
      </c>
    </row>
    <row r="33" spans="1:2">
      <c r="A33" s="3">
        <f t="shared" si="0"/>
        <v>34912</v>
      </c>
      <c r="B33" s="2" cm="1">
        <f t="array" ref="B33">INDEX(Sheet1!$B$5:$M$38,MATCH(YEAR(A33),Sheet1!$A$5:$A$38,0),MONTH(A33))</f>
        <v>2.254</v>
      </c>
    </row>
    <row r="34" spans="1:2">
      <c r="A34" s="3">
        <f t="shared" si="0"/>
        <v>34943</v>
      </c>
      <c r="B34" s="2" cm="1">
        <f t="array" ref="B34">INDEX(Sheet1!$B$5:$M$38,MATCH(YEAR(A34),Sheet1!$A$5:$A$38,0),MONTH(A34))</f>
        <v>2.148</v>
      </c>
    </row>
    <row r="35" spans="1:2">
      <c r="A35" s="3">
        <f t="shared" si="0"/>
        <v>34973</v>
      </c>
      <c r="B35" s="2" cm="1">
        <f t="array" ref="B35">INDEX(Sheet1!$B$5:$M$38,MATCH(YEAR(A35),Sheet1!$A$5:$A$38,0),MONTH(A35))</f>
        <v>1.86</v>
      </c>
    </row>
    <row r="36" spans="1:2">
      <c r="A36" s="3">
        <f t="shared" si="0"/>
        <v>35004</v>
      </c>
      <c r="B36" s="2" cm="1">
        <f t="array" ref="B36">INDEX(Sheet1!$B$5:$M$38,MATCH(YEAR(A36),Sheet1!$A$5:$A$38,0),MONTH(A36))</f>
        <v>1.609</v>
      </c>
    </row>
    <row r="37" spans="1:2">
      <c r="A37" s="3">
        <f t="shared" si="0"/>
        <v>35034</v>
      </c>
      <c r="B37" s="2" cm="1">
        <f t="array" ref="B37">INDEX(Sheet1!$B$5:$M$38,MATCH(YEAR(A37),Sheet1!$A$5:$A$38,0),MONTH(A37))</f>
        <v>1.311</v>
      </c>
    </row>
    <row r="38" spans="1:2">
      <c r="A38" s="3">
        <f t="shared" si="0"/>
        <v>35065</v>
      </c>
      <c r="B38" s="2" cm="1">
        <f t="array" ref="B38">INDEX(Sheet1!$B$5:$M$38,MATCH(YEAR(A38),Sheet1!$A$5:$A$38,0),MONTH(A38))</f>
        <v>1.043</v>
      </c>
    </row>
    <row r="39" spans="1:2">
      <c r="A39" s="3">
        <f t="shared" si="0"/>
        <v>35096</v>
      </c>
      <c r="B39" s="2" cm="1">
        <f t="array" ref="B39">INDEX(Sheet1!$B$5:$M$38,MATCH(YEAR(A39),Sheet1!$A$5:$A$38,0),MONTH(A39))</f>
        <v>0.896</v>
      </c>
    </row>
    <row r="40" spans="1:2">
      <c r="A40" s="3">
        <f t="shared" si="0"/>
        <v>35125</v>
      </c>
      <c r="B40" s="2" cm="1">
        <f t="array" ref="B40">INDEX(Sheet1!$B$5:$M$38,MATCH(YEAR(A40),Sheet1!$A$5:$A$38,0),MONTH(A40))</f>
        <v>0.786</v>
      </c>
    </row>
    <row r="41" spans="1:2">
      <c r="A41" s="3">
        <f t="shared" si="0"/>
        <v>35156</v>
      </c>
      <c r="B41" s="2" cm="1">
        <f t="array" ref="B41">INDEX(Sheet1!$B$5:$M$38,MATCH(YEAR(A41),Sheet1!$A$5:$A$38,0),MONTH(A41))</f>
        <v>0.682</v>
      </c>
    </row>
    <row r="42" spans="1:2">
      <c r="A42" s="3">
        <f t="shared" si="0"/>
        <v>35186</v>
      </c>
      <c r="B42" s="2" cm="1">
        <f t="array" ref="B42">INDEX(Sheet1!$B$5:$M$38,MATCH(YEAR(A42),Sheet1!$A$5:$A$38,0),MONTH(A42))</f>
        <v>0.583</v>
      </c>
    </row>
    <row r="43" spans="1:2">
      <c r="A43" s="3">
        <f t="shared" si="0"/>
        <v>35217</v>
      </c>
      <c r="B43" s="2" cm="1">
        <f t="array" ref="B43">INDEX(Sheet1!$B$5:$M$38,MATCH(YEAR(A43),Sheet1!$A$5:$A$38,0),MONTH(A43))</f>
        <v>0.502</v>
      </c>
    </row>
    <row r="44" spans="1:2">
      <c r="A44" s="3">
        <f t="shared" si="0"/>
        <v>35247</v>
      </c>
      <c r="B44" s="2" cm="1">
        <f t="array" ref="B44">INDEX(Sheet1!$B$5:$M$38,MATCH(YEAR(A44),Sheet1!$A$5:$A$38,0),MONTH(A44))</f>
        <v>0.436</v>
      </c>
    </row>
    <row r="45" spans="1:2">
      <c r="A45" s="3">
        <f t="shared" si="0"/>
        <v>35278</v>
      </c>
      <c r="B45" s="2" cm="1">
        <f t="array" ref="B45">INDEX(Sheet1!$B$5:$M$38,MATCH(YEAR(A45),Sheet1!$A$5:$A$38,0),MONTH(A45))</f>
        <v>0.371</v>
      </c>
    </row>
    <row r="46" spans="1:2">
      <c r="A46" s="3">
        <f t="shared" si="0"/>
        <v>35309</v>
      </c>
      <c r="B46" s="2" cm="1">
        <f t="array" ref="B46">INDEX(Sheet1!$B$5:$M$38,MATCH(YEAR(A46),Sheet1!$A$5:$A$38,0),MONTH(A46))</f>
        <v>0.316</v>
      </c>
    </row>
    <row r="47" spans="1:2">
      <c r="A47" s="3">
        <f t="shared" si="0"/>
        <v>35339</v>
      </c>
      <c r="B47" s="2" cm="1">
        <f t="array" ref="B47">INDEX(Sheet1!$B$5:$M$38,MATCH(YEAR(A47),Sheet1!$A$5:$A$38,0),MONTH(A47))</f>
        <v>0.273</v>
      </c>
    </row>
    <row r="48" spans="1:2">
      <c r="A48" s="3">
        <f t="shared" si="0"/>
        <v>35370</v>
      </c>
      <c r="B48" s="2" cm="1">
        <f t="array" ref="B48">INDEX(Sheet1!$B$5:$M$38,MATCH(YEAR(A48),Sheet1!$A$5:$A$38,0),MONTH(A48))</f>
        <v>0.24</v>
      </c>
    </row>
    <row r="49" spans="1:2">
      <c r="A49" s="3">
        <f t="shared" si="0"/>
        <v>35400</v>
      </c>
      <c r="B49" s="2" cm="1">
        <f t="array" ref="B49">INDEX(Sheet1!$B$5:$M$38,MATCH(YEAR(A49),Sheet1!$A$5:$A$38,0),MONTH(A49))</f>
        <v>0.219</v>
      </c>
    </row>
    <row r="50" spans="1:2">
      <c r="A50" s="3">
        <f t="shared" si="0"/>
        <v>35431</v>
      </c>
      <c r="B50" s="2" cm="1">
        <f t="array" ref="B50">INDEX(Sheet1!$B$5:$M$38,MATCH(YEAR(A50),Sheet1!$A$5:$A$38,0),MONTH(A50))</f>
        <v>0.197</v>
      </c>
    </row>
    <row r="51" spans="1:2">
      <c r="A51" s="3">
        <f t="shared" si="0"/>
        <v>35462</v>
      </c>
      <c r="B51" s="2" cm="1">
        <f t="array" ref="B51">INDEX(Sheet1!$B$5:$M$38,MATCH(YEAR(A51),Sheet1!$A$5:$A$38,0),MONTH(A51))</f>
        <v>0.183</v>
      </c>
    </row>
    <row r="52" spans="1:2">
      <c r="A52" s="3">
        <f t="shared" si="0"/>
        <v>35490</v>
      </c>
      <c r="B52" s="2" cm="1">
        <f t="array" ref="B52">INDEX(Sheet1!$B$5:$M$38,MATCH(YEAR(A52),Sheet1!$A$5:$A$38,0),MONTH(A52))</f>
        <v>0.168</v>
      </c>
    </row>
    <row r="53" spans="1:2">
      <c r="A53" s="3">
        <f t="shared" si="0"/>
        <v>35521</v>
      </c>
      <c r="B53" s="2" cm="1">
        <f t="array" ref="B53">INDEX(Sheet1!$B$5:$M$38,MATCH(YEAR(A53),Sheet1!$A$5:$A$38,0),MONTH(A53))</f>
        <v>0.153</v>
      </c>
    </row>
    <row r="54" spans="1:2">
      <c r="A54" s="3">
        <f t="shared" si="0"/>
        <v>35551</v>
      </c>
      <c r="B54" s="2" cm="1">
        <f t="array" ref="B54">INDEX(Sheet1!$B$5:$M$38,MATCH(YEAR(A54),Sheet1!$A$5:$A$38,0),MONTH(A54))</f>
        <v>0.147</v>
      </c>
    </row>
    <row r="55" spans="1:2">
      <c r="A55" s="3">
        <f t="shared" si="0"/>
        <v>35582</v>
      </c>
      <c r="B55" s="2" cm="1">
        <f t="array" ref="B55">INDEX(Sheet1!$B$5:$M$38,MATCH(YEAR(A55),Sheet1!$A$5:$A$38,0),MONTH(A55))</f>
        <v>0.145</v>
      </c>
    </row>
    <row r="56" spans="1:2">
      <c r="A56" s="3">
        <f t="shared" si="0"/>
        <v>35612</v>
      </c>
      <c r="B56" s="2" cm="1">
        <f t="array" ref="B56">INDEX(Sheet1!$B$5:$M$38,MATCH(YEAR(A56),Sheet1!$A$5:$A$38,0),MONTH(A56))</f>
        <v>0.147</v>
      </c>
    </row>
    <row r="57" spans="1:2">
      <c r="A57" s="3">
        <f t="shared" si="0"/>
        <v>35643</v>
      </c>
      <c r="B57" s="2" cm="1">
        <f t="array" ref="B57">INDEX(Sheet1!$B$5:$M$38,MATCH(YEAR(A57),Sheet1!$A$5:$A$38,0),MONTH(A57))</f>
        <v>0.148</v>
      </c>
    </row>
    <row r="58" spans="1:2">
      <c r="A58" s="3">
        <f t="shared" si="0"/>
        <v>35674</v>
      </c>
      <c r="B58" s="2" cm="1">
        <f t="array" ref="B58">INDEX(Sheet1!$B$5:$M$38,MATCH(YEAR(A58),Sheet1!$A$5:$A$38,0),MONTH(A58))</f>
        <v>0.142</v>
      </c>
    </row>
    <row r="59" spans="1:2">
      <c r="A59" s="3">
        <f t="shared" si="0"/>
        <v>35704</v>
      </c>
      <c r="B59" s="2" cm="1">
        <f t="array" ref="B59">INDEX(Sheet1!$B$5:$M$38,MATCH(YEAR(A59),Sheet1!$A$5:$A$38,0),MONTH(A59))</f>
        <v>0.13</v>
      </c>
    </row>
    <row r="60" spans="1:2">
      <c r="A60" s="3">
        <f t="shared" si="0"/>
        <v>35735</v>
      </c>
      <c r="B60" s="2" cm="1">
        <f t="array" ref="B60">INDEX(Sheet1!$B$5:$M$38,MATCH(YEAR(A60),Sheet1!$A$5:$A$38,0),MONTH(A60))</f>
        <v>0.115</v>
      </c>
    </row>
    <row r="61" spans="1:2">
      <c r="A61" s="3">
        <f t="shared" si="0"/>
        <v>35765</v>
      </c>
      <c r="B61" s="2" cm="1">
        <f t="array" ref="B61">INDEX(Sheet1!$B$5:$M$38,MATCH(YEAR(A61),Sheet1!$A$5:$A$38,0),MONTH(A61))</f>
        <v>0.11</v>
      </c>
    </row>
    <row r="62" spans="1:2">
      <c r="A62" s="3">
        <f t="shared" si="0"/>
        <v>35796</v>
      </c>
      <c r="B62" s="2" cm="1">
        <f t="array" ref="B62">INDEX(Sheet1!$B$5:$M$38,MATCH(YEAR(A62),Sheet1!$A$5:$A$38,0),MONTH(A62))</f>
        <v>0.101</v>
      </c>
    </row>
    <row r="63" spans="1:2">
      <c r="A63" s="3">
        <f t="shared" si="0"/>
        <v>35827</v>
      </c>
      <c r="B63" s="2" cm="1">
        <f t="array" ref="B63">INDEX(Sheet1!$B$5:$M$38,MATCH(YEAR(A63),Sheet1!$A$5:$A$38,0),MONTH(A63))</f>
        <v>0.094</v>
      </c>
    </row>
    <row r="64" spans="1:2">
      <c r="A64" s="3">
        <f t="shared" si="0"/>
        <v>35855</v>
      </c>
      <c r="B64" s="2" cm="1">
        <f t="array" ref="B64">INDEX(Sheet1!$B$5:$M$38,MATCH(YEAR(A64),Sheet1!$A$5:$A$38,0),MONTH(A64))</f>
        <v>0.086</v>
      </c>
    </row>
    <row r="65" spans="1:2">
      <c r="A65" s="3">
        <f t="shared" si="0"/>
        <v>35886</v>
      </c>
      <c r="B65" s="2" cm="1">
        <f t="array" ref="B65">INDEX(Sheet1!$B$5:$M$38,MATCH(YEAR(A65),Sheet1!$A$5:$A$38,0),MONTH(A65))</f>
        <v>0.079</v>
      </c>
    </row>
    <row r="66" spans="1:2">
      <c r="A66" s="3">
        <f t="shared" si="0"/>
        <v>35916</v>
      </c>
      <c r="B66" s="2" cm="1">
        <f t="array" ref="B66">INDEX(Sheet1!$B$5:$M$38,MATCH(YEAR(A66),Sheet1!$A$5:$A$38,0),MONTH(A66))</f>
        <v>0.075</v>
      </c>
    </row>
    <row r="67" spans="1:2">
      <c r="A67" s="3">
        <f t="shared" ref="A67:A130" si="1">EDATE(A66,1)</f>
        <v>35947</v>
      </c>
      <c r="B67" s="2" cm="1">
        <f t="array" ref="B67">INDEX(Sheet1!$B$5:$M$38,MATCH(YEAR(A67),Sheet1!$A$5:$A$38,0),MONTH(A67))</f>
        <v>0.065</v>
      </c>
    </row>
    <row r="68" spans="1:2">
      <c r="A68" s="3">
        <f t="shared" si="1"/>
        <v>35977</v>
      </c>
      <c r="B68" s="2" cm="1">
        <f t="array" ref="B68">INDEX(Sheet1!$B$5:$M$38,MATCH(YEAR(A68),Sheet1!$A$5:$A$38,0),MONTH(A68))</f>
        <v>0.057</v>
      </c>
    </row>
    <row r="69" spans="1:2">
      <c r="A69" s="3">
        <f t="shared" si="1"/>
        <v>36008</v>
      </c>
      <c r="B69" s="2" cm="1">
        <f t="array" ref="B69">INDEX(Sheet1!$B$5:$M$38,MATCH(YEAR(A69),Sheet1!$A$5:$A$38,0),MONTH(A69))</f>
        <v>0.096</v>
      </c>
    </row>
    <row r="70" spans="1:2">
      <c r="A70" s="3">
        <f t="shared" si="1"/>
        <v>36039</v>
      </c>
      <c r="B70" s="2" cm="1">
        <f t="array" ref="B70">INDEX(Sheet1!$B$5:$M$38,MATCH(YEAR(A70),Sheet1!$A$5:$A$38,0),MONTH(A70))</f>
        <v>0.522</v>
      </c>
    </row>
    <row r="71" spans="1:2">
      <c r="A71" s="3">
        <f t="shared" si="1"/>
        <v>36069</v>
      </c>
      <c r="B71" s="2" cm="1">
        <f t="array" ref="B71">INDEX(Sheet1!$B$5:$M$38,MATCH(YEAR(A71),Sheet1!$A$5:$A$38,0),MONTH(A71))</f>
        <v>0.588</v>
      </c>
    </row>
    <row r="72" spans="1:2">
      <c r="A72" s="3">
        <f t="shared" si="1"/>
        <v>36100</v>
      </c>
      <c r="B72" s="2" cm="1">
        <f t="array" ref="B72">INDEX(Sheet1!$B$5:$M$38,MATCH(YEAR(A72),Sheet1!$A$5:$A$38,0),MONTH(A72))</f>
        <v>0.669</v>
      </c>
    </row>
    <row r="73" spans="1:2">
      <c r="A73" s="3">
        <f t="shared" si="1"/>
        <v>36130</v>
      </c>
      <c r="B73" s="2" cm="1">
        <f t="array" ref="B73">INDEX(Sheet1!$B$5:$M$38,MATCH(YEAR(A73),Sheet1!$A$5:$A$38,0),MONTH(A73))</f>
        <v>0.844</v>
      </c>
    </row>
    <row r="74" spans="1:2">
      <c r="A74" s="3">
        <f t="shared" si="1"/>
        <v>36161</v>
      </c>
      <c r="B74" s="2" cm="1">
        <f t="array" ref="B74">INDEX(Sheet1!$B$5:$M$38,MATCH(YEAR(A74),Sheet1!$A$5:$A$38,0),MONTH(A74))</f>
        <v>0.97</v>
      </c>
    </row>
    <row r="75" spans="1:2">
      <c r="A75" s="3">
        <f t="shared" si="1"/>
        <v>36192</v>
      </c>
      <c r="B75" s="2" cm="1">
        <f t="array" ref="B75">INDEX(Sheet1!$B$5:$M$38,MATCH(YEAR(A75),Sheet1!$A$5:$A$38,0),MONTH(A75))</f>
        <v>1.034</v>
      </c>
    </row>
    <row r="76" spans="1:2">
      <c r="A76" s="3">
        <f t="shared" si="1"/>
        <v>36220</v>
      </c>
      <c r="B76" s="2" cm="1">
        <f t="array" ref="B76">INDEX(Sheet1!$B$5:$M$38,MATCH(YEAR(A76),Sheet1!$A$5:$A$38,0),MONTH(A76))</f>
        <v>1.075</v>
      </c>
    </row>
    <row r="77" spans="1:2">
      <c r="A77" s="3">
        <f t="shared" si="1"/>
        <v>36251</v>
      </c>
      <c r="B77" s="2" cm="1">
        <f t="array" ref="B77">INDEX(Sheet1!$B$5:$M$38,MATCH(YEAR(A77),Sheet1!$A$5:$A$38,0),MONTH(A77))</f>
        <v>1.131</v>
      </c>
    </row>
    <row r="78" spans="1:2">
      <c r="A78" s="3">
        <f t="shared" si="1"/>
        <v>36281</v>
      </c>
      <c r="B78" s="2" cm="1">
        <f t="array" ref="B78">INDEX(Sheet1!$B$5:$M$38,MATCH(YEAR(A78),Sheet1!$A$5:$A$38,0),MONTH(A78))</f>
        <v>1.167</v>
      </c>
    </row>
    <row r="79" spans="1:2">
      <c r="A79" s="3">
        <f t="shared" si="1"/>
        <v>36312</v>
      </c>
      <c r="B79" s="2" cm="1">
        <f t="array" ref="B79">INDEX(Sheet1!$B$5:$M$38,MATCH(YEAR(A79),Sheet1!$A$5:$A$38,0),MONTH(A79))</f>
        <v>1.206</v>
      </c>
    </row>
    <row r="80" spans="1:2">
      <c r="A80" s="3">
        <f t="shared" si="1"/>
        <v>36342</v>
      </c>
      <c r="B80" s="2" cm="1">
        <f t="array" ref="B80">INDEX(Sheet1!$B$5:$M$38,MATCH(YEAR(A80),Sheet1!$A$5:$A$38,0),MONTH(A80))</f>
        <v>1.264</v>
      </c>
    </row>
    <row r="81" spans="1:2">
      <c r="A81" s="3">
        <f t="shared" si="1"/>
        <v>36373</v>
      </c>
      <c r="B81" s="2" cm="1">
        <f t="array" ref="B81">INDEX(Sheet1!$B$5:$M$38,MATCH(YEAR(A81),Sheet1!$A$5:$A$38,0),MONTH(A81))</f>
        <v>1.21</v>
      </c>
    </row>
    <row r="82" spans="1:2">
      <c r="A82" s="3">
        <f t="shared" si="1"/>
        <v>36404</v>
      </c>
      <c r="B82" s="2" cm="1">
        <f t="array" ref="B82">INDEX(Sheet1!$B$5:$M$38,MATCH(YEAR(A82),Sheet1!$A$5:$A$38,0),MONTH(A82))</f>
        <v>0.62</v>
      </c>
    </row>
    <row r="83" spans="1:2">
      <c r="A83" s="3">
        <f t="shared" si="1"/>
        <v>36434</v>
      </c>
      <c r="B83" s="2" cm="1">
        <f t="array" ref="B83">INDEX(Sheet1!$B$5:$M$38,MATCH(YEAR(A83),Sheet1!$A$5:$A$38,0),MONTH(A83))</f>
        <v>0.571</v>
      </c>
    </row>
    <row r="84" spans="1:2">
      <c r="A84" s="3">
        <f t="shared" si="1"/>
        <v>36465</v>
      </c>
      <c r="B84" s="2" cm="1">
        <f t="array" ref="B84">INDEX(Sheet1!$B$5:$M$38,MATCH(YEAR(A84),Sheet1!$A$5:$A$38,0),MONTH(A84))</f>
        <v>0.505</v>
      </c>
    </row>
    <row r="85" spans="1:2">
      <c r="A85" s="3">
        <f t="shared" si="1"/>
        <v>36495</v>
      </c>
      <c r="B85" s="2" cm="1">
        <f t="array" ref="B85">INDEX(Sheet1!$B$5:$M$38,MATCH(YEAR(A85),Sheet1!$A$5:$A$38,0),MONTH(A85))</f>
        <v>0.366</v>
      </c>
    </row>
    <row r="86" spans="1:2">
      <c r="A86" s="3">
        <f t="shared" si="1"/>
        <v>36526</v>
      </c>
      <c r="B86" s="2" cm="1">
        <f t="array" ref="B86">INDEX(Sheet1!$B$5:$M$38,MATCH(YEAR(A86),Sheet1!$A$5:$A$38,0),MONTH(A86))</f>
        <v>0.289</v>
      </c>
    </row>
    <row r="87" spans="1:2">
      <c r="A87" s="3">
        <f t="shared" si="1"/>
        <v>36557</v>
      </c>
      <c r="B87" s="2" cm="1">
        <f t="array" ref="B87">INDEX(Sheet1!$B$5:$M$38,MATCH(YEAR(A87),Sheet1!$A$5:$A$38,0),MONTH(A87))</f>
        <v>0.251</v>
      </c>
    </row>
    <row r="88" spans="1:2">
      <c r="A88" s="3">
        <f t="shared" si="1"/>
        <v>36586</v>
      </c>
      <c r="B88" s="2" cm="1">
        <f t="array" ref="B88">INDEX(Sheet1!$B$5:$M$38,MATCH(YEAR(A88),Sheet1!$A$5:$A$38,0),MONTH(A88))</f>
        <v>0.225</v>
      </c>
    </row>
    <row r="89" spans="1:2">
      <c r="A89" s="3">
        <f t="shared" si="1"/>
        <v>36617</v>
      </c>
      <c r="B89" s="2" cm="1">
        <f t="array" ref="B89">INDEX(Sheet1!$B$5:$M$38,MATCH(YEAR(A89),Sheet1!$A$5:$A$38,0),MONTH(A89))</f>
        <v>0.199</v>
      </c>
    </row>
    <row r="90" spans="1:2">
      <c r="A90" s="3">
        <f t="shared" si="1"/>
        <v>36647</v>
      </c>
      <c r="B90" s="2" cm="1">
        <f t="array" ref="B90">INDEX(Sheet1!$B$5:$M$38,MATCH(YEAR(A90),Sheet1!$A$5:$A$38,0),MONTH(A90))</f>
        <v>0.194</v>
      </c>
    </row>
    <row r="91" spans="1:2">
      <c r="A91" s="3">
        <f t="shared" si="1"/>
        <v>36678</v>
      </c>
      <c r="B91" s="2" cm="1">
        <f t="array" ref="B91">INDEX(Sheet1!$B$5:$M$38,MATCH(YEAR(A91),Sheet1!$A$5:$A$38,0),MONTH(A91))</f>
        <v>0.201</v>
      </c>
    </row>
    <row r="92" spans="1:2">
      <c r="A92" s="3">
        <f t="shared" si="1"/>
        <v>36708</v>
      </c>
      <c r="B92" s="2" cm="1">
        <f t="array" ref="B92">INDEX(Sheet1!$B$5:$M$38,MATCH(YEAR(A92),Sheet1!$A$5:$A$38,0),MONTH(A92))</f>
        <v>0.189</v>
      </c>
    </row>
    <row r="93" spans="1:2">
      <c r="A93" s="3">
        <f t="shared" si="1"/>
        <v>36739</v>
      </c>
      <c r="B93" s="2" cm="1">
        <f t="array" ref="B93">INDEX(Sheet1!$B$5:$M$38,MATCH(YEAR(A93),Sheet1!$A$5:$A$38,0),MONTH(A93))</f>
        <v>0.187</v>
      </c>
    </row>
    <row r="94" spans="1:2">
      <c r="A94" s="3">
        <f t="shared" si="1"/>
        <v>36770</v>
      </c>
      <c r="B94" s="2" cm="1">
        <f t="array" ref="B94">INDEX(Sheet1!$B$5:$M$38,MATCH(YEAR(A94),Sheet1!$A$5:$A$38,0),MONTH(A94))</f>
        <v>0.186</v>
      </c>
    </row>
    <row r="95" spans="1:2">
      <c r="A95" s="3">
        <f t="shared" si="1"/>
        <v>36800</v>
      </c>
      <c r="B95" s="2" cm="1">
        <f t="array" ref="B95">INDEX(Sheet1!$B$5:$M$38,MATCH(YEAR(A95),Sheet1!$A$5:$A$38,0),MONTH(A95))</f>
        <v>0.194</v>
      </c>
    </row>
    <row r="96" spans="1:2">
      <c r="A96" s="3">
        <f t="shared" si="1"/>
        <v>36831</v>
      </c>
      <c r="B96" s="2" cm="1">
        <f t="array" ref="B96">INDEX(Sheet1!$B$5:$M$38,MATCH(YEAR(A96),Sheet1!$A$5:$A$38,0),MONTH(A96))</f>
        <v>0.197</v>
      </c>
    </row>
    <row r="97" spans="1:2">
      <c r="A97" s="3">
        <f t="shared" si="1"/>
        <v>36861</v>
      </c>
      <c r="B97" s="2" cm="1">
        <f t="array" ref="B97">INDEX(Sheet1!$B$5:$M$38,MATCH(YEAR(A97),Sheet1!$A$5:$A$38,0),MONTH(A97))</f>
        <v>0.202</v>
      </c>
    </row>
    <row r="98" spans="1:2">
      <c r="A98" s="3">
        <f t="shared" si="1"/>
        <v>36892</v>
      </c>
      <c r="B98" s="2" cm="1">
        <f t="array" ref="B98">INDEX(Sheet1!$B$5:$M$38,MATCH(YEAR(A98),Sheet1!$A$5:$A$38,0),MONTH(A98))</f>
        <v>0.207</v>
      </c>
    </row>
    <row r="99" spans="1:2">
      <c r="A99" s="3">
        <f t="shared" si="1"/>
        <v>36923</v>
      </c>
      <c r="B99" s="2" cm="1">
        <f t="array" ref="B99">INDEX(Sheet1!$B$5:$M$38,MATCH(YEAR(A99),Sheet1!$A$5:$A$38,0),MONTH(A99))</f>
        <v>0.222</v>
      </c>
    </row>
    <row r="100" spans="1:2">
      <c r="A100" s="3">
        <f t="shared" si="1"/>
        <v>36951</v>
      </c>
      <c r="B100" s="2" cm="1">
        <f t="array" ref="B100">INDEX(Sheet1!$B$5:$M$38,MATCH(YEAR(A100),Sheet1!$A$5:$A$38,0),MONTH(A100))</f>
        <v>0.237</v>
      </c>
    </row>
    <row r="101" spans="1:2">
      <c r="A101" s="3">
        <f t="shared" si="1"/>
        <v>36982</v>
      </c>
      <c r="B101" s="2" cm="1">
        <f t="array" ref="B101">INDEX(Sheet1!$B$5:$M$38,MATCH(YEAR(A101),Sheet1!$A$5:$A$38,0),MONTH(A101))</f>
        <v>0.248</v>
      </c>
    </row>
    <row r="102" spans="1:2">
      <c r="A102" s="3">
        <f t="shared" si="1"/>
        <v>37012</v>
      </c>
      <c r="B102" s="2" cm="1">
        <f t="array" ref="B102">INDEX(Sheet1!$B$5:$M$38,MATCH(YEAR(A102),Sheet1!$A$5:$A$38,0),MONTH(A102))</f>
        <v>0.248</v>
      </c>
    </row>
    <row r="103" spans="1:2">
      <c r="A103" s="3">
        <f t="shared" si="1"/>
        <v>37043</v>
      </c>
      <c r="B103" s="2" cm="1">
        <f t="array" ref="B103">INDEX(Sheet1!$B$5:$M$38,MATCH(YEAR(A103),Sheet1!$A$5:$A$38,0),MONTH(A103))</f>
        <v>0.237</v>
      </c>
    </row>
    <row r="104" spans="1:2">
      <c r="A104" s="3">
        <f t="shared" si="1"/>
        <v>37073</v>
      </c>
      <c r="B104" s="2" cm="1">
        <f t="array" ref="B104">INDEX(Sheet1!$B$5:$M$38,MATCH(YEAR(A104),Sheet1!$A$5:$A$38,0),MONTH(A104))</f>
        <v>0.22</v>
      </c>
    </row>
    <row r="105" spans="1:2">
      <c r="A105" s="3">
        <f t="shared" si="1"/>
        <v>37104</v>
      </c>
      <c r="B105" s="2" cm="1">
        <f t="array" ref="B105">INDEX(Sheet1!$B$5:$M$38,MATCH(YEAR(A105),Sheet1!$A$5:$A$38,0),MONTH(A105))</f>
        <v>0.209</v>
      </c>
    </row>
    <row r="106" spans="1:2">
      <c r="A106" s="3">
        <f t="shared" si="1"/>
        <v>37135</v>
      </c>
      <c r="B106" s="2" cm="1">
        <f t="array" ref="B106">INDEX(Sheet1!$B$5:$M$38,MATCH(YEAR(A106),Sheet1!$A$5:$A$38,0),MONTH(A106))</f>
        <v>0.2</v>
      </c>
    </row>
    <row r="107" spans="1:2">
      <c r="A107" s="3">
        <f t="shared" si="1"/>
        <v>37165</v>
      </c>
      <c r="B107" s="2" cm="1">
        <f t="array" ref="B107">INDEX(Sheet1!$B$5:$M$38,MATCH(YEAR(A107),Sheet1!$A$5:$A$38,0),MONTH(A107))</f>
        <v>0.188</v>
      </c>
    </row>
    <row r="108" spans="1:2">
      <c r="A108" s="3">
        <f t="shared" si="1"/>
        <v>37196</v>
      </c>
      <c r="B108" s="2" cm="1">
        <f t="array" ref="B108">INDEX(Sheet1!$B$5:$M$38,MATCH(YEAR(A108),Sheet1!$A$5:$A$38,0),MONTH(A108))</f>
        <v>0.186</v>
      </c>
    </row>
    <row r="109" spans="1:2">
      <c r="A109" s="3">
        <f t="shared" si="1"/>
        <v>37226</v>
      </c>
      <c r="B109" s="2" cm="1">
        <f t="array" ref="B109">INDEX(Sheet1!$B$5:$M$38,MATCH(YEAR(A109),Sheet1!$A$5:$A$38,0),MONTH(A109))</f>
        <v>0.186</v>
      </c>
    </row>
    <row r="110" spans="1:2">
      <c r="A110" s="3">
        <f t="shared" si="1"/>
        <v>37257</v>
      </c>
      <c r="B110" s="2" cm="1">
        <f t="array" ref="B110">INDEX(Sheet1!$B$5:$M$38,MATCH(YEAR(A110),Sheet1!$A$5:$A$38,0),MONTH(A110))</f>
        <v>0.19</v>
      </c>
    </row>
    <row r="111" spans="1:2">
      <c r="A111" s="3">
        <f t="shared" si="1"/>
        <v>37288</v>
      </c>
      <c r="B111" s="2" cm="1">
        <f t="array" ref="B111">INDEX(Sheet1!$B$5:$M$38,MATCH(YEAR(A111),Sheet1!$A$5:$A$38,0),MONTH(A111))</f>
        <v>0.177</v>
      </c>
    </row>
    <row r="112" spans="1:2">
      <c r="A112" s="3">
        <f t="shared" si="1"/>
        <v>37316</v>
      </c>
      <c r="B112" s="2" cm="1">
        <f t="array" ref="B112">INDEX(Sheet1!$B$5:$M$38,MATCH(YEAR(A112),Sheet1!$A$5:$A$38,0),MONTH(A112))</f>
        <v>0.168</v>
      </c>
    </row>
    <row r="113" spans="1:2">
      <c r="A113" s="3">
        <f t="shared" si="1"/>
        <v>37347</v>
      </c>
      <c r="B113" s="2" cm="1">
        <f t="array" ref="B113">INDEX(Sheet1!$B$5:$M$38,MATCH(YEAR(A113),Sheet1!$A$5:$A$38,0),MONTH(A113))</f>
        <v>0.161</v>
      </c>
    </row>
    <row r="114" spans="1:2">
      <c r="A114" s="3">
        <f t="shared" si="1"/>
        <v>37377</v>
      </c>
      <c r="B114" s="2" cm="1">
        <f t="array" ref="B114">INDEX(Sheet1!$B$5:$M$38,MATCH(YEAR(A114),Sheet1!$A$5:$A$38,0),MONTH(A114))</f>
        <v>0.159</v>
      </c>
    </row>
    <row r="115" spans="1:2">
      <c r="A115" s="3">
        <f t="shared" si="1"/>
        <v>37408</v>
      </c>
      <c r="B115" s="2" cm="1">
        <f t="array" ref="B115">INDEX(Sheet1!$B$5:$M$38,MATCH(YEAR(A115),Sheet1!$A$5:$A$38,0),MONTH(A115))</f>
        <v>0.147</v>
      </c>
    </row>
    <row r="116" spans="1:2">
      <c r="A116" s="3">
        <f t="shared" si="1"/>
        <v>37438</v>
      </c>
      <c r="B116" s="2" cm="1">
        <f t="array" ref="B116">INDEX(Sheet1!$B$5:$M$38,MATCH(YEAR(A116),Sheet1!$A$5:$A$38,0),MONTH(A116))</f>
        <v>0.15</v>
      </c>
    </row>
    <row r="117" spans="1:2">
      <c r="A117" s="3">
        <f t="shared" si="1"/>
        <v>37469</v>
      </c>
      <c r="B117" s="2" cm="1">
        <f t="array" ref="B117">INDEX(Sheet1!$B$5:$M$38,MATCH(YEAR(A117),Sheet1!$A$5:$A$38,0),MONTH(A117))</f>
        <v>0.151</v>
      </c>
    </row>
    <row r="118" spans="1:2">
      <c r="A118" s="3">
        <f t="shared" si="1"/>
        <v>37500</v>
      </c>
      <c r="B118" s="2" cm="1">
        <f t="array" ref="B118">INDEX(Sheet1!$B$5:$M$38,MATCH(YEAR(A118),Sheet1!$A$5:$A$38,0),MONTH(A118))</f>
        <v>0.149</v>
      </c>
    </row>
    <row r="119" spans="1:2">
      <c r="A119" s="3">
        <f t="shared" si="1"/>
        <v>37530</v>
      </c>
      <c r="B119" s="2" cm="1">
        <f t="array" ref="B119">INDEX(Sheet1!$B$5:$M$38,MATCH(YEAR(A119),Sheet1!$A$5:$A$38,0),MONTH(A119))</f>
        <v>0.149</v>
      </c>
    </row>
    <row r="120" spans="1:2">
      <c r="A120" s="3">
        <f t="shared" si="1"/>
        <v>37561</v>
      </c>
      <c r="B120" s="2" cm="1">
        <f t="array" ref="B120">INDEX(Sheet1!$B$5:$M$38,MATCH(YEAR(A120),Sheet1!$A$5:$A$38,0),MONTH(A120))</f>
        <v>0.151</v>
      </c>
    </row>
    <row r="121" spans="1:2">
      <c r="A121" s="3">
        <f t="shared" si="1"/>
        <v>37591</v>
      </c>
      <c r="B121" s="2" cm="1">
        <f t="array" ref="B121">INDEX(Sheet1!$B$5:$M$38,MATCH(YEAR(A121),Sheet1!$A$5:$A$38,0),MONTH(A121))</f>
        <v>0.151</v>
      </c>
    </row>
    <row r="122" spans="1:2">
      <c r="A122" s="3">
        <f t="shared" si="1"/>
        <v>37622</v>
      </c>
      <c r="B122" s="2" cm="1">
        <f t="array" ref="B122">INDEX(Sheet1!$B$5:$M$38,MATCH(YEAR(A122),Sheet1!$A$5:$A$38,0),MONTH(A122))</f>
        <v>0.143</v>
      </c>
    </row>
    <row r="123" spans="1:2">
      <c r="A123" s="3">
        <f t="shared" si="1"/>
        <v>37653</v>
      </c>
      <c r="B123" s="2" cm="1">
        <f t="array" ref="B123">INDEX(Sheet1!$B$5:$M$38,MATCH(YEAR(A123),Sheet1!$A$5:$A$38,0),MONTH(A123))</f>
        <v>0.148</v>
      </c>
    </row>
    <row r="124" spans="1:2">
      <c r="A124" s="3">
        <f t="shared" si="1"/>
        <v>37681</v>
      </c>
      <c r="B124" s="2" cm="1">
        <f t="array" ref="B124">INDEX(Sheet1!$B$5:$M$38,MATCH(YEAR(A124),Sheet1!$A$5:$A$38,0),MONTH(A124))</f>
        <v>0.148</v>
      </c>
    </row>
    <row r="125" spans="1:2">
      <c r="A125" s="3">
        <f t="shared" si="1"/>
        <v>37712</v>
      </c>
      <c r="B125" s="2" cm="1">
        <f t="array" ref="B125">INDEX(Sheet1!$B$5:$M$38,MATCH(YEAR(A125),Sheet1!$A$5:$A$38,0),MONTH(A125))</f>
        <v>0.146</v>
      </c>
    </row>
    <row r="126" spans="1:2">
      <c r="A126" s="3">
        <f t="shared" si="1"/>
        <v>37742</v>
      </c>
      <c r="B126" s="2" cm="1">
        <f t="array" ref="B126">INDEX(Sheet1!$B$5:$M$38,MATCH(YEAR(A126),Sheet1!$A$5:$A$38,0),MONTH(A126))</f>
        <v>0.136</v>
      </c>
    </row>
    <row r="127" spans="1:2">
      <c r="A127" s="3">
        <f t="shared" si="1"/>
        <v>37773</v>
      </c>
      <c r="B127" s="2" cm="1">
        <f t="array" ref="B127">INDEX(Sheet1!$B$5:$M$38,MATCH(YEAR(A127),Sheet1!$A$5:$A$38,0),MONTH(A127))</f>
        <v>0.139</v>
      </c>
    </row>
    <row r="128" spans="1:2">
      <c r="A128" s="3">
        <f t="shared" si="1"/>
        <v>37803</v>
      </c>
      <c r="B128" s="2" cm="1">
        <f t="array" ref="B128">INDEX(Sheet1!$B$5:$M$38,MATCH(YEAR(A128),Sheet1!$A$5:$A$38,0),MONTH(A128))</f>
        <v>0.139</v>
      </c>
    </row>
    <row r="129" spans="1:2">
      <c r="A129" s="3">
        <f t="shared" si="1"/>
        <v>37834</v>
      </c>
      <c r="B129" s="2" cm="1">
        <f t="array" ref="B129">INDEX(Sheet1!$B$5:$M$38,MATCH(YEAR(A129),Sheet1!$A$5:$A$38,0),MONTH(A129))</f>
        <v>0.134</v>
      </c>
    </row>
    <row r="130" spans="1:2">
      <c r="A130" s="3">
        <f t="shared" si="1"/>
        <v>37865</v>
      </c>
      <c r="B130" s="2" cm="1">
        <f t="array" ref="B130">INDEX(Sheet1!$B$5:$M$38,MATCH(YEAR(A130),Sheet1!$A$5:$A$38,0),MONTH(A130))</f>
        <v>0.133</v>
      </c>
    </row>
    <row r="131" spans="1:2">
      <c r="A131" s="3">
        <f t="shared" ref="A131:A194" si="2">EDATE(A130,1)</f>
        <v>37895</v>
      </c>
      <c r="B131" s="2" cm="1">
        <f t="array" ref="B131">INDEX(Sheet1!$B$5:$M$38,MATCH(YEAR(A131),Sheet1!$A$5:$A$38,0),MONTH(A131))</f>
        <v>0.132</v>
      </c>
    </row>
    <row r="132" spans="1:2">
      <c r="A132" s="3">
        <f t="shared" si="2"/>
        <v>37926</v>
      </c>
      <c r="B132" s="2" cm="1">
        <f t="array" ref="B132">INDEX(Sheet1!$B$5:$M$38,MATCH(YEAR(A132),Sheet1!$A$5:$A$38,0),MONTH(A132))</f>
        <v>0.125</v>
      </c>
    </row>
    <row r="133" spans="1:2">
      <c r="A133" s="3">
        <f t="shared" si="2"/>
        <v>37956</v>
      </c>
      <c r="B133" s="2" cm="1">
        <f t="array" ref="B133">INDEX(Sheet1!$B$5:$M$38,MATCH(YEAR(A133),Sheet1!$A$5:$A$38,0),MONTH(A133))</f>
        <v>0.12</v>
      </c>
    </row>
    <row r="134" spans="1:2">
      <c r="A134" s="3">
        <f t="shared" si="2"/>
        <v>37987</v>
      </c>
      <c r="B134" s="2" cm="1">
        <f t="array" ref="B134">INDEX(Sheet1!$B$5:$M$38,MATCH(YEAR(A134),Sheet1!$A$5:$A$38,0),MONTH(A134))</f>
        <v>0.113</v>
      </c>
    </row>
    <row r="135" spans="1:2">
      <c r="A135" s="3">
        <f t="shared" si="2"/>
        <v>38018</v>
      </c>
      <c r="B135" s="2" cm="1">
        <f t="array" ref="B135">INDEX(Sheet1!$B$5:$M$38,MATCH(YEAR(A135),Sheet1!$A$5:$A$38,0),MONTH(A135))</f>
        <v>0.106</v>
      </c>
    </row>
    <row r="136" spans="1:2">
      <c r="A136" s="3">
        <f t="shared" si="2"/>
        <v>38047</v>
      </c>
      <c r="B136" s="2" cm="1">
        <f t="array" ref="B136">INDEX(Sheet1!$B$5:$M$38,MATCH(YEAR(A136),Sheet1!$A$5:$A$38,0),MONTH(A136))</f>
        <v>0.103</v>
      </c>
    </row>
    <row r="137" spans="1:2">
      <c r="A137" s="3">
        <f t="shared" si="2"/>
        <v>38078</v>
      </c>
      <c r="B137" s="2" cm="1">
        <f t="array" ref="B137">INDEX(Sheet1!$B$5:$M$38,MATCH(YEAR(A137),Sheet1!$A$5:$A$38,0),MONTH(A137))</f>
        <v>0.102</v>
      </c>
    </row>
    <row r="138" spans="1:2">
      <c r="A138" s="3">
        <f t="shared" si="2"/>
        <v>38108</v>
      </c>
      <c r="B138" s="2" cm="1">
        <f t="array" ref="B138">INDEX(Sheet1!$B$5:$M$38,MATCH(YEAR(A138),Sheet1!$A$5:$A$38,0),MONTH(A138))</f>
        <v>0.102</v>
      </c>
    </row>
    <row r="139" spans="1:2">
      <c r="A139" s="3">
        <f t="shared" si="2"/>
        <v>38139</v>
      </c>
      <c r="B139" s="2" cm="1">
        <f t="array" ref="B139">INDEX(Sheet1!$B$5:$M$38,MATCH(YEAR(A139),Sheet1!$A$5:$A$38,0),MONTH(A139))</f>
        <v>0.101</v>
      </c>
    </row>
    <row r="140" spans="1:2">
      <c r="A140" s="3">
        <f t="shared" si="2"/>
        <v>38169</v>
      </c>
      <c r="B140" s="2" cm="1">
        <f t="array" ref="B140">INDEX(Sheet1!$B$5:$M$38,MATCH(YEAR(A140),Sheet1!$A$5:$A$38,0),MONTH(A140))</f>
        <v>0.104</v>
      </c>
    </row>
    <row r="141" spans="1:2">
      <c r="A141" s="3">
        <f t="shared" si="2"/>
        <v>38200</v>
      </c>
      <c r="B141" s="2" cm="1">
        <f t="array" ref="B141">INDEX(Sheet1!$B$5:$M$38,MATCH(YEAR(A141),Sheet1!$A$5:$A$38,0),MONTH(A141))</f>
        <v>0.113</v>
      </c>
    </row>
    <row r="142" spans="1:2">
      <c r="A142" s="3">
        <f t="shared" si="2"/>
        <v>38231</v>
      </c>
      <c r="B142" s="2" cm="1">
        <f t="array" ref="B142">INDEX(Sheet1!$B$5:$M$38,MATCH(YEAR(A142),Sheet1!$A$5:$A$38,0),MONTH(A142))</f>
        <v>0.114</v>
      </c>
    </row>
    <row r="143" spans="1:2">
      <c r="A143" s="3">
        <f t="shared" si="2"/>
        <v>38261</v>
      </c>
      <c r="B143" s="2" cm="1">
        <f t="array" ref="B143">INDEX(Sheet1!$B$5:$M$38,MATCH(YEAR(A143),Sheet1!$A$5:$A$38,0),MONTH(A143))</f>
        <v>0.115</v>
      </c>
    </row>
    <row r="144" spans="1:2">
      <c r="A144" s="3">
        <f t="shared" si="2"/>
        <v>38292</v>
      </c>
      <c r="B144" s="2" cm="1">
        <f t="array" ref="B144">INDEX(Sheet1!$B$5:$M$38,MATCH(YEAR(A144),Sheet1!$A$5:$A$38,0),MONTH(A144))</f>
        <v>0.117</v>
      </c>
    </row>
    <row r="145" spans="1:2">
      <c r="A145" s="3">
        <f t="shared" si="2"/>
        <v>38322</v>
      </c>
      <c r="B145" s="2" cm="1">
        <f t="array" ref="B145">INDEX(Sheet1!$B$5:$M$38,MATCH(YEAR(A145),Sheet1!$A$5:$A$38,0),MONTH(A145))</f>
        <v>0.117</v>
      </c>
    </row>
    <row r="146" spans="1:2">
      <c r="A146" s="3">
        <f t="shared" si="2"/>
        <v>38353</v>
      </c>
      <c r="B146" s="2" cm="1">
        <f t="array" ref="B146">INDEX(Sheet1!$B$5:$M$38,MATCH(YEAR(A146),Sheet1!$A$5:$A$38,0),MONTH(A146))</f>
        <v>0.127</v>
      </c>
    </row>
    <row r="147" spans="1:2">
      <c r="A147" s="3">
        <f t="shared" si="2"/>
        <v>38384</v>
      </c>
      <c r="B147" s="2" cm="1">
        <f t="array" ref="B147">INDEX(Sheet1!$B$5:$M$38,MATCH(YEAR(A147),Sheet1!$A$5:$A$38,0),MONTH(A147))</f>
        <v>0.13</v>
      </c>
    </row>
    <row r="148" spans="1:2">
      <c r="A148" s="3">
        <f t="shared" si="2"/>
        <v>38412</v>
      </c>
      <c r="B148" s="2" cm="1">
        <f t="array" ref="B148">INDEX(Sheet1!$B$5:$M$38,MATCH(YEAR(A148),Sheet1!$A$5:$A$38,0),MONTH(A148))</f>
        <v>0.136</v>
      </c>
    </row>
    <row r="149" spans="1:2">
      <c r="A149" s="3">
        <f t="shared" si="2"/>
        <v>38443</v>
      </c>
      <c r="B149" s="2" cm="1">
        <f t="array" ref="B149">INDEX(Sheet1!$B$5:$M$38,MATCH(YEAR(A149),Sheet1!$A$5:$A$38,0),MONTH(A149))</f>
        <v>0.138</v>
      </c>
    </row>
    <row r="150" spans="1:2">
      <c r="A150" s="3">
        <f t="shared" si="2"/>
        <v>38473</v>
      </c>
      <c r="B150" s="2" cm="1">
        <f t="array" ref="B150">INDEX(Sheet1!$B$5:$M$38,MATCH(YEAR(A150),Sheet1!$A$5:$A$38,0),MONTH(A150))</f>
        <v>0.138</v>
      </c>
    </row>
    <row r="151" spans="1:2">
      <c r="A151" s="3">
        <f t="shared" si="2"/>
        <v>38504</v>
      </c>
      <c r="B151" s="2" cm="1">
        <f t="array" ref="B151">INDEX(Sheet1!$B$5:$M$38,MATCH(YEAR(A151),Sheet1!$A$5:$A$38,0),MONTH(A151))</f>
        <v>0.137</v>
      </c>
    </row>
    <row r="152" spans="1:2">
      <c r="A152" s="3">
        <f t="shared" si="2"/>
        <v>38534</v>
      </c>
      <c r="B152" s="2" cm="1">
        <f t="array" ref="B152">INDEX(Sheet1!$B$5:$M$38,MATCH(YEAR(A152),Sheet1!$A$5:$A$38,0),MONTH(A152))</f>
        <v>0.132</v>
      </c>
    </row>
    <row r="153" spans="1:2">
      <c r="A153" s="3">
        <f t="shared" si="2"/>
        <v>38565</v>
      </c>
      <c r="B153" s="2" cm="1">
        <f t="array" ref="B153">INDEX(Sheet1!$B$5:$M$38,MATCH(YEAR(A153),Sheet1!$A$5:$A$38,0),MONTH(A153))</f>
        <v>0.125</v>
      </c>
    </row>
    <row r="154" spans="1:2">
      <c r="A154" s="3">
        <f t="shared" si="2"/>
        <v>38596</v>
      </c>
      <c r="B154" s="2" cm="1">
        <f t="array" ref="B154">INDEX(Sheet1!$B$5:$M$38,MATCH(YEAR(A154),Sheet1!$A$5:$A$38,0),MONTH(A154))</f>
        <v>0.123</v>
      </c>
    </row>
    <row r="155" spans="1:2">
      <c r="A155" s="3">
        <f t="shared" si="2"/>
        <v>38626</v>
      </c>
      <c r="B155" s="2" cm="1">
        <f t="array" ref="B155">INDEX(Sheet1!$B$5:$M$38,MATCH(YEAR(A155),Sheet1!$A$5:$A$38,0),MONTH(A155))</f>
        <v>0.117</v>
      </c>
    </row>
    <row r="156" spans="1:2">
      <c r="A156" s="3">
        <f t="shared" si="2"/>
        <v>38657</v>
      </c>
      <c r="B156" s="2" cm="1">
        <f t="array" ref="B156">INDEX(Sheet1!$B$5:$M$38,MATCH(YEAR(A156),Sheet1!$A$5:$A$38,0),MONTH(A156))</f>
        <v>0.113</v>
      </c>
    </row>
    <row r="157" spans="1:2">
      <c r="A157" s="3">
        <f t="shared" si="2"/>
        <v>38687</v>
      </c>
      <c r="B157" s="2" cm="1">
        <f t="array" ref="B157">INDEX(Sheet1!$B$5:$M$38,MATCH(YEAR(A157),Sheet1!$A$5:$A$38,0),MONTH(A157))</f>
        <v>0.109</v>
      </c>
    </row>
    <row r="158" spans="1:2">
      <c r="A158" s="3">
        <f t="shared" si="2"/>
        <v>38718</v>
      </c>
      <c r="B158" s="2" cm="1">
        <f t="array" ref="B158">INDEX(Sheet1!$B$5:$M$38,MATCH(YEAR(A158),Sheet1!$A$5:$A$38,0),MONTH(A158))</f>
        <v>0.107</v>
      </c>
    </row>
    <row r="159" spans="1:2">
      <c r="A159" s="3">
        <f t="shared" si="2"/>
        <v>38749</v>
      </c>
      <c r="B159" s="2" cm="1">
        <f t="array" ref="B159">INDEX(Sheet1!$B$5:$M$38,MATCH(YEAR(A159),Sheet1!$A$5:$A$38,0),MONTH(A159))</f>
        <v>0.112</v>
      </c>
    </row>
    <row r="160" spans="1:2">
      <c r="A160" s="3">
        <f t="shared" si="2"/>
        <v>38777</v>
      </c>
      <c r="B160" s="2" cm="1">
        <f t="array" ref="B160">INDEX(Sheet1!$B$5:$M$38,MATCH(YEAR(A160),Sheet1!$A$5:$A$38,0),MONTH(A160))</f>
        <v>0.106</v>
      </c>
    </row>
    <row r="161" spans="1:2">
      <c r="A161" s="3">
        <f t="shared" si="2"/>
        <v>38808</v>
      </c>
      <c r="B161" s="2" cm="1">
        <f t="array" ref="B161">INDEX(Sheet1!$B$5:$M$38,MATCH(YEAR(A161),Sheet1!$A$5:$A$38,0),MONTH(A161))</f>
        <v>0.098</v>
      </c>
    </row>
    <row r="162" spans="1:2">
      <c r="A162" s="3">
        <f t="shared" si="2"/>
        <v>38838</v>
      </c>
      <c r="B162" s="2" cm="1">
        <f t="array" ref="B162">INDEX(Sheet1!$B$5:$M$38,MATCH(YEAR(A162),Sheet1!$A$5:$A$38,0),MONTH(A162))</f>
        <v>0.094</v>
      </c>
    </row>
    <row r="163" spans="1:2">
      <c r="A163" s="3">
        <f t="shared" si="2"/>
        <v>38869</v>
      </c>
      <c r="B163" s="2" cm="1">
        <f t="array" ref="B163">INDEX(Sheet1!$B$5:$M$38,MATCH(YEAR(A163),Sheet1!$A$5:$A$38,0),MONTH(A163))</f>
        <v>0.09</v>
      </c>
    </row>
    <row r="164" spans="1:2">
      <c r="A164" s="3">
        <f t="shared" si="2"/>
        <v>38899</v>
      </c>
      <c r="B164" s="2" cm="1">
        <f t="array" ref="B164">INDEX(Sheet1!$B$5:$M$38,MATCH(YEAR(A164),Sheet1!$A$5:$A$38,0),MONTH(A164))</f>
        <v>0.092</v>
      </c>
    </row>
    <row r="165" spans="1:2">
      <c r="A165" s="3">
        <f t="shared" si="2"/>
        <v>38930</v>
      </c>
      <c r="B165" s="2" cm="1">
        <f t="array" ref="B165">INDEX(Sheet1!$B$5:$M$38,MATCH(YEAR(A165),Sheet1!$A$5:$A$38,0),MONTH(A165))</f>
        <v>0.096</v>
      </c>
    </row>
    <row r="166" spans="1:2">
      <c r="A166" s="3">
        <f t="shared" si="2"/>
        <v>38961</v>
      </c>
      <c r="B166" s="2" cm="1">
        <f t="array" ref="B166">INDEX(Sheet1!$B$5:$M$38,MATCH(YEAR(A166),Sheet1!$A$5:$A$38,0),MONTH(A166))</f>
        <v>0.094</v>
      </c>
    </row>
    <row r="167" spans="1:2">
      <c r="A167" s="3">
        <f t="shared" si="2"/>
        <v>38991</v>
      </c>
      <c r="B167" s="2" cm="1">
        <f t="array" ref="B167">INDEX(Sheet1!$B$5:$M$38,MATCH(YEAR(A167),Sheet1!$A$5:$A$38,0),MONTH(A167))</f>
        <v>0.091</v>
      </c>
    </row>
    <row r="168" spans="1:2">
      <c r="A168" s="3">
        <f t="shared" si="2"/>
        <v>39022</v>
      </c>
      <c r="B168" s="2" cm="1">
        <f t="array" ref="B168">INDEX(Sheet1!$B$5:$M$38,MATCH(YEAR(A168),Sheet1!$A$5:$A$38,0),MONTH(A168))</f>
        <v>0.09</v>
      </c>
    </row>
    <row r="169" spans="1:2">
      <c r="A169" s="3">
        <f t="shared" si="2"/>
        <v>39052</v>
      </c>
      <c r="B169" s="2" cm="1">
        <f t="array" ref="B169">INDEX(Sheet1!$B$5:$M$38,MATCH(YEAR(A169),Sheet1!$A$5:$A$38,0),MONTH(A169))</f>
        <v>0.09</v>
      </c>
    </row>
    <row r="170" spans="1:2">
      <c r="A170" s="3">
        <f t="shared" si="2"/>
        <v>39083</v>
      </c>
      <c r="B170" s="2" cm="1">
        <f t="array" ref="B170">INDEX(Sheet1!$B$5:$M$38,MATCH(YEAR(A170),Sheet1!$A$5:$A$38,0),MONTH(A170))</f>
        <v>0.082</v>
      </c>
    </row>
    <row r="171" spans="1:2">
      <c r="A171" s="3">
        <f t="shared" si="2"/>
        <v>39114</v>
      </c>
      <c r="B171" s="2" cm="1">
        <f t="array" ref="B171">INDEX(Sheet1!$B$5:$M$38,MATCH(YEAR(A171),Sheet1!$A$5:$A$38,0),MONTH(A171))</f>
        <v>0.076</v>
      </c>
    </row>
    <row r="172" spans="1:2">
      <c r="A172" s="3">
        <f t="shared" si="2"/>
        <v>39142</v>
      </c>
      <c r="B172" s="2" cm="1">
        <f t="array" ref="B172">INDEX(Sheet1!$B$5:$M$38,MATCH(YEAR(A172),Sheet1!$A$5:$A$38,0),MONTH(A172))</f>
        <v>0.074</v>
      </c>
    </row>
    <row r="173" spans="1:2">
      <c r="A173" s="3">
        <f t="shared" si="2"/>
        <v>39173</v>
      </c>
      <c r="B173" s="2" cm="1">
        <f t="array" ref="B173">INDEX(Sheet1!$B$5:$M$38,MATCH(YEAR(A173),Sheet1!$A$5:$A$38,0),MONTH(A173))</f>
        <v>0.076</v>
      </c>
    </row>
    <row r="174" spans="1:2">
      <c r="A174" s="3">
        <f t="shared" si="2"/>
        <v>39203</v>
      </c>
      <c r="B174" s="2" cm="1">
        <f t="array" ref="B174">INDEX(Sheet1!$B$5:$M$38,MATCH(YEAR(A174),Sheet1!$A$5:$A$38,0),MONTH(A174))</f>
        <v>0.078</v>
      </c>
    </row>
    <row r="175" spans="1:2">
      <c r="A175" s="3">
        <f t="shared" si="2"/>
        <v>39234</v>
      </c>
      <c r="B175" s="2" cm="1">
        <f t="array" ref="B175">INDEX(Sheet1!$B$5:$M$38,MATCH(YEAR(A175),Sheet1!$A$5:$A$38,0),MONTH(A175))</f>
        <v>0.085</v>
      </c>
    </row>
    <row r="176" spans="1:2">
      <c r="A176" s="3">
        <f t="shared" si="2"/>
        <v>39264</v>
      </c>
      <c r="B176" s="2" cm="1">
        <f t="array" ref="B176">INDEX(Sheet1!$B$5:$M$38,MATCH(YEAR(A176),Sheet1!$A$5:$A$38,0),MONTH(A176))</f>
        <v>0.087</v>
      </c>
    </row>
    <row r="177" spans="1:2">
      <c r="A177" s="3">
        <f t="shared" si="2"/>
        <v>39295</v>
      </c>
      <c r="B177" s="2" cm="1">
        <f t="array" ref="B177">INDEX(Sheet1!$B$5:$M$38,MATCH(YEAR(A177),Sheet1!$A$5:$A$38,0),MONTH(A177))</f>
        <v>0.086</v>
      </c>
    </row>
    <row r="178" spans="1:2">
      <c r="A178" s="3">
        <f t="shared" si="2"/>
        <v>39326</v>
      </c>
      <c r="B178" s="2" cm="1">
        <f t="array" ref="B178">INDEX(Sheet1!$B$5:$M$38,MATCH(YEAR(A178),Sheet1!$A$5:$A$38,0),MONTH(A178))</f>
        <v>0.094</v>
      </c>
    </row>
    <row r="179" spans="1:2">
      <c r="A179" s="3">
        <f t="shared" si="2"/>
        <v>39356</v>
      </c>
      <c r="B179" s="2" cm="1">
        <f t="array" ref="B179">INDEX(Sheet1!$B$5:$M$38,MATCH(YEAR(A179),Sheet1!$A$5:$A$38,0),MONTH(A179))</f>
        <v>0.108</v>
      </c>
    </row>
    <row r="180" spans="1:2">
      <c r="A180" s="3">
        <f t="shared" si="2"/>
        <v>39387</v>
      </c>
      <c r="B180" s="2" cm="1">
        <f t="array" ref="B180">INDEX(Sheet1!$B$5:$M$38,MATCH(YEAR(A180),Sheet1!$A$5:$A$38,0),MONTH(A180))</f>
        <v>0.115</v>
      </c>
    </row>
    <row r="181" spans="1:2">
      <c r="A181" s="3">
        <f t="shared" si="2"/>
        <v>39417</v>
      </c>
      <c r="B181" s="2" cm="1">
        <f t="array" ref="B181">INDEX(Sheet1!$B$5:$M$38,MATCH(YEAR(A181),Sheet1!$A$5:$A$38,0),MONTH(A181))</f>
        <v>0.119</v>
      </c>
    </row>
    <row r="182" spans="1:2">
      <c r="A182" s="3">
        <f t="shared" si="2"/>
        <v>39448</v>
      </c>
      <c r="B182" s="2" cm="1">
        <f t="array" ref="B182">INDEX(Sheet1!$B$5:$M$38,MATCH(YEAR(A182),Sheet1!$A$5:$A$38,0),MONTH(A182))</f>
        <v>0.126</v>
      </c>
    </row>
    <row r="183" spans="1:2">
      <c r="A183" s="3">
        <f t="shared" si="2"/>
        <v>39479</v>
      </c>
      <c r="B183" s="2" cm="1">
        <f t="array" ref="B183">INDEX(Sheet1!$B$5:$M$38,MATCH(YEAR(A183),Sheet1!$A$5:$A$38,0),MONTH(A183))</f>
        <v>0.127</v>
      </c>
    </row>
    <row r="184" spans="1:2">
      <c r="A184" s="3">
        <f t="shared" si="2"/>
        <v>39508</v>
      </c>
      <c r="B184" s="2" cm="1">
        <f t="array" ref="B184">INDEX(Sheet1!$B$5:$M$38,MATCH(YEAR(A184),Sheet1!$A$5:$A$38,0),MONTH(A184))</f>
        <v>0.134</v>
      </c>
    </row>
    <row r="185" spans="1:2">
      <c r="A185" s="3">
        <f t="shared" si="2"/>
        <v>39539</v>
      </c>
      <c r="B185" s="2" cm="1">
        <f t="array" ref="B185">INDEX(Sheet1!$B$5:$M$38,MATCH(YEAR(A185),Sheet1!$A$5:$A$38,0),MONTH(A185))</f>
        <v>0.143</v>
      </c>
    </row>
    <row r="186" spans="1:2">
      <c r="A186" s="3">
        <f t="shared" si="2"/>
        <v>39569</v>
      </c>
      <c r="B186" s="2" cm="1">
        <f t="array" ref="B186">INDEX(Sheet1!$B$5:$M$38,MATCH(YEAR(A186),Sheet1!$A$5:$A$38,0),MONTH(A186))</f>
        <v>0.151</v>
      </c>
    </row>
    <row r="187" spans="1:2">
      <c r="A187" s="3">
        <f t="shared" si="2"/>
        <v>39600</v>
      </c>
      <c r="B187" s="2" cm="1">
        <f t="array" ref="B187">INDEX(Sheet1!$B$5:$M$38,MATCH(YEAR(A187),Sheet1!$A$5:$A$38,0),MONTH(A187))</f>
        <v>0.152</v>
      </c>
    </row>
    <row r="188" spans="1:2">
      <c r="A188" s="3">
        <f t="shared" si="2"/>
        <v>39630</v>
      </c>
      <c r="B188" s="2" cm="1">
        <f t="array" ref="B188">INDEX(Sheet1!$B$5:$M$38,MATCH(YEAR(A188),Sheet1!$A$5:$A$38,0),MONTH(A188))</f>
        <v>0.147</v>
      </c>
    </row>
    <row r="189" spans="1:2">
      <c r="A189" s="3">
        <f t="shared" si="2"/>
        <v>39661</v>
      </c>
      <c r="B189" s="2" cm="1">
        <f t="array" ref="B189">INDEX(Sheet1!$B$5:$M$38,MATCH(YEAR(A189),Sheet1!$A$5:$A$38,0),MONTH(A189))</f>
        <v>0.15</v>
      </c>
    </row>
    <row r="190" spans="1:2">
      <c r="A190" s="3">
        <f t="shared" si="2"/>
        <v>39692</v>
      </c>
      <c r="B190" s="2" cm="1">
        <f t="array" ref="B190">INDEX(Sheet1!$B$5:$M$38,MATCH(YEAR(A190),Sheet1!$A$5:$A$38,0),MONTH(A190))</f>
        <v>0.151</v>
      </c>
    </row>
    <row r="191" spans="1:2">
      <c r="A191" s="3">
        <f t="shared" si="2"/>
        <v>39722</v>
      </c>
      <c r="B191" s="2" cm="1">
        <f t="array" ref="B191">INDEX(Sheet1!$B$5:$M$38,MATCH(YEAR(A191),Sheet1!$A$5:$A$38,0),MONTH(A191))</f>
        <v>0.142</v>
      </c>
    </row>
    <row r="192" spans="1:2">
      <c r="A192" s="3">
        <f t="shared" si="2"/>
        <v>39753</v>
      </c>
      <c r="B192" s="2" cm="1">
        <f t="array" ref="B192">INDEX(Sheet1!$B$5:$M$38,MATCH(YEAR(A192),Sheet1!$A$5:$A$38,0),MONTH(A192))</f>
        <v>0.138</v>
      </c>
    </row>
    <row r="193" spans="1:2">
      <c r="A193" s="3">
        <f t="shared" si="2"/>
        <v>39783</v>
      </c>
      <c r="B193" s="2" cm="1">
        <f t="array" ref="B193">INDEX(Sheet1!$B$5:$M$38,MATCH(YEAR(A193),Sheet1!$A$5:$A$38,0),MONTH(A193))</f>
        <v>0.133</v>
      </c>
    </row>
    <row r="194" spans="1:2">
      <c r="A194" s="3">
        <f t="shared" si="2"/>
        <v>39814</v>
      </c>
      <c r="B194" s="2" cm="1">
        <f t="array" ref="B194">INDEX(Sheet1!$B$5:$M$38,MATCH(YEAR(A194),Sheet1!$A$5:$A$38,0),MONTH(A194))</f>
        <v>0.133</v>
      </c>
    </row>
    <row r="195" spans="1:2">
      <c r="A195" s="3">
        <f t="shared" ref="A195:A258" si="3">EDATE(A194,1)</f>
        <v>39845</v>
      </c>
      <c r="B195" s="2" cm="1">
        <f t="array" ref="B195">INDEX(Sheet1!$B$5:$M$38,MATCH(YEAR(A195),Sheet1!$A$5:$A$38,0),MONTH(A195))</f>
        <v>0.138</v>
      </c>
    </row>
    <row r="196" spans="1:2">
      <c r="A196" s="3">
        <f t="shared" si="3"/>
        <v>39873</v>
      </c>
      <c r="B196" s="2" cm="1">
        <f t="array" ref="B196">INDEX(Sheet1!$B$5:$M$38,MATCH(YEAR(A196),Sheet1!$A$5:$A$38,0),MONTH(A196))</f>
        <v>0.14</v>
      </c>
    </row>
    <row r="197" spans="1:2">
      <c r="A197" s="3">
        <f t="shared" si="3"/>
        <v>39904</v>
      </c>
      <c r="B197" s="2" cm="1">
        <f t="array" ref="B197">INDEX(Sheet1!$B$5:$M$38,MATCH(YEAR(A197),Sheet1!$A$5:$A$38,0),MONTH(A197))</f>
        <v>0.132</v>
      </c>
    </row>
    <row r="198" spans="1:2">
      <c r="A198" s="3">
        <f t="shared" si="3"/>
        <v>39934</v>
      </c>
      <c r="B198" s="2" cm="1">
        <f t="array" ref="B198">INDEX(Sheet1!$B$5:$M$38,MATCH(YEAR(A198),Sheet1!$A$5:$A$38,0),MONTH(A198))</f>
        <v>0.123</v>
      </c>
    </row>
    <row r="199" spans="1:2">
      <c r="A199" s="3">
        <f t="shared" si="3"/>
        <v>39965</v>
      </c>
      <c r="B199" s="2" cm="1">
        <f t="array" ref="B199">INDEX(Sheet1!$B$5:$M$38,MATCH(YEAR(A199),Sheet1!$A$5:$A$38,0),MONTH(A199))</f>
        <v>0.119</v>
      </c>
    </row>
    <row r="200" spans="1:2">
      <c r="A200" s="3">
        <f t="shared" si="3"/>
        <v>39995</v>
      </c>
      <c r="B200" s="2" cm="1">
        <f t="array" ref="B200">INDEX(Sheet1!$B$5:$M$38,MATCH(YEAR(A200),Sheet1!$A$5:$A$38,0),MONTH(A200))</f>
        <v>0.12</v>
      </c>
    </row>
    <row r="201" spans="1:2">
      <c r="A201" s="3">
        <f t="shared" si="3"/>
        <v>40026</v>
      </c>
      <c r="B201" s="2" cm="1">
        <f t="array" ref="B201">INDEX(Sheet1!$B$5:$M$38,MATCH(YEAR(A201),Sheet1!$A$5:$A$38,0),MONTH(A201))</f>
        <v>0.116</v>
      </c>
    </row>
    <row r="202" spans="1:2">
      <c r="A202" s="3">
        <f t="shared" si="3"/>
        <v>40057</v>
      </c>
      <c r="B202" s="2" cm="1">
        <f t="array" ref="B202">INDEX(Sheet1!$B$5:$M$38,MATCH(YEAR(A202),Sheet1!$A$5:$A$38,0),MONTH(A202))</f>
        <v>0.107</v>
      </c>
    </row>
    <row r="203" spans="1:2">
      <c r="A203" s="3">
        <f t="shared" si="3"/>
        <v>40087</v>
      </c>
      <c r="B203" s="2" cm="1">
        <f t="array" ref="B203">INDEX(Sheet1!$B$5:$M$38,MATCH(YEAR(A203),Sheet1!$A$5:$A$38,0),MONTH(A203))</f>
        <v>0.097</v>
      </c>
    </row>
    <row r="204" spans="1:2">
      <c r="A204" s="3">
        <f t="shared" si="3"/>
        <v>40118</v>
      </c>
      <c r="B204" s="2" cm="1">
        <f t="array" ref="B204">INDEX(Sheet1!$B$5:$M$38,MATCH(YEAR(A204),Sheet1!$A$5:$A$38,0),MONTH(A204))</f>
        <v>0.091</v>
      </c>
    </row>
    <row r="205" spans="1:2">
      <c r="A205" s="3">
        <f t="shared" si="3"/>
        <v>40148</v>
      </c>
      <c r="B205" s="2" cm="1">
        <f t="array" ref="B205">INDEX(Sheet1!$B$5:$M$38,MATCH(YEAR(A205),Sheet1!$A$5:$A$38,0),MONTH(A205))</f>
        <v>0.088</v>
      </c>
    </row>
    <row r="206" spans="1:2">
      <c r="A206" s="3">
        <f t="shared" si="3"/>
        <v>40179</v>
      </c>
      <c r="B206" s="2" cm="1">
        <f t="array" ref="B206">INDEX(Sheet1!$B$5:$M$38,MATCH(YEAR(A206),Sheet1!$A$5:$A$38,0),MONTH(A206))</f>
        <v>0.08</v>
      </c>
    </row>
    <row r="207" spans="1:2">
      <c r="A207" s="3">
        <f t="shared" si="3"/>
        <v>40210</v>
      </c>
      <c r="B207" s="2" cm="1">
        <f t="array" ref="B207">INDEX(Sheet1!$B$5:$M$38,MATCH(YEAR(A207),Sheet1!$A$5:$A$38,0),MONTH(A207))</f>
        <v>0.072</v>
      </c>
    </row>
    <row r="208" spans="1:2">
      <c r="A208" s="3">
        <f t="shared" si="3"/>
        <v>40238</v>
      </c>
      <c r="B208" s="2" cm="1">
        <f t="array" ref="B208">INDEX(Sheet1!$B$5:$M$38,MATCH(YEAR(A208),Sheet1!$A$5:$A$38,0),MONTH(A208))</f>
        <v>0.065</v>
      </c>
    </row>
    <row r="209" spans="1:2">
      <c r="A209" s="3">
        <f t="shared" si="3"/>
        <v>40269</v>
      </c>
      <c r="B209" s="2" cm="1">
        <f t="array" ref="B209">INDEX(Sheet1!$B$5:$M$38,MATCH(YEAR(A209),Sheet1!$A$5:$A$38,0),MONTH(A209))</f>
        <v>0.06</v>
      </c>
    </row>
    <row r="210" spans="1:2">
      <c r="A210" s="3">
        <f t="shared" si="3"/>
        <v>40299</v>
      </c>
      <c r="B210" s="2" cm="1">
        <f t="array" ref="B210">INDEX(Sheet1!$B$5:$M$38,MATCH(YEAR(A210),Sheet1!$A$5:$A$38,0),MONTH(A210))</f>
        <v>0.06</v>
      </c>
    </row>
    <row r="211" spans="1:2">
      <c r="A211" s="3">
        <f t="shared" si="3"/>
        <v>40330</v>
      </c>
      <c r="B211" s="2" cm="1">
        <f t="array" ref="B211">INDEX(Sheet1!$B$5:$M$38,MATCH(YEAR(A211),Sheet1!$A$5:$A$38,0),MONTH(A211))</f>
        <v>0.057</v>
      </c>
    </row>
    <row r="212" spans="1:2">
      <c r="A212" s="3">
        <f t="shared" si="3"/>
        <v>40360</v>
      </c>
      <c r="B212" s="2" cm="1">
        <f t="array" ref="B212">INDEX(Sheet1!$B$5:$M$38,MATCH(YEAR(A212),Sheet1!$A$5:$A$38,0),MONTH(A212))</f>
        <v>0.055</v>
      </c>
    </row>
    <row r="213" spans="1:2">
      <c r="A213" s="3">
        <f t="shared" si="3"/>
        <v>40391</v>
      </c>
      <c r="B213" s="2" cm="1">
        <f t="array" ref="B213">INDEX(Sheet1!$B$5:$M$38,MATCH(YEAR(A213),Sheet1!$A$5:$A$38,0),MONTH(A213))</f>
        <v>0.06</v>
      </c>
    </row>
    <row r="214" spans="1:2">
      <c r="A214" s="3">
        <f t="shared" si="3"/>
        <v>40422</v>
      </c>
      <c r="B214" s="2" cm="1">
        <f t="array" ref="B214">INDEX(Sheet1!$B$5:$M$38,MATCH(YEAR(A214),Sheet1!$A$5:$A$38,0),MONTH(A214))</f>
        <v>0.07</v>
      </c>
    </row>
    <row r="215" spans="1:2">
      <c r="A215" s="3">
        <f t="shared" si="3"/>
        <v>40452</v>
      </c>
      <c r="B215" s="2" cm="1">
        <f t="array" ref="B215">INDEX(Sheet1!$B$5:$M$38,MATCH(YEAR(A215),Sheet1!$A$5:$A$38,0),MONTH(A215))</f>
        <v>0.075</v>
      </c>
    </row>
    <row r="216" spans="1:2">
      <c r="A216" s="3">
        <f t="shared" si="3"/>
        <v>40483</v>
      </c>
      <c r="B216" s="2" cm="1">
        <f t="array" ref="B216">INDEX(Sheet1!$B$5:$M$38,MATCH(YEAR(A216),Sheet1!$A$5:$A$38,0),MONTH(A216))</f>
        <v>0.081</v>
      </c>
    </row>
    <row r="217" spans="1:2">
      <c r="A217" s="3">
        <f t="shared" si="3"/>
        <v>40513</v>
      </c>
      <c r="B217" s="2" cm="1">
        <f t="array" ref="B217">INDEX(Sheet1!$B$5:$M$38,MATCH(YEAR(A217),Sheet1!$A$5:$A$38,0),MONTH(A217))</f>
        <v>0.088</v>
      </c>
    </row>
    <row r="218" spans="1:2">
      <c r="A218" s="3">
        <f t="shared" si="3"/>
        <v>40544</v>
      </c>
      <c r="B218" s="2" cm="1">
        <f t="array" ref="B218">INDEX(Sheet1!$B$5:$M$38,MATCH(YEAR(A218),Sheet1!$A$5:$A$38,0),MONTH(A218))</f>
        <v>0.096</v>
      </c>
    </row>
    <row r="219" spans="1:2">
      <c r="A219" s="3">
        <f t="shared" si="3"/>
        <v>40575</v>
      </c>
      <c r="B219" s="2" cm="1">
        <f t="array" ref="B219">INDEX(Sheet1!$B$5:$M$38,MATCH(YEAR(A219),Sheet1!$A$5:$A$38,0),MONTH(A219))</f>
        <v>0.095</v>
      </c>
    </row>
    <row r="220" spans="1:2">
      <c r="A220" s="3">
        <f t="shared" si="3"/>
        <v>40603</v>
      </c>
      <c r="B220" s="2" cm="1">
        <f t="array" ref="B220">INDEX(Sheet1!$B$5:$M$38,MATCH(YEAR(A220),Sheet1!$A$5:$A$38,0),MONTH(A220))</f>
        <v>0.095</v>
      </c>
    </row>
    <row r="221" spans="1:2">
      <c r="A221" s="3">
        <f t="shared" si="3"/>
        <v>40634</v>
      </c>
      <c r="B221" s="2" cm="1">
        <f t="array" ref="B221">INDEX(Sheet1!$B$5:$M$38,MATCH(YEAR(A221),Sheet1!$A$5:$A$38,0),MONTH(A221))</f>
        <v>0.096</v>
      </c>
    </row>
    <row r="222" spans="1:2">
      <c r="A222" s="3">
        <f t="shared" si="3"/>
        <v>40664</v>
      </c>
      <c r="B222" s="2" cm="1">
        <f t="array" ref="B222">INDEX(Sheet1!$B$5:$M$38,MATCH(YEAR(A222),Sheet1!$A$5:$A$38,0),MONTH(A222))</f>
        <v>0.096</v>
      </c>
    </row>
    <row r="223" spans="1:2">
      <c r="A223" s="3">
        <f t="shared" si="3"/>
        <v>40695</v>
      </c>
      <c r="B223" s="2" cm="1">
        <f t="array" ref="B223">INDEX(Sheet1!$B$5:$M$38,MATCH(YEAR(A223),Sheet1!$A$5:$A$38,0),MONTH(A223))</f>
        <v>0.094</v>
      </c>
    </row>
    <row r="224" spans="1:2">
      <c r="A224" s="3">
        <f t="shared" si="3"/>
        <v>40725</v>
      </c>
      <c r="B224" s="2" cm="1">
        <f t="array" ref="B224">INDEX(Sheet1!$B$5:$M$38,MATCH(YEAR(A224),Sheet1!$A$5:$A$38,0),MONTH(A224))</f>
        <v>0.09</v>
      </c>
    </row>
    <row r="225" spans="1:2">
      <c r="A225" s="3">
        <f t="shared" si="3"/>
        <v>40756</v>
      </c>
      <c r="B225" s="2" cm="1">
        <f t="array" ref="B225">INDEX(Sheet1!$B$5:$M$38,MATCH(YEAR(A225),Sheet1!$A$5:$A$38,0),MONTH(A225))</f>
        <v>0.082</v>
      </c>
    </row>
    <row r="226" spans="1:2">
      <c r="A226" s="3">
        <f t="shared" si="3"/>
        <v>40787</v>
      </c>
      <c r="B226" s="2" cm="1">
        <f t="array" ref="B226">INDEX(Sheet1!$B$5:$M$38,MATCH(YEAR(A226),Sheet1!$A$5:$A$38,0),MONTH(A226))</f>
        <v>0.072</v>
      </c>
    </row>
    <row r="227" spans="1:2">
      <c r="A227" s="3">
        <f t="shared" si="3"/>
        <v>40817</v>
      </c>
      <c r="B227" s="2" cm="1">
        <f t="array" ref="B227">INDEX(Sheet1!$B$5:$M$38,MATCH(YEAR(A227),Sheet1!$A$5:$A$38,0),MONTH(A227))</f>
        <v>0.072</v>
      </c>
    </row>
    <row r="228" spans="1:2">
      <c r="A228" s="3">
        <f t="shared" si="3"/>
        <v>40848</v>
      </c>
      <c r="B228" s="2" cm="1">
        <f t="array" ref="B228">INDEX(Sheet1!$B$5:$M$38,MATCH(YEAR(A228),Sheet1!$A$5:$A$38,0),MONTH(A228))</f>
        <v>0.068</v>
      </c>
    </row>
    <row r="229" spans="1:2">
      <c r="A229" s="3">
        <f t="shared" si="3"/>
        <v>40878</v>
      </c>
      <c r="B229" s="2" cm="1">
        <f t="array" ref="B229">INDEX(Sheet1!$B$5:$M$38,MATCH(YEAR(A229),Sheet1!$A$5:$A$38,0),MONTH(A229))</f>
        <v>0.061</v>
      </c>
    </row>
    <row r="230" spans="1:2">
      <c r="A230" s="3">
        <f t="shared" si="3"/>
        <v>40909</v>
      </c>
      <c r="B230" s="2" cm="1">
        <f t="array" ref="B230">INDEX(Sheet1!$B$5:$M$38,MATCH(YEAR(A230),Sheet1!$A$5:$A$38,0),MONTH(A230))</f>
        <v>0.042</v>
      </c>
    </row>
    <row r="231" spans="1:2">
      <c r="A231" s="3">
        <f t="shared" si="3"/>
        <v>40940</v>
      </c>
      <c r="B231" s="2" cm="1">
        <f t="array" ref="B231">INDEX(Sheet1!$B$5:$M$38,MATCH(YEAR(A231),Sheet1!$A$5:$A$38,0),MONTH(A231))</f>
        <v>0.037</v>
      </c>
    </row>
    <row r="232" spans="1:2">
      <c r="A232" s="3">
        <f t="shared" si="3"/>
        <v>40969</v>
      </c>
      <c r="B232" s="2" cm="1">
        <f t="array" ref="B232">INDEX(Sheet1!$B$5:$M$38,MATCH(YEAR(A232),Sheet1!$A$5:$A$38,0),MONTH(A232))</f>
        <v>0.037</v>
      </c>
    </row>
    <row r="233" spans="1:2">
      <c r="A233" s="3">
        <f t="shared" si="3"/>
        <v>41000</v>
      </c>
      <c r="B233" s="2" cm="1">
        <f t="array" ref="B233">INDEX(Sheet1!$B$5:$M$38,MATCH(YEAR(A233),Sheet1!$A$5:$A$38,0),MONTH(A233))</f>
        <v>0.036</v>
      </c>
    </row>
    <row r="234" spans="1:2">
      <c r="A234" s="3">
        <f t="shared" si="3"/>
        <v>41030</v>
      </c>
      <c r="B234" s="2" cm="1">
        <f t="array" ref="B234">INDEX(Sheet1!$B$5:$M$38,MATCH(YEAR(A234),Sheet1!$A$5:$A$38,0),MONTH(A234))</f>
        <v>0.036</v>
      </c>
    </row>
    <row r="235" spans="1:2">
      <c r="A235" s="3">
        <f t="shared" si="3"/>
        <v>41061</v>
      </c>
      <c r="B235" s="2" cm="1">
        <f t="array" ref="B235">INDEX(Sheet1!$B$5:$M$38,MATCH(YEAR(A235),Sheet1!$A$5:$A$38,0),MONTH(A235))</f>
        <v>0.043</v>
      </c>
    </row>
    <row r="236" spans="1:2">
      <c r="A236" s="3">
        <f t="shared" si="3"/>
        <v>41091</v>
      </c>
      <c r="B236" s="2" cm="1">
        <f t="array" ref="B236">INDEX(Sheet1!$B$5:$M$38,MATCH(YEAR(A236),Sheet1!$A$5:$A$38,0),MONTH(A236))</f>
        <v>0.056</v>
      </c>
    </row>
    <row r="237" spans="1:2">
      <c r="A237" s="3">
        <f t="shared" si="3"/>
        <v>41122</v>
      </c>
      <c r="B237" s="2" cm="1">
        <f t="array" ref="B237">INDEX(Sheet1!$B$5:$M$38,MATCH(YEAR(A237),Sheet1!$A$5:$A$38,0),MONTH(A237))</f>
        <v>0.06</v>
      </c>
    </row>
    <row r="238" spans="1:2">
      <c r="A238" s="3">
        <f t="shared" si="3"/>
        <v>41153</v>
      </c>
      <c r="B238" s="2" cm="1">
        <f t="array" ref="B238">INDEX(Sheet1!$B$5:$M$38,MATCH(YEAR(A238),Sheet1!$A$5:$A$38,0),MONTH(A238))</f>
        <v>0.066</v>
      </c>
    </row>
    <row r="239" spans="1:2">
      <c r="A239" s="3">
        <f t="shared" si="3"/>
        <v>41183</v>
      </c>
      <c r="B239" s="2" cm="1">
        <f t="array" ref="B239">INDEX(Sheet1!$B$5:$M$38,MATCH(YEAR(A239),Sheet1!$A$5:$A$38,0),MONTH(A239))</f>
        <v>0.066</v>
      </c>
    </row>
    <row r="240" spans="1:2">
      <c r="A240" s="3">
        <f t="shared" si="3"/>
        <v>41214</v>
      </c>
      <c r="B240" s="2" cm="1">
        <f t="array" ref="B240">INDEX(Sheet1!$B$5:$M$38,MATCH(YEAR(A240),Sheet1!$A$5:$A$38,0),MONTH(A240))</f>
        <v>0.065</v>
      </c>
    </row>
    <row r="241" spans="1:2">
      <c r="A241" s="3">
        <f t="shared" si="3"/>
        <v>41244</v>
      </c>
      <c r="B241" s="2" cm="1">
        <f t="array" ref="B241">INDEX(Sheet1!$B$5:$M$38,MATCH(YEAR(A241),Sheet1!$A$5:$A$38,0),MONTH(A241))</f>
        <v>0.066</v>
      </c>
    </row>
    <row r="242" spans="1:2">
      <c r="A242" s="3">
        <f t="shared" si="3"/>
        <v>41275</v>
      </c>
      <c r="B242" s="2" cm="1">
        <f t="array" ref="B242">INDEX(Sheet1!$B$5:$M$38,MATCH(YEAR(A242),Sheet1!$A$5:$A$38,0),MONTH(A242))</f>
        <v>0.071</v>
      </c>
    </row>
    <row r="243" spans="1:2">
      <c r="A243" s="3">
        <f t="shared" si="3"/>
        <v>41306</v>
      </c>
      <c r="B243" s="2" cm="1">
        <f t="array" ref="B243">INDEX(Sheet1!$B$5:$M$38,MATCH(YEAR(A243),Sheet1!$A$5:$A$38,0),MONTH(A243))</f>
        <v>0.073</v>
      </c>
    </row>
    <row r="244" spans="1:2">
      <c r="A244" s="3">
        <f t="shared" si="3"/>
        <v>41334</v>
      </c>
      <c r="B244" s="2" cm="1">
        <f t="array" ref="B244">INDEX(Sheet1!$B$5:$M$38,MATCH(YEAR(A244),Sheet1!$A$5:$A$38,0),MONTH(A244))</f>
        <v>0.07</v>
      </c>
    </row>
    <row r="245" spans="1:2">
      <c r="A245" s="3">
        <f t="shared" si="3"/>
        <v>41365</v>
      </c>
      <c r="B245" s="2" cm="1">
        <f t="array" ref="B245">INDEX(Sheet1!$B$5:$M$38,MATCH(YEAR(A245),Sheet1!$A$5:$A$38,0),MONTH(A245))</f>
        <v>0.072</v>
      </c>
    </row>
    <row r="246" spans="1:2">
      <c r="A246" s="3">
        <f t="shared" si="3"/>
        <v>41395</v>
      </c>
      <c r="B246" s="2" cm="1">
        <f t="array" ref="B246">INDEX(Sheet1!$B$5:$M$38,MATCH(YEAR(A246),Sheet1!$A$5:$A$38,0),MONTH(A246))</f>
        <v>0.074</v>
      </c>
    </row>
    <row r="247" spans="1:2">
      <c r="A247" s="3">
        <f t="shared" si="3"/>
        <v>41426</v>
      </c>
      <c r="B247" s="2" cm="1">
        <f t="array" ref="B247">INDEX(Sheet1!$B$5:$M$38,MATCH(YEAR(A247),Sheet1!$A$5:$A$38,0),MONTH(A247))</f>
        <v>0.069</v>
      </c>
    </row>
    <row r="248" spans="1:2">
      <c r="A248" s="3">
        <f t="shared" si="3"/>
        <v>41456</v>
      </c>
      <c r="B248" s="2" cm="1">
        <f t="array" ref="B248">INDEX(Sheet1!$B$5:$M$38,MATCH(YEAR(A248),Sheet1!$A$5:$A$38,0),MONTH(A248))</f>
        <v>0.065</v>
      </c>
    </row>
    <row r="249" spans="1:2">
      <c r="A249" s="3">
        <f t="shared" si="3"/>
        <v>41487</v>
      </c>
      <c r="B249" s="2" cm="1">
        <f t="array" ref="B249">INDEX(Sheet1!$B$5:$M$38,MATCH(YEAR(A249),Sheet1!$A$5:$A$38,0),MONTH(A249))</f>
        <v>0.065</v>
      </c>
    </row>
    <row r="250" spans="1:2">
      <c r="A250" s="3">
        <f t="shared" si="3"/>
        <v>41518</v>
      </c>
      <c r="B250" s="2" cm="1">
        <f t="array" ref="B250">INDEX(Sheet1!$B$5:$M$38,MATCH(YEAR(A250),Sheet1!$A$5:$A$38,0),MONTH(A250))</f>
        <v>0.061</v>
      </c>
    </row>
    <row r="251" spans="1:2">
      <c r="A251" s="3">
        <f t="shared" si="3"/>
        <v>41548</v>
      </c>
      <c r="B251" s="2" cm="1">
        <f t="array" ref="B251">INDEX(Sheet1!$B$5:$M$38,MATCH(YEAR(A251),Sheet1!$A$5:$A$38,0),MONTH(A251))</f>
        <v>0.063</v>
      </c>
    </row>
    <row r="252" spans="1:2">
      <c r="A252" s="3">
        <f t="shared" si="3"/>
        <v>41579</v>
      </c>
      <c r="B252" s="2" cm="1">
        <f t="array" ref="B252">INDEX(Sheet1!$B$5:$M$38,MATCH(YEAR(A252),Sheet1!$A$5:$A$38,0),MONTH(A252))</f>
        <v>0.065</v>
      </c>
    </row>
    <row r="253" spans="1:2">
      <c r="A253" s="3">
        <f t="shared" si="3"/>
        <v>41609</v>
      </c>
      <c r="B253" s="2" cm="1">
        <f t="array" ref="B253">INDEX(Sheet1!$B$5:$M$38,MATCH(YEAR(A253),Sheet1!$A$5:$A$38,0),MONTH(A253))</f>
        <v>0.064</v>
      </c>
    </row>
    <row r="254" spans="1:2">
      <c r="A254" s="3">
        <f t="shared" si="3"/>
        <v>41640</v>
      </c>
      <c r="B254" s="2" cm="1">
        <f t="array" ref="B254">INDEX(Sheet1!$B$5:$M$38,MATCH(YEAR(A254),Sheet1!$A$5:$A$38,0),MONTH(A254))</f>
        <v>0.061</v>
      </c>
    </row>
    <row r="255" spans="1:2">
      <c r="A255" s="3">
        <f t="shared" si="3"/>
        <v>41671</v>
      </c>
      <c r="B255" s="2" cm="1">
        <f t="array" ref="B255">INDEX(Sheet1!$B$5:$M$38,MATCH(YEAR(A255),Sheet1!$A$5:$A$38,0),MONTH(A255))</f>
        <v>0.062</v>
      </c>
    </row>
    <row r="256" spans="1:2">
      <c r="A256" s="3">
        <f t="shared" si="3"/>
        <v>41699</v>
      </c>
      <c r="B256" s="2" cm="1">
        <f t="array" ref="B256">INDEX(Sheet1!$B$5:$M$38,MATCH(YEAR(A256),Sheet1!$A$5:$A$38,0),MONTH(A256))</f>
        <v>0.069</v>
      </c>
    </row>
    <row r="257" spans="1:2">
      <c r="A257" s="3">
        <f t="shared" si="3"/>
        <v>41730</v>
      </c>
      <c r="B257" s="2" cm="1">
        <f t="array" ref="B257">INDEX(Sheet1!$B$5:$M$38,MATCH(YEAR(A257),Sheet1!$A$5:$A$38,0),MONTH(A257))</f>
        <v>0.073</v>
      </c>
    </row>
    <row r="258" spans="1:2">
      <c r="A258" s="3">
        <f t="shared" si="3"/>
        <v>41760</v>
      </c>
      <c r="B258" s="2" cm="1">
        <f t="array" ref="B258">INDEX(Sheet1!$B$5:$M$38,MATCH(YEAR(A258),Sheet1!$A$5:$A$38,0),MONTH(A258))</f>
        <v>0.076</v>
      </c>
    </row>
    <row r="259" spans="1:2">
      <c r="A259" s="3">
        <f t="shared" ref="A259:A322" si="4">EDATE(A258,1)</f>
        <v>41791</v>
      </c>
      <c r="B259" s="2" cm="1">
        <f t="array" ref="B259">INDEX(Sheet1!$B$5:$M$38,MATCH(YEAR(A259),Sheet1!$A$5:$A$38,0),MONTH(A259))</f>
        <v>0.078</v>
      </c>
    </row>
    <row r="260" spans="1:2">
      <c r="A260" s="3">
        <f t="shared" si="4"/>
        <v>41821</v>
      </c>
      <c r="B260" s="2" cm="1">
        <f t="array" ref="B260">INDEX(Sheet1!$B$5:$M$38,MATCH(YEAR(A260),Sheet1!$A$5:$A$38,0),MONTH(A260))</f>
        <v>0.074</v>
      </c>
    </row>
    <row r="261" spans="1:2">
      <c r="A261" s="3">
        <f t="shared" si="4"/>
        <v>41852</v>
      </c>
      <c r="B261" s="2" cm="1">
        <f t="array" ref="B261">INDEX(Sheet1!$B$5:$M$38,MATCH(YEAR(A261),Sheet1!$A$5:$A$38,0),MONTH(A261))</f>
        <v>0.076</v>
      </c>
    </row>
    <row r="262" spans="1:2">
      <c r="A262" s="3">
        <f t="shared" si="4"/>
        <v>41883</v>
      </c>
      <c r="B262" s="2" cm="1">
        <f t="array" ref="B262">INDEX(Sheet1!$B$5:$M$38,MATCH(YEAR(A262),Sheet1!$A$5:$A$38,0),MONTH(A262))</f>
        <v>0.08</v>
      </c>
    </row>
    <row r="263" spans="1:2">
      <c r="A263" s="3">
        <f t="shared" si="4"/>
        <v>41913</v>
      </c>
      <c r="B263" s="2" cm="1">
        <f t="array" ref="B263">INDEX(Sheet1!$B$5:$M$38,MATCH(YEAR(A263),Sheet1!$A$5:$A$38,0),MONTH(A263))</f>
        <v>0.083</v>
      </c>
    </row>
    <row r="264" spans="1:2">
      <c r="A264" s="3">
        <f t="shared" si="4"/>
        <v>41944</v>
      </c>
      <c r="B264" s="2" cm="1">
        <f t="array" ref="B264">INDEX(Sheet1!$B$5:$M$38,MATCH(YEAR(A264),Sheet1!$A$5:$A$38,0),MONTH(A264))</f>
        <v>0.091</v>
      </c>
    </row>
    <row r="265" spans="1:2">
      <c r="A265" s="3">
        <f t="shared" si="4"/>
        <v>41974</v>
      </c>
      <c r="B265" s="2" cm="1">
        <f t="array" ref="B265">INDEX(Sheet1!$B$5:$M$38,MATCH(YEAR(A265),Sheet1!$A$5:$A$38,0),MONTH(A265))</f>
        <v>0.114</v>
      </c>
    </row>
    <row r="266" spans="1:2">
      <c r="A266" s="3">
        <f t="shared" si="4"/>
        <v>42005</v>
      </c>
      <c r="B266" s="2" cm="1">
        <f t="array" ref="B266">INDEX(Sheet1!$B$5:$M$38,MATCH(YEAR(A266),Sheet1!$A$5:$A$38,0),MONTH(A266))</f>
        <v>0.15</v>
      </c>
    </row>
    <row r="267" spans="1:2">
      <c r="A267" s="3">
        <f t="shared" si="4"/>
        <v>42036</v>
      </c>
      <c r="B267" s="2" cm="1">
        <f t="array" ref="B267">INDEX(Sheet1!$B$5:$M$38,MATCH(YEAR(A267),Sheet1!$A$5:$A$38,0),MONTH(A267))</f>
        <v>0.167</v>
      </c>
    </row>
    <row r="268" spans="1:2">
      <c r="A268" s="3">
        <f t="shared" si="4"/>
        <v>42064</v>
      </c>
      <c r="B268" s="2" cm="1">
        <f t="array" ref="B268">INDEX(Sheet1!$B$5:$M$38,MATCH(YEAR(A268),Sheet1!$A$5:$A$38,0),MONTH(A268))</f>
        <v>0.169</v>
      </c>
    </row>
    <row r="269" spans="1:2">
      <c r="A269" s="3">
        <f t="shared" si="4"/>
        <v>42095</v>
      </c>
      <c r="B269" s="2" cm="1">
        <f t="array" ref="B269">INDEX(Sheet1!$B$5:$M$38,MATCH(YEAR(A269),Sheet1!$A$5:$A$38,0),MONTH(A269))</f>
        <v>0.164</v>
      </c>
    </row>
    <row r="270" spans="1:2">
      <c r="A270" s="3">
        <f t="shared" si="4"/>
        <v>42125</v>
      </c>
      <c r="B270" s="2" cm="1">
        <f t="array" ref="B270">INDEX(Sheet1!$B$5:$M$38,MATCH(YEAR(A270),Sheet1!$A$5:$A$38,0),MONTH(A270))</f>
        <v>0.158</v>
      </c>
    </row>
    <row r="271" spans="1:2">
      <c r="A271" s="3">
        <f t="shared" si="4"/>
        <v>42156</v>
      </c>
      <c r="B271" s="2" cm="1">
        <f t="array" ref="B271">INDEX(Sheet1!$B$5:$M$38,MATCH(YEAR(A271),Sheet1!$A$5:$A$38,0),MONTH(A271))</f>
        <v>0.153</v>
      </c>
    </row>
    <row r="272" spans="1:2">
      <c r="A272" s="3">
        <f t="shared" si="4"/>
        <v>42186</v>
      </c>
      <c r="B272" s="2" cm="1">
        <f t="array" ref="B272">INDEX(Sheet1!$B$5:$M$38,MATCH(YEAR(A272),Sheet1!$A$5:$A$38,0),MONTH(A272))</f>
        <v>0.156</v>
      </c>
    </row>
    <row r="273" spans="1:2">
      <c r="A273" s="3">
        <f t="shared" si="4"/>
        <v>42217</v>
      </c>
      <c r="B273" s="2" cm="1">
        <f t="array" ref="B273">INDEX(Sheet1!$B$5:$M$38,MATCH(YEAR(A273),Sheet1!$A$5:$A$38,0),MONTH(A273))</f>
        <v>0.158</v>
      </c>
    </row>
    <row r="274" spans="1:2">
      <c r="A274" s="3">
        <f t="shared" si="4"/>
        <v>42248</v>
      </c>
      <c r="B274" s="2" cm="1">
        <f t="array" ref="B274">INDEX(Sheet1!$B$5:$M$38,MATCH(YEAR(A274),Sheet1!$A$5:$A$38,0),MONTH(A274))</f>
        <v>0.157</v>
      </c>
    </row>
    <row r="275" spans="1:2">
      <c r="A275" s="3">
        <f t="shared" si="4"/>
        <v>42278</v>
      </c>
      <c r="B275" s="2" cm="1">
        <f t="array" ref="B275">INDEX(Sheet1!$B$5:$M$38,MATCH(YEAR(A275),Sheet1!$A$5:$A$38,0),MONTH(A275))</f>
        <v>0.156</v>
      </c>
    </row>
    <row r="276" spans="1:2">
      <c r="A276" s="3">
        <f t="shared" si="4"/>
        <v>42309</v>
      </c>
      <c r="B276" s="2" cm="1">
        <f t="array" ref="B276">INDEX(Sheet1!$B$5:$M$38,MATCH(YEAR(A276),Sheet1!$A$5:$A$38,0),MONTH(A276))</f>
        <v>0.15</v>
      </c>
    </row>
    <row r="277" spans="1:2">
      <c r="A277" s="3">
        <f t="shared" si="4"/>
        <v>42339</v>
      </c>
      <c r="B277" s="2" cm="1">
        <f t="array" ref="B277">INDEX(Sheet1!$B$5:$M$38,MATCH(YEAR(A277),Sheet1!$A$5:$A$38,0),MONTH(A277))</f>
        <v>0.129</v>
      </c>
    </row>
    <row r="278" spans="1:2">
      <c r="A278" s="3">
        <f t="shared" si="4"/>
        <v>42370</v>
      </c>
      <c r="B278" s="2" cm="1">
        <f t="array" ref="B278">INDEX(Sheet1!$B$5:$M$38,MATCH(YEAR(A278),Sheet1!$A$5:$A$38,0),MONTH(A278))</f>
        <v>0.098</v>
      </c>
    </row>
    <row r="279" spans="1:2">
      <c r="A279" s="3">
        <f t="shared" si="4"/>
        <v>42401</v>
      </c>
      <c r="B279" s="2" cm="1">
        <f t="array" ref="B279">INDEX(Sheet1!$B$5:$M$38,MATCH(YEAR(A279),Sheet1!$A$5:$A$38,0),MONTH(A279))</f>
        <v>0.081</v>
      </c>
    </row>
    <row r="280" spans="1:2">
      <c r="A280" s="3">
        <f t="shared" si="4"/>
        <v>42430</v>
      </c>
      <c r="B280" s="2" cm="1">
        <f t="array" ref="B280">INDEX(Sheet1!$B$5:$M$38,MATCH(YEAR(A280),Sheet1!$A$5:$A$38,0),MONTH(A280))</f>
        <v>0.073</v>
      </c>
    </row>
    <row r="281" spans="1:2">
      <c r="A281" s="3">
        <f t="shared" si="4"/>
        <v>42461</v>
      </c>
      <c r="B281" s="2" cm="1">
        <f t="array" ref="B281">INDEX(Sheet1!$B$5:$M$38,MATCH(YEAR(A281),Sheet1!$A$5:$A$38,0),MONTH(A281))</f>
        <v>0.072</v>
      </c>
    </row>
    <row r="282" spans="1:2">
      <c r="A282" s="3">
        <f t="shared" si="4"/>
        <v>42491</v>
      </c>
      <c r="B282" s="2" cm="1">
        <f t="array" ref="B282">INDEX(Sheet1!$B$5:$M$38,MATCH(YEAR(A282),Sheet1!$A$5:$A$38,0),MONTH(A282))</f>
        <v>0.073</v>
      </c>
    </row>
    <row r="283" spans="1:2">
      <c r="A283" s="3">
        <f t="shared" si="4"/>
        <v>42522</v>
      </c>
      <c r="B283" s="2" cm="1">
        <f t="array" ref="B283">INDEX(Sheet1!$B$5:$M$38,MATCH(YEAR(A283),Sheet1!$A$5:$A$38,0),MONTH(A283))</f>
        <v>0.075</v>
      </c>
    </row>
    <row r="284" spans="1:2">
      <c r="A284" s="3">
        <f t="shared" si="4"/>
        <v>42552</v>
      </c>
      <c r="B284" s="2" cm="1">
        <f t="array" ref="B284">INDEX(Sheet1!$B$5:$M$38,MATCH(YEAR(A284),Sheet1!$A$5:$A$38,0),MONTH(A284))</f>
        <v>0.072</v>
      </c>
    </row>
    <row r="285" spans="1:2">
      <c r="A285" s="3">
        <f t="shared" si="4"/>
        <v>42583</v>
      </c>
      <c r="B285" s="2" cm="1">
        <f t="array" ref="B285">INDEX(Sheet1!$B$5:$M$38,MATCH(YEAR(A285),Sheet1!$A$5:$A$38,0),MONTH(A285))</f>
        <v>0.068</v>
      </c>
    </row>
    <row r="286" spans="1:2">
      <c r="A286" s="3">
        <f t="shared" si="4"/>
        <v>42614</v>
      </c>
      <c r="B286" s="2" cm="1">
        <f t="array" ref="B286">INDEX(Sheet1!$B$5:$M$38,MATCH(YEAR(A286),Sheet1!$A$5:$A$38,0),MONTH(A286))</f>
        <v>0.064</v>
      </c>
    </row>
    <row r="287" spans="1:2">
      <c r="A287" s="3">
        <f t="shared" si="4"/>
        <v>42644</v>
      </c>
      <c r="B287" s="2" cm="1">
        <f t="array" ref="B287">INDEX(Sheet1!$B$5:$M$38,MATCH(YEAR(A287),Sheet1!$A$5:$A$38,0),MONTH(A287))</f>
        <v>0.061</v>
      </c>
    </row>
    <row r="288" spans="1:2">
      <c r="A288" s="3">
        <f t="shared" si="4"/>
        <v>42675</v>
      </c>
      <c r="B288" s="2" cm="1">
        <f t="array" ref="B288">INDEX(Sheet1!$B$5:$M$38,MATCH(YEAR(A288),Sheet1!$A$5:$A$38,0),MONTH(A288))</f>
        <v>0.058</v>
      </c>
    </row>
    <row r="289" spans="1:2">
      <c r="A289" s="3">
        <f t="shared" si="4"/>
        <v>42705</v>
      </c>
      <c r="B289" s="2" cm="1">
        <f t="array" ref="B289">INDEX(Sheet1!$B$5:$M$38,MATCH(YEAR(A289),Sheet1!$A$5:$A$38,0),MONTH(A289))</f>
        <v>0.054</v>
      </c>
    </row>
    <row r="290" spans="1:2">
      <c r="A290" s="3">
        <f t="shared" si="4"/>
        <v>42736</v>
      </c>
      <c r="B290" s="2" cm="1">
        <f t="array" ref="B290">INDEX(Sheet1!$B$5:$M$38,MATCH(YEAR(A290),Sheet1!$A$5:$A$38,0),MONTH(A290))</f>
        <v>0.05</v>
      </c>
    </row>
    <row r="291" spans="1:2">
      <c r="A291" s="3">
        <f t="shared" si="4"/>
        <v>42767</v>
      </c>
      <c r="B291" s="2" cm="1">
        <f t="array" ref="B291">INDEX(Sheet1!$B$5:$M$38,MATCH(YEAR(A291),Sheet1!$A$5:$A$38,0),MONTH(A291))</f>
        <v>0.046</v>
      </c>
    </row>
    <row r="292" spans="1:2">
      <c r="A292" s="3">
        <f t="shared" si="4"/>
        <v>42795</v>
      </c>
      <c r="B292" s="2" cm="1">
        <f t="array" ref="B292">INDEX(Sheet1!$B$5:$M$38,MATCH(YEAR(A292),Sheet1!$A$5:$A$38,0),MONTH(A292))</f>
        <v>0.043</v>
      </c>
    </row>
    <row r="293" spans="1:2">
      <c r="A293" s="3">
        <f t="shared" si="4"/>
        <v>42826</v>
      </c>
      <c r="B293" s="2" cm="1">
        <f t="array" ref="B293">INDEX(Sheet1!$B$5:$M$38,MATCH(YEAR(A293),Sheet1!$A$5:$A$38,0),MONTH(A293))</f>
        <v>0.041</v>
      </c>
    </row>
    <row r="294" spans="1:2">
      <c r="A294" s="3">
        <f t="shared" si="4"/>
        <v>42856</v>
      </c>
      <c r="B294" s="2" cm="1">
        <f t="array" ref="B294">INDEX(Sheet1!$B$5:$M$38,MATCH(YEAR(A294),Sheet1!$A$5:$A$38,0),MONTH(A294))</f>
        <v>0.041</v>
      </c>
    </row>
    <row r="295" spans="1:2">
      <c r="A295" s="3">
        <f t="shared" si="4"/>
        <v>42887</v>
      </c>
      <c r="B295" s="2" cm="1">
        <f t="array" ref="B295">INDEX(Sheet1!$B$5:$M$38,MATCH(YEAR(A295),Sheet1!$A$5:$A$38,0),MONTH(A295))</f>
        <v>0.043</v>
      </c>
    </row>
    <row r="296" spans="1:2">
      <c r="A296" s="3">
        <f t="shared" si="4"/>
        <v>42917</v>
      </c>
      <c r="B296" s="2" cm="1">
        <f t="array" ref="B296">INDEX(Sheet1!$B$5:$M$38,MATCH(YEAR(A296),Sheet1!$A$5:$A$38,0),MONTH(A296))</f>
        <v>0.039</v>
      </c>
    </row>
    <row r="297" spans="1:2">
      <c r="A297" s="3">
        <f t="shared" si="4"/>
        <v>42948</v>
      </c>
      <c r="B297" s="2" cm="1">
        <f t="array" ref="B297">INDEX(Sheet1!$B$5:$M$38,MATCH(YEAR(A297),Sheet1!$A$5:$A$38,0),MONTH(A297))</f>
        <v>0.033</v>
      </c>
    </row>
    <row r="298" spans="1:2">
      <c r="A298" s="3">
        <f t="shared" si="4"/>
        <v>42979</v>
      </c>
      <c r="B298" s="2" cm="1">
        <f t="array" ref="B298">INDEX(Sheet1!$B$5:$M$38,MATCH(YEAR(A298),Sheet1!$A$5:$A$38,0),MONTH(A298))</f>
        <v>0.03</v>
      </c>
    </row>
    <row r="299" spans="1:2">
      <c r="A299" s="3">
        <f t="shared" si="4"/>
        <v>43009</v>
      </c>
      <c r="B299" s="2" cm="1">
        <f t="array" ref="B299">INDEX(Sheet1!$B$5:$M$38,MATCH(YEAR(A299),Sheet1!$A$5:$A$38,0),MONTH(A299))</f>
        <v>0.027</v>
      </c>
    </row>
    <row r="300" spans="1:2">
      <c r="A300" s="3">
        <f t="shared" si="4"/>
        <v>43040</v>
      </c>
      <c r="B300" s="2" cm="1">
        <f t="array" ref="B300">INDEX(Sheet1!$B$5:$M$38,MATCH(YEAR(A300),Sheet1!$A$5:$A$38,0),MONTH(A300))</f>
        <v>0.025</v>
      </c>
    </row>
    <row r="301" spans="1:2">
      <c r="A301" s="3">
        <f t="shared" si="4"/>
        <v>43070</v>
      </c>
      <c r="B301" s="2" cm="1">
        <f t="array" ref="B301">INDEX(Sheet1!$B$5:$M$38,MATCH(YEAR(A301),Sheet1!$A$5:$A$38,0),MONTH(A301))</f>
        <v>0.025</v>
      </c>
    </row>
    <row r="302" spans="1:2">
      <c r="A302" s="3">
        <f t="shared" si="4"/>
        <v>43101</v>
      </c>
      <c r="B302" s="2" cm="1">
        <f t="array" ref="B302">INDEX(Sheet1!$B$5:$M$38,MATCH(YEAR(A302),Sheet1!$A$5:$A$38,0),MONTH(A302))</f>
        <v>0.022</v>
      </c>
    </row>
    <row r="303" spans="1:2">
      <c r="A303" s="3">
        <f t="shared" si="4"/>
        <v>43132</v>
      </c>
      <c r="B303" s="2" cm="1">
        <f t="array" ref="B303">INDEX(Sheet1!$B$5:$M$38,MATCH(YEAR(A303),Sheet1!$A$5:$A$38,0),MONTH(A303))</f>
        <v>0.022</v>
      </c>
    </row>
    <row r="304" spans="1:2">
      <c r="A304" s="3">
        <f t="shared" si="4"/>
        <v>43160</v>
      </c>
      <c r="B304" s="2" cm="1">
        <f t="array" ref="B304">INDEX(Sheet1!$B$5:$M$38,MATCH(YEAR(A304),Sheet1!$A$5:$A$38,0),MONTH(A304))</f>
        <v>0.024</v>
      </c>
    </row>
    <row r="305" spans="1:2">
      <c r="A305" s="3">
        <f t="shared" si="4"/>
        <v>43191</v>
      </c>
      <c r="B305" s="2" cm="1">
        <f t="array" ref="B305">INDEX(Sheet1!$B$5:$M$38,MATCH(YEAR(A305),Sheet1!$A$5:$A$38,0),MONTH(A305))</f>
        <v>0.024</v>
      </c>
    </row>
    <row r="306" spans="1:2">
      <c r="A306" s="3">
        <f t="shared" si="4"/>
        <v>43221</v>
      </c>
      <c r="B306" s="2" cm="1">
        <f t="array" ref="B306">INDEX(Sheet1!$B$5:$M$38,MATCH(YEAR(A306),Sheet1!$A$5:$A$38,0),MONTH(A306))</f>
        <v>0.024</v>
      </c>
    </row>
    <row r="307" spans="1:2">
      <c r="A307" s="3">
        <f t="shared" si="4"/>
        <v>43252</v>
      </c>
      <c r="B307" s="2" cm="1">
        <f t="array" ref="B307">INDEX(Sheet1!$B$5:$M$38,MATCH(YEAR(A307),Sheet1!$A$5:$A$38,0),MONTH(A307))</f>
        <v>0.023</v>
      </c>
    </row>
    <row r="308" spans="1:2">
      <c r="A308" s="3">
        <f t="shared" si="4"/>
        <v>43282</v>
      </c>
      <c r="B308" s="2" cm="1">
        <f t="array" ref="B308">INDEX(Sheet1!$B$5:$M$38,MATCH(YEAR(A308),Sheet1!$A$5:$A$38,0),MONTH(A308))</f>
        <v>0.025</v>
      </c>
    </row>
    <row r="309" spans="1:2">
      <c r="A309" s="3">
        <f t="shared" si="4"/>
        <v>43313</v>
      </c>
      <c r="B309" s="2" cm="1">
        <f t="array" ref="B309">INDEX(Sheet1!$B$5:$M$38,MATCH(YEAR(A309),Sheet1!$A$5:$A$38,0),MONTH(A309))</f>
        <v>0.031</v>
      </c>
    </row>
    <row r="310" spans="1:2">
      <c r="A310" s="3">
        <f t="shared" si="4"/>
        <v>43344</v>
      </c>
      <c r="B310" s="2" cm="1">
        <f t="array" ref="B310">INDEX(Sheet1!$B$5:$M$38,MATCH(YEAR(A310),Sheet1!$A$5:$A$38,0),MONTH(A310))</f>
        <v>0.034</v>
      </c>
    </row>
    <row r="311" spans="1:2">
      <c r="A311" s="3">
        <f t="shared" si="4"/>
        <v>43374</v>
      </c>
      <c r="B311" s="2" cm="1">
        <f t="array" ref="B311">INDEX(Sheet1!$B$5:$M$38,MATCH(YEAR(A311),Sheet1!$A$5:$A$38,0),MONTH(A311))</f>
        <v>0.035</v>
      </c>
    </row>
    <row r="312" spans="1:2">
      <c r="A312" s="3">
        <f t="shared" si="4"/>
        <v>43405</v>
      </c>
      <c r="B312" s="2" cm="1">
        <f t="array" ref="B312">INDEX(Sheet1!$B$5:$M$38,MATCH(YEAR(A312),Sheet1!$A$5:$A$38,0),MONTH(A312))</f>
        <v>0.038</v>
      </c>
    </row>
    <row r="313" spans="1:2">
      <c r="A313" s="3">
        <f t="shared" si="4"/>
        <v>43435</v>
      </c>
      <c r="B313" s="2" cm="1">
        <f t="array" ref="B313">INDEX(Sheet1!$B$5:$M$38,MATCH(YEAR(A313),Sheet1!$A$5:$A$38,0),MONTH(A313))</f>
        <v>0.043</v>
      </c>
    </row>
    <row r="314" spans="1:2">
      <c r="A314" s="3">
        <f t="shared" si="4"/>
        <v>43466</v>
      </c>
      <c r="B314" s="2" cm="1">
        <f t="array" ref="B314">INDEX(Sheet1!$B$5:$M$38,MATCH(YEAR(A314),Sheet1!$A$5:$A$38,0),MONTH(A314))</f>
        <v>0.05</v>
      </c>
    </row>
    <row r="315" spans="1:2">
      <c r="A315" s="3">
        <f t="shared" si="4"/>
        <v>43497</v>
      </c>
      <c r="B315" s="2" cm="1">
        <f t="array" ref="B315">INDEX(Sheet1!$B$5:$M$38,MATCH(YEAR(A315),Sheet1!$A$5:$A$38,0),MONTH(A315))</f>
        <v>0.052</v>
      </c>
    </row>
    <row r="316" spans="1:2">
      <c r="A316" s="3">
        <f t="shared" si="4"/>
        <v>43525</v>
      </c>
      <c r="B316" s="2" cm="1">
        <f t="array" ref="B316">INDEX(Sheet1!$B$5:$M$38,MATCH(YEAR(A316),Sheet1!$A$5:$A$38,0),MONTH(A316))</f>
        <v>0.053</v>
      </c>
    </row>
    <row r="317" spans="1:2">
      <c r="A317" s="3">
        <f t="shared" si="4"/>
        <v>43556</v>
      </c>
      <c r="B317" s="2" cm="1">
        <f t="array" ref="B317">INDEX(Sheet1!$B$5:$M$38,MATCH(YEAR(A317),Sheet1!$A$5:$A$38,0),MONTH(A317))</f>
        <v>0.052</v>
      </c>
    </row>
    <row r="318" spans="1:2">
      <c r="A318" s="3">
        <f t="shared" si="4"/>
        <v>43586</v>
      </c>
      <c r="B318" s="2" cm="1">
        <f t="array" ref="B318">INDEX(Sheet1!$B$5:$M$38,MATCH(YEAR(A318),Sheet1!$A$5:$A$38,0),MONTH(A318))</f>
        <v>0.051</v>
      </c>
    </row>
    <row r="319" spans="1:2">
      <c r="A319" s="3">
        <f t="shared" si="4"/>
        <v>43617</v>
      </c>
      <c r="B319" s="2" cm="1">
        <f t="array" ref="B319">INDEX(Sheet1!$B$5:$M$38,MATCH(YEAR(A319),Sheet1!$A$5:$A$38,0),MONTH(A319))</f>
        <v>0.047</v>
      </c>
    </row>
    <row r="320" spans="1:2">
      <c r="A320" s="3">
        <f t="shared" si="4"/>
        <v>43647</v>
      </c>
      <c r="B320" s="2" cm="1">
        <f t="array" ref="B320">INDEX(Sheet1!$B$5:$M$38,MATCH(YEAR(A320),Sheet1!$A$5:$A$38,0),MONTH(A320))</f>
        <v>0.046</v>
      </c>
    </row>
    <row r="321" spans="1:2">
      <c r="A321" s="3">
        <f t="shared" si="4"/>
        <v>43678</v>
      </c>
      <c r="B321" s="2" cm="1">
        <f t="array" ref="B321">INDEX(Sheet1!$B$5:$M$38,MATCH(YEAR(A321),Sheet1!$A$5:$A$38,0),MONTH(A321))</f>
        <v>0.043</v>
      </c>
    </row>
    <row r="322" spans="1:2">
      <c r="A322" s="3">
        <f t="shared" si="4"/>
        <v>43709</v>
      </c>
      <c r="B322" s="2" cm="1">
        <f t="array" ref="B322">INDEX(Sheet1!$B$5:$M$38,MATCH(YEAR(A322),Sheet1!$A$5:$A$38,0),MONTH(A322))</f>
        <v>0.04</v>
      </c>
    </row>
    <row r="323" spans="1:2">
      <c r="A323" s="3">
        <f t="shared" ref="A323:A386" si="5">EDATE(A322,1)</f>
        <v>43739</v>
      </c>
      <c r="B323" s="2" cm="1">
        <f t="array" ref="B323">INDEX(Sheet1!$B$5:$M$38,MATCH(YEAR(A323),Sheet1!$A$5:$A$38,0),MONTH(A323))</f>
        <v>0.038</v>
      </c>
    </row>
    <row r="324" spans="1:2">
      <c r="A324" s="3">
        <f t="shared" si="5"/>
        <v>43770</v>
      </c>
      <c r="B324" s="2" cm="1">
        <f t="array" ref="B324">INDEX(Sheet1!$B$5:$M$38,MATCH(YEAR(A324),Sheet1!$A$5:$A$38,0),MONTH(A324))</f>
        <v>0.035</v>
      </c>
    </row>
    <row r="325" spans="1:2">
      <c r="A325" s="3">
        <f t="shared" si="5"/>
        <v>43800</v>
      </c>
      <c r="B325" s="2" cm="1">
        <f t="array" ref="B325">INDEX(Sheet1!$B$5:$M$38,MATCH(YEAR(A325),Sheet1!$A$5:$A$38,0),MONTH(A325))</f>
        <v>0.03</v>
      </c>
    </row>
    <row r="326" spans="1:2">
      <c r="A326" s="3">
        <f t="shared" si="5"/>
        <v>43831</v>
      </c>
      <c r="B326" s="2" cm="1">
        <f t="array" ref="B326">INDEX(Sheet1!$B$5:$M$38,MATCH(YEAR(A326),Sheet1!$A$5:$A$38,0),MONTH(A326))</f>
        <v>0.024</v>
      </c>
    </row>
    <row r="327" spans="1:2">
      <c r="A327" s="3">
        <f t="shared" si="5"/>
        <v>43862</v>
      </c>
      <c r="B327" s="2" cm="1">
        <f t="array" ref="B327">INDEX(Sheet1!$B$5:$M$38,MATCH(YEAR(A327),Sheet1!$A$5:$A$38,0),MONTH(A327))</f>
        <v>0.023</v>
      </c>
    </row>
    <row r="328" spans="1:2">
      <c r="A328" s="3">
        <f t="shared" si="5"/>
        <v>43891</v>
      </c>
      <c r="B328" s="2" cm="1">
        <f t="array" ref="B328">INDEX(Sheet1!$B$5:$M$38,MATCH(YEAR(A328),Sheet1!$A$5:$A$38,0),MONTH(A328))</f>
        <v>0.025</v>
      </c>
    </row>
    <row r="329" spans="1:2">
      <c r="A329" s="3">
        <f t="shared" si="5"/>
        <v>43922</v>
      </c>
      <c r="B329" s="2" cm="1">
        <f t="array" ref="B329">INDEX(Sheet1!$B$5:$M$38,MATCH(YEAR(A329),Sheet1!$A$5:$A$38,0),MONTH(A329))</f>
        <v>0.031</v>
      </c>
    </row>
    <row r="330" spans="1:2">
      <c r="A330" s="3">
        <f t="shared" si="5"/>
        <v>43952</v>
      </c>
      <c r="B330" s="2" cm="1">
        <f t="array" ref="B330">INDEX(Sheet1!$B$5:$M$38,MATCH(YEAR(A330),Sheet1!$A$5:$A$38,0),MONTH(A330))</f>
        <v>0.03</v>
      </c>
    </row>
    <row r="331" spans="1:2">
      <c r="A331" s="3">
        <f t="shared" si="5"/>
        <v>43983</v>
      </c>
      <c r="B331" s="2" cm="1">
        <f t="array" ref="B331">INDEX(Sheet1!$B$5:$M$38,MATCH(YEAR(A331),Sheet1!$A$5:$A$38,0),MONTH(A331))</f>
        <v>0.032</v>
      </c>
    </row>
    <row r="332" spans="1:2">
      <c r="A332" s="3">
        <f t="shared" si="5"/>
        <v>44013</v>
      </c>
      <c r="B332" s="2" cm="1">
        <f t="array" ref="B332">INDEX(Sheet1!$B$5:$M$38,MATCH(YEAR(A332),Sheet1!$A$5:$A$38,0),MONTH(A332))</f>
        <v>0.034</v>
      </c>
    </row>
    <row r="333" spans="1:2">
      <c r="A333" s="3">
        <f t="shared" si="5"/>
        <v>44044</v>
      </c>
      <c r="B333" s="2" cm="1">
        <f t="array" ref="B333">INDEX(Sheet1!$B$5:$M$38,MATCH(YEAR(A333),Sheet1!$A$5:$A$38,0),MONTH(A333))</f>
        <v>0.036</v>
      </c>
    </row>
    <row r="334" spans="1:2">
      <c r="A334" s="3">
        <f t="shared" si="5"/>
        <v>44075</v>
      </c>
      <c r="B334" s="2" cm="1">
        <f t="array" ref="B334">INDEX(Sheet1!$B$5:$M$38,MATCH(YEAR(A334),Sheet1!$A$5:$A$38,0),MONTH(A334))</f>
        <v>0.037</v>
      </c>
    </row>
    <row r="335" spans="1:2">
      <c r="A335" s="3">
        <f t="shared" si="5"/>
        <v>44105</v>
      </c>
      <c r="B335" s="2" cm="1">
        <f t="array" ref="B335">INDEX(Sheet1!$B$5:$M$38,MATCH(YEAR(A335),Sheet1!$A$5:$A$38,0),MONTH(A335))</f>
        <v>0.04</v>
      </c>
    </row>
    <row r="336" spans="1:2">
      <c r="A336" s="3">
        <f t="shared" si="5"/>
        <v>44136</v>
      </c>
      <c r="B336" s="2" cm="1">
        <f t="array" ref="B336">INDEX(Sheet1!$B$5:$M$38,MATCH(YEAR(A336),Sheet1!$A$5:$A$38,0),MONTH(A336))</f>
        <v>0.044</v>
      </c>
    </row>
    <row r="337" spans="1:2">
      <c r="A337" s="3">
        <f t="shared" si="5"/>
        <v>44166</v>
      </c>
      <c r="B337" s="2" cm="1">
        <f t="array" ref="B337">INDEX(Sheet1!$B$5:$M$38,MATCH(YEAR(A337),Sheet1!$A$5:$A$38,0),MONTH(A337))</f>
        <v>0.049</v>
      </c>
    </row>
    <row r="338" spans="1:2">
      <c r="A338" s="3">
        <f t="shared" si="5"/>
        <v>44197</v>
      </c>
      <c r="B338" s="2" cm="1">
        <f t="array" ref="B338">INDEX(Sheet1!$B$5:$M$38,MATCH(YEAR(A338),Sheet1!$A$5:$A$38,0),MONTH(A338))</f>
        <v>0.052</v>
      </c>
    </row>
    <row r="339" spans="1:2">
      <c r="A339" s="3">
        <f t="shared" si="5"/>
        <v>44228</v>
      </c>
      <c r="B339" s="2" cm="1">
        <f t="array" ref="B339">INDEX(Sheet1!$B$5:$M$38,MATCH(YEAR(A339),Sheet1!$A$5:$A$38,0),MONTH(A339))</f>
        <v>0.057</v>
      </c>
    </row>
    <row r="340" spans="1:2">
      <c r="A340" s="3">
        <f t="shared" si="5"/>
        <v>44256</v>
      </c>
      <c r="B340" s="2" cm="1">
        <f t="array" ref="B340">INDEX(Sheet1!$B$5:$M$38,MATCH(YEAR(A340),Sheet1!$A$5:$A$38,0),MONTH(A340))</f>
        <v>0.058</v>
      </c>
    </row>
    <row r="341" spans="1:2">
      <c r="A341" s="3">
        <f t="shared" si="5"/>
        <v>44287</v>
      </c>
      <c r="B341" s="2" cm="1">
        <f t="array" ref="B341">INDEX(Sheet1!$B$5:$M$38,MATCH(YEAR(A341),Sheet1!$A$5:$A$38,0),MONTH(A341))</f>
        <v>0.055</v>
      </c>
    </row>
    <row r="342" spans="1:2">
      <c r="A342" s="3">
        <f t="shared" si="5"/>
        <v>44317</v>
      </c>
      <c r="B342" s="2" cm="1">
        <f t="array" ref="B342">INDEX(Sheet1!$B$5:$M$38,MATCH(YEAR(A342),Sheet1!$A$5:$A$38,0),MONTH(A342))</f>
        <v>0.06</v>
      </c>
    </row>
    <row r="343" spans="1:2">
      <c r="A343" s="3">
        <f t="shared" si="5"/>
        <v>44348</v>
      </c>
      <c r="B343" s="2" cm="1">
        <f t="array" ref="B343">INDEX(Sheet1!$B$5:$M$38,MATCH(YEAR(A343),Sheet1!$A$5:$A$38,0),MONTH(A343))</f>
        <v>0.065</v>
      </c>
    </row>
    <row r="344" spans="1:2">
      <c r="A344" s="3">
        <f t="shared" si="5"/>
        <v>44378</v>
      </c>
      <c r="B344" s="2" cm="1">
        <f t="array" ref="B344">INDEX(Sheet1!$B$5:$M$38,MATCH(YEAR(A344),Sheet1!$A$5:$A$38,0),MONTH(A344))</f>
        <v>0.065</v>
      </c>
    </row>
    <row r="345" spans="1:2">
      <c r="A345" s="3">
        <f t="shared" si="5"/>
        <v>44409</v>
      </c>
      <c r="B345" s="2" cm="1">
        <f t="array" ref="B345">INDEX(Sheet1!$B$5:$M$38,MATCH(YEAR(A345),Sheet1!$A$5:$A$38,0),MONTH(A345))</f>
        <v>0.067</v>
      </c>
    </row>
    <row r="346" spans="1:2">
      <c r="A346" s="3">
        <f t="shared" si="5"/>
        <v>44440</v>
      </c>
      <c r="B346" s="2" cm="1">
        <f t="array" ref="B346">INDEX(Sheet1!$B$5:$M$38,MATCH(YEAR(A346),Sheet1!$A$5:$A$38,0),MONTH(A346))</f>
        <v>0.074</v>
      </c>
    </row>
    <row r="347" spans="1:2">
      <c r="A347" s="3">
        <f t="shared" si="5"/>
        <v>44470</v>
      </c>
      <c r="B347" s="2" cm="1">
        <f t="array" ref="B347">INDEX(Sheet1!$B$5:$M$38,MATCH(YEAR(A347),Sheet1!$A$5:$A$38,0),MONTH(A347))</f>
        <v>0.081</v>
      </c>
    </row>
    <row r="348" spans="1:2">
      <c r="A348" s="3">
        <f t="shared" si="5"/>
        <v>44501</v>
      </c>
      <c r="B348" s="2" cm="1">
        <f t="array" ref="B348">INDEX(Sheet1!$B$5:$M$38,MATCH(YEAR(A348),Sheet1!$A$5:$A$38,0),MONTH(A348))</f>
        <v>0.084</v>
      </c>
    </row>
    <row r="349" spans="1:2">
      <c r="A349" s="3">
        <f t="shared" si="5"/>
        <v>44531</v>
      </c>
      <c r="B349" s="2" cm="1">
        <f t="array" ref="B349">INDEX(Sheet1!$B$5:$M$38,MATCH(YEAR(A349),Sheet1!$A$5:$A$38,0),MONTH(A349))</f>
        <v>0.084</v>
      </c>
    </row>
    <row r="350" spans="1:2">
      <c r="A350" s="3">
        <f t="shared" si="5"/>
        <v>44562</v>
      </c>
      <c r="B350" s="2" cm="1">
        <f t="array" ref="B350">INDEX(Sheet1!$B$5:$M$38,MATCH(YEAR(A350),Sheet1!$A$5:$A$38,0),MONTH(A350))</f>
        <v>0.087</v>
      </c>
    </row>
    <row r="351" spans="1:2">
      <c r="A351" s="3">
        <f t="shared" si="5"/>
        <v>44593</v>
      </c>
      <c r="B351" s="2" cm="1">
        <f t="array" ref="B351">INDEX(Sheet1!$B$5:$M$38,MATCH(YEAR(A351),Sheet1!$A$5:$A$38,0),MONTH(A351))</f>
        <v>0.092</v>
      </c>
    </row>
    <row r="352" spans="1:2">
      <c r="A352" s="3">
        <f t="shared" si="5"/>
        <v>44621</v>
      </c>
      <c r="B352" s="2" cm="1">
        <f t="array" ref="B352">INDEX(Sheet1!$B$5:$M$38,MATCH(YEAR(A352),Sheet1!$A$5:$A$38,0),MONTH(A352))</f>
        <v>0.167</v>
      </c>
    </row>
    <row r="353" spans="1:2">
      <c r="A353" s="3">
        <f t="shared" si="5"/>
        <v>44652</v>
      </c>
      <c r="B353" s="2" cm="1">
        <f t="array" ref="B353">INDEX(Sheet1!$B$5:$M$38,MATCH(YEAR(A353),Sheet1!$A$5:$A$38,0),MONTH(A353))</f>
        <v>0.179</v>
      </c>
    </row>
    <row r="354" spans="1:2">
      <c r="A354" s="3">
        <f t="shared" si="5"/>
        <v>44682</v>
      </c>
      <c r="B354" s="2" cm="1">
        <f t="array" ref="B354">INDEX(Sheet1!$B$5:$M$38,MATCH(YEAR(A354),Sheet1!$A$5:$A$38,0),MONTH(A354))</f>
        <v>0.171</v>
      </c>
    </row>
    <row r="355" spans="1:2">
      <c r="A355" s="3">
        <f t="shared" si="5"/>
        <v>44713</v>
      </c>
      <c r="B355" s="2" cm="1">
        <f t="array" ref="B355">INDEX(Sheet1!$B$5:$M$38,MATCH(YEAR(A355),Sheet1!$A$5:$A$38,0),MONTH(A355))</f>
        <v>0.159</v>
      </c>
    </row>
    <row r="356" spans="1:2">
      <c r="A356" s="3">
        <f t="shared" si="5"/>
        <v>44743</v>
      </c>
      <c r="B356" s="2" cm="1">
        <f t="array" ref="B356">INDEX(Sheet1!$B$5:$M$38,MATCH(YEAR(A356),Sheet1!$A$5:$A$38,0),MONTH(A356))</f>
        <v>0.151</v>
      </c>
    </row>
    <row r="357" spans="1:2">
      <c r="A357" s="3">
        <f t="shared" si="5"/>
        <v>44774</v>
      </c>
      <c r="B357" s="2" cm="1">
        <f t="array" ref="B357">INDEX(Sheet1!$B$5:$M$38,MATCH(YEAR(A357),Sheet1!$A$5:$A$38,0),MONTH(A357))</f>
        <v>0.143</v>
      </c>
    </row>
    <row r="358" spans="1:2">
      <c r="A358" s="3">
        <f t="shared" si="5"/>
        <v>44805</v>
      </c>
      <c r="B358" s="2" cm="1">
        <f t="array" ref="B358">INDEX(Sheet1!$B$5:$M$38,MATCH(YEAR(A358),Sheet1!$A$5:$A$38,0),MONTH(A358))</f>
        <v>0.136</v>
      </c>
    </row>
    <row r="359" spans="1:2">
      <c r="A359" s="3">
        <f t="shared" si="5"/>
        <v>44835</v>
      </c>
      <c r="B359" s="2" cm="1">
        <f t="array" ref="B359">INDEX(Sheet1!$B$5:$M$38,MATCH(YEAR(A359),Sheet1!$A$5:$A$38,0),MONTH(A359))</f>
        <v>0.126</v>
      </c>
    </row>
    <row r="360" spans="1:2">
      <c r="A360" s="3">
        <f t="shared" si="5"/>
        <v>44866</v>
      </c>
      <c r="B360" s="2" cm="1">
        <f t="array" ref="B360">INDEX(Sheet1!$B$5:$M$38,MATCH(YEAR(A360),Sheet1!$A$5:$A$38,0),MONTH(A360))</f>
        <v>0.119</v>
      </c>
    </row>
    <row r="361" spans="1:2">
      <c r="A361" s="3">
        <f t="shared" si="5"/>
        <v>44896</v>
      </c>
      <c r="B361" s="2" cm="1">
        <f t="array" ref="B361">INDEX(Sheet1!$B$5:$M$38,MATCH(YEAR(A361),Sheet1!$A$5:$A$38,0),MONTH(A361))</f>
        <v>0.119</v>
      </c>
    </row>
    <row r="362" spans="1:2">
      <c r="A362" s="3">
        <f t="shared" si="5"/>
        <v>44927</v>
      </c>
      <c r="B362" s="2" cm="1">
        <f t="array" ref="B362">INDEX(Sheet1!$B$5:$M$38,MATCH(YEAR(A362),Sheet1!$A$5:$A$38,0),MONTH(A362))</f>
        <v>0.118</v>
      </c>
    </row>
    <row r="363" spans="1:2">
      <c r="A363" s="3">
        <f t="shared" si="5"/>
        <v>44958</v>
      </c>
      <c r="B363" s="2" cm="1">
        <f t="array" ref="B363">INDEX(Sheet1!$B$5:$M$38,MATCH(YEAR(A363),Sheet1!$A$5:$A$38,0),MONTH(A363))</f>
        <v>0.11</v>
      </c>
    </row>
    <row r="364" spans="1:2">
      <c r="A364" s="3">
        <f t="shared" si="5"/>
        <v>44986</v>
      </c>
      <c r="B364" s="2" cm="1">
        <f t="array" ref="B364">INDEX(Sheet1!$B$5:$M$38,MATCH(YEAR(A364),Sheet1!$A$5:$A$38,0),MONTH(A364))</f>
        <v>0.035</v>
      </c>
    </row>
    <row r="365" spans="1:2">
      <c r="A365" s="3">
        <f t="shared" si="5"/>
        <v>45017</v>
      </c>
      <c r="B365" s="2" cm="1">
        <f t="array" ref="B365">INDEX(Sheet1!$B$5:$M$38,MATCH(YEAR(A365),Sheet1!$A$5:$A$38,0),MONTH(A365))</f>
        <v>0.023</v>
      </c>
    </row>
    <row r="366" spans="1:2">
      <c r="A366" s="3">
        <f t="shared" si="5"/>
        <v>45047</v>
      </c>
      <c r="B366" s="2" cm="1">
        <f t="array" ref="B366">INDEX(Sheet1!$B$5:$M$38,MATCH(YEAR(A366),Sheet1!$A$5:$A$38,0),MONTH(A366))</f>
        <v>0.025</v>
      </c>
    </row>
    <row r="367" spans="1:2">
      <c r="A367" s="3">
        <f t="shared" si="5"/>
        <v>45078</v>
      </c>
      <c r="B367" s="2" cm="1">
        <f t="array" ref="B367">INDEX(Sheet1!$B$5:$M$38,MATCH(YEAR(A367),Sheet1!$A$5:$A$38,0),MONTH(A367))</f>
        <v>0.032</v>
      </c>
    </row>
    <row r="368" spans="1:2">
      <c r="A368" s="3">
        <f t="shared" si="5"/>
        <v>45108</v>
      </c>
      <c r="B368" s="2" cm="1">
        <f t="array" ref="B368">INDEX(Sheet1!$B$5:$M$38,MATCH(YEAR(A368),Sheet1!$A$5:$A$38,0),MONTH(A368))</f>
        <v>0.042</v>
      </c>
    </row>
    <row r="369" spans="1:2">
      <c r="A369" s="3">
        <f t="shared" si="5"/>
        <v>45139</v>
      </c>
      <c r="B369" s="2" cm="1">
        <f t="array" ref="B369">INDEX(Sheet1!$B$5:$M$38,MATCH(YEAR(A369),Sheet1!$A$5:$A$38,0),MONTH(A369))</f>
        <v>0.052</v>
      </c>
    </row>
    <row r="370" spans="1:2">
      <c r="A370" s="3">
        <f t="shared" si="5"/>
        <v>45170</v>
      </c>
      <c r="B370" s="2" cm="1">
        <f t="array" ref="B370">INDEX(Sheet1!$B$5:$M$38,MATCH(YEAR(A370),Sheet1!$A$5:$A$38,0),MONTH(A370))</f>
        <v>0.06</v>
      </c>
    </row>
    <row r="371" spans="1:2">
      <c r="A371" s="3">
        <f t="shared" si="5"/>
        <v>45200</v>
      </c>
      <c r="B371" s="2" cm="1">
        <f t="array" ref="B371">INDEX(Sheet1!$B$5:$M$38,MATCH(YEAR(A371),Sheet1!$A$5:$A$38,0),MONTH(A371))</f>
        <v>0.067</v>
      </c>
    </row>
    <row r="372" spans="1:2">
      <c r="A372" s="3">
        <f t="shared" si="5"/>
        <v>45231</v>
      </c>
      <c r="B372" s="2" cm="1">
        <f t="array" ref="B372">INDEX(Sheet1!$B$5:$M$38,MATCH(YEAR(A372),Sheet1!$A$5:$A$38,0),MONTH(A372))</f>
        <v>0.075</v>
      </c>
    </row>
    <row r="373" spans="1:2">
      <c r="A373" s="3">
        <f t="shared" si="5"/>
        <v>45261</v>
      </c>
      <c r="B373" s="2" cm="1">
        <f t="array" ref="B373">INDEX(Sheet1!$B$5:$M$38,MATCH(YEAR(A373),Sheet1!$A$5:$A$38,0),MONTH(A373))</f>
        <v>0.074</v>
      </c>
    </row>
    <row r="374" spans="1:2">
      <c r="A374" s="3">
        <f t="shared" si="5"/>
        <v>45292</v>
      </c>
      <c r="B374" s="2" cm="1">
        <f t="array" ref="B374">INDEX(Sheet1!$B$5:$M$38,MATCH(YEAR(A374),Sheet1!$A$5:$A$38,0),MONTH(A374))</f>
        <v>0.074</v>
      </c>
    </row>
    <row r="375" spans="1:2">
      <c r="A375" s="3">
        <f t="shared" si="5"/>
        <v>45323</v>
      </c>
      <c r="B375" s="2" cm="1">
        <f t="array" ref="B375">INDEX(Sheet1!$B$5:$M$38,MATCH(YEAR(A375),Sheet1!$A$5:$A$38,0),MONTH(A375))</f>
        <v>0.077</v>
      </c>
    </row>
    <row r="376" spans="1:2">
      <c r="A376" s="3">
        <f t="shared" si="5"/>
        <v>45352</v>
      </c>
      <c r="B376" s="2" cm="1">
        <f t="array" ref="B376">INDEX(Sheet1!$B$5:$M$38,MATCH(YEAR(A376),Sheet1!$A$5:$A$38,0),MONTH(A376))</f>
        <v>0.077</v>
      </c>
    </row>
    <row r="377" spans="1:2">
      <c r="A377" s="3">
        <f t="shared" si="5"/>
        <v>45383</v>
      </c>
      <c r="B377" s="2" cm="1">
        <f t="array" ref="B377">INDEX(Sheet1!$B$5:$M$38,MATCH(YEAR(A377),Sheet1!$A$5:$A$38,0),MONTH(A377))</f>
        <v>0.078</v>
      </c>
    </row>
    <row r="378" spans="1:2">
      <c r="A378" s="3">
        <f t="shared" si="5"/>
        <v>45413</v>
      </c>
      <c r="B378" s="2" cm="1">
        <f t="array" ref="B378">INDEX(Sheet1!$B$5:$M$38,MATCH(YEAR(A378),Sheet1!$A$5:$A$38,0),MONTH(A378))</f>
        <v>0.083</v>
      </c>
    </row>
    <row r="379" spans="1:2">
      <c r="A379" s="3">
        <f t="shared" si="5"/>
        <v>45444</v>
      </c>
      <c r="B379" s="2" cm="1">
        <f t="array" ref="B379">INDEX(Sheet1!$B$5:$M$38,MATCH(YEAR(A379),Sheet1!$A$5:$A$38,0),MONTH(A379))</f>
        <v>0.087</v>
      </c>
    </row>
    <row r="380" spans="1:2">
      <c r="A380" s="3">
        <f t="shared" si="5"/>
        <v>45474</v>
      </c>
      <c r="B380" s="2" cm="1">
        <f t="array" ref="B380">INDEX(Sheet1!$B$5:$M$38,MATCH(YEAR(A380),Sheet1!$A$5:$A$38,0),MONTH(A380))</f>
        <v>0.092</v>
      </c>
    </row>
    <row r="381" spans="1:2">
      <c r="A381" s="3">
        <f t="shared" si="5"/>
        <v>45505</v>
      </c>
      <c r="B381" s="2" cm="1">
        <f t="array" ref="B381">INDEX(Sheet1!$B$5:$M$38,MATCH(YEAR(A381),Sheet1!$A$5:$A$38,0),MONTH(A381))</f>
        <v>0.091</v>
      </c>
    </row>
    <row r="382" spans="1:2">
      <c r="A382" s="3">
        <f t="shared" si="5"/>
        <v>45536</v>
      </c>
      <c r="B382" s="2" cm="1">
        <f t="array" ref="B382">INDEX(Sheet1!$B$5:$M$38,MATCH(YEAR(A382),Sheet1!$A$5:$A$38,0),MONTH(A382))</f>
        <v>0.086</v>
      </c>
    </row>
    <row r="383" spans="1:2">
      <c r="A383" s="3">
        <f t="shared" si="5"/>
        <v>45566</v>
      </c>
      <c r="B383" s="2" cm="1">
        <f t="array" ref="B383">INDEX(Sheet1!$B$5:$M$38,MATCH(YEAR(A383),Sheet1!$A$5:$A$38,0),MONTH(A383))</f>
        <v>0.085</v>
      </c>
    </row>
    <row r="384" spans="1:2">
      <c r="A384" s="3">
        <f t="shared" si="5"/>
        <v>45597</v>
      </c>
      <c r="B384" s="2" cm="1">
        <f t="array" ref="B384">INDEX(Sheet1!$B$5:$M$38,MATCH(YEAR(A384),Sheet1!$A$5:$A$38,0),MONTH(A384))</f>
        <v>0.089</v>
      </c>
    </row>
    <row r="385" spans="1:2">
      <c r="A385" s="3">
        <f t="shared" si="5"/>
        <v>45627</v>
      </c>
      <c r="B385" s="2" cm="1">
        <f t="array" ref="B385">INDEX(Sheet1!$B$5:$M$38,MATCH(YEAR(A385),Sheet1!$A$5:$A$38,0),MONTH(A385))</f>
        <v>0.095</v>
      </c>
    </row>
    <row r="386" spans="1:2">
      <c r="A386" s="3">
        <f t="shared" si="5"/>
        <v>45658</v>
      </c>
      <c r="B386" s="2" cm="1">
        <f t="array" ref="B386">INDEX(Sheet1!$B$5:$M$38,MATCH(YEAR(A386),Sheet1!$A$5:$A$38,0),MONTH(A386))</f>
        <v>0.1</v>
      </c>
    </row>
    <row r="387" spans="1:2">
      <c r="A387" s="3">
        <f>EDATE(A386,1)</f>
        <v>45689</v>
      </c>
      <c r="B387" s="2" cm="1">
        <f t="array" ref="B387">INDEX(Sheet1!$B$5:$M$38,MATCH(YEAR(A387),Sheet1!$A$5:$A$38,0),MONTH(A387))</f>
        <v>0.1</v>
      </c>
    </row>
    <row r="388" spans="1:2">
      <c r="A388" s="3">
        <f>EDATE(A387,1)</f>
        <v>45717</v>
      </c>
      <c r="B388" s="2" cm="1">
        <f t="array" ref="B388">INDEX(Sheet1!$B$5:$M$38,MATCH(YEAR(A388),Sheet1!$A$5:$A$38,0),MONTH(A388))</f>
        <v>0.103</v>
      </c>
    </row>
    <row r="389" spans="1:2">
      <c r="A389" s="3">
        <f>EDATE(A388,1)</f>
        <v>45748</v>
      </c>
      <c r="B389" s="2" cm="1">
        <f t="array" ref="B389">INDEX(Sheet1!$B$5:$M$38,MATCH(YEAR(A389),Sheet1!$A$5:$A$38,0),MONTH(A389))</f>
        <v>0.103</v>
      </c>
    </row>
    <row r="390" spans="1:2">
      <c r="A390" s="3">
        <f>EDATE(A389,1)</f>
        <v>45778</v>
      </c>
      <c r="B390" s="2" cm="1">
        <f t="array" ref="B390">INDEX(Sheet1!$B$5:$M$38,MATCH(YEAR(A390),Sheet1!$A$5:$A$38,0),MONTH(A390))</f>
        <v>0.099</v>
      </c>
    </row>
    <row r="391" spans="1:2">
      <c r="A391" s="3">
        <f>EDATE(A390,1)</f>
        <v>45809</v>
      </c>
      <c r="B391" s="2" cm="1">
        <f t="array" ref="B391">INDEX(Sheet1!$B$5:$M$38,MATCH(YEAR(A391),Sheet1!$A$5:$A$38,0),MONTH(A391))</f>
        <v>0.094</v>
      </c>
    </row>
    <row r="392" spans="1:2">
      <c r="A392" s="3">
        <f>EDATE(A391,1)</f>
        <v>45839</v>
      </c>
      <c r="B392" s="2" cm="1">
        <f t="array" ref="B392">INDEX(Sheet1!$B$5:$M$38,MATCH(YEAR(A392),Sheet1!$A$5:$A$38,0),MONTH(A392))</f>
        <v>0.088</v>
      </c>
    </row>
    <row r="393" spans="1:2">
      <c r="A393" s="3">
        <f>EDATE(A392,1)</f>
        <v>45870</v>
      </c>
      <c r="B393" s="2" cm="1">
        <f t="array" ref="B393">INDEX(Sheet1!$B$5:$M$38,MATCH(YEAR(A393),Sheet1!$A$5:$A$38,0),MONTH(A393))</f>
        <v>0.081</v>
      </c>
    </row>
    <row r="394" spans="1:2">
      <c r="A394" s="3">
        <f>EDATE(A393,1)</f>
        <v>45901</v>
      </c>
      <c r="B394" s="2" cm="1">
        <f t="array" ref="B394">INDEX(Sheet1!$B$5:$M$38,MATCH(YEAR(A394),Sheet1!$A$5:$A$38,0),MONTH(A394))</f>
        <v>0.08</v>
      </c>
    </row>
    <row r="395" spans="1:2">
      <c r="A395" s="3">
        <f>EDATE(A394,1)</f>
        <v>45931</v>
      </c>
      <c r="B395" s="2" cm="1">
        <f t="array" ref="B395">INDEX(Sheet1!$B$5:$M$38,MATCH(YEAR(A395),Sheet1!$A$5:$A$38,0),MONTH(A395))</f>
        <v>0.078</v>
      </c>
    </row>
    <row r="396" spans="1:2">
      <c r="A396" s="3">
        <f>EDATE(A395,1)</f>
        <v>45962</v>
      </c>
      <c r="B396" s="2" cm="1">
        <f t="array" ref="B396">INDEX(Sheet1!$B$5:$M$38,MATCH(YEAR(A396),Sheet1!$A$5:$A$38,0),MONTH(A396))</f>
        <v>0.066</v>
      </c>
    </row>
    <row r="397" spans="1:2">
      <c r="A397" s="3">
        <f>EDATE(A396,1)</f>
        <v>45992</v>
      </c>
      <c r="B397" s="2" cm="1">
        <f t="array" ref="B397">INDEX(Sheet1!$B$5:$M$38,MATCH(YEAR(A397),Sheet1!$A$5:$A$38,0),MONTH(A397))</f>
        <v>0.056</v>
      </c>
    </row>
    <row r="398" spans="1:2">
      <c r="A398" s="3">
        <f>EDATE(A397,1)</f>
        <v>46023</v>
      </c>
      <c r="B398" s="2" cm="1">
        <f t="array" ref="B398">INDEX(Sheet1!$B$5:$M$38,MATCH(YEAR(A398),Sheet1!$A$5:$A$38,0),MONTH(A398))</f>
        <v>0.06</v>
      </c>
    </row>
    <row r="399" spans="1:2">
      <c r="A399" s="3">
        <f>EDATE(A398,1)</f>
        <v>46054</v>
      </c>
      <c r="B399" s="2" cm="1">
        <f t="array" ref="B399">INDEX(Sheet1!$B$5:$M$38,MATCH(YEAR(A399),Sheet1!$A$5:$A$38,0),MONTH(A399))</f>
        <v>0.051</v>
      </c>
    </row>
    <row r="400" spans="1:2">
      <c r="A400" s="3">
        <f>EDATE(A399,1)</f>
        <v>46082</v>
      </c>
      <c r="B400" s="2" cm="1">
        <f t="array" ref="B400">INDEX(Sheet1!$B$5:$M$38,MATCH(YEAR(A400),Sheet1!$A$5:$A$38,0),MONTH(A400))</f>
        <v>0.059</v>
      </c>
    </row>
    <row r="401" spans="1:2">
      <c r="A401" s="3">
        <f>EDATE(A400,1)</f>
        <v>46113</v>
      </c>
      <c r="B401" s="2" cm="1">
        <f t="array" ref="B401">INDEX(Sheet1!$B$5:$M$38,MATCH(YEAR(A401),Sheet1!$A$5:$A$38,0),MONTH(A401))</f>
        <v>0.056</v>
      </c>
    </row>
    <row r="402" spans="1:2">
      <c r="A402" s="3">
        <f>EDATE(A401,1)</f>
        <v>46143</v>
      </c>
      <c r="B402" s="2" cm="1">
        <f t="array" ref="B402">INDEX(Sheet1!$B$5:$M$38,MATCH(YEAR(A402),Sheet1!$A$5:$A$38,0),MONTH(A402))</f>
        <v>0.054</v>
      </c>
    </row>
    <row r="403" spans="1:2">
      <c r="A403" s="3">
        <f>EDATE(A402,1)</f>
        <v>46174</v>
      </c>
      <c r="B403" s="2" cm="1">
        <f t="array" ref="B403">INDEX(Sheet1!$B$5:$M$38,MATCH(YEAR(A403),Sheet1!$A$5:$A$38,0),MONTH(A403))</f>
        <v>0.06</v>
      </c>
    </row>
    <row r="404" spans="1:2">
      <c r="A404" s="3">
        <f>EDATE(A403,1)</f>
        <v>46204</v>
      </c>
      <c r="B404" s="2" cm="1">
        <f t="array" ref="B404">INDEX(Sheet1!$B$5:$M$38,MATCH(YEAR(A404),Sheet1!$A$5:$A$38,0),MONTH(A404))</f>
        <v>0</v>
      </c>
    </row>
    <row r="405" spans="1:2">
      <c r="A405" s="3"/>
    </row>
    <row r="406" spans="1:2">
      <c r="A406" s="3"/>
    </row>
    <row r="407" spans="1:2">
      <c r="A407" s="3"/>
    </row>
    <row r="408" spans="1:2">
      <c r="A408" s="3"/>
    </row>
    <row r="409" spans="1:2">
      <c r="A409" s="3"/>
    </row>
    <row r="410" spans="1:2">
      <c r="A410" s="3"/>
    </row>
    <row r="411" spans="1:2">
      <c r="A411" s="3"/>
    </row>
    <row r="412" spans="1:2">
      <c r="A412" s="3"/>
    </row>
    <row r="413" spans="1:2">
      <c r="A413" s="3"/>
    </row>
    <row r="414" spans="1:2">
      <c r="A414" s="3"/>
    </row>
    <row r="415" spans="1:2">
      <c r="A415" s="3"/>
    </row>
    <row r="416" spans="1:2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  <row r="552" spans="1:1">
      <c r="A552" s="3"/>
    </row>
    <row r="553" spans="1:1">
      <c r="A553" s="3"/>
    </row>
    <row r="554" spans="1:1">
      <c r="A554" s="3"/>
    </row>
    <row r="555" spans="1:1">
      <c r="A555" s="3"/>
    </row>
    <row r="556" spans="1:1">
      <c r="A556" s="3"/>
    </row>
    <row r="557" spans="1:1">
      <c r="A557" s="3"/>
    </row>
    <row r="558" spans="1:1">
      <c r="A558" s="3"/>
    </row>
    <row r="559" spans="1:1">
      <c r="A559" s="3"/>
    </row>
    <row r="560" spans="1:1">
      <c r="A560" s="3"/>
    </row>
    <row r="561" spans="1:1">
      <c r="A561" s="3"/>
    </row>
    <row r="562" spans="1:1">
      <c r="A562" s="3"/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3"/>
    </row>
    <row r="568" spans="1:1">
      <c r="A568" s="3"/>
    </row>
    <row r="569" spans="1:1">
      <c r="A569" s="3"/>
    </row>
    <row r="570" spans="1:1">
      <c r="A570" s="3"/>
    </row>
    <row r="571" spans="1:1">
      <c r="A571" s="3"/>
    </row>
    <row r="572" spans="1:1">
      <c r="A572" s="3"/>
    </row>
    <row r="573" spans="1:1">
      <c r="A573" s="3"/>
    </row>
    <row r="574" spans="1:1">
      <c r="A574" s="3"/>
    </row>
    <row r="575" spans="1:1">
      <c r="A575" s="3"/>
    </row>
    <row r="576" spans="1:1">
      <c r="A576" s="3"/>
    </row>
    <row r="577" spans="1:1">
      <c r="A577" s="3"/>
    </row>
    <row r="578" spans="1:1">
      <c r="A578" s="3"/>
    </row>
    <row r="579" spans="1:1">
      <c r="A579" s="3"/>
    </row>
    <row r="580" spans="1:1">
      <c r="A580" s="3"/>
    </row>
    <row r="581" spans="1:1">
      <c r="A581" s="3"/>
    </row>
    <row r="582" spans="1:1">
      <c r="A582" s="3"/>
    </row>
    <row r="583" spans="1:1">
      <c r="A583" s="3"/>
    </row>
    <row r="584" spans="1:1">
      <c r="A584" s="3"/>
    </row>
    <row r="585" spans="1:1">
      <c r="A585" s="3"/>
    </row>
    <row r="586" spans="1:1">
      <c r="A586" s="3"/>
    </row>
    <row r="587" spans="1:1">
      <c r="A587" s="3"/>
    </row>
    <row r="588" spans="1:1">
      <c r="A588" s="3"/>
    </row>
    <row r="589" spans="1:1">
      <c r="A589" s="3"/>
    </row>
    <row r="590" spans="1:1">
      <c r="A590" s="3"/>
    </row>
    <row r="591" spans="1:1">
      <c r="A591" s="3"/>
    </row>
    <row r="592" spans="1:1">
      <c r="A592" s="3"/>
    </row>
    <row r="593" spans="1:1">
      <c r="A593" s="3"/>
    </row>
    <row r="594" spans="1:1">
      <c r="A594" s="3"/>
    </row>
    <row r="595" spans="1:1">
      <c r="A595" s="3"/>
    </row>
    <row r="596" spans="1:1">
      <c r="A596" s="3"/>
    </row>
    <row r="597" spans="1:1">
      <c r="A597" s="3"/>
    </row>
    <row r="598" spans="1:1">
      <c r="A598" s="3"/>
    </row>
    <row r="599" spans="1:1">
      <c r="A599" s="3"/>
    </row>
    <row r="600" spans="1:1">
      <c r="A600" s="3"/>
    </row>
    <row r="601" spans="1:1">
      <c r="A601" s="3"/>
    </row>
    <row r="602" spans="1:1">
      <c r="A602" s="3"/>
    </row>
    <row r="603" spans="1:1">
      <c r="A603" s="3"/>
    </row>
    <row r="604" spans="1:1">
      <c r="A604" s="3"/>
    </row>
    <row r="605" spans="1:1">
      <c r="A605" s="3"/>
    </row>
    <row r="606" spans="1:1">
      <c r="A606" s="3"/>
    </row>
    <row r="607" spans="1:1">
      <c r="A607" s="3"/>
    </row>
    <row r="608" spans="1:1">
      <c r="A608" s="3"/>
    </row>
    <row r="609" spans="1:1">
      <c r="A609" s="3"/>
    </row>
    <row r="610" spans="1:1">
      <c r="A610" s="3"/>
    </row>
    <row r="611" spans="1:1">
      <c r="A611" s="3"/>
    </row>
    <row r="612" spans="1:1">
      <c r="A612" s="3"/>
    </row>
    <row r="613" spans="1:1">
      <c r="A613" s="3"/>
    </row>
    <row r="614" spans="1:1">
      <c r="A614" s="3"/>
    </row>
    <row r="615" spans="1:1">
      <c r="A615" s="3"/>
    </row>
    <row r="616" spans="1:1">
      <c r="A616" s="3"/>
    </row>
    <row r="617" spans="1:1">
      <c r="A617" s="3"/>
    </row>
    <row r="618" spans="1:1">
      <c r="A618" s="3"/>
    </row>
    <row r="619" spans="1:1">
      <c r="A619" s="3"/>
    </row>
    <row r="620" spans="1:1">
      <c r="A620" s="3"/>
    </row>
    <row r="621" spans="1:1">
      <c r="A621" s="3"/>
    </row>
    <row r="622" spans="1:1">
      <c r="A622" s="3"/>
    </row>
    <row r="623" spans="1:1">
      <c r="A623" s="3"/>
    </row>
    <row r="624" spans="1:1">
      <c r="A624" s="3"/>
    </row>
    <row r="625" spans="1:1">
      <c r="A625" s="3"/>
    </row>
    <row r="626" spans="1:1">
      <c r="A626" s="3"/>
    </row>
    <row r="627" spans="1:1">
      <c r="A627" s="3"/>
    </row>
    <row r="628" spans="1:1">
      <c r="A628" s="3"/>
    </row>
    <row r="629" spans="1:1">
      <c r="A629" s="3"/>
    </row>
    <row r="630" spans="1:1">
      <c r="A630" s="3"/>
    </row>
    <row r="631" spans="1:1">
      <c r="A631" s="3"/>
    </row>
    <row r="632" spans="1:1">
      <c r="A632" s="3"/>
    </row>
    <row r="633" spans="1:1">
      <c r="A633" s="3"/>
    </row>
    <row r="634" spans="1:1">
      <c r="A634" s="3"/>
    </row>
    <row r="635" spans="1:1">
      <c r="A635" s="3"/>
    </row>
    <row r="636" spans="1:1">
      <c r="A636" s="3"/>
    </row>
    <row r="637" spans="1:1">
      <c r="A637" s="3"/>
    </row>
    <row r="638" spans="1:1">
      <c r="A638" s="3"/>
    </row>
    <row r="639" spans="1:1">
      <c r="A639" s="3"/>
    </row>
    <row r="640" spans="1:1">
      <c r="A640" s="3"/>
    </row>
    <row r="641" spans="1:1">
      <c r="A641" s="3"/>
    </row>
    <row r="642" spans="1:1">
      <c r="A642" s="3"/>
    </row>
    <row r="643" spans="1:1">
      <c r="A643" s="3"/>
    </row>
    <row r="644" spans="1:1">
      <c r="A644" s="3"/>
    </row>
    <row r="645" spans="1:1">
      <c r="A645" s="3"/>
    </row>
    <row r="646" spans="1:1">
      <c r="A646" s="3"/>
    </row>
    <row r="647" spans="1:1">
      <c r="A647" s="3"/>
    </row>
    <row r="648" spans="1:1">
      <c r="A648" s="3"/>
    </row>
    <row r="649" spans="1:1">
      <c r="A649" s="3"/>
    </row>
    <row r="650" spans="1:1">
      <c r="A650" s="3"/>
    </row>
    <row r="651" spans="1:1">
      <c r="A651" s="3"/>
    </row>
    <row r="652" spans="1:1">
      <c r="A652" s="3"/>
    </row>
    <row r="653" spans="1:1">
      <c r="A653" s="3"/>
    </row>
    <row r="654" spans="1:1">
      <c r="A654" s="3"/>
    </row>
    <row r="655" spans="1:1">
      <c r="A655" s="3"/>
    </row>
    <row r="656" spans="1:1">
      <c r="A656" s="3"/>
    </row>
    <row r="657" spans="1:1">
      <c r="A657" s="3"/>
    </row>
    <row r="658" spans="1:1">
      <c r="A658" s="3"/>
    </row>
    <row r="659" spans="1:1">
      <c r="A659" s="3"/>
    </row>
    <row r="660" spans="1:1">
      <c r="A660" s="3"/>
    </row>
    <row r="661" spans="1:1">
      <c r="A661" s="3"/>
    </row>
    <row r="662" spans="1:1">
      <c r="A662" s="3"/>
    </row>
    <row r="663" spans="1:1">
      <c r="A663" s="3"/>
    </row>
    <row r="664" spans="1:1">
      <c r="A664" s="3"/>
    </row>
    <row r="665" spans="1:1">
      <c r="A665" s="3"/>
    </row>
    <row r="666" spans="1:1">
      <c r="A666" s="3"/>
    </row>
    <row r="667" spans="1:1">
      <c r="A667" s="3"/>
    </row>
    <row r="668" spans="1:1">
      <c r="A668" s="3"/>
    </row>
    <row r="669" spans="1:1">
      <c r="A669" s="3"/>
    </row>
    <row r="670" spans="1:1">
      <c r="A670" s="3"/>
    </row>
    <row r="671" spans="1:1">
      <c r="A671" s="3"/>
    </row>
    <row r="672" spans="1:1">
      <c r="A672" s="3"/>
    </row>
    <row r="673" spans="1:1">
      <c r="A673" s="3"/>
    </row>
    <row r="674" spans="1:1">
      <c r="A674" s="3"/>
    </row>
    <row r="675" spans="1:1">
      <c r="A675" s="3"/>
    </row>
    <row r="676" spans="1:1">
      <c r="A676" s="3"/>
    </row>
    <row r="677" spans="1:1">
      <c r="A677" s="3"/>
    </row>
    <row r="678" spans="1:1">
      <c r="A678" s="3"/>
    </row>
    <row r="679" spans="1:1">
      <c r="A679" s="3"/>
    </row>
    <row r="680" spans="1:1">
      <c r="A680" s="3"/>
    </row>
    <row r="681" spans="1:1">
      <c r="A681" s="3"/>
    </row>
    <row r="682" spans="1:1">
      <c r="A682" s="3"/>
    </row>
    <row r="683" spans="1:1">
      <c r="A683" s="3"/>
    </row>
    <row r="684" spans="1:1">
      <c r="A68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darhanmashirapov</dc:creator>
  <cp:lastModifiedBy>Darkhan Mashirapov</cp:lastModifiedBy>
  <dcterms:created xsi:type="dcterms:W3CDTF">2026-08-17T02:08:00Z</dcterms:created>
  <dcterms:modified xsi:type="dcterms:W3CDTF">2026-08-21T16:35:47Z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2ECCCBCFCDC2E5DD58D2816ABC45BD90_41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