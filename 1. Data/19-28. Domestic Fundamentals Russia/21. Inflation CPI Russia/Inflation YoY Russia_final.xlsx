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Sheet1" sheetId="1" r:id="rId1"/>
    <sheet name="Sheet4" sheetId="4" r:id="rId2"/>
    <sheet name="Final Cleaned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<sst xmlns="http://schemas.openxmlformats.org/spreadsheetml/2006/main" count="21" uniqueCount="21">
  <si>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Historical inflation rates for Russia</t>
  </si>
  <si>
    <r>
      <rPr>
        <b/>
        <sz val="10.2"/>
        <color rgb="FF555555"/>
        <rFont val="Calibri"/>
        <charset val="134"/>
        <scheme val="minor"/>
      </rPr>
      <t>Updated</t>
    </r>
    <r>
      <rPr>
        <sz val="10.2"/>
        <color rgb="FF555555"/>
        <rFont val="Calibri"/>
        <charset val="134"/>
        <scheme val="minor"/>
      </rPr>
      <t>: August 1, 2026</t>
    </r>
  </si>
  <si>
    <r>
      <rPr>
        <b/>
        <sz val="9.6"/>
        <color rgb="FF737272"/>
        <rFont val="Calibri"/>
        <charset val="134"/>
        <scheme val="minor"/>
      </rPr>
      <t>Next update</t>
    </r>
    <r>
      <rPr>
        <sz val="9.6"/>
        <color rgb="FF737272"/>
        <rFont val="Calibri"/>
        <charset val="134"/>
        <scheme val="minor"/>
      </rPr>
      <t>: September 1, 2026</t>
    </r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</si>
  <si>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</si>
  <si>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</si>
  <si>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</si>
  <si>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</si>
  <si>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</si>
  <si>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</si>
  <si>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</si>
  <si>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</si>
  <si>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</si>
  <si>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</si>
  <si>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</si>
  <si>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</si>
  <si>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</si>
  <si>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</si>
  <si>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Date</t>
  </si>
  <si>
    <t>YoY Inflation Russia</t>
  </si>
  <si>
    <t>date</t>
  </si>
  <si>
    <t>ru_inflation_yoy_m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</si>
</sst>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7">
    <font>
      <sz val="11"/>
      <color theme="1"/>
      <name val="Calibri"/>
      <charset val="134"/>
      <scheme val="minor"/>
    </font>
    <font>
      <b/>
      <sz val="14.4"/>
      <color theme="1"/>
      <name val="Calibri"/>
      <charset val="134"/>
      <scheme val="minor"/>
    </font>
    <font>
      <b/>
      <sz val="10.2"/>
      <color rgb="FF555555"/>
      <name val="Calibri"/>
      <charset val="134"/>
      <scheme val="minor"/>
    </font>
    <font>
      <b/>
      <sz val="9.6"/>
      <color rgb="FF737272"/>
      <name val="Calibri"/>
      <charset val="134"/>
      <scheme val="minor"/>
    </font>
    <font>
      <b/>
      <sz val="9.35"/>
      <color theme="1"/>
      <name val="Calibri"/>
      <charset val="134"/>
      <scheme val="minor"/>
    </font>
    <font>
      <sz val="9.3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2"/>
      <color rgb="FF555555"/>
      <name val="Calibri"/>
      <charset val="134"/>
      <scheme val="minor"/>
    </font>
    <font>
      <sz val="9.6"/>
      <color rgb="FF737272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CCCCCC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EEEEEE"/>
      </right>
      <top/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8" fontId="0" fillId="0" borderId="0" xfId="0" applyNumberFormat="1">
      <alignment vertical="center"/>
    </xf>
    <xf numFmtId="10" fontId="0" fillId="0" borderId="0" xfId="3" applyNumberFormat="1">
      <alignment vertical="center"/>
    </xf>
    <xf numFmtId="58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0" fontId="5" fillId="2" borderId="0" xfId="0" applyNumberFormat="1" applyFont="1" applyFill="1" applyAlignment="1">
      <alignment horizontal="center" vertical="center" wrapText="1"/>
    </xf>
    <xf numFmtId="10" fontId="5" fillId="2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0" fontId="5" fillId="2" borderId="7" xfId="0" applyNumberFormat="1" applyFont="1" applyFill="1" applyBorder="1" applyAlignment="1">
      <alignment horizontal="center" vertical="center" wrapText="1"/>
    </xf>
    <xf numFmtId="10" fontId="5" fillId="2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opLeftCell="A5" workbookViewId="0">
      <selection activeCell="K35" sqref="K35"/>
    </sheetView>
  </sheetViews>
  <sheetFormatPr defaultColWidth="9" defaultRowHeight="16.8"/>
  <sheetData>
    <row r="1" ht="20.8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7.55" spans="1:1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9" t="s">
        <v>16</v>
      </c>
      <c r="O4" s="10"/>
    </row>
    <row r="5" spans="1:15">
      <c r="A5" s="11">
        <v>2026</v>
      </c>
      <c r="B5" s="12">
        <v>0.06</v>
      </c>
      <c r="C5" s="12">
        <v>0.051</v>
      </c>
      <c r="D5" s="12">
        <v>0.059</v>
      </c>
      <c r="E5" s="12">
        <v>0.056</v>
      </c>
      <c r="F5" s="12">
        <v>0.054</v>
      </c>
      <c r="G5" s="12">
        <v>0.06</v>
      </c>
      <c r="H5" s="13"/>
      <c r="I5" s="13"/>
      <c r="J5" s="13"/>
      <c r="K5" s="13"/>
      <c r="L5" s="13"/>
      <c r="M5" s="13"/>
      <c r="N5" s="14"/>
      <c r="O5" s="10"/>
    </row>
    <row r="6" spans="1:15">
      <c r="A6" s="15">
        <v>2025</v>
      </c>
      <c r="B6" s="16">
        <v>0.1</v>
      </c>
      <c r="C6" s="16">
        <v>0.1</v>
      </c>
      <c r="D6" s="16">
        <v>0.103</v>
      </c>
      <c r="E6" s="16">
        <v>0.103</v>
      </c>
      <c r="F6" s="16">
        <v>0.099</v>
      </c>
      <c r="G6" s="16">
        <v>0.094</v>
      </c>
      <c r="H6" s="16">
        <v>0.088</v>
      </c>
      <c r="I6" s="16">
        <v>0.081</v>
      </c>
      <c r="J6" s="16">
        <v>0.08</v>
      </c>
      <c r="K6" s="16">
        <v>0.078</v>
      </c>
      <c r="L6" s="16">
        <v>0.066</v>
      </c>
      <c r="M6" s="16">
        <v>0.056</v>
      </c>
      <c r="N6" s="17">
        <v>0.087</v>
      </c>
      <c r="O6" s="10"/>
    </row>
    <row r="7" spans="1:15">
      <c r="A7" s="11">
        <v>2024</v>
      </c>
      <c r="B7" s="12">
        <v>0.074</v>
      </c>
      <c r="C7" s="12">
        <v>0.077</v>
      </c>
      <c r="D7" s="12">
        <v>0.077</v>
      </c>
      <c r="E7" s="12">
        <v>0.078</v>
      </c>
      <c r="F7" s="12">
        <v>0.083</v>
      </c>
      <c r="G7" s="12">
        <v>0.087</v>
      </c>
      <c r="H7" s="12">
        <v>0.092</v>
      </c>
      <c r="I7" s="12">
        <v>0.091</v>
      </c>
      <c r="J7" s="12">
        <v>0.086</v>
      </c>
      <c r="K7" s="12">
        <v>0.085</v>
      </c>
      <c r="L7" s="12">
        <v>0.089</v>
      </c>
      <c r="M7" s="12">
        <v>0.095</v>
      </c>
      <c r="N7" s="18">
        <v>0.085</v>
      </c>
      <c r="O7" s="10"/>
    </row>
    <row r="8" spans="1:15">
      <c r="A8" s="15">
        <v>2023</v>
      </c>
      <c r="B8" s="16">
        <v>0.118</v>
      </c>
      <c r="C8" s="16">
        <v>0.11</v>
      </c>
      <c r="D8" s="16">
        <v>0.035</v>
      </c>
      <c r="E8" s="16">
        <v>0.023</v>
      </c>
      <c r="F8" s="16">
        <v>0.025</v>
      </c>
      <c r="G8" s="16">
        <v>0.032</v>
      </c>
      <c r="H8" s="16">
        <v>0.042</v>
      </c>
      <c r="I8" s="16">
        <v>0.052</v>
      </c>
      <c r="J8" s="16">
        <v>0.06</v>
      </c>
      <c r="K8" s="16">
        <v>0.067</v>
      </c>
      <c r="L8" s="16">
        <v>0.075</v>
      </c>
      <c r="M8" s="16">
        <v>0.074</v>
      </c>
      <c r="N8" s="17">
        <v>0.059</v>
      </c>
      <c r="O8" s="10"/>
    </row>
    <row r="9" spans="1:15">
      <c r="A9" s="11">
        <v>2022</v>
      </c>
      <c r="B9" s="12">
        <v>0.087</v>
      </c>
      <c r="C9" s="12">
        <v>0.092</v>
      </c>
      <c r="D9" s="12">
        <v>0.167</v>
      </c>
      <c r="E9" s="12">
        <v>0.179</v>
      </c>
      <c r="F9" s="12">
        <v>0.171</v>
      </c>
      <c r="G9" s="12">
        <v>0.159</v>
      </c>
      <c r="H9" s="12">
        <v>0.151</v>
      </c>
      <c r="I9" s="12">
        <v>0.143</v>
      </c>
      <c r="J9" s="12">
        <v>0.136</v>
      </c>
      <c r="K9" s="12">
        <v>0.126</v>
      </c>
      <c r="L9" s="12">
        <v>0.119</v>
      </c>
      <c r="M9" s="12">
        <v>0.119</v>
      </c>
      <c r="N9" s="18">
        <v>0.137</v>
      </c>
      <c r="O9" s="10"/>
    </row>
    <row r="10" spans="1:15">
      <c r="A10" s="15">
        <v>2021</v>
      </c>
      <c r="B10" s="16">
        <v>0.052</v>
      </c>
      <c r="C10" s="16">
        <v>0.057</v>
      </c>
      <c r="D10" s="16">
        <v>0.058</v>
      </c>
      <c r="E10" s="16">
        <v>0.055</v>
      </c>
      <c r="F10" s="16">
        <v>0.06</v>
      </c>
      <c r="G10" s="16">
        <v>0.065</v>
      </c>
      <c r="H10" s="16">
        <v>0.065</v>
      </c>
      <c r="I10" s="16">
        <v>0.067</v>
      </c>
      <c r="J10" s="16">
        <v>0.074</v>
      </c>
      <c r="K10" s="16">
        <v>0.081</v>
      </c>
      <c r="L10" s="16">
        <v>0.084</v>
      </c>
      <c r="M10" s="16">
        <v>0.084</v>
      </c>
      <c r="N10" s="17">
        <v>0.067</v>
      </c>
      <c r="O10" s="10"/>
    </row>
    <row r="11" spans="1:15">
      <c r="A11" s="11">
        <v>2020</v>
      </c>
      <c r="B11" s="12">
        <v>0.024</v>
      </c>
      <c r="C11" s="12">
        <v>0.023</v>
      </c>
      <c r="D11" s="12">
        <v>0.025</v>
      </c>
      <c r="E11" s="12">
        <v>0.031</v>
      </c>
      <c r="F11" s="12">
        <v>0.03</v>
      </c>
      <c r="G11" s="12">
        <v>0.032</v>
      </c>
      <c r="H11" s="12">
        <v>0.034</v>
      </c>
      <c r="I11" s="12">
        <v>0.036</v>
      </c>
      <c r="J11" s="12">
        <v>0.037</v>
      </c>
      <c r="K11" s="12">
        <v>0.04</v>
      </c>
      <c r="L11" s="12">
        <v>0.044</v>
      </c>
      <c r="M11" s="12">
        <v>0.049</v>
      </c>
      <c r="N11" s="18">
        <v>0.034</v>
      </c>
    </row>
    <row r="12" spans="1:15">
      <c r="A12" s="15">
        <v>2019</v>
      </c>
      <c r="B12" s="16">
        <v>0.05</v>
      </c>
      <c r="C12" s="16">
        <v>0.052</v>
      </c>
      <c r="D12" s="16">
        <v>0.053</v>
      </c>
      <c r="E12" s="16">
        <v>0.052</v>
      </c>
      <c r="F12" s="16">
        <v>0.051</v>
      </c>
      <c r="G12" s="16">
        <v>0.047</v>
      </c>
      <c r="H12" s="16">
        <v>0.046</v>
      </c>
      <c r="I12" s="16">
        <v>0.043</v>
      </c>
      <c r="J12" s="16">
        <v>0.04</v>
      </c>
      <c r="K12" s="16">
        <v>0.038</v>
      </c>
      <c r="L12" s="16">
        <v>0.035</v>
      </c>
      <c r="M12" s="16">
        <v>0.03</v>
      </c>
      <c r="N12" s="17">
        <v>0.045</v>
      </c>
    </row>
    <row r="13" spans="1:15">
      <c r="A13" s="11">
        <v>2018</v>
      </c>
      <c r="B13" s="12">
        <v>0.022</v>
      </c>
      <c r="C13" s="12">
        <v>0.022</v>
      </c>
      <c r="D13" s="12">
        <v>0.024</v>
      </c>
      <c r="E13" s="12">
        <v>0.024</v>
      </c>
      <c r="F13" s="12">
        <v>0.024</v>
      </c>
      <c r="G13" s="12">
        <v>0.023</v>
      </c>
      <c r="H13" s="12">
        <v>0.025</v>
      </c>
      <c r="I13" s="12">
        <v>0.031</v>
      </c>
      <c r="J13" s="12">
        <v>0.034</v>
      </c>
      <c r="K13" s="12">
        <v>0.035</v>
      </c>
      <c r="L13" s="12">
        <v>0.038</v>
      </c>
      <c r="M13" s="12">
        <v>0.043</v>
      </c>
      <c r="N13" s="18">
        <v>0.029</v>
      </c>
    </row>
    <row r="14" spans="1:15">
      <c r="A14" s="15">
        <v>2017</v>
      </c>
      <c r="B14" s="16">
        <v>0.05</v>
      </c>
      <c r="C14" s="16">
        <v>0.046</v>
      </c>
      <c r="D14" s="16">
        <v>0.043</v>
      </c>
      <c r="E14" s="16">
        <v>0.041</v>
      </c>
      <c r="F14" s="16">
        <v>0.041</v>
      </c>
      <c r="G14" s="16">
        <v>0.043</v>
      </c>
      <c r="H14" s="16">
        <v>0.039</v>
      </c>
      <c r="I14" s="16">
        <v>0.033</v>
      </c>
      <c r="J14" s="16">
        <v>0.03</v>
      </c>
      <c r="K14" s="16">
        <v>0.027</v>
      </c>
      <c r="L14" s="16">
        <v>0.025</v>
      </c>
      <c r="M14" s="16">
        <v>0.025</v>
      </c>
      <c r="N14" s="17">
        <v>0.037</v>
      </c>
    </row>
    <row r="15" spans="1:15">
      <c r="A15" s="11">
        <v>2016</v>
      </c>
      <c r="B15" s="12">
        <v>0.098</v>
      </c>
      <c r="C15" s="12">
        <v>0.081</v>
      </c>
      <c r="D15" s="12">
        <v>0.073</v>
      </c>
      <c r="E15" s="12">
        <v>0.072</v>
      </c>
      <c r="F15" s="12">
        <v>0.073</v>
      </c>
      <c r="G15" s="12">
        <v>0.075</v>
      </c>
      <c r="H15" s="12">
        <v>0.072</v>
      </c>
      <c r="I15" s="12">
        <v>0.068</v>
      </c>
      <c r="J15" s="12">
        <v>0.064</v>
      </c>
      <c r="K15" s="12">
        <v>0.061</v>
      </c>
      <c r="L15" s="12">
        <v>0.058</v>
      </c>
      <c r="M15" s="12">
        <v>0.054</v>
      </c>
      <c r="N15" s="18">
        <v>0.07</v>
      </c>
    </row>
    <row r="16" spans="1:15">
      <c r="A16" s="15">
        <v>2015</v>
      </c>
      <c r="B16" s="16">
        <v>0.15</v>
      </c>
      <c r="C16" s="16">
        <v>0.167</v>
      </c>
      <c r="D16" s="16">
        <v>0.169</v>
      </c>
      <c r="E16" s="16">
        <v>0.164</v>
      </c>
      <c r="F16" s="16">
        <v>0.158</v>
      </c>
      <c r="G16" s="16">
        <v>0.153</v>
      </c>
      <c r="H16" s="16">
        <v>0.156</v>
      </c>
      <c r="I16" s="16">
        <v>0.158</v>
      </c>
      <c r="J16" s="16">
        <v>0.157</v>
      </c>
      <c r="K16" s="16">
        <v>0.156</v>
      </c>
      <c r="L16" s="16">
        <v>0.15</v>
      </c>
      <c r="M16" s="16">
        <v>0.129</v>
      </c>
      <c r="N16" s="17">
        <v>0.155</v>
      </c>
    </row>
    <row r="17" spans="1:14">
      <c r="A17" s="11">
        <v>2014</v>
      </c>
      <c r="B17" s="12">
        <v>0.061</v>
      </c>
      <c r="C17" s="12">
        <v>0.062</v>
      </c>
      <c r="D17" s="12">
        <v>0.069</v>
      </c>
      <c r="E17" s="12">
        <v>0.073</v>
      </c>
      <c r="F17" s="12">
        <v>0.076</v>
      </c>
      <c r="G17" s="12">
        <v>0.078</v>
      </c>
      <c r="H17" s="12">
        <v>0.074</v>
      </c>
      <c r="I17" s="12">
        <v>0.076</v>
      </c>
      <c r="J17" s="12">
        <v>0.08</v>
      </c>
      <c r="K17" s="12">
        <v>0.083</v>
      </c>
      <c r="L17" s="12">
        <v>0.091</v>
      </c>
      <c r="M17" s="12">
        <v>0.114</v>
      </c>
      <c r="N17" s="18">
        <v>0.078</v>
      </c>
    </row>
    <row r="18" spans="1:14">
      <c r="A18" s="15">
        <v>2013</v>
      </c>
      <c r="B18" s="16">
        <v>0.071</v>
      </c>
      <c r="C18" s="16">
        <v>0.073</v>
      </c>
      <c r="D18" s="16">
        <v>0.07</v>
      </c>
      <c r="E18" s="16">
        <v>0.072</v>
      </c>
      <c r="F18" s="16">
        <v>0.074</v>
      </c>
      <c r="G18" s="16">
        <v>0.069</v>
      </c>
      <c r="H18" s="16">
        <v>0.065</v>
      </c>
      <c r="I18" s="16">
        <v>0.065</v>
      </c>
      <c r="J18" s="16">
        <v>0.061</v>
      </c>
      <c r="K18" s="16">
        <v>0.063</v>
      </c>
      <c r="L18" s="16">
        <v>0.065</v>
      </c>
      <c r="M18" s="16">
        <v>0.064</v>
      </c>
      <c r="N18" s="17">
        <v>0.068</v>
      </c>
    </row>
    <row r="19" spans="1:14">
      <c r="A19" s="11">
        <v>2012</v>
      </c>
      <c r="B19" s="12">
        <v>0.042</v>
      </c>
      <c r="C19" s="12">
        <v>0.037</v>
      </c>
      <c r="D19" s="12">
        <v>0.037</v>
      </c>
      <c r="E19" s="12">
        <v>0.036</v>
      </c>
      <c r="F19" s="12">
        <v>0.036</v>
      </c>
      <c r="G19" s="12">
        <v>0.043</v>
      </c>
      <c r="H19" s="12">
        <v>0.056</v>
      </c>
      <c r="I19" s="12">
        <v>0.06</v>
      </c>
      <c r="J19" s="12">
        <v>0.066</v>
      </c>
      <c r="K19" s="12">
        <v>0.066</v>
      </c>
      <c r="L19" s="12">
        <v>0.065</v>
      </c>
      <c r="M19" s="12">
        <v>0.066</v>
      </c>
      <c r="N19" s="18">
        <v>0.051</v>
      </c>
    </row>
    <row r="20" spans="1:14">
      <c r="A20" s="15">
        <v>2011</v>
      </c>
      <c r="B20" s="16">
        <v>0.096</v>
      </c>
      <c r="C20" s="16">
        <v>0.095</v>
      </c>
      <c r="D20" s="16">
        <v>0.095</v>
      </c>
      <c r="E20" s="16">
        <v>0.096</v>
      </c>
      <c r="F20" s="16">
        <v>0.096</v>
      </c>
      <c r="G20" s="16">
        <v>0.094</v>
      </c>
      <c r="H20" s="16">
        <v>0.09</v>
      </c>
      <c r="I20" s="16">
        <v>0.082</v>
      </c>
      <c r="J20" s="16">
        <v>0.072</v>
      </c>
      <c r="K20" s="16">
        <v>0.072</v>
      </c>
      <c r="L20" s="16">
        <v>0.068</v>
      </c>
      <c r="M20" s="16">
        <v>0.061</v>
      </c>
      <c r="N20" s="17">
        <v>0.084</v>
      </c>
    </row>
    <row r="21" spans="1:14">
      <c r="A21" s="11">
        <v>2010</v>
      </c>
      <c r="B21" s="12">
        <v>0.08</v>
      </c>
      <c r="C21" s="12">
        <v>0.072</v>
      </c>
      <c r="D21" s="12">
        <v>0.065</v>
      </c>
      <c r="E21" s="12">
        <v>0.06</v>
      </c>
      <c r="F21" s="12">
        <v>0.06</v>
      </c>
      <c r="G21" s="12">
        <v>0.057</v>
      </c>
      <c r="H21" s="12">
        <v>0.055</v>
      </c>
      <c r="I21" s="12">
        <v>0.06</v>
      </c>
      <c r="J21" s="12">
        <v>0.07</v>
      </c>
      <c r="K21" s="12">
        <v>0.075</v>
      </c>
      <c r="L21" s="12">
        <v>0.081</v>
      </c>
      <c r="M21" s="12">
        <v>0.088</v>
      </c>
      <c r="N21" s="18">
        <v>0.068</v>
      </c>
    </row>
    <row r="22" spans="1:14">
      <c r="A22" s="15">
        <v>2009</v>
      </c>
      <c r="B22" s="16">
        <v>0.133</v>
      </c>
      <c r="C22" s="16">
        <v>0.138</v>
      </c>
      <c r="D22" s="16">
        <v>0.14</v>
      </c>
      <c r="E22" s="16">
        <v>0.132</v>
      </c>
      <c r="F22" s="16">
        <v>0.123</v>
      </c>
      <c r="G22" s="16">
        <v>0.119</v>
      </c>
      <c r="H22" s="16">
        <v>0.12</v>
      </c>
      <c r="I22" s="16">
        <v>0.116</v>
      </c>
      <c r="J22" s="16">
        <v>0.107</v>
      </c>
      <c r="K22" s="16">
        <v>0.097</v>
      </c>
      <c r="L22" s="16">
        <v>0.091</v>
      </c>
      <c r="M22" s="16">
        <v>0.088</v>
      </c>
      <c r="N22" s="17">
        <v>0.116</v>
      </c>
    </row>
    <row r="23" spans="1:14">
      <c r="A23" s="11">
        <v>2008</v>
      </c>
      <c r="B23" s="12">
        <v>0.126</v>
      </c>
      <c r="C23" s="12">
        <v>0.127</v>
      </c>
      <c r="D23" s="12">
        <v>0.134</v>
      </c>
      <c r="E23" s="12">
        <v>0.143</v>
      </c>
      <c r="F23" s="12">
        <v>0.151</v>
      </c>
      <c r="G23" s="12">
        <v>0.152</v>
      </c>
      <c r="H23" s="12">
        <v>0.147</v>
      </c>
      <c r="I23" s="12">
        <v>0.15</v>
      </c>
      <c r="J23" s="12">
        <v>0.151</v>
      </c>
      <c r="K23" s="12">
        <v>0.142</v>
      </c>
      <c r="L23" s="12">
        <v>0.138</v>
      </c>
      <c r="M23" s="12">
        <v>0.133</v>
      </c>
      <c r="N23" s="18">
        <v>0.141</v>
      </c>
    </row>
    <row r="24" spans="1:14">
      <c r="A24" s="15">
        <v>2007</v>
      </c>
      <c r="B24" s="16">
        <v>0.082</v>
      </c>
      <c r="C24" s="16">
        <v>0.076</v>
      </c>
      <c r="D24" s="16">
        <v>0.074</v>
      </c>
      <c r="E24" s="16">
        <v>0.076</v>
      </c>
      <c r="F24" s="16">
        <v>0.078</v>
      </c>
      <c r="G24" s="16">
        <v>0.085</v>
      </c>
      <c r="H24" s="16">
        <v>0.087</v>
      </c>
      <c r="I24" s="16">
        <v>0.086</v>
      </c>
      <c r="J24" s="16">
        <v>0.094</v>
      </c>
      <c r="K24" s="16">
        <v>0.108</v>
      </c>
      <c r="L24" s="16">
        <v>0.115</v>
      </c>
      <c r="M24" s="16">
        <v>0.119</v>
      </c>
      <c r="N24" s="17">
        <v>0.09</v>
      </c>
    </row>
    <row r="25" spans="1:14">
      <c r="A25" s="11">
        <v>2006</v>
      </c>
      <c r="B25" s="12">
        <v>0.107</v>
      </c>
      <c r="C25" s="12">
        <v>0.112</v>
      </c>
      <c r="D25" s="12">
        <v>0.106</v>
      </c>
      <c r="E25" s="12">
        <v>0.098</v>
      </c>
      <c r="F25" s="12">
        <v>0.094</v>
      </c>
      <c r="G25" s="12">
        <v>0.09</v>
      </c>
      <c r="H25" s="12">
        <v>0.092</v>
      </c>
      <c r="I25" s="12">
        <v>0.096</v>
      </c>
      <c r="J25" s="12">
        <v>0.094</v>
      </c>
      <c r="K25" s="12">
        <v>0.091</v>
      </c>
      <c r="L25" s="12">
        <v>0.09</v>
      </c>
      <c r="M25" s="12">
        <v>0.09</v>
      </c>
      <c r="N25" s="18">
        <v>0.097</v>
      </c>
    </row>
    <row r="26" spans="1:14">
      <c r="A26" s="15">
        <v>2005</v>
      </c>
      <c r="B26" s="16">
        <v>0.127</v>
      </c>
      <c r="C26" s="16">
        <v>0.13</v>
      </c>
      <c r="D26" s="16">
        <v>0.136</v>
      </c>
      <c r="E26" s="16">
        <v>0.138</v>
      </c>
      <c r="F26" s="16">
        <v>0.138</v>
      </c>
      <c r="G26" s="16">
        <v>0.137</v>
      </c>
      <c r="H26" s="16">
        <v>0.132</v>
      </c>
      <c r="I26" s="16">
        <v>0.125</v>
      </c>
      <c r="J26" s="16">
        <v>0.123</v>
      </c>
      <c r="K26" s="16">
        <v>0.117</v>
      </c>
      <c r="L26" s="16">
        <v>0.113</v>
      </c>
      <c r="M26" s="16">
        <v>0.109</v>
      </c>
      <c r="N26" s="17">
        <v>0.127</v>
      </c>
    </row>
    <row r="27" spans="1:14">
      <c r="A27" s="11">
        <v>2004</v>
      </c>
      <c r="B27" s="12">
        <v>0.113</v>
      </c>
      <c r="C27" s="12">
        <v>0.106</v>
      </c>
      <c r="D27" s="12">
        <v>0.103</v>
      </c>
      <c r="E27" s="12">
        <v>0.102</v>
      </c>
      <c r="F27" s="12">
        <v>0.102</v>
      </c>
      <c r="G27" s="12">
        <v>0.101</v>
      </c>
      <c r="H27" s="12">
        <v>0.104</v>
      </c>
      <c r="I27" s="12">
        <v>0.113</v>
      </c>
      <c r="J27" s="12">
        <v>0.114</v>
      </c>
      <c r="K27" s="12">
        <v>0.115</v>
      </c>
      <c r="L27" s="12">
        <v>0.117</v>
      </c>
      <c r="M27" s="12">
        <v>0.117</v>
      </c>
      <c r="N27" s="18">
        <v>0.109</v>
      </c>
    </row>
    <row r="28" spans="1:14">
      <c r="A28" s="15">
        <v>2003</v>
      </c>
      <c r="B28" s="16">
        <v>0.143</v>
      </c>
      <c r="C28" s="16">
        <v>0.148</v>
      </c>
      <c r="D28" s="16">
        <v>0.148</v>
      </c>
      <c r="E28" s="16">
        <v>0.146</v>
      </c>
      <c r="F28" s="16">
        <v>0.136</v>
      </c>
      <c r="G28" s="16">
        <v>0.139</v>
      </c>
      <c r="H28" s="16">
        <v>0.139</v>
      </c>
      <c r="I28" s="16">
        <v>0.134</v>
      </c>
      <c r="J28" s="16">
        <v>0.133</v>
      </c>
      <c r="K28" s="16">
        <v>0.132</v>
      </c>
      <c r="L28" s="16">
        <v>0.125</v>
      </c>
      <c r="M28" s="16">
        <v>0.12</v>
      </c>
      <c r="N28" s="17">
        <v>0.137</v>
      </c>
    </row>
    <row r="29" spans="1:14">
      <c r="A29" s="11">
        <v>2002</v>
      </c>
      <c r="B29" s="12">
        <v>0.19</v>
      </c>
      <c r="C29" s="12">
        <v>0.177</v>
      </c>
      <c r="D29" s="12">
        <v>0.168</v>
      </c>
      <c r="E29" s="12">
        <v>0.161</v>
      </c>
      <c r="F29" s="12">
        <v>0.159</v>
      </c>
      <c r="G29" s="12">
        <v>0.147</v>
      </c>
      <c r="H29" s="12">
        <v>0.15</v>
      </c>
      <c r="I29" s="12">
        <v>0.151</v>
      </c>
      <c r="J29" s="12">
        <v>0.149</v>
      </c>
      <c r="K29" s="12">
        <v>0.149</v>
      </c>
      <c r="L29" s="12">
        <v>0.151</v>
      </c>
      <c r="M29" s="12">
        <v>0.151</v>
      </c>
      <c r="N29" s="18">
        <v>0.158</v>
      </c>
    </row>
    <row r="30" spans="1:14">
      <c r="A30" s="15">
        <v>2001</v>
      </c>
      <c r="B30" s="16">
        <v>0.207</v>
      </c>
      <c r="C30" s="16">
        <v>0.222</v>
      </c>
      <c r="D30" s="16">
        <v>0.237</v>
      </c>
      <c r="E30" s="16">
        <v>0.248</v>
      </c>
      <c r="F30" s="16">
        <v>0.248</v>
      </c>
      <c r="G30" s="16">
        <v>0.237</v>
      </c>
      <c r="H30" s="16">
        <v>0.22</v>
      </c>
      <c r="I30" s="16">
        <v>0.209</v>
      </c>
      <c r="J30" s="16">
        <v>0.2</v>
      </c>
      <c r="K30" s="16">
        <v>0.188</v>
      </c>
      <c r="L30" s="16">
        <v>0.186</v>
      </c>
      <c r="M30" s="16">
        <v>0.186</v>
      </c>
      <c r="N30" s="17">
        <v>0.215</v>
      </c>
    </row>
    <row r="31" spans="1:14">
      <c r="A31" s="11">
        <v>2000</v>
      </c>
      <c r="B31" s="12">
        <v>0.289</v>
      </c>
      <c r="C31" s="12">
        <v>0.251</v>
      </c>
      <c r="D31" s="12">
        <v>0.225</v>
      </c>
      <c r="E31" s="12">
        <v>0.199</v>
      </c>
      <c r="F31" s="12">
        <v>0.194</v>
      </c>
      <c r="G31" s="12">
        <v>0.201</v>
      </c>
      <c r="H31" s="12">
        <v>0.189</v>
      </c>
      <c r="I31" s="12">
        <v>0.187</v>
      </c>
      <c r="J31" s="12">
        <v>0.186</v>
      </c>
      <c r="K31" s="12">
        <v>0.194</v>
      </c>
      <c r="L31" s="12">
        <v>0.197</v>
      </c>
      <c r="M31" s="12">
        <v>0.202</v>
      </c>
      <c r="N31" s="18">
        <v>0.208</v>
      </c>
    </row>
    <row r="32" spans="1:14">
      <c r="A32" s="15">
        <v>1999</v>
      </c>
      <c r="B32" s="16">
        <v>0.97</v>
      </c>
      <c r="C32" s="16">
        <v>1.034</v>
      </c>
      <c r="D32" s="16">
        <v>1.075</v>
      </c>
      <c r="E32" s="16">
        <v>1.131</v>
      </c>
      <c r="F32" s="16">
        <v>1.167</v>
      </c>
      <c r="G32" s="16">
        <v>1.206</v>
      </c>
      <c r="H32" s="16">
        <v>1.264</v>
      </c>
      <c r="I32" s="16">
        <v>1.21</v>
      </c>
      <c r="J32" s="16">
        <v>0.62</v>
      </c>
      <c r="K32" s="16">
        <v>0.571</v>
      </c>
      <c r="L32" s="16">
        <v>0.505</v>
      </c>
      <c r="M32" s="16">
        <v>0.366</v>
      </c>
      <c r="N32" s="17">
        <v>0.857</v>
      </c>
    </row>
    <row r="33" spans="1:14">
      <c r="A33" s="11">
        <v>1998</v>
      </c>
      <c r="B33" s="12">
        <v>0.101</v>
      </c>
      <c r="C33" s="12">
        <v>0.094</v>
      </c>
      <c r="D33" s="12">
        <v>0.086</v>
      </c>
      <c r="E33" s="12">
        <v>0.079</v>
      </c>
      <c r="F33" s="12">
        <v>0.075</v>
      </c>
      <c r="G33" s="12">
        <v>0.065</v>
      </c>
      <c r="H33" s="12">
        <v>0.057</v>
      </c>
      <c r="I33" s="12">
        <v>0.096</v>
      </c>
      <c r="J33" s="12">
        <v>0.522</v>
      </c>
      <c r="K33" s="12">
        <v>0.588</v>
      </c>
      <c r="L33" s="12">
        <v>0.669</v>
      </c>
      <c r="M33" s="12">
        <v>0.844</v>
      </c>
      <c r="N33" s="18">
        <v>0.277</v>
      </c>
    </row>
    <row r="34" spans="1:14">
      <c r="A34" s="15">
        <v>1997</v>
      </c>
      <c r="B34" s="16">
        <v>0.197</v>
      </c>
      <c r="C34" s="16">
        <v>0.183</v>
      </c>
      <c r="D34" s="16">
        <v>0.168</v>
      </c>
      <c r="E34" s="16">
        <v>0.153</v>
      </c>
      <c r="F34" s="16">
        <v>0.147</v>
      </c>
      <c r="G34" s="16">
        <v>0.145</v>
      </c>
      <c r="H34" s="16">
        <v>0.147</v>
      </c>
      <c r="I34" s="16">
        <v>0.148</v>
      </c>
      <c r="J34" s="16">
        <v>0.142</v>
      </c>
      <c r="K34" s="16">
        <v>0.13</v>
      </c>
      <c r="L34" s="16">
        <v>0.115</v>
      </c>
      <c r="M34" s="16">
        <v>0.11</v>
      </c>
      <c r="N34" s="17">
        <v>0.148</v>
      </c>
    </row>
    <row r="35" spans="1:14">
      <c r="A35" s="11">
        <v>1996</v>
      </c>
      <c r="B35" s="12">
        <v>1.043</v>
      </c>
      <c r="C35" s="12">
        <v>0.896</v>
      </c>
      <c r="D35" s="12">
        <v>0.786</v>
      </c>
      <c r="E35" s="12">
        <v>0.682</v>
      </c>
      <c r="F35" s="12">
        <v>0.583</v>
      </c>
      <c r="G35" s="12">
        <v>0.502</v>
      </c>
      <c r="H35" s="12">
        <v>0.436</v>
      </c>
      <c r="I35" s="12">
        <v>0.371</v>
      </c>
      <c r="J35" s="12">
        <v>0.316</v>
      </c>
      <c r="K35" s="12">
        <v>0.273</v>
      </c>
      <c r="L35" s="12">
        <v>0.24</v>
      </c>
      <c r="M35" s="12">
        <v>0.219</v>
      </c>
      <c r="N35" s="18">
        <v>0.478</v>
      </c>
    </row>
    <row r="36" spans="1:14">
      <c r="A36" s="15">
        <v>1995</v>
      </c>
      <c r="B36" s="16">
        <v>2.159</v>
      </c>
      <c r="C36" s="16">
        <v>2.143</v>
      </c>
      <c r="D36" s="16">
        <v>2.19</v>
      </c>
      <c r="E36" s="16">
        <v>2.199</v>
      </c>
      <c r="F36" s="16">
        <v>2.224</v>
      </c>
      <c r="G36" s="16">
        <v>2.242</v>
      </c>
      <c r="H36" s="16">
        <v>2.25</v>
      </c>
      <c r="I36" s="16">
        <v>2.254</v>
      </c>
      <c r="J36" s="16">
        <v>2.148</v>
      </c>
      <c r="K36" s="16">
        <v>1.86</v>
      </c>
      <c r="L36" s="16">
        <v>1.609</v>
      </c>
      <c r="M36" s="16">
        <v>1.311</v>
      </c>
      <c r="N36" s="17">
        <v>1.974</v>
      </c>
    </row>
    <row r="37" spans="1:14">
      <c r="A37" s="11">
        <v>1994</v>
      </c>
      <c r="B37" s="12">
        <v>7.8</v>
      </c>
      <c r="C37" s="12">
        <v>6.737</v>
      </c>
      <c r="D37" s="12">
        <v>5.87</v>
      </c>
      <c r="E37" s="12">
        <v>5.333</v>
      </c>
      <c r="F37" s="12">
        <v>4.719</v>
      </c>
      <c r="G37" s="12">
        <v>4.105</v>
      </c>
      <c r="H37" s="12">
        <v>3.435</v>
      </c>
      <c r="I37" s="12">
        <v>2.672</v>
      </c>
      <c r="J37" s="12">
        <v>2.194</v>
      </c>
      <c r="K37" s="12">
        <v>2.081</v>
      </c>
      <c r="L37" s="12">
        <v>2.04</v>
      </c>
      <c r="M37" s="12">
        <v>2.161</v>
      </c>
      <c r="N37" s="18">
        <v>3.068</v>
      </c>
    </row>
    <row r="38" ht="17.55" spans="1:14">
      <c r="A38" s="19">
        <v>1993</v>
      </c>
      <c r="B38" s="20">
        <v>6.5</v>
      </c>
      <c r="C38" s="20">
        <v>8.5</v>
      </c>
      <c r="D38" s="20">
        <v>6.667</v>
      </c>
      <c r="E38" s="20">
        <v>8</v>
      </c>
      <c r="F38" s="20">
        <v>7</v>
      </c>
      <c r="G38" s="20">
        <v>6.6</v>
      </c>
      <c r="H38" s="20">
        <v>8.2</v>
      </c>
      <c r="I38" s="20">
        <v>8.667</v>
      </c>
      <c r="J38" s="20">
        <v>11</v>
      </c>
      <c r="K38" s="20">
        <v>9.75</v>
      </c>
      <c r="L38" s="20">
        <v>9</v>
      </c>
      <c r="M38" s="20">
        <v>8.333</v>
      </c>
      <c r="N38" s="21">
        <v>8.515</v>
      </c>
    </row>
  </sheetData>
  <mergeCells count="3">
    <mergeCell ref="A1:N1"/>
    <mergeCell ref="A2:N2"/>
    <mergeCell ref="A3:N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4"/>
  <sheetViews>
    <sheetView workbookViewId="0">
      <selection activeCell="C1" sqref="C1"/>
    </sheetView>
  </sheetViews>
  <sheetFormatPr defaultColWidth="9" defaultRowHeight="16.8" outlineLevelCol="2"/>
  <cols>
    <col min="2" max="2" width="17.9375" customWidth="1"/>
  </cols>
  <sheetData>
    <row r="1" spans="1:3">
      <c r="A1" t="s">
        <v>17</v>
      </c>
      <c r="B1" t="s">
        <v>18</v>
      </c>
    </row>
    <row r="2" spans="1:3">
      <c r="A2" s="1">
        <f>DATE(1993,1,1)</f>
        <v>33970</v>
      </c>
      <c r="B2" s="2" cm="1">
        <f t="array" ref="B2">INDEX(Sheet1!$B$5:$M$38,MATCH(YEAR(A2),Sheet1!$A$5:$A$38,0),MONTH(A2))</f>
        <v>6.5</v>
      </c>
      <c r="C2" t="str">
        <f t="shared" ref="C2:C65" si="0">TEXT(A2,"yyyy-mm-01")</f>
        <v>1993-01-01</v>
      </c>
    </row>
    <row r="3" spans="1:3">
      <c r="A3" s="3">
        <f t="shared" ref="A3:A66" si="1">EDATE(A2,1)</f>
        <v>34001</v>
      </c>
      <c r="B3" s="2" cm="1">
        <f t="array" ref="B3">INDEX(Sheet1!$B$5:$M$38,MATCH(YEAR(A3),Sheet1!$A$5:$A$38,0),MONTH(A3))</f>
        <v>8.5</v>
      </c>
      <c r="C3" t="str">
        <f t="shared" si="0"/>
        <v>1993-02-01</v>
      </c>
    </row>
    <row r="4" spans="1:3">
      <c r="A4" s="3">
        <f t="shared" si="1"/>
        <v>34029</v>
      </c>
      <c r="B4" s="2" cm="1">
        <f t="array" ref="B4">INDEX(Sheet1!$B$5:$M$38,MATCH(YEAR(A4),Sheet1!$A$5:$A$38,0),MONTH(A4))</f>
        <v>6.667</v>
      </c>
      <c r="C4" t="str">
        <f t="shared" si="0"/>
        <v>1993-03-01</v>
      </c>
    </row>
    <row r="5" spans="1:3">
      <c r="A5" s="3">
        <f t="shared" si="1"/>
        <v>34060</v>
      </c>
      <c r="B5" s="2" cm="1">
        <f t="array" ref="B5">INDEX(Sheet1!$B$5:$M$38,MATCH(YEAR(A5),Sheet1!$A$5:$A$38,0),MONTH(A5))</f>
        <v>8</v>
      </c>
      <c r="C5" t="str">
        <f t="shared" si="0"/>
        <v>1993-04-01</v>
      </c>
    </row>
    <row r="6" spans="1:3">
      <c r="A6" s="3">
        <f t="shared" si="1"/>
        <v>34090</v>
      </c>
      <c r="B6" s="2" cm="1">
        <f t="array" ref="B6">INDEX(Sheet1!$B$5:$M$38,MATCH(YEAR(A6),Sheet1!$A$5:$A$38,0),MONTH(A6))</f>
        <v>7</v>
      </c>
      <c r="C6" t="str">
        <f t="shared" si="0"/>
        <v>1993-05-01</v>
      </c>
    </row>
    <row r="7" spans="1:3">
      <c r="A7" s="3">
        <f t="shared" si="1"/>
        <v>34121</v>
      </c>
      <c r="B7" s="2" cm="1">
        <f t="array" ref="B7">INDEX(Sheet1!$B$5:$M$38,MATCH(YEAR(A7),Sheet1!$A$5:$A$38,0),MONTH(A7))</f>
        <v>6.6</v>
      </c>
      <c r="C7" t="str">
        <f t="shared" si="0"/>
        <v>1993-06-01</v>
      </c>
    </row>
    <row r="8" spans="1:3">
      <c r="A8" s="3">
        <f t="shared" si="1"/>
        <v>34151</v>
      </c>
      <c r="B8" s="2" cm="1">
        <f t="array" ref="B8">INDEX(Sheet1!$B$5:$M$38,MATCH(YEAR(A8),Sheet1!$A$5:$A$38,0),MONTH(A8))</f>
        <v>8.2</v>
      </c>
      <c r="C8" t="str">
        <f t="shared" si="0"/>
        <v>1993-07-01</v>
      </c>
    </row>
    <row r="9" spans="1:3">
      <c r="A9" s="3">
        <f t="shared" si="1"/>
        <v>34182</v>
      </c>
      <c r="B9" s="2" cm="1">
        <f t="array" ref="B9">INDEX(Sheet1!$B$5:$M$38,MATCH(YEAR(A9),Sheet1!$A$5:$A$38,0),MONTH(A9))</f>
        <v>8.667</v>
      </c>
      <c r="C9" t="str">
        <f t="shared" si="0"/>
        <v>1993-08-01</v>
      </c>
    </row>
    <row r="10" spans="1:3">
      <c r="A10" s="3">
        <f t="shared" si="1"/>
        <v>34213</v>
      </c>
      <c r="B10" s="2" cm="1">
        <f t="array" ref="B10">INDEX(Sheet1!$B$5:$M$38,MATCH(YEAR(A10),Sheet1!$A$5:$A$38,0),MONTH(A10))</f>
        <v>11</v>
      </c>
      <c r="C10" t="str">
        <f t="shared" si="0"/>
        <v>1993-09-01</v>
      </c>
    </row>
    <row r="11" spans="1:3">
      <c r="A11" s="3">
        <f t="shared" si="1"/>
        <v>34243</v>
      </c>
      <c r="B11" s="2" cm="1">
        <f t="array" ref="B11">INDEX(Sheet1!$B$5:$M$38,MATCH(YEAR(A11),Sheet1!$A$5:$A$38,0),MONTH(A11))</f>
        <v>9.75</v>
      </c>
      <c r="C11" t="str">
        <f t="shared" si="0"/>
        <v>1993-10-01</v>
      </c>
    </row>
    <row r="12" spans="1:3">
      <c r="A12" s="3">
        <f t="shared" si="1"/>
        <v>34274</v>
      </c>
      <c r="B12" s="2" cm="1">
        <f t="array" ref="B12">INDEX(Sheet1!$B$5:$M$38,MATCH(YEAR(A12),Sheet1!$A$5:$A$38,0),MONTH(A12))</f>
        <v>9</v>
      </c>
      <c r="C12" t="str">
        <f t="shared" si="0"/>
        <v>1993-11-01</v>
      </c>
    </row>
    <row r="13" spans="1:3">
      <c r="A13" s="3">
        <f t="shared" si="1"/>
        <v>34304</v>
      </c>
      <c r="B13" s="2" cm="1">
        <f t="array" ref="B13">INDEX(Sheet1!$B$5:$M$38,MATCH(YEAR(A13),Sheet1!$A$5:$A$38,0),MONTH(A13))</f>
        <v>8.333</v>
      </c>
      <c r="C13" t="str">
        <f t="shared" si="0"/>
        <v>1993-12-01</v>
      </c>
    </row>
    <row r="14" spans="1:3">
      <c r="A14" s="3">
        <f t="shared" si="1"/>
        <v>34335</v>
      </c>
      <c r="B14" s="2" cm="1">
        <f t="array" ref="B14">INDEX(Sheet1!$B$5:$M$38,MATCH(YEAR(A14),Sheet1!$A$5:$A$38,0),MONTH(A14))</f>
        <v>7.8</v>
      </c>
      <c r="C14" t="str">
        <f t="shared" si="0"/>
        <v>1994-01-01</v>
      </c>
    </row>
    <row r="15" spans="1:3">
      <c r="A15" s="3">
        <f t="shared" si="1"/>
        <v>34366</v>
      </c>
      <c r="B15" s="2" cm="1">
        <f t="array" ref="B15">INDEX(Sheet1!$B$5:$M$38,MATCH(YEAR(A15),Sheet1!$A$5:$A$38,0),MONTH(A15))</f>
        <v>6.737</v>
      </c>
      <c r="C15" t="str">
        <f t="shared" si="0"/>
        <v>1994-02-01</v>
      </c>
    </row>
    <row r="16" spans="1:3">
      <c r="A16" s="3">
        <f t="shared" si="1"/>
        <v>34394</v>
      </c>
      <c r="B16" s="2" cm="1">
        <f t="array" ref="B16">INDEX(Sheet1!$B$5:$M$38,MATCH(YEAR(A16),Sheet1!$A$5:$A$38,0),MONTH(A16))</f>
        <v>5.87</v>
      </c>
      <c r="C16" t="str">
        <f t="shared" si="0"/>
        <v>1994-03-01</v>
      </c>
    </row>
    <row r="17" spans="1:3">
      <c r="A17" s="3">
        <f t="shared" si="1"/>
        <v>34425</v>
      </c>
      <c r="B17" s="2" cm="1">
        <f t="array" ref="B17">INDEX(Sheet1!$B$5:$M$38,MATCH(YEAR(A17),Sheet1!$A$5:$A$38,0),MONTH(A17))</f>
        <v>5.333</v>
      </c>
      <c r="C17" t="str">
        <f t="shared" si="0"/>
        <v>1994-04-01</v>
      </c>
    </row>
    <row r="18" spans="1:3">
      <c r="A18" s="3">
        <f t="shared" si="1"/>
        <v>34455</v>
      </c>
      <c r="B18" s="2" cm="1">
        <f t="array" ref="B18">INDEX(Sheet1!$B$5:$M$38,MATCH(YEAR(A18),Sheet1!$A$5:$A$38,0),MONTH(A18))</f>
        <v>4.719</v>
      </c>
      <c r="C18" t="str">
        <f t="shared" si="0"/>
        <v>1994-05-01</v>
      </c>
    </row>
    <row r="19" spans="1:3">
      <c r="A19" s="3">
        <f t="shared" si="1"/>
        <v>34486</v>
      </c>
      <c r="B19" s="2" cm="1">
        <f t="array" ref="B19">INDEX(Sheet1!$B$5:$M$38,MATCH(YEAR(A19),Sheet1!$A$5:$A$38,0),MONTH(A19))</f>
        <v>4.105</v>
      </c>
      <c r="C19" t="str">
        <f t="shared" si="0"/>
        <v>1994-06-01</v>
      </c>
    </row>
    <row r="20" spans="1:3">
      <c r="A20" s="3">
        <f t="shared" si="1"/>
        <v>34516</v>
      </c>
      <c r="B20" s="2" cm="1">
        <f t="array" ref="B20">INDEX(Sheet1!$B$5:$M$38,MATCH(YEAR(A20),Sheet1!$A$5:$A$38,0),MONTH(A20))</f>
        <v>3.435</v>
      </c>
      <c r="C20" t="str">
        <f t="shared" si="0"/>
        <v>1994-07-01</v>
      </c>
    </row>
    <row r="21" spans="1:3">
      <c r="A21" s="3">
        <f t="shared" si="1"/>
        <v>34547</v>
      </c>
      <c r="B21" s="2" cm="1">
        <f t="array" ref="B21">INDEX(Sheet1!$B$5:$M$38,MATCH(YEAR(A21),Sheet1!$A$5:$A$38,0),MONTH(A21))</f>
        <v>2.672</v>
      </c>
      <c r="C21" t="str">
        <f t="shared" si="0"/>
        <v>1994-08-01</v>
      </c>
    </row>
    <row r="22" spans="1:3">
      <c r="A22" s="3">
        <f t="shared" si="1"/>
        <v>34578</v>
      </c>
      <c r="B22" s="2" cm="1">
        <f t="array" ref="B22">INDEX(Sheet1!$B$5:$M$38,MATCH(YEAR(A22),Sheet1!$A$5:$A$38,0),MONTH(A22))</f>
        <v>2.194</v>
      </c>
      <c r="C22" t="str">
        <f t="shared" si="0"/>
        <v>1994-09-01</v>
      </c>
    </row>
    <row r="23" spans="1:3">
      <c r="A23" s="3">
        <f t="shared" si="1"/>
        <v>34608</v>
      </c>
      <c r="B23" s="2" cm="1">
        <f t="array" ref="B23">INDEX(Sheet1!$B$5:$M$38,MATCH(YEAR(A23),Sheet1!$A$5:$A$38,0),MONTH(A23))</f>
        <v>2.081</v>
      </c>
      <c r="C23" t="str">
        <f t="shared" si="0"/>
        <v>1994-10-01</v>
      </c>
    </row>
    <row r="24" spans="1:3">
      <c r="A24" s="3">
        <f t="shared" si="1"/>
        <v>34639</v>
      </c>
      <c r="B24" s="2" cm="1">
        <f t="array" ref="B24">INDEX(Sheet1!$B$5:$M$38,MATCH(YEAR(A24),Sheet1!$A$5:$A$38,0),MONTH(A24))</f>
        <v>2.04</v>
      </c>
      <c r="C24" t="str">
        <f t="shared" si="0"/>
        <v>1994-11-01</v>
      </c>
    </row>
    <row r="25" spans="1:3">
      <c r="A25" s="3">
        <f t="shared" si="1"/>
        <v>34669</v>
      </c>
      <c r="B25" s="2" cm="1">
        <f t="array" ref="B25">INDEX(Sheet1!$B$5:$M$38,MATCH(YEAR(A25),Sheet1!$A$5:$A$38,0),MONTH(A25))</f>
        <v>2.161</v>
      </c>
      <c r="C25" t="str">
        <f t="shared" si="0"/>
        <v>1994-12-01</v>
      </c>
    </row>
    <row r="26" spans="1:3">
      <c r="A26" s="3">
        <f t="shared" si="1"/>
        <v>34700</v>
      </c>
      <c r="B26" s="2" cm="1">
        <f t="array" ref="B26">INDEX(Sheet1!$B$5:$M$38,MATCH(YEAR(A26),Sheet1!$A$5:$A$38,0),MONTH(A26))</f>
        <v>2.159</v>
      </c>
      <c r="C26" t="str">
        <f t="shared" si="0"/>
        <v>1995-01-01</v>
      </c>
    </row>
    <row r="27" spans="1:3">
      <c r="A27" s="3">
        <f t="shared" si="1"/>
        <v>34731</v>
      </c>
      <c r="B27" s="2" cm="1">
        <f t="array" ref="B27">INDEX(Sheet1!$B$5:$M$38,MATCH(YEAR(A27),Sheet1!$A$5:$A$38,0),MONTH(A27))</f>
        <v>2.143</v>
      </c>
      <c r="C27" t="str">
        <f t="shared" si="0"/>
        <v>1995-02-01</v>
      </c>
    </row>
    <row r="28" spans="1:3">
      <c r="A28" s="3">
        <f t="shared" si="1"/>
        <v>34759</v>
      </c>
      <c r="B28" s="2" cm="1">
        <f t="array" ref="B28">INDEX(Sheet1!$B$5:$M$38,MATCH(YEAR(A28),Sheet1!$A$5:$A$38,0),MONTH(A28))</f>
        <v>2.19</v>
      </c>
      <c r="C28" t="str">
        <f t="shared" si="0"/>
        <v>1995-03-01</v>
      </c>
    </row>
    <row r="29" spans="1:3">
      <c r="A29" s="3">
        <f t="shared" si="1"/>
        <v>34790</v>
      </c>
      <c r="B29" s="2" cm="1">
        <f t="array" ref="B29">INDEX(Sheet1!$B$5:$M$38,MATCH(YEAR(A29),Sheet1!$A$5:$A$38,0),MONTH(A29))</f>
        <v>2.199</v>
      </c>
      <c r="C29" t="str">
        <f t="shared" si="0"/>
        <v>1995-04-01</v>
      </c>
    </row>
    <row r="30" spans="1:3">
      <c r="A30" s="3">
        <f t="shared" si="1"/>
        <v>34820</v>
      </c>
      <c r="B30" s="2" cm="1">
        <f t="array" ref="B30">INDEX(Sheet1!$B$5:$M$38,MATCH(YEAR(A30),Sheet1!$A$5:$A$38,0),MONTH(A30))</f>
        <v>2.224</v>
      </c>
      <c r="C30" t="str">
        <f t="shared" si="0"/>
        <v>1995-05-01</v>
      </c>
    </row>
    <row r="31" spans="1:3">
      <c r="A31" s="3">
        <f t="shared" si="1"/>
        <v>34851</v>
      </c>
      <c r="B31" s="2" cm="1">
        <f t="array" ref="B31">INDEX(Sheet1!$B$5:$M$38,MATCH(YEAR(A31),Sheet1!$A$5:$A$38,0),MONTH(A31))</f>
        <v>2.242</v>
      </c>
      <c r="C31" t="str">
        <f t="shared" si="0"/>
        <v>1995-06-01</v>
      </c>
    </row>
    <row r="32" spans="1:3">
      <c r="A32" s="3">
        <f t="shared" si="1"/>
        <v>34881</v>
      </c>
      <c r="B32" s="2" cm="1">
        <f t="array" ref="B32">INDEX(Sheet1!$B$5:$M$38,MATCH(YEAR(A32),Sheet1!$A$5:$A$38,0),MONTH(A32))</f>
        <v>2.25</v>
      </c>
      <c r="C32" t="str">
        <f t="shared" si="0"/>
        <v>1995-07-01</v>
      </c>
    </row>
    <row r="33" spans="1:3">
      <c r="A33" s="3">
        <f t="shared" si="1"/>
        <v>34912</v>
      </c>
      <c r="B33" s="2" cm="1">
        <f t="array" ref="B33">INDEX(Sheet1!$B$5:$M$38,MATCH(YEAR(A33),Sheet1!$A$5:$A$38,0),MONTH(A33))</f>
        <v>2.254</v>
      </c>
      <c r="C33" t="str">
        <f t="shared" si="0"/>
        <v>1995-08-01</v>
      </c>
    </row>
    <row r="34" spans="1:3">
      <c r="A34" s="3">
        <f t="shared" si="1"/>
        <v>34943</v>
      </c>
      <c r="B34" s="2" cm="1">
        <f t="array" ref="B34">INDEX(Sheet1!$B$5:$M$38,MATCH(YEAR(A34),Sheet1!$A$5:$A$38,0),MONTH(A34))</f>
        <v>2.148</v>
      </c>
      <c r="C34" t="str">
        <f t="shared" si="0"/>
        <v>1995-09-01</v>
      </c>
    </row>
    <row r="35" spans="1:3">
      <c r="A35" s="3">
        <f t="shared" si="1"/>
        <v>34973</v>
      </c>
      <c r="B35" s="2" cm="1">
        <f t="array" ref="B35">INDEX(Sheet1!$B$5:$M$38,MATCH(YEAR(A35),Sheet1!$A$5:$A$38,0),MONTH(A35))</f>
        <v>1.86</v>
      </c>
      <c r="C35" t="str">
        <f t="shared" si="0"/>
        <v>1995-10-01</v>
      </c>
    </row>
    <row r="36" spans="1:3">
      <c r="A36" s="3">
        <f t="shared" si="1"/>
        <v>35004</v>
      </c>
      <c r="B36" s="2" cm="1">
        <f t="array" ref="B36">INDEX(Sheet1!$B$5:$M$38,MATCH(YEAR(A36),Sheet1!$A$5:$A$38,0),MONTH(A36))</f>
        <v>1.609</v>
      </c>
      <c r="C36" t="str">
        <f t="shared" si="0"/>
        <v>1995-11-01</v>
      </c>
    </row>
    <row r="37" spans="1:3">
      <c r="A37" s="3">
        <f t="shared" si="1"/>
        <v>35034</v>
      </c>
      <c r="B37" s="2" cm="1">
        <f t="array" ref="B37">INDEX(Sheet1!$B$5:$M$38,MATCH(YEAR(A37),Sheet1!$A$5:$A$38,0),MONTH(A37))</f>
        <v>1.311</v>
      </c>
      <c r="C37" t="str">
        <f t="shared" si="0"/>
        <v>1995-12-01</v>
      </c>
    </row>
    <row r="38" spans="1:3">
      <c r="A38" s="3">
        <f t="shared" si="1"/>
        <v>35065</v>
      </c>
      <c r="B38" s="2" cm="1">
        <f t="array" ref="B38">INDEX(Sheet1!$B$5:$M$38,MATCH(YEAR(A38),Sheet1!$A$5:$A$38,0),MONTH(A38))</f>
        <v>1.043</v>
      </c>
      <c r="C38" t="str">
        <f t="shared" si="0"/>
        <v>1996-01-01</v>
      </c>
    </row>
    <row r="39" spans="1:3">
      <c r="A39" s="3">
        <f t="shared" si="1"/>
        <v>35096</v>
      </c>
      <c r="B39" s="2" cm="1">
        <f t="array" ref="B39">INDEX(Sheet1!$B$5:$M$38,MATCH(YEAR(A39),Sheet1!$A$5:$A$38,0),MONTH(A39))</f>
        <v>0.896</v>
      </c>
      <c r="C39" t="str">
        <f t="shared" si="0"/>
        <v>1996-02-01</v>
      </c>
    </row>
    <row r="40" spans="1:3">
      <c r="A40" s="3">
        <f t="shared" si="1"/>
        <v>35125</v>
      </c>
      <c r="B40" s="2" cm="1">
        <f t="array" ref="B40">INDEX(Sheet1!$B$5:$M$38,MATCH(YEAR(A40),Sheet1!$A$5:$A$38,0),MONTH(A40))</f>
        <v>0.786</v>
      </c>
      <c r="C40" t="str">
        <f t="shared" si="0"/>
        <v>1996-03-01</v>
      </c>
    </row>
    <row r="41" spans="1:3">
      <c r="A41" s="3">
        <f t="shared" si="1"/>
        <v>35156</v>
      </c>
      <c r="B41" s="2" cm="1">
        <f t="array" ref="B41">INDEX(Sheet1!$B$5:$M$38,MATCH(YEAR(A41),Sheet1!$A$5:$A$38,0),MONTH(A41))</f>
        <v>0.682</v>
      </c>
      <c r="C41" t="str">
        <f t="shared" si="0"/>
        <v>1996-04-01</v>
      </c>
    </row>
    <row r="42" spans="1:3">
      <c r="A42" s="3">
        <f t="shared" si="1"/>
        <v>35186</v>
      </c>
      <c r="B42" s="2" cm="1">
        <f t="array" ref="B42">INDEX(Sheet1!$B$5:$M$38,MATCH(YEAR(A42),Sheet1!$A$5:$A$38,0),MONTH(A42))</f>
        <v>0.583</v>
      </c>
      <c r="C42" t="str">
        <f t="shared" si="0"/>
        <v>1996-05-01</v>
      </c>
    </row>
    <row r="43" spans="1:3">
      <c r="A43" s="3">
        <f t="shared" si="1"/>
        <v>35217</v>
      </c>
      <c r="B43" s="2" cm="1">
        <f t="array" ref="B43">INDEX(Sheet1!$B$5:$M$38,MATCH(YEAR(A43),Sheet1!$A$5:$A$38,0),MONTH(A43))</f>
        <v>0.502</v>
      </c>
      <c r="C43" t="str">
        <f t="shared" si="0"/>
        <v>1996-06-01</v>
      </c>
    </row>
    <row r="44" spans="1:3">
      <c r="A44" s="3">
        <f t="shared" si="1"/>
        <v>35247</v>
      </c>
      <c r="B44" s="2" cm="1">
        <f t="array" ref="B44">INDEX(Sheet1!$B$5:$M$38,MATCH(YEAR(A44),Sheet1!$A$5:$A$38,0),MONTH(A44))</f>
        <v>0.436</v>
      </c>
      <c r="C44" t="str">
        <f t="shared" si="0"/>
        <v>1996-07-01</v>
      </c>
    </row>
    <row r="45" spans="1:3">
      <c r="A45" s="3">
        <f t="shared" si="1"/>
        <v>35278</v>
      </c>
      <c r="B45" s="2" cm="1">
        <f t="array" ref="B45">INDEX(Sheet1!$B$5:$M$38,MATCH(YEAR(A45),Sheet1!$A$5:$A$38,0),MONTH(A45))</f>
        <v>0.371</v>
      </c>
      <c r="C45" t="str">
        <f t="shared" si="0"/>
        <v>1996-08-01</v>
      </c>
    </row>
    <row r="46" spans="1:3">
      <c r="A46" s="3">
        <f t="shared" si="1"/>
        <v>35309</v>
      </c>
      <c r="B46" s="2" cm="1">
        <f t="array" ref="B46">INDEX(Sheet1!$B$5:$M$38,MATCH(YEAR(A46),Sheet1!$A$5:$A$38,0),MONTH(A46))</f>
        <v>0.316</v>
      </c>
      <c r="C46" t="str">
        <f t="shared" si="0"/>
        <v>1996-09-01</v>
      </c>
    </row>
    <row r="47" spans="1:3">
      <c r="A47" s="3">
        <f t="shared" si="1"/>
        <v>35339</v>
      </c>
      <c r="B47" s="2" cm="1">
        <f t="array" ref="B47">INDEX(Sheet1!$B$5:$M$38,MATCH(YEAR(A47),Sheet1!$A$5:$A$38,0),MONTH(A47))</f>
        <v>0.273</v>
      </c>
      <c r="C47" t="str">
        <f t="shared" si="0"/>
        <v>1996-10-01</v>
      </c>
    </row>
    <row r="48" spans="1:3">
      <c r="A48" s="3">
        <f t="shared" si="1"/>
        <v>35370</v>
      </c>
      <c r="B48" s="2" cm="1">
        <f t="array" ref="B48">INDEX(Sheet1!$B$5:$M$38,MATCH(YEAR(A48),Sheet1!$A$5:$A$38,0),MONTH(A48))</f>
        <v>0.24</v>
      </c>
      <c r="C48" t="str">
        <f t="shared" si="0"/>
        <v>1996-11-01</v>
      </c>
    </row>
    <row r="49" spans="1:3">
      <c r="A49" s="3">
        <f t="shared" si="1"/>
        <v>35400</v>
      </c>
      <c r="B49" s="2" cm="1">
        <f t="array" ref="B49">INDEX(Sheet1!$B$5:$M$38,MATCH(YEAR(A49),Sheet1!$A$5:$A$38,0),MONTH(A49))</f>
        <v>0.219</v>
      </c>
      <c r="C49" t="str">
        <f t="shared" si="0"/>
        <v>1996-12-01</v>
      </c>
    </row>
    <row r="50" spans="1:3">
      <c r="A50" s="3">
        <f t="shared" si="1"/>
        <v>35431</v>
      </c>
      <c r="B50" s="2" cm="1">
        <f t="array" ref="B50">INDEX(Sheet1!$B$5:$M$38,MATCH(YEAR(A50),Sheet1!$A$5:$A$38,0),MONTH(A50))</f>
        <v>0.197</v>
      </c>
      <c r="C50" t="str">
        <f t="shared" si="0"/>
        <v>1997-01-01</v>
      </c>
    </row>
    <row r="51" spans="1:3">
      <c r="A51" s="3">
        <f t="shared" si="1"/>
        <v>35462</v>
      </c>
      <c r="B51" s="2" cm="1">
        <f t="array" ref="B51">INDEX(Sheet1!$B$5:$M$38,MATCH(YEAR(A51),Sheet1!$A$5:$A$38,0),MONTH(A51))</f>
        <v>0.183</v>
      </c>
      <c r="C51" t="str">
        <f t="shared" si="0"/>
        <v>1997-02-01</v>
      </c>
    </row>
    <row r="52" spans="1:3">
      <c r="A52" s="3">
        <f t="shared" si="1"/>
        <v>35490</v>
      </c>
      <c r="B52" s="2" cm="1">
        <f t="array" ref="B52">INDEX(Sheet1!$B$5:$M$38,MATCH(YEAR(A52),Sheet1!$A$5:$A$38,0),MONTH(A52))</f>
        <v>0.168</v>
      </c>
      <c r="C52" t="str">
        <f t="shared" si="0"/>
        <v>1997-03-01</v>
      </c>
    </row>
    <row r="53" spans="1:3">
      <c r="A53" s="3">
        <f t="shared" si="1"/>
        <v>35521</v>
      </c>
      <c r="B53" s="2" cm="1">
        <f t="array" ref="B53">INDEX(Sheet1!$B$5:$M$38,MATCH(YEAR(A53),Sheet1!$A$5:$A$38,0),MONTH(A53))</f>
        <v>0.153</v>
      </c>
      <c r="C53" t="str">
        <f t="shared" si="0"/>
        <v>1997-04-01</v>
      </c>
    </row>
    <row r="54" spans="1:3">
      <c r="A54" s="3">
        <f t="shared" si="1"/>
        <v>35551</v>
      </c>
      <c r="B54" s="2" cm="1">
        <f t="array" ref="B54">INDEX(Sheet1!$B$5:$M$38,MATCH(YEAR(A54),Sheet1!$A$5:$A$38,0),MONTH(A54))</f>
        <v>0.147</v>
      </c>
      <c r="C54" t="str">
        <f t="shared" si="0"/>
        <v>1997-05-01</v>
      </c>
    </row>
    <row r="55" spans="1:3">
      <c r="A55" s="3">
        <f t="shared" si="1"/>
        <v>35582</v>
      </c>
      <c r="B55" s="2" cm="1">
        <f t="array" ref="B55">INDEX(Sheet1!$B$5:$M$38,MATCH(YEAR(A55),Sheet1!$A$5:$A$38,0),MONTH(A55))</f>
        <v>0.145</v>
      </c>
      <c r="C55" t="str">
        <f t="shared" si="0"/>
        <v>1997-06-01</v>
      </c>
    </row>
    <row r="56" spans="1:3">
      <c r="A56" s="3">
        <f t="shared" si="1"/>
        <v>35612</v>
      </c>
      <c r="B56" s="2" cm="1">
        <f t="array" ref="B56">INDEX(Sheet1!$B$5:$M$38,MATCH(YEAR(A56),Sheet1!$A$5:$A$38,0),MONTH(A56))</f>
        <v>0.147</v>
      </c>
      <c r="C56" t="str">
        <f t="shared" si="0"/>
        <v>1997-07-01</v>
      </c>
    </row>
    <row r="57" spans="1:3">
      <c r="A57" s="3">
        <f t="shared" si="1"/>
        <v>35643</v>
      </c>
      <c r="B57" s="2" cm="1">
        <f t="array" ref="B57">INDEX(Sheet1!$B$5:$M$38,MATCH(YEAR(A57),Sheet1!$A$5:$A$38,0),MONTH(A57))</f>
        <v>0.148</v>
      </c>
      <c r="C57" t="str">
        <f t="shared" si="0"/>
        <v>1997-08-01</v>
      </c>
    </row>
    <row r="58" spans="1:3">
      <c r="A58" s="3">
        <f t="shared" si="1"/>
        <v>35674</v>
      </c>
      <c r="B58" s="2" cm="1">
        <f t="array" ref="B58">INDEX(Sheet1!$B$5:$M$38,MATCH(YEAR(A58),Sheet1!$A$5:$A$38,0),MONTH(A58))</f>
        <v>0.142</v>
      </c>
      <c r="C58" t="str">
        <f t="shared" si="0"/>
        <v>1997-09-01</v>
      </c>
    </row>
    <row r="59" spans="1:3">
      <c r="A59" s="3">
        <f t="shared" si="1"/>
        <v>35704</v>
      </c>
      <c r="B59" s="2" cm="1">
        <f t="array" ref="B59">INDEX(Sheet1!$B$5:$M$38,MATCH(YEAR(A59),Sheet1!$A$5:$A$38,0),MONTH(A59))</f>
        <v>0.13</v>
      </c>
      <c r="C59" t="str">
        <f t="shared" si="0"/>
        <v>1997-10-01</v>
      </c>
    </row>
    <row r="60" spans="1:3">
      <c r="A60" s="3">
        <f t="shared" si="1"/>
        <v>35735</v>
      </c>
      <c r="B60" s="2" cm="1">
        <f t="array" ref="B60">INDEX(Sheet1!$B$5:$M$38,MATCH(YEAR(A60),Sheet1!$A$5:$A$38,0),MONTH(A60))</f>
        <v>0.115</v>
      </c>
      <c r="C60" t="str">
        <f t="shared" si="0"/>
        <v>1997-11-01</v>
      </c>
    </row>
    <row r="61" spans="1:3">
      <c r="A61" s="3">
        <f t="shared" si="1"/>
        <v>35765</v>
      </c>
      <c r="B61" s="2" cm="1">
        <f t="array" ref="B61">INDEX(Sheet1!$B$5:$M$38,MATCH(YEAR(A61),Sheet1!$A$5:$A$38,0),MONTH(A61))</f>
        <v>0.11</v>
      </c>
      <c r="C61" t="str">
        <f t="shared" si="0"/>
        <v>1997-12-01</v>
      </c>
    </row>
    <row r="62" spans="1:3">
      <c r="A62" s="3">
        <f t="shared" si="1"/>
        <v>35796</v>
      </c>
      <c r="B62" s="2" cm="1">
        <f t="array" ref="B62">INDEX(Sheet1!$B$5:$M$38,MATCH(YEAR(A62),Sheet1!$A$5:$A$38,0),MONTH(A62))</f>
        <v>0.101</v>
      </c>
      <c r="C62" t="str">
        <f t="shared" si="0"/>
        <v>1998-01-01</v>
      </c>
    </row>
    <row r="63" spans="1:3">
      <c r="A63" s="3">
        <f t="shared" si="1"/>
        <v>35827</v>
      </c>
      <c r="B63" s="2" cm="1">
        <f t="array" ref="B63">INDEX(Sheet1!$B$5:$M$38,MATCH(YEAR(A63),Sheet1!$A$5:$A$38,0),MONTH(A63))</f>
        <v>0.094</v>
      </c>
      <c r="C63" t="str">
        <f t="shared" si="0"/>
        <v>1998-02-01</v>
      </c>
    </row>
    <row r="64" spans="1:3">
      <c r="A64" s="3">
        <f t="shared" si="1"/>
        <v>35855</v>
      </c>
      <c r="B64" s="2" cm="1">
        <f t="array" ref="B64">INDEX(Sheet1!$B$5:$M$38,MATCH(YEAR(A64),Sheet1!$A$5:$A$38,0),MONTH(A64))</f>
        <v>0.086</v>
      </c>
      <c r="C64" t="str">
        <f t="shared" si="0"/>
        <v>1998-03-01</v>
      </c>
    </row>
    <row r="65" spans="1:3">
      <c r="A65" s="3">
        <f t="shared" si="1"/>
        <v>35886</v>
      </c>
      <c r="B65" s="2" cm="1">
        <f t="array" ref="B65">INDEX(Sheet1!$B$5:$M$38,MATCH(YEAR(A65),Sheet1!$A$5:$A$38,0),MONTH(A65))</f>
        <v>0.079</v>
      </c>
      <c r="C65" t="str">
        <f t="shared" si="0"/>
        <v>1998-04-01</v>
      </c>
    </row>
    <row r="66" spans="1:3">
      <c r="A66" s="3">
        <f t="shared" si="1"/>
        <v>35916</v>
      </c>
      <c r="B66" s="2" cm="1">
        <f t="array" ref="B66">INDEX(Sheet1!$B$5:$M$38,MATCH(YEAR(A66),Sheet1!$A$5:$A$38,0),MONTH(A66))</f>
        <v>0.075</v>
      </c>
      <c r="C66" t="str">
        <f t="shared" ref="C66:C129" si="2">TEXT(A66,"yyyy-mm-01")</f>
        <v>1998-05-01</v>
      </c>
    </row>
    <row r="67" spans="1:3">
      <c r="A67" s="3">
        <f t="shared" ref="A67:A130" si="3">EDATE(A66,1)</f>
        <v>35947</v>
      </c>
      <c r="B67" s="2" cm="1">
        <f t="array" ref="B67">INDEX(Sheet1!$B$5:$M$38,MATCH(YEAR(A67),Sheet1!$A$5:$A$38,0),MONTH(A67))</f>
        <v>0.065</v>
      </c>
      <c r="C67" t="str">
        <f t="shared" si="2"/>
        <v>1998-06-01</v>
      </c>
    </row>
    <row r="68" spans="1:3">
      <c r="A68" s="3">
        <f t="shared" si="3"/>
        <v>35977</v>
      </c>
      <c r="B68" s="2" cm="1">
        <f t="array" ref="B68">INDEX(Sheet1!$B$5:$M$38,MATCH(YEAR(A68),Sheet1!$A$5:$A$38,0),MONTH(A68))</f>
        <v>0.057</v>
      </c>
      <c r="C68" t="str">
        <f t="shared" si="2"/>
        <v>1998-07-01</v>
      </c>
    </row>
    <row r="69" spans="1:3">
      <c r="A69" s="3">
        <f t="shared" si="3"/>
        <v>36008</v>
      </c>
      <c r="B69" s="2" cm="1">
        <f t="array" ref="B69">INDEX(Sheet1!$B$5:$M$38,MATCH(YEAR(A69),Sheet1!$A$5:$A$38,0),MONTH(A69))</f>
        <v>0.096</v>
      </c>
      <c r="C69" t="str">
        <f t="shared" si="2"/>
        <v>1998-08-01</v>
      </c>
    </row>
    <row r="70" spans="1:3">
      <c r="A70" s="3">
        <f t="shared" si="3"/>
        <v>36039</v>
      </c>
      <c r="B70" s="2" cm="1">
        <f t="array" ref="B70">INDEX(Sheet1!$B$5:$M$38,MATCH(YEAR(A70),Sheet1!$A$5:$A$38,0),MONTH(A70))</f>
        <v>0.522</v>
      </c>
      <c r="C70" t="str">
        <f t="shared" si="2"/>
        <v>1998-09-01</v>
      </c>
    </row>
    <row r="71" spans="1:3">
      <c r="A71" s="3">
        <f t="shared" si="3"/>
        <v>36069</v>
      </c>
      <c r="B71" s="2" cm="1">
        <f t="array" ref="B71">INDEX(Sheet1!$B$5:$M$38,MATCH(YEAR(A71),Sheet1!$A$5:$A$38,0),MONTH(A71))</f>
        <v>0.588</v>
      </c>
      <c r="C71" t="str">
        <f t="shared" si="2"/>
        <v>1998-10-01</v>
      </c>
    </row>
    <row r="72" spans="1:3">
      <c r="A72" s="3">
        <f t="shared" si="3"/>
        <v>36100</v>
      </c>
      <c r="B72" s="2" cm="1">
        <f t="array" ref="B72">INDEX(Sheet1!$B$5:$M$38,MATCH(YEAR(A72),Sheet1!$A$5:$A$38,0),MONTH(A72))</f>
        <v>0.669</v>
      </c>
      <c r="C72" t="str">
        <f t="shared" si="2"/>
        <v>1998-11-01</v>
      </c>
    </row>
    <row r="73" spans="1:3">
      <c r="A73" s="3">
        <f t="shared" si="3"/>
        <v>36130</v>
      </c>
      <c r="B73" s="2" cm="1">
        <f t="array" ref="B73">INDEX(Sheet1!$B$5:$M$38,MATCH(YEAR(A73),Sheet1!$A$5:$A$38,0),MONTH(A73))</f>
        <v>0.844</v>
      </c>
      <c r="C73" t="str">
        <f t="shared" si="2"/>
        <v>1998-12-01</v>
      </c>
    </row>
    <row r="74" spans="1:3">
      <c r="A74" s="3">
        <f t="shared" si="3"/>
        <v>36161</v>
      </c>
      <c r="B74" s="2" cm="1">
        <f t="array" ref="B74">INDEX(Sheet1!$B$5:$M$38,MATCH(YEAR(A74),Sheet1!$A$5:$A$38,0),MONTH(A74))</f>
        <v>0.97</v>
      </c>
      <c r="C74" t="str">
        <f t="shared" si="2"/>
        <v>1999-01-01</v>
      </c>
    </row>
    <row r="75" spans="1:3">
      <c r="A75" s="3">
        <f t="shared" si="3"/>
        <v>36192</v>
      </c>
      <c r="B75" s="2" cm="1">
        <f t="array" ref="B75">INDEX(Sheet1!$B$5:$M$38,MATCH(YEAR(A75),Sheet1!$A$5:$A$38,0),MONTH(A75))</f>
        <v>1.034</v>
      </c>
      <c r="C75" t="str">
        <f t="shared" si="2"/>
        <v>1999-02-01</v>
      </c>
    </row>
    <row r="76" spans="1:3">
      <c r="A76" s="3">
        <f t="shared" si="3"/>
        <v>36220</v>
      </c>
      <c r="B76" s="2" cm="1">
        <f t="array" ref="B76">INDEX(Sheet1!$B$5:$M$38,MATCH(YEAR(A76),Sheet1!$A$5:$A$38,0),MONTH(A76))</f>
        <v>1.075</v>
      </c>
      <c r="C76" t="str">
        <f t="shared" si="2"/>
        <v>1999-03-01</v>
      </c>
    </row>
    <row r="77" spans="1:3">
      <c r="A77" s="3">
        <f t="shared" si="3"/>
        <v>36251</v>
      </c>
      <c r="B77" s="2" cm="1">
        <f t="array" ref="B77">INDEX(Sheet1!$B$5:$M$38,MATCH(YEAR(A77),Sheet1!$A$5:$A$38,0),MONTH(A77))</f>
        <v>1.131</v>
      </c>
      <c r="C77" t="str">
        <f t="shared" si="2"/>
        <v>1999-04-01</v>
      </c>
    </row>
    <row r="78" spans="1:3">
      <c r="A78" s="3">
        <f t="shared" si="3"/>
        <v>36281</v>
      </c>
      <c r="B78" s="2" cm="1">
        <f t="array" ref="B78">INDEX(Sheet1!$B$5:$M$38,MATCH(YEAR(A78),Sheet1!$A$5:$A$38,0),MONTH(A78))</f>
        <v>1.167</v>
      </c>
      <c r="C78" t="str">
        <f t="shared" si="2"/>
        <v>1999-05-01</v>
      </c>
    </row>
    <row r="79" spans="1:3">
      <c r="A79" s="3">
        <f t="shared" si="3"/>
        <v>36312</v>
      </c>
      <c r="B79" s="2" cm="1">
        <f t="array" ref="B79">INDEX(Sheet1!$B$5:$M$38,MATCH(YEAR(A79),Sheet1!$A$5:$A$38,0),MONTH(A79))</f>
        <v>1.206</v>
      </c>
      <c r="C79" t="str">
        <f t="shared" si="2"/>
        <v>1999-06-01</v>
      </c>
    </row>
    <row r="80" spans="1:3">
      <c r="A80" s="3">
        <f t="shared" si="3"/>
        <v>36342</v>
      </c>
      <c r="B80" s="2" cm="1">
        <f t="array" ref="B80">INDEX(Sheet1!$B$5:$M$38,MATCH(YEAR(A80),Sheet1!$A$5:$A$38,0),MONTH(A80))</f>
        <v>1.264</v>
      </c>
      <c r="C80" t="str">
        <f t="shared" si="2"/>
        <v>1999-07-01</v>
      </c>
    </row>
    <row r="81" spans="1:3">
      <c r="A81" s="3">
        <f t="shared" si="3"/>
        <v>36373</v>
      </c>
      <c r="B81" s="2" cm="1">
        <f t="array" ref="B81">INDEX(Sheet1!$B$5:$M$38,MATCH(YEAR(A81),Sheet1!$A$5:$A$38,0),MONTH(A81))</f>
        <v>1.21</v>
      </c>
      <c r="C81" t="str">
        <f t="shared" si="2"/>
        <v>1999-08-01</v>
      </c>
    </row>
    <row r="82" spans="1:3">
      <c r="A82" s="3">
        <f t="shared" si="3"/>
        <v>36404</v>
      </c>
      <c r="B82" s="2" cm="1">
        <f t="array" ref="B82">INDEX(Sheet1!$B$5:$M$38,MATCH(YEAR(A82),Sheet1!$A$5:$A$38,0),MONTH(A82))</f>
        <v>0.62</v>
      </c>
      <c r="C82" t="str">
        <f t="shared" si="2"/>
        <v>1999-09-01</v>
      </c>
    </row>
    <row r="83" spans="1:3">
      <c r="A83" s="3">
        <f t="shared" si="3"/>
        <v>36434</v>
      </c>
      <c r="B83" s="2" cm="1">
        <f t="array" ref="B83">INDEX(Sheet1!$B$5:$M$38,MATCH(YEAR(A83),Sheet1!$A$5:$A$38,0),MONTH(A83))</f>
        <v>0.571</v>
      </c>
      <c r="C83" t="str">
        <f t="shared" si="2"/>
        <v>1999-10-01</v>
      </c>
    </row>
    <row r="84" spans="1:3">
      <c r="A84" s="3">
        <f t="shared" si="3"/>
        <v>36465</v>
      </c>
      <c r="B84" s="2" cm="1">
        <f t="array" ref="B84">INDEX(Sheet1!$B$5:$M$38,MATCH(YEAR(A84),Sheet1!$A$5:$A$38,0),MONTH(A84))</f>
        <v>0.505</v>
      </c>
      <c r="C84" t="str">
        <f t="shared" si="2"/>
        <v>1999-11-01</v>
      </c>
    </row>
    <row r="85" spans="1:3">
      <c r="A85" s="3">
        <f t="shared" si="3"/>
        <v>36495</v>
      </c>
      <c r="B85" s="2" cm="1">
        <f t="array" ref="B85">INDEX(Sheet1!$B$5:$M$38,MATCH(YEAR(A85),Sheet1!$A$5:$A$38,0),MONTH(A85))</f>
        <v>0.366</v>
      </c>
      <c r="C85" t="str">
        <f t="shared" si="2"/>
        <v>1999-12-01</v>
      </c>
    </row>
    <row r="86" spans="1:3">
      <c r="A86" s="3">
        <f t="shared" si="3"/>
        <v>36526</v>
      </c>
      <c r="B86" s="2" cm="1">
        <f t="array" ref="B86">INDEX(Sheet1!$B$5:$M$38,MATCH(YEAR(A86),Sheet1!$A$5:$A$38,0),MONTH(A86))</f>
        <v>0.289</v>
      </c>
      <c r="C86" t="str">
        <f t="shared" si="2"/>
        <v>2000-01-01</v>
      </c>
    </row>
    <row r="87" spans="1:3">
      <c r="A87" s="3">
        <f t="shared" si="3"/>
        <v>36557</v>
      </c>
      <c r="B87" s="2" cm="1">
        <f t="array" ref="B87">INDEX(Sheet1!$B$5:$M$38,MATCH(YEAR(A87),Sheet1!$A$5:$A$38,0),MONTH(A87))</f>
        <v>0.251</v>
      </c>
      <c r="C87" t="str">
        <f t="shared" si="2"/>
        <v>2000-02-01</v>
      </c>
    </row>
    <row r="88" spans="1:3">
      <c r="A88" s="3">
        <f t="shared" si="3"/>
        <v>36586</v>
      </c>
      <c r="B88" s="2" cm="1">
        <f t="array" ref="B88">INDEX(Sheet1!$B$5:$M$38,MATCH(YEAR(A88),Sheet1!$A$5:$A$38,0),MONTH(A88))</f>
        <v>0.225</v>
      </c>
      <c r="C88" t="str">
        <f t="shared" si="2"/>
        <v>2000-03-01</v>
      </c>
    </row>
    <row r="89" spans="1:3">
      <c r="A89" s="3">
        <f t="shared" si="3"/>
        <v>36617</v>
      </c>
      <c r="B89" s="2" cm="1">
        <f t="array" ref="B89">INDEX(Sheet1!$B$5:$M$38,MATCH(YEAR(A89),Sheet1!$A$5:$A$38,0),MONTH(A89))</f>
        <v>0.199</v>
      </c>
      <c r="C89" t="str">
        <f t="shared" si="2"/>
        <v>2000-04-01</v>
      </c>
    </row>
    <row r="90" spans="1:3">
      <c r="A90" s="3">
        <f t="shared" si="3"/>
        <v>36647</v>
      </c>
      <c r="B90" s="2" cm="1">
        <f t="array" ref="B90">INDEX(Sheet1!$B$5:$M$38,MATCH(YEAR(A90),Sheet1!$A$5:$A$38,0),MONTH(A90))</f>
        <v>0.194</v>
      </c>
      <c r="C90" t="str">
        <f t="shared" si="2"/>
        <v>2000-05-01</v>
      </c>
    </row>
    <row r="91" spans="1:3">
      <c r="A91" s="3">
        <f t="shared" si="3"/>
        <v>36678</v>
      </c>
      <c r="B91" s="2" cm="1">
        <f t="array" ref="B91">INDEX(Sheet1!$B$5:$M$38,MATCH(YEAR(A91),Sheet1!$A$5:$A$38,0),MONTH(A91))</f>
        <v>0.201</v>
      </c>
      <c r="C91" t="str">
        <f t="shared" si="2"/>
        <v>2000-06-01</v>
      </c>
    </row>
    <row r="92" spans="1:3">
      <c r="A92" s="3">
        <f t="shared" si="3"/>
        <v>36708</v>
      </c>
      <c r="B92" s="2" cm="1">
        <f t="array" ref="B92">INDEX(Sheet1!$B$5:$M$38,MATCH(YEAR(A92),Sheet1!$A$5:$A$38,0),MONTH(A92))</f>
        <v>0.189</v>
      </c>
      <c r="C92" t="str">
        <f t="shared" si="2"/>
        <v>2000-07-01</v>
      </c>
    </row>
    <row r="93" spans="1:3">
      <c r="A93" s="3">
        <f t="shared" si="3"/>
        <v>36739</v>
      </c>
      <c r="B93" s="2" cm="1">
        <f t="array" ref="B93">INDEX(Sheet1!$B$5:$M$38,MATCH(YEAR(A93),Sheet1!$A$5:$A$38,0),MONTH(A93))</f>
        <v>0.187</v>
      </c>
      <c r="C93" t="str">
        <f t="shared" si="2"/>
        <v>2000-08-01</v>
      </c>
    </row>
    <row r="94" spans="1:3">
      <c r="A94" s="3">
        <f t="shared" si="3"/>
        <v>36770</v>
      </c>
      <c r="B94" s="2" cm="1">
        <f t="array" ref="B94">INDEX(Sheet1!$B$5:$M$38,MATCH(YEAR(A94),Sheet1!$A$5:$A$38,0),MONTH(A94))</f>
        <v>0.186</v>
      </c>
      <c r="C94" t="str">
        <f t="shared" si="2"/>
        <v>2000-09-01</v>
      </c>
    </row>
    <row r="95" spans="1:3">
      <c r="A95" s="3">
        <f t="shared" si="3"/>
        <v>36800</v>
      </c>
      <c r="B95" s="2" cm="1">
        <f t="array" ref="B95">INDEX(Sheet1!$B$5:$M$38,MATCH(YEAR(A95),Sheet1!$A$5:$A$38,0),MONTH(A95))</f>
        <v>0.194</v>
      </c>
      <c r="C95" t="str">
        <f t="shared" si="2"/>
        <v>2000-10-01</v>
      </c>
    </row>
    <row r="96" spans="1:3">
      <c r="A96" s="3">
        <f t="shared" si="3"/>
        <v>36831</v>
      </c>
      <c r="B96" s="2" cm="1">
        <f t="array" ref="B96">INDEX(Sheet1!$B$5:$M$38,MATCH(YEAR(A96),Sheet1!$A$5:$A$38,0),MONTH(A96))</f>
        <v>0.197</v>
      </c>
      <c r="C96" t="str">
        <f t="shared" si="2"/>
        <v>2000-11-01</v>
      </c>
    </row>
    <row r="97" spans="1:3">
      <c r="A97" s="3">
        <f t="shared" si="3"/>
        <v>36861</v>
      </c>
      <c r="B97" s="2" cm="1">
        <f t="array" ref="B97">INDEX(Sheet1!$B$5:$M$38,MATCH(YEAR(A97),Sheet1!$A$5:$A$38,0),MONTH(A97))</f>
        <v>0.202</v>
      </c>
      <c r="C97" t="str">
        <f t="shared" si="2"/>
        <v>2000-12-01</v>
      </c>
    </row>
    <row r="98" spans="1:3">
      <c r="A98" s="3">
        <f t="shared" si="3"/>
        <v>36892</v>
      </c>
      <c r="B98" s="2" cm="1">
        <f t="array" ref="B98">INDEX(Sheet1!$B$5:$M$38,MATCH(YEAR(A98),Sheet1!$A$5:$A$38,0),MONTH(A98))</f>
        <v>0.207</v>
      </c>
      <c r="C98" t="str">
        <f t="shared" si="2"/>
        <v>2001-01-01</v>
      </c>
    </row>
    <row r="99" spans="1:3">
      <c r="A99" s="3">
        <f t="shared" si="3"/>
        <v>36923</v>
      </c>
      <c r="B99" s="2" cm="1">
        <f t="array" ref="B99">INDEX(Sheet1!$B$5:$M$38,MATCH(YEAR(A99),Sheet1!$A$5:$A$38,0),MONTH(A99))</f>
        <v>0.222</v>
      </c>
      <c r="C99" t="str">
        <f t="shared" si="2"/>
        <v>2001-02-01</v>
      </c>
    </row>
    <row r="100" spans="1:3">
      <c r="A100" s="3">
        <f t="shared" si="3"/>
        <v>36951</v>
      </c>
      <c r="B100" s="2" cm="1">
        <f t="array" ref="B100">INDEX(Sheet1!$B$5:$M$38,MATCH(YEAR(A100),Sheet1!$A$5:$A$38,0),MONTH(A100))</f>
        <v>0.237</v>
      </c>
      <c r="C100" t="str">
        <f t="shared" si="2"/>
        <v>2001-03-01</v>
      </c>
    </row>
    <row r="101" spans="1:3">
      <c r="A101" s="3">
        <f t="shared" si="3"/>
        <v>36982</v>
      </c>
      <c r="B101" s="2" cm="1">
        <f t="array" ref="B101">INDEX(Sheet1!$B$5:$M$38,MATCH(YEAR(A101),Sheet1!$A$5:$A$38,0),MONTH(A101))</f>
        <v>0.248</v>
      </c>
      <c r="C101" t="str">
        <f t="shared" si="2"/>
        <v>2001-04-01</v>
      </c>
    </row>
    <row r="102" spans="1:3">
      <c r="A102" s="3">
        <f t="shared" si="3"/>
        <v>37012</v>
      </c>
      <c r="B102" s="2" cm="1">
        <f t="array" ref="B102">INDEX(Sheet1!$B$5:$M$38,MATCH(YEAR(A102),Sheet1!$A$5:$A$38,0),MONTH(A102))</f>
        <v>0.248</v>
      </c>
      <c r="C102" t="str">
        <f t="shared" si="2"/>
        <v>2001-05-01</v>
      </c>
    </row>
    <row r="103" spans="1:3">
      <c r="A103" s="3">
        <f t="shared" si="3"/>
        <v>37043</v>
      </c>
      <c r="B103" s="2" cm="1">
        <f t="array" ref="B103">INDEX(Sheet1!$B$5:$M$38,MATCH(YEAR(A103),Sheet1!$A$5:$A$38,0),MONTH(A103))</f>
        <v>0.237</v>
      </c>
      <c r="C103" t="str">
        <f t="shared" si="2"/>
        <v>2001-06-01</v>
      </c>
    </row>
    <row r="104" spans="1:3">
      <c r="A104" s="3">
        <f t="shared" si="3"/>
        <v>37073</v>
      </c>
      <c r="B104" s="2" cm="1">
        <f t="array" ref="B104">INDEX(Sheet1!$B$5:$M$38,MATCH(YEAR(A104),Sheet1!$A$5:$A$38,0),MONTH(A104))</f>
        <v>0.22</v>
      </c>
      <c r="C104" t="str">
        <f t="shared" si="2"/>
        <v>2001-07-01</v>
      </c>
    </row>
    <row r="105" spans="1:3">
      <c r="A105" s="3">
        <f t="shared" si="3"/>
        <v>37104</v>
      </c>
      <c r="B105" s="2" cm="1">
        <f t="array" ref="B105">INDEX(Sheet1!$B$5:$M$38,MATCH(YEAR(A105),Sheet1!$A$5:$A$38,0),MONTH(A105))</f>
        <v>0.209</v>
      </c>
      <c r="C105" t="str">
        <f t="shared" si="2"/>
        <v>2001-08-01</v>
      </c>
    </row>
    <row r="106" spans="1:3">
      <c r="A106" s="3">
        <f t="shared" si="3"/>
        <v>37135</v>
      </c>
      <c r="B106" s="2" cm="1">
        <f t="array" ref="B106">INDEX(Sheet1!$B$5:$M$38,MATCH(YEAR(A106),Sheet1!$A$5:$A$38,0),MONTH(A106))</f>
        <v>0.2</v>
      </c>
      <c r="C106" t="str">
        <f t="shared" si="2"/>
        <v>2001-09-01</v>
      </c>
    </row>
    <row r="107" spans="1:3">
      <c r="A107" s="3">
        <f t="shared" si="3"/>
        <v>37165</v>
      </c>
      <c r="B107" s="2" cm="1">
        <f t="array" ref="B107">INDEX(Sheet1!$B$5:$M$38,MATCH(YEAR(A107),Sheet1!$A$5:$A$38,0),MONTH(A107))</f>
        <v>0.188</v>
      </c>
      <c r="C107" t="str">
        <f t="shared" si="2"/>
        <v>2001-10-01</v>
      </c>
    </row>
    <row r="108" spans="1:3">
      <c r="A108" s="3">
        <f t="shared" si="3"/>
        <v>37196</v>
      </c>
      <c r="B108" s="2" cm="1">
        <f t="array" ref="B108">INDEX(Sheet1!$B$5:$M$38,MATCH(YEAR(A108),Sheet1!$A$5:$A$38,0),MONTH(A108))</f>
        <v>0.186</v>
      </c>
      <c r="C108" t="str">
        <f t="shared" si="2"/>
        <v>2001-11-01</v>
      </c>
    </row>
    <row r="109" spans="1:3">
      <c r="A109" s="3">
        <f t="shared" si="3"/>
        <v>37226</v>
      </c>
      <c r="B109" s="2" cm="1">
        <f t="array" ref="B109">INDEX(Sheet1!$B$5:$M$38,MATCH(YEAR(A109),Sheet1!$A$5:$A$38,0),MONTH(A109))</f>
        <v>0.186</v>
      </c>
      <c r="C109" t="str">
        <f t="shared" si="2"/>
        <v>2001-12-01</v>
      </c>
    </row>
    <row r="110" spans="1:3">
      <c r="A110" s="3">
        <f t="shared" si="3"/>
        <v>37257</v>
      </c>
      <c r="B110" s="2" cm="1">
        <f t="array" ref="B110">INDEX(Sheet1!$B$5:$M$38,MATCH(YEAR(A110),Sheet1!$A$5:$A$38,0),MONTH(A110))</f>
        <v>0.19</v>
      </c>
      <c r="C110" t="str">
        <f t="shared" si="2"/>
        <v>2002-01-01</v>
      </c>
    </row>
    <row r="111" spans="1:3">
      <c r="A111" s="3">
        <f t="shared" si="3"/>
        <v>37288</v>
      </c>
      <c r="B111" s="2" cm="1">
        <f t="array" ref="B111">INDEX(Sheet1!$B$5:$M$38,MATCH(YEAR(A111),Sheet1!$A$5:$A$38,0),MONTH(A111))</f>
        <v>0.177</v>
      </c>
      <c r="C111" t="str">
        <f t="shared" si="2"/>
        <v>2002-02-01</v>
      </c>
    </row>
    <row r="112" spans="1:3">
      <c r="A112" s="3">
        <f t="shared" si="3"/>
        <v>37316</v>
      </c>
      <c r="B112" s="2" cm="1">
        <f t="array" ref="B112">INDEX(Sheet1!$B$5:$M$38,MATCH(YEAR(A112),Sheet1!$A$5:$A$38,0),MONTH(A112))</f>
        <v>0.168</v>
      </c>
      <c r="C112" t="str">
        <f t="shared" si="2"/>
        <v>2002-03-01</v>
      </c>
    </row>
    <row r="113" spans="1:3">
      <c r="A113" s="3">
        <f t="shared" si="3"/>
        <v>37347</v>
      </c>
      <c r="B113" s="2" cm="1">
        <f t="array" ref="B113">INDEX(Sheet1!$B$5:$M$38,MATCH(YEAR(A113),Sheet1!$A$5:$A$38,0),MONTH(A113))</f>
        <v>0.161</v>
      </c>
      <c r="C113" t="str">
        <f t="shared" si="2"/>
        <v>2002-04-01</v>
      </c>
    </row>
    <row r="114" spans="1:3">
      <c r="A114" s="3">
        <f t="shared" si="3"/>
        <v>37377</v>
      </c>
      <c r="B114" s="2" cm="1">
        <f t="array" ref="B114">INDEX(Sheet1!$B$5:$M$38,MATCH(YEAR(A114),Sheet1!$A$5:$A$38,0),MONTH(A114))</f>
        <v>0.159</v>
      </c>
      <c r="C114" t="str">
        <f t="shared" si="2"/>
        <v>2002-05-01</v>
      </c>
    </row>
    <row r="115" spans="1:3">
      <c r="A115" s="3">
        <f t="shared" si="3"/>
        <v>37408</v>
      </c>
      <c r="B115" s="2" cm="1">
        <f t="array" ref="B115">INDEX(Sheet1!$B$5:$M$38,MATCH(YEAR(A115),Sheet1!$A$5:$A$38,0),MONTH(A115))</f>
        <v>0.147</v>
      </c>
      <c r="C115" t="str">
        <f t="shared" si="2"/>
        <v>2002-06-01</v>
      </c>
    </row>
    <row r="116" spans="1:3">
      <c r="A116" s="3">
        <f t="shared" si="3"/>
        <v>37438</v>
      </c>
      <c r="B116" s="2" cm="1">
        <f t="array" ref="B116">INDEX(Sheet1!$B$5:$M$38,MATCH(YEAR(A116),Sheet1!$A$5:$A$38,0),MONTH(A116))</f>
        <v>0.15</v>
      </c>
      <c r="C116" t="str">
        <f t="shared" si="2"/>
        <v>2002-07-01</v>
      </c>
    </row>
    <row r="117" spans="1:3">
      <c r="A117" s="3">
        <f t="shared" si="3"/>
        <v>37469</v>
      </c>
      <c r="B117" s="2" cm="1">
        <f t="array" ref="B117">INDEX(Sheet1!$B$5:$M$38,MATCH(YEAR(A117),Sheet1!$A$5:$A$38,0),MONTH(A117))</f>
        <v>0.151</v>
      </c>
      <c r="C117" t="str">
        <f t="shared" si="2"/>
        <v>2002-08-01</v>
      </c>
    </row>
    <row r="118" spans="1:3">
      <c r="A118" s="3">
        <f t="shared" si="3"/>
        <v>37500</v>
      </c>
      <c r="B118" s="2" cm="1">
        <f t="array" ref="B118">INDEX(Sheet1!$B$5:$M$38,MATCH(YEAR(A118),Sheet1!$A$5:$A$38,0),MONTH(A118))</f>
        <v>0.149</v>
      </c>
      <c r="C118" t="str">
        <f t="shared" si="2"/>
        <v>2002-09-01</v>
      </c>
    </row>
    <row r="119" spans="1:3">
      <c r="A119" s="3">
        <f t="shared" si="3"/>
        <v>37530</v>
      </c>
      <c r="B119" s="2" cm="1">
        <f t="array" ref="B119">INDEX(Sheet1!$B$5:$M$38,MATCH(YEAR(A119),Sheet1!$A$5:$A$38,0),MONTH(A119))</f>
        <v>0.149</v>
      </c>
      <c r="C119" t="str">
        <f t="shared" si="2"/>
        <v>2002-10-01</v>
      </c>
    </row>
    <row r="120" spans="1:3">
      <c r="A120" s="3">
        <f t="shared" si="3"/>
        <v>37561</v>
      </c>
      <c r="B120" s="2" cm="1">
        <f t="array" ref="B120">INDEX(Sheet1!$B$5:$M$38,MATCH(YEAR(A120),Sheet1!$A$5:$A$38,0),MONTH(A120))</f>
        <v>0.151</v>
      </c>
      <c r="C120" t="str">
        <f t="shared" si="2"/>
        <v>2002-11-01</v>
      </c>
    </row>
    <row r="121" spans="1:3">
      <c r="A121" s="3">
        <f t="shared" si="3"/>
        <v>37591</v>
      </c>
      <c r="B121" s="2" cm="1">
        <f t="array" ref="B121">INDEX(Sheet1!$B$5:$M$38,MATCH(YEAR(A121),Sheet1!$A$5:$A$38,0),MONTH(A121))</f>
        <v>0.151</v>
      </c>
      <c r="C121" t="str">
        <f t="shared" si="2"/>
        <v>2002-12-01</v>
      </c>
    </row>
    <row r="122" spans="1:3">
      <c r="A122" s="3">
        <f t="shared" si="3"/>
        <v>37622</v>
      </c>
      <c r="B122" s="2" cm="1">
        <f t="array" ref="B122">INDEX(Sheet1!$B$5:$M$38,MATCH(YEAR(A122),Sheet1!$A$5:$A$38,0),MONTH(A122))</f>
        <v>0.143</v>
      </c>
      <c r="C122" t="str">
        <f t="shared" si="2"/>
        <v>2003-01-01</v>
      </c>
    </row>
    <row r="123" spans="1:3">
      <c r="A123" s="3">
        <f t="shared" si="3"/>
        <v>37653</v>
      </c>
      <c r="B123" s="2" cm="1">
        <f t="array" ref="B123">INDEX(Sheet1!$B$5:$M$38,MATCH(YEAR(A123),Sheet1!$A$5:$A$38,0),MONTH(A123))</f>
        <v>0.148</v>
      </c>
      <c r="C123" t="str">
        <f t="shared" si="2"/>
        <v>2003-02-01</v>
      </c>
    </row>
    <row r="124" spans="1:3">
      <c r="A124" s="3">
        <f t="shared" si="3"/>
        <v>37681</v>
      </c>
      <c r="B124" s="2" cm="1">
        <f t="array" ref="B124">INDEX(Sheet1!$B$5:$M$38,MATCH(YEAR(A124),Sheet1!$A$5:$A$38,0),MONTH(A124))</f>
        <v>0.148</v>
      </c>
      <c r="C124" t="str">
        <f t="shared" si="2"/>
        <v>2003-03-01</v>
      </c>
    </row>
    <row r="125" spans="1:3">
      <c r="A125" s="3">
        <f t="shared" si="3"/>
        <v>37712</v>
      </c>
      <c r="B125" s="2" cm="1">
        <f t="array" ref="B125">INDEX(Sheet1!$B$5:$M$38,MATCH(YEAR(A125),Sheet1!$A$5:$A$38,0),MONTH(A125))</f>
        <v>0.146</v>
      </c>
      <c r="C125" t="str">
        <f t="shared" si="2"/>
        <v>2003-04-01</v>
      </c>
    </row>
    <row r="126" spans="1:3">
      <c r="A126" s="3">
        <f t="shared" si="3"/>
        <v>37742</v>
      </c>
      <c r="B126" s="2" cm="1">
        <f t="array" ref="B126">INDEX(Sheet1!$B$5:$M$38,MATCH(YEAR(A126),Sheet1!$A$5:$A$38,0),MONTH(A126))</f>
        <v>0.136</v>
      </c>
      <c r="C126" t="str">
        <f t="shared" si="2"/>
        <v>2003-05-01</v>
      </c>
    </row>
    <row r="127" spans="1:3">
      <c r="A127" s="3">
        <f t="shared" si="3"/>
        <v>37773</v>
      </c>
      <c r="B127" s="2" cm="1">
        <f t="array" ref="B127">INDEX(Sheet1!$B$5:$M$38,MATCH(YEAR(A127),Sheet1!$A$5:$A$38,0),MONTH(A127))</f>
        <v>0.139</v>
      </c>
      <c r="C127" t="str">
        <f t="shared" si="2"/>
        <v>2003-06-01</v>
      </c>
    </row>
    <row r="128" spans="1:3">
      <c r="A128" s="3">
        <f t="shared" si="3"/>
        <v>37803</v>
      </c>
      <c r="B128" s="2" cm="1">
        <f t="array" ref="B128">INDEX(Sheet1!$B$5:$M$38,MATCH(YEAR(A128),Sheet1!$A$5:$A$38,0),MONTH(A128))</f>
        <v>0.139</v>
      </c>
      <c r="C128" t="str">
        <f t="shared" si="2"/>
        <v>2003-07-01</v>
      </c>
    </row>
    <row r="129" spans="1:3">
      <c r="A129" s="3">
        <f t="shared" si="3"/>
        <v>37834</v>
      </c>
      <c r="B129" s="2" cm="1">
        <f t="array" ref="B129">INDEX(Sheet1!$B$5:$M$38,MATCH(YEAR(A129),Sheet1!$A$5:$A$38,0),MONTH(A129))</f>
        <v>0.134</v>
      </c>
      <c r="C129" t="str">
        <f t="shared" si="2"/>
        <v>2003-08-01</v>
      </c>
    </row>
    <row r="130" spans="1:3">
      <c r="A130" s="3">
        <f t="shared" si="3"/>
        <v>37865</v>
      </c>
      <c r="B130" s="2" cm="1">
        <f t="array" ref="B130">INDEX(Sheet1!$B$5:$M$38,MATCH(YEAR(A130),Sheet1!$A$5:$A$38,0),MONTH(A130))</f>
        <v>0.133</v>
      </c>
      <c r="C130" t="str">
        <f t="shared" ref="C130:C193" si="4">TEXT(A130,"yyyy-mm-01")</f>
        <v>2003-09-01</v>
      </c>
    </row>
    <row r="131" spans="1:3">
      <c r="A131" s="3">
        <f t="shared" ref="A131:A194" si="5">EDATE(A130,1)</f>
        <v>37895</v>
      </c>
      <c r="B131" s="2" cm="1">
        <f t="array" ref="B131">INDEX(Sheet1!$B$5:$M$38,MATCH(YEAR(A131),Sheet1!$A$5:$A$38,0),MONTH(A131))</f>
        <v>0.132</v>
      </c>
      <c r="C131" t="str">
        <f t="shared" si="4"/>
        <v>2003-10-01</v>
      </c>
    </row>
    <row r="132" spans="1:3">
      <c r="A132" s="3">
        <f t="shared" si="5"/>
        <v>37926</v>
      </c>
      <c r="B132" s="2" cm="1">
        <f t="array" ref="B132">INDEX(Sheet1!$B$5:$M$38,MATCH(YEAR(A132),Sheet1!$A$5:$A$38,0),MONTH(A132))</f>
        <v>0.125</v>
      </c>
      <c r="C132" t="str">
        <f t="shared" si="4"/>
        <v>2003-11-01</v>
      </c>
    </row>
    <row r="133" spans="1:3">
      <c r="A133" s="3">
        <f t="shared" si="5"/>
        <v>37956</v>
      </c>
      <c r="B133" s="2" cm="1">
        <f t="array" ref="B133">INDEX(Sheet1!$B$5:$M$38,MATCH(YEAR(A133),Sheet1!$A$5:$A$38,0),MONTH(A133))</f>
        <v>0.12</v>
      </c>
      <c r="C133" t="str">
        <f t="shared" si="4"/>
        <v>2003-12-01</v>
      </c>
    </row>
    <row r="134" spans="1:3">
      <c r="A134" s="3">
        <f t="shared" si="5"/>
        <v>37987</v>
      </c>
      <c r="B134" s="2" cm="1">
        <f t="array" ref="B134">INDEX(Sheet1!$B$5:$M$38,MATCH(YEAR(A134),Sheet1!$A$5:$A$38,0),MONTH(A134))</f>
        <v>0.113</v>
      </c>
      <c r="C134" t="str">
        <f t="shared" si="4"/>
        <v>2004-01-01</v>
      </c>
    </row>
    <row r="135" spans="1:3">
      <c r="A135" s="3">
        <f t="shared" si="5"/>
        <v>38018</v>
      </c>
      <c r="B135" s="2" cm="1">
        <f t="array" ref="B135">INDEX(Sheet1!$B$5:$M$38,MATCH(YEAR(A135),Sheet1!$A$5:$A$38,0),MONTH(A135))</f>
        <v>0.106</v>
      </c>
      <c r="C135" t="str">
        <f t="shared" si="4"/>
        <v>2004-02-01</v>
      </c>
    </row>
    <row r="136" spans="1:3">
      <c r="A136" s="3">
        <f t="shared" si="5"/>
        <v>38047</v>
      </c>
      <c r="B136" s="2" cm="1">
        <f t="array" ref="B136">INDEX(Sheet1!$B$5:$M$38,MATCH(YEAR(A136),Sheet1!$A$5:$A$38,0),MONTH(A136))</f>
        <v>0.103</v>
      </c>
      <c r="C136" t="str">
        <f t="shared" si="4"/>
        <v>2004-03-01</v>
      </c>
    </row>
    <row r="137" spans="1:3">
      <c r="A137" s="3">
        <f t="shared" si="5"/>
        <v>38078</v>
      </c>
      <c r="B137" s="2" cm="1">
        <f t="array" ref="B137">INDEX(Sheet1!$B$5:$M$38,MATCH(YEAR(A137),Sheet1!$A$5:$A$38,0),MONTH(A137))</f>
        <v>0.102</v>
      </c>
      <c r="C137" t="str">
        <f t="shared" si="4"/>
        <v>2004-04-01</v>
      </c>
    </row>
    <row r="138" spans="1:3">
      <c r="A138" s="3">
        <f t="shared" si="5"/>
        <v>38108</v>
      </c>
      <c r="B138" s="2" cm="1">
        <f t="array" ref="B138">INDEX(Sheet1!$B$5:$M$38,MATCH(YEAR(A138),Sheet1!$A$5:$A$38,0),MONTH(A138))</f>
        <v>0.102</v>
      </c>
      <c r="C138" t="str">
        <f t="shared" si="4"/>
        <v>2004-05-01</v>
      </c>
    </row>
    <row r="139" spans="1:3">
      <c r="A139" s="3">
        <f t="shared" si="5"/>
        <v>38139</v>
      </c>
      <c r="B139" s="2" cm="1">
        <f t="array" ref="B139">INDEX(Sheet1!$B$5:$M$38,MATCH(YEAR(A139),Sheet1!$A$5:$A$38,0),MONTH(A139))</f>
        <v>0.101</v>
      </c>
      <c r="C139" t="str">
        <f t="shared" si="4"/>
        <v>2004-06-01</v>
      </c>
    </row>
    <row r="140" spans="1:3">
      <c r="A140" s="3">
        <f t="shared" si="5"/>
        <v>38169</v>
      </c>
      <c r="B140" s="2" cm="1">
        <f t="array" ref="B140">INDEX(Sheet1!$B$5:$M$38,MATCH(YEAR(A140),Sheet1!$A$5:$A$38,0),MONTH(A140))</f>
        <v>0.104</v>
      </c>
      <c r="C140" t="str">
        <f t="shared" si="4"/>
        <v>2004-07-01</v>
      </c>
    </row>
    <row r="141" spans="1:3">
      <c r="A141" s="3">
        <f t="shared" si="5"/>
        <v>38200</v>
      </c>
      <c r="B141" s="2" cm="1">
        <f t="array" ref="B141">INDEX(Sheet1!$B$5:$M$38,MATCH(YEAR(A141),Sheet1!$A$5:$A$38,0),MONTH(A141))</f>
        <v>0.113</v>
      </c>
      <c r="C141" t="str">
        <f t="shared" si="4"/>
        <v>2004-08-01</v>
      </c>
    </row>
    <row r="142" spans="1:3">
      <c r="A142" s="3">
        <f t="shared" si="5"/>
        <v>38231</v>
      </c>
      <c r="B142" s="2" cm="1">
        <f t="array" ref="B142">INDEX(Sheet1!$B$5:$M$38,MATCH(YEAR(A142),Sheet1!$A$5:$A$38,0),MONTH(A142))</f>
        <v>0.114</v>
      </c>
      <c r="C142" t="str">
        <f t="shared" si="4"/>
        <v>2004-09-01</v>
      </c>
    </row>
    <row r="143" spans="1:3">
      <c r="A143" s="3">
        <f t="shared" si="5"/>
        <v>38261</v>
      </c>
      <c r="B143" s="2" cm="1">
        <f t="array" ref="B143">INDEX(Sheet1!$B$5:$M$38,MATCH(YEAR(A143),Sheet1!$A$5:$A$38,0),MONTH(A143))</f>
        <v>0.115</v>
      </c>
      <c r="C143" t="str">
        <f t="shared" si="4"/>
        <v>2004-10-01</v>
      </c>
    </row>
    <row r="144" spans="1:3">
      <c r="A144" s="3">
        <f t="shared" si="5"/>
        <v>38292</v>
      </c>
      <c r="B144" s="2" cm="1">
        <f t="array" ref="B144">INDEX(Sheet1!$B$5:$M$38,MATCH(YEAR(A144),Sheet1!$A$5:$A$38,0),MONTH(A144))</f>
        <v>0.117</v>
      </c>
      <c r="C144" t="str">
        <f t="shared" si="4"/>
        <v>2004-11-01</v>
      </c>
    </row>
    <row r="145" spans="1:3">
      <c r="A145" s="3">
        <f t="shared" si="5"/>
        <v>38322</v>
      </c>
      <c r="B145" s="2" cm="1">
        <f t="array" ref="B145">INDEX(Sheet1!$B$5:$M$38,MATCH(YEAR(A145),Sheet1!$A$5:$A$38,0),MONTH(A145))</f>
        <v>0.117</v>
      </c>
      <c r="C145" t="str">
        <f t="shared" si="4"/>
        <v>2004-12-01</v>
      </c>
    </row>
    <row r="146" spans="1:3">
      <c r="A146" s="3">
        <f t="shared" si="5"/>
        <v>38353</v>
      </c>
      <c r="B146" s="2" cm="1">
        <f t="array" ref="B146">INDEX(Sheet1!$B$5:$M$38,MATCH(YEAR(A146),Sheet1!$A$5:$A$38,0),MONTH(A146))</f>
        <v>0.127</v>
      </c>
      <c r="C146" t="str">
        <f t="shared" si="4"/>
        <v>2005-01-01</v>
      </c>
    </row>
    <row r="147" spans="1:3">
      <c r="A147" s="3">
        <f t="shared" si="5"/>
        <v>38384</v>
      </c>
      <c r="B147" s="2" cm="1">
        <f t="array" ref="B147">INDEX(Sheet1!$B$5:$M$38,MATCH(YEAR(A147),Sheet1!$A$5:$A$38,0),MONTH(A147))</f>
        <v>0.13</v>
      </c>
      <c r="C147" t="str">
        <f t="shared" si="4"/>
        <v>2005-02-01</v>
      </c>
    </row>
    <row r="148" spans="1:3">
      <c r="A148" s="3">
        <f t="shared" si="5"/>
        <v>38412</v>
      </c>
      <c r="B148" s="2" cm="1">
        <f t="array" ref="B148">INDEX(Sheet1!$B$5:$M$38,MATCH(YEAR(A148),Sheet1!$A$5:$A$38,0),MONTH(A148))</f>
        <v>0.136</v>
      </c>
      <c r="C148" t="str">
        <f t="shared" si="4"/>
        <v>2005-03-01</v>
      </c>
    </row>
    <row r="149" spans="1:3">
      <c r="A149" s="3">
        <f t="shared" si="5"/>
        <v>38443</v>
      </c>
      <c r="B149" s="2" cm="1">
        <f t="array" ref="B149">INDEX(Sheet1!$B$5:$M$38,MATCH(YEAR(A149),Sheet1!$A$5:$A$38,0),MONTH(A149))</f>
        <v>0.138</v>
      </c>
      <c r="C149" t="str">
        <f t="shared" si="4"/>
        <v>2005-04-01</v>
      </c>
    </row>
    <row r="150" spans="1:3">
      <c r="A150" s="3">
        <f t="shared" si="5"/>
        <v>38473</v>
      </c>
      <c r="B150" s="2" cm="1">
        <f t="array" ref="B150">INDEX(Sheet1!$B$5:$M$38,MATCH(YEAR(A150),Sheet1!$A$5:$A$38,0),MONTH(A150))</f>
        <v>0.138</v>
      </c>
      <c r="C150" t="str">
        <f t="shared" si="4"/>
        <v>2005-05-01</v>
      </c>
    </row>
    <row r="151" spans="1:3">
      <c r="A151" s="3">
        <f t="shared" si="5"/>
        <v>38504</v>
      </c>
      <c r="B151" s="2" cm="1">
        <f t="array" ref="B151">INDEX(Sheet1!$B$5:$M$38,MATCH(YEAR(A151),Sheet1!$A$5:$A$38,0),MONTH(A151))</f>
        <v>0.137</v>
      </c>
      <c r="C151" t="str">
        <f t="shared" si="4"/>
        <v>2005-06-01</v>
      </c>
    </row>
    <row r="152" spans="1:3">
      <c r="A152" s="3">
        <f t="shared" si="5"/>
        <v>38534</v>
      </c>
      <c r="B152" s="2" cm="1">
        <f t="array" ref="B152">INDEX(Sheet1!$B$5:$M$38,MATCH(YEAR(A152),Sheet1!$A$5:$A$38,0),MONTH(A152))</f>
        <v>0.132</v>
      </c>
      <c r="C152" t="str">
        <f t="shared" si="4"/>
        <v>2005-07-01</v>
      </c>
    </row>
    <row r="153" spans="1:3">
      <c r="A153" s="3">
        <f t="shared" si="5"/>
        <v>38565</v>
      </c>
      <c r="B153" s="2" cm="1">
        <f t="array" ref="B153">INDEX(Sheet1!$B$5:$M$38,MATCH(YEAR(A153),Sheet1!$A$5:$A$38,0),MONTH(A153))</f>
        <v>0.125</v>
      </c>
      <c r="C153" t="str">
        <f t="shared" si="4"/>
        <v>2005-08-01</v>
      </c>
    </row>
    <row r="154" spans="1:3">
      <c r="A154" s="3">
        <f t="shared" si="5"/>
        <v>38596</v>
      </c>
      <c r="B154" s="2" cm="1">
        <f t="array" ref="B154">INDEX(Sheet1!$B$5:$M$38,MATCH(YEAR(A154),Sheet1!$A$5:$A$38,0),MONTH(A154))</f>
        <v>0.123</v>
      </c>
      <c r="C154" t="str">
        <f t="shared" si="4"/>
        <v>2005-09-01</v>
      </c>
    </row>
    <row r="155" spans="1:3">
      <c r="A155" s="3">
        <f t="shared" si="5"/>
        <v>38626</v>
      </c>
      <c r="B155" s="2" cm="1">
        <f t="array" ref="B155">INDEX(Sheet1!$B$5:$M$38,MATCH(YEAR(A155),Sheet1!$A$5:$A$38,0),MONTH(A155))</f>
        <v>0.117</v>
      </c>
      <c r="C155" t="str">
        <f t="shared" si="4"/>
        <v>2005-10-01</v>
      </c>
    </row>
    <row r="156" spans="1:3">
      <c r="A156" s="3">
        <f t="shared" si="5"/>
        <v>38657</v>
      </c>
      <c r="B156" s="2" cm="1">
        <f t="array" ref="B156">INDEX(Sheet1!$B$5:$M$38,MATCH(YEAR(A156),Sheet1!$A$5:$A$38,0),MONTH(A156))</f>
        <v>0.113</v>
      </c>
      <c r="C156" t="str">
        <f t="shared" si="4"/>
        <v>2005-11-01</v>
      </c>
    </row>
    <row r="157" spans="1:3">
      <c r="A157" s="3">
        <f t="shared" si="5"/>
        <v>38687</v>
      </c>
      <c r="B157" s="2" cm="1">
        <f t="array" ref="B157">INDEX(Sheet1!$B$5:$M$38,MATCH(YEAR(A157),Sheet1!$A$5:$A$38,0),MONTH(A157))</f>
        <v>0.109</v>
      </c>
      <c r="C157" t="str">
        <f t="shared" si="4"/>
        <v>2005-12-01</v>
      </c>
    </row>
    <row r="158" spans="1:3">
      <c r="A158" s="3">
        <f t="shared" si="5"/>
        <v>38718</v>
      </c>
      <c r="B158" s="2" cm="1">
        <f t="array" ref="B158">INDEX(Sheet1!$B$5:$M$38,MATCH(YEAR(A158),Sheet1!$A$5:$A$38,0),MONTH(A158))</f>
        <v>0.107</v>
      </c>
      <c r="C158" t="str">
        <f t="shared" si="4"/>
        <v>2006-01-01</v>
      </c>
    </row>
    <row r="159" spans="1:3">
      <c r="A159" s="3">
        <f t="shared" si="5"/>
        <v>38749</v>
      </c>
      <c r="B159" s="2" cm="1">
        <f t="array" ref="B159">INDEX(Sheet1!$B$5:$M$38,MATCH(YEAR(A159),Sheet1!$A$5:$A$38,0),MONTH(A159))</f>
        <v>0.112</v>
      </c>
      <c r="C159" t="str">
        <f t="shared" si="4"/>
        <v>2006-02-01</v>
      </c>
    </row>
    <row r="160" spans="1:3">
      <c r="A160" s="3">
        <f t="shared" si="5"/>
        <v>38777</v>
      </c>
      <c r="B160" s="2" cm="1">
        <f t="array" ref="B160">INDEX(Sheet1!$B$5:$M$38,MATCH(YEAR(A160),Sheet1!$A$5:$A$38,0),MONTH(A160))</f>
        <v>0.106</v>
      </c>
      <c r="C160" t="str">
        <f t="shared" si="4"/>
        <v>2006-03-01</v>
      </c>
    </row>
    <row r="161" spans="1:3">
      <c r="A161" s="3">
        <f t="shared" si="5"/>
        <v>38808</v>
      </c>
      <c r="B161" s="2" cm="1">
        <f t="array" ref="B161">INDEX(Sheet1!$B$5:$M$38,MATCH(YEAR(A161),Sheet1!$A$5:$A$38,0),MONTH(A161))</f>
        <v>0.098</v>
      </c>
      <c r="C161" t="str">
        <f t="shared" si="4"/>
        <v>2006-04-01</v>
      </c>
    </row>
    <row r="162" spans="1:3">
      <c r="A162" s="3">
        <f t="shared" si="5"/>
        <v>38838</v>
      </c>
      <c r="B162" s="2" cm="1">
        <f t="array" ref="B162">INDEX(Sheet1!$B$5:$M$38,MATCH(YEAR(A162),Sheet1!$A$5:$A$38,0),MONTH(A162))</f>
        <v>0.094</v>
      </c>
      <c r="C162" t="str">
        <f t="shared" si="4"/>
        <v>2006-05-01</v>
      </c>
    </row>
    <row r="163" spans="1:3">
      <c r="A163" s="3">
        <f t="shared" si="5"/>
        <v>38869</v>
      </c>
      <c r="B163" s="2" cm="1">
        <f t="array" ref="B163">INDEX(Sheet1!$B$5:$M$38,MATCH(YEAR(A163),Sheet1!$A$5:$A$38,0),MONTH(A163))</f>
        <v>0.09</v>
      </c>
      <c r="C163" t="str">
        <f t="shared" si="4"/>
        <v>2006-06-01</v>
      </c>
    </row>
    <row r="164" spans="1:3">
      <c r="A164" s="3">
        <f t="shared" si="5"/>
        <v>38899</v>
      </c>
      <c r="B164" s="2" cm="1">
        <f t="array" ref="B164">INDEX(Sheet1!$B$5:$M$38,MATCH(YEAR(A164),Sheet1!$A$5:$A$38,0),MONTH(A164))</f>
        <v>0.092</v>
      </c>
      <c r="C164" t="str">
        <f t="shared" si="4"/>
        <v>2006-07-01</v>
      </c>
    </row>
    <row r="165" spans="1:3">
      <c r="A165" s="3">
        <f t="shared" si="5"/>
        <v>38930</v>
      </c>
      <c r="B165" s="2" cm="1">
        <f t="array" ref="B165">INDEX(Sheet1!$B$5:$M$38,MATCH(YEAR(A165),Sheet1!$A$5:$A$38,0),MONTH(A165))</f>
        <v>0.096</v>
      </c>
      <c r="C165" t="str">
        <f t="shared" si="4"/>
        <v>2006-08-01</v>
      </c>
    </row>
    <row r="166" spans="1:3">
      <c r="A166" s="3">
        <f t="shared" si="5"/>
        <v>38961</v>
      </c>
      <c r="B166" s="2" cm="1">
        <f t="array" ref="B166">INDEX(Sheet1!$B$5:$M$38,MATCH(YEAR(A166),Sheet1!$A$5:$A$38,0),MONTH(A166))</f>
        <v>0.094</v>
      </c>
      <c r="C166" t="str">
        <f t="shared" si="4"/>
        <v>2006-09-01</v>
      </c>
    </row>
    <row r="167" spans="1:3">
      <c r="A167" s="3">
        <f t="shared" si="5"/>
        <v>38991</v>
      </c>
      <c r="B167" s="2" cm="1">
        <f t="array" ref="B167">INDEX(Sheet1!$B$5:$M$38,MATCH(YEAR(A167),Sheet1!$A$5:$A$38,0),MONTH(A167))</f>
        <v>0.091</v>
      </c>
      <c r="C167" t="str">
        <f t="shared" si="4"/>
        <v>2006-10-01</v>
      </c>
    </row>
    <row r="168" spans="1:3">
      <c r="A168" s="3">
        <f t="shared" si="5"/>
        <v>39022</v>
      </c>
      <c r="B168" s="2" cm="1">
        <f t="array" ref="B168">INDEX(Sheet1!$B$5:$M$38,MATCH(YEAR(A168),Sheet1!$A$5:$A$38,0),MONTH(A168))</f>
        <v>0.09</v>
      </c>
      <c r="C168" t="str">
        <f t="shared" si="4"/>
        <v>2006-11-01</v>
      </c>
    </row>
    <row r="169" spans="1:3">
      <c r="A169" s="3">
        <f t="shared" si="5"/>
        <v>39052</v>
      </c>
      <c r="B169" s="2" cm="1">
        <f t="array" ref="B169">INDEX(Sheet1!$B$5:$M$38,MATCH(YEAR(A169),Sheet1!$A$5:$A$38,0),MONTH(A169))</f>
        <v>0.09</v>
      </c>
      <c r="C169" t="str">
        <f t="shared" si="4"/>
        <v>2006-12-01</v>
      </c>
    </row>
    <row r="170" spans="1:3">
      <c r="A170" s="3">
        <f t="shared" si="5"/>
        <v>39083</v>
      </c>
      <c r="B170" s="2" cm="1">
        <f t="array" ref="B170">INDEX(Sheet1!$B$5:$M$38,MATCH(YEAR(A170),Sheet1!$A$5:$A$38,0),MONTH(A170))</f>
        <v>0.082</v>
      </c>
      <c r="C170" t="str">
        <f t="shared" si="4"/>
        <v>2007-01-01</v>
      </c>
    </row>
    <row r="171" spans="1:3">
      <c r="A171" s="3">
        <f t="shared" si="5"/>
        <v>39114</v>
      </c>
      <c r="B171" s="2" cm="1">
        <f t="array" ref="B171">INDEX(Sheet1!$B$5:$M$38,MATCH(YEAR(A171),Sheet1!$A$5:$A$38,0),MONTH(A171))</f>
        <v>0.076</v>
      </c>
      <c r="C171" t="str">
        <f t="shared" si="4"/>
        <v>2007-02-01</v>
      </c>
    </row>
    <row r="172" spans="1:3">
      <c r="A172" s="3">
        <f t="shared" si="5"/>
        <v>39142</v>
      </c>
      <c r="B172" s="2" cm="1">
        <f t="array" ref="B172">INDEX(Sheet1!$B$5:$M$38,MATCH(YEAR(A172),Sheet1!$A$5:$A$38,0),MONTH(A172))</f>
        <v>0.074</v>
      </c>
      <c r="C172" t="str">
        <f t="shared" si="4"/>
        <v>2007-03-01</v>
      </c>
    </row>
    <row r="173" spans="1:3">
      <c r="A173" s="3">
        <f t="shared" si="5"/>
        <v>39173</v>
      </c>
      <c r="B173" s="2" cm="1">
        <f t="array" ref="B173">INDEX(Sheet1!$B$5:$M$38,MATCH(YEAR(A173),Sheet1!$A$5:$A$38,0),MONTH(A173))</f>
        <v>0.076</v>
      </c>
      <c r="C173" t="str">
        <f t="shared" si="4"/>
        <v>2007-04-01</v>
      </c>
    </row>
    <row r="174" spans="1:3">
      <c r="A174" s="3">
        <f t="shared" si="5"/>
        <v>39203</v>
      </c>
      <c r="B174" s="2" cm="1">
        <f t="array" ref="B174">INDEX(Sheet1!$B$5:$M$38,MATCH(YEAR(A174),Sheet1!$A$5:$A$38,0),MONTH(A174))</f>
        <v>0.078</v>
      </c>
      <c r="C174" t="str">
        <f t="shared" si="4"/>
        <v>2007-05-01</v>
      </c>
    </row>
    <row r="175" spans="1:3">
      <c r="A175" s="3">
        <f t="shared" si="5"/>
        <v>39234</v>
      </c>
      <c r="B175" s="2" cm="1">
        <f t="array" ref="B175">INDEX(Sheet1!$B$5:$M$38,MATCH(YEAR(A175),Sheet1!$A$5:$A$38,0),MONTH(A175))</f>
        <v>0.085</v>
      </c>
      <c r="C175" t="str">
        <f t="shared" si="4"/>
        <v>2007-06-01</v>
      </c>
    </row>
    <row r="176" spans="1:3">
      <c r="A176" s="3">
        <f t="shared" si="5"/>
        <v>39264</v>
      </c>
      <c r="B176" s="2" cm="1">
        <f t="array" ref="B176">INDEX(Sheet1!$B$5:$M$38,MATCH(YEAR(A176),Sheet1!$A$5:$A$38,0),MONTH(A176))</f>
        <v>0.087</v>
      </c>
      <c r="C176" t="str">
        <f t="shared" si="4"/>
        <v>2007-07-01</v>
      </c>
    </row>
    <row r="177" spans="1:3">
      <c r="A177" s="3">
        <f t="shared" si="5"/>
        <v>39295</v>
      </c>
      <c r="B177" s="2" cm="1">
        <f t="array" ref="B177">INDEX(Sheet1!$B$5:$M$38,MATCH(YEAR(A177),Sheet1!$A$5:$A$38,0),MONTH(A177))</f>
        <v>0.086</v>
      </c>
      <c r="C177" t="str">
        <f t="shared" si="4"/>
        <v>2007-08-01</v>
      </c>
    </row>
    <row r="178" spans="1:3">
      <c r="A178" s="3">
        <f t="shared" si="5"/>
        <v>39326</v>
      </c>
      <c r="B178" s="2" cm="1">
        <f t="array" ref="B178">INDEX(Sheet1!$B$5:$M$38,MATCH(YEAR(A178),Sheet1!$A$5:$A$38,0),MONTH(A178))</f>
        <v>0.094</v>
      </c>
      <c r="C178" t="str">
        <f t="shared" si="4"/>
        <v>2007-09-01</v>
      </c>
    </row>
    <row r="179" spans="1:3">
      <c r="A179" s="3">
        <f t="shared" si="5"/>
        <v>39356</v>
      </c>
      <c r="B179" s="2" cm="1">
        <f t="array" ref="B179">INDEX(Sheet1!$B$5:$M$38,MATCH(YEAR(A179),Sheet1!$A$5:$A$38,0),MONTH(A179))</f>
        <v>0.108</v>
      </c>
      <c r="C179" t="str">
        <f t="shared" si="4"/>
        <v>2007-10-01</v>
      </c>
    </row>
    <row r="180" spans="1:3">
      <c r="A180" s="3">
        <f t="shared" si="5"/>
        <v>39387</v>
      </c>
      <c r="B180" s="2" cm="1">
        <f t="array" ref="B180">INDEX(Sheet1!$B$5:$M$38,MATCH(YEAR(A180),Sheet1!$A$5:$A$38,0),MONTH(A180))</f>
        <v>0.115</v>
      </c>
      <c r="C180" t="str">
        <f t="shared" si="4"/>
        <v>2007-11-01</v>
      </c>
    </row>
    <row r="181" spans="1:3">
      <c r="A181" s="3">
        <f t="shared" si="5"/>
        <v>39417</v>
      </c>
      <c r="B181" s="2" cm="1">
        <f t="array" ref="B181">INDEX(Sheet1!$B$5:$M$38,MATCH(YEAR(A181),Sheet1!$A$5:$A$38,0),MONTH(A181))</f>
        <v>0.119</v>
      </c>
      <c r="C181" t="str">
        <f t="shared" si="4"/>
        <v>2007-12-01</v>
      </c>
    </row>
    <row r="182" spans="1:3">
      <c r="A182" s="3">
        <f t="shared" si="5"/>
        <v>39448</v>
      </c>
      <c r="B182" s="2" cm="1">
        <f t="array" ref="B182">INDEX(Sheet1!$B$5:$M$38,MATCH(YEAR(A182),Sheet1!$A$5:$A$38,0),MONTH(A182))</f>
        <v>0.126</v>
      </c>
      <c r="C182" t="str">
        <f t="shared" si="4"/>
        <v>2008-01-01</v>
      </c>
    </row>
    <row r="183" spans="1:3">
      <c r="A183" s="3">
        <f t="shared" si="5"/>
        <v>39479</v>
      </c>
      <c r="B183" s="2" cm="1">
        <f t="array" ref="B183">INDEX(Sheet1!$B$5:$M$38,MATCH(YEAR(A183),Sheet1!$A$5:$A$38,0),MONTH(A183))</f>
        <v>0.127</v>
      </c>
      <c r="C183" t="str">
        <f t="shared" si="4"/>
        <v>2008-02-01</v>
      </c>
    </row>
    <row r="184" spans="1:3">
      <c r="A184" s="3">
        <f t="shared" si="5"/>
        <v>39508</v>
      </c>
      <c r="B184" s="2" cm="1">
        <f t="array" ref="B184">INDEX(Sheet1!$B$5:$M$38,MATCH(YEAR(A184),Sheet1!$A$5:$A$38,0),MONTH(A184))</f>
        <v>0.134</v>
      </c>
      <c r="C184" t="str">
        <f t="shared" si="4"/>
        <v>2008-03-01</v>
      </c>
    </row>
    <row r="185" spans="1:3">
      <c r="A185" s="3">
        <f t="shared" si="5"/>
        <v>39539</v>
      </c>
      <c r="B185" s="2" cm="1">
        <f t="array" ref="B185">INDEX(Sheet1!$B$5:$M$38,MATCH(YEAR(A185),Sheet1!$A$5:$A$38,0),MONTH(A185))</f>
        <v>0.143</v>
      </c>
      <c r="C185" t="str">
        <f t="shared" si="4"/>
        <v>2008-04-01</v>
      </c>
    </row>
    <row r="186" spans="1:3">
      <c r="A186" s="3">
        <f t="shared" si="5"/>
        <v>39569</v>
      </c>
      <c r="B186" s="2" cm="1">
        <f t="array" ref="B186">INDEX(Sheet1!$B$5:$M$38,MATCH(YEAR(A186),Sheet1!$A$5:$A$38,0),MONTH(A186))</f>
        <v>0.151</v>
      </c>
      <c r="C186" t="str">
        <f t="shared" si="4"/>
        <v>2008-05-01</v>
      </c>
    </row>
    <row r="187" spans="1:3">
      <c r="A187" s="3">
        <f t="shared" si="5"/>
        <v>39600</v>
      </c>
      <c r="B187" s="2" cm="1">
        <f t="array" ref="B187">INDEX(Sheet1!$B$5:$M$38,MATCH(YEAR(A187),Sheet1!$A$5:$A$38,0),MONTH(A187))</f>
        <v>0.152</v>
      </c>
      <c r="C187" t="str">
        <f t="shared" si="4"/>
        <v>2008-06-01</v>
      </c>
    </row>
    <row r="188" spans="1:3">
      <c r="A188" s="3">
        <f t="shared" si="5"/>
        <v>39630</v>
      </c>
      <c r="B188" s="2" cm="1">
        <f t="array" ref="B188">INDEX(Sheet1!$B$5:$M$38,MATCH(YEAR(A188),Sheet1!$A$5:$A$38,0),MONTH(A188))</f>
        <v>0.147</v>
      </c>
      <c r="C188" t="str">
        <f t="shared" si="4"/>
        <v>2008-07-01</v>
      </c>
    </row>
    <row r="189" spans="1:3">
      <c r="A189" s="3">
        <f t="shared" si="5"/>
        <v>39661</v>
      </c>
      <c r="B189" s="2" cm="1">
        <f t="array" ref="B189">INDEX(Sheet1!$B$5:$M$38,MATCH(YEAR(A189),Sheet1!$A$5:$A$38,0),MONTH(A189))</f>
        <v>0.15</v>
      </c>
      <c r="C189" t="str">
        <f t="shared" si="4"/>
        <v>2008-08-01</v>
      </c>
    </row>
    <row r="190" spans="1:3">
      <c r="A190" s="3">
        <f t="shared" si="5"/>
        <v>39692</v>
      </c>
      <c r="B190" s="2" cm="1">
        <f t="array" ref="B190">INDEX(Sheet1!$B$5:$M$38,MATCH(YEAR(A190),Sheet1!$A$5:$A$38,0),MONTH(A190))</f>
        <v>0.151</v>
      </c>
      <c r="C190" t="str">
        <f t="shared" si="4"/>
        <v>2008-09-01</v>
      </c>
    </row>
    <row r="191" spans="1:3">
      <c r="A191" s="3">
        <f t="shared" si="5"/>
        <v>39722</v>
      </c>
      <c r="B191" s="2" cm="1">
        <f t="array" ref="B191">INDEX(Sheet1!$B$5:$M$38,MATCH(YEAR(A191),Sheet1!$A$5:$A$38,0),MONTH(A191))</f>
        <v>0.142</v>
      </c>
      <c r="C191" t="str">
        <f t="shared" si="4"/>
        <v>2008-10-01</v>
      </c>
    </row>
    <row r="192" spans="1:3">
      <c r="A192" s="3">
        <f t="shared" si="5"/>
        <v>39753</v>
      </c>
      <c r="B192" s="2" cm="1">
        <f t="array" ref="B192">INDEX(Sheet1!$B$5:$M$38,MATCH(YEAR(A192),Sheet1!$A$5:$A$38,0),MONTH(A192))</f>
        <v>0.138</v>
      </c>
      <c r="C192" t="str">
        <f t="shared" si="4"/>
        <v>2008-11-01</v>
      </c>
    </row>
    <row r="193" spans="1:3">
      <c r="A193" s="3">
        <f t="shared" si="5"/>
        <v>39783</v>
      </c>
      <c r="B193" s="2" cm="1">
        <f t="array" ref="B193">INDEX(Sheet1!$B$5:$M$38,MATCH(YEAR(A193),Sheet1!$A$5:$A$38,0),MONTH(A193))</f>
        <v>0.133</v>
      </c>
      <c r="C193" t="str">
        <f t="shared" si="4"/>
        <v>2008-12-01</v>
      </c>
    </row>
    <row r="194" spans="1:3">
      <c r="A194" s="3">
        <f t="shared" si="5"/>
        <v>39814</v>
      </c>
      <c r="B194" s="2" cm="1">
        <f t="array" ref="B194">INDEX(Sheet1!$B$5:$M$38,MATCH(YEAR(A194),Sheet1!$A$5:$A$38,0),MONTH(A194))</f>
        <v>0.133</v>
      </c>
      <c r="C194" t="str">
        <f t="shared" ref="C194:C257" si="6">TEXT(A194,"yyyy-mm-01")</f>
        <v>2009-01-01</v>
      </c>
    </row>
    <row r="195" spans="1:3">
      <c r="A195" s="3">
        <f t="shared" ref="A195:A258" si="7">EDATE(A194,1)</f>
        <v>39845</v>
      </c>
      <c r="B195" s="2" cm="1">
        <f t="array" ref="B195">INDEX(Sheet1!$B$5:$M$38,MATCH(YEAR(A195),Sheet1!$A$5:$A$38,0),MONTH(A195))</f>
        <v>0.138</v>
      </c>
      <c r="C195" t="str">
        <f t="shared" si="6"/>
        <v>2009-02-01</v>
      </c>
    </row>
    <row r="196" spans="1:3">
      <c r="A196" s="3">
        <f t="shared" si="7"/>
        <v>39873</v>
      </c>
      <c r="B196" s="2" cm="1">
        <f t="array" ref="B196">INDEX(Sheet1!$B$5:$M$38,MATCH(YEAR(A196),Sheet1!$A$5:$A$38,0),MONTH(A196))</f>
        <v>0.14</v>
      </c>
      <c r="C196" t="str">
        <f t="shared" si="6"/>
        <v>2009-03-01</v>
      </c>
    </row>
    <row r="197" spans="1:3">
      <c r="A197" s="3">
        <f t="shared" si="7"/>
        <v>39904</v>
      </c>
      <c r="B197" s="2" cm="1">
        <f t="array" ref="B197">INDEX(Sheet1!$B$5:$M$38,MATCH(YEAR(A197),Sheet1!$A$5:$A$38,0),MONTH(A197))</f>
        <v>0.132</v>
      </c>
      <c r="C197" t="str">
        <f t="shared" si="6"/>
        <v>2009-04-01</v>
      </c>
    </row>
    <row r="198" spans="1:3">
      <c r="A198" s="3">
        <f t="shared" si="7"/>
        <v>39934</v>
      </c>
      <c r="B198" s="2" cm="1">
        <f t="array" ref="B198">INDEX(Sheet1!$B$5:$M$38,MATCH(YEAR(A198),Sheet1!$A$5:$A$38,0),MONTH(A198))</f>
        <v>0.123</v>
      </c>
      <c r="C198" t="str">
        <f t="shared" si="6"/>
        <v>2009-05-01</v>
      </c>
    </row>
    <row r="199" spans="1:3">
      <c r="A199" s="3">
        <f t="shared" si="7"/>
        <v>39965</v>
      </c>
      <c r="B199" s="2" cm="1">
        <f t="array" ref="B199">INDEX(Sheet1!$B$5:$M$38,MATCH(YEAR(A199),Sheet1!$A$5:$A$38,0),MONTH(A199))</f>
        <v>0.119</v>
      </c>
      <c r="C199" t="str">
        <f t="shared" si="6"/>
        <v>2009-06-01</v>
      </c>
    </row>
    <row r="200" spans="1:3">
      <c r="A200" s="3">
        <f t="shared" si="7"/>
        <v>39995</v>
      </c>
      <c r="B200" s="2" cm="1">
        <f t="array" ref="B200">INDEX(Sheet1!$B$5:$M$38,MATCH(YEAR(A200),Sheet1!$A$5:$A$38,0),MONTH(A200))</f>
        <v>0.12</v>
      </c>
      <c r="C200" t="str">
        <f t="shared" si="6"/>
        <v>2009-07-01</v>
      </c>
    </row>
    <row r="201" spans="1:3">
      <c r="A201" s="3">
        <f t="shared" si="7"/>
        <v>40026</v>
      </c>
      <c r="B201" s="2" cm="1">
        <f t="array" ref="B201">INDEX(Sheet1!$B$5:$M$38,MATCH(YEAR(A201),Sheet1!$A$5:$A$38,0),MONTH(A201))</f>
        <v>0.116</v>
      </c>
      <c r="C201" t="str">
        <f t="shared" si="6"/>
        <v>2009-08-01</v>
      </c>
    </row>
    <row r="202" spans="1:3">
      <c r="A202" s="3">
        <f t="shared" si="7"/>
        <v>40057</v>
      </c>
      <c r="B202" s="2" cm="1">
        <f t="array" ref="B202">INDEX(Sheet1!$B$5:$M$38,MATCH(YEAR(A202),Sheet1!$A$5:$A$38,0),MONTH(A202))</f>
        <v>0.107</v>
      </c>
      <c r="C202" t="str">
        <f t="shared" si="6"/>
        <v>2009-09-01</v>
      </c>
    </row>
    <row r="203" spans="1:3">
      <c r="A203" s="3">
        <f t="shared" si="7"/>
        <v>40087</v>
      </c>
      <c r="B203" s="2" cm="1">
        <f t="array" ref="B203">INDEX(Sheet1!$B$5:$M$38,MATCH(YEAR(A203),Sheet1!$A$5:$A$38,0),MONTH(A203))</f>
        <v>0.097</v>
      </c>
      <c r="C203" t="str">
        <f t="shared" si="6"/>
        <v>2009-10-01</v>
      </c>
    </row>
    <row r="204" spans="1:3">
      <c r="A204" s="3">
        <f t="shared" si="7"/>
        <v>40118</v>
      </c>
      <c r="B204" s="2" cm="1">
        <f t="array" ref="B204">INDEX(Sheet1!$B$5:$M$38,MATCH(YEAR(A204),Sheet1!$A$5:$A$38,0),MONTH(A204))</f>
        <v>0.091</v>
      </c>
      <c r="C204" t="str">
        <f t="shared" si="6"/>
        <v>2009-11-01</v>
      </c>
    </row>
    <row r="205" spans="1:3">
      <c r="A205" s="3">
        <f t="shared" si="7"/>
        <v>40148</v>
      </c>
      <c r="B205" s="2" cm="1">
        <f t="array" ref="B205">INDEX(Sheet1!$B$5:$M$38,MATCH(YEAR(A205),Sheet1!$A$5:$A$38,0),MONTH(A205))</f>
        <v>0.088</v>
      </c>
      <c r="C205" t="str">
        <f t="shared" si="6"/>
        <v>2009-12-01</v>
      </c>
    </row>
    <row r="206" spans="1:3">
      <c r="A206" s="3">
        <f t="shared" si="7"/>
        <v>40179</v>
      </c>
      <c r="B206" s="2" cm="1">
        <f t="array" ref="B206">INDEX(Sheet1!$B$5:$M$38,MATCH(YEAR(A206),Sheet1!$A$5:$A$38,0),MONTH(A206))</f>
        <v>0.08</v>
      </c>
      <c r="C206" t="str">
        <f t="shared" si="6"/>
        <v>2010-01-01</v>
      </c>
    </row>
    <row r="207" spans="1:3">
      <c r="A207" s="3">
        <f t="shared" si="7"/>
        <v>40210</v>
      </c>
      <c r="B207" s="2" cm="1">
        <f t="array" ref="B207">INDEX(Sheet1!$B$5:$M$38,MATCH(YEAR(A207),Sheet1!$A$5:$A$38,0),MONTH(A207))</f>
        <v>0.072</v>
      </c>
      <c r="C207" t="str">
        <f t="shared" si="6"/>
        <v>2010-02-01</v>
      </c>
    </row>
    <row r="208" spans="1:3">
      <c r="A208" s="3">
        <f t="shared" si="7"/>
        <v>40238</v>
      </c>
      <c r="B208" s="2" cm="1">
        <f t="array" ref="B208">INDEX(Sheet1!$B$5:$M$38,MATCH(YEAR(A208),Sheet1!$A$5:$A$38,0),MONTH(A208))</f>
        <v>0.065</v>
      </c>
      <c r="C208" t="str">
        <f t="shared" si="6"/>
        <v>2010-03-01</v>
      </c>
    </row>
    <row r="209" spans="1:3">
      <c r="A209" s="3">
        <f t="shared" si="7"/>
        <v>40269</v>
      </c>
      <c r="B209" s="2" cm="1">
        <f t="array" ref="B209">INDEX(Sheet1!$B$5:$M$38,MATCH(YEAR(A209),Sheet1!$A$5:$A$38,0),MONTH(A209))</f>
        <v>0.06</v>
      </c>
      <c r="C209" t="str">
        <f t="shared" si="6"/>
        <v>2010-04-01</v>
      </c>
    </row>
    <row r="210" spans="1:3">
      <c r="A210" s="3">
        <f t="shared" si="7"/>
        <v>40299</v>
      </c>
      <c r="B210" s="2" cm="1">
        <f t="array" ref="B210">INDEX(Sheet1!$B$5:$M$38,MATCH(YEAR(A210),Sheet1!$A$5:$A$38,0),MONTH(A210))</f>
        <v>0.06</v>
      </c>
      <c r="C210" t="str">
        <f t="shared" si="6"/>
        <v>2010-05-01</v>
      </c>
    </row>
    <row r="211" spans="1:3">
      <c r="A211" s="3">
        <f t="shared" si="7"/>
        <v>40330</v>
      </c>
      <c r="B211" s="2" cm="1">
        <f t="array" ref="B211">INDEX(Sheet1!$B$5:$M$38,MATCH(YEAR(A211),Sheet1!$A$5:$A$38,0),MONTH(A211))</f>
        <v>0.057</v>
      </c>
      <c r="C211" t="str">
        <f t="shared" si="6"/>
        <v>2010-06-01</v>
      </c>
    </row>
    <row r="212" spans="1:3">
      <c r="A212" s="3">
        <f t="shared" si="7"/>
        <v>40360</v>
      </c>
      <c r="B212" s="2" cm="1">
        <f t="array" ref="B212">INDEX(Sheet1!$B$5:$M$38,MATCH(YEAR(A212),Sheet1!$A$5:$A$38,0),MONTH(A212))</f>
        <v>0.055</v>
      </c>
      <c r="C212" t="str">
        <f t="shared" si="6"/>
        <v>2010-07-01</v>
      </c>
    </row>
    <row r="213" spans="1:3">
      <c r="A213" s="3">
        <f t="shared" si="7"/>
        <v>40391</v>
      </c>
      <c r="B213" s="2" cm="1">
        <f t="array" ref="B213">INDEX(Sheet1!$B$5:$M$38,MATCH(YEAR(A213),Sheet1!$A$5:$A$38,0),MONTH(A213))</f>
        <v>0.06</v>
      </c>
      <c r="C213" t="str">
        <f t="shared" si="6"/>
        <v>2010-08-01</v>
      </c>
    </row>
    <row r="214" spans="1:3">
      <c r="A214" s="3">
        <f t="shared" si="7"/>
        <v>40422</v>
      </c>
      <c r="B214" s="2" cm="1">
        <f t="array" ref="B214">INDEX(Sheet1!$B$5:$M$38,MATCH(YEAR(A214),Sheet1!$A$5:$A$38,0),MONTH(A214))</f>
        <v>0.07</v>
      </c>
      <c r="C214" t="str">
        <f t="shared" si="6"/>
        <v>2010-09-01</v>
      </c>
    </row>
    <row r="215" spans="1:3">
      <c r="A215" s="3">
        <f t="shared" si="7"/>
        <v>40452</v>
      </c>
      <c r="B215" s="2" cm="1">
        <f t="array" ref="B215">INDEX(Sheet1!$B$5:$M$38,MATCH(YEAR(A215),Sheet1!$A$5:$A$38,0),MONTH(A215))</f>
        <v>0.075</v>
      </c>
      <c r="C215" t="str">
        <f t="shared" si="6"/>
        <v>2010-10-01</v>
      </c>
    </row>
    <row r="216" spans="1:3">
      <c r="A216" s="3">
        <f t="shared" si="7"/>
        <v>40483</v>
      </c>
      <c r="B216" s="2" cm="1">
        <f t="array" ref="B216">INDEX(Sheet1!$B$5:$M$38,MATCH(YEAR(A216),Sheet1!$A$5:$A$38,0),MONTH(A216))</f>
        <v>0.081</v>
      </c>
      <c r="C216" t="str">
        <f t="shared" si="6"/>
        <v>2010-11-01</v>
      </c>
    </row>
    <row r="217" spans="1:3">
      <c r="A217" s="3">
        <f t="shared" si="7"/>
        <v>40513</v>
      </c>
      <c r="B217" s="2" cm="1">
        <f t="array" ref="B217">INDEX(Sheet1!$B$5:$M$38,MATCH(YEAR(A217),Sheet1!$A$5:$A$38,0),MONTH(A217))</f>
        <v>0.088</v>
      </c>
      <c r="C217" t="str">
        <f t="shared" si="6"/>
        <v>2010-12-01</v>
      </c>
    </row>
    <row r="218" spans="1:3">
      <c r="A218" s="3">
        <f t="shared" si="7"/>
        <v>40544</v>
      </c>
      <c r="B218" s="2" cm="1">
        <f t="array" ref="B218">INDEX(Sheet1!$B$5:$M$38,MATCH(YEAR(A218),Sheet1!$A$5:$A$38,0),MONTH(A218))</f>
        <v>0.096</v>
      </c>
      <c r="C218" t="str">
        <f t="shared" si="6"/>
        <v>2011-01-01</v>
      </c>
    </row>
    <row r="219" spans="1:3">
      <c r="A219" s="3">
        <f t="shared" si="7"/>
        <v>40575</v>
      </c>
      <c r="B219" s="2" cm="1">
        <f t="array" ref="B219">INDEX(Sheet1!$B$5:$M$38,MATCH(YEAR(A219),Sheet1!$A$5:$A$38,0),MONTH(A219))</f>
        <v>0.095</v>
      </c>
      <c r="C219" t="str">
        <f t="shared" si="6"/>
        <v>2011-02-01</v>
      </c>
    </row>
    <row r="220" spans="1:3">
      <c r="A220" s="3">
        <f t="shared" si="7"/>
        <v>40603</v>
      </c>
      <c r="B220" s="2" cm="1">
        <f t="array" ref="B220">INDEX(Sheet1!$B$5:$M$38,MATCH(YEAR(A220),Sheet1!$A$5:$A$38,0),MONTH(A220))</f>
        <v>0.095</v>
      </c>
      <c r="C220" t="str">
        <f t="shared" si="6"/>
        <v>2011-03-01</v>
      </c>
    </row>
    <row r="221" spans="1:3">
      <c r="A221" s="3">
        <f t="shared" si="7"/>
        <v>40634</v>
      </c>
      <c r="B221" s="2" cm="1">
        <f t="array" ref="B221">INDEX(Sheet1!$B$5:$M$38,MATCH(YEAR(A221),Sheet1!$A$5:$A$38,0),MONTH(A221))</f>
        <v>0.096</v>
      </c>
      <c r="C221" t="str">
        <f t="shared" si="6"/>
        <v>2011-04-01</v>
      </c>
    </row>
    <row r="222" spans="1:3">
      <c r="A222" s="3">
        <f t="shared" si="7"/>
        <v>40664</v>
      </c>
      <c r="B222" s="2" cm="1">
        <f t="array" ref="B222">INDEX(Sheet1!$B$5:$M$38,MATCH(YEAR(A222),Sheet1!$A$5:$A$38,0),MONTH(A222))</f>
        <v>0.096</v>
      </c>
      <c r="C222" t="str">
        <f t="shared" si="6"/>
        <v>2011-05-01</v>
      </c>
    </row>
    <row r="223" spans="1:3">
      <c r="A223" s="3">
        <f t="shared" si="7"/>
        <v>40695</v>
      </c>
      <c r="B223" s="2" cm="1">
        <f t="array" ref="B223">INDEX(Sheet1!$B$5:$M$38,MATCH(YEAR(A223),Sheet1!$A$5:$A$38,0),MONTH(A223))</f>
        <v>0.094</v>
      </c>
      <c r="C223" t="str">
        <f t="shared" si="6"/>
        <v>2011-06-01</v>
      </c>
    </row>
    <row r="224" spans="1:3">
      <c r="A224" s="3">
        <f t="shared" si="7"/>
        <v>40725</v>
      </c>
      <c r="B224" s="2" cm="1">
        <f t="array" ref="B224">INDEX(Sheet1!$B$5:$M$38,MATCH(YEAR(A224),Sheet1!$A$5:$A$38,0),MONTH(A224))</f>
        <v>0.09</v>
      </c>
      <c r="C224" t="str">
        <f t="shared" si="6"/>
        <v>2011-07-01</v>
      </c>
    </row>
    <row r="225" spans="1:3">
      <c r="A225" s="3">
        <f t="shared" si="7"/>
        <v>40756</v>
      </c>
      <c r="B225" s="2" cm="1">
        <f t="array" ref="B225">INDEX(Sheet1!$B$5:$M$38,MATCH(YEAR(A225),Sheet1!$A$5:$A$38,0),MONTH(A225))</f>
        <v>0.082</v>
      </c>
      <c r="C225" t="str">
        <f t="shared" si="6"/>
        <v>2011-08-01</v>
      </c>
    </row>
    <row r="226" spans="1:3">
      <c r="A226" s="3">
        <f t="shared" si="7"/>
        <v>40787</v>
      </c>
      <c r="B226" s="2" cm="1">
        <f t="array" ref="B226">INDEX(Sheet1!$B$5:$M$38,MATCH(YEAR(A226),Sheet1!$A$5:$A$38,0),MONTH(A226))</f>
        <v>0.072</v>
      </c>
      <c r="C226" t="str">
        <f t="shared" si="6"/>
        <v>2011-09-01</v>
      </c>
    </row>
    <row r="227" spans="1:3">
      <c r="A227" s="3">
        <f t="shared" si="7"/>
        <v>40817</v>
      </c>
      <c r="B227" s="2" cm="1">
        <f t="array" ref="B227">INDEX(Sheet1!$B$5:$M$38,MATCH(YEAR(A227),Sheet1!$A$5:$A$38,0),MONTH(A227))</f>
        <v>0.072</v>
      </c>
      <c r="C227" t="str">
        <f t="shared" si="6"/>
        <v>2011-10-01</v>
      </c>
    </row>
    <row r="228" spans="1:3">
      <c r="A228" s="3">
        <f t="shared" si="7"/>
        <v>40848</v>
      </c>
      <c r="B228" s="2" cm="1">
        <f t="array" ref="B228">INDEX(Sheet1!$B$5:$M$38,MATCH(YEAR(A228),Sheet1!$A$5:$A$38,0),MONTH(A228))</f>
        <v>0.068</v>
      </c>
      <c r="C228" t="str">
        <f t="shared" si="6"/>
        <v>2011-11-01</v>
      </c>
    </row>
    <row r="229" spans="1:3">
      <c r="A229" s="3">
        <f t="shared" si="7"/>
        <v>40878</v>
      </c>
      <c r="B229" s="2" cm="1">
        <f t="array" ref="B229">INDEX(Sheet1!$B$5:$M$38,MATCH(YEAR(A229),Sheet1!$A$5:$A$38,0),MONTH(A229))</f>
        <v>0.061</v>
      </c>
      <c r="C229" t="str">
        <f t="shared" si="6"/>
        <v>2011-12-01</v>
      </c>
    </row>
    <row r="230" spans="1:3">
      <c r="A230" s="3">
        <f t="shared" si="7"/>
        <v>40909</v>
      </c>
      <c r="B230" s="2" cm="1">
        <f t="array" ref="B230">INDEX(Sheet1!$B$5:$M$38,MATCH(YEAR(A230),Sheet1!$A$5:$A$38,0),MONTH(A230))</f>
        <v>0.042</v>
      </c>
      <c r="C230" t="str">
        <f t="shared" si="6"/>
        <v>2012-01-01</v>
      </c>
    </row>
    <row r="231" spans="1:3">
      <c r="A231" s="3">
        <f t="shared" si="7"/>
        <v>40940</v>
      </c>
      <c r="B231" s="2" cm="1">
        <f t="array" ref="B231">INDEX(Sheet1!$B$5:$M$38,MATCH(YEAR(A231),Sheet1!$A$5:$A$38,0),MONTH(A231))</f>
        <v>0.037</v>
      </c>
      <c r="C231" t="str">
        <f t="shared" si="6"/>
        <v>2012-02-01</v>
      </c>
    </row>
    <row r="232" spans="1:3">
      <c r="A232" s="3">
        <f t="shared" si="7"/>
        <v>40969</v>
      </c>
      <c r="B232" s="2" cm="1">
        <f t="array" ref="B232">INDEX(Sheet1!$B$5:$M$38,MATCH(YEAR(A232),Sheet1!$A$5:$A$38,0),MONTH(A232))</f>
        <v>0.037</v>
      </c>
      <c r="C232" t="str">
        <f t="shared" si="6"/>
        <v>2012-03-01</v>
      </c>
    </row>
    <row r="233" spans="1:3">
      <c r="A233" s="3">
        <f t="shared" si="7"/>
        <v>41000</v>
      </c>
      <c r="B233" s="2" cm="1">
        <f t="array" ref="B233">INDEX(Sheet1!$B$5:$M$38,MATCH(YEAR(A233),Sheet1!$A$5:$A$38,0),MONTH(A233))</f>
        <v>0.036</v>
      </c>
      <c r="C233" t="str">
        <f t="shared" si="6"/>
        <v>2012-04-01</v>
      </c>
    </row>
    <row r="234" spans="1:3">
      <c r="A234" s="3">
        <f t="shared" si="7"/>
        <v>41030</v>
      </c>
      <c r="B234" s="2" cm="1">
        <f t="array" ref="B234">INDEX(Sheet1!$B$5:$M$38,MATCH(YEAR(A234),Sheet1!$A$5:$A$38,0),MONTH(A234))</f>
        <v>0.036</v>
      </c>
      <c r="C234" t="str">
        <f t="shared" si="6"/>
        <v>2012-05-01</v>
      </c>
    </row>
    <row r="235" spans="1:3">
      <c r="A235" s="3">
        <f t="shared" si="7"/>
        <v>41061</v>
      </c>
      <c r="B235" s="2" cm="1">
        <f t="array" ref="B235">INDEX(Sheet1!$B$5:$M$38,MATCH(YEAR(A235),Sheet1!$A$5:$A$38,0),MONTH(A235))</f>
        <v>0.043</v>
      </c>
      <c r="C235" t="str">
        <f t="shared" si="6"/>
        <v>2012-06-01</v>
      </c>
    </row>
    <row r="236" spans="1:3">
      <c r="A236" s="3">
        <f t="shared" si="7"/>
        <v>41091</v>
      </c>
      <c r="B236" s="2" cm="1">
        <f t="array" ref="B236">INDEX(Sheet1!$B$5:$M$38,MATCH(YEAR(A236),Sheet1!$A$5:$A$38,0),MONTH(A236))</f>
        <v>0.056</v>
      </c>
      <c r="C236" t="str">
        <f t="shared" si="6"/>
        <v>2012-07-01</v>
      </c>
    </row>
    <row r="237" spans="1:3">
      <c r="A237" s="3">
        <f t="shared" si="7"/>
        <v>41122</v>
      </c>
      <c r="B237" s="2" cm="1">
        <f t="array" ref="B237">INDEX(Sheet1!$B$5:$M$38,MATCH(YEAR(A237),Sheet1!$A$5:$A$38,0),MONTH(A237))</f>
        <v>0.06</v>
      </c>
      <c r="C237" t="str">
        <f t="shared" si="6"/>
        <v>2012-08-01</v>
      </c>
    </row>
    <row r="238" spans="1:3">
      <c r="A238" s="3">
        <f t="shared" si="7"/>
        <v>41153</v>
      </c>
      <c r="B238" s="2" cm="1">
        <f t="array" ref="B238">INDEX(Sheet1!$B$5:$M$38,MATCH(YEAR(A238),Sheet1!$A$5:$A$38,0),MONTH(A238))</f>
        <v>0.066</v>
      </c>
      <c r="C238" t="str">
        <f t="shared" si="6"/>
        <v>2012-09-01</v>
      </c>
    </row>
    <row r="239" spans="1:3">
      <c r="A239" s="3">
        <f t="shared" si="7"/>
        <v>41183</v>
      </c>
      <c r="B239" s="2" cm="1">
        <f t="array" ref="B239">INDEX(Sheet1!$B$5:$M$38,MATCH(YEAR(A239),Sheet1!$A$5:$A$38,0),MONTH(A239))</f>
        <v>0.066</v>
      </c>
      <c r="C239" t="str">
        <f t="shared" si="6"/>
        <v>2012-10-01</v>
      </c>
    </row>
    <row r="240" spans="1:3">
      <c r="A240" s="3">
        <f t="shared" si="7"/>
        <v>41214</v>
      </c>
      <c r="B240" s="2" cm="1">
        <f t="array" ref="B240">INDEX(Sheet1!$B$5:$M$38,MATCH(YEAR(A240),Sheet1!$A$5:$A$38,0),MONTH(A240))</f>
        <v>0.065</v>
      </c>
      <c r="C240" t="str">
        <f t="shared" si="6"/>
        <v>2012-11-01</v>
      </c>
    </row>
    <row r="241" spans="1:3">
      <c r="A241" s="3">
        <f t="shared" si="7"/>
        <v>41244</v>
      </c>
      <c r="B241" s="2" cm="1">
        <f t="array" ref="B241">INDEX(Sheet1!$B$5:$M$38,MATCH(YEAR(A241),Sheet1!$A$5:$A$38,0),MONTH(A241))</f>
        <v>0.066</v>
      </c>
      <c r="C241" t="str">
        <f t="shared" si="6"/>
        <v>2012-12-01</v>
      </c>
    </row>
    <row r="242" spans="1:3">
      <c r="A242" s="3">
        <f t="shared" si="7"/>
        <v>41275</v>
      </c>
      <c r="B242" s="2" cm="1">
        <f t="array" ref="B242">INDEX(Sheet1!$B$5:$M$38,MATCH(YEAR(A242),Sheet1!$A$5:$A$38,0),MONTH(A242))</f>
        <v>0.071</v>
      </c>
      <c r="C242" t="str">
        <f t="shared" si="6"/>
        <v>2013-01-01</v>
      </c>
    </row>
    <row r="243" spans="1:3">
      <c r="A243" s="3">
        <f t="shared" si="7"/>
        <v>41306</v>
      </c>
      <c r="B243" s="2" cm="1">
        <f t="array" ref="B243">INDEX(Sheet1!$B$5:$M$38,MATCH(YEAR(A243),Sheet1!$A$5:$A$38,0),MONTH(A243))</f>
        <v>0.073</v>
      </c>
      <c r="C243" t="str">
        <f t="shared" si="6"/>
        <v>2013-02-01</v>
      </c>
    </row>
    <row r="244" spans="1:3">
      <c r="A244" s="3">
        <f t="shared" si="7"/>
        <v>41334</v>
      </c>
      <c r="B244" s="2" cm="1">
        <f t="array" ref="B244">INDEX(Sheet1!$B$5:$M$38,MATCH(YEAR(A244),Sheet1!$A$5:$A$38,0),MONTH(A244))</f>
        <v>0.07</v>
      </c>
      <c r="C244" t="str">
        <f t="shared" si="6"/>
        <v>2013-03-01</v>
      </c>
    </row>
    <row r="245" spans="1:3">
      <c r="A245" s="3">
        <f t="shared" si="7"/>
        <v>41365</v>
      </c>
      <c r="B245" s="2" cm="1">
        <f t="array" ref="B245">INDEX(Sheet1!$B$5:$M$38,MATCH(YEAR(A245),Sheet1!$A$5:$A$38,0),MONTH(A245))</f>
        <v>0.072</v>
      </c>
      <c r="C245" t="str">
        <f t="shared" si="6"/>
        <v>2013-04-01</v>
      </c>
    </row>
    <row r="246" spans="1:3">
      <c r="A246" s="3">
        <f t="shared" si="7"/>
        <v>41395</v>
      </c>
      <c r="B246" s="2" cm="1">
        <f t="array" ref="B246">INDEX(Sheet1!$B$5:$M$38,MATCH(YEAR(A246),Sheet1!$A$5:$A$38,0),MONTH(A246))</f>
        <v>0.074</v>
      </c>
      <c r="C246" t="str">
        <f t="shared" si="6"/>
        <v>2013-05-01</v>
      </c>
    </row>
    <row r="247" spans="1:3">
      <c r="A247" s="3">
        <f t="shared" si="7"/>
        <v>41426</v>
      </c>
      <c r="B247" s="2" cm="1">
        <f t="array" ref="B247">INDEX(Sheet1!$B$5:$M$38,MATCH(YEAR(A247),Sheet1!$A$5:$A$38,0),MONTH(A247))</f>
        <v>0.069</v>
      </c>
      <c r="C247" t="str">
        <f t="shared" si="6"/>
        <v>2013-06-01</v>
      </c>
    </row>
    <row r="248" spans="1:3">
      <c r="A248" s="3">
        <f t="shared" si="7"/>
        <v>41456</v>
      </c>
      <c r="B248" s="2" cm="1">
        <f t="array" ref="B248">INDEX(Sheet1!$B$5:$M$38,MATCH(YEAR(A248),Sheet1!$A$5:$A$38,0),MONTH(A248))</f>
        <v>0.065</v>
      </c>
      <c r="C248" t="str">
        <f t="shared" si="6"/>
        <v>2013-07-01</v>
      </c>
    </row>
    <row r="249" spans="1:3">
      <c r="A249" s="3">
        <f t="shared" si="7"/>
        <v>41487</v>
      </c>
      <c r="B249" s="2" cm="1">
        <f t="array" ref="B249">INDEX(Sheet1!$B$5:$M$38,MATCH(YEAR(A249),Sheet1!$A$5:$A$38,0),MONTH(A249))</f>
        <v>0.065</v>
      </c>
      <c r="C249" t="str">
        <f t="shared" si="6"/>
        <v>2013-08-01</v>
      </c>
    </row>
    <row r="250" spans="1:3">
      <c r="A250" s="3">
        <f t="shared" si="7"/>
        <v>41518</v>
      </c>
      <c r="B250" s="2" cm="1">
        <f t="array" ref="B250">INDEX(Sheet1!$B$5:$M$38,MATCH(YEAR(A250),Sheet1!$A$5:$A$38,0),MONTH(A250))</f>
        <v>0.061</v>
      </c>
      <c r="C250" t="str">
        <f t="shared" si="6"/>
        <v>2013-09-01</v>
      </c>
    </row>
    <row r="251" spans="1:3">
      <c r="A251" s="3">
        <f t="shared" si="7"/>
        <v>41548</v>
      </c>
      <c r="B251" s="2" cm="1">
        <f t="array" ref="B251">INDEX(Sheet1!$B$5:$M$38,MATCH(YEAR(A251),Sheet1!$A$5:$A$38,0),MONTH(A251))</f>
        <v>0.063</v>
      </c>
      <c r="C251" t="str">
        <f t="shared" si="6"/>
        <v>2013-10-01</v>
      </c>
    </row>
    <row r="252" spans="1:3">
      <c r="A252" s="3">
        <f t="shared" si="7"/>
        <v>41579</v>
      </c>
      <c r="B252" s="2" cm="1">
        <f t="array" ref="B252">INDEX(Sheet1!$B$5:$M$38,MATCH(YEAR(A252),Sheet1!$A$5:$A$38,0),MONTH(A252))</f>
        <v>0.065</v>
      </c>
      <c r="C252" t="str">
        <f t="shared" si="6"/>
        <v>2013-11-01</v>
      </c>
    </row>
    <row r="253" spans="1:3">
      <c r="A253" s="3">
        <f t="shared" si="7"/>
        <v>41609</v>
      </c>
      <c r="B253" s="2" cm="1">
        <f t="array" ref="B253">INDEX(Sheet1!$B$5:$M$38,MATCH(YEAR(A253),Sheet1!$A$5:$A$38,0),MONTH(A253))</f>
        <v>0.064</v>
      </c>
      <c r="C253" t="str">
        <f t="shared" si="6"/>
        <v>2013-12-01</v>
      </c>
    </row>
    <row r="254" spans="1:3">
      <c r="A254" s="3">
        <f t="shared" si="7"/>
        <v>41640</v>
      </c>
      <c r="B254" s="2" cm="1">
        <f t="array" ref="B254">INDEX(Sheet1!$B$5:$M$38,MATCH(YEAR(A254),Sheet1!$A$5:$A$38,0),MONTH(A254))</f>
        <v>0.061</v>
      </c>
      <c r="C254" t="str">
        <f t="shared" si="6"/>
        <v>2014-01-01</v>
      </c>
    </row>
    <row r="255" spans="1:3">
      <c r="A255" s="3">
        <f t="shared" si="7"/>
        <v>41671</v>
      </c>
      <c r="B255" s="2" cm="1">
        <f t="array" ref="B255">INDEX(Sheet1!$B$5:$M$38,MATCH(YEAR(A255),Sheet1!$A$5:$A$38,0),MONTH(A255))</f>
        <v>0.062</v>
      </c>
      <c r="C255" t="str">
        <f t="shared" si="6"/>
        <v>2014-02-01</v>
      </c>
    </row>
    <row r="256" spans="1:3">
      <c r="A256" s="3">
        <f t="shared" si="7"/>
        <v>41699</v>
      </c>
      <c r="B256" s="2" cm="1">
        <f t="array" ref="B256">INDEX(Sheet1!$B$5:$M$38,MATCH(YEAR(A256),Sheet1!$A$5:$A$38,0),MONTH(A256))</f>
        <v>0.069</v>
      </c>
      <c r="C256" t="str">
        <f t="shared" si="6"/>
        <v>2014-03-01</v>
      </c>
    </row>
    <row r="257" spans="1:3">
      <c r="A257" s="3">
        <f t="shared" si="7"/>
        <v>41730</v>
      </c>
      <c r="B257" s="2" cm="1">
        <f t="array" ref="B257">INDEX(Sheet1!$B$5:$M$38,MATCH(YEAR(A257),Sheet1!$A$5:$A$38,0),MONTH(A257))</f>
        <v>0.073</v>
      </c>
      <c r="C257" t="str">
        <f t="shared" si="6"/>
        <v>2014-04-01</v>
      </c>
    </row>
    <row r="258" spans="1:3">
      <c r="A258" s="3">
        <f t="shared" si="7"/>
        <v>41760</v>
      </c>
      <c r="B258" s="2" cm="1">
        <f t="array" ref="B258">INDEX(Sheet1!$B$5:$M$38,MATCH(YEAR(A258),Sheet1!$A$5:$A$38,0),MONTH(A258))</f>
        <v>0.076</v>
      </c>
      <c r="C258" t="str">
        <f t="shared" ref="C258:C321" si="8">TEXT(A258,"yyyy-mm-01")</f>
        <v>2014-05-01</v>
      </c>
    </row>
    <row r="259" spans="1:3">
      <c r="A259" s="3">
        <f t="shared" ref="A259:A322" si="9">EDATE(A258,1)</f>
        <v>41791</v>
      </c>
      <c r="B259" s="2" cm="1">
        <f t="array" ref="B259">INDEX(Sheet1!$B$5:$M$38,MATCH(YEAR(A259),Sheet1!$A$5:$A$38,0),MONTH(A259))</f>
        <v>0.078</v>
      </c>
      <c r="C259" t="str">
        <f t="shared" si="8"/>
        <v>2014-06-01</v>
      </c>
    </row>
    <row r="260" spans="1:3">
      <c r="A260" s="3">
        <f t="shared" si="9"/>
        <v>41821</v>
      </c>
      <c r="B260" s="2" cm="1">
        <f t="array" ref="B260">INDEX(Sheet1!$B$5:$M$38,MATCH(YEAR(A260),Sheet1!$A$5:$A$38,0),MONTH(A260))</f>
        <v>0.074</v>
      </c>
      <c r="C260" t="str">
        <f t="shared" si="8"/>
        <v>2014-07-01</v>
      </c>
    </row>
    <row r="261" spans="1:3">
      <c r="A261" s="3">
        <f t="shared" si="9"/>
        <v>41852</v>
      </c>
      <c r="B261" s="2" cm="1">
        <f t="array" ref="B261">INDEX(Sheet1!$B$5:$M$38,MATCH(YEAR(A261),Sheet1!$A$5:$A$38,0),MONTH(A261))</f>
        <v>0.076</v>
      </c>
      <c r="C261" t="str">
        <f t="shared" si="8"/>
        <v>2014-08-01</v>
      </c>
    </row>
    <row r="262" spans="1:3">
      <c r="A262" s="3">
        <f t="shared" si="9"/>
        <v>41883</v>
      </c>
      <c r="B262" s="2" cm="1">
        <f t="array" ref="B262">INDEX(Sheet1!$B$5:$M$38,MATCH(YEAR(A262),Sheet1!$A$5:$A$38,0),MONTH(A262))</f>
        <v>0.08</v>
      </c>
      <c r="C262" t="str">
        <f t="shared" si="8"/>
        <v>2014-09-01</v>
      </c>
    </row>
    <row r="263" spans="1:3">
      <c r="A263" s="3">
        <f t="shared" si="9"/>
        <v>41913</v>
      </c>
      <c r="B263" s="2" cm="1">
        <f t="array" ref="B263">INDEX(Sheet1!$B$5:$M$38,MATCH(YEAR(A263),Sheet1!$A$5:$A$38,0),MONTH(A263))</f>
        <v>0.083</v>
      </c>
      <c r="C263" t="str">
        <f t="shared" si="8"/>
        <v>2014-10-01</v>
      </c>
    </row>
    <row r="264" spans="1:3">
      <c r="A264" s="3">
        <f t="shared" si="9"/>
        <v>41944</v>
      </c>
      <c r="B264" s="2" cm="1">
        <f t="array" ref="B264">INDEX(Sheet1!$B$5:$M$38,MATCH(YEAR(A264),Sheet1!$A$5:$A$38,0),MONTH(A264))</f>
        <v>0.091</v>
      </c>
      <c r="C264" t="str">
        <f t="shared" si="8"/>
        <v>2014-11-01</v>
      </c>
    </row>
    <row r="265" spans="1:3">
      <c r="A265" s="3">
        <f t="shared" si="9"/>
        <v>41974</v>
      </c>
      <c r="B265" s="2" cm="1">
        <f t="array" ref="B265">INDEX(Sheet1!$B$5:$M$38,MATCH(YEAR(A265),Sheet1!$A$5:$A$38,0),MONTH(A265))</f>
        <v>0.114</v>
      </c>
      <c r="C265" t="str">
        <f t="shared" si="8"/>
        <v>2014-12-01</v>
      </c>
    </row>
    <row r="266" spans="1:3">
      <c r="A266" s="3">
        <f t="shared" si="9"/>
        <v>42005</v>
      </c>
      <c r="B266" s="2" cm="1">
        <f t="array" ref="B266">INDEX(Sheet1!$B$5:$M$38,MATCH(YEAR(A266),Sheet1!$A$5:$A$38,0),MONTH(A266))</f>
        <v>0.15</v>
      </c>
      <c r="C266" t="str">
        <f t="shared" si="8"/>
        <v>2015-01-01</v>
      </c>
    </row>
    <row r="267" spans="1:3">
      <c r="A267" s="3">
        <f t="shared" si="9"/>
        <v>42036</v>
      </c>
      <c r="B267" s="2" cm="1">
        <f t="array" ref="B267">INDEX(Sheet1!$B$5:$M$38,MATCH(YEAR(A267),Sheet1!$A$5:$A$38,0),MONTH(A267))</f>
        <v>0.167</v>
      </c>
      <c r="C267" t="str">
        <f t="shared" si="8"/>
        <v>2015-02-01</v>
      </c>
    </row>
    <row r="268" spans="1:3">
      <c r="A268" s="3">
        <f t="shared" si="9"/>
        <v>42064</v>
      </c>
      <c r="B268" s="2" cm="1">
        <f t="array" ref="B268">INDEX(Sheet1!$B$5:$M$38,MATCH(YEAR(A268),Sheet1!$A$5:$A$38,0),MONTH(A268))</f>
        <v>0.169</v>
      </c>
      <c r="C268" t="str">
        <f t="shared" si="8"/>
        <v>2015-03-01</v>
      </c>
    </row>
    <row r="269" spans="1:3">
      <c r="A269" s="3">
        <f t="shared" si="9"/>
        <v>42095</v>
      </c>
      <c r="B269" s="2" cm="1">
        <f t="array" ref="B269">INDEX(Sheet1!$B$5:$M$38,MATCH(YEAR(A269),Sheet1!$A$5:$A$38,0),MONTH(A269))</f>
        <v>0.164</v>
      </c>
      <c r="C269" t="str">
        <f t="shared" si="8"/>
        <v>2015-04-01</v>
      </c>
    </row>
    <row r="270" spans="1:3">
      <c r="A270" s="3">
        <f t="shared" si="9"/>
        <v>42125</v>
      </c>
      <c r="B270" s="2" cm="1">
        <f t="array" ref="B270">INDEX(Sheet1!$B$5:$M$38,MATCH(YEAR(A270),Sheet1!$A$5:$A$38,0),MONTH(A270))</f>
        <v>0.158</v>
      </c>
      <c r="C270" t="str">
        <f t="shared" si="8"/>
        <v>2015-05-01</v>
      </c>
    </row>
    <row r="271" spans="1:3">
      <c r="A271" s="3">
        <f t="shared" si="9"/>
        <v>42156</v>
      </c>
      <c r="B271" s="2" cm="1">
        <f t="array" ref="B271">INDEX(Sheet1!$B$5:$M$38,MATCH(YEAR(A271),Sheet1!$A$5:$A$38,0),MONTH(A271))</f>
        <v>0.153</v>
      </c>
      <c r="C271" t="str">
        <f t="shared" si="8"/>
        <v>2015-06-01</v>
      </c>
    </row>
    <row r="272" spans="1:3">
      <c r="A272" s="3">
        <f t="shared" si="9"/>
        <v>42186</v>
      </c>
      <c r="B272" s="2" cm="1">
        <f t="array" ref="B272">INDEX(Sheet1!$B$5:$M$38,MATCH(YEAR(A272),Sheet1!$A$5:$A$38,0),MONTH(A272))</f>
        <v>0.156</v>
      </c>
      <c r="C272" t="str">
        <f t="shared" si="8"/>
        <v>2015-07-01</v>
      </c>
    </row>
    <row r="273" spans="1:3">
      <c r="A273" s="3">
        <f t="shared" si="9"/>
        <v>42217</v>
      </c>
      <c r="B273" s="2" cm="1">
        <f t="array" ref="B273">INDEX(Sheet1!$B$5:$M$38,MATCH(YEAR(A273),Sheet1!$A$5:$A$38,0),MONTH(A273))</f>
        <v>0.158</v>
      </c>
      <c r="C273" t="str">
        <f t="shared" si="8"/>
        <v>2015-08-01</v>
      </c>
    </row>
    <row r="274" spans="1:3">
      <c r="A274" s="3">
        <f t="shared" si="9"/>
        <v>42248</v>
      </c>
      <c r="B274" s="2" cm="1">
        <f t="array" ref="B274">INDEX(Sheet1!$B$5:$M$38,MATCH(YEAR(A274),Sheet1!$A$5:$A$38,0),MONTH(A274))</f>
        <v>0.157</v>
      </c>
      <c r="C274" t="str">
        <f t="shared" si="8"/>
        <v>2015-09-01</v>
      </c>
    </row>
    <row r="275" spans="1:3">
      <c r="A275" s="3">
        <f t="shared" si="9"/>
        <v>42278</v>
      </c>
      <c r="B275" s="2" cm="1">
        <f t="array" ref="B275">INDEX(Sheet1!$B$5:$M$38,MATCH(YEAR(A275),Sheet1!$A$5:$A$38,0),MONTH(A275))</f>
        <v>0.156</v>
      </c>
      <c r="C275" t="str">
        <f t="shared" si="8"/>
        <v>2015-10-01</v>
      </c>
    </row>
    <row r="276" spans="1:3">
      <c r="A276" s="3">
        <f t="shared" si="9"/>
        <v>42309</v>
      </c>
      <c r="B276" s="2" cm="1">
        <f t="array" ref="B276">INDEX(Sheet1!$B$5:$M$38,MATCH(YEAR(A276),Sheet1!$A$5:$A$38,0),MONTH(A276))</f>
        <v>0.15</v>
      </c>
      <c r="C276" t="str">
        <f t="shared" si="8"/>
        <v>2015-11-01</v>
      </c>
    </row>
    <row r="277" spans="1:3">
      <c r="A277" s="3">
        <f t="shared" si="9"/>
        <v>42339</v>
      </c>
      <c r="B277" s="2" cm="1">
        <f t="array" ref="B277">INDEX(Sheet1!$B$5:$M$38,MATCH(YEAR(A277),Sheet1!$A$5:$A$38,0),MONTH(A277))</f>
        <v>0.129</v>
      </c>
      <c r="C277" t="str">
        <f t="shared" si="8"/>
        <v>2015-12-01</v>
      </c>
    </row>
    <row r="278" spans="1:3">
      <c r="A278" s="3">
        <f t="shared" si="9"/>
        <v>42370</v>
      </c>
      <c r="B278" s="2" cm="1">
        <f t="array" ref="B278">INDEX(Sheet1!$B$5:$M$38,MATCH(YEAR(A278),Sheet1!$A$5:$A$38,0),MONTH(A278))</f>
        <v>0.098</v>
      </c>
      <c r="C278" t="str">
        <f t="shared" si="8"/>
        <v>2016-01-01</v>
      </c>
    </row>
    <row r="279" spans="1:3">
      <c r="A279" s="3">
        <f t="shared" si="9"/>
        <v>42401</v>
      </c>
      <c r="B279" s="2" cm="1">
        <f t="array" ref="B279">INDEX(Sheet1!$B$5:$M$38,MATCH(YEAR(A279),Sheet1!$A$5:$A$38,0),MONTH(A279))</f>
        <v>0.081</v>
      </c>
      <c r="C279" t="str">
        <f t="shared" si="8"/>
        <v>2016-02-01</v>
      </c>
    </row>
    <row r="280" spans="1:3">
      <c r="A280" s="3">
        <f t="shared" si="9"/>
        <v>42430</v>
      </c>
      <c r="B280" s="2" cm="1">
        <f t="array" ref="B280">INDEX(Sheet1!$B$5:$M$38,MATCH(YEAR(A280),Sheet1!$A$5:$A$38,0),MONTH(A280))</f>
        <v>0.073</v>
      </c>
      <c r="C280" t="str">
        <f t="shared" si="8"/>
        <v>2016-03-01</v>
      </c>
    </row>
    <row r="281" spans="1:3">
      <c r="A281" s="3">
        <f t="shared" si="9"/>
        <v>42461</v>
      </c>
      <c r="B281" s="2" cm="1">
        <f t="array" ref="B281">INDEX(Sheet1!$B$5:$M$38,MATCH(YEAR(A281),Sheet1!$A$5:$A$38,0),MONTH(A281))</f>
        <v>0.072</v>
      </c>
      <c r="C281" t="str">
        <f t="shared" si="8"/>
        <v>2016-04-01</v>
      </c>
    </row>
    <row r="282" spans="1:3">
      <c r="A282" s="3">
        <f t="shared" si="9"/>
        <v>42491</v>
      </c>
      <c r="B282" s="2" cm="1">
        <f t="array" ref="B282">INDEX(Sheet1!$B$5:$M$38,MATCH(YEAR(A282),Sheet1!$A$5:$A$38,0),MONTH(A282))</f>
        <v>0.073</v>
      </c>
      <c r="C282" t="str">
        <f t="shared" si="8"/>
        <v>2016-05-01</v>
      </c>
    </row>
    <row r="283" spans="1:3">
      <c r="A283" s="3">
        <f t="shared" si="9"/>
        <v>42522</v>
      </c>
      <c r="B283" s="2" cm="1">
        <f t="array" ref="B283">INDEX(Sheet1!$B$5:$M$38,MATCH(YEAR(A283),Sheet1!$A$5:$A$38,0),MONTH(A283))</f>
        <v>0.075</v>
      </c>
      <c r="C283" t="str">
        <f t="shared" si="8"/>
        <v>2016-06-01</v>
      </c>
    </row>
    <row r="284" spans="1:3">
      <c r="A284" s="3">
        <f t="shared" si="9"/>
        <v>42552</v>
      </c>
      <c r="B284" s="2" cm="1">
        <f t="array" ref="B284">INDEX(Sheet1!$B$5:$M$38,MATCH(YEAR(A284),Sheet1!$A$5:$A$38,0),MONTH(A284))</f>
        <v>0.072</v>
      </c>
      <c r="C284" t="str">
        <f t="shared" si="8"/>
        <v>2016-07-01</v>
      </c>
    </row>
    <row r="285" spans="1:3">
      <c r="A285" s="3">
        <f t="shared" si="9"/>
        <v>42583</v>
      </c>
      <c r="B285" s="2" cm="1">
        <f t="array" ref="B285">INDEX(Sheet1!$B$5:$M$38,MATCH(YEAR(A285),Sheet1!$A$5:$A$38,0),MONTH(A285))</f>
        <v>0.068</v>
      </c>
      <c r="C285" t="str">
        <f t="shared" si="8"/>
        <v>2016-08-01</v>
      </c>
    </row>
    <row r="286" spans="1:3">
      <c r="A286" s="3">
        <f t="shared" si="9"/>
        <v>42614</v>
      </c>
      <c r="B286" s="2" cm="1">
        <f t="array" ref="B286">INDEX(Sheet1!$B$5:$M$38,MATCH(YEAR(A286),Sheet1!$A$5:$A$38,0),MONTH(A286))</f>
        <v>0.064</v>
      </c>
      <c r="C286" t="str">
        <f t="shared" si="8"/>
        <v>2016-09-01</v>
      </c>
    </row>
    <row r="287" spans="1:3">
      <c r="A287" s="3">
        <f t="shared" si="9"/>
        <v>42644</v>
      </c>
      <c r="B287" s="2" cm="1">
        <f t="array" ref="B287">INDEX(Sheet1!$B$5:$M$38,MATCH(YEAR(A287),Sheet1!$A$5:$A$38,0),MONTH(A287))</f>
        <v>0.061</v>
      </c>
      <c r="C287" t="str">
        <f t="shared" si="8"/>
        <v>2016-10-01</v>
      </c>
    </row>
    <row r="288" spans="1:3">
      <c r="A288" s="3">
        <f t="shared" si="9"/>
        <v>42675</v>
      </c>
      <c r="B288" s="2" cm="1">
        <f t="array" ref="B288">INDEX(Sheet1!$B$5:$M$38,MATCH(YEAR(A288),Sheet1!$A$5:$A$38,0),MONTH(A288))</f>
        <v>0.058</v>
      </c>
      <c r="C288" t="str">
        <f t="shared" si="8"/>
        <v>2016-11-01</v>
      </c>
    </row>
    <row r="289" spans="1:3">
      <c r="A289" s="3">
        <f t="shared" si="9"/>
        <v>42705</v>
      </c>
      <c r="B289" s="2" cm="1">
        <f t="array" ref="B289">INDEX(Sheet1!$B$5:$M$38,MATCH(YEAR(A289),Sheet1!$A$5:$A$38,0),MONTH(A289))</f>
        <v>0.054</v>
      </c>
      <c r="C289" t="str">
        <f t="shared" si="8"/>
        <v>2016-12-01</v>
      </c>
    </row>
    <row r="290" spans="1:3">
      <c r="A290" s="3">
        <f t="shared" si="9"/>
        <v>42736</v>
      </c>
      <c r="B290" s="2" cm="1">
        <f t="array" ref="B290">INDEX(Sheet1!$B$5:$M$38,MATCH(YEAR(A290),Sheet1!$A$5:$A$38,0),MONTH(A290))</f>
        <v>0.05</v>
      </c>
      <c r="C290" t="str">
        <f t="shared" si="8"/>
        <v>2017-01-01</v>
      </c>
    </row>
    <row r="291" spans="1:3">
      <c r="A291" s="3">
        <f t="shared" si="9"/>
        <v>42767</v>
      </c>
      <c r="B291" s="2" cm="1">
        <f t="array" ref="B291">INDEX(Sheet1!$B$5:$M$38,MATCH(YEAR(A291),Sheet1!$A$5:$A$38,0),MONTH(A291))</f>
        <v>0.046</v>
      </c>
      <c r="C291" t="str">
        <f t="shared" si="8"/>
        <v>2017-02-01</v>
      </c>
    </row>
    <row r="292" spans="1:3">
      <c r="A292" s="3">
        <f t="shared" si="9"/>
        <v>42795</v>
      </c>
      <c r="B292" s="2" cm="1">
        <f t="array" ref="B292">INDEX(Sheet1!$B$5:$M$38,MATCH(YEAR(A292),Sheet1!$A$5:$A$38,0),MONTH(A292))</f>
        <v>0.043</v>
      </c>
      <c r="C292" t="str">
        <f t="shared" si="8"/>
        <v>2017-03-01</v>
      </c>
    </row>
    <row r="293" spans="1:3">
      <c r="A293" s="3">
        <f t="shared" si="9"/>
        <v>42826</v>
      </c>
      <c r="B293" s="2" cm="1">
        <f t="array" ref="B293">INDEX(Sheet1!$B$5:$M$38,MATCH(YEAR(A293),Sheet1!$A$5:$A$38,0),MONTH(A293))</f>
        <v>0.041</v>
      </c>
      <c r="C293" t="str">
        <f t="shared" si="8"/>
        <v>2017-04-01</v>
      </c>
    </row>
    <row r="294" spans="1:3">
      <c r="A294" s="3">
        <f t="shared" si="9"/>
        <v>42856</v>
      </c>
      <c r="B294" s="2" cm="1">
        <f t="array" ref="B294">INDEX(Sheet1!$B$5:$M$38,MATCH(YEAR(A294),Sheet1!$A$5:$A$38,0),MONTH(A294))</f>
        <v>0.041</v>
      </c>
      <c r="C294" t="str">
        <f t="shared" si="8"/>
        <v>2017-05-01</v>
      </c>
    </row>
    <row r="295" spans="1:3">
      <c r="A295" s="3">
        <f t="shared" si="9"/>
        <v>42887</v>
      </c>
      <c r="B295" s="2" cm="1">
        <f t="array" ref="B295">INDEX(Sheet1!$B$5:$M$38,MATCH(YEAR(A295),Sheet1!$A$5:$A$38,0),MONTH(A295))</f>
        <v>0.043</v>
      </c>
      <c r="C295" t="str">
        <f t="shared" si="8"/>
        <v>2017-06-01</v>
      </c>
    </row>
    <row r="296" spans="1:3">
      <c r="A296" s="3">
        <f t="shared" si="9"/>
        <v>42917</v>
      </c>
      <c r="B296" s="2" cm="1">
        <f t="array" ref="B296">INDEX(Sheet1!$B$5:$M$38,MATCH(YEAR(A296),Sheet1!$A$5:$A$38,0),MONTH(A296))</f>
        <v>0.039</v>
      </c>
      <c r="C296" t="str">
        <f t="shared" si="8"/>
        <v>2017-07-01</v>
      </c>
    </row>
    <row r="297" spans="1:3">
      <c r="A297" s="3">
        <f t="shared" si="9"/>
        <v>42948</v>
      </c>
      <c r="B297" s="2" cm="1">
        <f t="array" ref="B297">INDEX(Sheet1!$B$5:$M$38,MATCH(YEAR(A297),Sheet1!$A$5:$A$38,0),MONTH(A297))</f>
        <v>0.033</v>
      </c>
      <c r="C297" t="str">
        <f t="shared" si="8"/>
        <v>2017-08-01</v>
      </c>
    </row>
    <row r="298" spans="1:3">
      <c r="A298" s="3">
        <f t="shared" si="9"/>
        <v>42979</v>
      </c>
      <c r="B298" s="2" cm="1">
        <f t="array" ref="B298">INDEX(Sheet1!$B$5:$M$38,MATCH(YEAR(A298),Sheet1!$A$5:$A$38,0),MONTH(A298))</f>
        <v>0.03</v>
      </c>
      <c r="C298" t="str">
        <f t="shared" si="8"/>
        <v>2017-09-01</v>
      </c>
    </row>
    <row r="299" spans="1:3">
      <c r="A299" s="3">
        <f t="shared" si="9"/>
        <v>43009</v>
      </c>
      <c r="B299" s="2" cm="1">
        <f t="array" ref="B299">INDEX(Sheet1!$B$5:$M$38,MATCH(YEAR(A299),Sheet1!$A$5:$A$38,0),MONTH(A299))</f>
        <v>0.027</v>
      </c>
      <c r="C299" t="str">
        <f t="shared" si="8"/>
        <v>2017-10-01</v>
      </c>
    </row>
    <row r="300" spans="1:3">
      <c r="A300" s="3">
        <f t="shared" si="9"/>
        <v>43040</v>
      </c>
      <c r="B300" s="2" cm="1">
        <f t="array" ref="B300">INDEX(Sheet1!$B$5:$M$38,MATCH(YEAR(A300),Sheet1!$A$5:$A$38,0),MONTH(A300))</f>
        <v>0.025</v>
      </c>
      <c r="C300" t="str">
        <f t="shared" si="8"/>
        <v>2017-11-01</v>
      </c>
    </row>
    <row r="301" spans="1:3">
      <c r="A301" s="3">
        <f t="shared" si="9"/>
        <v>43070</v>
      </c>
      <c r="B301" s="2" cm="1">
        <f t="array" ref="B301">INDEX(Sheet1!$B$5:$M$38,MATCH(YEAR(A301),Sheet1!$A$5:$A$38,0),MONTH(A301))</f>
        <v>0.025</v>
      </c>
      <c r="C301" t="str">
        <f t="shared" si="8"/>
        <v>2017-12-01</v>
      </c>
    </row>
    <row r="302" spans="1:3">
      <c r="A302" s="3">
        <f t="shared" si="9"/>
        <v>43101</v>
      </c>
      <c r="B302" s="2" cm="1">
        <f t="array" ref="B302">INDEX(Sheet1!$B$5:$M$38,MATCH(YEAR(A302),Sheet1!$A$5:$A$38,0),MONTH(A302))</f>
        <v>0.022</v>
      </c>
      <c r="C302" t="str">
        <f t="shared" si="8"/>
        <v>2018-01-01</v>
      </c>
    </row>
    <row r="303" spans="1:3">
      <c r="A303" s="3">
        <f t="shared" si="9"/>
        <v>43132</v>
      </c>
      <c r="B303" s="2" cm="1">
        <f t="array" ref="B303">INDEX(Sheet1!$B$5:$M$38,MATCH(YEAR(A303),Sheet1!$A$5:$A$38,0),MONTH(A303))</f>
        <v>0.022</v>
      </c>
      <c r="C303" t="str">
        <f t="shared" si="8"/>
        <v>2018-02-01</v>
      </c>
    </row>
    <row r="304" spans="1:3">
      <c r="A304" s="3">
        <f t="shared" si="9"/>
        <v>43160</v>
      </c>
      <c r="B304" s="2" cm="1">
        <f t="array" ref="B304">INDEX(Sheet1!$B$5:$M$38,MATCH(YEAR(A304),Sheet1!$A$5:$A$38,0),MONTH(A304))</f>
        <v>0.024</v>
      </c>
      <c r="C304" t="str">
        <f t="shared" si="8"/>
        <v>2018-03-01</v>
      </c>
    </row>
    <row r="305" spans="1:3">
      <c r="A305" s="3">
        <f t="shared" si="9"/>
        <v>43191</v>
      </c>
      <c r="B305" s="2" cm="1">
        <f t="array" ref="B305">INDEX(Sheet1!$B$5:$M$38,MATCH(YEAR(A305),Sheet1!$A$5:$A$38,0),MONTH(A305))</f>
        <v>0.024</v>
      </c>
      <c r="C305" t="str">
        <f t="shared" si="8"/>
        <v>2018-04-01</v>
      </c>
    </row>
    <row r="306" spans="1:3">
      <c r="A306" s="3">
        <f t="shared" si="9"/>
        <v>43221</v>
      </c>
      <c r="B306" s="2" cm="1">
        <f t="array" ref="B306">INDEX(Sheet1!$B$5:$M$38,MATCH(YEAR(A306),Sheet1!$A$5:$A$38,0),MONTH(A306))</f>
        <v>0.024</v>
      </c>
      <c r="C306" t="str">
        <f t="shared" si="8"/>
        <v>2018-05-01</v>
      </c>
    </row>
    <row r="307" spans="1:3">
      <c r="A307" s="3">
        <f t="shared" si="9"/>
        <v>43252</v>
      </c>
      <c r="B307" s="2" cm="1">
        <f t="array" ref="B307">INDEX(Sheet1!$B$5:$M$38,MATCH(YEAR(A307),Sheet1!$A$5:$A$38,0),MONTH(A307))</f>
        <v>0.023</v>
      </c>
      <c r="C307" t="str">
        <f t="shared" si="8"/>
        <v>2018-06-01</v>
      </c>
    </row>
    <row r="308" spans="1:3">
      <c r="A308" s="3">
        <f t="shared" si="9"/>
        <v>43282</v>
      </c>
      <c r="B308" s="2" cm="1">
        <f t="array" ref="B308">INDEX(Sheet1!$B$5:$M$38,MATCH(YEAR(A308),Sheet1!$A$5:$A$38,0),MONTH(A308))</f>
        <v>0.025</v>
      </c>
      <c r="C308" t="str">
        <f t="shared" si="8"/>
        <v>2018-07-01</v>
      </c>
    </row>
    <row r="309" spans="1:3">
      <c r="A309" s="3">
        <f t="shared" si="9"/>
        <v>43313</v>
      </c>
      <c r="B309" s="2" cm="1">
        <f t="array" ref="B309">INDEX(Sheet1!$B$5:$M$38,MATCH(YEAR(A309),Sheet1!$A$5:$A$38,0),MONTH(A309))</f>
        <v>0.031</v>
      </c>
      <c r="C309" t="str">
        <f t="shared" si="8"/>
        <v>2018-08-01</v>
      </c>
    </row>
    <row r="310" spans="1:3">
      <c r="A310" s="3">
        <f t="shared" si="9"/>
        <v>43344</v>
      </c>
      <c r="B310" s="2" cm="1">
        <f t="array" ref="B310">INDEX(Sheet1!$B$5:$M$38,MATCH(YEAR(A310),Sheet1!$A$5:$A$38,0),MONTH(A310))</f>
        <v>0.034</v>
      </c>
      <c r="C310" t="str">
        <f t="shared" si="8"/>
        <v>2018-09-01</v>
      </c>
    </row>
    <row r="311" spans="1:3">
      <c r="A311" s="3">
        <f t="shared" si="9"/>
        <v>43374</v>
      </c>
      <c r="B311" s="2" cm="1">
        <f t="array" ref="B311">INDEX(Sheet1!$B$5:$M$38,MATCH(YEAR(A311),Sheet1!$A$5:$A$38,0),MONTH(A311))</f>
        <v>0.035</v>
      </c>
      <c r="C311" t="str">
        <f t="shared" si="8"/>
        <v>2018-10-01</v>
      </c>
    </row>
    <row r="312" spans="1:3">
      <c r="A312" s="3">
        <f t="shared" si="9"/>
        <v>43405</v>
      </c>
      <c r="B312" s="2" cm="1">
        <f t="array" ref="B312">INDEX(Sheet1!$B$5:$M$38,MATCH(YEAR(A312),Sheet1!$A$5:$A$38,0),MONTH(A312))</f>
        <v>0.038</v>
      </c>
      <c r="C312" t="str">
        <f t="shared" si="8"/>
        <v>2018-11-01</v>
      </c>
    </row>
    <row r="313" spans="1:3">
      <c r="A313" s="3">
        <f t="shared" si="9"/>
        <v>43435</v>
      </c>
      <c r="B313" s="2" cm="1">
        <f t="array" ref="B313">INDEX(Sheet1!$B$5:$M$38,MATCH(YEAR(A313),Sheet1!$A$5:$A$38,0),MONTH(A313))</f>
        <v>0.043</v>
      </c>
      <c r="C313" t="str">
        <f t="shared" si="8"/>
        <v>2018-12-01</v>
      </c>
    </row>
    <row r="314" spans="1:3">
      <c r="A314" s="3">
        <f t="shared" si="9"/>
        <v>43466</v>
      </c>
      <c r="B314" s="2" cm="1">
        <f t="array" ref="B314">INDEX(Sheet1!$B$5:$M$38,MATCH(YEAR(A314),Sheet1!$A$5:$A$38,0),MONTH(A314))</f>
        <v>0.05</v>
      </c>
      <c r="C314" t="str">
        <f t="shared" si="8"/>
        <v>2019-01-01</v>
      </c>
    </row>
    <row r="315" spans="1:3">
      <c r="A315" s="3">
        <f t="shared" si="9"/>
        <v>43497</v>
      </c>
      <c r="B315" s="2" cm="1">
        <f t="array" ref="B315">INDEX(Sheet1!$B$5:$M$38,MATCH(YEAR(A315),Sheet1!$A$5:$A$38,0),MONTH(A315))</f>
        <v>0.052</v>
      </c>
      <c r="C315" t="str">
        <f t="shared" si="8"/>
        <v>2019-02-01</v>
      </c>
    </row>
    <row r="316" spans="1:3">
      <c r="A316" s="3">
        <f t="shared" si="9"/>
        <v>43525</v>
      </c>
      <c r="B316" s="2" cm="1">
        <f t="array" ref="B316">INDEX(Sheet1!$B$5:$M$38,MATCH(YEAR(A316),Sheet1!$A$5:$A$38,0),MONTH(A316))</f>
        <v>0.053</v>
      </c>
      <c r="C316" t="str">
        <f t="shared" si="8"/>
        <v>2019-03-01</v>
      </c>
    </row>
    <row r="317" spans="1:3">
      <c r="A317" s="3">
        <f t="shared" si="9"/>
        <v>43556</v>
      </c>
      <c r="B317" s="2" cm="1">
        <f t="array" ref="B317">INDEX(Sheet1!$B$5:$M$38,MATCH(YEAR(A317),Sheet1!$A$5:$A$38,0),MONTH(A317))</f>
        <v>0.052</v>
      </c>
      <c r="C317" t="str">
        <f t="shared" si="8"/>
        <v>2019-04-01</v>
      </c>
    </row>
    <row r="318" spans="1:3">
      <c r="A318" s="3">
        <f t="shared" si="9"/>
        <v>43586</v>
      </c>
      <c r="B318" s="2" cm="1">
        <f t="array" ref="B318">INDEX(Sheet1!$B$5:$M$38,MATCH(YEAR(A318),Sheet1!$A$5:$A$38,0),MONTH(A318))</f>
        <v>0.051</v>
      </c>
      <c r="C318" t="str">
        <f t="shared" si="8"/>
        <v>2019-05-01</v>
      </c>
    </row>
    <row r="319" spans="1:3">
      <c r="A319" s="3">
        <f t="shared" si="9"/>
        <v>43617</v>
      </c>
      <c r="B319" s="2" cm="1">
        <f t="array" ref="B319">INDEX(Sheet1!$B$5:$M$38,MATCH(YEAR(A319),Sheet1!$A$5:$A$38,0),MONTH(A319))</f>
        <v>0.047</v>
      </c>
      <c r="C319" t="str">
        <f t="shared" si="8"/>
        <v>2019-06-01</v>
      </c>
    </row>
    <row r="320" spans="1:3">
      <c r="A320" s="3">
        <f t="shared" si="9"/>
        <v>43647</v>
      </c>
      <c r="B320" s="2" cm="1">
        <f t="array" ref="B320">INDEX(Sheet1!$B$5:$M$38,MATCH(YEAR(A320),Sheet1!$A$5:$A$38,0),MONTH(A320))</f>
        <v>0.046</v>
      </c>
      <c r="C320" t="str">
        <f t="shared" si="8"/>
        <v>2019-07-01</v>
      </c>
    </row>
    <row r="321" spans="1:3">
      <c r="A321" s="3">
        <f t="shared" si="9"/>
        <v>43678</v>
      </c>
      <c r="B321" s="2" cm="1">
        <f t="array" ref="B321">INDEX(Sheet1!$B$5:$M$38,MATCH(YEAR(A321),Sheet1!$A$5:$A$38,0),MONTH(A321))</f>
        <v>0.043</v>
      </c>
      <c r="C321" t="str">
        <f t="shared" si="8"/>
        <v>2019-08-01</v>
      </c>
    </row>
    <row r="322" spans="1:3">
      <c r="A322" s="3">
        <f t="shared" si="9"/>
        <v>43709</v>
      </c>
      <c r="B322" s="2" cm="1">
        <f t="array" ref="B322">INDEX(Sheet1!$B$5:$M$38,MATCH(YEAR(A322),Sheet1!$A$5:$A$38,0),MONTH(A322))</f>
        <v>0.04</v>
      </c>
      <c r="C322" t="str">
        <f t="shared" ref="C322:C385" si="10">TEXT(A322,"yyyy-mm-01")</f>
        <v>2019-09-01</v>
      </c>
    </row>
    <row r="323" spans="1:3">
      <c r="A323" s="3">
        <f t="shared" ref="A323:A386" si="11">EDATE(A322,1)</f>
        <v>43739</v>
      </c>
      <c r="B323" s="2" cm="1">
        <f t="array" ref="B323">INDEX(Sheet1!$B$5:$M$38,MATCH(YEAR(A323),Sheet1!$A$5:$A$38,0),MONTH(A323))</f>
        <v>0.038</v>
      </c>
      <c r="C323" t="str">
        <f t="shared" si="10"/>
        <v>2019-10-01</v>
      </c>
    </row>
    <row r="324" spans="1:3">
      <c r="A324" s="3">
        <f t="shared" si="11"/>
        <v>43770</v>
      </c>
      <c r="B324" s="2" cm="1">
        <f t="array" ref="B324">INDEX(Sheet1!$B$5:$M$38,MATCH(YEAR(A324),Sheet1!$A$5:$A$38,0),MONTH(A324))</f>
        <v>0.035</v>
      </c>
      <c r="C324" t="str">
        <f t="shared" si="10"/>
        <v>2019-11-01</v>
      </c>
    </row>
    <row r="325" spans="1:3">
      <c r="A325" s="3">
        <f t="shared" si="11"/>
        <v>43800</v>
      </c>
      <c r="B325" s="2" cm="1">
        <f t="array" ref="B325">INDEX(Sheet1!$B$5:$M$38,MATCH(YEAR(A325),Sheet1!$A$5:$A$38,0),MONTH(A325))</f>
        <v>0.03</v>
      </c>
      <c r="C325" t="str">
        <f t="shared" si="10"/>
        <v>2019-12-01</v>
      </c>
    </row>
    <row r="326" spans="1:3">
      <c r="A326" s="3">
        <f t="shared" si="11"/>
        <v>43831</v>
      </c>
      <c r="B326" s="2" cm="1">
        <f t="array" ref="B326">INDEX(Sheet1!$B$5:$M$38,MATCH(YEAR(A326),Sheet1!$A$5:$A$38,0),MONTH(A326))</f>
        <v>0.024</v>
      </c>
      <c r="C326" t="str">
        <f t="shared" si="10"/>
        <v>2020-01-01</v>
      </c>
    </row>
    <row r="327" spans="1:3">
      <c r="A327" s="3">
        <f t="shared" si="11"/>
        <v>43862</v>
      </c>
      <c r="B327" s="2" cm="1">
        <f t="array" ref="B327">INDEX(Sheet1!$B$5:$M$38,MATCH(YEAR(A327),Sheet1!$A$5:$A$38,0),MONTH(A327))</f>
        <v>0.023</v>
      </c>
      <c r="C327" t="str">
        <f t="shared" si="10"/>
        <v>2020-02-01</v>
      </c>
    </row>
    <row r="328" spans="1:3">
      <c r="A328" s="3">
        <f t="shared" si="11"/>
        <v>43891</v>
      </c>
      <c r="B328" s="2" cm="1">
        <f t="array" ref="B328">INDEX(Sheet1!$B$5:$M$38,MATCH(YEAR(A328),Sheet1!$A$5:$A$38,0),MONTH(A328))</f>
        <v>0.025</v>
      </c>
      <c r="C328" t="str">
        <f t="shared" si="10"/>
        <v>2020-03-01</v>
      </c>
    </row>
    <row r="329" spans="1:3">
      <c r="A329" s="3">
        <f t="shared" si="11"/>
        <v>43922</v>
      </c>
      <c r="B329" s="2" cm="1">
        <f t="array" ref="B329">INDEX(Sheet1!$B$5:$M$38,MATCH(YEAR(A329),Sheet1!$A$5:$A$38,0),MONTH(A329))</f>
        <v>0.031</v>
      </c>
      <c r="C329" t="str">
        <f t="shared" si="10"/>
        <v>2020-04-01</v>
      </c>
    </row>
    <row r="330" spans="1:3">
      <c r="A330" s="3">
        <f t="shared" si="11"/>
        <v>43952</v>
      </c>
      <c r="B330" s="2" cm="1">
        <f t="array" ref="B330">INDEX(Sheet1!$B$5:$M$38,MATCH(YEAR(A330),Sheet1!$A$5:$A$38,0),MONTH(A330))</f>
        <v>0.03</v>
      </c>
      <c r="C330" t="str">
        <f t="shared" si="10"/>
        <v>2020-05-01</v>
      </c>
    </row>
    <row r="331" spans="1:3">
      <c r="A331" s="3">
        <f t="shared" si="11"/>
        <v>43983</v>
      </c>
      <c r="B331" s="2" cm="1">
        <f t="array" ref="B331">INDEX(Sheet1!$B$5:$M$38,MATCH(YEAR(A331),Sheet1!$A$5:$A$38,0),MONTH(A331))</f>
        <v>0.032</v>
      </c>
      <c r="C331" t="str">
        <f t="shared" si="10"/>
        <v>2020-06-01</v>
      </c>
    </row>
    <row r="332" spans="1:3">
      <c r="A332" s="3">
        <f t="shared" si="11"/>
        <v>44013</v>
      </c>
      <c r="B332" s="2" cm="1">
        <f t="array" ref="B332">INDEX(Sheet1!$B$5:$M$38,MATCH(YEAR(A332),Sheet1!$A$5:$A$38,0),MONTH(A332))</f>
        <v>0.034</v>
      </c>
      <c r="C332" t="str">
        <f t="shared" si="10"/>
        <v>2020-07-01</v>
      </c>
    </row>
    <row r="333" spans="1:3">
      <c r="A333" s="3">
        <f t="shared" si="11"/>
        <v>44044</v>
      </c>
      <c r="B333" s="2" cm="1">
        <f t="array" ref="B333">INDEX(Sheet1!$B$5:$M$38,MATCH(YEAR(A333),Sheet1!$A$5:$A$38,0),MONTH(A333))</f>
        <v>0.036</v>
      </c>
      <c r="C333" t="str">
        <f t="shared" si="10"/>
        <v>2020-08-01</v>
      </c>
    </row>
    <row r="334" spans="1:3">
      <c r="A334" s="3">
        <f t="shared" si="11"/>
        <v>44075</v>
      </c>
      <c r="B334" s="2" cm="1">
        <f t="array" ref="B334">INDEX(Sheet1!$B$5:$M$38,MATCH(YEAR(A334),Sheet1!$A$5:$A$38,0),MONTH(A334))</f>
        <v>0.037</v>
      </c>
      <c r="C334" t="str">
        <f t="shared" si="10"/>
        <v>2020-09-01</v>
      </c>
    </row>
    <row r="335" spans="1:3">
      <c r="A335" s="3">
        <f t="shared" si="11"/>
        <v>44105</v>
      </c>
      <c r="B335" s="2" cm="1">
        <f t="array" ref="B335">INDEX(Sheet1!$B$5:$M$38,MATCH(YEAR(A335),Sheet1!$A$5:$A$38,0),MONTH(A335))</f>
        <v>0.04</v>
      </c>
      <c r="C335" t="str">
        <f t="shared" si="10"/>
        <v>2020-10-01</v>
      </c>
    </row>
    <row r="336" spans="1:3">
      <c r="A336" s="3">
        <f t="shared" si="11"/>
        <v>44136</v>
      </c>
      <c r="B336" s="2" cm="1">
        <f t="array" ref="B336">INDEX(Sheet1!$B$5:$M$38,MATCH(YEAR(A336),Sheet1!$A$5:$A$38,0),MONTH(A336))</f>
        <v>0.044</v>
      </c>
      <c r="C336" t="str">
        <f t="shared" si="10"/>
        <v>2020-11-01</v>
      </c>
    </row>
    <row r="337" spans="1:3">
      <c r="A337" s="3">
        <f t="shared" si="11"/>
        <v>44166</v>
      </c>
      <c r="B337" s="2" cm="1">
        <f t="array" ref="B337">INDEX(Sheet1!$B$5:$M$38,MATCH(YEAR(A337),Sheet1!$A$5:$A$38,0),MONTH(A337))</f>
        <v>0.049</v>
      </c>
      <c r="C337" t="str">
        <f t="shared" si="10"/>
        <v>2020-12-01</v>
      </c>
    </row>
    <row r="338" spans="1:3">
      <c r="A338" s="3">
        <f t="shared" si="11"/>
        <v>44197</v>
      </c>
      <c r="B338" s="2" cm="1">
        <f t="array" ref="B338">INDEX(Sheet1!$B$5:$M$38,MATCH(YEAR(A338),Sheet1!$A$5:$A$38,0),MONTH(A338))</f>
        <v>0.052</v>
      </c>
      <c r="C338" t="str">
        <f t="shared" si="10"/>
        <v>2021-01-01</v>
      </c>
    </row>
    <row r="339" spans="1:3">
      <c r="A339" s="3">
        <f t="shared" si="11"/>
        <v>44228</v>
      </c>
      <c r="B339" s="2" cm="1">
        <f t="array" ref="B339">INDEX(Sheet1!$B$5:$M$38,MATCH(YEAR(A339),Sheet1!$A$5:$A$38,0),MONTH(A339))</f>
        <v>0.057</v>
      </c>
      <c r="C339" t="str">
        <f t="shared" si="10"/>
        <v>2021-02-01</v>
      </c>
    </row>
    <row r="340" spans="1:3">
      <c r="A340" s="3">
        <f t="shared" si="11"/>
        <v>44256</v>
      </c>
      <c r="B340" s="2" cm="1">
        <f t="array" ref="B340">INDEX(Sheet1!$B$5:$M$38,MATCH(YEAR(A340),Sheet1!$A$5:$A$38,0),MONTH(A340))</f>
        <v>0.058</v>
      </c>
      <c r="C340" t="str">
        <f t="shared" si="10"/>
        <v>2021-03-01</v>
      </c>
    </row>
    <row r="341" spans="1:3">
      <c r="A341" s="3">
        <f t="shared" si="11"/>
        <v>44287</v>
      </c>
      <c r="B341" s="2" cm="1">
        <f t="array" ref="B341">INDEX(Sheet1!$B$5:$M$38,MATCH(YEAR(A341),Sheet1!$A$5:$A$38,0),MONTH(A341))</f>
        <v>0.055</v>
      </c>
      <c r="C341" t="str">
        <f t="shared" si="10"/>
        <v>2021-04-01</v>
      </c>
    </row>
    <row r="342" spans="1:3">
      <c r="A342" s="3">
        <f t="shared" si="11"/>
        <v>44317</v>
      </c>
      <c r="B342" s="2" cm="1">
        <f t="array" ref="B342">INDEX(Sheet1!$B$5:$M$38,MATCH(YEAR(A342),Sheet1!$A$5:$A$38,0),MONTH(A342))</f>
        <v>0.06</v>
      </c>
      <c r="C342" t="str">
        <f t="shared" si="10"/>
        <v>2021-05-01</v>
      </c>
    </row>
    <row r="343" spans="1:3">
      <c r="A343" s="3">
        <f t="shared" si="11"/>
        <v>44348</v>
      </c>
      <c r="B343" s="2" cm="1">
        <f t="array" ref="B343">INDEX(Sheet1!$B$5:$M$38,MATCH(YEAR(A343),Sheet1!$A$5:$A$38,0),MONTH(A343))</f>
        <v>0.065</v>
      </c>
      <c r="C343" t="str">
        <f t="shared" si="10"/>
        <v>2021-06-01</v>
      </c>
    </row>
    <row r="344" spans="1:3">
      <c r="A344" s="3">
        <f t="shared" si="11"/>
        <v>44378</v>
      </c>
      <c r="B344" s="2" cm="1">
        <f t="array" ref="B344">INDEX(Sheet1!$B$5:$M$38,MATCH(YEAR(A344),Sheet1!$A$5:$A$38,0),MONTH(A344))</f>
        <v>0.065</v>
      </c>
      <c r="C344" t="str">
        <f t="shared" si="10"/>
        <v>2021-07-01</v>
      </c>
    </row>
    <row r="345" spans="1:3">
      <c r="A345" s="3">
        <f t="shared" si="11"/>
        <v>44409</v>
      </c>
      <c r="B345" s="2" cm="1">
        <f t="array" ref="B345">INDEX(Sheet1!$B$5:$M$38,MATCH(YEAR(A345),Sheet1!$A$5:$A$38,0),MONTH(A345))</f>
        <v>0.067</v>
      </c>
      <c r="C345" t="str">
        <f t="shared" si="10"/>
        <v>2021-08-01</v>
      </c>
    </row>
    <row r="346" spans="1:3">
      <c r="A346" s="3">
        <f t="shared" si="11"/>
        <v>44440</v>
      </c>
      <c r="B346" s="2" cm="1">
        <f t="array" ref="B346">INDEX(Sheet1!$B$5:$M$38,MATCH(YEAR(A346),Sheet1!$A$5:$A$38,0),MONTH(A346))</f>
        <v>0.074</v>
      </c>
      <c r="C346" t="str">
        <f t="shared" si="10"/>
        <v>2021-09-01</v>
      </c>
    </row>
    <row r="347" spans="1:3">
      <c r="A347" s="3">
        <f t="shared" si="11"/>
        <v>44470</v>
      </c>
      <c r="B347" s="2" cm="1">
        <f t="array" ref="B347">INDEX(Sheet1!$B$5:$M$38,MATCH(YEAR(A347),Sheet1!$A$5:$A$38,0),MONTH(A347))</f>
        <v>0.081</v>
      </c>
      <c r="C347" t="str">
        <f t="shared" si="10"/>
        <v>2021-10-01</v>
      </c>
    </row>
    <row r="348" spans="1:3">
      <c r="A348" s="3">
        <f t="shared" si="11"/>
        <v>44501</v>
      </c>
      <c r="B348" s="2" cm="1">
        <f t="array" ref="B348">INDEX(Sheet1!$B$5:$M$38,MATCH(YEAR(A348),Sheet1!$A$5:$A$38,0),MONTH(A348))</f>
        <v>0.084</v>
      </c>
      <c r="C348" t="str">
        <f t="shared" si="10"/>
        <v>2021-11-01</v>
      </c>
    </row>
    <row r="349" spans="1:3">
      <c r="A349" s="3">
        <f t="shared" si="11"/>
        <v>44531</v>
      </c>
      <c r="B349" s="2" cm="1">
        <f t="array" ref="B349">INDEX(Sheet1!$B$5:$M$38,MATCH(YEAR(A349),Sheet1!$A$5:$A$38,0),MONTH(A349))</f>
        <v>0.084</v>
      </c>
      <c r="C349" t="str">
        <f t="shared" si="10"/>
        <v>2021-12-01</v>
      </c>
    </row>
    <row r="350" spans="1:3">
      <c r="A350" s="3">
        <f t="shared" si="11"/>
        <v>44562</v>
      </c>
      <c r="B350" s="2" cm="1">
        <f t="array" ref="B350">INDEX(Sheet1!$B$5:$M$38,MATCH(YEAR(A350),Sheet1!$A$5:$A$38,0),MONTH(A350))</f>
        <v>0.087</v>
      </c>
      <c r="C350" t="str">
        <f t="shared" si="10"/>
        <v>2022-01-01</v>
      </c>
    </row>
    <row r="351" spans="1:3">
      <c r="A351" s="3">
        <f t="shared" si="11"/>
        <v>44593</v>
      </c>
      <c r="B351" s="2" cm="1">
        <f t="array" ref="B351">INDEX(Sheet1!$B$5:$M$38,MATCH(YEAR(A351),Sheet1!$A$5:$A$38,0),MONTH(A351))</f>
        <v>0.092</v>
      </c>
      <c r="C351" t="str">
        <f t="shared" si="10"/>
        <v>2022-02-01</v>
      </c>
    </row>
    <row r="352" spans="1:3">
      <c r="A352" s="3">
        <f t="shared" si="11"/>
        <v>44621</v>
      </c>
      <c r="B352" s="2" cm="1">
        <f t="array" ref="B352">INDEX(Sheet1!$B$5:$M$38,MATCH(YEAR(A352),Sheet1!$A$5:$A$38,0),MONTH(A352))</f>
        <v>0.167</v>
      </c>
      <c r="C352" t="str">
        <f t="shared" si="10"/>
        <v>2022-03-01</v>
      </c>
    </row>
    <row r="353" spans="1:3">
      <c r="A353" s="3">
        <f t="shared" si="11"/>
        <v>44652</v>
      </c>
      <c r="B353" s="2" cm="1">
        <f t="array" ref="B353">INDEX(Sheet1!$B$5:$M$38,MATCH(YEAR(A353),Sheet1!$A$5:$A$38,0),MONTH(A353))</f>
        <v>0.179</v>
      </c>
      <c r="C353" t="str">
        <f t="shared" si="10"/>
        <v>2022-04-01</v>
      </c>
    </row>
    <row r="354" spans="1:3">
      <c r="A354" s="3">
        <f t="shared" si="11"/>
        <v>44682</v>
      </c>
      <c r="B354" s="2" cm="1">
        <f t="array" ref="B354">INDEX(Sheet1!$B$5:$M$38,MATCH(YEAR(A354),Sheet1!$A$5:$A$38,0),MONTH(A354))</f>
        <v>0.171</v>
      </c>
      <c r="C354" t="str">
        <f t="shared" si="10"/>
        <v>2022-05-01</v>
      </c>
    </row>
    <row r="355" spans="1:3">
      <c r="A355" s="3">
        <f t="shared" si="11"/>
        <v>44713</v>
      </c>
      <c r="B355" s="2" cm="1">
        <f t="array" ref="B355">INDEX(Sheet1!$B$5:$M$38,MATCH(YEAR(A355),Sheet1!$A$5:$A$38,0),MONTH(A355))</f>
        <v>0.159</v>
      </c>
      <c r="C355" t="str">
        <f t="shared" si="10"/>
        <v>2022-06-01</v>
      </c>
    </row>
    <row r="356" spans="1:3">
      <c r="A356" s="3">
        <f t="shared" si="11"/>
        <v>44743</v>
      </c>
      <c r="B356" s="2" cm="1">
        <f t="array" ref="B356">INDEX(Sheet1!$B$5:$M$38,MATCH(YEAR(A356),Sheet1!$A$5:$A$38,0),MONTH(A356))</f>
        <v>0.151</v>
      </c>
      <c r="C356" t="str">
        <f t="shared" si="10"/>
        <v>2022-07-01</v>
      </c>
    </row>
    <row r="357" spans="1:3">
      <c r="A357" s="3">
        <f t="shared" si="11"/>
        <v>44774</v>
      </c>
      <c r="B357" s="2" cm="1">
        <f t="array" ref="B357">INDEX(Sheet1!$B$5:$M$38,MATCH(YEAR(A357),Sheet1!$A$5:$A$38,0),MONTH(A357))</f>
        <v>0.143</v>
      </c>
      <c r="C357" t="str">
        <f t="shared" si="10"/>
        <v>2022-08-01</v>
      </c>
    </row>
    <row r="358" spans="1:3">
      <c r="A358" s="3">
        <f t="shared" si="11"/>
        <v>44805</v>
      </c>
      <c r="B358" s="2" cm="1">
        <f t="array" ref="B358">INDEX(Sheet1!$B$5:$M$38,MATCH(YEAR(A358),Sheet1!$A$5:$A$38,0),MONTH(A358))</f>
        <v>0.136</v>
      </c>
      <c r="C358" t="str">
        <f t="shared" si="10"/>
        <v>2022-09-01</v>
      </c>
    </row>
    <row r="359" spans="1:3">
      <c r="A359" s="3">
        <f t="shared" si="11"/>
        <v>44835</v>
      </c>
      <c r="B359" s="2" cm="1">
        <f t="array" ref="B359">INDEX(Sheet1!$B$5:$M$38,MATCH(YEAR(A359),Sheet1!$A$5:$A$38,0),MONTH(A359))</f>
        <v>0.126</v>
      </c>
      <c r="C359" t="str">
        <f t="shared" si="10"/>
        <v>2022-10-01</v>
      </c>
    </row>
    <row r="360" spans="1:3">
      <c r="A360" s="3">
        <f t="shared" si="11"/>
        <v>44866</v>
      </c>
      <c r="B360" s="2" cm="1">
        <f t="array" ref="B360">INDEX(Sheet1!$B$5:$M$38,MATCH(YEAR(A360),Sheet1!$A$5:$A$38,0),MONTH(A360))</f>
        <v>0.119</v>
      </c>
      <c r="C360" t="str">
        <f t="shared" si="10"/>
        <v>2022-11-01</v>
      </c>
    </row>
    <row r="361" spans="1:3">
      <c r="A361" s="3">
        <f t="shared" si="11"/>
        <v>44896</v>
      </c>
      <c r="B361" s="2" cm="1">
        <f t="array" ref="B361">INDEX(Sheet1!$B$5:$M$38,MATCH(YEAR(A361),Sheet1!$A$5:$A$38,0),MONTH(A361))</f>
        <v>0.119</v>
      </c>
      <c r="C361" t="str">
        <f t="shared" si="10"/>
        <v>2022-12-01</v>
      </c>
    </row>
    <row r="362" spans="1:3">
      <c r="A362" s="3">
        <f t="shared" si="11"/>
        <v>44927</v>
      </c>
      <c r="B362" s="2" cm="1">
        <f t="array" ref="B362">INDEX(Sheet1!$B$5:$M$38,MATCH(YEAR(A362),Sheet1!$A$5:$A$38,0),MONTH(A362))</f>
        <v>0.118</v>
      </c>
      <c r="C362" t="str">
        <f t="shared" si="10"/>
        <v>2023-01-01</v>
      </c>
    </row>
    <row r="363" spans="1:3">
      <c r="A363" s="3">
        <f t="shared" si="11"/>
        <v>44958</v>
      </c>
      <c r="B363" s="2" cm="1">
        <f t="array" ref="B363">INDEX(Sheet1!$B$5:$M$38,MATCH(YEAR(A363),Sheet1!$A$5:$A$38,0),MONTH(A363))</f>
        <v>0.11</v>
      </c>
      <c r="C363" t="str">
        <f t="shared" si="10"/>
        <v>2023-02-01</v>
      </c>
    </row>
    <row r="364" spans="1:3">
      <c r="A364" s="3">
        <f t="shared" si="11"/>
        <v>44986</v>
      </c>
      <c r="B364" s="2" cm="1">
        <f t="array" ref="B364">INDEX(Sheet1!$B$5:$M$38,MATCH(YEAR(A364),Sheet1!$A$5:$A$38,0),MONTH(A364))</f>
        <v>0.035</v>
      </c>
      <c r="C364" t="str">
        <f t="shared" si="10"/>
        <v>2023-03-01</v>
      </c>
    </row>
    <row r="365" spans="1:3">
      <c r="A365" s="3">
        <f t="shared" si="11"/>
        <v>45017</v>
      </c>
      <c r="B365" s="2" cm="1">
        <f t="array" ref="B365">INDEX(Sheet1!$B$5:$M$38,MATCH(YEAR(A365),Sheet1!$A$5:$A$38,0),MONTH(A365))</f>
        <v>0.023</v>
      </c>
      <c r="C365" t="str">
        <f t="shared" si="10"/>
        <v>2023-04-01</v>
      </c>
    </row>
    <row r="366" spans="1:3">
      <c r="A366" s="3">
        <f t="shared" si="11"/>
        <v>45047</v>
      </c>
      <c r="B366" s="2" cm="1">
        <f t="array" ref="B366">INDEX(Sheet1!$B$5:$M$38,MATCH(YEAR(A366),Sheet1!$A$5:$A$38,0),MONTH(A366))</f>
        <v>0.025</v>
      </c>
      <c r="C366" t="str">
        <f t="shared" si="10"/>
        <v>2023-05-01</v>
      </c>
    </row>
    <row r="367" spans="1:3">
      <c r="A367" s="3">
        <f t="shared" si="11"/>
        <v>45078</v>
      </c>
      <c r="B367" s="2" cm="1">
        <f t="array" ref="B367">INDEX(Sheet1!$B$5:$M$38,MATCH(YEAR(A367),Sheet1!$A$5:$A$38,0),MONTH(A367))</f>
        <v>0.032</v>
      </c>
      <c r="C367" t="str">
        <f t="shared" si="10"/>
        <v>2023-06-01</v>
      </c>
    </row>
    <row r="368" spans="1:3">
      <c r="A368" s="3">
        <f t="shared" si="11"/>
        <v>45108</v>
      </c>
      <c r="B368" s="2" cm="1">
        <f t="array" ref="B368">INDEX(Sheet1!$B$5:$M$38,MATCH(YEAR(A368),Sheet1!$A$5:$A$38,0),MONTH(A368))</f>
        <v>0.042</v>
      </c>
      <c r="C368" t="str">
        <f t="shared" si="10"/>
        <v>2023-07-01</v>
      </c>
    </row>
    <row r="369" spans="1:3">
      <c r="A369" s="3">
        <f t="shared" si="11"/>
        <v>45139</v>
      </c>
      <c r="B369" s="2" cm="1">
        <f t="array" ref="B369">INDEX(Sheet1!$B$5:$M$38,MATCH(YEAR(A369),Sheet1!$A$5:$A$38,0),MONTH(A369))</f>
        <v>0.052</v>
      </c>
      <c r="C369" t="str">
        <f t="shared" si="10"/>
        <v>2023-08-01</v>
      </c>
    </row>
    <row r="370" spans="1:3">
      <c r="A370" s="3">
        <f t="shared" si="11"/>
        <v>45170</v>
      </c>
      <c r="B370" s="2" cm="1">
        <f t="array" ref="B370">INDEX(Sheet1!$B$5:$M$38,MATCH(YEAR(A370),Sheet1!$A$5:$A$38,0),MONTH(A370))</f>
        <v>0.06</v>
      </c>
      <c r="C370" t="str">
        <f t="shared" si="10"/>
        <v>2023-09-01</v>
      </c>
    </row>
    <row r="371" spans="1:3">
      <c r="A371" s="3">
        <f t="shared" si="11"/>
        <v>45200</v>
      </c>
      <c r="B371" s="2" cm="1">
        <f t="array" ref="B371">INDEX(Sheet1!$B$5:$M$38,MATCH(YEAR(A371),Sheet1!$A$5:$A$38,0),MONTH(A371))</f>
        <v>0.067</v>
      </c>
      <c r="C371" t="str">
        <f t="shared" si="10"/>
        <v>2023-10-01</v>
      </c>
    </row>
    <row r="372" spans="1:3">
      <c r="A372" s="3">
        <f t="shared" si="11"/>
        <v>45231</v>
      </c>
      <c r="B372" s="2" cm="1">
        <f t="array" ref="B372">INDEX(Sheet1!$B$5:$M$38,MATCH(YEAR(A372),Sheet1!$A$5:$A$38,0),MONTH(A372))</f>
        <v>0.075</v>
      </c>
      <c r="C372" t="str">
        <f t="shared" si="10"/>
        <v>2023-11-01</v>
      </c>
    </row>
    <row r="373" spans="1:3">
      <c r="A373" s="3">
        <f t="shared" si="11"/>
        <v>45261</v>
      </c>
      <c r="B373" s="2" cm="1">
        <f t="array" ref="B373">INDEX(Sheet1!$B$5:$M$38,MATCH(YEAR(A373),Sheet1!$A$5:$A$38,0),MONTH(A373))</f>
        <v>0.074</v>
      </c>
      <c r="C373" t="str">
        <f t="shared" si="10"/>
        <v>2023-12-01</v>
      </c>
    </row>
    <row r="374" spans="1:3">
      <c r="A374" s="3">
        <f t="shared" si="11"/>
        <v>45292</v>
      </c>
      <c r="B374" s="2" cm="1">
        <f t="array" ref="B374">INDEX(Sheet1!$B$5:$M$38,MATCH(YEAR(A374),Sheet1!$A$5:$A$38,0),MONTH(A374))</f>
        <v>0.074</v>
      </c>
      <c r="C374" t="str">
        <f t="shared" si="10"/>
        <v>2024-01-01</v>
      </c>
    </row>
    <row r="375" spans="1:3">
      <c r="A375" s="3">
        <f t="shared" si="11"/>
        <v>45323</v>
      </c>
      <c r="B375" s="2" cm="1">
        <f t="array" ref="B375">INDEX(Sheet1!$B$5:$M$38,MATCH(YEAR(A375),Sheet1!$A$5:$A$38,0),MONTH(A375))</f>
        <v>0.077</v>
      </c>
      <c r="C375" t="str">
        <f t="shared" si="10"/>
        <v>2024-02-01</v>
      </c>
    </row>
    <row r="376" spans="1:3">
      <c r="A376" s="3">
        <f t="shared" si="11"/>
        <v>45352</v>
      </c>
      <c r="B376" s="2" cm="1">
        <f t="array" ref="B376">INDEX(Sheet1!$B$5:$M$38,MATCH(YEAR(A376),Sheet1!$A$5:$A$38,0),MONTH(A376))</f>
        <v>0.077</v>
      </c>
      <c r="C376" t="str">
        <f t="shared" si="10"/>
        <v>2024-03-01</v>
      </c>
    </row>
    <row r="377" spans="1:3">
      <c r="A377" s="3">
        <f t="shared" si="11"/>
        <v>45383</v>
      </c>
      <c r="B377" s="2" cm="1">
        <f t="array" ref="B377">INDEX(Sheet1!$B$5:$M$38,MATCH(YEAR(A377),Sheet1!$A$5:$A$38,0),MONTH(A377))</f>
        <v>0.078</v>
      </c>
      <c r="C377" t="str">
        <f t="shared" si="10"/>
        <v>2024-04-01</v>
      </c>
    </row>
    <row r="378" spans="1:3">
      <c r="A378" s="3">
        <f t="shared" si="11"/>
        <v>45413</v>
      </c>
      <c r="B378" s="2" cm="1">
        <f t="array" ref="B378">INDEX(Sheet1!$B$5:$M$38,MATCH(YEAR(A378),Sheet1!$A$5:$A$38,0),MONTH(A378))</f>
        <v>0.083</v>
      </c>
      <c r="C378" t="str">
        <f t="shared" si="10"/>
        <v>2024-05-01</v>
      </c>
    </row>
    <row r="379" spans="1:3">
      <c r="A379" s="3">
        <f t="shared" si="11"/>
        <v>45444</v>
      </c>
      <c r="B379" s="2" cm="1">
        <f t="array" ref="B379">INDEX(Sheet1!$B$5:$M$38,MATCH(YEAR(A379),Sheet1!$A$5:$A$38,0),MONTH(A379))</f>
        <v>0.087</v>
      </c>
      <c r="C379" t="str">
        <f t="shared" si="10"/>
        <v>2024-06-01</v>
      </c>
    </row>
    <row r="380" spans="1:3">
      <c r="A380" s="3">
        <f t="shared" si="11"/>
        <v>45474</v>
      </c>
      <c r="B380" s="2" cm="1">
        <f t="array" ref="B380">INDEX(Sheet1!$B$5:$M$38,MATCH(YEAR(A380),Sheet1!$A$5:$A$38,0),MONTH(A380))</f>
        <v>0.092</v>
      </c>
      <c r="C380" t="str">
        <f t="shared" si="10"/>
        <v>2024-07-01</v>
      </c>
    </row>
    <row r="381" spans="1:3">
      <c r="A381" s="3">
        <f t="shared" si="11"/>
        <v>45505</v>
      </c>
      <c r="B381" s="2" cm="1">
        <f t="array" ref="B381">INDEX(Sheet1!$B$5:$M$38,MATCH(YEAR(A381),Sheet1!$A$5:$A$38,0),MONTH(A381))</f>
        <v>0.091</v>
      </c>
      <c r="C381" t="str">
        <f t="shared" si="10"/>
        <v>2024-08-01</v>
      </c>
    </row>
    <row r="382" spans="1:3">
      <c r="A382" s="3">
        <f t="shared" si="11"/>
        <v>45536</v>
      </c>
      <c r="B382" s="2" cm="1">
        <f t="array" ref="B382">INDEX(Sheet1!$B$5:$M$38,MATCH(YEAR(A382),Sheet1!$A$5:$A$38,0),MONTH(A382))</f>
        <v>0.086</v>
      </c>
      <c r="C382" t="str">
        <f t="shared" si="10"/>
        <v>2024-09-01</v>
      </c>
    </row>
    <row r="383" spans="1:3">
      <c r="A383" s="3">
        <f t="shared" si="11"/>
        <v>45566</v>
      </c>
      <c r="B383" s="2" cm="1">
        <f t="array" ref="B383">INDEX(Sheet1!$B$5:$M$38,MATCH(YEAR(A383),Sheet1!$A$5:$A$38,0),MONTH(A383))</f>
        <v>0.085</v>
      </c>
      <c r="C383" t="str">
        <f t="shared" si="10"/>
        <v>2024-10-01</v>
      </c>
    </row>
    <row r="384" spans="1:3">
      <c r="A384" s="3">
        <f t="shared" si="11"/>
        <v>45597</v>
      </c>
      <c r="B384" s="2" cm="1">
        <f t="array" ref="B384">INDEX(Sheet1!$B$5:$M$38,MATCH(YEAR(A384),Sheet1!$A$5:$A$38,0),MONTH(A384))</f>
        <v>0.089</v>
      </c>
      <c r="C384" t="str">
        <f t="shared" si="10"/>
        <v>2024-11-01</v>
      </c>
    </row>
    <row r="385" spans="1:3">
      <c r="A385" s="3">
        <f t="shared" si="11"/>
        <v>45627</v>
      </c>
      <c r="B385" s="2" cm="1">
        <f t="array" ref="B385">INDEX(Sheet1!$B$5:$M$38,MATCH(YEAR(A385),Sheet1!$A$5:$A$38,0),MONTH(A385))</f>
        <v>0.095</v>
      </c>
      <c r="C385" t="str">
        <f t="shared" si="10"/>
        <v>2024-12-01</v>
      </c>
    </row>
    <row r="386" spans="1:3">
      <c r="A386" s="3">
        <f t="shared" si="11"/>
        <v>45658</v>
      </c>
      <c r="B386" s="2" cm="1">
        <f t="array" ref="B386">INDEX(Sheet1!$B$5:$M$38,MATCH(YEAR(A386),Sheet1!$A$5:$A$38,0),MONTH(A386))</f>
        <v>0.1</v>
      </c>
      <c r="C386" t="str">
        <f t="shared" ref="C386:C404" si="12">TEXT(A386,"yyyy-mm-01")</f>
        <v>2025-01-01</v>
      </c>
    </row>
    <row r="387" spans="1:3">
      <c r="A387" s="3">
        <f t="shared" ref="A387:A404" si="13">EDATE(A386,1)</f>
        <v>45689</v>
      </c>
      <c r="B387" s="2" cm="1">
        <f t="array" ref="B387">INDEX(Sheet1!$B$5:$M$38,MATCH(YEAR(A387),Sheet1!$A$5:$A$38,0),MONTH(A387))</f>
        <v>0.1</v>
      </c>
      <c r="C387" t="str">
        <f t="shared" si="12"/>
        <v>2025-02-01</v>
      </c>
    </row>
    <row r="388" spans="1:3">
      <c r="A388" s="3">
        <f t="shared" si="13"/>
        <v>45717</v>
      </c>
      <c r="B388" s="2" cm="1">
        <f t="array" ref="B388">INDEX(Sheet1!$B$5:$M$38,MATCH(YEAR(A388),Sheet1!$A$5:$A$38,0),MONTH(A388))</f>
        <v>0.103</v>
      </c>
      <c r="C388" t="str">
        <f t="shared" si="12"/>
        <v>2025-03-01</v>
      </c>
    </row>
    <row r="389" spans="1:3">
      <c r="A389" s="3">
        <f t="shared" si="13"/>
        <v>45748</v>
      </c>
      <c r="B389" s="2" cm="1">
        <f t="array" ref="B389">INDEX(Sheet1!$B$5:$M$38,MATCH(YEAR(A389),Sheet1!$A$5:$A$38,0),MONTH(A389))</f>
        <v>0.103</v>
      </c>
      <c r="C389" t="str">
        <f t="shared" si="12"/>
        <v>2025-04-01</v>
      </c>
    </row>
    <row r="390" spans="1:3">
      <c r="A390" s="3">
        <f t="shared" si="13"/>
        <v>45778</v>
      </c>
      <c r="B390" s="2" cm="1">
        <f t="array" ref="B390">INDEX(Sheet1!$B$5:$M$38,MATCH(YEAR(A390),Sheet1!$A$5:$A$38,0),MONTH(A390))</f>
        <v>0.099</v>
      </c>
      <c r="C390" t="str">
        <f t="shared" si="12"/>
        <v>2025-05-01</v>
      </c>
    </row>
    <row r="391" spans="1:3">
      <c r="A391" s="3">
        <f t="shared" si="13"/>
        <v>45809</v>
      </c>
      <c r="B391" s="2" cm="1">
        <f t="array" ref="B391">INDEX(Sheet1!$B$5:$M$38,MATCH(YEAR(A391),Sheet1!$A$5:$A$38,0),MONTH(A391))</f>
        <v>0.094</v>
      </c>
      <c r="C391" t="str">
        <f t="shared" si="12"/>
        <v>2025-06-01</v>
      </c>
    </row>
    <row r="392" spans="1:3">
      <c r="A392" s="3">
        <f t="shared" si="13"/>
        <v>45839</v>
      </c>
      <c r="B392" s="2" cm="1">
        <f t="array" ref="B392">INDEX(Sheet1!$B$5:$M$38,MATCH(YEAR(A392),Sheet1!$A$5:$A$38,0),MONTH(A392))</f>
        <v>0.088</v>
      </c>
      <c r="C392" t="str">
        <f t="shared" si="12"/>
        <v>2025-07-01</v>
      </c>
    </row>
    <row r="393" spans="1:3">
      <c r="A393" s="3">
        <f t="shared" si="13"/>
        <v>45870</v>
      </c>
      <c r="B393" s="2" cm="1">
        <f t="array" ref="B393">INDEX(Sheet1!$B$5:$M$38,MATCH(YEAR(A393),Sheet1!$A$5:$A$38,0),MONTH(A393))</f>
        <v>0.081</v>
      </c>
      <c r="C393" t="str">
        <f t="shared" si="12"/>
        <v>2025-08-01</v>
      </c>
    </row>
    <row r="394" spans="1:3">
      <c r="A394" s="3">
        <f t="shared" si="13"/>
        <v>45901</v>
      </c>
      <c r="B394" s="2" cm="1">
        <f t="array" ref="B394">INDEX(Sheet1!$B$5:$M$38,MATCH(YEAR(A394),Sheet1!$A$5:$A$38,0),MONTH(A394))</f>
        <v>0.08</v>
      </c>
      <c r="C394" t="str">
        <f t="shared" si="12"/>
        <v>2025-09-01</v>
      </c>
    </row>
    <row r="395" spans="1:3">
      <c r="A395" s="3">
        <f t="shared" si="13"/>
        <v>45931</v>
      </c>
      <c r="B395" s="2" cm="1">
        <f t="array" ref="B395">INDEX(Sheet1!$B$5:$M$38,MATCH(YEAR(A395),Sheet1!$A$5:$A$38,0),MONTH(A395))</f>
        <v>0.078</v>
      </c>
      <c r="C395" t="str">
        <f t="shared" si="12"/>
        <v>2025-10-01</v>
      </c>
    </row>
    <row r="396" spans="1:3">
      <c r="A396" s="3">
        <f t="shared" si="13"/>
        <v>45962</v>
      </c>
      <c r="B396" s="2" cm="1">
        <f t="array" ref="B396">INDEX(Sheet1!$B$5:$M$38,MATCH(YEAR(A396),Sheet1!$A$5:$A$38,0),MONTH(A396))</f>
        <v>0.066</v>
      </c>
      <c r="C396" t="str">
        <f t="shared" si="12"/>
        <v>2025-11-01</v>
      </c>
    </row>
    <row r="397" spans="1:3">
      <c r="A397" s="3">
        <f t="shared" si="13"/>
        <v>45992</v>
      </c>
      <c r="B397" s="2" cm="1">
        <f t="array" ref="B397">INDEX(Sheet1!$B$5:$M$38,MATCH(YEAR(A397),Sheet1!$A$5:$A$38,0),MONTH(A397))</f>
        <v>0.056</v>
      </c>
      <c r="C397" t="str">
        <f t="shared" si="12"/>
        <v>2025-12-01</v>
      </c>
    </row>
    <row r="398" spans="1:3">
      <c r="A398" s="3">
        <f t="shared" si="13"/>
        <v>46023</v>
      </c>
      <c r="B398" s="2" cm="1">
        <f t="array" ref="B398">INDEX(Sheet1!$B$5:$M$38,MATCH(YEAR(A398),Sheet1!$A$5:$A$38,0),MONTH(A398))</f>
        <v>0.06</v>
      </c>
      <c r="C398" t="str">
        <f t="shared" si="12"/>
        <v>2026-01-01</v>
      </c>
    </row>
    <row r="399" spans="1:3">
      <c r="A399" s="3">
        <f t="shared" si="13"/>
        <v>46054</v>
      </c>
      <c r="B399" s="2" cm="1">
        <f t="array" ref="B399">INDEX(Sheet1!$B$5:$M$38,MATCH(YEAR(A399),Sheet1!$A$5:$A$38,0),MONTH(A399))</f>
        <v>0.051</v>
      </c>
      <c r="C399" t="str">
        <f t="shared" si="12"/>
        <v>2026-02-01</v>
      </c>
    </row>
    <row r="400" spans="1:3">
      <c r="A400" s="3">
        <f t="shared" si="13"/>
        <v>46082</v>
      </c>
      <c r="B400" s="2" cm="1">
        <f t="array" ref="B400">INDEX(Sheet1!$B$5:$M$38,MATCH(YEAR(A400),Sheet1!$A$5:$A$38,0),MONTH(A400))</f>
        <v>0.059</v>
      </c>
      <c r="C400" t="str">
        <f t="shared" si="12"/>
        <v>2026-03-01</v>
      </c>
    </row>
    <row r="401" spans="1:3">
      <c r="A401" s="3">
        <f t="shared" si="13"/>
        <v>46113</v>
      </c>
      <c r="B401" s="2" cm="1">
        <f t="array" ref="B401">INDEX(Sheet1!$B$5:$M$38,MATCH(YEAR(A401),Sheet1!$A$5:$A$38,0),MONTH(A401))</f>
        <v>0.056</v>
      </c>
      <c r="C401" t="str">
        <f t="shared" si="12"/>
        <v>2026-04-01</v>
      </c>
    </row>
    <row r="402" spans="1:3">
      <c r="A402" s="3">
        <f t="shared" si="13"/>
        <v>46143</v>
      </c>
      <c r="B402" s="2" cm="1">
        <f t="array" ref="B402">INDEX(Sheet1!$B$5:$M$38,MATCH(YEAR(A402),Sheet1!$A$5:$A$38,0),MONTH(A402))</f>
        <v>0.054</v>
      </c>
      <c r="C402" t="str">
        <f t="shared" si="12"/>
        <v>2026-05-01</v>
      </c>
    </row>
    <row r="403" spans="1:3">
      <c r="A403" s="3">
        <f t="shared" si="13"/>
        <v>46174</v>
      </c>
      <c r="B403" s="2" cm="1">
        <f t="array" ref="B403">INDEX(Sheet1!$B$5:$M$38,MATCH(YEAR(A403),Sheet1!$A$5:$A$38,0),MONTH(A403))</f>
        <v>0.06</v>
      </c>
      <c r="C403" t="str">
        <f t="shared" si="12"/>
        <v>2026-06-01</v>
      </c>
    </row>
    <row r="404" spans="1:3">
      <c r="A404" s="3">
        <f t="shared" si="13"/>
        <v>46204</v>
      </c>
      <c r="B404" s="2" cm="1">
        <f t="array" ref="B404">INDEX(Sheet1!$B$5:$M$38,MATCH(YEAR(A404),Sheet1!$A$5:$A$38,0),MONTH(A404))</f>
        <v>0</v>
      </c>
      <c r="C404" t="str">
        <f t="shared" si="12"/>
        <v>2026-07-01</v>
      </c>
    </row>
    <row r="405" spans="1:3">
      <c r="A405" s="3"/>
    </row>
    <row r="406" spans="1:3">
      <c r="A406" s="3"/>
    </row>
    <row r="407" spans="1:3">
      <c r="A407" s="3"/>
    </row>
    <row r="408" spans="1:3">
      <c r="A408" s="3"/>
    </row>
    <row r="409" spans="1:3">
      <c r="A409" s="3"/>
    </row>
    <row r="410" spans="1:3">
      <c r="A410" s="3"/>
    </row>
    <row r="411" spans="1:3">
      <c r="A411" s="3"/>
    </row>
    <row r="412" spans="1:3">
      <c r="A412" s="3"/>
    </row>
    <row r="413" spans="1:3">
      <c r="A413" s="3"/>
    </row>
    <row r="414" spans="1:3">
      <c r="A414" s="3"/>
    </row>
    <row r="415" spans="1:3">
      <c r="A415" s="3"/>
    </row>
    <row r="416" spans="1:3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6"/>
  <sheetViews>
    <sheetView tabSelected="1" workbookViewId="0">
      <selection activeCell="B1" sqref="B1"/>
    </sheetView>
  </sheetViews>
  <sheetFormatPr defaultColWidth="9" defaultRowHeight="16.8" outlineLevelCol="1"/>
  <cols>
    <col min="2" max="2" width="16.6875" customWidth="1"/>
  </cols>
  <sheetData>
    <row r="1" spans="1:2">
      <c r="A1" t="s">
        <v>19</v>
      </c>
      <c r="B1" t="s">
        <v>20</v>
      </c>
    </row>
    <row r="2" spans="1:2">
      <c r="A2" t="str">
        <f>Sheet4!C49</f>
        <v>1996-12-01</v>
      </c>
      <c r="B2">
        <f>Sheet4!B49</f>
        <v>0.219</v>
      </c>
    </row>
    <row r="3" spans="1:2">
      <c r="A3" t="str">
        <f>Sheet4!C50</f>
        <v>1997-01-01</v>
      </c>
      <c r="B3">
        <f>Sheet4!B50</f>
        <v>0.197</v>
      </c>
    </row>
    <row r="4" spans="1:2">
      <c r="A4" t="str">
        <f>Sheet4!C51</f>
        <v>1997-02-01</v>
      </c>
      <c r="B4">
        <f>Sheet4!B51</f>
        <v>0.183</v>
      </c>
    </row>
    <row r="5" spans="1:2">
      <c r="A5" t="str">
        <f>Sheet4!C52</f>
        <v>1997-03-01</v>
      </c>
      <c r="B5">
        <f>Sheet4!B52</f>
        <v>0.168</v>
      </c>
    </row>
    <row r="6" spans="1:2">
      <c r="A6" t="str">
        <f>Sheet4!C53</f>
        <v>1997-04-01</v>
      </c>
      <c r="B6">
        <f>Sheet4!B53</f>
        <v>0.153</v>
      </c>
    </row>
    <row r="7" spans="1:2">
      <c r="A7" t="str">
        <f>Sheet4!C54</f>
        <v>1997-05-01</v>
      </c>
      <c r="B7">
        <f>Sheet4!B54</f>
        <v>0.147</v>
      </c>
    </row>
    <row r="8" spans="1:2">
      <c r="A8" t="str">
        <f>Sheet4!C55</f>
        <v>1997-06-01</v>
      </c>
      <c r="B8">
        <f>Sheet4!B55</f>
        <v>0.145</v>
      </c>
    </row>
    <row r="9" spans="1:2">
      <c r="A9" t="str">
        <f>Sheet4!C56</f>
        <v>1997-07-01</v>
      </c>
      <c r="B9">
        <f>Sheet4!B56</f>
        <v>0.147</v>
      </c>
    </row>
    <row r="10" spans="1:2">
      <c r="A10" t="str">
        <f>Sheet4!C57</f>
        <v>1997-08-01</v>
      </c>
      <c r="B10">
        <f>Sheet4!B57</f>
        <v>0.148</v>
      </c>
    </row>
    <row r="11" spans="1:2">
      <c r="A11" t="str">
        <f>Sheet4!C58</f>
        <v>1997-09-01</v>
      </c>
      <c r="B11">
        <f>Sheet4!B58</f>
        <v>0.142</v>
      </c>
    </row>
    <row r="12" spans="1:2">
      <c r="A12" t="str">
        <f>Sheet4!C59</f>
        <v>1997-10-01</v>
      </c>
      <c r="B12">
        <f>Sheet4!B59</f>
        <v>0.13</v>
      </c>
    </row>
    <row r="13" spans="1:2">
      <c r="A13" t="str">
        <f>Sheet4!C60</f>
        <v>1997-11-01</v>
      </c>
      <c r="B13">
        <f>Sheet4!B60</f>
        <v>0.115</v>
      </c>
    </row>
    <row r="14" spans="1:2">
      <c r="A14" t="str">
        <f>Sheet4!C61</f>
        <v>1997-12-01</v>
      </c>
      <c r="B14">
        <f>Sheet4!B61</f>
        <v>0.11</v>
      </c>
    </row>
    <row r="15" spans="1:2">
      <c r="A15" t="str">
        <f>Sheet4!C62</f>
        <v>1998-01-01</v>
      </c>
      <c r="B15">
        <f>Sheet4!B62</f>
        <v>0.101</v>
      </c>
    </row>
    <row r="16" spans="1:2">
      <c r="A16" t="str">
        <f>Sheet4!C63</f>
        <v>1998-02-01</v>
      </c>
      <c r="B16">
        <f>Sheet4!B63</f>
        <v>0.094</v>
      </c>
    </row>
    <row r="17" spans="1:2">
      <c r="A17" t="str">
        <f>Sheet4!C64</f>
        <v>1998-03-01</v>
      </c>
      <c r="B17">
        <f>Sheet4!B64</f>
        <v>0.086</v>
      </c>
    </row>
    <row r="18" spans="1:2">
      <c r="A18" t="str">
        <f>Sheet4!C65</f>
        <v>1998-04-01</v>
      </c>
      <c r="B18">
        <f>Sheet4!B65</f>
        <v>0.079</v>
      </c>
    </row>
    <row r="19" spans="1:2">
      <c r="A19" t="str">
        <f>Sheet4!C66</f>
        <v>1998-05-01</v>
      </c>
      <c r="B19">
        <f>Sheet4!B66</f>
        <v>0.075</v>
      </c>
    </row>
    <row r="20" spans="1:2">
      <c r="A20" t="str">
        <f>Sheet4!C67</f>
        <v>1998-06-01</v>
      </c>
      <c r="B20">
        <f>Sheet4!B67</f>
        <v>0.065</v>
      </c>
    </row>
    <row r="21" spans="1:2">
      <c r="A21" t="str">
        <f>Sheet4!C68</f>
        <v>1998-07-01</v>
      </c>
      <c r="B21">
        <f>Sheet4!B68</f>
        <v>0.057</v>
      </c>
    </row>
    <row r="22" spans="1:2">
      <c r="A22" t="str">
        <f>Sheet4!C69</f>
        <v>1998-08-01</v>
      </c>
      <c r="B22">
        <f>Sheet4!B69</f>
        <v>0.096</v>
      </c>
    </row>
    <row r="23" spans="1:2">
      <c r="A23" t="str">
        <f>Sheet4!C70</f>
        <v>1998-09-01</v>
      </c>
      <c r="B23">
        <f>Sheet4!B70</f>
        <v>0.522</v>
      </c>
    </row>
    <row r="24" spans="1:2">
      <c r="A24" t="str">
        <f>Sheet4!C71</f>
        <v>1998-10-01</v>
      </c>
      <c r="B24">
        <f>Sheet4!B71</f>
        <v>0.588</v>
      </c>
    </row>
    <row r="25" spans="1:2">
      <c r="A25" t="str">
        <f>Sheet4!C72</f>
        <v>1998-11-01</v>
      </c>
      <c r="B25">
        <f>Sheet4!B72</f>
        <v>0.669</v>
      </c>
    </row>
    <row r="26" spans="1:2">
      <c r="A26" t="str">
        <f>Sheet4!C73</f>
        <v>1998-12-01</v>
      </c>
      <c r="B26">
        <f>Sheet4!B73</f>
        <v>0.844</v>
      </c>
    </row>
    <row r="27" spans="1:2">
      <c r="A27" t="str">
        <f>Sheet4!C74</f>
        <v>1999-01-01</v>
      </c>
      <c r="B27">
        <f>Sheet4!B74</f>
        <v>0.97</v>
      </c>
    </row>
    <row r="28" spans="1:2">
      <c r="A28" t="str">
        <f>Sheet4!C75</f>
        <v>1999-02-01</v>
      </c>
      <c r="B28">
        <f>Sheet4!B75</f>
        <v>1.034</v>
      </c>
    </row>
    <row r="29" spans="1:2">
      <c r="A29" t="str">
        <f>Sheet4!C76</f>
        <v>1999-03-01</v>
      </c>
      <c r="B29">
        <f>Sheet4!B76</f>
        <v>1.075</v>
      </c>
    </row>
    <row r="30" spans="1:2">
      <c r="A30" t="str">
        <f>Sheet4!C77</f>
        <v>1999-04-01</v>
      </c>
      <c r="B30">
        <f>Sheet4!B77</f>
        <v>1.131</v>
      </c>
    </row>
    <row r="31" spans="1:2">
      <c r="A31" t="str">
        <f>Sheet4!C78</f>
        <v>1999-05-01</v>
      </c>
      <c r="B31">
        <f>Sheet4!B78</f>
        <v>1.167</v>
      </c>
    </row>
    <row r="32" spans="1:2">
      <c r="A32" t="str">
        <f>Sheet4!C79</f>
        <v>1999-06-01</v>
      </c>
      <c r="B32">
        <f>Sheet4!B79</f>
        <v>1.206</v>
      </c>
    </row>
    <row r="33" spans="1:2">
      <c r="A33" t="str">
        <f>Sheet4!C80</f>
        <v>1999-07-01</v>
      </c>
      <c r="B33">
        <f>Sheet4!B80</f>
        <v>1.264</v>
      </c>
    </row>
    <row r="34" spans="1:2">
      <c r="A34" t="str">
        <f>Sheet4!C81</f>
        <v>1999-08-01</v>
      </c>
      <c r="B34">
        <f>Sheet4!B81</f>
        <v>1.21</v>
      </c>
    </row>
    <row r="35" spans="1:2">
      <c r="A35" t="str">
        <f>Sheet4!C82</f>
        <v>1999-09-01</v>
      </c>
      <c r="B35">
        <f>Sheet4!B82</f>
        <v>0.62</v>
      </c>
    </row>
    <row r="36" spans="1:2">
      <c r="A36" t="str">
        <f>Sheet4!C83</f>
        <v>1999-10-01</v>
      </c>
      <c r="B36">
        <f>Sheet4!B83</f>
        <v>0.571</v>
      </c>
    </row>
    <row r="37" spans="1:2">
      <c r="A37" t="str">
        <f>Sheet4!C84</f>
        <v>1999-11-01</v>
      </c>
      <c r="B37">
        <f>Sheet4!B84</f>
        <v>0.505</v>
      </c>
    </row>
    <row r="38" spans="1:2">
      <c r="A38" t="str">
        <f>Sheet4!C85</f>
        <v>1999-12-01</v>
      </c>
      <c r="B38">
        <f>Sheet4!B85</f>
        <v>0.366</v>
      </c>
    </row>
    <row r="39" spans="1:2">
      <c r="A39" t="str">
        <f>Sheet4!C86</f>
        <v>2000-01-01</v>
      </c>
      <c r="B39">
        <f>Sheet4!B86</f>
        <v>0.289</v>
      </c>
    </row>
    <row r="40" spans="1:2">
      <c r="A40" t="str">
        <f>Sheet4!C87</f>
        <v>2000-02-01</v>
      </c>
      <c r="B40">
        <f>Sheet4!B87</f>
        <v>0.251</v>
      </c>
    </row>
    <row r="41" spans="1:2">
      <c r="A41" t="str">
        <f>Sheet4!C88</f>
        <v>2000-03-01</v>
      </c>
      <c r="B41">
        <f>Sheet4!B88</f>
        <v>0.225</v>
      </c>
    </row>
    <row r="42" spans="1:2">
      <c r="A42" t="str">
        <f>Sheet4!C89</f>
        <v>2000-04-01</v>
      </c>
      <c r="B42">
        <f>Sheet4!B89</f>
        <v>0.199</v>
      </c>
    </row>
    <row r="43" spans="1:2">
      <c r="A43" t="str">
        <f>Sheet4!C90</f>
        <v>2000-05-01</v>
      </c>
      <c r="B43">
        <f>Sheet4!B90</f>
        <v>0.194</v>
      </c>
    </row>
    <row r="44" spans="1:2">
      <c r="A44" t="str">
        <f>Sheet4!C91</f>
        <v>2000-06-01</v>
      </c>
      <c r="B44">
        <f>Sheet4!B91</f>
        <v>0.201</v>
      </c>
    </row>
    <row r="45" spans="1:2">
      <c r="A45" t="str">
        <f>Sheet4!C92</f>
        <v>2000-07-01</v>
      </c>
      <c r="B45">
        <f>Sheet4!B92</f>
        <v>0.189</v>
      </c>
    </row>
    <row r="46" spans="1:2">
      <c r="A46" t="str">
        <f>Sheet4!C93</f>
        <v>2000-08-01</v>
      </c>
      <c r="B46">
        <f>Sheet4!B93</f>
        <v>0.187</v>
      </c>
    </row>
    <row r="47" spans="1:2">
      <c r="A47" t="str">
        <f>Sheet4!C94</f>
        <v>2000-09-01</v>
      </c>
      <c r="B47">
        <f>Sheet4!B94</f>
        <v>0.186</v>
      </c>
    </row>
    <row r="48" spans="1:2">
      <c r="A48" t="str">
        <f>Sheet4!C95</f>
        <v>2000-10-01</v>
      </c>
      <c r="B48">
        <f>Sheet4!B95</f>
        <v>0.194</v>
      </c>
    </row>
    <row r="49" spans="1:2">
      <c r="A49" t="str">
        <f>Sheet4!C96</f>
        <v>2000-11-01</v>
      </c>
      <c r="B49">
        <f>Sheet4!B96</f>
        <v>0.197</v>
      </c>
    </row>
    <row r="50" spans="1:2">
      <c r="A50" t="str">
        <f>Sheet4!C97</f>
        <v>2000-12-01</v>
      </c>
      <c r="B50">
        <f>Sheet4!B97</f>
        <v>0.202</v>
      </c>
    </row>
    <row r="51" spans="1:2">
      <c r="A51" t="str">
        <f>Sheet4!C98</f>
        <v>2001-01-01</v>
      </c>
      <c r="B51">
        <f>Sheet4!B98</f>
        <v>0.207</v>
      </c>
    </row>
    <row r="52" spans="1:2">
      <c r="A52" t="str">
        <f>Sheet4!C99</f>
        <v>2001-02-01</v>
      </c>
      <c r="B52">
        <f>Sheet4!B99</f>
        <v>0.222</v>
      </c>
    </row>
    <row r="53" spans="1:2">
      <c r="A53" t="str">
        <f>Sheet4!C100</f>
        <v>2001-03-01</v>
      </c>
      <c r="B53">
        <f>Sheet4!B100</f>
        <v>0.237</v>
      </c>
    </row>
    <row r="54" spans="1:2">
      <c r="A54" t="str">
        <f>Sheet4!C101</f>
        <v>2001-04-01</v>
      </c>
      <c r="B54">
        <f>Sheet4!B101</f>
        <v>0.248</v>
      </c>
    </row>
    <row r="55" spans="1:2">
      <c r="A55" t="str">
        <f>Sheet4!C102</f>
        <v>2001-05-01</v>
      </c>
      <c r="B55">
        <f>Sheet4!B102</f>
        <v>0.248</v>
      </c>
    </row>
    <row r="56" spans="1:2">
      <c r="A56" t="str">
        <f>Sheet4!C103</f>
        <v>2001-06-01</v>
      </c>
      <c r="B56">
        <f>Sheet4!B103</f>
        <v>0.237</v>
      </c>
    </row>
    <row r="57" spans="1:2">
      <c r="A57" t="str">
        <f>Sheet4!C104</f>
        <v>2001-07-01</v>
      </c>
      <c r="B57">
        <f>Sheet4!B104</f>
        <v>0.22</v>
      </c>
    </row>
    <row r="58" spans="1:2">
      <c r="A58" t="str">
        <f>Sheet4!C105</f>
        <v>2001-08-01</v>
      </c>
      <c r="B58">
        <f>Sheet4!B105</f>
        <v>0.209</v>
      </c>
    </row>
    <row r="59" spans="1:2">
      <c r="A59" t="str">
        <f>Sheet4!C106</f>
        <v>2001-09-01</v>
      </c>
      <c r="B59">
        <f>Sheet4!B106</f>
        <v>0.2</v>
      </c>
    </row>
    <row r="60" spans="1:2">
      <c r="A60" t="str">
        <f>Sheet4!C107</f>
        <v>2001-10-01</v>
      </c>
      <c r="B60">
        <f>Sheet4!B107</f>
        <v>0.188</v>
      </c>
    </row>
    <row r="61" spans="1:2">
      <c r="A61" t="str">
        <f>Sheet4!C108</f>
        <v>2001-11-01</v>
      </c>
      <c r="B61">
        <f>Sheet4!B108</f>
        <v>0.186</v>
      </c>
    </row>
    <row r="62" spans="1:2">
      <c r="A62" t="str">
        <f>Sheet4!C109</f>
        <v>2001-12-01</v>
      </c>
      <c r="B62">
        <f>Sheet4!B109</f>
        <v>0.186</v>
      </c>
    </row>
    <row r="63" spans="1:2">
      <c r="A63" t="str">
        <f>Sheet4!C110</f>
        <v>2002-01-01</v>
      </c>
      <c r="B63">
        <f>Sheet4!B110</f>
        <v>0.19</v>
      </c>
    </row>
    <row r="64" spans="1:2">
      <c r="A64" t="str">
        <f>Sheet4!C111</f>
        <v>2002-02-01</v>
      </c>
      <c r="B64">
        <f>Sheet4!B111</f>
        <v>0.177</v>
      </c>
    </row>
    <row r="65" spans="1:2">
      <c r="A65" t="str">
        <f>Sheet4!C112</f>
        <v>2002-03-01</v>
      </c>
      <c r="B65">
        <f>Sheet4!B112</f>
        <v>0.168</v>
      </c>
    </row>
    <row r="66" spans="1:2">
      <c r="A66" t="str">
        <f>Sheet4!C113</f>
        <v>2002-04-01</v>
      </c>
      <c r="B66">
        <f>Sheet4!B113</f>
        <v>0.161</v>
      </c>
    </row>
    <row r="67" spans="1:2">
      <c r="A67" t="str">
        <f>Sheet4!C114</f>
        <v>2002-05-01</v>
      </c>
      <c r="B67">
        <f>Sheet4!B114</f>
        <v>0.159</v>
      </c>
    </row>
    <row r="68" spans="1:2">
      <c r="A68" t="str">
        <f>Sheet4!C115</f>
        <v>2002-06-01</v>
      </c>
      <c r="B68">
        <f>Sheet4!B115</f>
        <v>0.147</v>
      </c>
    </row>
    <row r="69" spans="1:2">
      <c r="A69" t="str">
        <f>Sheet4!C116</f>
        <v>2002-07-01</v>
      </c>
      <c r="B69">
        <f>Sheet4!B116</f>
        <v>0.15</v>
      </c>
    </row>
    <row r="70" spans="1:2">
      <c r="A70" t="str">
        <f>Sheet4!C117</f>
        <v>2002-08-01</v>
      </c>
      <c r="B70">
        <f>Sheet4!B117</f>
        <v>0.151</v>
      </c>
    </row>
    <row r="71" spans="1:2">
      <c r="A71" t="str">
        <f>Sheet4!C118</f>
        <v>2002-09-01</v>
      </c>
      <c r="B71">
        <f>Sheet4!B118</f>
        <v>0.149</v>
      </c>
    </row>
    <row r="72" spans="1:2">
      <c r="A72" t="str">
        <f>Sheet4!C119</f>
        <v>2002-10-01</v>
      </c>
      <c r="B72">
        <f>Sheet4!B119</f>
        <v>0.149</v>
      </c>
    </row>
    <row r="73" spans="1:2">
      <c r="A73" t="str">
        <f>Sheet4!C120</f>
        <v>2002-11-01</v>
      </c>
      <c r="B73">
        <f>Sheet4!B120</f>
        <v>0.151</v>
      </c>
    </row>
    <row r="74" spans="1:2">
      <c r="A74" t="str">
        <f>Sheet4!C121</f>
        <v>2002-12-01</v>
      </c>
      <c r="B74">
        <f>Sheet4!B121</f>
        <v>0.151</v>
      </c>
    </row>
    <row r="75" spans="1:2">
      <c r="A75" t="str">
        <f>Sheet4!C122</f>
        <v>2003-01-01</v>
      </c>
      <c r="B75">
        <f>Sheet4!B122</f>
        <v>0.143</v>
      </c>
    </row>
    <row r="76" spans="1:2">
      <c r="A76" t="str">
        <f>Sheet4!C123</f>
        <v>2003-02-01</v>
      </c>
      <c r="B76">
        <f>Sheet4!B123</f>
        <v>0.148</v>
      </c>
    </row>
    <row r="77" spans="1:2">
      <c r="A77" t="str">
        <f>Sheet4!C124</f>
        <v>2003-03-01</v>
      </c>
      <c r="B77">
        <f>Sheet4!B124</f>
        <v>0.148</v>
      </c>
    </row>
    <row r="78" spans="1:2">
      <c r="A78" t="str">
        <f>Sheet4!C125</f>
        <v>2003-04-01</v>
      </c>
      <c r="B78">
        <f>Sheet4!B125</f>
        <v>0.146</v>
      </c>
    </row>
    <row r="79" spans="1:2">
      <c r="A79" t="str">
        <f>Sheet4!C126</f>
        <v>2003-05-01</v>
      </c>
      <c r="B79">
        <f>Sheet4!B126</f>
        <v>0.136</v>
      </c>
    </row>
    <row r="80" spans="1:2">
      <c r="A80" t="str">
        <f>Sheet4!C127</f>
        <v>2003-06-01</v>
      </c>
      <c r="B80">
        <f>Sheet4!B127</f>
        <v>0.139</v>
      </c>
    </row>
    <row r="81" spans="1:2">
      <c r="A81" t="str">
        <f>Sheet4!C128</f>
        <v>2003-07-01</v>
      </c>
      <c r="B81">
        <f>Sheet4!B128</f>
        <v>0.139</v>
      </c>
    </row>
    <row r="82" spans="1:2">
      <c r="A82" t="str">
        <f>Sheet4!C129</f>
        <v>2003-08-01</v>
      </c>
      <c r="B82">
        <f>Sheet4!B129</f>
        <v>0.134</v>
      </c>
    </row>
    <row r="83" spans="1:2">
      <c r="A83" t="str">
        <f>Sheet4!C130</f>
        <v>2003-09-01</v>
      </c>
      <c r="B83">
        <f>Sheet4!B130</f>
        <v>0.133</v>
      </c>
    </row>
    <row r="84" spans="1:2">
      <c r="A84" t="str">
        <f>Sheet4!C131</f>
        <v>2003-10-01</v>
      </c>
      <c r="B84">
        <f>Sheet4!B131</f>
        <v>0.132</v>
      </c>
    </row>
    <row r="85" spans="1:2">
      <c r="A85" t="str">
        <f>Sheet4!C132</f>
        <v>2003-11-01</v>
      </c>
      <c r="B85">
        <f>Sheet4!B132</f>
        <v>0.125</v>
      </c>
    </row>
    <row r="86" spans="1:2">
      <c r="A86" t="str">
        <f>Sheet4!C133</f>
        <v>2003-12-01</v>
      </c>
      <c r="B86">
        <f>Sheet4!B133</f>
        <v>0.12</v>
      </c>
    </row>
    <row r="87" spans="1:2">
      <c r="A87" t="str">
        <f>Sheet4!C134</f>
        <v>2004-01-01</v>
      </c>
      <c r="B87">
        <f>Sheet4!B134</f>
        <v>0.113</v>
      </c>
    </row>
    <row r="88" spans="1:2">
      <c r="A88" t="str">
        <f>Sheet4!C135</f>
        <v>2004-02-01</v>
      </c>
      <c r="B88">
        <f>Sheet4!B135</f>
        <v>0.106</v>
      </c>
    </row>
    <row r="89" spans="1:2">
      <c r="A89" t="str">
        <f>Sheet4!C136</f>
        <v>2004-03-01</v>
      </c>
      <c r="B89">
        <f>Sheet4!B136</f>
        <v>0.103</v>
      </c>
    </row>
    <row r="90" spans="1:2">
      <c r="A90" t="str">
        <f>Sheet4!C137</f>
        <v>2004-04-01</v>
      </c>
      <c r="B90">
        <f>Sheet4!B137</f>
        <v>0.102</v>
      </c>
    </row>
    <row r="91" spans="1:2">
      <c r="A91" t="str">
        <f>Sheet4!C138</f>
        <v>2004-05-01</v>
      </c>
      <c r="B91">
        <f>Sheet4!B138</f>
        <v>0.102</v>
      </c>
    </row>
    <row r="92" spans="1:2">
      <c r="A92" t="str">
        <f>Sheet4!C139</f>
        <v>2004-06-01</v>
      </c>
      <c r="B92">
        <f>Sheet4!B139</f>
        <v>0.101</v>
      </c>
    </row>
    <row r="93" spans="1:2">
      <c r="A93" t="str">
        <f>Sheet4!C140</f>
        <v>2004-07-01</v>
      </c>
      <c r="B93">
        <f>Sheet4!B140</f>
        <v>0.104</v>
      </c>
    </row>
    <row r="94" spans="1:2">
      <c r="A94" t="str">
        <f>Sheet4!C141</f>
        <v>2004-08-01</v>
      </c>
      <c r="B94">
        <f>Sheet4!B141</f>
        <v>0.113</v>
      </c>
    </row>
    <row r="95" spans="1:2">
      <c r="A95" t="str">
        <f>Sheet4!C142</f>
        <v>2004-09-01</v>
      </c>
      <c r="B95">
        <f>Sheet4!B142</f>
        <v>0.114</v>
      </c>
    </row>
    <row r="96" spans="1:2">
      <c r="A96" t="str">
        <f>Sheet4!C143</f>
        <v>2004-10-01</v>
      </c>
      <c r="B96">
        <f>Sheet4!B143</f>
        <v>0.115</v>
      </c>
    </row>
    <row r="97" spans="1:2">
      <c r="A97" t="str">
        <f>Sheet4!C144</f>
        <v>2004-11-01</v>
      </c>
      <c r="B97">
        <f>Sheet4!B144</f>
        <v>0.117</v>
      </c>
    </row>
    <row r="98" spans="1:2">
      <c r="A98" t="str">
        <f>Sheet4!C145</f>
        <v>2004-12-01</v>
      </c>
      <c r="B98">
        <f>Sheet4!B145</f>
        <v>0.117</v>
      </c>
    </row>
    <row r="99" spans="1:2">
      <c r="A99" t="str">
        <f>Sheet4!C146</f>
        <v>2005-01-01</v>
      </c>
      <c r="B99">
        <f>Sheet4!B146</f>
        <v>0.127</v>
      </c>
    </row>
    <row r="100" spans="1:2">
      <c r="A100" t="str">
        <f>Sheet4!C147</f>
        <v>2005-02-01</v>
      </c>
      <c r="B100">
        <f>Sheet4!B147</f>
        <v>0.13</v>
      </c>
    </row>
    <row r="101" spans="1:2">
      <c r="A101" t="str">
        <f>Sheet4!C148</f>
        <v>2005-03-01</v>
      </c>
      <c r="B101">
        <f>Sheet4!B148</f>
        <v>0.136</v>
      </c>
    </row>
    <row r="102" spans="1:2">
      <c r="A102" t="str">
        <f>Sheet4!C149</f>
        <v>2005-04-01</v>
      </c>
      <c r="B102">
        <f>Sheet4!B149</f>
        <v>0.138</v>
      </c>
    </row>
    <row r="103" spans="1:2">
      <c r="A103" t="str">
        <f>Sheet4!C150</f>
        <v>2005-05-01</v>
      </c>
      <c r="B103">
        <f>Sheet4!B150</f>
        <v>0.138</v>
      </c>
    </row>
    <row r="104" spans="1:2">
      <c r="A104" t="str">
        <f>Sheet4!C151</f>
        <v>2005-06-01</v>
      </c>
      <c r="B104">
        <f>Sheet4!B151</f>
        <v>0.137</v>
      </c>
    </row>
    <row r="105" spans="1:2">
      <c r="A105" t="str">
        <f>Sheet4!C152</f>
        <v>2005-07-01</v>
      </c>
      <c r="B105">
        <f>Sheet4!B152</f>
        <v>0.132</v>
      </c>
    </row>
    <row r="106" spans="1:2">
      <c r="A106" t="str">
        <f>Sheet4!C153</f>
        <v>2005-08-01</v>
      </c>
      <c r="B106">
        <f>Sheet4!B153</f>
        <v>0.125</v>
      </c>
    </row>
    <row r="107" spans="1:2">
      <c r="A107" t="str">
        <f>Sheet4!C154</f>
        <v>2005-09-01</v>
      </c>
      <c r="B107">
        <f>Sheet4!B154</f>
        <v>0.123</v>
      </c>
    </row>
    <row r="108" spans="1:2">
      <c r="A108" t="str">
        <f>Sheet4!C155</f>
        <v>2005-10-01</v>
      </c>
      <c r="B108">
        <f>Sheet4!B155</f>
        <v>0.117</v>
      </c>
    </row>
    <row r="109" spans="1:2">
      <c r="A109" t="str">
        <f>Sheet4!C156</f>
        <v>2005-11-01</v>
      </c>
      <c r="B109">
        <f>Sheet4!B156</f>
        <v>0.113</v>
      </c>
    </row>
    <row r="110" spans="1:2">
      <c r="A110" t="str">
        <f>Sheet4!C157</f>
        <v>2005-12-01</v>
      </c>
      <c r="B110">
        <f>Sheet4!B157</f>
        <v>0.109</v>
      </c>
    </row>
    <row r="111" spans="1:2">
      <c r="A111" t="str">
        <f>Sheet4!C158</f>
        <v>2006-01-01</v>
      </c>
      <c r="B111">
        <f>Sheet4!B158</f>
        <v>0.107</v>
      </c>
    </row>
    <row r="112" spans="1:2">
      <c r="A112" t="str">
        <f>Sheet4!C159</f>
        <v>2006-02-01</v>
      </c>
      <c r="B112">
        <f>Sheet4!B159</f>
        <v>0.112</v>
      </c>
    </row>
    <row r="113" spans="1:2">
      <c r="A113" t="str">
        <f>Sheet4!C160</f>
        <v>2006-03-01</v>
      </c>
      <c r="B113">
        <f>Sheet4!B160</f>
        <v>0.106</v>
      </c>
    </row>
    <row r="114" spans="1:2">
      <c r="A114" t="str">
        <f>Sheet4!C161</f>
        <v>2006-04-01</v>
      </c>
      <c r="B114">
        <f>Sheet4!B161</f>
        <v>0.098</v>
      </c>
    </row>
    <row r="115" spans="1:2">
      <c r="A115" t="str">
        <f>Sheet4!C162</f>
        <v>2006-05-01</v>
      </c>
      <c r="B115">
        <f>Sheet4!B162</f>
        <v>0.094</v>
      </c>
    </row>
    <row r="116" spans="1:2">
      <c r="A116" t="str">
        <f>Sheet4!C163</f>
        <v>2006-06-01</v>
      </c>
      <c r="B116">
        <f>Sheet4!B163</f>
        <v>0.09</v>
      </c>
    </row>
    <row r="117" spans="1:2">
      <c r="A117" t="str">
        <f>Sheet4!C164</f>
        <v>2006-07-01</v>
      </c>
      <c r="B117">
        <f>Sheet4!B164</f>
        <v>0.092</v>
      </c>
    </row>
    <row r="118" spans="1:2">
      <c r="A118" t="str">
        <f>Sheet4!C165</f>
        <v>2006-08-01</v>
      </c>
      <c r="B118">
        <f>Sheet4!B165</f>
        <v>0.096</v>
      </c>
    </row>
    <row r="119" spans="1:2">
      <c r="A119" t="str">
        <f>Sheet4!C166</f>
        <v>2006-09-01</v>
      </c>
      <c r="B119">
        <f>Sheet4!B166</f>
        <v>0.094</v>
      </c>
    </row>
    <row r="120" spans="1:2">
      <c r="A120" t="str">
        <f>Sheet4!C167</f>
        <v>2006-10-01</v>
      </c>
      <c r="B120">
        <f>Sheet4!B167</f>
        <v>0.091</v>
      </c>
    </row>
    <row r="121" spans="1:2">
      <c r="A121" t="str">
        <f>Sheet4!C168</f>
        <v>2006-11-01</v>
      </c>
      <c r="B121">
        <f>Sheet4!B168</f>
        <v>0.09</v>
      </c>
    </row>
    <row r="122" spans="1:2">
      <c r="A122" t="str">
        <f>Sheet4!C169</f>
        <v>2006-12-01</v>
      </c>
      <c r="B122">
        <f>Sheet4!B169</f>
        <v>0.09</v>
      </c>
    </row>
    <row r="123" spans="1:2">
      <c r="A123" t="str">
        <f>Sheet4!C170</f>
        <v>2007-01-01</v>
      </c>
      <c r="B123">
        <f>Sheet4!B170</f>
        <v>0.082</v>
      </c>
    </row>
    <row r="124" spans="1:2">
      <c r="A124" t="str">
        <f>Sheet4!C171</f>
        <v>2007-02-01</v>
      </c>
      <c r="B124">
        <f>Sheet4!B171</f>
        <v>0.076</v>
      </c>
    </row>
    <row r="125" spans="1:2">
      <c r="A125" t="str">
        <f>Sheet4!C172</f>
        <v>2007-03-01</v>
      </c>
      <c r="B125">
        <f>Sheet4!B172</f>
        <v>0.074</v>
      </c>
    </row>
    <row r="126" spans="1:2">
      <c r="A126" t="str">
        <f>Sheet4!C173</f>
        <v>2007-04-01</v>
      </c>
      <c r="B126">
        <f>Sheet4!B173</f>
        <v>0.076</v>
      </c>
    </row>
    <row r="127" spans="1:2">
      <c r="A127" t="str">
        <f>Sheet4!C174</f>
        <v>2007-05-01</v>
      </c>
      <c r="B127">
        <f>Sheet4!B174</f>
        <v>0.078</v>
      </c>
    </row>
    <row r="128" spans="1:2">
      <c r="A128" t="str">
        <f>Sheet4!C175</f>
        <v>2007-06-01</v>
      </c>
      <c r="B128">
        <f>Sheet4!B175</f>
        <v>0.085</v>
      </c>
    </row>
    <row r="129" spans="1:2">
      <c r="A129" t="str">
        <f>Sheet4!C176</f>
        <v>2007-07-01</v>
      </c>
      <c r="B129">
        <f>Sheet4!B176</f>
        <v>0.087</v>
      </c>
    </row>
    <row r="130" spans="1:2">
      <c r="A130" t="str">
        <f>Sheet4!C177</f>
        <v>2007-08-01</v>
      </c>
      <c r="B130">
        <f>Sheet4!B177</f>
        <v>0.086</v>
      </c>
    </row>
    <row r="131" spans="1:2">
      <c r="A131" t="str">
        <f>Sheet4!C178</f>
        <v>2007-09-01</v>
      </c>
      <c r="B131">
        <f>Sheet4!B178</f>
        <v>0.094</v>
      </c>
    </row>
    <row r="132" spans="1:2">
      <c r="A132" t="str">
        <f>Sheet4!C179</f>
        <v>2007-10-01</v>
      </c>
      <c r="B132">
        <f>Sheet4!B179</f>
        <v>0.108</v>
      </c>
    </row>
    <row r="133" spans="1:2">
      <c r="A133" t="str">
        <f>Sheet4!C180</f>
        <v>2007-11-01</v>
      </c>
      <c r="B133">
        <f>Sheet4!B180</f>
        <v>0.115</v>
      </c>
    </row>
    <row r="134" spans="1:2">
      <c r="A134" t="str">
        <f>Sheet4!C181</f>
        <v>2007-12-01</v>
      </c>
      <c r="B134">
        <f>Sheet4!B181</f>
        <v>0.119</v>
      </c>
    </row>
    <row r="135" spans="1:2">
      <c r="A135" t="str">
        <f>Sheet4!C182</f>
        <v>2008-01-01</v>
      </c>
      <c r="B135">
        <f>Sheet4!B182</f>
        <v>0.126</v>
      </c>
    </row>
    <row r="136" spans="1:2">
      <c r="A136" t="str">
        <f>Sheet4!C183</f>
        <v>2008-02-01</v>
      </c>
      <c r="B136">
        <f>Sheet4!B183</f>
        <v>0.127</v>
      </c>
    </row>
    <row r="137" spans="1:2">
      <c r="A137" t="str">
        <f>Sheet4!C184</f>
        <v>2008-03-01</v>
      </c>
      <c r="B137">
        <f>Sheet4!B184</f>
        <v>0.134</v>
      </c>
    </row>
    <row r="138" spans="1:2">
      <c r="A138" t="str">
        <f>Sheet4!C185</f>
        <v>2008-04-01</v>
      </c>
      <c r="B138">
        <f>Sheet4!B185</f>
        <v>0.143</v>
      </c>
    </row>
    <row r="139" spans="1:2">
      <c r="A139" t="str">
        <f>Sheet4!C186</f>
        <v>2008-05-01</v>
      </c>
      <c r="B139">
        <f>Sheet4!B186</f>
        <v>0.151</v>
      </c>
    </row>
    <row r="140" spans="1:2">
      <c r="A140" t="str">
        <f>Sheet4!C187</f>
        <v>2008-06-01</v>
      </c>
      <c r="B140">
        <f>Sheet4!B187</f>
        <v>0.152</v>
      </c>
    </row>
    <row r="141" spans="1:2">
      <c r="A141" t="str">
        <f>Sheet4!C188</f>
        <v>2008-07-01</v>
      </c>
      <c r="B141">
        <f>Sheet4!B188</f>
        <v>0.147</v>
      </c>
    </row>
    <row r="142" spans="1:2">
      <c r="A142" t="str">
        <f>Sheet4!C189</f>
        <v>2008-08-01</v>
      </c>
      <c r="B142">
        <f>Sheet4!B189</f>
        <v>0.15</v>
      </c>
    </row>
    <row r="143" spans="1:2">
      <c r="A143" t="str">
        <f>Sheet4!C190</f>
        <v>2008-09-01</v>
      </c>
      <c r="B143">
        <f>Sheet4!B190</f>
        <v>0.151</v>
      </c>
    </row>
    <row r="144" spans="1:2">
      <c r="A144" t="str">
        <f>Sheet4!C191</f>
        <v>2008-10-01</v>
      </c>
      <c r="B144">
        <f>Sheet4!B191</f>
        <v>0.142</v>
      </c>
    </row>
    <row r="145" spans="1:2">
      <c r="A145" t="str">
        <f>Sheet4!C192</f>
        <v>2008-11-01</v>
      </c>
      <c r="B145">
        <f>Sheet4!B192</f>
        <v>0.138</v>
      </c>
    </row>
    <row r="146" spans="1:2">
      <c r="A146" t="str">
        <f>Sheet4!C193</f>
        <v>2008-12-01</v>
      </c>
      <c r="B146">
        <f>Sheet4!B193</f>
        <v>0.133</v>
      </c>
    </row>
    <row r="147" spans="1:2">
      <c r="A147" t="str">
        <f>Sheet4!C194</f>
        <v>2009-01-01</v>
      </c>
      <c r="B147">
        <f>Sheet4!B194</f>
        <v>0.133</v>
      </c>
    </row>
    <row r="148" spans="1:2">
      <c r="A148" t="str">
        <f>Sheet4!C195</f>
        <v>2009-02-01</v>
      </c>
      <c r="B148">
        <f>Sheet4!B195</f>
        <v>0.138</v>
      </c>
    </row>
    <row r="149" spans="1:2">
      <c r="A149" t="str">
        <f>Sheet4!C196</f>
        <v>2009-03-01</v>
      </c>
      <c r="B149">
        <f>Sheet4!B196</f>
        <v>0.14</v>
      </c>
    </row>
    <row r="150" spans="1:2">
      <c r="A150" t="str">
        <f>Sheet4!C197</f>
        <v>2009-04-01</v>
      </c>
      <c r="B150">
        <f>Sheet4!B197</f>
        <v>0.132</v>
      </c>
    </row>
    <row r="151" spans="1:2">
      <c r="A151" t="str">
        <f>Sheet4!C198</f>
        <v>2009-05-01</v>
      </c>
      <c r="B151">
        <f>Sheet4!B198</f>
        <v>0.123</v>
      </c>
    </row>
    <row r="152" spans="1:2">
      <c r="A152" t="str">
        <f>Sheet4!C199</f>
        <v>2009-06-01</v>
      </c>
      <c r="B152">
        <f>Sheet4!B199</f>
        <v>0.119</v>
      </c>
    </row>
    <row r="153" spans="1:2">
      <c r="A153" t="str">
        <f>Sheet4!C200</f>
        <v>2009-07-01</v>
      </c>
      <c r="B153">
        <f>Sheet4!B200</f>
        <v>0.12</v>
      </c>
    </row>
    <row r="154" spans="1:2">
      <c r="A154" t="str">
        <f>Sheet4!C201</f>
        <v>2009-08-01</v>
      </c>
      <c r="B154">
        <f>Sheet4!B201</f>
        <v>0.116</v>
      </c>
    </row>
    <row r="155" spans="1:2">
      <c r="A155" t="str">
        <f>Sheet4!C202</f>
        <v>2009-09-01</v>
      </c>
      <c r="B155">
        <f>Sheet4!B202</f>
        <v>0.107</v>
      </c>
    </row>
    <row r="156" spans="1:2">
      <c r="A156" t="str">
        <f>Sheet4!C203</f>
        <v>2009-10-01</v>
      </c>
      <c r="B156">
        <f>Sheet4!B203</f>
        <v>0.097</v>
      </c>
    </row>
    <row r="157" spans="1:2">
      <c r="A157" t="str">
        <f>Sheet4!C204</f>
        <v>2009-11-01</v>
      </c>
      <c r="B157">
        <f>Sheet4!B204</f>
        <v>0.091</v>
      </c>
    </row>
    <row r="158" spans="1:2">
      <c r="A158" t="str">
        <f>Sheet4!C205</f>
        <v>2009-12-01</v>
      </c>
      <c r="B158">
        <f>Sheet4!B205</f>
        <v>0.088</v>
      </c>
    </row>
    <row r="159" spans="1:2">
      <c r="A159" t="str">
        <f>Sheet4!C206</f>
        <v>2010-01-01</v>
      </c>
      <c r="B159">
        <f>Sheet4!B206</f>
        <v>0.08</v>
      </c>
    </row>
    <row r="160" spans="1:2">
      <c r="A160" t="str">
        <f>Sheet4!C207</f>
        <v>2010-02-01</v>
      </c>
      <c r="B160">
        <f>Sheet4!B207</f>
        <v>0.072</v>
      </c>
    </row>
    <row r="161" spans="1:2">
      <c r="A161" t="str">
        <f>Sheet4!C208</f>
        <v>2010-03-01</v>
      </c>
      <c r="B161">
        <f>Sheet4!B208</f>
        <v>0.065</v>
      </c>
    </row>
    <row r="162" spans="1:2">
      <c r="A162" t="str">
        <f>Sheet4!C209</f>
        <v>2010-04-01</v>
      </c>
      <c r="B162">
        <f>Sheet4!B209</f>
        <v>0.06</v>
      </c>
    </row>
    <row r="163" spans="1:2">
      <c r="A163" t="str">
        <f>Sheet4!C210</f>
        <v>2010-05-01</v>
      </c>
      <c r="B163">
        <f>Sheet4!B210</f>
        <v>0.06</v>
      </c>
    </row>
    <row r="164" spans="1:2">
      <c r="A164" t="str">
        <f>Sheet4!C211</f>
        <v>2010-06-01</v>
      </c>
      <c r="B164">
        <f>Sheet4!B211</f>
        <v>0.057</v>
      </c>
    </row>
    <row r="165" spans="1:2">
      <c r="A165" t="str">
        <f>Sheet4!C212</f>
        <v>2010-07-01</v>
      </c>
      <c r="B165">
        <f>Sheet4!B212</f>
        <v>0.055</v>
      </c>
    </row>
    <row r="166" spans="1:2">
      <c r="A166" t="str">
        <f>Sheet4!C213</f>
        <v>2010-08-01</v>
      </c>
      <c r="B166">
        <f>Sheet4!B213</f>
        <v>0.06</v>
      </c>
    </row>
    <row r="167" spans="1:2">
      <c r="A167" t="str">
        <f>Sheet4!C214</f>
        <v>2010-09-01</v>
      </c>
      <c r="B167">
        <f>Sheet4!B214</f>
        <v>0.07</v>
      </c>
    </row>
    <row r="168" spans="1:2">
      <c r="A168" t="str">
        <f>Sheet4!C215</f>
        <v>2010-10-01</v>
      </c>
      <c r="B168">
        <f>Sheet4!B215</f>
        <v>0.075</v>
      </c>
    </row>
    <row r="169" spans="1:2">
      <c r="A169" t="str">
        <f>Sheet4!C216</f>
        <v>2010-11-01</v>
      </c>
      <c r="B169">
        <f>Sheet4!B216</f>
        <v>0.081</v>
      </c>
    </row>
    <row r="170" spans="1:2">
      <c r="A170" t="str">
        <f>Sheet4!C217</f>
        <v>2010-12-01</v>
      </c>
      <c r="B170">
        <f>Sheet4!B217</f>
        <v>0.088</v>
      </c>
    </row>
    <row r="171" spans="1:2">
      <c r="A171" t="str">
        <f>Sheet4!C218</f>
        <v>2011-01-01</v>
      </c>
      <c r="B171">
        <f>Sheet4!B218</f>
        <v>0.096</v>
      </c>
    </row>
    <row r="172" spans="1:2">
      <c r="A172" t="str">
        <f>Sheet4!C219</f>
        <v>2011-02-01</v>
      </c>
      <c r="B172">
        <f>Sheet4!B219</f>
        <v>0.095</v>
      </c>
    </row>
    <row r="173" spans="1:2">
      <c r="A173" t="str">
        <f>Sheet4!C220</f>
        <v>2011-03-01</v>
      </c>
      <c r="B173">
        <f>Sheet4!B220</f>
        <v>0.095</v>
      </c>
    </row>
    <row r="174" spans="1:2">
      <c r="A174" t="str">
        <f>Sheet4!C221</f>
        <v>2011-04-01</v>
      </c>
      <c r="B174">
        <f>Sheet4!B221</f>
        <v>0.096</v>
      </c>
    </row>
    <row r="175" spans="1:2">
      <c r="A175" t="str">
        <f>Sheet4!C222</f>
        <v>2011-05-01</v>
      </c>
      <c r="B175">
        <f>Sheet4!B222</f>
        <v>0.096</v>
      </c>
    </row>
    <row r="176" spans="1:2">
      <c r="A176" t="str">
        <f>Sheet4!C223</f>
        <v>2011-06-01</v>
      </c>
      <c r="B176">
        <f>Sheet4!B223</f>
        <v>0.094</v>
      </c>
    </row>
    <row r="177" spans="1:2">
      <c r="A177" t="str">
        <f>Sheet4!C224</f>
        <v>2011-07-01</v>
      </c>
      <c r="B177">
        <f>Sheet4!B224</f>
        <v>0.09</v>
      </c>
    </row>
    <row r="178" spans="1:2">
      <c r="A178" t="str">
        <f>Sheet4!C225</f>
        <v>2011-08-01</v>
      </c>
      <c r="B178">
        <f>Sheet4!B225</f>
        <v>0.082</v>
      </c>
    </row>
    <row r="179" spans="1:2">
      <c r="A179" t="str">
        <f>Sheet4!C226</f>
        <v>2011-09-01</v>
      </c>
      <c r="B179">
        <f>Sheet4!B226</f>
        <v>0.072</v>
      </c>
    </row>
    <row r="180" spans="1:2">
      <c r="A180" t="str">
        <f>Sheet4!C227</f>
        <v>2011-10-01</v>
      </c>
      <c r="B180">
        <f>Sheet4!B227</f>
        <v>0.072</v>
      </c>
    </row>
    <row r="181" spans="1:2">
      <c r="A181" t="str">
        <f>Sheet4!C228</f>
        <v>2011-11-01</v>
      </c>
      <c r="B181">
        <f>Sheet4!B228</f>
        <v>0.068</v>
      </c>
    </row>
    <row r="182" spans="1:2">
      <c r="A182" t="str">
        <f>Sheet4!C229</f>
        <v>2011-12-01</v>
      </c>
      <c r="B182">
        <f>Sheet4!B229</f>
        <v>0.061</v>
      </c>
    </row>
    <row r="183" spans="1:2">
      <c r="A183" t="str">
        <f>Sheet4!C230</f>
        <v>2012-01-01</v>
      </c>
      <c r="B183">
        <f>Sheet4!B230</f>
        <v>0.042</v>
      </c>
    </row>
    <row r="184" spans="1:2">
      <c r="A184" t="str">
        <f>Sheet4!C231</f>
        <v>2012-02-01</v>
      </c>
      <c r="B184">
        <f>Sheet4!B231</f>
        <v>0.037</v>
      </c>
    </row>
    <row r="185" spans="1:2">
      <c r="A185" t="str">
        <f>Sheet4!C232</f>
        <v>2012-03-01</v>
      </c>
      <c r="B185">
        <f>Sheet4!B232</f>
        <v>0.037</v>
      </c>
    </row>
    <row r="186" spans="1:2">
      <c r="A186" t="str">
        <f>Sheet4!C233</f>
        <v>2012-04-01</v>
      </c>
      <c r="B186">
        <f>Sheet4!B233</f>
        <v>0.036</v>
      </c>
    </row>
    <row r="187" spans="1:2">
      <c r="A187" t="str">
        <f>Sheet4!C234</f>
        <v>2012-05-01</v>
      </c>
      <c r="B187">
        <f>Sheet4!B234</f>
        <v>0.036</v>
      </c>
    </row>
    <row r="188" spans="1:2">
      <c r="A188" t="str">
        <f>Sheet4!C235</f>
        <v>2012-06-01</v>
      </c>
      <c r="B188">
        <f>Sheet4!B235</f>
        <v>0.043</v>
      </c>
    </row>
    <row r="189" spans="1:2">
      <c r="A189" t="str">
        <f>Sheet4!C236</f>
        <v>2012-07-01</v>
      </c>
      <c r="B189">
        <f>Sheet4!B236</f>
        <v>0.056</v>
      </c>
    </row>
    <row r="190" spans="1:2">
      <c r="A190" t="str">
        <f>Sheet4!C237</f>
        <v>2012-08-01</v>
      </c>
      <c r="B190">
        <f>Sheet4!B237</f>
        <v>0.06</v>
      </c>
    </row>
    <row r="191" spans="1:2">
      <c r="A191" t="str">
        <f>Sheet4!C238</f>
        <v>2012-09-01</v>
      </c>
      <c r="B191">
        <f>Sheet4!B238</f>
        <v>0.066</v>
      </c>
    </row>
    <row r="192" spans="1:2">
      <c r="A192" t="str">
        <f>Sheet4!C239</f>
        <v>2012-10-01</v>
      </c>
      <c r="B192">
        <f>Sheet4!B239</f>
        <v>0.066</v>
      </c>
    </row>
    <row r="193" spans="1:2">
      <c r="A193" t="str">
        <f>Sheet4!C240</f>
        <v>2012-11-01</v>
      </c>
      <c r="B193">
        <f>Sheet4!B240</f>
        <v>0.065</v>
      </c>
    </row>
    <row r="194" spans="1:2">
      <c r="A194" t="str">
        <f>Sheet4!C241</f>
        <v>2012-12-01</v>
      </c>
      <c r="B194">
        <f>Sheet4!B241</f>
        <v>0.066</v>
      </c>
    </row>
    <row r="195" spans="1:2">
      <c r="A195" t="str">
        <f>Sheet4!C242</f>
        <v>2013-01-01</v>
      </c>
      <c r="B195">
        <f>Sheet4!B242</f>
        <v>0.071</v>
      </c>
    </row>
    <row r="196" spans="1:2">
      <c r="A196" t="str">
        <f>Sheet4!C243</f>
        <v>2013-02-01</v>
      </c>
      <c r="B196">
        <f>Sheet4!B243</f>
        <v>0.073</v>
      </c>
    </row>
    <row r="197" spans="1:2">
      <c r="A197" t="str">
        <f>Sheet4!C244</f>
        <v>2013-03-01</v>
      </c>
      <c r="B197">
        <f>Sheet4!B244</f>
        <v>0.07</v>
      </c>
    </row>
    <row r="198" spans="1:2">
      <c r="A198" t="str">
        <f>Sheet4!C245</f>
        <v>2013-04-01</v>
      </c>
      <c r="B198">
        <f>Sheet4!B245</f>
        <v>0.072</v>
      </c>
    </row>
    <row r="199" spans="1:2">
      <c r="A199" t="str">
        <f>Sheet4!C246</f>
        <v>2013-05-01</v>
      </c>
      <c r="B199">
        <f>Sheet4!B246</f>
        <v>0.074</v>
      </c>
    </row>
    <row r="200" spans="1:2">
      <c r="A200" t="str">
        <f>Sheet4!C247</f>
        <v>2013-06-01</v>
      </c>
      <c r="B200">
        <f>Sheet4!B247</f>
        <v>0.069</v>
      </c>
    </row>
    <row r="201" spans="1:2">
      <c r="A201" t="str">
        <f>Sheet4!C248</f>
        <v>2013-07-01</v>
      </c>
      <c r="B201">
        <f>Sheet4!B248</f>
        <v>0.065</v>
      </c>
    </row>
    <row r="202" spans="1:2">
      <c r="A202" t="str">
        <f>Sheet4!C249</f>
        <v>2013-08-01</v>
      </c>
      <c r="B202">
        <f>Sheet4!B249</f>
        <v>0.065</v>
      </c>
    </row>
    <row r="203" spans="1:2">
      <c r="A203" t="str">
        <f>Sheet4!C250</f>
        <v>2013-09-01</v>
      </c>
      <c r="B203">
        <f>Sheet4!B250</f>
        <v>0.061</v>
      </c>
    </row>
    <row r="204" spans="1:2">
      <c r="A204" t="str">
        <f>Sheet4!C251</f>
        <v>2013-10-01</v>
      </c>
      <c r="B204">
        <f>Sheet4!B251</f>
        <v>0.063</v>
      </c>
    </row>
    <row r="205" spans="1:2">
      <c r="A205" t="str">
        <f>Sheet4!C252</f>
        <v>2013-11-01</v>
      </c>
      <c r="B205">
        <f>Sheet4!B252</f>
        <v>0.065</v>
      </c>
    </row>
    <row r="206" spans="1:2">
      <c r="A206" t="str">
        <f>Sheet4!C253</f>
        <v>2013-12-01</v>
      </c>
      <c r="B206">
        <f>Sheet4!B253</f>
        <v>0.064</v>
      </c>
    </row>
    <row r="207" spans="1:2">
      <c r="A207" t="str">
        <f>Sheet4!C254</f>
        <v>2014-01-01</v>
      </c>
      <c r="B207">
        <f>Sheet4!B254</f>
        <v>0.061</v>
      </c>
    </row>
    <row r="208" spans="1:2">
      <c r="A208" t="str">
        <f>Sheet4!C255</f>
        <v>2014-02-01</v>
      </c>
      <c r="B208">
        <f>Sheet4!B255</f>
        <v>0.062</v>
      </c>
    </row>
    <row r="209" spans="1:2">
      <c r="A209" t="str">
        <f>Sheet4!C256</f>
        <v>2014-03-01</v>
      </c>
      <c r="B209">
        <f>Sheet4!B256</f>
        <v>0.069</v>
      </c>
    </row>
    <row r="210" spans="1:2">
      <c r="A210" t="str">
        <f>Sheet4!C257</f>
        <v>2014-04-01</v>
      </c>
      <c r="B210">
        <f>Sheet4!B257</f>
        <v>0.073</v>
      </c>
    </row>
    <row r="211" spans="1:2">
      <c r="A211" t="str">
        <f>Sheet4!C258</f>
        <v>2014-05-01</v>
      </c>
      <c r="B211">
        <f>Sheet4!B258</f>
        <v>0.076</v>
      </c>
    </row>
    <row r="212" spans="1:2">
      <c r="A212" t="str">
        <f>Sheet4!C259</f>
        <v>2014-06-01</v>
      </c>
      <c r="B212">
        <f>Sheet4!B259</f>
        <v>0.078</v>
      </c>
    </row>
    <row r="213" spans="1:2">
      <c r="A213" t="str">
        <f>Sheet4!C260</f>
        <v>2014-07-01</v>
      </c>
      <c r="B213">
        <f>Sheet4!B260</f>
        <v>0.074</v>
      </c>
    </row>
    <row r="214" spans="1:2">
      <c r="A214" t="str">
        <f>Sheet4!C261</f>
        <v>2014-08-01</v>
      </c>
      <c r="B214">
        <f>Sheet4!B261</f>
        <v>0.076</v>
      </c>
    </row>
    <row r="215" spans="1:2">
      <c r="A215" t="str">
        <f>Sheet4!C262</f>
        <v>2014-09-01</v>
      </c>
      <c r="B215">
        <f>Sheet4!B262</f>
        <v>0.08</v>
      </c>
    </row>
    <row r="216" spans="1:2">
      <c r="A216" t="str">
        <f>Sheet4!C263</f>
        <v>2014-10-01</v>
      </c>
      <c r="B216">
        <f>Sheet4!B263</f>
        <v>0.083</v>
      </c>
    </row>
    <row r="217" spans="1:2">
      <c r="A217" t="str">
        <f>Sheet4!C264</f>
        <v>2014-11-01</v>
      </c>
      <c r="B217">
        <f>Sheet4!B264</f>
        <v>0.091</v>
      </c>
    </row>
    <row r="218" spans="1:2">
      <c r="A218" t="str">
        <f>Sheet4!C265</f>
        <v>2014-12-01</v>
      </c>
      <c r="B218">
        <f>Sheet4!B265</f>
        <v>0.114</v>
      </c>
    </row>
    <row r="219" spans="1:2">
      <c r="A219" t="str">
        <f>Sheet4!C266</f>
        <v>2015-01-01</v>
      </c>
      <c r="B219">
        <f>Sheet4!B266</f>
        <v>0.15</v>
      </c>
    </row>
    <row r="220" spans="1:2">
      <c r="A220" t="str">
        <f>Sheet4!C267</f>
        <v>2015-02-01</v>
      </c>
      <c r="B220">
        <f>Sheet4!B267</f>
        <v>0.167</v>
      </c>
    </row>
    <row r="221" spans="1:2">
      <c r="A221" t="str">
        <f>Sheet4!C268</f>
        <v>2015-03-01</v>
      </c>
      <c r="B221">
        <f>Sheet4!B268</f>
        <v>0.169</v>
      </c>
    </row>
    <row r="222" spans="1:2">
      <c r="A222" t="str">
        <f>Sheet4!C269</f>
        <v>2015-04-01</v>
      </c>
      <c r="B222">
        <f>Sheet4!B269</f>
        <v>0.164</v>
      </c>
    </row>
    <row r="223" spans="1:2">
      <c r="A223" t="str">
        <f>Sheet4!C270</f>
        <v>2015-05-01</v>
      </c>
      <c r="B223">
        <f>Sheet4!B270</f>
        <v>0.158</v>
      </c>
    </row>
    <row r="224" spans="1:2">
      <c r="A224" t="str">
        <f>Sheet4!C271</f>
        <v>2015-06-01</v>
      </c>
      <c r="B224">
        <f>Sheet4!B271</f>
        <v>0.153</v>
      </c>
    </row>
    <row r="225" spans="1:2">
      <c r="A225" t="str">
        <f>Sheet4!C272</f>
        <v>2015-07-01</v>
      </c>
      <c r="B225">
        <f>Sheet4!B272</f>
        <v>0.156</v>
      </c>
    </row>
    <row r="226" spans="1:2">
      <c r="A226" t="str">
        <f>Sheet4!C273</f>
        <v>2015-08-01</v>
      </c>
      <c r="B226">
        <f>Sheet4!B273</f>
        <v>0.158</v>
      </c>
    </row>
    <row r="227" spans="1:2">
      <c r="A227" t="str">
        <f>Sheet4!C274</f>
        <v>2015-09-01</v>
      </c>
      <c r="B227">
        <f>Sheet4!B274</f>
        <v>0.157</v>
      </c>
    </row>
    <row r="228" spans="1:2">
      <c r="A228" t="str">
        <f>Sheet4!C275</f>
        <v>2015-10-01</v>
      </c>
      <c r="B228">
        <f>Sheet4!B275</f>
        <v>0.156</v>
      </c>
    </row>
    <row r="229" spans="1:2">
      <c r="A229" t="str">
        <f>Sheet4!C276</f>
        <v>2015-11-01</v>
      </c>
      <c r="B229">
        <f>Sheet4!B276</f>
        <v>0.15</v>
      </c>
    </row>
    <row r="230" spans="1:2">
      <c r="A230" t="str">
        <f>Sheet4!C277</f>
        <v>2015-12-01</v>
      </c>
      <c r="B230">
        <f>Sheet4!B277</f>
        <v>0.129</v>
      </c>
    </row>
    <row r="231" spans="1:2">
      <c r="A231" t="str">
        <f>Sheet4!C278</f>
        <v>2016-01-01</v>
      </c>
      <c r="B231">
        <f>Sheet4!B278</f>
        <v>0.098</v>
      </c>
    </row>
    <row r="232" spans="1:2">
      <c r="A232" t="str">
        <f>Sheet4!C279</f>
        <v>2016-02-01</v>
      </c>
      <c r="B232">
        <f>Sheet4!B279</f>
        <v>0.081</v>
      </c>
    </row>
    <row r="233" spans="1:2">
      <c r="A233" t="str">
        <f>Sheet4!C280</f>
        <v>2016-03-01</v>
      </c>
      <c r="B233">
        <f>Sheet4!B280</f>
        <v>0.073</v>
      </c>
    </row>
    <row r="234" spans="1:2">
      <c r="A234" t="str">
        <f>Sheet4!C281</f>
        <v>2016-04-01</v>
      </c>
      <c r="B234">
        <f>Sheet4!B281</f>
        <v>0.072</v>
      </c>
    </row>
    <row r="235" spans="1:2">
      <c r="A235" t="str">
        <f>Sheet4!C282</f>
        <v>2016-05-01</v>
      </c>
      <c r="B235">
        <f>Sheet4!B282</f>
        <v>0.073</v>
      </c>
    </row>
    <row r="236" spans="1:2">
      <c r="A236" t="str">
        <f>Sheet4!C283</f>
        <v>2016-06-01</v>
      </c>
      <c r="B236">
        <f>Sheet4!B283</f>
        <v>0.075</v>
      </c>
    </row>
    <row r="237" spans="1:2">
      <c r="A237" t="str">
        <f>Sheet4!C284</f>
        <v>2016-07-01</v>
      </c>
      <c r="B237">
        <f>Sheet4!B284</f>
        <v>0.072</v>
      </c>
    </row>
    <row r="238" spans="1:2">
      <c r="A238" t="str">
        <f>Sheet4!C285</f>
        <v>2016-08-01</v>
      </c>
      <c r="B238">
        <f>Sheet4!B285</f>
        <v>0.068</v>
      </c>
    </row>
    <row r="239" spans="1:2">
      <c r="A239" t="str">
        <f>Sheet4!C286</f>
        <v>2016-09-01</v>
      </c>
      <c r="B239">
        <f>Sheet4!B286</f>
        <v>0.064</v>
      </c>
    </row>
    <row r="240" spans="1:2">
      <c r="A240" t="str">
        <f>Sheet4!C287</f>
        <v>2016-10-01</v>
      </c>
      <c r="B240">
        <f>Sheet4!B287</f>
        <v>0.061</v>
      </c>
    </row>
    <row r="241" spans="1:2">
      <c r="A241" t="str">
        <f>Sheet4!C288</f>
        <v>2016-11-01</v>
      </c>
      <c r="B241">
        <f>Sheet4!B288</f>
        <v>0.058</v>
      </c>
    </row>
    <row r="242" spans="1:2">
      <c r="A242" t="str">
        <f>Sheet4!C289</f>
        <v>2016-12-01</v>
      </c>
      <c r="B242">
        <f>Sheet4!B289</f>
        <v>0.054</v>
      </c>
    </row>
    <row r="243" spans="1:2">
      <c r="A243" t="str">
        <f>Sheet4!C290</f>
        <v>2017-01-01</v>
      </c>
      <c r="B243">
        <f>Sheet4!B290</f>
        <v>0.05</v>
      </c>
    </row>
    <row r="244" spans="1:2">
      <c r="A244" t="str">
        <f>Sheet4!C291</f>
        <v>2017-02-01</v>
      </c>
      <c r="B244">
        <f>Sheet4!B291</f>
        <v>0.046</v>
      </c>
    </row>
    <row r="245" spans="1:2">
      <c r="A245" t="str">
        <f>Sheet4!C292</f>
        <v>2017-03-01</v>
      </c>
      <c r="B245">
        <f>Sheet4!B292</f>
        <v>0.043</v>
      </c>
    </row>
    <row r="246" spans="1:2">
      <c r="A246" t="str">
        <f>Sheet4!C293</f>
        <v>2017-04-01</v>
      </c>
      <c r="B246">
        <f>Sheet4!B293</f>
        <v>0.041</v>
      </c>
    </row>
    <row r="247" spans="1:2">
      <c r="A247" t="str">
        <f>Sheet4!C294</f>
        <v>2017-05-01</v>
      </c>
      <c r="B247">
        <f>Sheet4!B294</f>
        <v>0.041</v>
      </c>
    </row>
    <row r="248" spans="1:2">
      <c r="A248" t="str">
        <f>Sheet4!C295</f>
        <v>2017-06-01</v>
      </c>
      <c r="B248">
        <f>Sheet4!B295</f>
        <v>0.043</v>
      </c>
    </row>
    <row r="249" spans="1:2">
      <c r="A249" t="str">
        <f>Sheet4!C296</f>
        <v>2017-07-01</v>
      </c>
      <c r="B249">
        <f>Sheet4!B296</f>
        <v>0.039</v>
      </c>
    </row>
    <row r="250" spans="1:2">
      <c r="A250" t="str">
        <f>Sheet4!C297</f>
        <v>2017-08-01</v>
      </c>
      <c r="B250">
        <f>Sheet4!B297</f>
        <v>0.033</v>
      </c>
    </row>
    <row r="251" spans="1:2">
      <c r="A251" t="str">
        <f>Sheet4!C298</f>
        <v>2017-09-01</v>
      </c>
      <c r="B251">
        <f>Sheet4!B298</f>
        <v>0.03</v>
      </c>
    </row>
    <row r="252" spans="1:2">
      <c r="A252" t="str">
        <f>Sheet4!C299</f>
        <v>2017-10-01</v>
      </c>
      <c r="B252">
        <f>Sheet4!B299</f>
        <v>0.027</v>
      </c>
    </row>
    <row r="253" spans="1:2">
      <c r="A253" t="str">
        <f>Sheet4!C300</f>
        <v>2017-11-01</v>
      </c>
      <c r="B253">
        <f>Sheet4!B300</f>
        <v>0.025</v>
      </c>
    </row>
    <row r="254" spans="1:2">
      <c r="A254" t="str">
        <f>Sheet4!C301</f>
        <v>2017-12-01</v>
      </c>
      <c r="B254">
        <f>Sheet4!B301</f>
        <v>0.025</v>
      </c>
    </row>
    <row r="255" spans="1:2">
      <c r="A255" t="str">
        <f>Sheet4!C302</f>
        <v>2018-01-01</v>
      </c>
      <c r="B255">
        <f>Sheet4!B302</f>
        <v>0.022</v>
      </c>
    </row>
    <row r="256" spans="1:2">
      <c r="A256" t="str">
        <f>Sheet4!C303</f>
        <v>2018-02-01</v>
      </c>
      <c r="B256">
        <f>Sheet4!B303</f>
        <v>0.022</v>
      </c>
    </row>
    <row r="257" spans="1:2">
      <c r="A257" t="str">
        <f>Sheet4!C304</f>
        <v>2018-03-01</v>
      </c>
      <c r="B257">
        <f>Sheet4!B304</f>
        <v>0.024</v>
      </c>
    </row>
    <row r="258" spans="1:2">
      <c r="A258" t="str">
        <f>Sheet4!C305</f>
        <v>2018-04-01</v>
      </c>
      <c r="B258">
        <f>Sheet4!B305</f>
        <v>0.024</v>
      </c>
    </row>
    <row r="259" spans="1:2">
      <c r="A259" t="str">
        <f>Sheet4!C306</f>
        <v>2018-05-01</v>
      </c>
      <c r="B259">
        <f>Sheet4!B306</f>
        <v>0.024</v>
      </c>
    </row>
    <row r="260" spans="1:2">
      <c r="A260" t="str">
        <f>Sheet4!C307</f>
        <v>2018-06-01</v>
      </c>
      <c r="B260">
        <f>Sheet4!B307</f>
        <v>0.023</v>
      </c>
    </row>
    <row r="261" spans="1:2">
      <c r="A261" t="str">
        <f>Sheet4!C308</f>
        <v>2018-07-01</v>
      </c>
      <c r="B261">
        <f>Sheet4!B308</f>
        <v>0.025</v>
      </c>
    </row>
    <row r="262" spans="1:2">
      <c r="A262" t="str">
        <f>Sheet4!C309</f>
        <v>2018-08-01</v>
      </c>
      <c r="B262">
        <f>Sheet4!B309</f>
        <v>0.031</v>
      </c>
    </row>
    <row r="263" spans="1:2">
      <c r="A263" t="str">
        <f>Sheet4!C310</f>
        <v>2018-09-01</v>
      </c>
      <c r="B263">
        <f>Sheet4!B310</f>
        <v>0.034</v>
      </c>
    </row>
    <row r="264" spans="1:2">
      <c r="A264" t="str">
        <f>Sheet4!C311</f>
        <v>2018-10-01</v>
      </c>
      <c r="B264">
        <f>Sheet4!B311</f>
        <v>0.035</v>
      </c>
    </row>
    <row r="265" spans="1:2">
      <c r="A265" t="str">
        <f>Sheet4!C312</f>
        <v>2018-11-01</v>
      </c>
      <c r="B265">
        <f>Sheet4!B312</f>
        <v>0.038</v>
      </c>
    </row>
    <row r="266" spans="1:2">
      <c r="A266" t="str">
        <f>Sheet4!C313</f>
        <v>2018-12-01</v>
      </c>
      <c r="B266">
        <f>Sheet4!B313</f>
        <v>0.043</v>
      </c>
    </row>
    <row r="267" spans="1:2">
      <c r="A267" t="str">
        <f>Sheet4!C314</f>
        <v>2019-01-01</v>
      </c>
      <c r="B267">
        <f>Sheet4!B314</f>
        <v>0.05</v>
      </c>
    </row>
    <row r="268" spans="1:2">
      <c r="A268" t="str">
        <f>Sheet4!C315</f>
        <v>2019-02-01</v>
      </c>
      <c r="B268">
        <f>Sheet4!B315</f>
        <v>0.052</v>
      </c>
    </row>
    <row r="269" spans="1:2">
      <c r="A269" t="str">
        <f>Sheet4!C316</f>
        <v>2019-03-01</v>
      </c>
      <c r="B269">
        <f>Sheet4!B316</f>
        <v>0.053</v>
      </c>
    </row>
    <row r="270" spans="1:2">
      <c r="A270" t="str">
        <f>Sheet4!C317</f>
        <v>2019-04-01</v>
      </c>
      <c r="B270">
        <f>Sheet4!B317</f>
        <v>0.052</v>
      </c>
    </row>
    <row r="271" spans="1:2">
      <c r="A271" t="str">
        <f>Sheet4!C318</f>
        <v>2019-05-01</v>
      </c>
      <c r="B271">
        <f>Sheet4!B318</f>
        <v>0.051</v>
      </c>
    </row>
    <row r="272" spans="1:2">
      <c r="A272" t="str">
        <f>Sheet4!C319</f>
        <v>2019-06-01</v>
      </c>
      <c r="B272">
        <f>Sheet4!B319</f>
        <v>0.047</v>
      </c>
    </row>
    <row r="273" spans="1:2">
      <c r="A273" t="str">
        <f>Sheet4!C320</f>
        <v>2019-07-01</v>
      </c>
      <c r="B273">
        <f>Sheet4!B320</f>
        <v>0.046</v>
      </c>
    </row>
    <row r="274" spans="1:2">
      <c r="A274" t="str">
        <f>Sheet4!C321</f>
        <v>2019-08-01</v>
      </c>
      <c r="B274">
        <f>Sheet4!B321</f>
        <v>0.043</v>
      </c>
    </row>
    <row r="275" spans="1:2">
      <c r="A275" t="str">
        <f>Sheet4!C322</f>
        <v>2019-09-01</v>
      </c>
      <c r="B275">
        <f>Sheet4!B322</f>
        <v>0.04</v>
      </c>
    </row>
    <row r="276" spans="1:2">
      <c r="A276" t="str">
        <f>Sheet4!C323</f>
        <v>2019-10-01</v>
      </c>
      <c r="B276">
        <f>Sheet4!B323</f>
        <v>0.038</v>
      </c>
    </row>
    <row r="277" spans="1:2">
      <c r="A277" t="str">
        <f>Sheet4!C324</f>
        <v>2019-11-01</v>
      </c>
      <c r="B277">
        <f>Sheet4!B324</f>
        <v>0.035</v>
      </c>
    </row>
    <row r="278" spans="1:2">
      <c r="A278" t="str">
        <f>Sheet4!C325</f>
        <v>2019-12-01</v>
      </c>
      <c r="B278">
        <f>Sheet4!B325</f>
        <v>0.03</v>
      </c>
    </row>
    <row r="279" spans="1:2">
      <c r="A279" t="str">
        <f>Sheet4!C326</f>
        <v>2020-01-01</v>
      </c>
      <c r="B279">
        <f>Sheet4!B326</f>
        <v>0.024</v>
      </c>
    </row>
    <row r="280" spans="1:2">
      <c r="A280" t="str">
        <f>Sheet4!C327</f>
        <v>2020-02-01</v>
      </c>
      <c r="B280">
        <f>Sheet4!B327</f>
        <v>0.023</v>
      </c>
    </row>
    <row r="281" spans="1:2">
      <c r="A281" t="str">
        <f>Sheet4!C328</f>
        <v>2020-03-01</v>
      </c>
      <c r="B281">
        <f>Sheet4!B328</f>
        <v>0.025</v>
      </c>
    </row>
    <row r="282" spans="1:2">
      <c r="A282" t="str">
        <f>Sheet4!C329</f>
        <v>2020-04-01</v>
      </c>
      <c r="B282">
        <f>Sheet4!B329</f>
        <v>0.031</v>
      </c>
    </row>
    <row r="283" spans="1:2">
      <c r="A283" t="str">
        <f>Sheet4!C330</f>
        <v>2020-05-01</v>
      </c>
      <c r="B283">
        <f>Sheet4!B330</f>
        <v>0.03</v>
      </c>
    </row>
    <row r="284" spans="1:2">
      <c r="A284" t="str">
        <f>Sheet4!C331</f>
        <v>2020-06-01</v>
      </c>
      <c r="B284">
        <f>Sheet4!B331</f>
        <v>0.032</v>
      </c>
    </row>
    <row r="285" spans="1:2">
      <c r="A285" t="str">
        <f>Sheet4!C332</f>
        <v>2020-07-01</v>
      </c>
      <c r="B285">
        <f>Sheet4!B332</f>
        <v>0.034</v>
      </c>
    </row>
    <row r="286" spans="1:2">
      <c r="A286" t="str">
        <f>Sheet4!C333</f>
        <v>2020-08-01</v>
      </c>
      <c r="B286">
        <f>Sheet4!B333</f>
        <v>0.036</v>
      </c>
    </row>
    <row r="287" spans="1:2">
      <c r="A287" t="str">
        <f>Sheet4!C334</f>
        <v>2020-09-01</v>
      </c>
      <c r="B287">
        <f>Sheet4!B334</f>
        <v>0.037</v>
      </c>
    </row>
    <row r="288" spans="1:2">
      <c r="A288" t="str">
        <f>Sheet4!C335</f>
        <v>2020-10-01</v>
      </c>
      <c r="B288">
        <f>Sheet4!B335</f>
        <v>0.04</v>
      </c>
    </row>
    <row r="289" spans="1:2">
      <c r="A289" t="str">
        <f>Sheet4!C336</f>
        <v>2020-11-01</v>
      </c>
      <c r="B289">
        <f>Sheet4!B336</f>
        <v>0.044</v>
      </c>
    </row>
    <row r="290" spans="1:2">
      <c r="A290" t="str">
        <f>Sheet4!C337</f>
        <v>2020-12-01</v>
      </c>
      <c r="B290">
        <f>Sheet4!B337</f>
        <v>0.049</v>
      </c>
    </row>
    <row r="291" spans="1:2">
      <c r="A291" t="str">
        <f>Sheet4!C338</f>
        <v>2021-01-01</v>
      </c>
      <c r="B291">
        <f>Sheet4!B338</f>
        <v>0.052</v>
      </c>
    </row>
    <row r="292" spans="1:2">
      <c r="A292" t="str">
        <f>Sheet4!C339</f>
        <v>2021-02-01</v>
      </c>
      <c r="B292">
        <f>Sheet4!B339</f>
        <v>0.057</v>
      </c>
    </row>
    <row r="293" spans="1:2">
      <c r="A293" t="str">
        <f>Sheet4!C340</f>
        <v>2021-03-01</v>
      </c>
      <c r="B293">
        <f>Sheet4!B340</f>
        <v>0.058</v>
      </c>
    </row>
    <row r="294" spans="1:2">
      <c r="A294" t="str">
        <f>Sheet4!C341</f>
        <v>2021-04-01</v>
      </c>
      <c r="B294">
        <f>Sheet4!B341</f>
        <v>0.055</v>
      </c>
    </row>
    <row r="295" spans="1:2">
      <c r="A295" t="str">
        <f>Sheet4!C342</f>
        <v>2021-05-01</v>
      </c>
      <c r="B295">
        <f>Sheet4!B342</f>
        <v>0.06</v>
      </c>
    </row>
    <row r="296" spans="1:2">
      <c r="A296" t="str">
        <f>Sheet4!C343</f>
        <v>2021-06-01</v>
      </c>
      <c r="B296">
        <f>Sheet4!B343</f>
        <v>0.065</v>
      </c>
    </row>
    <row r="297" spans="1:2">
      <c r="A297" t="str">
        <f>Sheet4!C344</f>
        <v>2021-07-01</v>
      </c>
      <c r="B297">
        <f>Sheet4!B344</f>
        <v>0.065</v>
      </c>
    </row>
    <row r="298" spans="1:2">
      <c r="A298" t="str">
        <f>Sheet4!C345</f>
        <v>2021-08-01</v>
      </c>
      <c r="B298">
        <f>Sheet4!B345</f>
        <v>0.067</v>
      </c>
    </row>
    <row r="299" spans="1:2">
      <c r="A299" t="str">
        <f>Sheet4!C346</f>
        <v>2021-09-01</v>
      </c>
      <c r="B299">
        <f>Sheet4!B346</f>
        <v>0.074</v>
      </c>
    </row>
    <row r="300" spans="1:2">
      <c r="A300" t="str">
        <f>Sheet4!C347</f>
        <v>2021-10-01</v>
      </c>
      <c r="B300">
        <f>Sheet4!B347</f>
        <v>0.081</v>
      </c>
    </row>
    <row r="301" spans="1:2">
      <c r="A301" t="str">
        <f>Sheet4!C348</f>
        <v>2021-11-01</v>
      </c>
      <c r="B301">
        <f>Sheet4!B348</f>
        <v>0.084</v>
      </c>
    </row>
    <row r="302" spans="1:2">
      <c r="A302" t="str">
        <f>Sheet4!C349</f>
        <v>2021-12-01</v>
      </c>
      <c r="B302">
        <f>Sheet4!B349</f>
        <v>0.084</v>
      </c>
    </row>
    <row r="303" spans="1:2">
      <c r="A303" t="str">
        <f>Sheet4!C350</f>
        <v>2022-01-01</v>
      </c>
      <c r="B303">
        <f>Sheet4!B350</f>
        <v>0.087</v>
      </c>
    </row>
    <row r="304" spans="1:2">
      <c r="A304" t="str">
        <f>Sheet4!C351</f>
        <v>2022-02-01</v>
      </c>
      <c r="B304">
        <f>Sheet4!B351</f>
        <v>0.092</v>
      </c>
    </row>
    <row r="305" spans="1:2">
      <c r="A305" t="str">
        <f>Sheet4!C352</f>
        <v>2022-03-01</v>
      </c>
      <c r="B305">
        <f>Sheet4!B352</f>
        <v>0.167</v>
      </c>
    </row>
    <row r="306" spans="1:2">
      <c r="A306" t="str">
        <f>Sheet4!C353</f>
        <v>2022-04-01</v>
      </c>
      <c r="B306">
        <f>Sheet4!B353</f>
        <v>0.179</v>
      </c>
    </row>
    <row r="307" spans="1:2">
      <c r="A307" t="str">
        <f>Sheet4!C354</f>
        <v>2022-05-01</v>
      </c>
      <c r="B307">
        <f>Sheet4!B354</f>
        <v>0.171</v>
      </c>
    </row>
    <row r="308" spans="1:2">
      <c r="A308" t="str">
        <f>Sheet4!C355</f>
        <v>2022-06-01</v>
      </c>
      <c r="B308">
        <f>Sheet4!B355</f>
        <v>0.159</v>
      </c>
    </row>
    <row r="309" spans="1:2">
      <c r="A309" t="str">
        <f>Sheet4!C356</f>
        <v>2022-07-01</v>
      </c>
      <c r="B309">
        <f>Sheet4!B356</f>
        <v>0.151</v>
      </c>
    </row>
    <row r="310" spans="1:2">
      <c r="A310" t="str">
        <f>Sheet4!C357</f>
        <v>2022-08-01</v>
      </c>
      <c r="B310">
        <f>Sheet4!B357</f>
        <v>0.143</v>
      </c>
    </row>
    <row r="311" spans="1:2">
      <c r="A311" t="str">
        <f>Sheet4!C358</f>
        <v>2022-09-01</v>
      </c>
      <c r="B311">
        <f>Sheet4!B358</f>
        <v>0.136</v>
      </c>
    </row>
    <row r="312" spans="1:2">
      <c r="A312" t="str">
        <f>Sheet4!C359</f>
        <v>2022-10-01</v>
      </c>
      <c r="B312">
        <f>Sheet4!B359</f>
        <v>0.126</v>
      </c>
    </row>
    <row r="313" spans="1:2">
      <c r="A313" t="str">
        <f>Sheet4!C360</f>
        <v>2022-11-01</v>
      </c>
      <c r="B313">
        <f>Sheet4!B360</f>
        <v>0.119</v>
      </c>
    </row>
    <row r="314" spans="1:2">
      <c r="A314" t="str">
        <f>Sheet4!C361</f>
        <v>2022-12-01</v>
      </c>
      <c r="B314">
        <f>Sheet4!B361</f>
        <v>0.119</v>
      </c>
    </row>
    <row r="315" spans="1:2">
      <c r="A315" t="str">
        <f>Sheet4!C362</f>
        <v>2023-01-01</v>
      </c>
      <c r="B315">
        <f>Sheet4!B362</f>
        <v>0.118</v>
      </c>
    </row>
    <row r="316" spans="1:2">
      <c r="A316" t="str">
        <f>Sheet4!C363</f>
        <v>2023-02-01</v>
      </c>
      <c r="B316">
        <f>Sheet4!B363</f>
        <v>0.11</v>
      </c>
    </row>
    <row r="317" spans="1:2">
      <c r="A317" t="str">
        <f>Sheet4!C364</f>
        <v>2023-03-01</v>
      </c>
      <c r="B317">
        <f>Sheet4!B364</f>
        <v>0.035</v>
      </c>
    </row>
    <row r="318" spans="1:2">
      <c r="A318" t="str">
        <f>Sheet4!C365</f>
        <v>2023-04-01</v>
      </c>
      <c r="B318">
        <f>Sheet4!B365</f>
        <v>0.023</v>
      </c>
    </row>
    <row r="319" spans="1:2">
      <c r="A319" t="str">
        <f>Sheet4!C366</f>
        <v>2023-05-01</v>
      </c>
      <c r="B319">
        <f>Sheet4!B366</f>
        <v>0.025</v>
      </c>
    </row>
    <row r="320" spans="1:2">
      <c r="A320" t="str">
        <f>Sheet4!C367</f>
        <v>2023-06-01</v>
      </c>
      <c r="B320">
        <f>Sheet4!B367</f>
        <v>0.032</v>
      </c>
    </row>
    <row r="321" spans="1:2">
      <c r="A321" t="str">
        <f>Sheet4!C368</f>
        <v>2023-07-01</v>
      </c>
      <c r="B321">
        <f>Sheet4!B368</f>
        <v>0.042</v>
      </c>
    </row>
    <row r="322" spans="1:2">
      <c r="A322" t="str">
        <f>Sheet4!C369</f>
        <v>2023-08-01</v>
      </c>
      <c r="B322">
        <f>Sheet4!B369</f>
        <v>0.052</v>
      </c>
    </row>
    <row r="323" spans="1:2">
      <c r="A323" t="str">
        <f>Sheet4!C370</f>
        <v>2023-09-01</v>
      </c>
      <c r="B323">
        <f>Sheet4!B370</f>
        <v>0.06</v>
      </c>
    </row>
    <row r="324" spans="1:2">
      <c r="A324" t="str">
        <f>Sheet4!C371</f>
        <v>2023-10-01</v>
      </c>
      <c r="B324">
        <f>Sheet4!B371</f>
        <v>0.067</v>
      </c>
    </row>
    <row r="325" spans="1:2">
      <c r="A325" t="str">
        <f>Sheet4!C372</f>
        <v>2023-11-01</v>
      </c>
      <c r="B325">
        <f>Sheet4!B372</f>
        <v>0.075</v>
      </c>
    </row>
    <row r="326" spans="1:2">
      <c r="A326" t="str">
        <f>Sheet4!C373</f>
        <v>2023-12-01</v>
      </c>
      <c r="B326">
        <f>Sheet4!B373</f>
        <v>0.074</v>
      </c>
    </row>
    <row r="327" spans="1:2">
      <c r="A327" t="str">
        <f>Sheet4!C374</f>
        <v>2024-01-01</v>
      </c>
      <c r="B327">
        <f>Sheet4!B374</f>
        <v>0.074</v>
      </c>
    </row>
    <row r="328" spans="1:2">
      <c r="A328" t="str">
        <f>Sheet4!C375</f>
        <v>2024-02-01</v>
      </c>
      <c r="B328">
        <f>Sheet4!B375</f>
        <v>0.077</v>
      </c>
    </row>
    <row r="329" spans="1:2">
      <c r="A329" t="str">
        <f>Sheet4!C376</f>
        <v>2024-03-01</v>
      </c>
      <c r="B329">
        <f>Sheet4!B376</f>
        <v>0.077</v>
      </c>
    </row>
    <row r="330" spans="1:2">
      <c r="A330" t="str">
        <f>Sheet4!C377</f>
        <v>2024-04-01</v>
      </c>
      <c r="B330">
        <f>Sheet4!B377</f>
        <v>0.078</v>
      </c>
    </row>
    <row r="331" spans="1:2">
      <c r="A331" t="str">
        <f>Sheet4!C378</f>
        <v>2024-05-01</v>
      </c>
      <c r="B331">
        <f>Sheet4!B378</f>
        <v>0.083</v>
      </c>
    </row>
    <row r="332" spans="1:2">
      <c r="A332" t="str">
        <f>Sheet4!C379</f>
        <v>2024-06-01</v>
      </c>
      <c r="B332">
        <f>Sheet4!B379</f>
        <v>0.087</v>
      </c>
    </row>
    <row r="333" spans="1:2">
      <c r="A333" t="str">
        <f>Sheet4!C380</f>
        <v>2024-07-01</v>
      </c>
      <c r="B333">
        <f>Sheet4!B380</f>
        <v>0.092</v>
      </c>
    </row>
    <row r="334" spans="1:2">
      <c r="A334" t="str">
        <f>Sheet4!C381</f>
        <v>2024-08-01</v>
      </c>
      <c r="B334">
        <f>Sheet4!B381</f>
        <v>0.091</v>
      </c>
    </row>
    <row r="335" spans="1:2">
      <c r="A335" t="str">
        <f>Sheet4!C382</f>
        <v>2024-09-01</v>
      </c>
      <c r="B335">
        <f>Sheet4!B382</f>
        <v>0.086</v>
      </c>
    </row>
    <row r="336" spans="1:2">
      <c r="A336" t="str">
        <f>Sheet4!C383</f>
        <v>2024-10-01</v>
      </c>
      <c r="B336">
        <f>Sheet4!B383</f>
        <v>0.085</v>
      </c>
    </row>
    <row r="337" spans="1:2">
      <c r="A337" t="str">
        <f>Sheet4!C384</f>
        <v>2024-11-01</v>
      </c>
      <c r="B337">
        <f>Sheet4!B384</f>
        <v>0.089</v>
      </c>
    </row>
    <row r="338" spans="1:2">
      <c r="A338" t="str">
        <f>Sheet4!C385</f>
        <v>2024-12-01</v>
      </c>
      <c r="B338">
        <f>Sheet4!B385</f>
        <v>0.095</v>
      </c>
    </row>
    <row r="339" spans="1:2">
      <c r="A339" t="str">
        <f>Sheet4!C386</f>
        <v>2025-01-01</v>
      </c>
      <c r="B339">
        <f>Sheet4!B386</f>
        <v>0.1</v>
      </c>
    </row>
    <row r="340" spans="1:2">
      <c r="A340" t="str">
        <f>Sheet4!C387</f>
        <v>2025-02-01</v>
      </c>
      <c r="B340">
        <f>Sheet4!B387</f>
        <v>0.1</v>
      </c>
    </row>
    <row r="341" spans="1:2">
      <c r="A341" t="str">
        <f>Sheet4!C388</f>
        <v>2025-03-01</v>
      </c>
      <c r="B341">
        <f>Sheet4!B388</f>
        <v>0.103</v>
      </c>
    </row>
    <row r="342" spans="1:2">
      <c r="A342" t="str">
        <f>Sheet4!C389</f>
        <v>2025-04-01</v>
      </c>
      <c r="B342">
        <f>Sheet4!B389</f>
        <v>0.103</v>
      </c>
    </row>
    <row r="343" spans="1:2">
      <c r="A343" t="str">
        <f>Sheet4!C390</f>
        <v>2025-05-01</v>
      </c>
      <c r="B343">
        <f>Sheet4!B390</f>
        <v>0.099</v>
      </c>
    </row>
    <row r="344" spans="1:2">
      <c r="A344" t="str">
        <f>Sheet4!C391</f>
        <v>2025-06-01</v>
      </c>
      <c r="B344">
        <f>Sheet4!B391</f>
        <v>0.094</v>
      </c>
    </row>
    <row r="345" spans="1:2">
      <c r="A345" t="str">
        <f>Sheet4!C392</f>
        <v>2025-07-01</v>
      </c>
      <c r="B345">
        <f>Sheet4!B392</f>
        <v>0.088</v>
      </c>
    </row>
    <row r="346" spans="1:2">
      <c r="A346" t="str">
        <f>Sheet4!C393</f>
        <v>2025-08-01</v>
      </c>
      <c r="B346">
        <f>Sheet4!B393</f>
        <v>0.081</v>
      </c>
    </row>
    <row r="347" spans="1:2">
      <c r="A347" t="str">
        <f>Sheet4!C394</f>
        <v>2025-09-01</v>
      </c>
      <c r="B347">
        <f>Sheet4!B394</f>
        <v>0.08</v>
      </c>
    </row>
    <row r="348" spans="1:2">
      <c r="A348" t="str">
        <f>Sheet4!C395</f>
        <v>2025-10-01</v>
      </c>
      <c r="B348">
        <f>Sheet4!B395</f>
        <v>0.078</v>
      </c>
    </row>
    <row r="349" spans="1:2">
      <c r="A349" t="str">
        <f>Sheet4!C396</f>
        <v>2025-11-01</v>
      </c>
      <c r="B349">
        <f>Sheet4!B396</f>
        <v>0.066</v>
      </c>
    </row>
    <row r="350" spans="1:2">
      <c r="A350" t="str">
        <f>Sheet4!C397</f>
        <v>2025-12-01</v>
      </c>
      <c r="B350">
        <f>Sheet4!B397</f>
        <v>0.056</v>
      </c>
    </row>
    <row r="351" spans="1:2">
      <c r="A351" t="str">
        <f>Sheet4!C398</f>
        <v>2026-01-01</v>
      </c>
      <c r="B351">
        <f>Sheet4!B398</f>
        <v>0.06</v>
      </c>
    </row>
    <row r="352" spans="1:2">
      <c r="A352" t="str">
        <f>Sheet4!C399</f>
        <v>2026-02-01</v>
      </c>
      <c r="B352">
        <f>Sheet4!B399</f>
        <v>0.051</v>
      </c>
    </row>
    <row r="353" spans="1:2">
      <c r="A353" t="str">
        <f>Sheet4!C400</f>
        <v>2026-03-01</v>
      </c>
      <c r="B353">
        <f>Sheet4!B400</f>
        <v>0.059</v>
      </c>
    </row>
    <row r="354" spans="1:2">
      <c r="A354" t="str">
        <f>Sheet4!C401</f>
        <v>2026-04-01</v>
      </c>
      <c r="B354">
        <f>Sheet4!B401</f>
        <v>0.056</v>
      </c>
    </row>
    <row r="355" spans="1:2">
      <c r="A355" t="str">
        <f>Sheet4!C402</f>
        <v>2026-05-01</v>
      </c>
      <c r="B355">
        <f>Sheet4!B402</f>
        <v>0.054</v>
      </c>
    </row>
    <row r="356" spans="1:2">
      <c r="A356" t="str">
        <f>Sheet4!C403</f>
        <v>2026-06-01</v>
      </c>
      <c r="B356">
        <f>Sheet4!B403</f>
        <v>0.06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darhanmashirapov</dc:creator>
  <cp:lastModifiedBy>Darkhan Mashirapov</cp:lastModifiedBy>
  <dcterms:created xsi:type="dcterms:W3CDTF">2026-08-17T08:08:00Z</dcterms:created>
  <dcterms:modified xsi:type="dcterms:W3CDTF">2026-08-25T15:39:25Z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3CB229BA9C60A902DD708D6AC02CDEA3_43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