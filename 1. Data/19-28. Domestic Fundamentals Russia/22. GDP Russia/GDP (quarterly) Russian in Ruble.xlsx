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4"/>
  </bookViews>
  <sheets>
    <sheet name="README" sheetId="1" r:id="rId1"/>
    <sheet name="Quarterly" sheetId="2" r:id="rId2"/>
    <sheet name="IPI" sheetId="4" r:id="rId3"/>
    <sheet name="Sheet1" sheetId="3" r:id="rId4"/>
    <sheet name="Final Cleaned" sheetId="5" r:id="rId5"/>
  </sheets>
  <definedNames>
    <definedName name="_xlnm._FilterDatabase" localSheetId="3" hidden="1">Sheet1!$A$1:$H$184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<sst xmlns="http://schemas.openxmlformats.org/spreadsheetml/2006/main" count="572" uniqueCount="433">
  <si>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</si>
  <si>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</si>
  <si>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</si>
  <si>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</si>
  <si>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</si>
  <si>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2026-08-16 10:15 am CDT</t>
  </si>
  <si>
    <t>NGDPRNSAXDCRUQ</t>
  </si>
  <si>
    <t>Real Gross Domestic Product for Russia, Millions of Domestic Currency, Quarterly, Not Seasonally Adjusted</t>
  </si>
  <si>
    <t>Data Updated: 2026-07-13</t>
  </si>
  <si>
    <t>observation_date</t>
  </si>
  <si>
    <t>SDDS Data Category</t>
  </si>
  <si>
    <t>Unit
Description</t>
  </si>
  <si>
    <t>01.2015</t>
  </si>
  <si>
    <t>02.2015</t>
  </si>
  <si>
    <t>03.2015</t>
  </si>
  <si>
    <t>04.2015</t>
  </si>
  <si>
    <t>05.2015</t>
  </si>
  <si>
    <t>06.2015</t>
  </si>
  <si>
    <t>07.2015</t>
  </si>
  <si>
    <t>08.2015</t>
  </si>
  <si>
    <t>09.2015</t>
  </si>
  <si>
    <t>10.2015</t>
  </si>
  <si>
    <t>11.2015</t>
  </si>
  <si>
    <t>12.2015</t>
  </si>
  <si>
    <t>01.2016</t>
  </si>
  <si>
    <t>02.2016</t>
  </si>
  <si>
    <t>03.2016</t>
  </si>
  <si>
    <t>04.2016</t>
  </si>
  <si>
    <t>05.2016</t>
  </si>
  <si>
    <t>06.2016</t>
  </si>
  <si>
    <t>07.2016</t>
  </si>
  <si>
    <t>08.2016</t>
  </si>
  <si>
    <t>09.2016</t>
  </si>
  <si>
    <t>10.2016</t>
  </si>
  <si>
    <t>11.2016</t>
  </si>
  <si>
    <t>12.2016</t>
  </si>
  <si>
    <t>01.2017</t>
  </si>
  <si>
    <t>02.2017</t>
  </si>
  <si>
    <t>03.2017</t>
  </si>
  <si>
    <t>04.2017</t>
  </si>
  <si>
    <t>05.2017</t>
  </si>
  <si>
    <t>06.2017</t>
  </si>
  <si>
    <t>07.2017</t>
  </si>
  <si>
    <t>08.2017</t>
  </si>
  <si>
    <t>09.2017</t>
  </si>
  <si>
    <t>10.2017</t>
  </si>
  <si>
    <t>11.2017</t>
  </si>
  <si>
    <t>12.2017</t>
  </si>
  <si>
    <t>01.2018</t>
  </si>
  <si>
    <t>02.2018</t>
  </si>
  <si>
    <t>03.2018</t>
  </si>
  <si>
    <t>04.2018</t>
  </si>
  <si>
    <t>05.2018</t>
  </si>
  <si>
    <t>06.2018</t>
  </si>
  <si>
    <t>07.2018</t>
  </si>
  <si>
    <t>08.2018</t>
  </si>
  <si>
    <t>09.2018</t>
  </si>
  <si>
    <t>10.2018</t>
  </si>
  <si>
    <t>11.2018</t>
  </si>
  <si>
    <t>12.2018</t>
  </si>
  <si>
    <t>01.2019</t>
  </si>
  <si>
    <t>02.2019</t>
  </si>
  <si>
    <t>03.2019</t>
  </si>
  <si>
    <t>04.2019</t>
  </si>
  <si>
    <t>05.2019</t>
  </si>
  <si>
    <t>06.2019</t>
  </si>
  <si>
    <t>07.2019</t>
  </si>
  <si>
    <t>08.2019</t>
  </si>
  <si>
    <t>09.2019</t>
  </si>
  <si>
    <t>10.2019</t>
  </si>
  <si>
    <t>11.2019</t>
  </si>
  <si>
    <t>12.2019</t>
  </si>
  <si>
    <t>01.2020</t>
  </si>
  <si>
    <t>02.2020</t>
  </si>
  <si>
    <t>03.2020</t>
  </si>
  <si>
    <t>04.2020</t>
  </si>
  <si>
    <t>05.2020</t>
  </si>
  <si>
    <t>06.2020</t>
  </si>
  <si>
    <t>07.2020</t>
  </si>
  <si>
    <t>08.2020</t>
  </si>
  <si>
    <t>09.2020</t>
  </si>
  <si>
    <t>10.2020</t>
  </si>
  <si>
    <t>11.2020</t>
  </si>
  <si>
    <t>12.2020</t>
  </si>
  <si>
    <t>01.2021</t>
  </si>
  <si>
    <t>02.2021</t>
  </si>
  <si>
    <t>03.2021</t>
  </si>
  <si>
    <t>04.2021</t>
  </si>
  <si>
    <t>05.2021</t>
  </si>
  <si>
    <t>06.2021</t>
  </si>
  <si>
    <t>07.2021</t>
  </si>
  <si>
    <t>08.2021</t>
  </si>
  <si>
    <t>09.2021</t>
  </si>
  <si>
    <t>10.2021</t>
  </si>
  <si>
    <t>11.2021</t>
  </si>
  <si>
    <t>12.2021</t>
  </si>
  <si>
    <t>01.2022</t>
  </si>
  <si>
    <t>02.2022</t>
  </si>
  <si>
    <t>03.2022</t>
  </si>
  <si>
    <t>04.2022</t>
  </si>
  <si>
    <t>05.2022</t>
  </si>
  <si>
    <t>06.2022</t>
  </si>
  <si>
    <t>07.2022</t>
  </si>
  <si>
    <t>08.2022</t>
  </si>
  <si>
    <t>09.2022</t>
  </si>
  <si>
    <t>10.2022</t>
  </si>
  <si>
    <t>11.2022</t>
  </si>
  <si>
    <t>12.2022</t>
  </si>
  <si>
    <t>01.2023</t>
  </si>
  <si>
    <t>02.2023</t>
  </si>
  <si>
    <t>03.2023</t>
  </si>
  <si>
    <t>04.2023</t>
  </si>
  <si>
    <t>05.2023</t>
  </si>
  <si>
    <t>06.2023</t>
  </si>
  <si>
    <t>07.2023</t>
  </si>
  <si>
    <t>08.2023</t>
  </si>
  <si>
    <t>09.2023</t>
  </si>
  <si>
    <t>10.2023</t>
  </si>
  <si>
    <t>11.2023</t>
  </si>
  <si>
    <t>12.2023</t>
  </si>
  <si>
    <t>01.2024</t>
  </si>
  <si>
    <t>02.2024</t>
  </si>
  <si>
    <t>03.2024</t>
  </si>
  <si>
    <t>04.2024</t>
  </si>
  <si>
    <t>05.2024</t>
  </si>
  <si>
    <t>06.2024</t>
  </si>
  <si>
    <t>07.2024</t>
  </si>
  <si>
    <t>08.2024</t>
  </si>
  <si>
    <t>09.2024</t>
  </si>
  <si>
    <t>10.2024</t>
  </si>
  <si>
    <t>11.2024</t>
  </si>
  <si>
    <t>12.2024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</si>
  <si>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</si>
  <si>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</si>
  <si>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</si>
  <si>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</si>
  <si>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</si>
  <si>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</si>
  <si>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</si>
  <si>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</si>
  <si>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</si>
  <si>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</si>
  <si>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</si>
  <si>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</si>
  <si>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01.2026</t>
  </si>
  <si>
    <t>02.2026</t>
  </si>
  <si>
    <t>03.2026</t>
  </si>
  <si>
    <t>04.2026</t>
  </si>
  <si>
    <t>05.2026</t>
  </si>
  <si>
    <t>06.2026</t>
  </si>
  <si>
    <t>Industrial Production Index *</t>
  </si>
  <si>
    <t>2023=100</t>
  </si>
  <si>
    <t xml:space="preserve">* The indicator “Industrial Production Index” are calculated by types of activity: “Mining and quarrying of natural minerals”, “Manufacturing”, “Electricity, gas and steam supply; air conditioning”,  “Water supply; water disposal, organizing of collection and utilization of wastes, activities on liquidation of pollution”. Data by month are given in % to the average monthly value for 2023. 
Excluding statistical information on: Lugansk People’s Republic, Donetsk People’s Republic, Kherson Region and Zaporozhye Region.
</t>
  </si>
  <si>
    <t>Date Full</t>
  </si>
  <si>
    <t>GDP</t>
  </si>
  <si>
    <t>IPI Date</t>
  </si>
  <si>
    <t>IPI Quarter</t>
  </si>
  <si>
    <t>Index Value</t>
  </si>
  <si>
    <t xml:space="preserve">Quarterly sum </t>
  </si>
  <si>
    <t>Monthly proportion</t>
  </si>
  <si>
    <t>Monthly GDP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</si>
  <si>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</si>
  <si>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</si>
  <si>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</si>
  <si>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</si>
  <si>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</si>
  <si>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</si>
  <si>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</si>
  <si>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</si>
  <si>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</si>
  <si>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</si>
  <si>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</si>
  <si>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</si>
  <si>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</si>
  <si>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</si>
  <si>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</si>
  <si>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</si>
  <si>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</si>
  <si>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</si>
  <si>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</si>
  <si>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</si>
  <si>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</si>
  <si>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</si>
  <si>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</si>
  <si>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</si>
  <si>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</si>
  <si>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</si>
  <si>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</si>
  <si>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</si>
  <si>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</si>
  <si>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</si>
  <si>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</si>
  <si>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</si>
  <si>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</si>
  <si>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</si>
  <si>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</si>
  <si>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</si>
  <si>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</si>
  <si>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</si>
  <si>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</si>
  <si>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</si>
  <si>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</si>
  <si>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</si>
  <si>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</si>
  <si>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</si>
  <si>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</si>
  <si>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</si>
  <si>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</si>
  <si>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</si>
  <si>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</si>
  <si>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</si>
  <si>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</si>
  <si>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</si>
  <si>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</si>
  <si>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</si>
  <si>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</si>
  <si>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</si>
  <si>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</si>
  <si>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</si>
  <si>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</si>
  <si>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</si>
  <si>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</si>
  <si>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</si>
  <si>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</si>
  <si>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</si>
  <si>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</si>
  <si>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</si>
  <si>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</si>
  <si>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</si>
  <si>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</si>
  <si>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</si>
  <si>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</si>
  <si>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</si>
  <si>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</si>
  <si>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</si>
  <si>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</si>
  <si>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</si>
  <si>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</si>
  <si>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</si>
  <si>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</si>
  <si>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</si>
  <si>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</si>
  <si>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</si>
  <si>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</si>
  <si>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</si>
  <si>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</si>
  <si>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</si>
  <si>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</si>
  <si>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</si>
  <si>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</si>
  <si>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</si>
  <si>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</si>
  <si>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</si>
  <si>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</si>
  <si>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</si>
  <si>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</si>
  <si>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</si>
  <si>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</si>
  <si>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</si>
  <si>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</si>
  <si>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</si>
  <si>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</si>
  <si>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</si>
  <si>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</si>
  <si>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</si>
  <si>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</si>
  <si>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</si>
  <si>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</si>
  <si>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</si>
  <si>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</si>
  <si>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</si>
  <si>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</si>
  <si>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</si>
  <si>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</si>
  <si>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</si>
  <si>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</si>
  <si>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</si>
  <si>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</si>
  <si>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</si>
  <si>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</si>
  <si>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</si>
  <si>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</si>
  <si>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</si>
  <si>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</si>
  <si>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</si>
  <si>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</si>
  <si>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</si>
  <si>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</si>
  <si>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</si>
  <si>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</si>
  <si>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</si>
  <si>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</si>
  <si>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</si>
  <si>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</si>
  <si>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</si>
  <si>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</si>
  <si>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date</t>
  </si>
  <si>
    <t xml:space="preserve">ru_gdp_m 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</si>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</sst>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0.0"/>
    <numFmt numFmtId="180" formatCode="yyyy\-mm\-dd"/>
  </numFmts>
  <fonts count="29">
    <font>
      <sz val="11"/>
      <color theme="1"/>
      <name val="Calibri"/>
      <charset val="134"/>
      <scheme val="minor"/>
    </font>
    <font>
      <b/>
      <sz val="12"/>
      <color theme="0"/>
      <name val="Times New Roman"/>
      <charset val="204"/>
    </font>
    <font>
      <b/>
      <sz val="10"/>
      <color theme="0"/>
      <name val="Times New Roman"/>
      <charset val="204"/>
    </font>
    <font>
      <sz val="12"/>
      <name val="Times New Roman"/>
      <charset val="204"/>
    </font>
    <font>
      <sz val="12"/>
      <color theme="1"/>
      <name val="Times New Roman"/>
      <charset val="204"/>
    </font>
    <font>
      <sz val="11"/>
      <color theme="1"/>
      <name val="Times New Roman"/>
      <charset val="204"/>
    </font>
    <font>
      <sz val="10"/>
      <color theme="1"/>
      <name val="Times New Roman"/>
      <charset val="204"/>
    </font>
    <font>
      <vertAlign val="superscript"/>
      <sz val="10"/>
      <color theme="1"/>
      <name val="Times New Roman"/>
      <charset val="204"/>
    </font>
    <font>
      <sz val="12"/>
      <color rgb="FF25353D"/>
      <name val="Tahoma"/>
      <charset val="20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/>
    </xf>
    <xf numFmtId="178" fontId="0" fillId="0" borderId="0" xfId="1" applyNumberFormat="1" applyFont="1" applyFill="1" applyAlignment="1">
      <alignment horizontal="center"/>
    </xf>
    <xf numFmtId="58" fontId="0" fillId="0" borderId="0" xfId="0" applyNumberFormat="1"/>
    <xf numFmtId="0" fontId="0" fillId="0" borderId="0" xfId="0" applyFont="1" applyFill="1" applyAlignment="1"/>
    <xf numFmtId="58" fontId="0" fillId="0" borderId="0" xfId="0" applyNumberFormat="1" applyFont="1" applyFill="1" applyAlignme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right" wrapText="1"/>
    </xf>
    <xf numFmtId="49" fontId="2" fillId="2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179" fontId="4" fillId="3" borderId="1" xfId="0" applyNumberFormat="1" applyFont="1" applyFill="1" applyBorder="1" applyAlignment="1">
      <alignment vertical="center" wrapText="1"/>
    </xf>
    <xf numFmtId="179" fontId="5" fillId="0" borderId="0" xfId="0" applyNumberFormat="1" applyFont="1"/>
    <xf numFmtId="0" fontId="6" fillId="0" borderId="0" xfId="0" applyFont="1" applyAlignment="1">
      <alignment horizontal="justify" vertical="top" wrapText="1"/>
    </xf>
    <xf numFmtId="0" fontId="7" fillId="0" borderId="0" xfId="0" applyFont="1" applyAlignment="1">
      <alignment horizontal="justify" vertical="top" wrapText="1"/>
    </xf>
    <xf numFmtId="0" fontId="8" fillId="0" borderId="0" xfId="0" applyFont="1" applyAlignment="1">
      <alignment horizontal="center" wrapText="1"/>
    </xf>
    <xf numFmtId="179" fontId="0" fillId="0" borderId="0" xfId="0" applyNumberFormat="1"/>
    <xf numFmtId="0" fontId="9" fillId="0" borderId="1" xfId="0" applyFont="1" applyBorder="1" applyAlignment="1">
      <alignment horizontal="center" vertical="top"/>
    </xf>
    <xf numFmtId="180" fontId="0" fillId="0" borderId="0" xfId="0" applyNumberForma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B8" sqref="B8"/>
    </sheetView>
  </sheetViews>
  <sheetFormatPr defaultColWidth="9" defaultRowHeight="16.8" outlineLevelRow="7" outlineLevelCol="2"/>
  <cols>
    <col min="1" max="1" width="85.7109375" style="21" customWidth="1"/>
    <col min="2" max="2" width="94.5703125" customWidth="1"/>
    <col min="3" max="3" width="23.4296875" customWidth="1"/>
  </cols>
  <sheetData>
    <row r="1" ht="17" spans="1:3">
      <c r="A1" s="21" t="s">
        <v>0</v>
      </c>
    </row>
    <row r="2" ht="17" spans="1:3">
      <c r="A2" s="21" t="s">
        <v>1</v>
      </c>
    </row>
    <row r="3" ht="17" spans="1:3">
      <c r="A3" s="21" t="s">
        <v>2</v>
      </c>
    </row>
    <row r="4" ht="17" spans="1:3">
      <c r="A4" s="21" t="s">
        <v>3</v>
      </c>
    </row>
    <row r="5" ht="34" spans="1:3">
      <c r="A5" s="21" t="s">
        <v>4</v>
      </c>
    </row>
    <row r="6" ht="17" spans="1:3">
      <c r="A6" s="21" t="s">
        <v>5</v>
      </c>
    </row>
    <row r="8" ht="17" spans="1:3">
      <c r="A8" s="21" t="s">
        <v>6</v>
      </c>
      <c r="B8" t="s">
        <v>7</v>
      </c>
      <c r="C8" t="s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2"/>
  <sheetViews>
    <sheetView topLeftCell="A36" workbookViewId="0">
      <selection activeCell="A1" sqref="A1:B13"/>
    </sheetView>
  </sheetViews>
  <sheetFormatPr defaultColWidth="9" defaultRowHeight="16.8" outlineLevelCol="1"/>
  <cols>
    <col min="1" max="1" width="16.5703125" customWidth="1"/>
    <col min="2" max="2" width="18.4296875" style="18" customWidth="1"/>
  </cols>
  <sheetData>
    <row r="1" spans="1:2">
      <c r="A1" s="19" t="s">
        <v>9</v>
      </c>
      <c r="B1" s="19" t="s">
        <v>6</v>
      </c>
    </row>
    <row r="2" spans="1:2">
      <c r="A2" s="20">
        <v>40544</v>
      </c>
      <c r="B2" s="18">
        <v>18440083.5</v>
      </c>
    </row>
    <row r="3" spans="1:2">
      <c r="A3" s="20">
        <v>40634</v>
      </c>
      <c r="B3" s="18">
        <v>19714798.4</v>
      </c>
    </row>
    <row r="4" spans="1:2">
      <c r="A4" s="20">
        <v>40725</v>
      </c>
      <c r="B4" s="18">
        <v>20978424.1</v>
      </c>
    </row>
    <row r="5" spans="1:2">
      <c r="A5" s="20">
        <v>40817</v>
      </c>
      <c r="B5" s="18">
        <v>22617264</v>
      </c>
    </row>
    <row r="6" spans="1:2">
      <c r="A6" s="20">
        <v>40909</v>
      </c>
      <c r="B6" s="18">
        <v>19492308.1</v>
      </c>
    </row>
    <row r="7" spans="1:2">
      <c r="A7" s="20">
        <v>41000</v>
      </c>
      <c r="B7" s="18">
        <v>20672447</v>
      </c>
    </row>
    <row r="8" spans="1:2">
      <c r="A8" s="20">
        <v>41091</v>
      </c>
      <c r="B8" s="18">
        <v>21711575</v>
      </c>
    </row>
    <row r="9" spans="1:2">
      <c r="A9" s="20">
        <v>41183</v>
      </c>
      <c r="B9" s="18">
        <v>23163953.4</v>
      </c>
    </row>
    <row r="10" spans="1:2">
      <c r="A10" s="20">
        <v>41275</v>
      </c>
      <c r="B10" s="18">
        <v>19712530.6</v>
      </c>
    </row>
    <row r="11" spans="1:2">
      <c r="A11" s="20">
        <v>41365</v>
      </c>
      <c r="B11" s="18">
        <v>21028103.8</v>
      </c>
    </row>
    <row r="12" spans="1:2">
      <c r="A12" s="20">
        <v>41456</v>
      </c>
      <c r="B12" s="18">
        <v>22039092.5</v>
      </c>
    </row>
    <row r="13" spans="1:2">
      <c r="A13" s="20">
        <v>41548</v>
      </c>
      <c r="B13" s="18">
        <v>23753372.5</v>
      </c>
    </row>
    <row r="14" spans="1:2">
      <c r="A14" s="20">
        <v>41640</v>
      </c>
      <c r="B14" s="18">
        <v>28173674.6</v>
      </c>
    </row>
    <row r="15" spans="1:2">
      <c r="A15" s="20">
        <v>41730</v>
      </c>
      <c r="B15" s="18">
        <v>30467301.5</v>
      </c>
    </row>
    <row r="16" spans="1:2">
      <c r="A16" s="20">
        <v>41821</v>
      </c>
      <c r="B16" s="18">
        <v>31833920.6</v>
      </c>
    </row>
    <row r="17" spans="1:2">
      <c r="A17" s="20">
        <v>41913</v>
      </c>
      <c r="B17" s="18">
        <v>33938290.2</v>
      </c>
    </row>
    <row r="18" spans="1:2">
      <c r="A18" s="20">
        <v>42005</v>
      </c>
      <c r="B18" s="18">
        <v>27743682.5</v>
      </c>
    </row>
    <row r="19" spans="1:2">
      <c r="A19" s="20">
        <v>42095</v>
      </c>
      <c r="B19" s="18">
        <v>29526184.3</v>
      </c>
    </row>
    <row r="20" spans="1:2">
      <c r="A20" s="20">
        <v>42186</v>
      </c>
      <c r="B20" s="18">
        <v>31292771</v>
      </c>
    </row>
    <row r="21" spans="1:2">
      <c r="A21" s="20">
        <v>42278</v>
      </c>
      <c r="B21" s="18">
        <v>33396226.2</v>
      </c>
    </row>
    <row r="22" spans="1:2">
      <c r="A22" s="20">
        <v>42370</v>
      </c>
      <c r="B22" s="18">
        <v>27686568.1</v>
      </c>
    </row>
    <row r="23" spans="1:2">
      <c r="A23" s="20">
        <v>42461</v>
      </c>
      <c r="B23" s="18">
        <v>29621129.2</v>
      </c>
    </row>
    <row r="24" spans="1:2">
      <c r="A24" s="20">
        <v>42552</v>
      </c>
      <c r="B24" s="18">
        <v>31311265.6</v>
      </c>
    </row>
    <row r="25" spans="1:2">
      <c r="A25" s="20">
        <v>42644</v>
      </c>
      <c r="B25" s="18">
        <v>33576100.3</v>
      </c>
    </row>
    <row r="26" spans="1:2">
      <c r="A26" s="20">
        <v>42736</v>
      </c>
      <c r="B26" s="18">
        <v>28049401</v>
      </c>
    </row>
    <row r="27" spans="1:2">
      <c r="A27" s="20">
        <v>42826</v>
      </c>
      <c r="B27" s="18">
        <v>30314841.3</v>
      </c>
    </row>
    <row r="28" spans="1:2">
      <c r="A28" s="20">
        <v>42917</v>
      </c>
      <c r="B28" s="18">
        <v>32137396.9</v>
      </c>
    </row>
    <row r="29" spans="1:2">
      <c r="A29" s="20">
        <v>43009</v>
      </c>
      <c r="B29" s="18">
        <v>33925567.6</v>
      </c>
    </row>
    <row r="30" spans="1:2">
      <c r="A30" s="20">
        <v>43101</v>
      </c>
      <c r="B30" s="18">
        <v>28768439.5</v>
      </c>
    </row>
    <row r="31" spans="1:2">
      <c r="A31" s="20">
        <v>43191</v>
      </c>
      <c r="B31" s="18">
        <v>31142231.9</v>
      </c>
    </row>
    <row r="32" spans="1:2">
      <c r="A32" s="20">
        <v>43282</v>
      </c>
      <c r="B32" s="18">
        <v>32983895</v>
      </c>
    </row>
    <row r="33" spans="1:2">
      <c r="A33" s="20">
        <v>43374</v>
      </c>
      <c r="B33" s="18">
        <v>35024491.8</v>
      </c>
    </row>
    <row r="34" spans="1:2">
      <c r="A34" s="20">
        <v>43466</v>
      </c>
      <c r="B34" s="18">
        <v>29168260.4</v>
      </c>
    </row>
    <row r="35" spans="1:2">
      <c r="A35" s="20">
        <v>43556</v>
      </c>
      <c r="B35" s="18">
        <v>31565376.3</v>
      </c>
    </row>
    <row r="36" spans="1:2">
      <c r="A36" s="20">
        <v>43647</v>
      </c>
      <c r="B36" s="18">
        <v>33897148.1</v>
      </c>
    </row>
    <row r="37" spans="1:2">
      <c r="A37" s="20">
        <v>43739</v>
      </c>
      <c r="B37" s="18">
        <v>36100031.3</v>
      </c>
    </row>
    <row r="38" spans="1:2">
      <c r="A38" s="20">
        <v>43831</v>
      </c>
      <c r="B38" s="18">
        <v>29609467.1</v>
      </c>
    </row>
    <row r="39" spans="1:2">
      <c r="A39" s="20">
        <v>43922</v>
      </c>
      <c r="B39" s="18">
        <v>29255232.3</v>
      </c>
    </row>
    <row r="40" spans="1:2">
      <c r="A40" s="20">
        <v>44013</v>
      </c>
      <c r="B40" s="18">
        <v>32767887</v>
      </c>
    </row>
    <row r="41" spans="1:2">
      <c r="A41" s="20">
        <v>44105</v>
      </c>
      <c r="B41" s="18">
        <v>35629085.5</v>
      </c>
    </row>
    <row r="42" spans="1:2">
      <c r="A42" s="20">
        <v>44197</v>
      </c>
      <c r="B42" s="18">
        <v>29907688</v>
      </c>
    </row>
    <row r="43" spans="1:2">
      <c r="A43" s="20">
        <v>44287</v>
      </c>
      <c r="B43" s="18">
        <v>32596309.1</v>
      </c>
    </row>
    <row r="44" spans="1:2">
      <c r="A44" s="20">
        <v>44378</v>
      </c>
      <c r="B44" s="18">
        <v>34473963.4</v>
      </c>
    </row>
    <row r="45" spans="1:2">
      <c r="A45" s="20">
        <v>44470</v>
      </c>
      <c r="B45" s="18">
        <v>37749506.9</v>
      </c>
    </row>
    <row r="46" spans="1:2">
      <c r="A46" s="20">
        <v>44562</v>
      </c>
      <c r="B46" s="18">
        <v>30913053.7</v>
      </c>
    </row>
    <row r="47" spans="1:2">
      <c r="A47" s="20">
        <v>44652</v>
      </c>
      <c r="B47" s="18">
        <v>31386209.6</v>
      </c>
    </row>
    <row r="48" spans="1:2">
      <c r="A48" s="20">
        <v>44743</v>
      </c>
      <c r="B48" s="18">
        <v>33458054.5</v>
      </c>
    </row>
    <row r="49" spans="1:2">
      <c r="A49" s="20">
        <v>44835</v>
      </c>
      <c r="B49" s="18">
        <v>37036311.2</v>
      </c>
    </row>
    <row r="50" spans="1:2">
      <c r="A50" s="20">
        <v>44927</v>
      </c>
      <c r="B50" s="18">
        <v>30656214.9</v>
      </c>
    </row>
    <row r="51" spans="1:2">
      <c r="A51" s="20">
        <v>45017</v>
      </c>
      <c r="B51" s="18">
        <v>33063563.5</v>
      </c>
    </row>
    <row r="52" spans="1:2">
      <c r="A52" s="20">
        <v>45108</v>
      </c>
      <c r="B52" s="18">
        <v>35514598.3</v>
      </c>
    </row>
    <row r="53" spans="1:2">
      <c r="A53" s="20">
        <v>45200</v>
      </c>
      <c r="B53" s="18">
        <v>38959456.4</v>
      </c>
    </row>
    <row r="54" spans="1:2">
      <c r="A54" s="20">
        <v>45292</v>
      </c>
      <c r="B54" s="18">
        <v>32462099</v>
      </c>
    </row>
    <row r="55" spans="1:2">
      <c r="A55" s="20">
        <v>45383</v>
      </c>
      <c r="B55" s="18">
        <v>34682481.5</v>
      </c>
    </row>
    <row r="56" spans="1:2">
      <c r="A56" s="20">
        <v>45474</v>
      </c>
      <c r="B56" s="18">
        <v>36861828.2</v>
      </c>
    </row>
    <row r="57" spans="1:2">
      <c r="A57" s="20">
        <v>45566</v>
      </c>
      <c r="B57" s="18">
        <v>40988882.2</v>
      </c>
    </row>
    <row r="58" spans="1:2">
      <c r="A58" s="20">
        <v>45658</v>
      </c>
      <c r="B58" s="18">
        <v>32887153</v>
      </c>
    </row>
    <row r="59" spans="1:2">
      <c r="A59" s="20">
        <v>45748</v>
      </c>
      <c r="B59" s="18">
        <v>35042668.4</v>
      </c>
    </row>
    <row r="60" spans="1:2">
      <c r="A60" s="20">
        <v>45839</v>
      </c>
      <c r="B60" s="18">
        <v>37138301</v>
      </c>
    </row>
    <row r="61" spans="1:2">
      <c r="A61" s="20">
        <v>45931</v>
      </c>
      <c r="B61" s="18">
        <v>41378827.4</v>
      </c>
    </row>
    <row r="62" spans="1:2">
      <c r="A62" s="20">
        <v>46023</v>
      </c>
      <c r="B62" s="18">
        <v>32837291.4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J143"/>
  <sheetViews>
    <sheetView topLeftCell="A112" workbookViewId="0">
      <selection activeCell="B130" sqref="B130"/>
    </sheetView>
  </sheetViews>
  <sheetFormatPr defaultColWidth="9" defaultRowHeight="16.8"/>
  <cols>
    <col min="1" max="1" width="32.890625" customWidth="1"/>
    <col min="2" max="2" width="10" customWidth="1"/>
    <col min="3" max="75" width="9.109375" customWidth="1"/>
  </cols>
  <sheetData>
    <row r="1" ht="29.95" customHeight="1" spans="1:140">
      <c r="A1" s="7" t="s">
        <v>10</v>
      </c>
      <c r="B1" s="8" t="s">
        <v>11</v>
      </c>
      <c r="C1" s="9" t="s">
        <v>12</v>
      </c>
      <c r="D1" s="10" t="s">
        <v>13</v>
      </c>
      <c r="E1" s="9" t="s">
        <v>14</v>
      </c>
      <c r="F1" s="10" t="s">
        <v>15</v>
      </c>
      <c r="G1" s="9" t="s">
        <v>16</v>
      </c>
      <c r="H1" s="9" t="s">
        <v>17</v>
      </c>
      <c r="I1" s="10" t="s">
        <v>18</v>
      </c>
      <c r="J1" s="9" t="s">
        <v>19</v>
      </c>
      <c r="K1" s="9" t="s">
        <v>20</v>
      </c>
      <c r="L1" s="10" t="s">
        <v>21</v>
      </c>
      <c r="M1" s="9" t="s">
        <v>22</v>
      </c>
      <c r="N1" s="10" t="s">
        <v>23</v>
      </c>
      <c r="O1" s="9" t="s">
        <v>24</v>
      </c>
      <c r="P1" s="10" t="s">
        <v>25</v>
      </c>
      <c r="Q1" s="9" t="s">
        <v>26</v>
      </c>
      <c r="R1" s="10" t="s">
        <v>27</v>
      </c>
      <c r="S1" s="9" t="s">
        <v>28</v>
      </c>
      <c r="T1" s="9" t="s">
        <v>29</v>
      </c>
      <c r="U1" s="10" t="s">
        <v>30</v>
      </c>
      <c r="V1" s="9" t="s">
        <v>31</v>
      </c>
      <c r="W1" s="9" t="s">
        <v>32</v>
      </c>
      <c r="X1" s="10" t="s">
        <v>33</v>
      </c>
      <c r="Y1" s="9" t="s">
        <v>34</v>
      </c>
      <c r="Z1" s="10" t="s">
        <v>35</v>
      </c>
      <c r="AA1" s="9" t="s">
        <v>36</v>
      </c>
      <c r="AB1" s="10" t="s">
        <v>37</v>
      </c>
      <c r="AC1" s="9" t="s">
        <v>38</v>
      </c>
      <c r="AD1" s="10" t="s">
        <v>39</v>
      </c>
      <c r="AE1" s="9" t="s">
        <v>40</v>
      </c>
      <c r="AF1" s="9" t="s">
        <v>41</v>
      </c>
      <c r="AG1" s="10" t="s">
        <v>42</v>
      </c>
      <c r="AH1" s="9" t="s">
        <v>43</v>
      </c>
      <c r="AI1" s="9" t="s">
        <v>44</v>
      </c>
      <c r="AJ1" s="10" t="s">
        <v>45</v>
      </c>
      <c r="AK1" s="9" t="s">
        <v>46</v>
      </c>
      <c r="AL1" s="10" t="s">
        <v>47</v>
      </c>
      <c r="AM1" s="9" t="s">
        <v>48</v>
      </c>
      <c r="AN1" s="10" t="s">
        <v>49</v>
      </c>
      <c r="AO1" s="9" t="s">
        <v>50</v>
      </c>
      <c r="AP1" s="10" t="s">
        <v>51</v>
      </c>
      <c r="AQ1" s="9" t="s">
        <v>52</v>
      </c>
      <c r="AR1" s="9" t="s">
        <v>53</v>
      </c>
      <c r="AS1" s="10" t="s">
        <v>54</v>
      </c>
      <c r="AT1" s="9" t="s">
        <v>55</v>
      </c>
      <c r="AU1" s="9" t="s">
        <v>56</v>
      </c>
      <c r="AV1" s="10" t="s">
        <v>57</v>
      </c>
      <c r="AW1" s="9" t="s">
        <v>58</v>
      </c>
      <c r="AX1" s="10" t="s">
        <v>59</v>
      </c>
      <c r="AY1" s="9" t="s">
        <v>60</v>
      </c>
      <c r="AZ1" s="10" t="s">
        <v>61</v>
      </c>
      <c r="BA1" s="9" t="s">
        <v>62</v>
      </c>
      <c r="BB1" s="10" t="s">
        <v>63</v>
      </c>
      <c r="BC1" s="9" t="s">
        <v>64</v>
      </c>
      <c r="BD1" s="9" t="s">
        <v>65</v>
      </c>
      <c r="BE1" s="10" t="s">
        <v>66</v>
      </c>
      <c r="BF1" s="9" t="s">
        <v>67</v>
      </c>
      <c r="BG1" s="9" t="s">
        <v>68</v>
      </c>
      <c r="BH1" s="10" t="s">
        <v>69</v>
      </c>
      <c r="BI1" s="9" t="s">
        <v>70</v>
      </c>
      <c r="BJ1" s="10" t="s">
        <v>71</v>
      </c>
      <c r="BK1" s="9" t="s">
        <v>72</v>
      </c>
      <c r="BL1" s="10" t="s">
        <v>73</v>
      </c>
      <c r="BM1" s="9" t="s">
        <v>74</v>
      </c>
      <c r="BN1" s="10" t="s">
        <v>75</v>
      </c>
      <c r="BO1" s="9" t="s">
        <v>76</v>
      </c>
      <c r="BP1" s="9" t="s">
        <v>77</v>
      </c>
      <c r="BQ1" s="10" t="s">
        <v>78</v>
      </c>
      <c r="BR1" s="9" t="s">
        <v>79</v>
      </c>
      <c r="BS1" s="9" t="s">
        <v>80</v>
      </c>
      <c r="BT1" s="10" t="s">
        <v>81</v>
      </c>
      <c r="BU1" s="9" t="s">
        <v>82</v>
      </c>
      <c r="BV1" s="10" t="s">
        <v>83</v>
      </c>
      <c r="BW1" s="9" t="s">
        <v>84</v>
      </c>
      <c r="BX1" s="10" t="s">
        <v>85</v>
      </c>
      <c r="BY1" s="9" t="s">
        <v>86</v>
      </c>
      <c r="BZ1" s="10" t="s">
        <v>87</v>
      </c>
      <c r="CA1" s="9" t="s">
        <v>88</v>
      </c>
      <c r="CB1" s="9" t="s">
        <v>89</v>
      </c>
      <c r="CC1" s="10" t="s">
        <v>90</v>
      </c>
      <c r="CD1" s="9" t="s">
        <v>91</v>
      </c>
      <c r="CE1" s="9" t="s">
        <v>92</v>
      </c>
      <c r="CF1" s="10" t="s">
        <v>93</v>
      </c>
      <c r="CG1" s="9" t="s">
        <v>94</v>
      </c>
      <c r="CH1" s="10" t="s">
        <v>95</v>
      </c>
      <c r="CI1" s="9" t="s">
        <v>96</v>
      </c>
      <c r="CJ1" s="10" t="s">
        <v>97</v>
      </c>
      <c r="CK1" s="9" t="s">
        <v>98</v>
      </c>
      <c r="CL1" s="9" t="s">
        <v>99</v>
      </c>
      <c r="CM1" s="9" t="s">
        <v>100</v>
      </c>
      <c r="CN1" s="9" t="s">
        <v>101</v>
      </c>
      <c r="CO1" s="9" t="s">
        <v>102</v>
      </c>
      <c r="CP1" s="9" t="s">
        <v>103</v>
      </c>
      <c r="CQ1" s="9" t="s">
        <v>104</v>
      </c>
      <c r="CR1" s="9" t="s">
        <v>105</v>
      </c>
      <c r="CS1" s="9" t="s">
        <v>106</v>
      </c>
      <c r="CT1" s="9" t="s">
        <v>107</v>
      </c>
      <c r="CU1" s="9" t="s">
        <v>108</v>
      </c>
      <c r="CV1" s="9" t="s">
        <v>109</v>
      </c>
      <c r="CW1" s="9" t="s">
        <v>110</v>
      </c>
      <c r="CX1" s="9" t="s">
        <v>111</v>
      </c>
      <c r="CY1" s="9" t="s">
        <v>112</v>
      </c>
      <c r="CZ1" s="9" t="s">
        <v>113</v>
      </c>
      <c r="DA1" s="9" t="s">
        <v>114</v>
      </c>
      <c r="DB1" s="9" t="s">
        <v>115</v>
      </c>
      <c r="DC1" s="9" t="s">
        <v>116</v>
      </c>
      <c r="DD1" s="9" t="s">
        <v>117</v>
      </c>
      <c r="DE1" s="9" t="s">
        <v>118</v>
      </c>
      <c r="DF1" s="9" t="s">
        <v>119</v>
      </c>
      <c r="DG1" s="9" t="s">
        <v>120</v>
      </c>
      <c r="DH1" s="9" t="s">
        <v>121</v>
      </c>
      <c r="DI1" s="9" t="s">
        <v>122</v>
      </c>
      <c r="DJ1" s="9" t="s">
        <v>123</v>
      </c>
      <c r="DK1" s="9" t="s">
        <v>124</v>
      </c>
      <c r="DL1" s="9" t="s">
        <v>125</v>
      </c>
      <c r="DM1" s="9" t="s">
        <v>126</v>
      </c>
      <c r="DN1" s="9" t="s">
        <v>127</v>
      </c>
      <c r="DO1" s="9" t="s">
        <v>128</v>
      </c>
      <c r="DP1" s="9" t="s">
        <v>129</v>
      </c>
      <c r="DQ1" s="9" t="s">
        <v>130</v>
      </c>
      <c r="DR1" s="9" t="s">
        <v>131</v>
      </c>
      <c r="DS1" s="9" t="s">
        <v>132</v>
      </c>
      <c r="DT1" s="9" t="s">
        <v>133</v>
      </c>
      <c r="DU1" s="9" t="s">
        <v>134</v>
      </c>
      <c r="DV1" s="9" t="s">
        <v>135</v>
      </c>
      <c r="DW1" s="9" t="s">
        <v>136</v>
      </c>
      <c r="DX1" s="9" t="s">
        <v>137</v>
      </c>
      <c r="DY1" s="9" t="s">
        <v>138</v>
      </c>
      <c r="DZ1" s="9" t="s">
        <v>139</v>
      </c>
      <c r="EA1" s="9" t="s">
        <v>140</v>
      </c>
      <c r="EB1" s="9" t="s">
        <v>141</v>
      </c>
      <c r="EC1" s="9" t="s">
        <v>142</v>
      </c>
      <c r="ED1" s="9" t="s">
        <v>143</v>
      </c>
      <c r="EE1" s="9" t="s">
        <v>144</v>
      </c>
      <c r="EF1" s="9" t="s">
        <v>145</v>
      </c>
      <c r="EG1" s="9" t="s">
        <v>146</v>
      </c>
      <c r="EH1" s="9" t="s">
        <v>147</v>
      </c>
      <c r="EI1" s="9" t="s">
        <v>148</v>
      </c>
      <c r="EJ1" s="9" t="s">
        <v>149</v>
      </c>
    </row>
    <row r="2" ht="36.85" customHeight="1" spans="1:140">
      <c r="A2" s="11" t="s">
        <v>150</v>
      </c>
      <c r="B2" s="12" t="s">
        <v>151</v>
      </c>
      <c r="C2" s="13">
        <v>76.4</v>
      </c>
      <c r="D2" s="13">
        <v>74.2</v>
      </c>
      <c r="E2" s="13">
        <v>82.3</v>
      </c>
      <c r="F2" s="13">
        <v>78.4</v>
      </c>
      <c r="G2" s="13">
        <v>77.6</v>
      </c>
      <c r="H2" s="13">
        <v>78.8</v>
      </c>
      <c r="I2" s="13">
        <v>79.8</v>
      </c>
      <c r="J2" s="13">
        <v>80.2</v>
      </c>
      <c r="K2" s="13">
        <v>81</v>
      </c>
      <c r="L2" s="13">
        <v>85.3</v>
      </c>
      <c r="M2" s="13">
        <v>84.8</v>
      </c>
      <c r="N2" s="13">
        <v>91.5</v>
      </c>
      <c r="O2" s="13">
        <v>75.7</v>
      </c>
      <c r="P2" s="13">
        <v>75.8</v>
      </c>
      <c r="Q2" s="13">
        <v>83.1</v>
      </c>
      <c r="R2" s="13">
        <v>78.4</v>
      </c>
      <c r="S2" s="13">
        <v>78</v>
      </c>
      <c r="T2" s="13">
        <v>79.8</v>
      </c>
      <c r="U2" s="13">
        <v>80.2</v>
      </c>
      <c r="V2" s="13">
        <v>82</v>
      </c>
      <c r="W2" s="13">
        <v>83.1</v>
      </c>
      <c r="X2" s="13">
        <v>87.9</v>
      </c>
      <c r="Y2" s="13">
        <v>89.3</v>
      </c>
      <c r="Z2" s="13">
        <v>95.2</v>
      </c>
      <c r="AA2" s="13">
        <v>80.8</v>
      </c>
      <c r="AB2" s="13">
        <v>77.1</v>
      </c>
      <c r="AC2" s="13">
        <v>86.2</v>
      </c>
      <c r="AD2" s="13">
        <v>81.9</v>
      </c>
      <c r="AE2" s="13">
        <v>83</v>
      </c>
      <c r="AF2" s="13">
        <v>84.2</v>
      </c>
      <c r="AG2" s="13">
        <v>83.9</v>
      </c>
      <c r="AH2" s="13">
        <v>86.3</v>
      </c>
      <c r="AI2" s="13">
        <v>86.5</v>
      </c>
      <c r="AJ2" s="13">
        <v>89.9</v>
      </c>
      <c r="AK2" s="13">
        <v>90.3</v>
      </c>
      <c r="AL2" s="13">
        <v>95.5</v>
      </c>
      <c r="AM2" s="13">
        <v>82.9</v>
      </c>
      <c r="AN2" s="13">
        <v>79.5</v>
      </c>
      <c r="AO2" s="13">
        <v>88.5</v>
      </c>
      <c r="AP2" s="13">
        <v>84.4</v>
      </c>
      <c r="AQ2" s="13">
        <v>85.8</v>
      </c>
      <c r="AR2" s="13">
        <v>86</v>
      </c>
      <c r="AS2" s="13">
        <v>86.8</v>
      </c>
      <c r="AT2" s="13">
        <v>88.7</v>
      </c>
      <c r="AU2" s="13">
        <v>88.5</v>
      </c>
      <c r="AV2" s="13">
        <v>94.7</v>
      </c>
      <c r="AW2" s="13">
        <v>94.3</v>
      </c>
      <c r="AX2" s="13">
        <v>101.6</v>
      </c>
      <c r="AY2" s="13">
        <v>85.2</v>
      </c>
      <c r="AZ2" s="13">
        <v>82.8</v>
      </c>
      <c r="BA2" s="13">
        <v>91</v>
      </c>
      <c r="BB2" s="13">
        <v>88.9</v>
      </c>
      <c r="BC2" s="13">
        <v>86.8</v>
      </c>
      <c r="BD2" s="13">
        <v>88.8</v>
      </c>
      <c r="BE2" s="13">
        <v>90.6</v>
      </c>
      <c r="BF2" s="13">
        <v>92.2</v>
      </c>
      <c r="BG2" s="13">
        <v>93</v>
      </c>
      <c r="BH2" s="13">
        <v>98.9</v>
      </c>
      <c r="BI2" s="13">
        <v>95.7</v>
      </c>
      <c r="BJ2" s="13">
        <v>104.3</v>
      </c>
      <c r="BK2" s="13">
        <v>86.6</v>
      </c>
      <c r="BL2" s="13">
        <v>87</v>
      </c>
      <c r="BM2" s="13">
        <v>93.5</v>
      </c>
      <c r="BN2" s="13">
        <v>84.9</v>
      </c>
      <c r="BO2" s="13">
        <v>79.9</v>
      </c>
      <c r="BP2" s="13">
        <v>82.8</v>
      </c>
      <c r="BQ2" s="13">
        <v>85.4</v>
      </c>
      <c r="BR2" s="13">
        <v>88.4</v>
      </c>
      <c r="BS2" s="13">
        <v>89.6</v>
      </c>
      <c r="BT2" s="13">
        <v>93.5</v>
      </c>
      <c r="BU2" s="13">
        <v>94.6</v>
      </c>
      <c r="BV2" s="13">
        <v>108.1</v>
      </c>
      <c r="BW2" s="13">
        <v>85.1</v>
      </c>
      <c r="BX2" s="13">
        <v>84.6</v>
      </c>
      <c r="BY2" s="13">
        <v>96.1</v>
      </c>
      <c r="BZ2" s="13">
        <v>92.5</v>
      </c>
      <c r="CA2" s="13">
        <v>90.4</v>
      </c>
      <c r="CB2" s="13">
        <v>92.3</v>
      </c>
      <c r="CC2" s="13">
        <v>92.2</v>
      </c>
      <c r="CD2" s="13">
        <v>93.4</v>
      </c>
      <c r="CE2" s="13">
        <v>96.7</v>
      </c>
      <c r="CF2" s="13">
        <v>101.4</v>
      </c>
      <c r="CG2" s="13">
        <v>102.2</v>
      </c>
      <c r="CH2" s="13">
        <v>116.3</v>
      </c>
      <c r="CI2" s="13">
        <v>92.8</v>
      </c>
      <c r="CJ2" s="13">
        <v>90.2</v>
      </c>
      <c r="CK2" s="13">
        <v>99.6</v>
      </c>
      <c r="CL2" s="13">
        <v>90.8</v>
      </c>
      <c r="CM2" s="13">
        <v>89.1</v>
      </c>
      <c r="CN2" s="13">
        <v>91.1</v>
      </c>
      <c r="CO2" s="13">
        <v>92.7</v>
      </c>
      <c r="CP2" s="13">
        <v>94.2</v>
      </c>
      <c r="CQ2" s="13">
        <v>94.7</v>
      </c>
      <c r="CR2" s="13">
        <v>99.9</v>
      </c>
      <c r="CS2" s="13">
        <v>102</v>
      </c>
      <c r="CT2" s="13">
        <v>113.8</v>
      </c>
      <c r="CU2" s="13">
        <v>91</v>
      </c>
      <c r="CV2" s="13">
        <v>89.1</v>
      </c>
      <c r="CW2" s="13">
        <v>101.1</v>
      </c>
      <c r="CX2" s="13">
        <v>95.6</v>
      </c>
      <c r="CY2" s="13">
        <v>95.6</v>
      </c>
      <c r="CZ2" s="13">
        <v>96.6</v>
      </c>
      <c r="DA2" s="13">
        <v>98.2</v>
      </c>
      <c r="DB2" s="13">
        <v>100.4</v>
      </c>
      <c r="DC2" s="13">
        <v>101.1</v>
      </c>
      <c r="DD2" s="13">
        <v>106.1</v>
      </c>
      <c r="DE2" s="13">
        <v>107.3</v>
      </c>
      <c r="DF2" s="13">
        <v>118</v>
      </c>
      <c r="DG2" s="13">
        <v>95.8</v>
      </c>
      <c r="DH2" s="13">
        <v>97.1</v>
      </c>
      <c r="DI2" s="13">
        <v>105.5</v>
      </c>
      <c r="DJ2" s="13">
        <v>100.5</v>
      </c>
      <c r="DK2" s="13">
        <v>101.6</v>
      </c>
      <c r="DL2" s="13">
        <v>99.2</v>
      </c>
      <c r="DM2" s="13">
        <v>102</v>
      </c>
      <c r="DN2" s="13">
        <v>103.4</v>
      </c>
      <c r="DO2" s="13">
        <v>104</v>
      </c>
      <c r="DP2" s="13">
        <v>111.8</v>
      </c>
      <c r="DQ2" s="13">
        <v>111.3</v>
      </c>
      <c r="DR2" s="13">
        <v>128.2</v>
      </c>
      <c r="DS2" s="13">
        <v>96.7</v>
      </c>
      <c r="DT2" s="13">
        <v>96.1</v>
      </c>
      <c r="DU2" s="13">
        <v>105.6</v>
      </c>
      <c r="DV2" s="13">
        <v>101.8</v>
      </c>
      <c r="DW2" s="13">
        <v>102.7</v>
      </c>
      <c r="DX2" s="13">
        <v>101.3</v>
      </c>
      <c r="DY2" s="13">
        <v>103.5</v>
      </c>
      <c r="DZ2" s="13">
        <v>104.5</v>
      </c>
      <c r="EA2" s="13">
        <v>105.3</v>
      </c>
      <c r="EB2" s="13">
        <v>114.6</v>
      </c>
      <c r="EC2" s="13">
        <v>111.7</v>
      </c>
      <c r="ED2" s="13">
        <v>132.9</v>
      </c>
      <c r="EE2" s="13">
        <v>101.4</v>
      </c>
      <c r="EF2" s="13">
        <v>100.2</v>
      </c>
      <c r="EG2" s="13">
        <v>112.6</v>
      </c>
      <c r="EH2" s="13">
        <v>108</v>
      </c>
      <c r="EI2" s="13">
        <v>106.2</v>
      </c>
      <c r="EJ2" s="13">
        <v>105.5</v>
      </c>
    </row>
    <row r="3" spans="1:140"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</row>
    <row r="4" ht="79.55" customHeight="1" spans="1:140">
      <c r="A4" s="15" t="s">
        <v>152</v>
      </c>
      <c r="B4" s="16"/>
      <c r="C4" s="16"/>
      <c r="D4" s="16"/>
      <c r="E4" s="16"/>
    </row>
    <row r="6" spans="1:140">
      <c r="A6" s="1" t="s">
        <v>12</v>
      </c>
      <c r="B6">
        <v>2015</v>
      </c>
      <c r="C6" s="5" t="str">
        <f t="shared" ref="C6:C69" si="0">B6&amp;"-"&amp;TEXT(A6,"00")</f>
        <v>2015-01</v>
      </c>
      <c r="D6">
        <v>76.4</v>
      </c>
    </row>
    <row r="7" spans="1:140">
      <c r="A7" s="1" t="s">
        <v>13</v>
      </c>
      <c r="B7">
        <v>2015</v>
      </c>
      <c r="C7" s="5" t="str">
        <f t="shared" si="0"/>
        <v>2015-02</v>
      </c>
      <c r="D7">
        <v>74.2</v>
      </c>
    </row>
    <row r="8" ht="18" spans="1:140">
      <c r="A8" s="17" t="s">
        <v>14</v>
      </c>
      <c r="B8">
        <v>2015</v>
      </c>
      <c r="C8" s="5" t="str">
        <f t="shared" si="0"/>
        <v>2015-03</v>
      </c>
      <c r="D8">
        <v>82.3</v>
      </c>
    </row>
    <row r="9" spans="1:140">
      <c r="A9" s="1" t="s">
        <v>15</v>
      </c>
      <c r="B9">
        <v>2015</v>
      </c>
      <c r="C9" s="5" t="str">
        <f t="shared" si="0"/>
        <v>2015-04</v>
      </c>
      <c r="D9">
        <v>78.4</v>
      </c>
    </row>
    <row r="10" spans="1:140">
      <c r="A10" s="1" t="s">
        <v>16</v>
      </c>
      <c r="B10">
        <v>2015</v>
      </c>
      <c r="C10" s="5" t="str">
        <f t="shared" si="0"/>
        <v>2015-05</v>
      </c>
      <c r="D10">
        <v>77.6</v>
      </c>
    </row>
    <row r="11" spans="1:140">
      <c r="A11" s="1" t="s">
        <v>17</v>
      </c>
      <c r="B11">
        <v>2015</v>
      </c>
      <c r="C11" s="5" t="str">
        <f t="shared" si="0"/>
        <v>2015-06</v>
      </c>
      <c r="D11">
        <v>78.8</v>
      </c>
    </row>
    <row r="12" spans="1:140">
      <c r="A12" s="1" t="s">
        <v>18</v>
      </c>
      <c r="B12">
        <v>2015</v>
      </c>
      <c r="C12" s="5" t="str">
        <f t="shared" si="0"/>
        <v>2015-07</v>
      </c>
      <c r="D12">
        <v>79.8</v>
      </c>
    </row>
    <row r="13" spans="1:140">
      <c r="A13" s="1" t="s">
        <v>19</v>
      </c>
      <c r="B13">
        <v>2015</v>
      </c>
      <c r="C13" s="5" t="str">
        <f t="shared" si="0"/>
        <v>2015-08</v>
      </c>
      <c r="D13">
        <v>80.2</v>
      </c>
    </row>
    <row r="14" spans="1:140">
      <c r="A14" s="1" t="s">
        <v>20</v>
      </c>
      <c r="B14">
        <v>2015</v>
      </c>
      <c r="C14" s="5" t="str">
        <f t="shared" si="0"/>
        <v>2015-09</v>
      </c>
      <c r="D14">
        <v>81</v>
      </c>
    </row>
    <row r="15" spans="1:140">
      <c r="A15" s="1" t="s">
        <v>21</v>
      </c>
      <c r="B15">
        <v>2015</v>
      </c>
      <c r="C15" s="5" t="str">
        <f t="shared" si="0"/>
        <v>2015-10</v>
      </c>
      <c r="D15">
        <v>85.3</v>
      </c>
    </row>
    <row r="16" spans="1:140">
      <c r="A16" s="1" t="s">
        <v>22</v>
      </c>
      <c r="B16">
        <v>2015</v>
      </c>
      <c r="C16" s="5" t="str">
        <f t="shared" si="0"/>
        <v>2015-11</v>
      </c>
      <c r="D16">
        <v>84.8</v>
      </c>
    </row>
    <row r="17" spans="1:4">
      <c r="A17" s="1" t="s">
        <v>23</v>
      </c>
      <c r="B17">
        <v>2015</v>
      </c>
      <c r="C17" s="5" t="str">
        <f t="shared" si="0"/>
        <v>2015-12</v>
      </c>
      <c r="D17">
        <v>91.5</v>
      </c>
    </row>
    <row r="18" spans="1:4">
      <c r="A18" s="1" t="s">
        <v>24</v>
      </c>
      <c r="B18">
        <v>2016</v>
      </c>
      <c r="C18" s="5" t="str">
        <f t="shared" si="0"/>
        <v>2016-01</v>
      </c>
      <c r="D18">
        <v>75.7</v>
      </c>
    </row>
    <row r="19" spans="1:4">
      <c r="A19" s="1" t="s">
        <v>25</v>
      </c>
      <c r="B19">
        <v>2016</v>
      </c>
      <c r="C19" s="5" t="str">
        <f t="shared" si="0"/>
        <v>2016-02</v>
      </c>
      <c r="D19">
        <v>75.8</v>
      </c>
    </row>
    <row r="20" spans="1:4">
      <c r="A20" s="1" t="s">
        <v>26</v>
      </c>
      <c r="B20">
        <v>2016</v>
      </c>
      <c r="C20" s="5" t="str">
        <f t="shared" si="0"/>
        <v>2016-03</v>
      </c>
      <c r="D20">
        <v>83.1</v>
      </c>
    </row>
    <row r="21" spans="1:4">
      <c r="A21" s="1" t="s">
        <v>27</v>
      </c>
      <c r="B21">
        <v>2016</v>
      </c>
      <c r="C21" s="5" t="str">
        <f t="shared" si="0"/>
        <v>2016-04</v>
      </c>
      <c r="D21">
        <v>78.4</v>
      </c>
    </row>
    <row r="22" spans="1:4">
      <c r="A22" s="1" t="s">
        <v>28</v>
      </c>
      <c r="B22">
        <v>2016</v>
      </c>
      <c r="C22" s="5" t="str">
        <f t="shared" si="0"/>
        <v>2016-05</v>
      </c>
      <c r="D22">
        <v>78</v>
      </c>
    </row>
    <row r="23" spans="1:4">
      <c r="A23" s="1" t="s">
        <v>29</v>
      </c>
      <c r="B23">
        <v>2016</v>
      </c>
      <c r="C23" s="5" t="str">
        <f t="shared" si="0"/>
        <v>2016-06</v>
      </c>
      <c r="D23">
        <v>79.8</v>
      </c>
    </row>
    <row r="24" spans="1:4">
      <c r="A24" s="1" t="s">
        <v>30</v>
      </c>
      <c r="B24">
        <v>2016</v>
      </c>
      <c r="C24" s="5" t="str">
        <f t="shared" si="0"/>
        <v>2016-07</v>
      </c>
      <c r="D24">
        <v>80.2</v>
      </c>
    </row>
    <row r="25" spans="1:4">
      <c r="A25" s="1" t="s">
        <v>31</v>
      </c>
      <c r="B25">
        <v>2016</v>
      </c>
      <c r="C25" s="5" t="str">
        <f t="shared" si="0"/>
        <v>2016-08</v>
      </c>
      <c r="D25">
        <v>82</v>
      </c>
    </row>
    <row r="26" spans="1:4">
      <c r="A26" s="1" t="s">
        <v>32</v>
      </c>
      <c r="B26">
        <v>2016</v>
      </c>
      <c r="C26" s="5" t="str">
        <f t="shared" si="0"/>
        <v>2016-09</v>
      </c>
      <c r="D26">
        <v>83.1</v>
      </c>
    </row>
    <row r="27" spans="1:4">
      <c r="A27" s="1" t="s">
        <v>33</v>
      </c>
      <c r="B27">
        <v>2016</v>
      </c>
      <c r="C27" s="5" t="str">
        <f t="shared" si="0"/>
        <v>2016-10</v>
      </c>
      <c r="D27">
        <v>87.9</v>
      </c>
    </row>
    <row r="28" spans="1:4">
      <c r="A28" s="1" t="s">
        <v>34</v>
      </c>
      <c r="B28">
        <v>2016</v>
      </c>
      <c r="C28" s="5" t="str">
        <f t="shared" si="0"/>
        <v>2016-11</v>
      </c>
      <c r="D28">
        <v>89.3</v>
      </c>
    </row>
    <row r="29" spans="1:4">
      <c r="A29" s="1" t="s">
        <v>35</v>
      </c>
      <c r="B29">
        <v>2016</v>
      </c>
      <c r="C29" s="5" t="str">
        <f t="shared" si="0"/>
        <v>2016-12</v>
      </c>
      <c r="D29">
        <v>95.2</v>
      </c>
    </row>
    <row r="30" spans="1:4">
      <c r="A30" s="1" t="s">
        <v>36</v>
      </c>
      <c r="B30">
        <v>2017</v>
      </c>
      <c r="C30" s="5" t="str">
        <f t="shared" si="0"/>
        <v>2017-01</v>
      </c>
      <c r="D30">
        <v>80.8</v>
      </c>
    </row>
    <row r="31" spans="1:4">
      <c r="A31" s="1" t="s">
        <v>37</v>
      </c>
      <c r="B31">
        <v>2017</v>
      </c>
      <c r="C31" s="5" t="str">
        <f t="shared" si="0"/>
        <v>2017-02</v>
      </c>
      <c r="D31">
        <v>77.1</v>
      </c>
    </row>
    <row r="32" spans="1:4">
      <c r="A32" s="1" t="s">
        <v>38</v>
      </c>
      <c r="B32">
        <v>2017</v>
      </c>
      <c r="C32" s="5" t="str">
        <f t="shared" si="0"/>
        <v>2017-03</v>
      </c>
      <c r="D32">
        <v>86.2</v>
      </c>
    </row>
    <row r="33" spans="1:4">
      <c r="A33" s="1" t="s">
        <v>39</v>
      </c>
      <c r="B33">
        <v>2017</v>
      </c>
      <c r="C33" s="5" t="str">
        <f t="shared" si="0"/>
        <v>2017-04</v>
      </c>
      <c r="D33">
        <v>81.9</v>
      </c>
    </row>
    <row r="34" spans="1:4">
      <c r="A34" s="1" t="s">
        <v>40</v>
      </c>
      <c r="B34">
        <v>2017</v>
      </c>
      <c r="C34" s="5" t="str">
        <f t="shared" si="0"/>
        <v>2017-05</v>
      </c>
      <c r="D34">
        <v>83</v>
      </c>
    </row>
    <row r="35" spans="1:4">
      <c r="A35" s="1" t="s">
        <v>41</v>
      </c>
      <c r="B35">
        <v>2017</v>
      </c>
      <c r="C35" s="5" t="str">
        <f t="shared" si="0"/>
        <v>2017-06</v>
      </c>
      <c r="D35">
        <v>84.2</v>
      </c>
    </row>
    <row r="36" spans="1:4">
      <c r="A36" s="1" t="s">
        <v>42</v>
      </c>
      <c r="B36">
        <v>2017</v>
      </c>
      <c r="C36" s="5" t="str">
        <f t="shared" si="0"/>
        <v>2017-07</v>
      </c>
      <c r="D36">
        <v>83.9</v>
      </c>
    </row>
    <row r="37" spans="1:4">
      <c r="A37" s="1" t="s">
        <v>43</v>
      </c>
      <c r="B37">
        <v>2017</v>
      </c>
      <c r="C37" s="5" t="str">
        <f t="shared" si="0"/>
        <v>2017-08</v>
      </c>
      <c r="D37">
        <v>86.3</v>
      </c>
    </row>
    <row r="38" spans="1:4">
      <c r="A38" s="1" t="s">
        <v>44</v>
      </c>
      <c r="B38">
        <v>2017</v>
      </c>
      <c r="C38" s="5" t="str">
        <f t="shared" si="0"/>
        <v>2017-09</v>
      </c>
      <c r="D38">
        <v>86.5</v>
      </c>
    </row>
    <row r="39" spans="1:4">
      <c r="A39" s="1" t="s">
        <v>45</v>
      </c>
      <c r="B39">
        <v>2017</v>
      </c>
      <c r="C39" s="5" t="str">
        <f t="shared" si="0"/>
        <v>2017-10</v>
      </c>
      <c r="D39">
        <v>89.9</v>
      </c>
    </row>
    <row r="40" spans="1:4">
      <c r="A40" s="1" t="s">
        <v>46</v>
      </c>
      <c r="B40">
        <v>2017</v>
      </c>
      <c r="C40" s="5" t="str">
        <f t="shared" si="0"/>
        <v>2017-11</v>
      </c>
      <c r="D40">
        <v>90.3</v>
      </c>
    </row>
    <row r="41" spans="1:4">
      <c r="A41" s="1" t="s">
        <v>47</v>
      </c>
      <c r="B41">
        <v>2017</v>
      </c>
      <c r="C41" s="5" t="str">
        <f t="shared" si="0"/>
        <v>2017-12</v>
      </c>
      <c r="D41">
        <v>95.5</v>
      </c>
    </row>
    <row r="42" spans="1:4">
      <c r="A42" s="1" t="s">
        <v>48</v>
      </c>
      <c r="B42">
        <v>2018</v>
      </c>
      <c r="C42" s="5" t="str">
        <f t="shared" si="0"/>
        <v>2018-01</v>
      </c>
      <c r="D42">
        <v>82.9</v>
      </c>
    </row>
    <row r="43" spans="1:4">
      <c r="A43" s="1" t="s">
        <v>49</v>
      </c>
      <c r="B43">
        <v>2018</v>
      </c>
      <c r="C43" s="5" t="str">
        <f t="shared" si="0"/>
        <v>2018-02</v>
      </c>
      <c r="D43">
        <v>79.5</v>
      </c>
    </row>
    <row r="44" spans="1:4">
      <c r="A44" s="1" t="s">
        <v>50</v>
      </c>
      <c r="B44">
        <v>2018</v>
      </c>
      <c r="C44" s="5" t="str">
        <f t="shared" si="0"/>
        <v>2018-03</v>
      </c>
      <c r="D44">
        <v>88.5</v>
      </c>
    </row>
    <row r="45" spans="1:4">
      <c r="A45" s="1" t="s">
        <v>51</v>
      </c>
      <c r="B45">
        <v>2018</v>
      </c>
      <c r="C45" s="5" t="str">
        <f t="shared" si="0"/>
        <v>2018-04</v>
      </c>
      <c r="D45">
        <v>84.4</v>
      </c>
    </row>
    <row r="46" spans="1:4">
      <c r="A46" s="1" t="s">
        <v>52</v>
      </c>
      <c r="B46">
        <v>2018</v>
      </c>
      <c r="C46" s="5" t="str">
        <f t="shared" si="0"/>
        <v>2018-05</v>
      </c>
      <c r="D46">
        <v>85.8</v>
      </c>
    </row>
    <row r="47" spans="1:4">
      <c r="A47" s="1" t="s">
        <v>53</v>
      </c>
      <c r="B47">
        <v>2018</v>
      </c>
      <c r="C47" s="5" t="str">
        <f t="shared" si="0"/>
        <v>2018-06</v>
      </c>
      <c r="D47">
        <v>86</v>
      </c>
    </row>
    <row r="48" spans="1:4">
      <c r="A48" s="1" t="s">
        <v>54</v>
      </c>
      <c r="B48">
        <v>2018</v>
      </c>
      <c r="C48" s="5" t="str">
        <f t="shared" si="0"/>
        <v>2018-07</v>
      </c>
      <c r="D48">
        <v>86.8</v>
      </c>
    </row>
    <row r="49" spans="1:4">
      <c r="A49" s="1" t="s">
        <v>55</v>
      </c>
      <c r="B49">
        <v>2018</v>
      </c>
      <c r="C49" s="5" t="str">
        <f t="shared" si="0"/>
        <v>2018-08</v>
      </c>
      <c r="D49">
        <v>88.7</v>
      </c>
    </row>
    <row r="50" spans="1:4">
      <c r="A50" s="1" t="s">
        <v>56</v>
      </c>
      <c r="B50">
        <v>2018</v>
      </c>
      <c r="C50" s="5" t="str">
        <f t="shared" si="0"/>
        <v>2018-09</v>
      </c>
      <c r="D50">
        <v>88.5</v>
      </c>
    </row>
    <row r="51" spans="1:4">
      <c r="A51" s="1" t="s">
        <v>57</v>
      </c>
      <c r="B51">
        <v>2018</v>
      </c>
      <c r="C51" s="5" t="str">
        <f t="shared" si="0"/>
        <v>2018-10</v>
      </c>
      <c r="D51">
        <v>94.7</v>
      </c>
    </row>
    <row r="52" spans="1:4">
      <c r="A52" s="1" t="s">
        <v>58</v>
      </c>
      <c r="B52">
        <v>2018</v>
      </c>
      <c r="C52" s="5" t="str">
        <f t="shared" si="0"/>
        <v>2018-11</v>
      </c>
      <c r="D52">
        <v>94.3</v>
      </c>
    </row>
    <row r="53" spans="1:4">
      <c r="A53" s="1" t="s">
        <v>59</v>
      </c>
      <c r="B53">
        <v>2018</v>
      </c>
      <c r="C53" s="5" t="str">
        <f t="shared" si="0"/>
        <v>2018-12</v>
      </c>
      <c r="D53">
        <v>101.6</v>
      </c>
    </row>
    <row r="54" spans="1:4">
      <c r="A54" s="1" t="s">
        <v>60</v>
      </c>
      <c r="B54">
        <v>2019</v>
      </c>
      <c r="C54" s="5" t="str">
        <f t="shared" si="0"/>
        <v>2019-01</v>
      </c>
      <c r="D54">
        <v>85.2</v>
      </c>
    </row>
    <row r="55" spans="1:4">
      <c r="A55" s="1" t="s">
        <v>61</v>
      </c>
      <c r="B55">
        <v>2019</v>
      </c>
      <c r="C55" s="5" t="str">
        <f t="shared" si="0"/>
        <v>2019-02</v>
      </c>
      <c r="D55">
        <v>82.8</v>
      </c>
    </row>
    <row r="56" spans="1:4">
      <c r="A56" s="1" t="s">
        <v>62</v>
      </c>
      <c r="B56">
        <v>2019</v>
      </c>
      <c r="C56" s="5" t="str">
        <f t="shared" si="0"/>
        <v>2019-03</v>
      </c>
      <c r="D56">
        <v>91</v>
      </c>
    </row>
    <row r="57" spans="1:4">
      <c r="A57" s="1" t="s">
        <v>63</v>
      </c>
      <c r="B57">
        <v>2019</v>
      </c>
      <c r="C57" s="5" t="str">
        <f t="shared" si="0"/>
        <v>2019-04</v>
      </c>
      <c r="D57">
        <v>88.9</v>
      </c>
    </row>
    <row r="58" spans="1:4">
      <c r="A58" s="1" t="s">
        <v>64</v>
      </c>
      <c r="B58">
        <v>2019</v>
      </c>
      <c r="C58" s="5" t="str">
        <f t="shared" si="0"/>
        <v>2019-05</v>
      </c>
      <c r="D58">
        <v>86.8</v>
      </c>
    </row>
    <row r="59" spans="1:4">
      <c r="A59" s="1" t="s">
        <v>65</v>
      </c>
      <c r="B59">
        <v>2019</v>
      </c>
      <c r="C59" s="5" t="str">
        <f t="shared" si="0"/>
        <v>2019-06</v>
      </c>
      <c r="D59">
        <v>88.8</v>
      </c>
    </row>
    <row r="60" spans="1:4">
      <c r="A60" s="1" t="s">
        <v>66</v>
      </c>
      <c r="B60">
        <v>2019</v>
      </c>
      <c r="C60" s="5" t="str">
        <f t="shared" si="0"/>
        <v>2019-07</v>
      </c>
      <c r="D60">
        <v>90.6</v>
      </c>
    </row>
    <row r="61" spans="1:4">
      <c r="A61" s="1" t="s">
        <v>67</v>
      </c>
      <c r="B61">
        <v>2019</v>
      </c>
      <c r="C61" s="5" t="str">
        <f t="shared" si="0"/>
        <v>2019-08</v>
      </c>
      <c r="D61">
        <v>92.2</v>
      </c>
    </row>
    <row r="62" spans="1:4">
      <c r="A62" s="1" t="s">
        <v>68</v>
      </c>
      <c r="B62">
        <v>2019</v>
      </c>
      <c r="C62" s="5" t="str">
        <f t="shared" si="0"/>
        <v>2019-09</v>
      </c>
      <c r="D62">
        <v>93</v>
      </c>
    </row>
    <row r="63" spans="1:4">
      <c r="A63" s="1" t="s">
        <v>69</v>
      </c>
      <c r="B63">
        <v>2019</v>
      </c>
      <c r="C63" s="5" t="str">
        <f t="shared" si="0"/>
        <v>2019-10</v>
      </c>
      <c r="D63">
        <v>98.9</v>
      </c>
    </row>
    <row r="64" spans="1:4">
      <c r="A64" s="1" t="s">
        <v>70</v>
      </c>
      <c r="B64">
        <v>2019</v>
      </c>
      <c r="C64" s="5" t="str">
        <f t="shared" si="0"/>
        <v>2019-11</v>
      </c>
      <c r="D64">
        <v>95.7</v>
      </c>
    </row>
    <row r="65" spans="1:4">
      <c r="A65" s="1" t="s">
        <v>71</v>
      </c>
      <c r="B65">
        <v>2019</v>
      </c>
      <c r="C65" s="5" t="str">
        <f t="shared" si="0"/>
        <v>2019-12</v>
      </c>
      <c r="D65">
        <v>104.3</v>
      </c>
    </row>
    <row r="66" spans="1:4">
      <c r="A66" s="1" t="s">
        <v>72</v>
      </c>
      <c r="B66">
        <v>2020</v>
      </c>
      <c r="C66" s="5" t="str">
        <f t="shared" si="0"/>
        <v>2020-01</v>
      </c>
      <c r="D66">
        <v>86.6</v>
      </c>
    </row>
    <row r="67" spans="1:4">
      <c r="A67" s="1" t="s">
        <v>73</v>
      </c>
      <c r="B67">
        <v>2020</v>
      </c>
      <c r="C67" s="5" t="str">
        <f t="shared" si="0"/>
        <v>2020-02</v>
      </c>
      <c r="D67">
        <v>87</v>
      </c>
    </row>
    <row r="68" spans="1:4">
      <c r="A68" s="1" t="s">
        <v>74</v>
      </c>
      <c r="B68">
        <v>2020</v>
      </c>
      <c r="C68" s="5" t="str">
        <f t="shared" si="0"/>
        <v>2020-03</v>
      </c>
      <c r="D68">
        <v>93.5</v>
      </c>
    </row>
    <row r="69" spans="1:4">
      <c r="A69" s="1" t="s">
        <v>75</v>
      </c>
      <c r="B69">
        <v>2020</v>
      </c>
      <c r="C69" s="5" t="str">
        <f t="shared" si="0"/>
        <v>2020-04</v>
      </c>
      <c r="D69">
        <v>84.9</v>
      </c>
    </row>
    <row r="70" spans="1:4">
      <c r="A70" s="1" t="s">
        <v>76</v>
      </c>
      <c r="B70">
        <v>2020</v>
      </c>
      <c r="C70" s="5" t="str">
        <f t="shared" ref="C70:C133" si="1">B70&amp;"-"&amp;TEXT(A70,"00")</f>
        <v>2020-05</v>
      </c>
      <c r="D70">
        <v>79.9</v>
      </c>
    </row>
    <row r="71" spans="1:4">
      <c r="A71" s="1" t="s">
        <v>77</v>
      </c>
      <c r="B71">
        <v>2020</v>
      </c>
      <c r="C71" s="5" t="str">
        <f t="shared" si="1"/>
        <v>2020-06</v>
      </c>
      <c r="D71">
        <v>82.8</v>
      </c>
    </row>
    <row r="72" spans="1:4">
      <c r="A72" s="1" t="s">
        <v>78</v>
      </c>
      <c r="B72">
        <v>2020</v>
      </c>
      <c r="C72" s="5" t="str">
        <f t="shared" si="1"/>
        <v>2020-07</v>
      </c>
      <c r="D72">
        <v>85.4</v>
      </c>
    </row>
    <row r="73" spans="1:4">
      <c r="A73" s="1" t="s">
        <v>79</v>
      </c>
      <c r="B73">
        <v>2020</v>
      </c>
      <c r="C73" s="5" t="str">
        <f t="shared" si="1"/>
        <v>2020-08</v>
      </c>
      <c r="D73">
        <v>88.4</v>
      </c>
    </row>
    <row r="74" spans="1:4">
      <c r="A74" s="1" t="s">
        <v>80</v>
      </c>
      <c r="B74">
        <v>2020</v>
      </c>
      <c r="C74" s="5" t="str">
        <f t="shared" si="1"/>
        <v>2020-09</v>
      </c>
      <c r="D74">
        <v>89.6</v>
      </c>
    </row>
    <row r="75" spans="1:4">
      <c r="A75" s="1" t="s">
        <v>81</v>
      </c>
      <c r="B75">
        <v>2020</v>
      </c>
      <c r="C75" s="5" t="str">
        <f t="shared" si="1"/>
        <v>2020-10</v>
      </c>
      <c r="D75">
        <v>93.5</v>
      </c>
    </row>
    <row r="76" spans="1:4">
      <c r="A76" s="1" t="s">
        <v>82</v>
      </c>
      <c r="B76">
        <v>2020</v>
      </c>
      <c r="C76" s="5" t="str">
        <f t="shared" si="1"/>
        <v>2020-11</v>
      </c>
      <c r="D76">
        <v>94.6</v>
      </c>
    </row>
    <row r="77" spans="1:4">
      <c r="A77" s="1" t="s">
        <v>83</v>
      </c>
      <c r="B77">
        <v>2020</v>
      </c>
      <c r="C77" s="5" t="str">
        <f t="shared" si="1"/>
        <v>2020-12</v>
      </c>
      <c r="D77">
        <v>108.1</v>
      </c>
    </row>
    <row r="78" spans="1:4">
      <c r="A78" s="1" t="s">
        <v>84</v>
      </c>
      <c r="B78">
        <v>2021</v>
      </c>
      <c r="C78" s="5" t="str">
        <f t="shared" si="1"/>
        <v>2021-01</v>
      </c>
      <c r="D78">
        <v>85.1</v>
      </c>
    </row>
    <row r="79" spans="1:4">
      <c r="A79" s="1" t="s">
        <v>85</v>
      </c>
      <c r="B79">
        <v>2021</v>
      </c>
      <c r="C79" s="5" t="str">
        <f t="shared" si="1"/>
        <v>2021-02</v>
      </c>
      <c r="D79">
        <v>84.6</v>
      </c>
    </row>
    <row r="80" spans="1:4">
      <c r="A80" s="1" t="s">
        <v>86</v>
      </c>
      <c r="B80">
        <v>2021</v>
      </c>
      <c r="C80" s="5" t="str">
        <f t="shared" si="1"/>
        <v>2021-03</v>
      </c>
      <c r="D80">
        <v>96.1</v>
      </c>
    </row>
    <row r="81" spans="1:4">
      <c r="A81" s="1" t="s">
        <v>87</v>
      </c>
      <c r="B81">
        <v>2021</v>
      </c>
      <c r="C81" s="5" t="str">
        <f t="shared" si="1"/>
        <v>2021-04</v>
      </c>
      <c r="D81">
        <v>92.5</v>
      </c>
    </row>
    <row r="82" spans="1:4">
      <c r="A82" s="1" t="s">
        <v>88</v>
      </c>
      <c r="B82">
        <v>2021</v>
      </c>
      <c r="C82" s="5" t="str">
        <f t="shared" si="1"/>
        <v>2021-05</v>
      </c>
      <c r="D82">
        <v>90.4</v>
      </c>
    </row>
    <row r="83" spans="1:4">
      <c r="A83" s="1" t="s">
        <v>89</v>
      </c>
      <c r="B83">
        <v>2021</v>
      </c>
      <c r="C83" s="5" t="str">
        <f t="shared" si="1"/>
        <v>2021-06</v>
      </c>
      <c r="D83">
        <v>92.3</v>
      </c>
    </row>
    <row r="84" spans="1:4">
      <c r="A84" s="1" t="s">
        <v>90</v>
      </c>
      <c r="B84">
        <v>2021</v>
      </c>
      <c r="C84" s="5" t="str">
        <f t="shared" si="1"/>
        <v>2021-07</v>
      </c>
      <c r="D84">
        <v>92.2</v>
      </c>
    </row>
    <row r="85" spans="1:4">
      <c r="A85" s="1" t="s">
        <v>91</v>
      </c>
      <c r="B85">
        <v>2021</v>
      </c>
      <c r="C85" s="5" t="str">
        <f t="shared" si="1"/>
        <v>2021-08</v>
      </c>
      <c r="D85">
        <v>93.4</v>
      </c>
    </row>
    <row r="86" spans="1:4">
      <c r="A86" s="1" t="s">
        <v>92</v>
      </c>
      <c r="B86">
        <v>2021</v>
      </c>
      <c r="C86" s="5" t="str">
        <f t="shared" si="1"/>
        <v>2021-09</v>
      </c>
      <c r="D86">
        <v>96.7</v>
      </c>
    </row>
    <row r="87" spans="1:4">
      <c r="A87" s="1" t="s">
        <v>93</v>
      </c>
      <c r="B87">
        <v>2021</v>
      </c>
      <c r="C87" s="5" t="str">
        <f t="shared" si="1"/>
        <v>2021-10</v>
      </c>
      <c r="D87">
        <v>101.4</v>
      </c>
    </row>
    <row r="88" spans="1:4">
      <c r="A88" s="1" t="s">
        <v>94</v>
      </c>
      <c r="B88">
        <v>2021</v>
      </c>
      <c r="C88" s="5" t="str">
        <f t="shared" si="1"/>
        <v>2021-11</v>
      </c>
      <c r="D88">
        <v>102.2</v>
      </c>
    </row>
    <row r="89" spans="1:4">
      <c r="A89" s="1" t="s">
        <v>95</v>
      </c>
      <c r="B89">
        <v>2021</v>
      </c>
      <c r="C89" s="5" t="str">
        <f t="shared" si="1"/>
        <v>2021-12</v>
      </c>
      <c r="D89">
        <v>116.3</v>
      </c>
    </row>
    <row r="90" spans="1:4">
      <c r="A90" s="1" t="s">
        <v>96</v>
      </c>
      <c r="B90">
        <v>2022</v>
      </c>
      <c r="C90" s="5" t="str">
        <f t="shared" si="1"/>
        <v>2022-01</v>
      </c>
      <c r="D90">
        <v>92.8</v>
      </c>
    </row>
    <row r="91" spans="1:4">
      <c r="A91" s="1" t="s">
        <v>97</v>
      </c>
      <c r="B91">
        <v>2022</v>
      </c>
      <c r="C91" s="5" t="str">
        <f t="shared" si="1"/>
        <v>2022-02</v>
      </c>
      <c r="D91">
        <v>90.2</v>
      </c>
    </row>
    <row r="92" spans="1:4">
      <c r="A92" s="1" t="s">
        <v>98</v>
      </c>
      <c r="B92">
        <v>2022</v>
      </c>
      <c r="C92" s="5" t="str">
        <f t="shared" si="1"/>
        <v>2022-03</v>
      </c>
      <c r="D92">
        <v>99.6</v>
      </c>
    </row>
    <row r="93" spans="1:4">
      <c r="A93" s="1" t="s">
        <v>99</v>
      </c>
      <c r="B93">
        <v>2022</v>
      </c>
      <c r="C93" s="5" t="str">
        <f t="shared" si="1"/>
        <v>2022-04</v>
      </c>
      <c r="D93">
        <v>90.8</v>
      </c>
    </row>
    <row r="94" spans="1:4">
      <c r="A94" s="1" t="s">
        <v>100</v>
      </c>
      <c r="B94">
        <v>2022</v>
      </c>
      <c r="C94" s="5" t="str">
        <f t="shared" si="1"/>
        <v>2022-05</v>
      </c>
      <c r="D94">
        <v>89.1</v>
      </c>
    </row>
    <row r="95" spans="1:4">
      <c r="A95" s="1" t="s">
        <v>101</v>
      </c>
      <c r="B95">
        <v>2022</v>
      </c>
      <c r="C95" s="5" t="str">
        <f t="shared" si="1"/>
        <v>2022-06</v>
      </c>
      <c r="D95">
        <v>91.1</v>
      </c>
    </row>
    <row r="96" spans="1:4">
      <c r="A96" s="1" t="s">
        <v>102</v>
      </c>
      <c r="B96">
        <v>2022</v>
      </c>
      <c r="C96" s="5" t="str">
        <f t="shared" si="1"/>
        <v>2022-07</v>
      </c>
      <c r="D96">
        <v>92.7</v>
      </c>
    </row>
    <row r="97" spans="1:4">
      <c r="A97" s="1" t="s">
        <v>103</v>
      </c>
      <c r="B97">
        <v>2022</v>
      </c>
      <c r="C97" s="5" t="str">
        <f t="shared" si="1"/>
        <v>2022-08</v>
      </c>
      <c r="D97">
        <v>94.2</v>
      </c>
    </row>
    <row r="98" spans="1:4">
      <c r="A98" s="1" t="s">
        <v>104</v>
      </c>
      <c r="B98">
        <v>2022</v>
      </c>
      <c r="C98" s="5" t="str">
        <f t="shared" si="1"/>
        <v>2022-09</v>
      </c>
      <c r="D98">
        <v>94.7</v>
      </c>
    </row>
    <row r="99" spans="1:4">
      <c r="A99" s="1" t="s">
        <v>105</v>
      </c>
      <c r="B99">
        <v>2022</v>
      </c>
      <c r="C99" s="5" t="str">
        <f t="shared" si="1"/>
        <v>2022-10</v>
      </c>
      <c r="D99">
        <v>99.9</v>
      </c>
    </row>
    <row r="100" spans="1:4">
      <c r="A100" s="1" t="s">
        <v>106</v>
      </c>
      <c r="B100">
        <v>2022</v>
      </c>
      <c r="C100" s="5" t="str">
        <f t="shared" si="1"/>
        <v>2022-11</v>
      </c>
      <c r="D100">
        <v>102</v>
      </c>
    </row>
    <row r="101" spans="1:4">
      <c r="A101" s="1" t="s">
        <v>107</v>
      </c>
      <c r="B101">
        <v>2022</v>
      </c>
      <c r="C101" s="5" t="str">
        <f t="shared" si="1"/>
        <v>2022-12</v>
      </c>
      <c r="D101">
        <v>113.8</v>
      </c>
    </row>
    <row r="102" spans="1:4">
      <c r="A102" s="1" t="s">
        <v>108</v>
      </c>
      <c r="B102">
        <v>2023</v>
      </c>
      <c r="C102" s="5" t="str">
        <f t="shared" si="1"/>
        <v>2023-01</v>
      </c>
      <c r="D102">
        <v>91</v>
      </c>
    </row>
    <row r="103" spans="1:4">
      <c r="A103" s="1" t="s">
        <v>109</v>
      </c>
      <c r="B103">
        <v>2023</v>
      </c>
      <c r="C103" s="5" t="str">
        <f t="shared" si="1"/>
        <v>2023-02</v>
      </c>
      <c r="D103">
        <v>89.1</v>
      </c>
    </row>
    <row r="104" spans="1:4">
      <c r="A104" s="1" t="s">
        <v>110</v>
      </c>
      <c r="B104">
        <v>2023</v>
      </c>
      <c r="C104" s="5" t="str">
        <f t="shared" si="1"/>
        <v>2023-03</v>
      </c>
      <c r="D104">
        <v>101.1</v>
      </c>
    </row>
    <row r="105" spans="1:4">
      <c r="A105" s="1" t="s">
        <v>111</v>
      </c>
      <c r="B105">
        <v>2023</v>
      </c>
      <c r="C105" s="5" t="str">
        <f t="shared" si="1"/>
        <v>2023-04</v>
      </c>
      <c r="D105">
        <v>95.6</v>
      </c>
    </row>
    <row r="106" spans="1:4">
      <c r="A106" s="1" t="s">
        <v>112</v>
      </c>
      <c r="B106">
        <v>2023</v>
      </c>
      <c r="C106" s="5" t="str">
        <f t="shared" si="1"/>
        <v>2023-05</v>
      </c>
      <c r="D106">
        <v>95.6</v>
      </c>
    </row>
    <row r="107" spans="1:4">
      <c r="A107" s="1" t="s">
        <v>113</v>
      </c>
      <c r="B107">
        <v>2023</v>
      </c>
      <c r="C107" s="5" t="str">
        <f t="shared" si="1"/>
        <v>2023-06</v>
      </c>
      <c r="D107">
        <v>96.6</v>
      </c>
    </row>
    <row r="108" spans="1:4">
      <c r="A108" s="1" t="s">
        <v>114</v>
      </c>
      <c r="B108">
        <v>2023</v>
      </c>
      <c r="C108" s="5" t="str">
        <f t="shared" si="1"/>
        <v>2023-07</v>
      </c>
      <c r="D108">
        <v>98.2</v>
      </c>
    </row>
    <row r="109" spans="1:4">
      <c r="A109" s="1" t="s">
        <v>115</v>
      </c>
      <c r="B109">
        <v>2023</v>
      </c>
      <c r="C109" s="5" t="str">
        <f t="shared" si="1"/>
        <v>2023-08</v>
      </c>
      <c r="D109">
        <v>100.4</v>
      </c>
    </row>
    <row r="110" spans="1:4">
      <c r="A110" s="1" t="s">
        <v>116</v>
      </c>
      <c r="B110">
        <v>2023</v>
      </c>
      <c r="C110" s="5" t="str">
        <f t="shared" si="1"/>
        <v>2023-09</v>
      </c>
      <c r="D110">
        <v>101.1</v>
      </c>
    </row>
    <row r="111" spans="1:4">
      <c r="A111" s="1" t="s">
        <v>117</v>
      </c>
      <c r="B111">
        <v>2023</v>
      </c>
      <c r="C111" s="5" t="str">
        <f t="shared" si="1"/>
        <v>2023-10</v>
      </c>
      <c r="D111">
        <v>106.1</v>
      </c>
    </row>
    <row r="112" spans="1:4">
      <c r="A112" s="1" t="s">
        <v>118</v>
      </c>
      <c r="B112">
        <v>2023</v>
      </c>
      <c r="C112" s="5" t="str">
        <f t="shared" si="1"/>
        <v>2023-11</v>
      </c>
      <c r="D112">
        <v>107.3</v>
      </c>
    </row>
    <row r="113" spans="1:4">
      <c r="A113" s="1" t="s">
        <v>119</v>
      </c>
      <c r="B113">
        <v>2023</v>
      </c>
      <c r="C113" s="5" t="str">
        <f t="shared" si="1"/>
        <v>2023-12</v>
      </c>
      <c r="D113">
        <v>118</v>
      </c>
    </row>
    <row r="114" spans="1:4">
      <c r="A114" s="1" t="s">
        <v>120</v>
      </c>
      <c r="B114">
        <v>2024</v>
      </c>
      <c r="C114" s="5" t="str">
        <f t="shared" si="1"/>
        <v>2024-01</v>
      </c>
      <c r="D114">
        <v>95.8</v>
      </c>
    </row>
    <row r="115" spans="1:4">
      <c r="A115" s="1" t="s">
        <v>121</v>
      </c>
      <c r="B115">
        <v>2024</v>
      </c>
      <c r="C115" s="5" t="str">
        <f t="shared" si="1"/>
        <v>2024-02</v>
      </c>
      <c r="D115">
        <v>97.1</v>
      </c>
    </row>
    <row r="116" spans="1:4">
      <c r="A116" s="1" t="s">
        <v>122</v>
      </c>
      <c r="B116">
        <v>2024</v>
      </c>
      <c r="C116" s="5" t="str">
        <f t="shared" si="1"/>
        <v>2024-03</v>
      </c>
      <c r="D116">
        <v>105.5</v>
      </c>
    </row>
    <row r="117" spans="1:4">
      <c r="A117" s="1" t="s">
        <v>123</v>
      </c>
      <c r="B117">
        <v>2024</v>
      </c>
      <c r="C117" s="5" t="str">
        <f t="shared" si="1"/>
        <v>2024-04</v>
      </c>
      <c r="D117">
        <v>100.5</v>
      </c>
    </row>
    <row r="118" spans="1:4">
      <c r="A118" s="1" t="s">
        <v>124</v>
      </c>
      <c r="B118">
        <v>2024</v>
      </c>
      <c r="C118" s="5" t="str">
        <f t="shared" si="1"/>
        <v>2024-05</v>
      </c>
      <c r="D118">
        <v>101.6</v>
      </c>
    </row>
    <row r="119" spans="1:4">
      <c r="A119" s="1" t="s">
        <v>125</v>
      </c>
      <c r="B119">
        <v>2024</v>
      </c>
      <c r="C119" s="5" t="str">
        <f t="shared" si="1"/>
        <v>2024-06</v>
      </c>
      <c r="D119">
        <v>99.2</v>
      </c>
    </row>
    <row r="120" spans="1:4">
      <c r="A120" s="1" t="s">
        <v>126</v>
      </c>
      <c r="B120">
        <v>2024</v>
      </c>
      <c r="C120" s="5" t="str">
        <f t="shared" si="1"/>
        <v>2024-07</v>
      </c>
      <c r="D120">
        <v>102</v>
      </c>
    </row>
    <row r="121" spans="1:4">
      <c r="A121" s="1" t="s">
        <v>127</v>
      </c>
      <c r="B121">
        <v>2024</v>
      </c>
      <c r="C121" s="5" t="str">
        <f t="shared" si="1"/>
        <v>2024-08</v>
      </c>
      <c r="D121">
        <v>103.4</v>
      </c>
    </row>
    <row r="122" spans="1:4">
      <c r="A122" s="1" t="s">
        <v>128</v>
      </c>
      <c r="B122">
        <v>2024</v>
      </c>
      <c r="C122" s="5" t="str">
        <f t="shared" si="1"/>
        <v>2024-09</v>
      </c>
      <c r="D122">
        <v>104</v>
      </c>
    </row>
    <row r="123" spans="1:4">
      <c r="A123" s="1" t="s">
        <v>129</v>
      </c>
      <c r="B123">
        <v>2024</v>
      </c>
      <c r="C123" s="5" t="str">
        <f t="shared" si="1"/>
        <v>2024-10</v>
      </c>
      <c r="D123">
        <v>111.8</v>
      </c>
    </row>
    <row r="124" spans="1:4">
      <c r="A124" s="1" t="s">
        <v>130</v>
      </c>
      <c r="B124">
        <v>2024</v>
      </c>
      <c r="C124" s="5" t="str">
        <f t="shared" si="1"/>
        <v>2024-11</v>
      </c>
      <c r="D124">
        <v>111.3</v>
      </c>
    </row>
    <row r="125" spans="1:4">
      <c r="A125" s="1" t="s">
        <v>131</v>
      </c>
      <c r="B125">
        <v>2024</v>
      </c>
      <c r="C125" s="5" t="str">
        <f t="shared" si="1"/>
        <v>2024-12</v>
      </c>
      <c r="D125">
        <v>128.2</v>
      </c>
    </row>
    <row r="126" spans="1:4">
      <c r="A126" s="1" t="s">
        <v>132</v>
      </c>
      <c r="B126">
        <v>2025</v>
      </c>
      <c r="C126" s="5" t="str">
        <f t="shared" si="1"/>
        <v>2025-01</v>
      </c>
      <c r="D126">
        <v>96.7</v>
      </c>
    </row>
    <row r="127" spans="1:4">
      <c r="A127" s="1" t="s">
        <v>133</v>
      </c>
      <c r="B127">
        <v>2025</v>
      </c>
      <c r="C127" s="5" t="str">
        <f t="shared" si="1"/>
        <v>2025-02</v>
      </c>
      <c r="D127">
        <v>96.1</v>
      </c>
    </row>
    <row r="128" spans="1:4">
      <c r="A128" s="1" t="s">
        <v>134</v>
      </c>
      <c r="B128">
        <v>2025</v>
      </c>
      <c r="C128" s="5" t="str">
        <f t="shared" si="1"/>
        <v>2025-03</v>
      </c>
      <c r="D128">
        <v>105.6</v>
      </c>
    </row>
    <row r="129" spans="1:4">
      <c r="A129" s="1" t="s">
        <v>135</v>
      </c>
      <c r="B129">
        <v>2025</v>
      </c>
      <c r="C129" s="5" t="str">
        <f t="shared" si="1"/>
        <v>2025-04</v>
      </c>
      <c r="D129">
        <v>101.8</v>
      </c>
    </row>
    <row r="130" spans="1:4">
      <c r="A130" s="1" t="s">
        <v>136</v>
      </c>
      <c r="B130">
        <v>2025</v>
      </c>
      <c r="C130" s="5" t="str">
        <f t="shared" si="1"/>
        <v>2025-05</v>
      </c>
      <c r="D130">
        <v>102.7</v>
      </c>
    </row>
    <row r="131" spans="1:4">
      <c r="A131" s="1" t="s">
        <v>137</v>
      </c>
      <c r="B131">
        <v>2025</v>
      </c>
      <c r="C131" s="5" t="str">
        <f t="shared" si="1"/>
        <v>2025-06</v>
      </c>
      <c r="D131">
        <v>101.3</v>
      </c>
    </row>
    <row r="132" spans="1:4">
      <c r="A132" s="1" t="s">
        <v>138</v>
      </c>
      <c r="B132">
        <v>2025</v>
      </c>
      <c r="C132" s="5" t="str">
        <f t="shared" si="1"/>
        <v>2025-07</v>
      </c>
      <c r="D132">
        <v>103.5</v>
      </c>
    </row>
    <row r="133" spans="1:4">
      <c r="A133" s="1" t="s">
        <v>139</v>
      </c>
      <c r="B133">
        <v>2025</v>
      </c>
      <c r="C133" s="5" t="str">
        <f t="shared" si="1"/>
        <v>2025-08</v>
      </c>
      <c r="D133">
        <v>104.5</v>
      </c>
    </row>
    <row r="134" spans="1:4">
      <c r="A134" s="1" t="s">
        <v>140</v>
      </c>
      <c r="B134">
        <v>2025</v>
      </c>
      <c r="C134" s="5" t="str">
        <f t="shared" ref="C134:C143" si="2">B134&amp;"-"&amp;TEXT(A134,"00")</f>
        <v>2025-09</v>
      </c>
      <c r="D134">
        <v>105.3</v>
      </c>
    </row>
    <row r="135" spans="1:4">
      <c r="A135" s="1" t="s">
        <v>141</v>
      </c>
      <c r="B135">
        <v>2025</v>
      </c>
      <c r="C135" s="5" t="str">
        <f t="shared" si="2"/>
        <v>2025-10</v>
      </c>
      <c r="D135">
        <v>114.6</v>
      </c>
    </row>
    <row r="136" spans="1:4">
      <c r="A136" s="1" t="s">
        <v>142</v>
      </c>
      <c r="B136">
        <v>2025</v>
      </c>
      <c r="C136" s="5" t="str">
        <f t="shared" si="2"/>
        <v>2025-11</v>
      </c>
      <c r="D136">
        <v>111.7</v>
      </c>
    </row>
    <row r="137" spans="1:4">
      <c r="A137" s="1" t="s">
        <v>143</v>
      </c>
      <c r="B137">
        <v>2025</v>
      </c>
      <c r="C137" s="5" t="str">
        <f t="shared" si="2"/>
        <v>2025-12</v>
      </c>
      <c r="D137">
        <v>132.9</v>
      </c>
    </row>
    <row r="138" spans="1:4">
      <c r="A138" s="1" t="s">
        <v>144</v>
      </c>
      <c r="B138">
        <v>2026</v>
      </c>
      <c r="C138" s="5" t="str">
        <f t="shared" si="2"/>
        <v>2026-01</v>
      </c>
      <c r="D138">
        <v>101.4</v>
      </c>
    </row>
    <row r="139" spans="1:4">
      <c r="A139" s="1" t="s">
        <v>145</v>
      </c>
      <c r="B139">
        <v>2026</v>
      </c>
      <c r="C139" s="5" t="str">
        <f t="shared" si="2"/>
        <v>2026-02</v>
      </c>
      <c r="D139">
        <v>100.2</v>
      </c>
    </row>
    <row r="140" spans="1:4">
      <c r="A140" s="1" t="s">
        <v>146</v>
      </c>
      <c r="B140">
        <v>2026</v>
      </c>
      <c r="C140" s="5" t="str">
        <f t="shared" si="2"/>
        <v>2026-03</v>
      </c>
      <c r="D140">
        <v>112.6</v>
      </c>
    </row>
    <row r="141" spans="1:4">
      <c r="A141" s="1" t="s">
        <v>147</v>
      </c>
      <c r="B141">
        <v>2026</v>
      </c>
      <c r="C141" s="5" t="str">
        <f t="shared" si="2"/>
        <v>2026-04</v>
      </c>
      <c r="D141">
        <v>108</v>
      </c>
    </row>
    <row r="142" spans="1:4">
      <c r="A142" s="1" t="s">
        <v>148</v>
      </c>
      <c r="B142">
        <v>2026</v>
      </c>
      <c r="C142" s="5" t="str">
        <f t="shared" si="2"/>
        <v>2026-05</v>
      </c>
      <c r="D142">
        <v>106.2</v>
      </c>
    </row>
    <row r="143" spans="1:4">
      <c r="A143" s="1" t="s">
        <v>149</v>
      </c>
      <c r="B143">
        <v>2026</v>
      </c>
      <c r="C143" s="5" t="str">
        <f t="shared" si="2"/>
        <v>2026-06</v>
      </c>
      <c r="D143">
        <v>105.5</v>
      </c>
    </row>
  </sheetData>
  <mergeCells count="1">
    <mergeCell ref="A4:E4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6"/>
  <sheetViews>
    <sheetView workbookViewId="0">
      <selection activeCell="I2" sqref="I2"/>
    </sheetView>
  </sheetViews>
  <sheetFormatPr defaultColWidth="9" defaultRowHeight="16.8" outlineLevelCol="7"/>
  <cols>
    <col min="1" max="1" width="9.625"/>
    <col min="2" max="2" width="11.625"/>
    <col min="7" max="8" width="12.6875"/>
  </cols>
  <sheetData>
    <row r="1" spans="1:8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</row>
    <row r="2" spans="1:8">
      <c r="A2" s="4">
        <f>DATE(2011,1,1)</f>
        <v>40544</v>
      </c>
      <c r="B2" s="5">
        <f>VLOOKUP(A2,Quarterly!$A$2:$B$62,2,FALSE)</f>
        <v>18440083.5</v>
      </c>
    </row>
    <row r="3" spans="1:8">
      <c r="A3" s="6">
        <f t="shared" ref="A3:A66" si="0">EDATE(A2,1)</f>
        <v>40575</v>
      </c>
      <c r="B3" s="5">
        <f>B2</f>
        <v>18440083.5</v>
      </c>
    </row>
    <row r="4" spans="1:8">
      <c r="A4" s="6">
        <f t="shared" si="0"/>
        <v>40603</v>
      </c>
      <c r="B4" s="5">
        <f>B3</f>
        <v>18440083.5</v>
      </c>
    </row>
    <row r="5" spans="1:8">
      <c r="A5" s="6">
        <f t="shared" si="0"/>
        <v>40634</v>
      </c>
      <c r="B5" s="5">
        <f>VLOOKUP(A5,Quarterly!$A$2:$B$62,2,FALSE)</f>
        <v>19714798.4</v>
      </c>
    </row>
    <row r="6" spans="1:8">
      <c r="A6" s="6">
        <f t="shared" si="0"/>
        <v>40664</v>
      </c>
      <c r="B6" s="5">
        <f>B5</f>
        <v>19714798.4</v>
      </c>
    </row>
    <row r="7" spans="1:8">
      <c r="A7" s="6">
        <f t="shared" si="0"/>
        <v>40695</v>
      </c>
      <c r="B7" s="5">
        <f>B6</f>
        <v>19714798.4</v>
      </c>
    </row>
    <row r="8" spans="1:8">
      <c r="A8" s="6">
        <f t="shared" si="0"/>
        <v>40725</v>
      </c>
      <c r="B8" s="5">
        <f>VLOOKUP(A8,Quarterly!$A$2:$B$62,2,FALSE)</f>
        <v>20978424.1</v>
      </c>
    </row>
    <row r="9" spans="1:8">
      <c r="A9" s="6">
        <f t="shared" si="0"/>
        <v>40756</v>
      </c>
      <c r="B9" s="5">
        <f>B8</f>
        <v>20978424.1</v>
      </c>
    </row>
    <row r="10" spans="1:8">
      <c r="A10" s="6">
        <f t="shared" si="0"/>
        <v>40787</v>
      </c>
      <c r="B10" s="5">
        <f>B9</f>
        <v>20978424.1</v>
      </c>
    </row>
    <row r="11" spans="1:8">
      <c r="A11" s="6">
        <f t="shared" si="0"/>
        <v>40817</v>
      </c>
      <c r="B11" s="5">
        <f>VLOOKUP(A11,Quarterly!$A$2:$B$62,2,FALSE)</f>
        <v>22617264</v>
      </c>
    </row>
    <row r="12" spans="1:8">
      <c r="A12" s="6">
        <f t="shared" si="0"/>
        <v>40848</v>
      </c>
      <c r="B12" s="5">
        <f>B11</f>
        <v>22617264</v>
      </c>
    </row>
    <row r="13" spans="1:8">
      <c r="A13" s="6">
        <f t="shared" si="0"/>
        <v>40878</v>
      </c>
      <c r="B13" s="5">
        <f>B12</f>
        <v>22617264</v>
      </c>
    </row>
    <row r="14" spans="1:8">
      <c r="A14" s="6">
        <f t="shared" si="0"/>
        <v>40909</v>
      </c>
      <c r="B14" s="5">
        <f>VLOOKUP(A14,Quarterly!$A$2:$B$62,2,FALSE)</f>
        <v>19492308.1</v>
      </c>
    </row>
    <row r="15" spans="1:8">
      <c r="A15" s="6">
        <f t="shared" si="0"/>
        <v>40940</v>
      </c>
      <c r="B15" s="5">
        <f>B14</f>
        <v>19492308.1</v>
      </c>
    </row>
    <row r="16" spans="1:8">
      <c r="A16" s="6">
        <f t="shared" si="0"/>
        <v>40969</v>
      </c>
      <c r="B16" s="5">
        <f>B15</f>
        <v>19492308.1</v>
      </c>
    </row>
    <row r="17" spans="1:2">
      <c r="A17" s="6">
        <f t="shared" si="0"/>
        <v>41000</v>
      </c>
      <c r="B17" s="5">
        <f>VLOOKUP(A17,Quarterly!$A$2:$B$62,2,FALSE)</f>
        <v>20672447</v>
      </c>
    </row>
    <row r="18" spans="1:2">
      <c r="A18" s="6">
        <f t="shared" si="0"/>
        <v>41030</v>
      </c>
      <c r="B18" s="5">
        <f>B17</f>
        <v>20672447</v>
      </c>
    </row>
    <row r="19" spans="1:2">
      <c r="A19" s="6">
        <f t="shared" si="0"/>
        <v>41061</v>
      </c>
      <c r="B19" s="5">
        <f>B18</f>
        <v>20672447</v>
      </c>
    </row>
    <row r="20" spans="1:2">
      <c r="A20" s="6">
        <f t="shared" si="0"/>
        <v>41091</v>
      </c>
      <c r="B20" s="5">
        <f>VLOOKUP(A20,Quarterly!$A$2:$B$62,2,FALSE)</f>
        <v>21711575</v>
      </c>
    </row>
    <row r="21" spans="1:2">
      <c r="A21" s="6">
        <f t="shared" si="0"/>
        <v>41122</v>
      </c>
      <c r="B21" s="5">
        <f>B20</f>
        <v>21711575</v>
      </c>
    </row>
    <row r="22" spans="1:2">
      <c r="A22" s="6">
        <f t="shared" si="0"/>
        <v>41153</v>
      </c>
      <c r="B22" s="5">
        <f>B21</f>
        <v>21711575</v>
      </c>
    </row>
    <row r="23" spans="1:2">
      <c r="A23" s="6">
        <f t="shared" si="0"/>
        <v>41183</v>
      </c>
      <c r="B23" s="5">
        <f>VLOOKUP(A23,Quarterly!$A$2:$B$62,2,FALSE)</f>
        <v>23163953.4</v>
      </c>
    </row>
    <row r="24" spans="1:2">
      <c r="A24" s="6">
        <f t="shared" si="0"/>
        <v>41214</v>
      </c>
      <c r="B24" s="5">
        <f>B23</f>
        <v>23163953.4</v>
      </c>
    </row>
    <row r="25" spans="1:2">
      <c r="A25" s="6">
        <f t="shared" si="0"/>
        <v>41244</v>
      </c>
      <c r="B25" s="5">
        <f>B24</f>
        <v>23163953.4</v>
      </c>
    </row>
    <row r="26" spans="1:2">
      <c r="A26" s="6">
        <f t="shared" si="0"/>
        <v>41275</v>
      </c>
      <c r="B26" s="5">
        <f>VLOOKUP(A26,Quarterly!$A$2:$B$62,2,FALSE)</f>
        <v>19712530.6</v>
      </c>
    </row>
    <row r="27" spans="1:2">
      <c r="A27" s="6">
        <f t="shared" si="0"/>
        <v>41306</v>
      </c>
      <c r="B27" s="5">
        <f>B26</f>
        <v>19712530.6</v>
      </c>
    </row>
    <row r="28" spans="1:2">
      <c r="A28" s="6">
        <f t="shared" si="0"/>
        <v>41334</v>
      </c>
      <c r="B28" s="5">
        <f>B27</f>
        <v>19712530.6</v>
      </c>
    </row>
    <row r="29" spans="1:2">
      <c r="A29" s="6">
        <f t="shared" si="0"/>
        <v>41365</v>
      </c>
      <c r="B29" s="5">
        <f>VLOOKUP(A29,Quarterly!$A$2:$B$62,2,FALSE)</f>
        <v>21028103.8</v>
      </c>
    </row>
    <row r="30" spans="1:2">
      <c r="A30" s="6">
        <f t="shared" si="0"/>
        <v>41395</v>
      </c>
      <c r="B30" s="5">
        <f>B29</f>
        <v>21028103.8</v>
      </c>
    </row>
    <row r="31" spans="1:2">
      <c r="A31" s="6">
        <f t="shared" si="0"/>
        <v>41426</v>
      </c>
      <c r="B31" s="5">
        <f>B30</f>
        <v>21028103.8</v>
      </c>
    </row>
    <row r="32" spans="1:2">
      <c r="A32" s="6">
        <f t="shared" si="0"/>
        <v>41456</v>
      </c>
      <c r="B32" s="5">
        <f>VLOOKUP(A32,Quarterly!$A$2:$B$62,2,FALSE)</f>
        <v>22039092.5</v>
      </c>
    </row>
    <row r="33" spans="1:2">
      <c r="A33" s="6">
        <f t="shared" si="0"/>
        <v>41487</v>
      </c>
      <c r="B33" s="5">
        <f>B32</f>
        <v>22039092.5</v>
      </c>
    </row>
    <row r="34" spans="1:2">
      <c r="A34" s="6">
        <f t="shared" si="0"/>
        <v>41518</v>
      </c>
      <c r="B34" s="5">
        <f>B33</f>
        <v>22039092.5</v>
      </c>
    </row>
    <row r="35" spans="1:2">
      <c r="A35" s="6">
        <f t="shared" si="0"/>
        <v>41548</v>
      </c>
      <c r="B35" s="5">
        <f>VLOOKUP(A35,Quarterly!$A$2:$B$62,2,FALSE)</f>
        <v>23753372.5</v>
      </c>
    </row>
    <row r="36" spans="1:2">
      <c r="A36" s="6">
        <f t="shared" si="0"/>
        <v>41579</v>
      </c>
      <c r="B36" s="5">
        <f>B35</f>
        <v>23753372.5</v>
      </c>
    </row>
    <row r="37" spans="1:2">
      <c r="A37" s="6">
        <f t="shared" si="0"/>
        <v>41609</v>
      </c>
      <c r="B37" s="5">
        <f>B36</f>
        <v>23753372.5</v>
      </c>
    </row>
    <row r="38" spans="1:2">
      <c r="A38" s="6">
        <f t="shared" si="0"/>
        <v>41640</v>
      </c>
      <c r="B38" s="5">
        <f>VLOOKUP(A38,Quarterly!$A$2:$B$62,2,FALSE)</f>
        <v>28173674.6</v>
      </c>
    </row>
    <row r="39" spans="1:2">
      <c r="A39" s="6">
        <f t="shared" si="0"/>
        <v>41671</v>
      </c>
      <c r="B39" s="5">
        <f>B38</f>
        <v>28173674.6</v>
      </c>
    </row>
    <row r="40" spans="1:2">
      <c r="A40" s="6">
        <f t="shared" si="0"/>
        <v>41699</v>
      </c>
      <c r="B40" s="5">
        <f>B39</f>
        <v>28173674.6</v>
      </c>
    </row>
    <row r="41" spans="1:2">
      <c r="A41" s="6">
        <f t="shared" si="0"/>
        <v>41730</v>
      </c>
      <c r="B41" s="5">
        <f>VLOOKUP(A41,Quarterly!$A$2:$B$62,2,FALSE)</f>
        <v>30467301.5</v>
      </c>
    </row>
    <row r="42" spans="1:2">
      <c r="A42" s="6">
        <f t="shared" si="0"/>
        <v>41760</v>
      </c>
      <c r="B42" s="5">
        <f>B41</f>
        <v>30467301.5</v>
      </c>
    </row>
    <row r="43" spans="1:2">
      <c r="A43" s="6">
        <f t="shared" si="0"/>
        <v>41791</v>
      </c>
      <c r="B43" s="5">
        <f>B42</f>
        <v>30467301.5</v>
      </c>
    </row>
    <row r="44" spans="1:2">
      <c r="A44" s="6">
        <f t="shared" si="0"/>
        <v>41821</v>
      </c>
      <c r="B44" s="5">
        <f>VLOOKUP(A44,Quarterly!$A$2:$B$62,2,FALSE)</f>
        <v>31833920.6</v>
      </c>
    </row>
    <row r="45" spans="1:2">
      <c r="A45" s="6">
        <f t="shared" si="0"/>
        <v>41852</v>
      </c>
      <c r="B45" s="5">
        <f>B44</f>
        <v>31833920.6</v>
      </c>
    </row>
    <row r="46" spans="1:2">
      <c r="A46" s="6">
        <f t="shared" si="0"/>
        <v>41883</v>
      </c>
      <c r="B46" s="5">
        <f>B45</f>
        <v>31833920.6</v>
      </c>
    </row>
    <row r="47" spans="1:2">
      <c r="A47" s="6">
        <f t="shared" si="0"/>
        <v>41913</v>
      </c>
      <c r="B47" s="5">
        <f>VLOOKUP(A47,Quarterly!$A$2:$B$62,2,FALSE)</f>
        <v>33938290.2</v>
      </c>
    </row>
    <row r="48" spans="1:2">
      <c r="A48" s="6">
        <f t="shared" si="0"/>
        <v>41944</v>
      </c>
      <c r="B48" s="5">
        <f>B47</f>
        <v>33938290.2</v>
      </c>
    </row>
    <row r="49" spans="1:8">
      <c r="A49" s="6">
        <f t="shared" si="0"/>
        <v>41974</v>
      </c>
      <c r="B49" s="5">
        <f>B48</f>
        <v>33938290.2</v>
      </c>
    </row>
    <row r="50" spans="1:8">
      <c r="A50" s="6">
        <f t="shared" si="0"/>
        <v>42005</v>
      </c>
      <c r="B50" s="5">
        <f>VLOOKUP(A50,Quarterly!$A$2:$B$62,2,FALSE)</f>
        <v>27743682.5</v>
      </c>
      <c r="C50" s="5" t="s">
        <v>161</v>
      </c>
      <c r="D50" s="5" t="str">
        <f t="shared" ref="D50:D113" si="1">"Q"&amp;ROUNDUP(MONTH(A50)/3,0)&amp;TEXT(A50,"-yyyy")</f>
        <v>Q1-2015</v>
      </c>
      <c r="E50" s="5">
        <f>VLOOKUP(C50,IPI!$C$6:$D$143,2,FALSE)</f>
        <v>76.4</v>
      </c>
      <c r="F50" s="5">
        <f t="shared" ref="F50:F113" si="2">SUMIFS($E$50:$E$181,$D$50:$D$181,D50)</f>
        <v>232.9</v>
      </c>
      <c r="G50" s="5">
        <f t="shared" ref="G50:G113" si="3">E50/F50</f>
        <v>0.328037784456848</v>
      </c>
      <c r="H50">
        <f t="shared" ref="H50:H113" si="4">G50*B50</f>
        <v>9100976.13997424</v>
      </c>
    </row>
    <row r="51" spans="1:8">
      <c r="A51" s="6">
        <f t="shared" si="0"/>
        <v>42036</v>
      </c>
      <c r="B51" s="5">
        <f>B50</f>
        <v>27743682.5</v>
      </c>
      <c r="C51" s="5" t="s">
        <v>162</v>
      </c>
      <c r="D51" s="5" t="str">
        <f t="shared" si="1"/>
        <v>Q1-2015</v>
      </c>
      <c r="E51" s="5">
        <f>VLOOKUP(C51,IPI!$C$6:$D$143,2,FALSE)</f>
        <v>74.2</v>
      </c>
      <c r="F51" s="5">
        <f t="shared" si="2"/>
        <v>232.9</v>
      </c>
      <c r="G51" s="5">
        <f t="shared" si="3"/>
        <v>0.31859167024474</v>
      </c>
      <c r="H51">
        <f t="shared" si="4"/>
        <v>8838906.14641477</v>
      </c>
    </row>
    <row r="52" spans="1:8">
      <c r="A52" s="6">
        <f t="shared" si="0"/>
        <v>42064</v>
      </c>
      <c r="B52" s="5">
        <f>B51</f>
        <v>27743682.5</v>
      </c>
      <c r="C52" s="5" t="s">
        <v>163</v>
      </c>
      <c r="D52" s="5" t="str">
        <f t="shared" si="1"/>
        <v>Q1-2015</v>
      </c>
      <c r="E52" s="5">
        <f>VLOOKUP(C52,IPI!$C$6:$D$143,2,FALSE)</f>
        <v>82.3</v>
      </c>
      <c r="F52" s="5">
        <f t="shared" si="2"/>
        <v>232.9</v>
      </c>
      <c r="G52" s="5">
        <f t="shared" si="3"/>
        <v>0.353370545298411</v>
      </c>
      <c r="H52">
        <f t="shared" si="4"/>
        <v>9803800.21361099</v>
      </c>
    </row>
    <row r="53" spans="1:8">
      <c r="A53" s="6">
        <f t="shared" si="0"/>
        <v>42095</v>
      </c>
      <c r="B53" s="5">
        <f>VLOOKUP(A53,Quarterly!$A$2:$B$62,2,FALSE)</f>
        <v>29526184.3</v>
      </c>
      <c r="C53" s="5" t="s">
        <v>164</v>
      </c>
      <c r="D53" s="5" t="str">
        <f t="shared" si="1"/>
        <v>Q2-2015</v>
      </c>
      <c r="E53" s="5">
        <f>VLOOKUP(C53,IPI!$C$6:$D$143,2,FALSE)</f>
        <v>78.4</v>
      </c>
      <c r="F53" s="5">
        <f t="shared" si="2"/>
        <v>234.8</v>
      </c>
      <c r="G53" s="5">
        <f t="shared" si="3"/>
        <v>0.333901192504259</v>
      </c>
      <c r="H53">
        <f t="shared" si="4"/>
        <v>9858828.14787053</v>
      </c>
    </row>
    <row r="54" spans="1:8">
      <c r="A54" s="6">
        <f t="shared" si="0"/>
        <v>42125</v>
      </c>
      <c r="B54" s="5">
        <f>B53</f>
        <v>29526184.3</v>
      </c>
      <c r="C54" s="5" t="s">
        <v>165</v>
      </c>
      <c r="D54" s="5" t="str">
        <f t="shared" si="1"/>
        <v>Q2-2015</v>
      </c>
      <c r="E54" s="5">
        <f>VLOOKUP(C54,IPI!$C$6:$D$143,2,FALSE)</f>
        <v>77.6</v>
      </c>
      <c r="F54" s="5">
        <f t="shared" si="2"/>
        <v>234.8</v>
      </c>
      <c r="G54" s="5">
        <f t="shared" si="3"/>
        <v>0.330494037478705</v>
      </c>
      <c r="H54">
        <f t="shared" si="4"/>
        <v>9758227.86064736</v>
      </c>
    </row>
    <row r="55" spans="1:8">
      <c r="A55" s="6">
        <f t="shared" si="0"/>
        <v>42156</v>
      </c>
      <c r="B55" s="5">
        <f>B54</f>
        <v>29526184.3</v>
      </c>
      <c r="C55" s="5" t="s">
        <v>166</v>
      </c>
      <c r="D55" s="5" t="str">
        <f t="shared" si="1"/>
        <v>Q2-2015</v>
      </c>
      <c r="E55" s="5">
        <f>VLOOKUP(C55,IPI!$C$6:$D$143,2,FALSE)</f>
        <v>78.8</v>
      </c>
      <c r="F55" s="5">
        <f t="shared" si="2"/>
        <v>234.8</v>
      </c>
      <c r="G55" s="5">
        <f t="shared" si="3"/>
        <v>0.335604770017036</v>
      </c>
      <c r="H55">
        <f t="shared" si="4"/>
        <v>9909128.29148211</v>
      </c>
    </row>
    <row r="56" spans="1:8">
      <c r="A56" s="6">
        <f t="shared" si="0"/>
        <v>42186</v>
      </c>
      <c r="B56" s="5">
        <f>VLOOKUP(A56,Quarterly!$A$2:$B$62,2,FALSE)</f>
        <v>31292771</v>
      </c>
      <c r="C56" s="5" t="s">
        <v>167</v>
      </c>
      <c r="D56" s="5" t="str">
        <f t="shared" si="1"/>
        <v>Q3-2015</v>
      </c>
      <c r="E56" s="5">
        <f>VLOOKUP(C56,IPI!$C$6:$D$143,2,FALSE)</f>
        <v>79.8</v>
      </c>
      <c r="F56" s="5">
        <f t="shared" si="2"/>
        <v>241</v>
      </c>
      <c r="G56" s="5">
        <f t="shared" si="3"/>
        <v>0.331120331950207</v>
      </c>
      <c r="H56">
        <f t="shared" si="4"/>
        <v>10361672.7211618</v>
      </c>
    </row>
    <row r="57" spans="1:8">
      <c r="A57" s="6">
        <f t="shared" si="0"/>
        <v>42217</v>
      </c>
      <c r="B57" s="5">
        <f>B56</f>
        <v>31292771</v>
      </c>
      <c r="C57" s="5" t="s">
        <v>168</v>
      </c>
      <c r="D57" s="5" t="str">
        <f t="shared" si="1"/>
        <v>Q3-2015</v>
      </c>
      <c r="E57" s="5">
        <f>VLOOKUP(C57,IPI!$C$6:$D$143,2,FALSE)</f>
        <v>80.2</v>
      </c>
      <c r="F57" s="5">
        <f t="shared" si="2"/>
        <v>241</v>
      </c>
      <c r="G57" s="5">
        <f t="shared" si="3"/>
        <v>0.332780082987552</v>
      </c>
      <c r="H57">
        <f t="shared" si="4"/>
        <v>10413610.9302905</v>
      </c>
    </row>
    <row r="58" spans="1:8">
      <c r="A58" s="6">
        <f t="shared" si="0"/>
        <v>42248</v>
      </c>
      <c r="B58" s="5">
        <f>B57</f>
        <v>31292771</v>
      </c>
      <c r="C58" s="5" t="s">
        <v>169</v>
      </c>
      <c r="D58" s="5" t="str">
        <f t="shared" si="1"/>
        <v>Q3-2015</v>
      </c>
      <c r="E58" s="5">
        <f>VLOOKUP(C58,IPI!$C$6:$D$143,2,FALSE)</f>
        <v>81</v>
      </c>
      <c r="F58" s="5">
        <f t="shared" si="2"/>
        <v>241</v>
      </c>
      <c r="G58" s="5">
        <f t="shared" si="3"/>
        <v>0.336099585062241</v>
      </c>
      <c r="H58">
        <f t="shared" si="4"/>
        <v>10517487.3485477</v>
      </c>
    </row>
    <row r="59" spans="1:8">
      <c r="A59" s="6">
        <f t="shared" si="0"/>
        <v>42278</v>
      </c>
      <c r="B59" s="5">
        <f>VLOOKUP(A59,Quarterly!$A$2:$B$62,2,FALSE)</f>
        <v>33396226.2</v>
      </c>
      <c r="C59" s="5" t="s">
        <v>170</v>
      </c>
      <c r="D59" s="5" t="str">
        <f t="shared" si="1"/>
        <v>Q4-2015</v>
      </c>
      <c r="E59" s="5">
        <f>VLOOKUP(C59,IPI!$C$6:$D$143,2,FALSE)</f>
        <v>85.3</v>
      </c>
      <c r="F59" s="5">
        <f t="shared" si="2"/>
        <v>261.6</v>
      </c>
      <c r="G59" s="5">
        <f t="shared" si="3"/>
        <v>0.326070336391437</v>
      </c>
      <c r="H59">
        <f t="shared" si="4"/>
        <v>10889518.7112385</v>
      </c>
    </row>
    <row r="60" spans="1:8">
      <c r="A60" s="6">
        <f t="shared" si="0"/>
        <v>42309</v>
      </c>
      <c r="B60" s="5">
        <f>B59</f>
        <v>33396226.2</v>
      </c>
      <c r="C60" s="5" t="s">
        <v>171</v>
      </c>
      <c r="D60" s="5" t="str">
        <f t="shared" si="1"/>
        <v>Q4-2015</v>
      </c>
      <c r="E60" s="5">
        <f>VLOOKUP(C60,IPI!$C$6:$D$143,2,FALSE)</f>
        <v>84.8</v>
      </c>
      <c r="F60" s="5">
        <f t="shared" si="2"/>
        <v>261.6</v>
      </c>
      <c r="G60" s="5">
        <f t="shared" si="3"/>
        <v>0.324159021406728</v>
      </c>
      <c r="H60">
        <f t="shared" si="4"/>
        <v>10825688.0036697</v>
      </c>
    </row>
    <row r="61" spans="1:8">
      <c r="A61" s="6">
        <f t="shared" si="0"/>
        <v>42339</v>
      </c>
      <c r="B61" s="5">
        <f>B60</f>
        <v>33396226.2</v>
      </c>
      <c r="C61" s="5" t="s">
        <v>172</v>
      </c>
      <c r="D61" s="5" t="str">
        <f t="shared" si="1"/>
        <v>Q4-2015</v>
      </c>
      <c r="E61" s="5">
        <f>VLOOKUP(C61,IPI!$C$6:$D$143,2,FALSE)</f>
        <v>91.5</v>
      </c>
      <c r="F61" s="5">
        <f t="shared" si="2"/>
        <v>261.6</v>
      </c>
      <c r="G61" s="5">
        <f t="shared" si="3"/>
        <v>0.349770642201835</v>
      </c>
      <c r="H61">
        <f t="shared" si="4"/>
        <v>11681019.4850917</v>
      </c>
    </row>
    <row r="62" spans="1:8">
      <c r="A62" s="6">
        <f t="shared" si="0"/>
        <v>42370</v>
      </c>
      <c r="B62" s="5">
        <f>VLOOKUP(A62,Quarterly!$A$2:$B$62,2,FALSE)</f>
        <v>27686568.1</v>
      </c>
      <c r="C62" s="5" t="s">
        <v>173</v>
      </c>
      <c r="D62" s="5" t="str">
        <f t="shared" si="1"/>
        <v>Q1-2016</v>
      </c>
      <c r="E62" s="5">
        <f>VLOOKUP(C62,IPI!$C$6:$D$143,2,FALSE)</f>
        <v>75.7</v>
      </c>
      <c r="F62" s="5">
        <f t="shared" si="2"/>
        <v>234.6</v>
      </c>
      <c r="G62" s="5">
        <f t="shared" si="3"/>
        <v>0.322676896845695</v>
      </c>
      <c r="H62">
        <f t="shared" si="4"/>
        <v>8933815.87881501</v>
      </c>
    </row>
    <row r="63" spans="1:8">
      <c r="A63" s="6">
        <f t="shared" si="0"/>
        <v>42401</v>
      </c>
      <c r="B63" s="5">
        <f>B62</f>
        <v>27686568.1</v>
      </c>
      <c r="C63" s="5" t="s">
        <v>174</v>
      </c>
      <c r="D63" s="5" t="str">
        <f t="shared" si="1"/>
        <v>Q1-2016</v>
      </c>
      <c r="E63" s="5">
        <f>VLOOKUP(C63,IPI!$C$6:$D$143,2,FALSE)</f>
        <v>75.8</v>
      </c>
      <c r="F63" s="5">
        <f t="shared" si="2"/>
        <v>234.6</v>
      </c>
      <c r="G63" s="5">
        <f t="shared" si="3"/>
        <v>0.3231031543052</v>
      </c>
      <c r="H63">
        <f t="shared" si="4"/>
        <v>8945617.48499574</v>
      </c>
    </row>
    <row r="64" spans="1:8">
      <c r="A64" s="6">
        <f t="shared" si="0"/>
        <v>42430</v>
      </c>
      <c r="B64" s="5">
        <f>B63</f>
        <v>27686568.1</v>
      </c>
      <c r="C64" s="5" t="s">
        <v>175</v>
      </c>
      <c r="D64" s="5" t="str">
        <f t="shared" si="1"/>
        <v>Q1-2016</v>
      </c>
      <c r="E64" s="5">
        <f>VLOOKUP(C64,IPI!$C$6:$D$143,2,FALSE)</f>
        <v>83.1</v>
      </c>
      <c r="F64" s="5">
        <f t="shared" si="2"/>
        <v>234.6</v>
      </c>
      <c r="G64" s="5">
        <f t="shared" si="3"/>
        <v>0.354219948849105</v>
      </c>
      <c r="H64">
        <f t="shared" si="4"/>
        <v>9807134.73618926</v>
      </c>
    </row>
    <row r="65" spans="1:8">
      <c r="A65" s="6">
        <f t="shared" si="0"/>
        <v>42461</v>
      </c>
      <c r="B65" s="5">
        <f>VLOOKUP(A65,Quarterly!$A$2:$B$62,2,FALSE)</f>
        <v>29621129.2</v>
      </c>
      <c r="C65" s="5" t="s">
        <v>176</v>
      </c>
      <c r="D65" s="5" t="str">
        <f t="shared" si="1"/>
        <v>Q2-2016</v>
      </c>
      <c r="E65" s="5">
        <f>VLOOKUP(C65,IPI!$C$6:$D$143,2,FALSE)</f>
        <v>78.4</v>
      </c>
      <c r="F65" s="5">
        <f t="shared" si="2"/>
        <v>236.2</v>
      </c>
      <c r="G65" s="5">
        <f t="shared" si="3"/>
        <v>0.331922099915326</v>
      </c>
      <c r="H65">
        <f t="shared" si="4"/>
        <v>9831907.40592718</v>
      </c>
    </row>
    <row r="66" spans="1:8">
      <c r="A66" s="6">
        <f t="shared" si="0"/>
        <v>42491</v>
      </c>
      <c r="B66" s="5">
        <f>B65</f>
        <v>29621129.2</v>
      </c>
      <c r="C66" s="5" t="s">
        <v>177</v>
      </c>
      <c r="D66" s="5" t="str">
        <f t="shared" si="1"/>
        <v>Q2-2016</v>
      </c>
      <c r="E66" s="5">
        <f>VLOOKUP(C66,IPI!$C$6:$D$143,2,FALSE)</f>
        <v>78</v>
      </c>
      <c r="F66" s="5">
        <f t="shared" si="2"/>
        <v>236.2</v>
      </c>
      <c r="G66" s="5">
        <f t="shared" si="3"/>
        <v>0.330228619813717</v>
      </c>
      <c r="H66">
        <f t="shared" si="4"/>
        <v>9781744.6130398</v>
      </c>
    </row>
    <row r="67" spans="1:8">
      <c r="A67" s="6">
        <f t="shared" ref="A67:A130" si="5">EDATE(A66,1)</f>
        <v>42522</v>
      </c>
      <c r="B67" s="5">
        <f>B66</f>
        <v>29621129.2</v>
      </c>
      <c r="C67" s="5" t="s">
        <v>178</v>
      </c>
      <c r="D67" s="5" t="str">
        <f t="shared" si="1"/>
        <v>Q2-2016</v>
      </c>
      <c r="E67" s="5">
        <f>VLOOKUP(C67,IPI!$C$6:$D$143,2,FALSE)</f>
        <v>79.8</v>
      </c>
      <c r="F67" s="5">
        <f t="shared" si="2"/>
        <v>236.2</v>
      </c>
      <c r="G67" s="5">
        <f t="shared" si="3"/>
        <v>0.337849280270957</v>
      </c>
      <c r="H67">
        <f t="shared" si="4"/>
        <v>10007477.181033</v>
      </c>
    </row>
    <row r="68" spans="1:8">
      <c r="A68" s="6">
        <f t="shared" si="5"/>
        <v>42552</v>
      </c>
      <c r="B68" s="5">
        <f>VLOOKUP(A68,Quarterly!$A$2:$B$62,2,FALSE)</f>
        <v>31311265.6</v>
      </c>
      <c r="C68" s="5" t="s">
        <v>179</v>
      </c>
      <c r="D68" s="5" t="str">
        <f t="shared" si="1"/>
        <v>Q3-2016</v>
      </c>
      <c r="E68" s="5">
        <f>VLOOKUP(C68,IPI!$C$6:$D$143,2,FALSE)</f>
        <v>80.2</v>
      </c>
      <c r="F68" s="5">
        <f t="shared" si="2"/>
        <v>245.3</v>
      </c>
      <c r="G68" s="5">
        <f t="shared" si="3"/>
        <v>0.326946596004892</v>
      </c>
      <c r="H68">
        <f t="shared" si="4"/>
        <v>10237111.7045251</v>
      </c>
    </row>
    <row r="69" spans="1:8">
      <c r="A69" s="6">
        <f t="shared" si="5"/>
        <v>42583</v>
      </c>
      <c r="B69" s="5">
        <f>B68</f>
        <v>31311265.6</v>
      </c>
      <c r="C69" s="5" t="s">
        <v>180</v>
      </c>
      <c r="D69" s="5" t="str">
        <f t="shared" si="1"/>
        <v>Q3-2016</v>
      </c>
      <c r="E69" s="5">
        <f>VLOOKUP(C69,IPI!$C$6:$D$143,2,FALSE)</f>
        <v>82</v>
      </c>
      <c r="F69" s="5">
        <f t="shared" si="2"/>
        <v>245.3</v>
      </c>
      <c r="G69" s="5">
        <f t="shared" si="3"/>
        <v>0.334284549531186</v>
      </c>
      <c r="H69">
        <f t="shared" si="4"/>
        <v>10466872.3163473</v>
      </c>
    </row>
    <row r="70" spans="1:8">
      <c r="A70" s="6">
        <f t="shared" si="5"/>
        <v>42614</v>
      </c>
      <c r="B70" s="5">
        <f>B69</f>
        <v>31311265.6</v>
      </c>
      <c r="C70" s="5" t="s">
        <v>181</v>
      </c>
      <c r="D70" s="5" t="str">
        <f t="shared" si="1"/>
        <v>Q3-2016</v>
      </c>
      <c r="E70" s="5">
        <f>VLOOKUP(C70,IPI!$C$6:$D$143,2,FALSE)</f>
        <v>83.1</v>
      </c>
      <c r="F70" s="5">
        <f t="shared" si="2"/>
        <v>245.3</v>
      </c>
      <c r="G70" s="5">
        <f t="shared" si="3"/>
        <v>0.338768854463922</v>
      </c>
      <c r="H70">
        <f t="shared" si="4"/>
        <v>10607281.5791276</v>
      </c>
    </row>
    <row r="71" spans="1:8">
      <c r="A71" s="6">
        <f t="shared" si="5"/>
        <v>42644</v>
      </c>
      <c r="B71" s="5">
        <f>VLOOKUP(A71,Quarterly!$A$2:$B$62,2,FALSE)</f>
        <v>33576100.3</v>
      </c>
      <c r="C71" s="5" t="s">
        <v>182</v>
      </c>
      <c r="D71" s="5" t="str">
        <f t="shared" si="1"/>
        <v>Q4-2016</v>
      </c>
      <c r="E71" s="5">
        <f>VLOOKUP(C71,IPI!$C$6:$D$143,2,FALSE)</f>
        <v>87.9</v>
      </c>
      <c r="F71" s="5">
        <f t="shared" si="2"/>
        <v>272.4</v>
      </c>
      <c r="G71" s="5">
        <f t="shared" si="3"/>
        <v>0.322687224669604</v>
      </c>
      <c r="H71">
        <f t="shared" si="4"/>
        <v>10834578.6210352</v>
      </c>
    </row>
    <row r="72" spans="1:8">
      <c r="A72" s="6">
        <f t="shared" si="5"/>
        <v>42675</v>
      </c>
      <c r="B72" s="5">
        <f>B71</f>
        <v>33576100.3</v>
      </c>
      <c r="C72" s="5" t="s">
        <v>183</v>
      </c>
      <c r="D72" s="5" t="str">
        <f t="shared" si="1"/>
        <v>Q4-2016</v>
      </c>
      <c r="E72" s="5">
        <f>VLOOKUP(C72,IPI!$C$6:$D$143,2,FALSE)</f>
        <v>89.3</v>
      </c>
      <c r="F72" s="5">
        <f t="shared" si="2"/>
        <v>272.4</v>
      </c>
      <c r="G72" s="5">
        <f t="shared" si="3"/>
        <v>0.327826725403818</v>
      </c>
      <c r="H72">
        <f t="shared" si="4"/>
        <v>11007143.0131791</v>
      </c>
    </row>
    <row r="73" spans="1:8">
      <c r="A73" s="6">
        <f t="shared" si="5"/>
        <v>42705</v>
      </c>
      <c r="B73" s="5">
        <f>B72</f>
        <v>33576100.3</v>
      </c>
      <c r="C73" s="5" t="s">
        <v>184</v>
      </c>
      <c r="D73" s="5" t="str">
        <f t="shared" si="1"/>
        <v>Q4-2016</v>
      </c>
      <c r="E73" s="5">
        <f>VLOOKUP(C73,IPI!$C$6:$D$143,2,FALSE)</f>
        <v>95.2</v>
      </c>
      <c r="F73" s="5">
        <f t="shared" si="2"/>
        <v>272.4</v>
      </c>
      <c r="G73" s="5">
        <f t="shared" si="3"/>
        <v>0.349486049926579</v>
      </c>
      <c r="H73">
        <f t="shared" si="4"/>
        <v>11734378.6657856</v>
      </c>
    </row>
    <row r="74" spans="1:8">
      <c r="A74" s="6">
        <f t="shared" si="5"/>
        <v>42736</v>
      </c>
      <c r="B74" s="5">
        <f>VLOOKUP(A74,Quarterly!$A$2:$B$62,2,FALSE)</f>
        <v>28049401</v>
      </c>
      <c r="C74" s="5" t="s">
        <v>185</v>
      </c>
      <c r="D74" s="5" t="str">
        <f t="shared" si="1"/>
        <v>Q1-2017</v>
      </c>
      <c r="E74" s="5">
        <f>VLOOKUP(C74,IPI!$C$6:$D$143,2,FALSE)</f>
        <v>80.8</v>
      </c>
      <c r="F74" s="5">
        <f t="shared" si="2"/>
        <v>244.1</v>
      </c>
      <c r="G74" s="5">
        <f t="shared" si="3"/>
        <v>0.331011880376895</v>
      </c>
      <c r="H74">
        <f t="shared" si="4"/>
        <v>9284684.96845555</v>
      </c>
    </row>
    <row r="75" spans="1:8">
      <c r="A75" s="6">
        <f t="shared" si="5"/>
        <v>42767</v>
      </c>
      <c r="B75" s="5">
        <f>B74</f>
        <v>28049401</v>
      </c>
      <c r="C75" s="5" t="s">
        <v>186</v>
      </c>
      <c r="D75" s="5" t="str">
        <f t="shared" si="1"/>
        <v>Q1-2017</v>
      </c>
      <c r="E75" s="5">
        <f>VLOOKUP(C75,IPI!$C$6:$D$143,2,FALSE)</f>
        <v>77.1</v>
      </c>
      <c r="F75" s="5">
        <f t="shared" si="2"/>
        <v>244.1</v>
      </c>
      <c r="G75" s="5">
        <f t="shared" si="3"/>
        <v>0.315854158131913</v>
      </c>
      <c r="H75">
        <f t="shared" si="4"/>
        <v>8859519.93895944</v>
      </c>
    </row>
    <row r="76" spans="1:8">
      <c r="A76" s="6">
        <f t="shared" si="5"/>
        <v>42795</v>
      </c>
      <c r="B76" s="5">
        <f>B75</f>
        <v>28049401</v>
      </c>
      <c r="C76" s="5" t="s">
        <v>187</v>
      </c>
      <c r="D76" s="5" t="str">
        <f t="shared" si="1"/>
        <v>Q1-2017</v>
      </c>
      <c r="E76" s="5">
        <f>VLOOKUP(C76,IPI!$C$6:$D$143,2,FALSE)</f>
        <v>86.2</v>
      </c>
      <c r="F76" s="5">
        <f t="shared" si="2"/>
        <v>244.1</v>
      </c>
      <c r="G76" s="5">
        <f t="shared" si="3"/>
        <v>0.353133961491192</v>
      </c>
      <c r="H76">
        <f t="shared" si="4"/>
        <v>9905196.09258501</v>
      </c>
    </row>
    <row r="77" spans="1:8">
      <c r="A77" s="6">
        <f t="shared" si="5"/>
        <v>42826</v>
      </c>
      <c r="B77" s="5">
        <f>VLOOKUP(A77,Quarterly!$A$2:$B$62,2,FALSE)</f>
        <v>30314841.3</v>
      </c>
      <c r="C77" s="5" t="s">
        <v>188</v>
      </c>
      <c r="D77" s="5" t="str">
        <f t="shared" si="1"/>
        <v>Q2-2017</v>
      </c>
      <c r="E77" s="5">
        <f>VLOOKUP(C77,IPI!$C$6:$D$143,2,FALSE)</f>
        <v>81.9</v>
      </c>
      <c r="F77" s="5">
        <f t="shared" si="2"/>
        <v>249.1</v>
      </c>
      <c r="G77" s="5">
        <f t="shared" si="3"/>
        <v>0.328783621035729</v>
      </c>
      <c r="H77">
        <f t="shared" si="4"/>
        <v>9967023.29373745</v>
      </c>
    </row>
    <row r="78" spans="1:8">
      <c r="A78" s="6">
        <f t="shared" si="5"/>
        <v>42856</v>
      </c>
      <c r="B78" s="5">
        <f>B77</f>
        <v>30314841.3</v>
      </c>
      <c r="C78" s="5" t="s">
        <v>189</v>
      </c>
      <c r="D78" s="5" t="str">
        <f t="shared" si="1"/>
        <v>Q2-2017</v>
      </c>
      <c r="E78" s="5">
        <f>VLOOKUP(C78,IPI!$C$6:$D$143,2,FALSE)</f>
        <v>83</v>
      </c>
      <c r="F78" s="5">
        <f t="shared" si="2"/>
        <v>249.1</v>
      </c>
      <c r="G78" s="5">
        <f t="shared" si="3"/>
        <v>0.333199518265757</v>
      </c>
      <c r="H78">
        <f t="shared" si="4"/>
        <v>10100890.5174629</v>
      </c>
    </row>
    <row r="79" spans="1:8">
      <c r="A79" s="6">
        <f t="shared" si="5"/>
        <v>42887</v>
      </c>
      <c r="B79" s="5">
        <f>B78</f>
        <v>30314841.3</v>
      </c>
      <c r="C79" s="5" t="s">
        <v>190</v>
      </c>
      <c r="D79" s="5" t="str">
        <f t="shared" si="1"/>
        <v>Q2-2017</v>
      </c>
      <c r="E79" s="5">
        <f>VLOOKUP(C79,IPI!$C$6:$D$143,2,FALSE)</f>
        <v>84.2</v>
      </c>
      <c r="F79" s="5">
        <f t="shared" si="2"/>
        <v>249.1</v>
      </c>
      <c r="G79" s="5">
        <f t="shared" si="3"/>
        <v>0.338016860698515</v>
      </c>
      <c r="H79">
        <f t="shared" si="4"/>
        <v>10246927.4887997</v>
      </c>
    </row>
    <row r="80" spans="1:8">
      <c r="A80" s="6">
        <f t="shared" si="5"/>
        <v>42917</v>
      </c>
      <c r="B80" s="5">
        <f>VLOOKUP(A80,Quarterly!$A$2:$B$62,2,FALSE)</f>
        <v>32137396.9</v>
      </c>
      <c r="C80" s="5" t="s">
        <v>191</v>
      </c>
      <c r="D80" s="5" t="str">
        <f t="shared" si="1"/>
        <v>Q3-2017</v>
      </c>
      <c r="E80" s="5">
        <f>VLOOKUP(C80,IPI!$C$6:$D$143,2,FALSE)</f>
        <v>83.9</v>
      </c>
      <c r="F80" s="5">
        <f t="shared" si="2"/>
        <v>256.7</v>
      </c>
      <c r="G80" s="5">
        <f t="shared" si="3"/>
        <v>0.326840670042852</v>
      </c>
      <c r="H80">
        <f t="shared" si="4"/>
        <v>10503808.3362291</v>
      </c>
    </row>
    <row r="81" spans="1:8">
      <c r="A81" s="6">
        <f t="shared" si="5"/>
        <v>42948</v>
      </c>
      <c r="B81" s="5">
        <f>B80</f>
        <v>32137396.9</v>
      </c>
      <c r="C81" s="5" t="s">
        <v>192</v>
      </c>
      <c r="D81" s="5" t="str">
        <f t="shared" si="1"/>
        <v>Q3-2017</v>
      </c>
      <c r="E81" s="5">
        <f>VLOOKUP(C81,IPI!$C$6:$D$143,2,FALSE)</f>
        <v>86.3</v>
      </c>
      <c r="F81" s="5">
        <f t="shared" si="2"/>
        <v>256.7</v>
      </c>
      <c r="G81" s="5">
        <f t="shared" si="3"/>
        <v>0.336190105181145</v>
      </c>
      <c r="H81">
        <f t="shared" si="4"/>
        <v>10804274.8440592</v>
      </c>
    </row>
    <row r="82" spans="1:8">
      <c r="A82" s="6">
        <f t="shared" si="5"/>
        <v>42979</v>
      </c>
      <c r="B82" s="5">
        <f>B81</f>
        <v>32137396.9</v>
      </c>
      <c r="C82" s="5" t="s">
        <v>193</v>
      </c>
      <c r="D82" s="5" t="str">
        <f t="shared" si="1"/>
        <v>Q3-2017</v>
      </c>
      <c r="E82" s="5">
        <f>VLOOKUP(C82,IPI!$C$6:$D$143,2,FALSE)</f>
        <v>86.5</v>
      </c>
      <c r="F82" s="5">
        <f t="shared" si="2"/>
        <v>256.7</v>
      </c>
      <c r="G82" s="5">
        <f t="shared" si="3"/>
        <v>0.336969224776003</v>
      </c>
      <c r="H82">
        <f t="shared" si="4"/>
        <v>10829313.7197117</v>
      </c>
    </row>
    <row r="83" spans="1:8">
      <c r="A83" s="6">
        <f t="shared" si="5"/>
        <v>43009</v>
      </c>
      <c r="B83" s="5">
        <f>VLOOKUP(A83,Quarterly!$A$2:$B$62,2,FALSE)</f>
        <v>33925567.6</v>
      </c>
      <c r="C83" s="5" t="s">
        <v>194</v>
      </c>
      <c r="D83" s="5" t="str">
        <f t="shared" si="1"/>
        <v>Q4-2017</v>
      </c>
      <c r="E83" s="5">
        <f>VLOOKUP(C83,IPI!$C$6:$D$143,2,FALSE)</f>
        <v>89.9</v>
      </c>
      <c r="F83" s="5">
        <f t="shared" si="2"/>
        <v>275.7</v>
      </c>
      <c r="G83" s="5">
        <f t="shared" si="3"/>
        <v>0.32607907145448</v>
      </c>
      <c r="H83">
        <f t="shared" si="4"/>
        <v>11062417.5815742</v>
      </c>
    </row>
    <row r="84" spans="1:8">
      <c r="A84" s="6">
        <f t="shared" si="5"/>
        <v>43040</v>
      </c>
      <c r="B84" s="5">
        <f>B83</f>
        <v>33925567.6</v>
      </c>
      <c r="C84" s="5" t="s">
        <v>195</v>
      </c>
      <c r="D84" s="5" t="str">
        <f t="shared" si="1"/>
        <v>Q4-2017</v>
      </c>
      <c r="E84" s="5">
        <f>VLOOKUP(C84,IPI!$C$6:$D$143,2,FALSE)</f>
        <v>90.3</v>
      </c>
      <c r="F84" s="5">
        <f t="shared" si="2"/>
        <v>275.7</v>
      </c>
      <c r="G84" s="5">
        <f t="shared" si="3"/>
        <v>0.32752992383025</v>
      </c>
      <c r="H84">
        <f t="shared" si="4"/>
        <v>11111638.571926</v>
      </c>
    </row>
    <row r="85" spans="1:8">
      <c r="A85" s="6">
        <f t="shared" si="5"/>
        <v>43070</v>
      </c>
      <c r="B85" s="5">
        <f>B84</f>
        <v>33925567.6</v>
      </c>
      <c r="C85" s="5" t="s">
        <v>196</v>
      </c>
      <c r="D85" s="5" t="str">
        <f t="shared" si="1"/>
        <v>Q4-2017</v>
      </c>
      <c r="E85" s="5">
        <f>VLOOKUP(C85,IPI!$C$6:$D$143,2,FALSE)</f>
        <v>95.5</v>
      </c>
      <c r="F85" s="5">
        <f t="shared" si="2"/>
        <v>275.7</v>
      </c>
      <c r="G85" s="5">
        <f t="shared" si="3"/>
        <v>0.34639100471527</v>
      </c>
      <c r="H85">
        <f t="shared" si="4"/>
        <v>11751511.4464998</v>
      </c>
    </row>
    <row r="86" spans="1:8">
      <c r="A86" s="6">
        <f t="shared" si="5"/>
        <v>43101</v>
      </c>
      <c r="B86" s="5">
        <f>VLOOKUP(A86,Quarterly!$A$2:$B$62,2,FALSE)</f>
        <v>28768439.5</v>
      </c>
      <c r="C86" s="5" t="s">
        <v>197</v>
      </c>
      <c r="D86" s="5" t="str">
        <f t="shared" si="1"/>
        <v>Q1-2018</v>
      </c>
      <c r="E86" s="5">
        <f>VLOOKUP(C86,IPI!$C$6:$D$143,2,FALSE)</f>
        <v>82.9</v>
      </c>
      <c r="F86" s="5">
        <f t="shared" si="2"/>
        <v>250.9</v>
      </c>
      <c r="G86" s="5">
        <f t="shared" si="3"/>
        <v>0.330410522120367</v>
      </c>
      <c r="H86">
        <f t="shared" si="4"/>
        <v>9505395.11578318</v>
      </c>
    </row>
    <row r="87" spans="1:8">
      <c r="A87" s="6">
        <f t="shared" si="5"/>
        <v>43132</v>
      </c>
      <c r="B87" s="5">
        <f>B86</f>
        <v>28768439.5</v>
      </c>
      <c r="C87" s="5" t="s">
        <v>198</v>
      </c>
      <c r="D87" s="5" t="str">
        <f t="shared" si="1"/>
        <v>Q1-2018</v>
      </c>
      <c r="E87" s="5">
        <f>VLOOKUP(C87,IPI!$C$6:$D$143,2,FALSE)</f>
        <v>79.5</v>
      </c>
      <c r="F87" s="5">
        <f t="shared" si="2"/>
        <v>250.9</v>
      </c>
      <c r="G87" s="5">
        <f t="shared" si="3"/>
        <v>0.316859306496612</v>
      </c>
      <c r="H87">
        <f t="shared" si="4"/>
        <v>9115547.78895975</v>
      </c>
    </row>
    <row r="88" spans="1:8">
      <c r="A88" s="6">
        <f t="shared" si="5"/>
        <v>43160</v>
      </c>
      <c r="B88" s="5">
        <f>B87</f>
        <v>28768439.5</v>
      </c>
      <c r="C88" s="5" t="s">
        <v>199</v>
      </c>
      <c r="D88" s="5" t="str">
        <f t="shared" si="1"/>
        <v>Q1-2018</v>
      </c>
      <c r="E88" s="5">
        <f>VLOOKUP(C88,IPI!$C$6:$D$143,2,FALSE)</f>
        <v>88.5</v>
      </c>
      <c r="F88" s="5">
        <f t="shared" si="2"/>
        <v>250.9</v>
      </c>
      <c r="G88" s="5">
        <f t="shared" si="3"/>
        <v>0.352730171383021</v>
      </c>
      <c r="H88">
        <f t="shared" si="4"/>
        <v>10147496.5952571</v>
      </c>
    </row>
    <row r="89" spans="1:8">
      <c r="A89" s="6">
        <f t="shared" si="5"/>
        <v>43191</v>
      </c>
      <c r="B89" s="5">
        <f>VLOOKUP(A89,Quarterly!$A$2:$B$62,2,FALSE)</f>
        <v>31142231.9</v>
      </c>
      <c r="C89" s="5" t="s">
        <v>200</v>
      </c>
      <c r="D89" s="5" t="str">
        <f t="shared" si="1"/>
        <v>Q2-2018</v>
      </c>
      <c r="E89" s="5">
        <f>VLOOKUP(C89,IPI!$C$6:$D$143,2,FALSE)</f>
        <v>84.4</v>
      </c>
      <c r="F89" s="5">
        <f t="shared" si="2"/>
        <v>256.2</v>
      </c>
      <c r="G89" s="5">
        <f t="shared" si="3"/>
        <v>0.329430132708821</v>
      </c>
      <c r="H89">
        <f t="shared" si="4"/>
        <v>10259189.5876659</v>
      </c>
    </row>
    <row r="90" spans="1:8">
      <c r="A90" s="6">
        <f t="shared" si="5"/>
        <v>43221</v>
      </c>
      <c r="B90" s="5">
        <f>B89</f>
        <v>31142231.9</v>
      </c>
      <c r="C90" s="5" t="s">
        <v>201</v>
      </c>
      <c r="D90" s="5" t="str">
        <f t="shared" si="1"/>
        <v>Q2-2018</v>
      </c>
      <c r="E90" s="5">
        <f>VLOOKUP(C90,IPI!$C$6:$D$143,2,FALSE)</f>
        <v>85.8</v>
      </c>
      <c r="F90" s="5">
        <f t="shared" si="2"/>
        <v>256.2</v>
      </c>
      <c r="G90" s="5">
        <f t="shared" si="3"/>
        <v>0.334894613583138</v>
      </c>
      <c r="H90">
        <f t="shared" si="4"/>
        <v>10429365.718267</v>
      </c>
    </row>
    <row r="91" spans="1:8">
      <c r="A91" s="6">
        <f t="shared" si="5"/>
        <v>43252</v>
      </c>
      <c r="B91" s="5">
        <f>B90</f>
        <v>31142231.9</v>
      </c>
      <c r="C91" s="5" t="s">
        <v>202</v>
      </c>
      <c r="D91" s="5" t="str">
        <f t="shared" si="1"/>
        <v>Q2-2018</v>
      </c>
      <c r="E91" s="5">
        <f>VLOOKUP(C91,IPI!$C$6:$D$143,2,FALSE)</f>
        <v>86</v>
      </c>
      <c r="F91" s="5">
        <f t="shared" si="2"/>
        <v>256.2</v>
      </c>
      <c r="G91" s="5">
        <f t="shared" si="3"/>
        <v>0.335675253708041</v>
      </c>
      <c r="H91">
        <f t="shared" si="4"/>
        <v>10453676.5940671</v>
      </c>
    </row>
    <row r="92" spans="1:8">
      <c r="A92" s="6">
        <f t="shared" si="5"/>
        <v>43282</v>
      </c>
      <c r="B92" s="5">
        <f>VLOOKUP(A92,Quarterly!$A$2:$B$62,2,FALSE)</f>
        <v>32983895</v>
      </c>
      <c r="C92" s="5" t="s">
        <v>203</v>
      </c>
      <c r="D92" s="5" t="str">
        <f t="shared" si="1"/>
        <v>Q3-2018</v>
      </c>
      <c r="E92" s="5">
        <f>VLOOKUP(C92,IPI!$C$6:$D$143,2,FALSE)</f>
        <v>86.8</v>
      </c>
      <c r="F92" s="5">
        <f t="shared" si="2"/>
        <v>264</v>
      </c>
      <c r="G92" s="5">
        <f t="shared" si="3"/>
        <v>0.328787878787879</v>
      </c>
      <c r="H92">
        <f t="shared" si="4"/>
        <v>10844704.8712121</v>
      </c>
    </row>
    <row r="93" spans="1:8">
      <c r="A93" s="6">
        <f t="shared" si="5"/>
        <v>43313</v>
      </c>
      <c r="B93" s="5">
        <f>B92</f>
        <v>32983895</v>
      </c>
      <c r="C93" s="5" t="s">
        <v>204</v>
      </c>
      <c r="D93" s="5" t="str">
        <f t="shared" si="1"/>
        <v>Q3-2018</v>
      </c>
      <c r="E93" s="5">
        <f>VLOOKUP(C93,IPI!$C$6:$D$143,2,FALSE)</f>
        <v>88.7</v>
      </c>
      <c r="F93" s="5">
        <f t="shared" si="2"/>
        <v>264</v>
      </c>
      <c r="G93" s="5">
        <f t="shared" si="3"/>
        <v>0.335984848484848</v>
      </c>
      <c r="H93">
        <f t="shared" si="4"/>
        <v>11082088.9640152</v>
      </c>
    </row>
    <row r="94" spans="1:8">
      <c r="A94" s="6">
        <f t="shared" si="5"/>
        <v>43344</v>
      </c>
      <c r="B94" s="5">
        <f>B93</f>
        <v>32983895</v>
      </c>
      <c r="C94" s="5" t="s">
        <v>205</v>
      </c>
      <c r="D94" s="5" t="str">
        <f t="shared" si="1"/>
        <v>Q3-2018</v>
      </c>
      <c r="E94" s="5">
        <f>VLOOKUP(C94,IPI!$C$6:$D$143,2,FALSE)</f>
        <v>88.5</v>
      </c>
      <c r="F94" s="5">
        <f t="shared" si="2"/>
        <v>264</v>
      </c>
      <c r="G94" s="5">
        <f t="shared" si="3"/>
        <v>0.335227272727273</v>
      </c>
      <c r="H94">
        <f t="shared" si="4"/>
        <v>11057101.1647727</v>
      </c>
    </row>
    <row r="95" spans="1:8">
      <c r="A95" s="6">
        <f t="shared" si="5"/>
        <v>43374</v>
      </c>
      <c r="B95" s="5">
        <f>VLOOKUP(A95,Quarterly!$A$2:$B$62,2,FALSE)</f>
        <v>35024491.8</v>
      </c>
      <c r="C95" s="5" t="s">
        <v>206</v>
      </c>
      <c r="D95" s="5" t="str">
        <f t="shared" si="1"/>
        <v>Q4-2018</v>
      </c>
      <c r="E95" s="5">
        <f>VLOOKUP(C95,IPI!$C$6:$D$143,2,FALSE)</f>
        <v>94.7</v>
      </c>
      <c r="F95" s="5">
        <f t="shared" si="2"/>
        <v>290.6</v>
      </c>
      <c r="G95" s="5">
        <f t="shared" si="3"/>
        <v>0.325877494838266</v>
      </c>
      <c r="H95">
        <f t="shared" si="4"/>
        <v>11413693.6457674</v>
      </c>
    </row>
    <row r="96" spans="1:8">
      <c r="A96" s="6">
        <f t="shared" si="5"/>
        <v>43405</v>
      </c>
      <c r="B96" s="5">
        <f>B95</f>
        <v>35024491.8</v>
      </c>
      <c r="C96" s="5" t="s">
        <v>207</v>
      </c>
      <c r="D96" s="5" t="str">
        <f t="shared" si="1"/>
        <v>Q4-2018</v>
      </c>
      <c r="E96" s="5">
        <f>VLOOKUP(C96,IPI!$C$6:$D$143,2,FALSE)</f>
        <v>94.3</v>
      </c>
      <c r="F96" s="5">
        <f t="shared" si="2"/>
        <v>290.6</v>
      </c>
      <c r="G96" s="5">
        <f t="shared" si="3"/>
        <v>0.324501032346869</v>
      </c>
      <c r="H96">
        <f t="shared" si="4"/>
        <v>11365483.7465244</v>
      </c>
    </row>
    <row r="97" spans="1:8">
      <c r="A97" s="6">
        <f t="shared" si="5"/>
        <v>43435</v>
      </c>
      <c r="B97" s="5">
        <f>B96</f>
        <v>35024491.8</v>
      </c>
      <c r="C97" s="5" t="s">
        <v>208</v>
      </c>
      <c r="D97" s="5" t="str">
        <f t="shared" si="1"/>
        <v>Q4-2018</v>
      </c>
      <c r="E97" s="5">
        <f>VLOOKUP(C97,IPI!$C$6:$D$143,2,FALSE)</f>
        <v>101.6</v>
      </c>
      <c r="F97" s="5">
        <f t="shared" si="2"/>
        <v>290.6</v>
      </c>
      <c r="G97" s="5">
        <f t="shared" si="3"/>
        <v>0.349621472814866</v>
      </c>
      <c r="H97">
        <f t="shared" si="4"/>
        <v>12245314.4077082</v>
      </c>
    </row>
    <row r="98" spans="1:8">
      <c r="A98" s="6">
        <f t="shared" si="5"/>
        <v>43466</v>
      </c>
      <c r="B98" s="5">
        <f>VLOOKUP(A98,Quarterly!$A$2:$B$62,2,FALSE)</f>
        <v>29168260.4</v>
      </c>
      <c r="C98" s="5" t="s">
        <v>209</v>
      </c>
      <c r="D98" s="5" t="str">
        <f t="shared" si="1"/>
        <v>Q1-2019</v>
      </c>
      <c r="E98" s="5">
        <f>VLOOKUP(C98,IPI!$C$6:$D$143,2,FALSE)</f>
        <v>85.2</v>
      </c>
      <c r="F98" s="5">
        <f t="shared" si="2"/>
        <v>259</v>
      </c>
      <c r="G98" s="5">
        <f t="shared" si="3"/>
        <v>0.328957528957529</v>
      </c>
      <c r="H98">
        <f t="shared" si="4"/>
        <v>9595118.86517374</v>
      </c>
    </row>
    <row r="99" spans="1:8">
      <c r="A99" s="6">
        <f t="shared" si="5"/>
        <v>43497</v>
      </c>
      <c r="B99" s="5">
        <f>B98</f>
        <v>29168260.4</v>
      </c>
      <c r="C99" s="5" t="s">
        <v>210</v>
      </c>
      <c r="D99" s="5" t="str">
        <f t="shared" si="1"/>
        <v>Q1-2019</v>
      </c>
      <c r="E99" s="5">
        <f>VLOOKUP(C99,IPI!$C$6:$D$143,2,FALSE)</f>
        <v>82.8</v>
      </c>
      <c r="F99" s="5">
        <f t="shared" si="2"/>
        <v>259</v>
      </c>
      <c r="G99" s="5">
        <f t="shared" si="3"/>
        <v>0.31969111969112</v>
      </c>
      <c r="H99">
        <f t="shared" si="4"/>
        <v>9324833.82671815</v>
      </c>
    </row>
    <row r="100" spans="1:8">
      <c r="A100" s="6">
        <f t="shared" si="5"/>
        <v>43525</v>
      </c>
      <c r="B100" s="5">
        <f>B99</f>
        <v>29168260.4</v>
      </c>
      <c r="C100" s="5" t="s">
        <v>211</v>
      </c>
      <c r="D100" s="5" t="str">
        <f t="shared" si="1"/>
        <v>Q1-2019</v>
      </c>
      <c r="E100" s="5">
        <f>VLOOKUP(C100,IPI!$C$6:$D$143,2,FALSE)</f>
        <v>91</v>
      </c>
      <c r="F100" s="5">
        <f t="shared" si="2"/>
        <v>259</v>
      </c>
      <c r="G100" s="5">
        <f t="shared" si="3"/>
        <v>0.351351351351351</v>
      </c>
      <c r="H100">
        <f t="shared" si="4"/>
        <v>10248307.7081081</v>
      </c>
    </row>
    <row r="101" spans="1:8">
      <c r="A101" s="6">
        <f t="shared" si="5"/>
        <v>43556</v>
      </c>
      <c r="B101" s="5">
        <f>VLOOKUP(A101,Quarterly!$A$2:$B$62,2,FALSE)</f>
        <v>31565376.3</v>
      </c>
      <c r="C101" s="5" t="s">
        <v>212</v>
      </c>
      <c r="D101" s="5" t="str">
        <f t="shared" si="1"/>
        <v>Q2-2019</v>
      </c>
      <c r="E101" s="5">
        <f>VLOOKUP(C101,IPI!$C$6:$D$143,2,FALSE)</f>
        <v>88.9</v>
      </c>
      <c r="F101" s="5">
        <f t="shared" si="2"/>
        <v>264.5</v>
      </c>
      <c r="G101" s="5">
        <f t="shared" si="3"/>
        <v>0.336105860113422</v>
      </c>
      <c r="H101">
        <f t="shared" si="4"/>
        <v>10609307.9511153</v>
      </c>
    </row>
    <row r="102" spans="1:8">
      <c r="A102" s="6">
        <f t="shared" si="5"/>
        <v>43586</v>
      </c>
      <c r="B102" s="5">
        <f>B101</f>
        <v>31565376.3</v>
      </c>
      <c r="C102" s="5" t="s">
        <v>213</v>
      </c>
      <c r="D102" s="5" t="str">
        <f t="shared" si="1"/>
        <v>Q2-2019</v>
      </c>
      <c r="E102" s="5">
        <f>VLOOKUP(C102,IPI!$C$6:$D$143,2,FALSE)</f>
        <v>86.8</v>
      </c>
      <c r="F102" s="5">
        <f t="shared" si="2"/>
        <v>264.5</v>
      </c>
      <c r="G102" s="5">
        <f t="shared" si="3"/>
        <v>0.328166351606805</v>
      </c>
      <c r="H102">
        <f t="shared" si="4"/>
        <v>10358694.3774669</v>
      </c>
    </row>
    <row r="103" spans="1:8">
      <c r="A103" s="6">
        <f t="shared" si="5"/>
        <v>43617</v>
      </c>
      <c r="B103" s="5">
        <f>B102</f>
        <v>31565376.3</v>
      </c>
      <c r="C103" s="5" t="s">
        <v>214</v>
      </c>
      <c r="D103" s="5" t="str">
        <f t="shared" si="1"/>
        <v>Q2-2019</v>
      </c>
      <c r="E103" s="5">
        <f>VLOOKUP(C103,IPI!$C$6:$D$143,2,FALSE)</f>
        <v>88.8</v>
      </c>
      <c r="F103" s="5">
        <f t="shared" si="2"/>
        <v>264.5</v>
      </c>
      <c r="G103" s="5">
        <f t="shared" si="3"/>
        <v>0.335727788279773</v>
      </c>
      <c r="H103">
        <f t="shared" si="4"/>
        <v>10597373.9714178</v>
      </c>
    </row>
    <row r="104" spans="1:8">
      <c r="A104" s="6">
        <f t="shared" si="5"/>
        <v>43647</v>
      </c>
      <c r="B104" s="5">
        <f>VLOOKUP(A104,Quarterly!$A$2:$B$62,2,FALSE)</f>
        <v>33897148.1</v>
      </c>
      <c r="C104" s="5" t="s">
        <v>215</v>
      </c>
      <c r="D104" s="5" t="str">
        <f t="shared" si="1"/>
        <v>Q3-2019</v>
      </c>
      <c r="E104" s="5">
        <f>VLOOKUP(C104,IPI!$C$6:$D$143,2,FALSE)</f>
        <v>90.6</v>
      </c>
      <c r="F104" s="5">
        <f t="shared" si="2"/>
        <v>275.8</v>
      </c>
      <c r="G104" s="5">
        <f t="shared" si="3"/>
        <v>0.328498912255257</v>
      </c>
      <c r="H104">
        <f t="shared" si="4"/>
        <v>11135176.2794054</v>
      </c>
    </row>
    <row r="105" spans="1:8">
      <c r="A105" s="6">
        <f t="shared" si="5"/>
        <v>43678</v>
      </c>
      <c r="B105" s="5">
        <f>B104</f>
        <v>33897148.1</v>
      </c>
      <c r="C105" s="5" t="s">
        <v>216</v>
      </c>
      <c r="D105" s="5" t="str">
        <f t="shared" si="1"/>
        <v>Q3-2019</v>
      </c>
      <c r="E105" s="5">
        <f>VLOOKUP(C105,IPI!$C$6:$D$143,2,FALSE)</f>
        <v>92.2</v>
      </c>
      <c r="F105" s="5">
        <f t="shared" si="2"/>
        <v>275.8</v>
      </c>
      <c r="G105" s="5">
        <f t="shared" si="3"/>
        <v>0.334300217548949</v>
      </c>
      <c r="H105">
        <f t="shared" si="4"/>
        <v>11331823.9841189</v>
      </c>
    </row>
    <row r="106" spans="1:8">
      <c r="A106" s="6">
        <f t="shared" si="5"/>
        <v>43709</v>
      </c>
      <c r="B106" s="5">
        <f>B105</f>
        <v>33897148.1</v>
      </c>
      <c r="C106" s="5" t="s">
        <v>217</v>
      </c>
      <c r="D106" s="5" t="str">
        <f t="shared" si="1"/>
        <v>Q3-2019</v>
      </c>
      <c r="E106" s="5">
        <f>VLOOKUP(C106,IPI!$C$6:$D$143,2,FALSE)</f>
        <v>93</v>
      </c>
      <c r="F106" s="5">
        <f t="shared" si="2"/>
        <v>275.8</v>
      </c>
      <c r="G106" s="5">
        <f t="shared" si="3"/>
        <v>0.337200870195794</v>
      </c>
      <c r="H106">
        <f t="shared" si="4"/>
        <v>11430147.8364757</v>
      </c>
    </row>
    <row r="107" spans="1:8">
      <c r="A107" s="6">
        <f t="shared" si="5"/>
        <v>43739</v>
      </c>
      <c r="B107" s="5">
        <f>VLOOKUP(A107,Quarterly!$A$2:$B$62,2,FALSE)</f>
        <v>36100031.3</v>
      </c>
      <c r="C107" s="5" t="s">
        <v>218</v>
      </c>
      <c r="D107" s="5" t="str">
        <f t="shared" si="1"/>
        <v>Q4-2019</v>
      </c>
      <c r="E107" s="5">
        <f>VLOOKUP(C107,IPI!$C$6:$D$143,2,FALSE)</f>
        <v>98.9</v>
      </c>
      <c r="F107" s="5">
        <f t="shared" si="2"/>
        <v>298.9</v>
      </c>
      <c r="G107" s="5">
        <f t="shared" si="3"/>
        <v>0.330879892940783</v>
      </c>
      <c r="H107">
        <f t="shared" si="4"/>
        <v>11944774.4917029</v>
      </c>
    </row>
    <row r="108" spans="1:8">
      <c r="A108" s="6">
        <f t="shared" si="5"/>
        <v>43770</v>
      </c>
      <c r="B108" s="5">
        <f>B107</f>
        <v>36100031.3</v>
      </c>
      <c r="C108" s="5" t="s">
        <v>219</v>
      </c>
      <c r="D108" s="5" t="str">
        <f t="shared" si="1"/>
        <v>Q4-2019</v>
      </c>
      <c r="E108" s="5">
        <f>VLOOKUP(C108,IPI!$C$6:$D$143,2,FALSE)</f>
        <v>95.7</v>
      </c>
      <c r="F108" s="5">
        <f t="shared" si="2"/>
        <v>298.9</v>
      </c>
      <c r="G108" s="5">
        <f t="shared" si="3"/>
        <v>0.320173971227835</v>
      </c>
      <c r="H108">
        <f t="shared" si="4"/>
        <v>11558290.3827702</v>
      </c>
    </row>
    <row r="109" spans="1:8">
      <c r="A109" s="6">
        <f t="shared" si="5"/>
        <v>43800</v>
      </c>
      <c r="B109" s="5">
        <f>B108</f>
        <v>36100031.3</v>
      </c>
      <c r="C109" s="5" t="s">
        <v>220</v>
      </c>
      <c r="D109" s="5" t="str">
        <f t="shared" si="1"/>
        <v>Q4-2019</v>
      </c>
      <c r="E109" s="5">
        <f>VLOOKUP(C109,IPI!$C$6:$D$143,2,FALSE)</f>
        <v>104.3</v>
      </c>
      <c r="F109" s="5">
        <f t="shared" si="2"/>
        <v>298.9</v>
      </c>
      <c r="G109" s="5">
        <f t="shared" si="3"/>
        <v>0.348946135831382</v>
      </c>
      <c r="H109">
        <f t="shared" si="4"/>
        <v>12596966.4255269</v>
      </c>
    </row>
    <row r="110" spans="1:8">
      <c r="A110" s="6">
        <f t="shared" si="5"/>
        <v>43831</v>
      </c>
      <c r="B110" s="5">
        <f>VLOOKUP(A110,Quarterly!$A$2:$B$62,2,FALSE)</f>
        <v>29609467.1</v>
      </c>
      <c r="C110" s="5" t="s">
        <v>221</v>
      </c>
      <c r="D110" s="5" t="str">
        <f t="shared" si="1"/>
        <v>Q1-2020</v>
      </c>
      <c r="E110" s="5">
        <f>VLOOKUP(C110,IPI!$C$6:$D$143,2,FALSE)</f>
        <v>86.6</v>
      </c>
      <c r="F110" s="5">
        <f t="shared" si="2"/>
        <v>267.1</v>
      </c>
      <c r="G110" s="5">
        <f t="shared" si="3"/>
        <v>0.324223137401722</v>
      </c>
      <c r="H110">
        <f t="shared" si="4"/>
        <v>9600074.31995507</v>
      </c>
    </row>
    <row r="111" spans="1:8">
      <c r="A111" s="6">
        <f t="shared" si="5"/>
        <v>43862</v>
      </c>
      <c r="B111" s="5">
        <f>B110</f>
        <v>29609467.1</v>
      </c>
      <c r="C111" s="5" t="s">
        <v>222</v>
      </c>
      <c r="D111" s="5" t="str">
        <f t="shared" si="1"/>
        <v>Q1-2020</v>
      </c>
      <c r="E111" s="5">
        <f>VLOOKUP(C111,IPI!$C$6:$D$143,2,FALSE)</f>
        <v>87</v>
      </c>
      <c r="F111" s="5">
        <f t="shared" si="2"/>
        <v>267.1</v>
      </c>
      <c r="G111" s="5">
        <f t="shared" si="3"/>
        <v>0.325720703856234</v>
      </c>
      <c r="H111">
        <f t="shared" si="4"/>
        <v>9644416.46461999</v>
      </c>
    </row>
    <row r="112" spans="1:8">
      <c r="A112" s="6">
        <f t="shared" si="5"/>
        <v>43891</v>
      </c>
      <c r="B112" s="5">
        <f>B111</f>
        <v>29609467.1</v>
      </c>
      <c r="C112" s="5" t="s">
        <v>223</v>
      </c>
      <c r="D112" s="5" t="str">
        <f t="shared" si="1"/>
        <v>Q1-2020</v>
      </c>
      <c r="E112" s="5">
        <f>VLOOKUP(C112,IPI!$C$6:$D$143,2,FALSE)</f>
        <v>93.5</v>
      </c>
      <c r="F112" s="5">
        <f t="shared" si="2"/>
        <v>267.1</v>
      </c>
      <c r="G112" s="5">
        <f t="shared" si="3"/>
        <v>0.350056158742044</v>
      </c>
      <c r="H112">
        <f t="shared" si="4"/>
        <v>10364976.3154249</v>
      </c>
    </row>
    <row r="113" spans="1:8">
      <c r="A113" s="6">
        <f t="shared" si="5"/>
        <v>43922</v>
      </c>
      <c r="B113" s="5">
        <f>VLOOKUP(A113,Quarterly!$A$2:$B$62,2,FALSE)</f>
        <v>29255232.3</v>
      </c>
      <c r="C113" s="5" t="s">
        <v>224</v>
      </c>
      <c r="D113" s="5" t="str">
        <f t="shared" si="1"/>
        <v>Q2-2020</v>
      </c>
      <c r="E113" s="5">
        <f>VLOOKUP(C113,IPI!$C$6:$D$143,2,FALSE)</f>
        <v>84.9</v>
      </c>
      <c r="F113" s="5">
        <f t="shared" si="2"/>
        <v>247.6</v>
      </c>
      <c r="G113" s="5">
        <f t="shared" si="3"/>
        <v>0.342891760904685</v>
      </c>
      <c r="H113">
        <f t="shared" si="4"/>
        <v>10031378.1190226</v>
      </c>
    </row>
    <row r="114" spans="1:8">
      <c r="A114" s="6">
        <f t="shared" si="5"/>
        <v>43952</v>
      </c>
      <c r="B114" s="5">
        <f>B113</f>
        <v>29255232.3</v>
      </c>
      <c r="C114" s="5" t="s">
        <v>225</v>
      </c>
      <c r="D114" s="5" t="str">
        <f t="shared" ref="D114:D177" si="6">"Q"&amp;ROUNDUP(MONTH(A114)/3,0)&amp;TEXT(A114,"-yyyy")</f>
        <v>Q2-2020</v>
      </c>
      <c r="E114" s="5">
        <f>VLOOKUP(C114,IPI!$C$6:$D$143,2,FALSE)</f>
        <v>79.9</v>
      </c>
      <c r="F114" s="5">
        <f t="shared" ref="F114:F177" si="7">SUMIFS($E$50:$E$181,$D$50:$D$181,D114)</f>
        <v>247.6</v>
      </c>
      <c r="G114" s="5">
        <f t="shared" ref="G114:G177" si="8">E114/F114</f>
        <v>0.322697899838449</v>
      </c>
      <c r="H114">
        <f t="shared" ref="H114:H177" si="9">G114*B114</f>
        <v>9440602.02249596</v>
      </c>
    </row>
    <row r="115" spans="1:8">
      <c r="A115" s="6">
        <f t="shared" si="5"/>
        <v>43983</v>
      </c>
      <c r="B115" s="5">
        <f>B114</f>
        <v>29255232.3</v>
      </c>
      <c r="C115" s="5" t="s">
        <v>226</v>
      </c>
      <c r="D115" s="5" t="str">
        <f t="shared" si="6"/>
        <v>Q2-2020</v>
      </c>
      <c r="E115" s="5">
        <f>VLOOKUP(C115,IPI!$C$6:$D$143,2,FALSE)</f>
        <v>82.8</v>
      </c>
      <c r="F115" s="5">
        <f t="shared" si="7"/>
        <v>247.6</v>
      </c>
      <c r="G115" s="5">
        <f t="shared" si="8"/>
        <v>0.334410339256866</v>
      </c>
      <c r="H115">
        <f t="shared" si="9"/>
        <v>9783252.15848142</v>
      </c>
    </row>
    <row r="116" spans="1:8">
      <c r="A116" s="6">
        <f t="shared" si="5"/>
        <v>44013</v>
      </c>
      <c r="B116" s="5">
        <f>VLOOKUP(A116,Quarterly!$A$2:$B$62,2,FALSE)</f>
        <v>32767887</v>
      </c>
      <c r="C116" s="5" t="s">
        <v>227</v>
      </c>
      <c r="D116" s="5" t="str">
        <f t="shared" si="6"/>
        <v>Q3-2020</v>
      </c>
      <c r="E116" s="5">
        <f>VLOOKUP(C116,IPI!$C$6:$D$143,2,FALSE)</f>
        <v>85.4</v>
      </c>
      <c r="F116" s="5">
        <f t="shared" si="7"/>
        <v>263.4</v>
      </c>
      <c r="G116" s="5">
        <f t="shared" si="8"/>
        <v>0.32422171602126</v>
      </c>
      <c r="H116">
        <f t="shared" si="9"/>
        <v>10624060.5535308</v>
      </c>
    </row>
    <row r="117" spans="1:8">
      <c r="A117" s="6">
        <f t="shared" si="5"/>
        <v>44044</v>
      </c>
      <c r="B117" s="5">
        <f>B116</f>
        <v>32767887</v>
      </c>
      <c r="C117" s="5" t="s">
        <v>228</v>
      </c>
      <c r="D117" s="5" t="str">
        <f t="shared" si="6"/>
        <v>Q3-2020</v>
      </c>
      <c r="E117" s="5">
        <f>VLOOKUP(C117,IPI!$C$6:$D$143,2,FALSE)</f>
        <v>88.4</v>
      </c>
      <c r="F117" s="5">
        <f t="shared" si="7"/>
        <v>263.4</v>
      </c>
      <c r="G117" s="5">
        <f t="shared" si="8"/>
        <v>0.335611237661352</v>
      </c>
      <c r="H117">
        <f t="shared" si="9"/>
        <v>10997271.1116173</v>
      </c>
    </row>
    <row r="118" spans="1:8">
      <c r="A118" s="6">
        <f t="shared" si="5"/>
        <v>44075</v>
      </c>
      <c r="B118" s="5">
        <f>B117</f>
        <v>32767887</v>
      </c>
      <c r="C118" s="5" t="s">
        <v>229</v>
      </c>
      <c r="D118" s="5" t="str">
        <f t="shared" si="6"/>
        <v>Q3-2020</v>
      </c>
      <c r="E118" s="5">
        <f>VLOOKUP(C118,IPI!$C$6:$D$143,2,FALSE)</f>
        <v>89.6</v>
      </c>
      <c r="F118" s="5">
        <f t="shared" si="7"/>
        <v>263.4</v>
      </c>
      <c r="G118" s="5">
        <f t="shared" si="8"/>
        <v>0.340167046317388</v>
      </c>
      <c r="H118">
        <f t="shared" si="9"/>
        <v>11146555.3348519</v>
      </c>
    </row>
    <row r="119" spans="1:8">
      <c r="A119" s="6">
        <f t="shared" si="5"/>
        <v>44105</v>
      </c>
      <c r="B119" s="5">
        <f>VLOOKUP(A119,Quarterly!$A$2:$B$62,2,FALSE)</f>
        <v>35629085.5</v>
      </c>
      <c r="C119" s="5" t="s">
        <v>230</v>
      </c>
      <c r="D119" s="5" t="str">
        <f t="shared" si="6"/>
        <v>Q4-2020</v>
      </c>
      <c r="E119" s="5">
        <f>VLOOKUP(C119,IPI!$C$6:$D$143,2,FALSE)</f>
        <v>93.5</v>
      </c>
      <c r="F119" s="5">
        <f t="shared" si="7"/>
        <v>296.2</v>
      </c>
      <c r="G119" s="5">
        <f t="shared" si="8"/>
        <v>0.315665091154625</v>
      </c>
      <c r="H119">
        <f t="shared" si="9"/>
        <v>11246858.5221134</v>
      </c>
    </row>
    <row r="120" spans="1:8">
      <c r="A120" s="6">
        <f t="shared" si="5"/>
        <v>44136</v>
      </c>
      <c r="B120" s="5">
        <f>B119</f>
        <v>35629085.5</v>
      </c>
      <c r="C120" s="5" t="s">
        <v>231</v>
      </c>
      <c r="D120" s="5" t="str">
        <f t="shared" si="6"/>
        <v>Q4-2020</v>
      </c>
      <c r="E120" s="5">
        <f>VLOOKUP(C120,IPI!$C$6:$D$143,2,FALSE)</f>
        <v>94.6</v>
      </c>
      <c r="F120" s="5">
        <f t="shared" si="7"/>
        <v>296.2</v>
      </c>
      <c r="G120" s="5">
        <f t="shared" si="8"/>
        <v>0.319378798109386</v>
      </c>
      <c r="H120">
        <f t="shared" si="9"/>
        <v>11379174.5047265</v>
      </c>
    </row>
    <row r="121" spans="1:8">
      <c r="A121" s="6">
        <f t="shared" si="5"/>
        <v>44166</v>
      </c>
      <c r="B121" s="5">
        <f>B120</f>
        <v>35629085.5</v>
      </c>
      <c r="C121" s="5" t="s">
        <v>232</v>
      </c>
      <c r="D121" s="5" t="str">
        <f t="shared" si="6"/>
        <v>Q4-2020</v>
      </c>
      <c r="E121" s="5">
        <f>VLOOKUP(C121,IPI!$C$6:$D$143,2,FALSE)</f>
        <v>108.1</v>
      </c>
      <c r="F121" s="5">
        <f t="shared" si="7"/>
        <v>296.2</v>
      </c>
      <c r="G121" s="5">
        <f t="shared" si="8"/>
        <v>0.364956110735989</v>
      </c>
      <c r="H121">
        <f t="shared" si="9"/>
        <v>13003052.47316</v>
      </c>
    </row>
    <row r="122" spans="1:8">
      <c r="A122" s="6">
        <f t="shared" si="5"/>
        <v>44197</v>
      </c>
      <c r="B122" s="5">
        <f>VLOOKUP(A122,Quarterly!$A$2:$B$62,2,FALSE)</f>
        <v>29907688</v>
      </c>
      <c r="C122" s="5" t="s">
        <v>233</v>
      </c>
      <c r="D122" s="5" t="str">
        <f t="shared" si="6"/>
        <v>Q1-2021</v>
      </c>
      <c r="E122" s="5">
        <f>VLOOKUP(C122,IPI!$C$6:$D$143,2,FALSE)</f>
        <v>85.1</v>
      </c>
      <c r="F122" s="5">
        <f t="shared" si="7"/>
        <v>265.8</v>
      </c>
      <c r="G122" s="5">
        <f t="shared" si="8"/>
        <v>0.320165537998495</v>
      </c>
      <c r="H122">
        <f t="shared" si="9"/>
        <v>9575411.01881114</v>
      </c>
    </row>
    <row r="123" spans="1:8">
      <c r="A123" s="6">
        <f t="shared" si="5"/>
        <v>44228</v>
      </c>
      <c r="B123" s="5">
        <f>B122</f>
        <v>29907688</v>
      </c>
      <c r="C123" s="5" t="s">
        <v>234</v>
      </c>
      <c r="D123" s="5" t="str">
        <f t="shared" si="6"/>
        <v>Q1-2021</v>
      </c>
      <c r="E123" s="5">
        <f>VLOOKUP(C123,IPI!$C$6:$D$143,2,FALSE)</f>
        <v>84.6</v>
      </c>
      <c r="F123" s="5">
        <f t="shared" si="7"/>
        <v>265.8</v>
      </c>
      <c r="G123" s="5">
        <f t="shared" si="8"/>
        <v>0.318284424379233</v>
      </c>
      <c r="H123">
        <f t="shared" si="9"/>
        <v>9519151.25959368</v>
      </c>
    </row>
    <row r="124" spans="1:8">
      <c r="A124" s="6">
        <f t="shared" si="5"/>
        <v>44256</v>
      </c>
      <c r="B124" s="5">
        <f>B123</f>
        <v>29907688</v>
      </c>
      <c r="C124" s="5" t="s">
        <v>235</v>
      </c>
      <c r="D124" s="5" t="str">
        <f t="shared" si="6"/>
        <v>Q1-2021</v>
      </c>
      <c r="E124" s="5">
        <f>VLOOKUP(C124,IPI!$C$6:$D$143,2,FALSE)</f>
        <v>96.1</v>
      </c>
      <c r="F124" s="5">
        <f t="shared" si="7"/>
        <v>265.8</v>
      </c>
      <c r="G124" s="5">
        <f t="shared" si="8"/>
        <v>0.361550037622272</v>
      </c>
      <c r="H124">
        <f t="shared" si="9"/>
        <v>10813125.7215952</v>
      </c>
    </row>
    <row r="125" spans="1:8">
      <c r="A125" s="6">
        <f t="shared" si="5"/>
        <v>44287</v>
      </c>
      <c r="B125" s="5">
        <f>VLOOKUP(A125,Quarterly!$A$2:$B$62,2,FALSE)</f>
        <v>32596309.1</v>
      </c>
      <c r="C125" s="5" t="s">
        <v>236</v>
      </c>
      <c r="D125" s="5" t="str">
        <f t="shared" si="6"/>
        <v>Q2-2021</v>
      </c>
      <c r="E125" s="5">
        <f>VLOOKUP(C125,IPI!$C$6:$D$143,2,FALSE)</f>
        <v>92.5</v>
      </c>
      <c r="F125" s="5">
        <f t="shared" si="7"/>
        <v>275.2</v>
      </c>
      <c r="G125" s="5">
        <f t="shared" si="8"/>
        <v>0.336119186046512</v>
      </c>
      <c r="H125">
        <f t="shared" si="9"/>
        <v>10956244.8828125</v>
      </c>
    </row>
    <row r="126" spans="1:8">
      <c r="A126" s="6">
        <f t="shared" si="5"/>
        <v>44317</v>
      </c>
      <c r="B126" s="5">
        <f>B125</f>
        <v>32596309.1</v>
      </c>
      <c r="C126" s="5" t="s">
        <v>237</v>
      </c>
      <c r="D126" s="5" t="str">
        <f t="shared" si="6"/>
        <v>Q2-2021</v>
      </c>
      <c r="E126" s="5">
        <f>VLOOKUP(C126,IPI!$C$6:$D$143,2,FALSE)</f>
        <v>90.4</v>
      </c>
      <c r="F126" s="5">
        <f t="shared" si="7"/>
        <v>275.2</v>
      </c>
      <c r="G126" s="5">
        <f t="shared" si="8"/>
        <v>0.328488372093023</v>
      </c>
      <c r="H126">
        <f t="shared" si="9"/>
        <v>10707508.5125</v>
      </c>
    </row>
    <row r="127" spans="1:8">
      <c r="A127" s="6">
        <f t="shared" si="5"/>
        <v>44348</v>
      </c>
      <c r="B127" s="5">
        <f>B126</f>
        <v>32596309.1</v>
      </c>
      <c r="C127" s="5" t="s">
        <v>238</v>
      </c>
      <c r="D127" s="5" t="str">
        <f t="shared" si="6"/>
        <v>Q2-2021</v>
      </c>
      <c r="E127" s="5">
        <f>VLOOKUP(C127,IPI!$C$6:$D$143,2,FALSE)</f>
        <v>92.3</v>
      </c>
      <c r="F127" s="5">
        <f t="shared" si="7"/>
        <v>275.2</v>
      </c>
      <c r="G127" s="5">
        <f t="shared" si="8"/>
        <v>0.335392441860465</v>
      </c>
      <c r="H127">
        <f t="shared" si="9"/>
        <v>10932555.7046875</v>
      </c>
    </row>
    <row r="128" spans="1:8">
      <c r="A128" s="6">
        <f t="shared" si="5"/>
        <v>44378</v>
      </c>
      <c r="B128" s="5">
        <f>VLOOKUP(A128,Quarterly!$A$2:$B$62,2,FALSE)</f>
        <v>34473963.4</v>
      </c>
      <c r="C128" s="5" t="s">
        <v>239</v>
      </c>
      <c r="D128" s="5" t="str">
        <f t="shared" si="6"/>
        <v>Q3-2021</v>
      </c>
      <c r="E128" s="5">
        <f>VLOOKUP(C128,IPI!$C$6:$D$143,2,FALSE)</f>
        <v>92.2</v>
      </c>
      <c r="F128" s="5">
        <f t="shared" si="7"/>
        <v>282.3</v>
      </c>
      <c r="G128" s="5">
        <f t="shared" si="8"/>
        <v>0.3266029047113</v>
      </c>
      <c r="H128">
        <f t="shared" si="9"/>
        <v>11259296.583351</v>
      </c>
    </row>
    <row r="129" spans="1:8">
      <c r="A129" s="6">
        <f t="shared" si="5"/>
        <v>44409</v>
      </c>
      <c r="B129" s="5">
        <f>B128</f>
        <v>34473963.4</v>
      </c>
      <c r="C129" s="5" t="s">
        <v>240</v>
      </c>
      <c r="D129" s="5" t="str">
        <f t="shared" si="6"/>
        <v>Q3-2021</v>
      </c>
      <c r="E129" s="5">
        <f>VLOOKUP(C129,IPI!$C$6:$D$143,2,FALSE)</f>
        <v>93.4</v>
      </c>
      <c r="F129" s="5">
        <f t="shared" si="7"/>
        <v>282.3</v>
      </c>
      <c r="G129" s="5">
        <f t="shared" si="8"/>
        <v>0.330853701735742</v>
      </c>
      <c r="H129">
        <f t="shared" si="9"/>
        <v>11405838.4043925</v>
      </c>
    </row>
    <row r="130" spans="1:8">
      <c r="A130" s="6">
        <f t="shared" si="5"/>
        <v>44440</v>
      </c>
      <c r="B130" s="5">
        <f>B129</f>
        <v>34473963.4</v>
      </c>
      <c r="C130" s="5" t="s">
        <v>241</v>
      </c>
      <c r="D130" s="5" t="str">
        <f t="shared" si="6"/>
        <v>Q3-2021</v>
      </c>
      <c r="E130" s="5">
        <f>VLOOKUP(C130,IPI!$C$6:$D$143,2,FALSE)</f>
        <v>96.7</v>
      </c>
      <c r="F130" s="5">
        <f t="shared" si="7"/>
        <v>282.3</v>
      </c>
      <c r="G130" s="5">
        <f t="shared" si="8"/>
        <v>0.342543393552958</v>
      </c>
      <c r="H130">
        <f t="shared" si="9"/>
        <v>11808828.4122565</v>
      </c>
    </row>
    <row r="131" spans="1:8">
      <c r="A131" s="6">
        <f t="shared" ref="A131:A184" si="10">EDATE(A130,1)</f>
        <v>44470</v>
      </c>
      <c r="B131" s="5">
        <f>VLOOKUP(A131,Quarterly!$A$2:$B$62,2,FALSE)</f>
        <v>37749506.9</v>
      </c>
      <c r="C131" s="5" t="s">
        <v>242</v>
      </c>
      <c r="D131" s="5" t="str">
        <f t="shared" si="6"/>
        <v>Q4-2021</v>
      </c>
      <c r="E131" s="5">
        <f>VLOOKUP(C131,IPI!$C$6:$D$143,2,FALSE)</f>
        <v>101.4</v>
      </c>
      <c r="F131" s="5">
        <f t="shared" si="7"/>
        <v>319.9</v>
      </c>
      <c r="G131" s="5">
        <f t="shared" si="8"/>
        <v>0.316974054391997</v>
      </c>
      <c r="H131">
        <f t="shared" si="9"/>
        <v>11965614.2533917</v>
      </c>
    </row>
    <row r="132" spans="1:8">
      <c r="A132" s="6">
        <f t="shared" si="10"/>
        <v>44501</v>
      </c>
      <c r="B132" s="5">
        <f>B131</f>
        <v>37749506.9</v>
      </c>
      <c r="C132" s="5" t="s">
        <v>243</v>
      </c>
      <c r="D132" s="5" t="str">
        <f t="shared" si="6"/>
        <v>Q4-2021</v>
      </c>
      <c r="E132" s="5">
        <f>VLOOKUP(C132,IPI!$C$6:$D$143,2,FALSE)</f>
        <v>102.2</v>
      </c>
      <c r="F132" s="5">
        <f t="shared" si="7"/>
        <v>319.9</v>
      </c>
      <c r="G132" s="5">
        <f t="shared" si="8"/>
        <v>0.319474835886214</v>
      </c>
      <c r="H132">
        <f t="shared" si="9"/>
        <v>12060017.521663</v>
      </c>
    </row>
    <row r="133" spans="1:8">
      <c r="A133" s="6">
        <f t="shared" si="10"/>
        <v>44531</v>
      </c>
      <c r="B133" s="5">
        <f>B132</f>
        <v>37749506.9</v>
      </c>
      <c r="C133" s="5" t="s">
        <v>244</v>
      </c>
      <c r="D133" s="5" t="str">
        <f t="shared" si="6"/>
        <v>Q4-2021</v>
      </c>
      <c r="E133" s="5">
        <f>VLOOKUP(C133,IPI!$C$6:$D$143,2,FALSE)</f>
        <v>116.3</v>
      </c>
      <c r="F133" s="5">
        <f t="shared" si="7"/>
        <v>319.9</v>
      </c>
      <c r="G133" s="5">
        <f t="shared" si="8"/>
        <v>0.363551109721788</v>
      </c>
      <c r="H133">
        <f t="shared" si="9"/>
        <v>13723875.1249453</v>
      </c>
    </row>
    <row r="134" spans="1:8">
      <c r="A134" s="6">
        <f t="shared" si="10"/>
        <v>44562</v>
      </c>
      <c r="B134" s="5">
        <f>VLOOKUP(A134,Quarterly!$A$2:$B$62,2,FALSE)</f>
        <v>30913053.7</v>
      </c>
      <c r="C134" s="5" t="s">
        <v>245</v>
      </c>
      <c r="D134" s="5" t="str">
        <f t="shared" si="6"/>
        <v>Q1-2022</v>
      </c>
      <c r="E134" s="5">
        <f>VLOOKUP(C134,IPI!$C$6:$D$143,2,FALSE)</f>
        <v>92.8</v>
      </c>
      <c r="F134" s="5">
        <f t="shared" si="7"/>
        <v>282.6</v>
      </c>
      <c r="G134" s="5">
        <f t="shared" si="8"/>
        <v>0.328379334748761</v>
      </c>
      <c r="H134">
        <f t="shared" si="9"/>
        <v>10151208.0090587</v>
      </c>
    </row>
    <row r="135" spans="1:8">
      <c r="A135" s="6">
        <f t="shared" si="10"/>
        <v>44593</v>
      </c>
      <c r="B135" s="5">
        <f>B134</f>
        <v>30913053.7</v>
      </c>
      <c r="C135" s="5" t="s">
        <v>246</v>
      </c>
      <c r="D135" s="5" t="str">
        <f t="shared" si="6"/>
        <v>Q1-2022</v>
      </c>
      <c r="E135" s="5">
        <f>VLOOKUP(C135,IPI!$C$6:$D$143,2,FALSE)</f>
        <v>90.2</v>
      </c>
      <c r="F135" s="5">
        <f t="shared" si="7"/>
        <v>282.6</v>
      </c>
      <c r="G135" s="5">
        <f t="shared" si="8"/>
        <v>0.319179051663128</v>
      </c>
      <c r="H135">
        <f t="shared" si="9"/>
        <v>9866799.16397735</v>
      </c>
    </row>
    <row r="136" spans="1:8">
      <c r="A136" s="6">
        <f t="shared" si="10"/>
        <v>44621</v>
      </c>
      <c r="B136" s="5">
        <f>B135</f>
        <v>30913053.7</v>
      </c>
      <c r="C136" s="5" t="s">
        <v>247</v>
      </c>
      <c r="D136" s="5" t="str">
        <f t="shared" si="6"/>
        <v>Q1-2022</v>
      </c>
      <c r="E136" s="5">
        <f>VLOOKUP(C136,IPI!$C$6:$D$143,2,FALSE)</f>
        <v>99.6</v>
      </c>
      <c r="F136" s="5">
        <f t="shared" si="7"/>
        <v>282.6</v>
      </c>
      <c r="G136" s="5">
        <f t="shared" si="8"/>
        <v>0.35244161358811</v>
      </c>
      <c r="H136">
        <f t="shared" si="9"/>
        <v>10895046.5269639</v>
      </c>
    </row>
    <row r="137" spans="1:8">
      <c r="A137" s="6">
        <f t="shared" si="10"/>
        <v>44652</v>
      </c>
      <c r="B137" s="5">
        <f>VLOOKUP(A137,Quarterly!$A$2:$B$62,2,FALSE)</f>
        <v>31386209.6</v>
      </c>
      <c r="C137" s="5" t="s">
        <v>248</v>
      </c>
      <c r="D137" s="5" t="str">
        <f t="shared" si="6"/>
        <v>Q2-2022</v>
      </c>
      <c r="E137" s="5">
        <f>VLOOKUP(C137,IPI!$C$6:$D$143,2,FALSE)</f>
        <v>90.8</v>
      </c>
      <c r="F137" s="5">
        <f t="shared" si="7"/>
        <v>271</v>
      </c>
      <c r="G137" s="5">
        <f t="shared" si="8"/>
        <v>0.335055350553506</v>
      </c>
      <c r="H137">
        <f t="shared" si="9"/>
        <v>10516117.4600738</v>
      </c>
    </row>
    <row r="138" spans="1:8">
      <c r="A138" s="6">
        <f t="shared" si="10"/>
        <v>44682</v>
      </c>
      <c r="B138" s="5">
        <f>B137</f>
        <v>31386209.6</v>
      </c>
      <c r="C138" s="5" t="s">
        <v>249</v>
      </c>
      <c r="D138" s="5" t="str">
        <f t="shared" si="6"/>
        <v>Q2-2022</v>
      </c>
      <c r="E138" s="5">
        <f>VLOOKUP(C138,IPI!$C$6:$D$143,2,FALSE)</f>
        <v>89.1</v>
      </c>
      <c r="F138" s="5">
        <f t="shared" si="7"/>
        <v>271</v>
      </c>
      <c r="G138" s="5">
        <f t="shared" si="8"/>
        <v>0.328782287822878</v>
      </c>
      <c r="H138">
        <f t="shared" si="9"/>
        <v>10319229.7983764</v>
      </c>
    </row>
    <row r="139" spans="1:8">
      <c r="A139" s="6">
        <f t="shared" si="10"/>
        <v>44713</v>
      </c>
      <c r="B139" s="5">
        <f>B138</f>
        <v>31386209.6</v>
      </c>
      <c r="C139" s="5" t="s">
        <v>250</v>
      </c>
      <c r="D139" s="5" t="str">
        <f t="shared" si="6"/>
        <v>Q2-2022</v>
      </c>
      <c r="E139" s="5">
        <f>VLOOKUP(C139,IPI!$C$6:$D$143,2,FALSE)</f>
        <v>91.1</v>
      </c>
      <c r="F139" s="5">
        <f t="shared" si="7"/>
        <v>271</v>
      </c>
      <c r="G139" s="5">
        <f t="shared" si="8"/>
        <v>0.336162361623616</v>
      </c>
      <c r="H139">
        <f t="shared" si="9"/>
        <v>10550862.3415498</v>
      </c>
    </row>
    <row r="140" spans="1:8">
      <c r="A140" s="6">
        <f t="shared" si="10"/>
        <v>44743</v>
      </c>
      <c r="B140" s="5">
        <f>VLOOKUP(A140,Quarterly!$A$2:$B$62,2,FALSE)</f>
        <v>33458054.5</v>
      </c>
      <c r="C140" s="5" t="s">
        <v>251</v>
      </c>
      <c r="D140" s="5" t="str">
        <f t="shared" si="6"/>
        <v>Q3-2022</v>
      </c>
      <c r="E140" s="5">
        <f>VLOOKUP(C140,IPI!$C$6:$D$143,2,FALSE)</f>
        <v>92.7</v>
      </c>
      <c r="F140" s="5">
        <f t="shared" si="7"/>
        <v>281.6</v>
      </c>
      <c r="G140" s="5">
        <f t="shared" si="8"/>
        <v>0.329190340909091</v>
      </c>
      <c r="H140">
        <f t="shared" si="9"/>
        <v>11014068.3670099</v>
      </c>
    </row>
    <row r="141" spans="1:8">
      <c r="A141" s="6">
        <f t="shared" si="10"/>
        <v>44774</v>
      </c>
      <c r="B141" s="5">
        <f>B140</f>
        <v>33458054.5</v>
      </c>
      <c r="C141" s="5" t="s">
        <v>252</v>
      </c>
      <c r="D141" s="5" t="str">
        <f t="shared" si="6"/>
        <v>Q3-2022</v>
      </c>
      <c r="E141" s="5">
        <f>VLOOKUP(C141,IPI!$C$6:$D$143,2,FALSE)</f>
        <v>94.2</v>
      </c>
      <c r="F141" s="5">
        <f t="shared" si="7"/>
        <v>281.6</v>
      </c>
      <c r="G141" s="5">
        <f t="shared" si="8"/>
        <v>0.334517045454545</v>
      </c>
      <c r="H141">
        <f t="shared" si="9"/>
        <v>11192289.5379972</v>
      </c>
    </row>
    <row r="142" spans="1:8">
      <c r="A142" s="6">
        <f t="shared" si="10"/>
        <v>44805</v>
      </c>
      <c r="B142" s="5">
        <f>B141</f>
        <v>33458054.5</v>
      </c>
      <c r="C142" s="5" t="s">
        <v>253</v>
      </c>
      <c r="D142" s="5" t="str">
        <f t="shared" si="6"/>
        <v>Q3-2022</v>
      </c>
      <c r="E142" s="5">
        <f>VLOOKUP(C142,IPI!$C$6:$D$143,2,FALSE)</f>
        <v>94.7</v>
      </c>
      <c r="F142" s="5">
        <f t="shared" si="7"/>
        <v>281.6</v>
      </c>
      <c r="G142" s="5">
        <f t="shared" si="8"/>
        <v>0.336292613636364</v>
      </c>
      <c r="H142">
        <f t="shared" si="9"/>
        <v>11251696.5949929</v>
      </c>
    </row>
    <row r="143" spans="1:8">
      <c r="A143" s="6">
        <f t="shared" si="10"/>
        <v>44835</v>
      </c>
      <c r="B143" s="5">
        <f>VLOOKUP(A143,Quarterly!$A$2:$B$62,2,FALSE)</f>
        <v>37036311.2</v>
      </c>
      <c r="C143" s="5" t="s">
        <v>254</v>
      </c>
      <c r="D143" s="5" t="str">
        <f t="shared" si="6"/>
        <v>Q4-2022</v>
      </c>
      <c r="E143" s="5">
        <f>VLOOKUP(C143,IPI!$C$6:$D$143,2,FALSE)</f>
        <v>99.9</v>
      </c>
      <c r="F143" s="5">
        <f t="shared" si="7"/>
        <v>315.7</v>
      </c>
      <c r="G143" s="5">
        <f t="shared" si="8"/>
        <v>0.316439657903073</v>
      </c>
      <c r="H143">
        <f t="shared" si="9"/>
        <v>11719757.6461197</v>
      </c>
    </row>
    <row r="144" spans="1:8">
      <c r="A144" s="6">
        <f t="shared" si="10"/>
        <v>44866</v>
      </c>
      <c r="B144" s="5">
        <f>B143</f>
        <v>37036311.2</v>
      </c>
      <c r="C144" s="5" t="s">
        <v>255</v>
      </c>
      <c r="D144" s="5" t="str">
        <f t="shared" si="6"/>
        <v>Q4-2022</v>
      </c>
      <c r="E144" s="5">
        <f>VLOOKUP(C144,IPI!$C$6:$D$143,2,FALSE)</f>
        <v>102</v>
      </c>
      <c r="F144" s="5">
        <f t="shared" si="7"/>
        <v>315.7</v>
      </c>
      <c r="G144" s="5">
        <f t="shared" si="8"/>
        <v>0.323091542603738</v>
      </c>
      <c r="H144">
        <f t="shared" si="9"/>
        <v>11966118.9179601</v>
      </c>
    </row>
    <row r="145" spans="1:8">
      <c r="A145" s="6">
        <f t="shared" si="10"/>
        <v>44896</v>
      </c>
      <c r="B145" s="5">
        <f>B144</f>
        <v>37036311.2</v>
      </c>
      <c r="C145" s="5" t="s">
        <v>256</v>
      </c>
      <c r="D145" s="5" t="str">
        <f t="shared" si="6"/>
        <v>Q4-2022</v>
      </c>
      <c r="E145" s="5">
        <f>VLOOKUP(C145,IPI!$C$6:$D$143,2,FALSE)</f>
        <v>113.8</v>
      </c>
      <c r="F145" s="5">
        <f t="shared" si="7"/>
        <v>315.7</v>
      </c>
      <c r="G145" s="5">
        <f t="shared" si="8"/>
        <v>0.36046879949319</v>
      </c>
      <c r="H145">
        <f t="shared" si="9"/>
        <v>13350434.6359202</v>
      </c>
    </row>
    <row r="146" spans="1:8">
      <c r="A146" s="6">
        <f t="shared" si="10"/>
        <v>44927</v>
      </c>
      <c r="B146" s="5">
        <f>VLOOKUP(A146,Quarterly!$A$2:$B$62,2,FALSE)</f>
        <v>30656214.9</v>
      </c>
      <c r="C146" s="5" t="s">
        <v>257</v>
      </c>
      <c r="D146" s="5" t="str">
        <f t="shared" si="6"/>
        <v>Q1-2023</v>
      </c>
      <c r="E146" s="5">
        <f>VLOOKUP(C146,IPI!$C$6:$D$143,2,FALSE)</f>
        <v>91</v>
      </c>
      <c r="F146" s="5">
        <f t="shared" si="7"/>
        <v>281.2</v>
      </c>
      <c r="G146" s="5">
        <f t="shared" si="8"/>
        <v>0.323613086770981</v>
      </c>
      <c r="H146">
        <f t="shared" si="9"/>
        <v>9920752.33250356</v>
      </c>
    </row>
    <row r="147" spans="1:8">
      <c r="A147" s="6">
        <f t="shared" si="10"/>
        <v>44958</v>
      </c>
      <c r="B147" s="5">
        <f>B146</f>
        <v>30656214.9</v>
      </c>
      <c r="C147" s="5" t="s">
        <v>258</v>
      </c>
      <c r="D147" s="5" t="str">
        <f t="shared" si="6"/>
        <v>Q1-2023</v>
      </c>
      <c r="E147" s="5">
        <f>VLOOKUP(C147,IPI!$C$6:$D$143,2,FALSE)</f>
        <v>89.1</v>
      </c>
      <c r="F147" s="5">
        <f t="shared" si="7"/>
        <v>281.2</v>
      </c>
      <c r="G147" s="5">
        <f t="shared" si="8"/>
        <v>0.316856330014225</v>
      </c>
      <c r="H147">
        <f t="shared" si="9"/>
        <v>9713615.74534139</v>
      </c>
    </row>
    <row r="148" spans="1:8">
      <c r="A148" s="6">
        <f t="shared" si="10"/>
        <v>44986</v>
      </c>
      <c r="B148" s="5">
        <f>B147</f>
        <v>30656214.9</v>
      </c>
      <c r="C148" s="5" t="s">
        <v>259</v>
      </c>
      <c r="D148" s="5" t="str">
        <f t="shared" si="6"/>
        <v>Q1-2023</v>
      </c>
      <c r="E148" s="5">
        <f>VLOOKUP(C148,IPI!$C$6:$D$143,2,FALSE)</f>
        <v>101.1</v>
      </c>
      <c r="F148" s="5">
        <f t="shared" si="7"/>
        <v>281.2</v>
      </c>
      <c r="G148" s="5">
        <f t="shared" si="8"/>
        <v>0.359530583214794</v>
      </c>
      <c r="H148">
        <f t="shared" si="9"/>
        <v>11021846.822155</v>
      </c>
    </row>
    <row r="149" spans="1:8">
      <c r="A149" s="6">
        <f t="shared" si="10"/>
        <v>45017</v>
      </c>
      <c r="B149" s="5">
        <f>VLOOKUP(A149,Quarterly!$A$2:$B$62,2,FALSE)</f>
        <v>33063563.5</v>
      </c>
      <c r="C149" s="5" t="s">
        <v>260</v>
      </c>
      <c r="D149" s="5" t="str">
        <f t="shared" si="6"/>
        <v>Q2-2023</v>
      </c>
      <c r="E149" s="5">
        <f>VLOOKUP(C149,IPI!$C$6:$D$143,2,FALSE)</f>
        <v>95.6</v>
      </c>
      <c r="F149" s="5">
        <f t="shared" si="7"/>
        <v>287.8</v>
      </c>
      <c r="G149" s="5">
        <f t="shared" si="8"/>
        <v>0.332175121612231</v>
      </c>
      <c r="H149">
        <f t="shared" si="9"/>
        <v>10982893.2265462</v>
      </c>
    </row>
    <row r="150" spans="1:8">
      <c r="A150" s="6">
        <f t="shared" si="10"/>
        <v>45047</v>
      </c>
      <c r="B150" s="5">
        <f>B149</f>
        <v>33063563.5</v>
      </c>
      <c r="C150" s="5" t="s">
        <v>261</v>
      </c>
      <c r="D150" s="5" t="str">
        <f t="shared" si="6"/>
        <v>Q2-2023</v>
      </c>
      <c r="E150" s="5">
        <f>VLOOKUP(C150,IPI!$C$6:$D$143,2,FALSE)</f>
        <v>95.6</v>
      </c>
      <c r="F150" s="5">
        <f t="shared" si="7"/>
        <v>287.8</v>
      </c>
      <c r="G150" s="5">
        <f t="shared" si="8"/>
        <v>0.332175121612231</v>
      </c>
      <c r="H150">
        <f t="shared" si="9"/>
        <v>10982893.2265462</v>
      </c>
    </row>
    <row r="151" spans="1:8">
      <c r="A151" s="6">
        <f t="shared" si="10"/>
        <v>45078</v>
      </c>
      <c r="B151" s="5">
        <f>B150</f>
        <v>33063563.5</v>
      </c>
      <c r="C151" s="5" t="s">
        <v>262</v>
      </c>
      <c r="D151" s="5" t="str">
        <f t="shared" si="6"/>
        <v>Q2-2023</v>
      </c>
      <c r="E151" s="5">
        <f>VLOOKUP(C151,IPI!$C$6:$D$143,2,FALSE)</f>
        <v>96.6</v>
      </c>
      <c r="F151" s="5">
        <f t="shared" si="7"/>
        <v>287.8</v>
      </c>
      <c r="G151" s="5">
        <f t="shared" si="8"/>
        <v>0.335649756775539</v>
      </c>
      <c r="H151">
        <f t="shared" si="9"/>
        <v>11097777.0469076</v>
      </c>
    </row>
    <row r="152" spans="1:8">
      <c r="A152" s="6">
        <f t="shared" si="10"/>
        <v>45108</v>
      </c>
      <c r="B152" s="5">
        <f>VLOOKUP(A152,Quarterly!$A$2:$B$62,2,FALSE)</f>
        <v>35514598.3</v>
      </c>
      <c r="C152" s="5" t="s">
        <v>263</v>
      </c>
      <c r="D152" s="5" t="str">
        <f t="shared" si="6"/>
        <v>Q3-2023</v>
      </c>
      <c r="E152" s="5">
        <f>VLOOKUP(C152,IPI!$C$6:$D$143,2,FALSE)</f>
        <v>98.2</v>
      </c>
      <c r="F152" s="5">
        <f t="shared" si="7"/>
        <v>299.7</v>
      </c>
      <c r="G152" s="5">
        <f t="shared" si="8"/>
        <v>0.327660994327661</v>
      </c>
      <c r="H152">
        <f t="shared" si="9"/>
        <v>11636748.5921255</v>
      </c>
    </row>
    <row r="153" spans="1:8">
      <c r="A153" s="6">
        <f t="shared" si="10"/>
        <v>45139</v>
      </c>
      <c r="B153" s="5">
        <f>B152</f>
        <v>35514598.3</v>
      </c>
      <c r="C153" s="5" t="s">
        <v>264</v>
      </c>
      <c r="D153" s="5" t="str">
        <f t="shared" si="6"/>
        <v>Q3-2023</v>
      </c>
      <c r="E153" s="5">
        <f>VLOOKUP(C153,IPI!$C$6:$D$143,2,FALSE)</f>
        <v>100.4</v>
      </c>
      <c r="F153" s="5">
        <f t="shared" si="7"/>
        <v>299.7</v>
      </c>
      <c r="G153" s="5">
        <f t="shared" si="8"/>
        <v>0.335001668335002</v>
      </c>
      <c r="H153">
        <f t="shared" si="9"/>
        <v>11897449.6807474</v>
      </c>
    </row>
    <row r="154" spans="1:8">
      <c r="A154" s="6">
        <f t="shared" si="10"/>
        <v>45170</v>
      </c>
      <c r="B154" s="5">
        <f>B153</f>
        <v>35514598.3</v>
      </c>
      <c r="C154" s="5" t="s">
        <v>265</v>
      </c>
      <c r="D154" s="5" t="str">
        <f t="shared" si="6"/>
        <v>Q3-2023</v>
      </c>
      <c r="E154" s="5">
        <f>VLOOKUP(C154,IPI!$C$6:$D$143,2,FALSE)</f>
        <v>101.1</v>
      </c>
      <c r="F154" s="5">
        <f t="shared" si="7"/>
        <v>299.7</v>
      </c>
      <c r="G154" s="5">
        <f t="shared" si="8"/>
        <v>0.337337337337337</v>
      </c>
      <c r="H154">
        <f t="shared" si="9"/>
        <v>11980400.0271271</v>
      </c>
    </row>
    <row r="155" spans="1:8">
      <c r="A155" s="6">
        <f t="shared" si="10"/>
        <v>45200</v>
      </c>
      <c r="B155" s="5">
        <f>VLOOKUP(A155,Quarterly!$A$2:$B$62,2,FALSE)</f>
        <v>38959456.4</v>
      </c>
      <c r="C155" s="5" t="s">
        <v>266</v>
      </c>
      <c r="D155" s="5" t="str">
        <f t="shared" si="6"/>
        <v>Q4-2023</v>
      </c>
      <c r="E155" s="5">
        <f>VLOOKUP(C155,IPI!$C$6:$D$143,2,FALSE)</f>
        <v>106.1</v>
      </c>
      <c r="F155" s="5">
        <f t="shared" si="7"/>
        <v>331.4</v>
      </c>
      <c r="G155" s="5">
        <f t="shared" si="8"/>
        <v>0.320156910078455</v>
      </c>
      <c r="H155">
        <f t="shared" si="9"/>
        <v>12473139.1793603</v>
      </c>
    </row>
    <row r="156" spans="1:8">
      <c r="A156" s="6">
        <f t="shared" si="10"/>
        <v>45231</v>
      </c>
      <c r="B156" s="5">
        <f>B155</f>
        <v>38959456.4</v>
      </c>
      <c r="C156" s="5" t="s">
        <v>267</v>
      </c>
      <c r="D156" s="5" t="str">
        <f t="shared" si="6"/>
        <v>Q4-2023</v>
      </c>
      <c r="E156" s="5">
        <f>VLOOKUP(C156,IPI!$C$6:$D$143,2,FALSE)</f>
        <v>107.3</v>
      </c>
      <c r="F156" s="5">
        <f t="shared" si="7"/>
        <v>331.4</v>
      </c>
      <c r="G156" s="5">
        <f t="shared" si="8"/>
        <v>0.323777911888956</v>
      </c>
      <c r="H156">
        <f t="shared" si="9"/>
        <v>12614211.4415208</v>
      </c>
    </row>
    <row r="157" spans="1:8">
      <c r="A157" s="6">
        <f t="shared" si="10"/>
        <v>45261</v>
      </c>
      <c r="B157" s="5">
        <f>B156</f>
        <v>38959456.4</v>
      </c>
      <c r="C157" s="5" t="s">
        <v>268</v>
      </c>
      <c r="D157" s="5" t="str">
        <f t="shared" si="6"/>
        <v>Q4-2023</v>
      </c>
      <c r="E157" s="5">
        <f>VLOOKUP(C157,IPI!$C$6:$D$143,2,FALSE)</f>
        <v>118</v>
      </c>
      <c r="F157" s="5">
        <f t="shared" si="7"/>
        <v>331.4</v>
      </c>
      <c r="G157" s="5">
        <f t="shared" si="8"/>
        <v>0.356065178032589</v>
      </c>
      <c r="H157">
        <f t="shared" si="9"/>
        <v>13872105.7791189</v>
      </c>
    </row>
    <row r="158" spans="1:8">
      <c r="A158" s="6">
        <f t="shared" si="10"/>
        <v>45292</v>
      </c>
      <c r="B158" s="5">
        <f>VLOOKUP(A158,Quarterly!$A$2:$B$62,2,FALSE)</f>
        <v>32462099</v>
      </c>
      <c r="C158" s="5" t="s">
        <v>269</v>
      </c>
      <c r="D158" s="5" t="str">
        <f t="shared" si="6"/>
        <v>Q1-2024</v>
      </c>
      <c r="E158" s="5">
        <f>VLOOKUP(C158,IPI!$C$6:$D$143,2,FALSE)</f>
        <v>95.8</v>
      </c>
      <c r="F158" s="5">
        <f t="shared" si="7"/>
        <v>298.4</v>
      </c>
      <c r="G158" s="5">
        <f t="shared" si="8"/>
        <v>0.321045576407507</v>
      </c>
      <c r="H158">
        <f t="shared" si="9"/>
        <v>10421813.2848525</v>
      </c>
    </row>
    <row r="159" spans="1:8">
      <c r="A159" s="6">
        <f t="shared" si="10"/>
        <v>45323</v>
      </c>
      <c r="B159" s="5">
        <f>B158</f>
        <v>32462099</v>
      </c>
      <c r="C159" s="5" t="s">
        <v>270</v>
      </c>
      <c r="D159" s="5" t="str">
        <f t="shared" si="6"/>
        <v>Q1-2024</v>
      </c>
      <c r="E159" s="5">
        <f>VLOOKUP(C159,IPI!$C$6:$D$143,2,FALSE)</f>
        <v>97.1</v>
      </c>
      <c r="F159" s="5">
        <f t="shared" si="7"/>
        <v>298.4</v>
      </c>
      <c r="G159" s="5">
        <f t="shared" si="8"/>
        <v>0.325402144772118</v>
      </c>
      <c r="H159">
        <f t="shared" si="9"/>
        <v>10563236.6384048</v>
      </c>
    </row>
    <row r="160" spans="1:8">
      <c r="A160" s="6">
        <f t="shared" si="10"/>
        <v>45352</v>
      </c>
      <c r="B160" s="5">
        <f>B159</f>
        <v>32462099</v>
      </c>
      <c r="C160" s="5" t="s">
        <v>271</v>
      </c>
      <c r="D160" s="5" t="str">
        <f t="shared" si="6"/>
        <v>Q1-2024</v>
      </c>
      <c r="E160" s="5">
        <f>VLOOKUP(C160,IPI!$C$6:$D$143,2,FALSE)</f>
        <v>105.5</v>
      </c>
      <c r="F160" s="5">
        <f t="shared" si="7"/>
        <v>298.4</v>
      </c>
      <c r="G160" s="5">
        <f t="shared" si="8"/>
        <v>0.353552278820375</v>
      </c>
      <c r="H160">
        <f t="shared" si="9"/>
        <v>11477049.0767426</v>
      </c>
    </row>
    <row r="161" spans="1:8">
      <c r="A161" s="6">
        <f t="shared" si="10"/>
        <v>45383</v>
      </c>
      <c r="B161" s="5">
        <f>VLOOKUP(A161,Quarterly!$A$2:$B$62,2,FALSE)</f>
        <v>34682481.5</v>
      </c>
      <c r="C161" s="5" t="s">
        <v>272</v>
      </c>
      <c r="D161" s="5" t="str">
        <f t="shared" si="6"/>
        <v>Q2-2024</v>
      </c>
      <c r="E161" s="5">
        <f>VLOOKUP(C161,IPI!$C$6:$D$143,2,FALSE)</f>
        <v>100.5</v>
      </c>
      <c r="F161" s="5">
        <f t="shared" si="7"/>
        <v>301.3</v>
      </c>
      <c r="G161" s="5">
        <f t="shared" si="8"/>
        <v>0.333554596747428</v>
      </c>
      <c r="H161">
        <f t="shared" si="9"/>
        <v>11568501.1309326</v>
      </c>
    </row>
    <row r="162" spans="1:8">
      <c r="A162" s="6">
        <f t="shared" si="10"/>
        <v>45413</v>
      </c>
      <c r="B162" s="5">
        <f>B161</f>
        <v>34682481.5</v>
      </c>
      <c r="C162" s="5" t="s">
        <v>273</v>
      </c>
      <c r="D162" s="5" t="str">
        <f t="shared" si="6"/>
        <v>Q2-2024</v>
      </c>
      <c r="E162" s="5">
        <f>VLOOKUP(C162,IPI!$C$6:$D$143,2,FALSE)</f>
        <v>101.6</v>
      </c>
      <c r="F162" s="5">
        <f t="shared" si="7"/>
        <v>301.3</v>
      </c>
      <c r="G162" s="5">
        <f t="shared" si="8"/>
        <v>0.337205443079987</v>
      </c>
      <c r="H162">
        <f t="shared" si="9"/>
        <v>11695121.5413209</v>
      </c>
    </row>
    <row r="163" spans="1:8">
      <c r="A163" s="6">
        <f t="shared" si="10"/>
        <v>45444</v>
      </c>
      <c r="B163" s="5">
        <f>B162</f>
        <v>34682481.5</v>
      </c>
      <c r="C163" s="5" t="s">
        <v>274</v>
      </c>
      <c r="D163" s="5" t="str">
        <f t="shared" si="6"/>
        <v>Q2-2024</v>
      </c>
      <c r="E163" s="5">
        <f>VLOOKUP(C163,IPI!$C$6:$D$143,2,FALSE)</f>
        <v>99.2</v>
      </c>
      <c r="F163" s="5">
        <f t="shared" si="7"/>
        <v>301.3</v>
      </c>
      <c r="G163" s="5">
        <f t="shared" si="8"/>
        <v>0.329239960172585</v>
      </c>
      <c r="H163">
        <f t="shared" si="9"/>
        <v>11418858.8277464</v>
      </c>
    </row>
    <row r="164" spans="1:8">
      <c r="A164" s="6">
        <f t="shared" si="10"/>
        <v>45474</v>
      </c>
      <c r="B164" s="5">
        <f>VLOOKUP(A164,Quarterly!$A$2:$B$62,2,FALSE)</f>
        <v>36861828.2</v>
      </c>
      <c r="C164" s="5" t="s">
        <v>275</v>
      </c>
      <c r="D164" s="5" t="str">
        <f t="shared" si="6"/>
        <v>Q3-2024</v>
      </c>
      <c r="E164" s="5">
        <f>VLOOKUP(C164,IPI!$C$6:$D$143,2,FALSE)</f>
        <v>102</v>
      </c>
      <c r="F164" s="5">
        <f t="shared" si="7"/>
        <v>309.4</v>
      </c>
      <c r="G164" s="5">
        <f t="shared" si="8"/>
        <v>0.32967032967033</v>
      </c>
      <c r="H164">
        <f t="shared" si="9"/>
        <v>12152251.0549451</v>
      </c>
    </row>
    <row r="165" spans="1:8">
      <c r="A165" s="6">
        <f t="shared" si="10"/>
        <v>45505</v>
      </c>
      <c r="B165" s="5">
        <f>B164</f>
        <v>36861828.2</v>
      </c>
      <c r="C165" s="5" t="s">
        <v>276</v>
      </c>
      <c r="D165" s="5" t="str">
        <f t="shared" si="6"/>
        <v>Q3-2024</v>
      </c>
      <c r="E165" s="5">
        <f>VLOOKUP(C165,IPI!$C$6:$D$143,2,FALSE)</f>
        <v>103.4</v>
      </c>
      <c r="F165" s="5">
        <f t="shared" si="7"/>
        <v>309.4</v>
      </c>
      <c r="G165" s="5">
        <f t="shared" si="8"/>
        <v>0.334195216548158</v>
      </c>
      <c r="H165">
        <f t="shared" si="9"/>
        <v>12319046.65766</v>
      </c>
    </row>
    <row r="166" spans="1:8">
      <c r="A166" s="6">
        <f t="shared" si="10"/>
        <v>45536</v>
      </c>
      <c r="B166" s="5">
        <f>B165</f>
        <v>36861828.2</v>
      </c>
      <c r="C166" s="5" t="s">
        <v>277</v>
      </c>
      <c r="D166" s="5" t="str">
        <f t="shared" si="6"/>
        <v>Q3-2024</v>
      </c>
      <c r="E166" s="5">
        <f>VLOOKUP(C166,IPI!$C$6:$D$143,2,FALSE)</f>
        <v>104</v>
      </c>
      <c r="F166" s="5">
        <f t="shared" si="7"/>
        <v>309.4</v>
      </c>
      <c r="G166" s="5">
        <f t="shared" si="8"/>
        <v>0.336134453781513</v>
      </c>
      <c r="H166">
        <f t="shared" si="9"/>
        <v>12390530.487395</v>
      </c>
    </row>
    <row r="167" spans="1:8">
      <c r="A167" s="6">
        <f t="shared" si="10"/>
        <v>45566</v>
      </c>
      <c r="B167" s="5">
        <f>VLOOKUP(A167,Quarterly!$A$2:$B$62,2,FALSE)</f>
        <v>40988882.2</v>
      </c>
      <c r="C167" s="5" t="s">
        <v>278</v>
      </c>
      <c r="D167" s="5" t="str">
        <f t="shared" si="6"/>
        <v>Q4-2024</v>
      </c>
      <c r="E167" s="5">
        <f>VLOOKUP(C167,IPI!$C$6:$D$143,2,FALSE)</f>
        <v>111.8</v>
      </c>
      <c r="F167" s="5">
        <f t="shared" si="7"/>
        <v>351.3</v>
      </c>
      <c r="G167" s="5">
        <f t="shared" si="8"/>
        <v>0.318246512951893</v>
      </c>
      <c r="H167">
        <f t="shared" si="9"/>
        <v>13044568.8299459</v>
      </c>
    </row>
    <row r="168" spans="1:8">
      <c r="A168" s="6">
        <f t="shared" si="10"/>
        <v>45597</v>
      </c>
      <c r="B168" s="5">
        <f>B167</f>
        <v>40988882.2</v>
      </c>
      <c r="C168" s="5" t="s">
        <v>279</v>
      </c>
      <c r="D168" s="5" t="str">
        <f t="shared" si="6"/>
        <v>Q4-2024</v>
      </c>
      <c r="E168" s="5">
        <f>VLOOKUP(C168,IPI!$C$6:$D$143,2,FALSE)</f>
        <v>111.3</v>
      </c>
      <c r="F168" s="5">
        <f t="shared" si="7"/>
        <v>351.3</v>
      </c>
      <c r="G168" s="5">
        <f t="shared" si="8"/>
        <v>0.316823228010248</v>
      </c>
      <c r="H168">
        <f t="shared" si="9"/>
        <v>12986229.9711358</v>
      </c>
    </row>
    <row r="169" spans="1:8">
      <c r="A169" s="6">
        <f t="shared" si="10"/>
        <v>45627</v>
      </c>
      <c r="B169" s="5">
        <f>B168</f>
        <v>40988882.2</v>
      </c>
      <c r="C169" s="5" t="s">
        <v>280</v>
      </c>
      <c r="D169" s="5" t="str">
        <f t="shared" si="6"/>
        <v>Q4-2024</v>
      </c>
      <c r="E169" s="5">
        <f>VLOOKUP(C169,IPI!$C$6:$D$143,2,FALSE)</f>
        <v>128.2</v>
      </c>
      <c r="F169" s="5">
        <f t="shared" si="7"/>
        <v>351.3</v>
      </c>
      <c r="G169" s="5">
        <f t="shared" si="8"/>
        <v>0.364930259037859</v>
      </c>
      <c r="H169">
        <f t="shared" si="9"/>
        <v>14958083.3989183</v>
      </c>
    </row>
    <row r="170" spans="1:8">
      <c r="A170" s="6">
        <f t="shared" si="10"/>
        <v>45658</v>
      </c>
      <c r="B170" s="5">
        <f>VLOOKUP(A170,Quarterly!$A$2:$B$62,2,FALSE)</f>
        <v>32887153</v>
      </c>
      <c r="C170" s="5" t="s">
        <v>281</v>
      </c>
      <c r="D170" s="5" t="str">
        <f t="shared" si="6"/>
        <v>Q1-2025</v>
      </c>
      <c r="E170" s="5">
        <f>VLOOKUP(C170,IPI!$C$6:$D$143,2,FALSE)</f>
        <v>96.7</v>
      </c>
      <c r="F170" s="5">
        <f t="shared" si="7"/>
        <v>298.4</v>
      </c>
      <c r="G170" s="5">
        <f t="shared" si="8"/>
        <v>0.324061662198391</v>
      </c>
      <c r="H170">
        <f t="shared" si="9"/>
        <v>10657465.4661528</v>
      </c>
    </row>
    <row r="171" spans="1:8">
      <c r="A171" s="6">
        <f t="shared" si="10"/>
        <v>45689</v>
      </c>
      <c r="B171" s="5">
        <f>B170</f>
        <v>32887153</v>
      </c>
      <c r="C171" s="5" t="s">
        <v>282</v>
      </c>
      <c r="D171" s="5" t="str">
        <f t="shared" si="6"/>
        <v>Q1-2025</v>
      </c>
      <c r="E171" s="5">
        <f>VLOOKUP(C171,IPI!$C$6:$D$143,2,FALSE)</f>
        <v>96.1</v>
      </c>
      <c r="F171" s="5">
        <f t="shared" si="7"/>
        <v>298.4</v>
      </c>
      <c r="G171" s="5">
        <f t="shared" si="8"/>
        <v>0.322050938337802</v>
      </c>
      <c r="H171">
        <f t="shared" si="9"/>
        <v>10591338.4829088</v>
      </c>
    </row>
    <row r="172" spans="1:8">
      <c r="A172" s="6">
        <f t="shared" si="10"/>
        <v>45717</v>
      </c>
      <c r="B172" s="5">
        <f>B171</f>
        <v>32887153</v>
      </c>
      <c r="C172" s="5" t="s">
        <v>283</v>
      </c>
      <c r="D172" s="5" t="str">
        <f t="shared" si="6"/>
        <v>Q1-2025</v>
      </c>
      <c r="E172" s="5">
        <f>VLOOKUP(C172,IPI!$C$6:$D$143,2,FALSE)</f>
        <v>105.6</v>
      </c>
      <c r="F172" s="5">
        <f t="shared" si="7"/>
        <v>298.4</v>
      </c>
      <c r="G172" s="5">
        <f t="shared" si="8"/>
        <v>0.353887399463807</v>
      </c>
      <c r="H172">
        <f t="shared" si="9"/>
        <v>11638349.0509383</v>
      </c>
    </row>
    <row r="173" spans="1:8">
      <c r="A173" s="6">
        <f t="shared" si="10"/>
        <v>45748</v>
      </c>
      <c r="B173" s="5">
        <f>VLOOKUP(A173,Quarterly!$A$2:$B$62,2,FALSE)</f>
        <v>35042668.4</v>
      </c>
      <c r="C173" s="5" t="s">
        <v>284</v>
      </c>
      <c r="D173" s="5" t="str">
        <f t="shared" si="6"/>
        <v>Q2-2025</v>
      </c>
      <c r="E173" s="5">
        <f>VLOOKUP(C173,IPI!$C$6:$D$143,2,FALSE)</f>
        <v>101.8</v>
      </c>
      <c r="F173" s="5">
        <f t="shared" si="7"/>
        <v>305.8</v>
      </c>
      <c r="G173" s="5">
        <f t="shared" si="8"/>
        <v>0.332897318508829</v>
      </c>
      <c r="H173">
        <f t="shared" si="9"/>
        <v>11665610.3437541</v>
      </c>
    </row>
    <row r="174" spans="1:8">
      <c r="A174" s="6">
        <f t="shared" si="10"/>
        <v>45778</v>
      </c>
      <c r="B174" s="5">
        <f>B173</f>
        <v>35042668.4</v>
      </c>
      <c r="C174" s="5" t="s">
        <v>285</v>
      </c>
      <c r="D174" s="5" t="str">
        <f t="shared" si="6"/>
        <v>Q2-2025</v>
      </c>
      <c r="E174" s="5">
        <f>VLOOKUP(C174,IPI!$C$6:$D$143,2,FALSE)</f>
        <v>102.7</v>
      </c>
      <c r="F174" s="5">
        <f t="shared" si="7"/>
        <v>305.8</v>
      </c>
      <c r="G174" s="5">
        <f t="shared" si="8"/>
        <v>0.335840418574232</v>
      </c>
      <c r="H174">
        <f t="shared" si="9"/>
        <v>11768744.423414</v>
      </c>
    </row>
    <row r="175" spans="1:8">
      <c r="A175" s="6">
        <f t="shared" si="10"/>
        <v>45809</v>
      </c>
      <c r="B175" s="5">
        <f>B174</f>
        <v>35042668.4</v>
      </c>
      <c r="C175" s="5" t="s">
        <v>286</v>
      </c>
      <c r="D175" s="5" t="str">
        <f t="shared" si="6"/>
        <v>Q2-2025</v>
      </c>
      <c r="E175" s="5">
        <f>VLOOKUP(C175,IPI!$C$6:$D$143,2,FALSE)</f>
        <v>101.3</v>
      </c>
      <c r="F175" s="5">
        <f t="shared" si="7"/>
        <v>305.8</v>
      </c>
      <c r="G175" s="5">
        <f t="shared" si="8"/>
        <v>0.331262262916939</v>
      </c>
      <c r="H175">
        <f t="shared" si="9"/>
        <v>11608313.6328319</v>
      </c>
    </row>
    <row r="176" spans="1:8">
      <c r="A176" s="6">
        <f t="shared" si="10"/>
        <v>45839</v>
      </c>
      <c r="B176" s="5">
        <f>VLOOKUP(A176,Quarterly!$A$2:$B$62,2,FALSE)</f>
        <v>37138301</v>
      </c>
      <c r="C176" s="5" t="s">
        <v>287</v>
      </c>
      <c r="D176" s="5" t="str">
        <f t="shared" si="6"/>
        <v>Q3-2025</v>
      </c>
      <c r="E176" s="5">
        <f>VLOOKUP(C176,IPI!$C$6:$D$143,2,FALSE)</f>
        <v>103.5</v>
      </c>
      <c r="F176" s="5">
        <f t="shared" si="7"/>
        <v>313.3</v>
      </c>
      <c r="G176" s="5">
        <f t="shared" si="8"/>
        <v>0.330354293009895</v>
      </c>
      <c r="H176">
        <f t="shared" si="9"/>
        <v>12268797.1704437</v>
      </c>
    </row>
    <row r="177" spans="1:8">
      <c r="A177" s="6">
        <f t="shared" si="10"/>
        <v>45870</v>
      </c>
      <c r="B177" s="5">
        <f>B176</f>
        <v>37138301</v>
      </c>
      <c r="C177" s="5" t="s">
        <v>288</v>
      </c>
      <c r="D177" s="5" t="str">
        <f t="shared" si="6"/>
        <v>Q3-2025</v>
      </c>
      <c r="E177" s="5">
        <f>VLOOKUP(C177,IPI!$C$6:$D$143,2,FALSE)</f>
        <v>104.5</v>
      </c>
      <c r="F177" s="5">
        <f t="shared" si="7"/>
        <v>313.3</v>
      </c>
      <c r="G177" s="5">
        <f t="shared" si="8"/>
        <v>0.333546121927865</v>
      </c>
      <c r="H177">
        <f t="shared" si="9"/>
        <v>12387336.2735397</v>
      </c>
    </row>
    <row r="178" spans="1:8">
      <c r="A178" s="6">
        <f t="shared" si="10"/>
        <v>45901</v>
      </c>
      <c r="B178" s="5">
        <f t="shared" ref="B178:B184" si="11">B177</f>
        <v>37138301</v>
      </c>
      <c r="C178" s="5" t="s">
        <v>289</v>
      </c>
      <c r="D178" s="5" t="str">
        <f t="shared" ref="D178:D184" si="12">"Q"&amp;ROUNDUP(MONTH(A178)/3,0)&amp;TEXT(A178,"-yyyy")</f>
        <v>Q3-2025</v>
      </c>
      <c r="E178" s="5">
        <f>VLOOKUP(C178,IPI!$C$6:$D$143,2,FALSE)</f>
        <v>105.3</v>
      </c>
      <c r="F178" s="5">
        <f t="shared" ref="F178:F182" si="13">SUMIFS($E$50:$E$181,$D$50:$D$181,D178)</f>
        <v>313.3</v>
      </c>
      <c r="G178" s="5">
        <f t="shared" ref="G178:G184" si="14">E178/F178</f>
        <v>0.336099585062241</v>
      </c>
      <c r="H178">
        <f t="shared" ref="H178:H184" si="15">G178*B178</f>
        <v>12482167.5560166</v>
      </c>
    </row>
    <row r="179" spans="1:8">
      <c r="A179" s="6">
        <f t="shared" si="10"/>
        <v>45931</v>
      </c>
      <c r="B179" s="5">
        <f>VLOOKUP(A179,Quarterly!$A$2:$B$62,2,FALSE)</f>
        <v>41378827.4</v>
      </c>
      <c r="C179" s="5" t="s">
        <v>290</v>
      </c>
      <c r="D179" s="5" t="str">
        <f t="shared" si="12"/>
        <v>Q4-2025</v>
      </c>
      <c r="E179" s="5">
        <f>VLOOKUP(C179,IPI!$C$6:$D$143,2,FALSE)</f>
        <v>114.6</v>
      </c>
      <c r="F179" s="5">
        <f t="shared" si="13"/>
        <v>359.2</v>
      </c>
      <c r="G179" s="5">
        <f t="shared" si="14"/>
        <v>0.319042316258352</v>
      </c>
      <c r="H179">
        <f t="shared" si="15"/>
        <v>13201596.9377506</v>
      </c>
    </row>
    <row r="180" spans="1:8">
      <c r="A180" s="6">
        <f t="shared" si="10"/>
        <v>45962</v>
      </c>
      <c r="B180" s="5">
        <f t="shared" si="11"/>
        <v>41378827.4</v>
      </c>
      <c r="C180" s="5" t="s">
        <v>291</v>
      </c>
      <c r="D180" s="5" t="str">
        <f t="shared" si="12"/>
        <v>Q4-2025</v>
      </c>
      <c r="E180" s="5">
        <f>VLOOKUP(C180,IPI!$C$6:$D$143,2,FALSE)</f>
        <v>111.7</v>
      </c>
      <c r="F180" s="5">
        <f t="shared" si="13"/>
        <v>359.2</v>
      </c>
      <c r="G180" s="5">
        <f t="shared" si="14"/>
        <v>0.310968819599109</v>
      </c>
      <c r="H180">
        <f t="shared" si="15"/>
        <v>12867525.1129733</v>
      </c>
    </row>
    <row r="181" spans="1:8">
      <c r="A181" s="6">
        <f t="shared" si="10"/>
        <v>45992</v>
      </c>
      <c r="B181" s="5">
        <f t="shared" si="11"/>
        <v>41378827.4</v>
      </c>
      <c r="C181" s="5" t="s">
        <v>292</v>
      </c>
      <c r="D181" s="5" t="str">
        <f t="shared" si="12"/>
        <v>Q4-2025</v>
      </c>
      <c r="E181" s="5">
        <f>VLOOKUP(C181,IPI!$C$6:$D$143,2,FALSE)</f>
        <v>132.9</v>
      </c>
      <c r="F181" s="5">
        <f t="shared" ref="F181:F184" si="16">SUMIFS($E$50:$E$184,$D$50:$D$184,D181)</f>
        <v>359.2</v>
      </c>
      <c r="G181" s="5">
        <f t="shared" si="14"/>
        <v>0.369988864142539</v>
      </c>
      <c r="H181">
        <f t="shared" si="15"/>
        <v>15309705.3492762</v>
      </c>
    </row>
    <row r="182" spans="1:8">
      <c r="A182" s="6">
        <f t="shared" si="10"/>
        <v>46023</v>
      </c>
      <c r="B182" s="5">
        <f>VLOOKUP(A182,Quarterly!$A$2:$B$62,2,FALSE)</f>
        <v>32837291.4</v>
      </c>
      <c r="C182" s="5" t="s">
        <v>293</v>
      </c>
      <c r="D182" s="5" t="str">
        <f t="shared" si="12"/>
        <v>Q1-2026</v>
      </c>
      <c r="E182" s="5">
        <f>VLOOKUP(C182,IPI!$C$6:$D$143,2,FALSE)</f>
        <v>101.4</v>
      </c>
      <c r="F182" s="5">
        <f t="shared" si="16"/>
        <v>314.2</v>
      </c>
      <c r="G182" s="5">
        <f t="shared" si="14"/>
        <v>0.322724379376193</v>
      </c>
      <c r="H182">
        <f t="shared" si="15"/>
        <v>10597394.4874602</v>
      </c>
    </row>
    <row r="183" spans="1:8">
      <c r="A183" s="6">
        <f t="shared" si="10"/>
        <v>46054</v>
      </c>
      <c r="B183" s="5">
        <f t="shared" si="11"/>
        <v>32837291.4</v>
      </c>
      <c r="C183" s="5" t="s">
        <v>294</v>
      </c>
      <c r="D183" s="5" t="str">
        <f t="shared" si="12"/>
        <v>Q1-2026</v>
      </c>
      <c r="E183" s="5">
        <f>VLOOKUP(C183,IPI!$C$6:$D$143,2,FALSE)</f>
        <v>100.2</v>
      </c>
      <c r="F183" s="5">
        <f t="shared" si="16"/>
        <v>314.2</v>
      </c>
      <c r="G183" s="5">
        <f t="shared" si="14"/>
        <v>0.318905155951623</v>
      </c>
      <c r="H183">
        <f t="shared" si="15"/>
        <v>10471981.5349459</v>
      </c>
    </row>
    <row r="184" spans="1:8">
      <c r="A184" s="6">
        <f t="shared" si="10"/>
        <v>46082</v>
      </c>
      <c r="B184" s="5">
        <f t="shared" si="11"/>
        <v>32837291.4</v>
      </c>
      <c r="C184" s="5" t="s">
        <v>295</v>
      </c>
      <c r="D184" s="5" t="str">
        <f t="shared" si="12"/>
        <v>Q1-2026</v>
      </c>
      <c r="E184" s="5">
        <f>VLOOKUP(C184,IPI!$C$6:$D$143,2,FALSE)</f>
        <v>112.6</v>
      </c>
      <c r="F184" s="5">
        <f t="shared" si="16"/>
        <v>314.2</v>
      </c>
      <c r="G184" s="5">
        <f t="shared" si="14"/>
        <v>0.358370464672183</v>
      </c>
      <c r="H184">
        <f t="shared" si="15"/>
        <v>11767915.3775939</v>
      </c>
    </row>
    <row r="185" spans="1:8">
      <c r="C185" s="5"/>
      <c r="D185" s="5"/>
    </row>
    <row r="186" spans="1:8">
      <c r="C186" s="5"/>
      <c r="D186" s="5"/>
    </row>
  </sheetData>
  <autoFilter xmlns:etc="http://www.wps.cn/officeDocument/2017/etCustomData" ref="A1:H184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6"/>
  <sheetViews>
    <sheetView tabSelected="1" workbookViewId="0">
      <selection activeCell="B2" sqref="B2"/>
    </sheetView>
  </sheetViews>
  <sheetFormatPr defaultColWidth="9" defaultRowHeight="16.8" outlineLevelCol="1"/>
  <cols>
    <col min="1" max="1" width="11" style="1" customWidth="1"/>
    <col min="2" max="2" width="23.1875" style="1" customWidth="1"/>
  </cols>
  <sheetData>
    <row r="1" spans="1:2">
      <c r="A1" s="1" t="s">
        <v>296</v>
      </c>
      <c r="B1" s="1" t="s">
        <v>297</v>
      </c>
    </row>
    <row r="2" spans="1:2">
      <c r="A2" s="2" t="s">
        <v>298</v>
      </c>
      <c r="B2" s="3">
        <f>Sheet1!H50</f>
        <v>9100976.13997424</v>
      </c>
    </row>
    <row r="3" spans="1:2">
      <c r="A3" s="2" t="s">
        <v>299</v>
      </c>
      <c r="B3" s="3">
        <f>Sheet1!H51</f>
        <v>8838906.14641477</v>
      </c>
    </row>
    <row r="4" spans="1:2">
      <c r="A4" s="2" t="s">
        <v>300</v>
      </c>
      <c r="B4" s="3">
        <f>Sheet1!H52</f>
        <v>9803800.21361099</v>
      </c>
    </row>
    <row r="5" spans="1:2">
      <c r="A5" s="2" t="s">
        <v>301</v>
      </c>
      <c r="B5" s="3">
        <f>Sheet1!H53</f>
        <v>9858828.14787053</v>
      </c>
    </row>
    <row r="6" spans="1:2">
      <c r="A6" s="2" t="s">
        <v>302</v>
      </c>
      <c r="B6" s="3">
        <f>Sheet1!H54</f>
        <v>9758227.86064736</v>
      </c>
    </row>
    <row r="7" spans="1:2">
      <c r="A7" s="2" t="s">
        <v>303</v>
      </c>
      <c r="B7" s="3">
        <f>Sheet1!H55</f>
        <v>9909128.29148211</v>
      </c>
    </row>
    <row r="8" spans="1:2">
      <c r="A8" s="2" t="s">
        <v>304</v>
      </c>
      <c r="B8" s="3">
        <f>Sheet1!H56</f>
        <v>10361672.7211618</v>
      </c>
    </row>
    <row r="9" spans="1:2">
      <c r="A9" s="2" t="s">
        <v>305</v>
      </c>
      <c r="B9" s="3">
        <f>Sheet1!H57</f>
        <v>10413610.9302905</v>
      </c>
    </row>
    <row r="10" spans="1:2">
      <c r="A10" s="2" t="s">
        <v>306</v>
      </c>
      <c r="B10" s="3">
        <f>Sheet1!H58</f>
        <v>10517487.3485477</v>
      </c>
    </row>
    <row r="11" spans="1:2">
      <c r="A11" s="2" t="s">
        <v>307</v>
      </c>
      <c r="B11" s="3">
        <f>Sheet1!H59</f>
        <v>10889518.7112385</v>
      </c>
    </row>
    <row r="12" spans="1:2">
      <c r="A12" s="2" t="s">
        <v>308</v>
      </c>
      <c r="B12" s="3">
        <f>Sheet1!H60</f>
        <v>10825688.0036697</v>
      </c>
    </row>
    <row r="13" spans="1:2">
      <c r="A13" s="2" t="s">
        <v>309</v>
      </c>
      <c r="B13" s="3">
        <f>Sheet1!H61</f>
        <v>11681019.4850917</v>
      </c>
    </row>
    <row r="14" spans="1:2">
      <c r="A14" s="2" t="s">
        <v>310</v>
      </c>
      <c r="B14" s="3">
        <f>Sheet1!H62</f>
        <v>8933815.87881501</v>
      </c>
    </row>
    <row r="15" spans="1:2">
      <c r="A15" s="2" t="s">
        <v>311</v>
      </c>
      <c r="B15" s="3">
        <f>Sheet1!H63</f>
        <v>8945617.48499574</v>
      </c>
    </row>
    <row r="16" spans="1:2">
      <c r="A16" s="2" t="s">
        <v>312</v>
      </c>
      <c r="B16" s="3">
        <f>Sheet1!H64</f>
        <v>9807134.73618926</v>
      </c>
    </row>
    <row r="17" spans="1:2">
      <c r="A17" s="2" t="s">
        <v>313</v>
      </c>
      <c r="B17" s="3">
        <f>Sheet1!H65</f>
        <v>9831907.40592718</v>
      </c>
    </row>
    <row r="18" spans="1:2">
      <c r="A18" s="2" t="s">
        <v>314</v>
      </c>
      <c r="B18" s="3">
        <f>Sheet1!H66</f>
        <v>9781744.6130398</v>
      </c>
    </row>
    <row r="19" spans="1:2">
      <c r="A19" s="2" t="s">
        <v>315</v>
      </c>
      <c r="B19" s="3">
        <f>Sheet1!H67</f>
        <v>10007477.181033</v>
      </c>
    </row>
    <row r="20" spans="1:2">
      <c r="A20" s="2" t="s">
        <v>316</v>
      </c>
      <c r="B20" s="3">
        <f>Sheet1!H68</f>
        <v>10237111.7045251</v>
      </c>
    </row>
    <row r="21" spans="1:2">
      <c r="A21" s="2" t="s">
        <v>317</v>
      </c>
      <c r="B21" s="3">
        <f>Sheet1!H69</f>
        <v>10466872.3163473</v>
      </c>
    </row>
    <row r="22" spans="1:2">
      <c r="A22" s="2" t="s">
        <v>318</v>
      </c>
      <c r="B22" s="3">
        <f>Sheet1!H70</f>
        <v>10607281.5791276</v>
      </c>
    </row>
    <row r="23" spans="1:2">
      <c r="A23" s="2" t="s">
        <v>319</v>
      </c>
      <c r="B23" s="3">
        <f>Sheet1!H71</f>
        <v>10834578.6210352</v>
      </c>
    </row>
    <row r="24" spans="1:2">
      <c r="A24" s="2" t="s">
        <v>320</v>
      </c>
      <c r="B24" s="3">
        <f>Sheet1!H72</f>
        <v>11007143.0131791</v>
      </c>
    </row>
    <row r="25" spans="1:2">
      <c r="A25" s="2" t="s">
        <v>321</v>
      </c>
      <c r="B25" s="3">
        <f>Sheet1!H73</f>
        <v>11734378.6657856</v>
      </c>
    </row>
    <row r="26" spans="1:2">
      <c r="A26" s="2" t="s">
        <v>322</v>
      </c>
      <c r="B26" s="3">
        <f>Sheet1!H74</f>
        <v>9284684.96845555</v>
      </c>
    </row>
    <row r="27" spans="1:2">
      <c r="A27" s="2" t="s">
        <v>323</v>
      </c>
      <c r="B27" s="3">
        <f>Sheet1!H75</f>
        <v>8859519.93895944</v>
      </c>
    </row>
    <row r="28" spans="1:2">
      <c r="A28" s="2" t="s">
        <v>324</v>
      </c>
      <c r="B28" s="3">
        <f>Sheet1!H76</f>
        <v>9905196.09258501</v>
      </c>
    </row>
    <row r="29" spans="1:2">
      <c r="A29" s="2" t="s">
        <v>325</v>
      </c>
      <c r="B29" s="3">
        <f>Sheet1!H77</f>
        <v>9967023.29373745</v>
      </c>
    </row>
    <row r="30" spans="1:2">
      <c r="A30" s="2" t="s">
        <v>326</v>
      </c>
      <c r="B30" s="3">
        <f>Sheet1!H78</f>
        <v>10100890.5174629</v>
      </c>
    </row>
    <row r="31" spans="1:2">
      <c r="A31" s="2" t="s">
        <v>327</v>
      </c>
      <c r="B31" s="3">
        <f>Sheet1!H79</f>
        <v>10246927.4887997</v>
      </c>
    </row>
    <row r="32" spans="1:2">
      <c r="A32" s="2" t="s">
        <v>328</v>
      </c>
      <c r="B32" s="3">
        <f>Sheet1!H80</f>
        <v>10503808.3362291</v>
      </c>
    </row>
    <row r="33" spans="1:2">
      <c r="A33" s="2" t="s">
        <v>329</v>
      </c>
      <c r="B33" s="3">
        <f>Sheet1!H81</f>
        <v>10804274.8440592</v>
      </c>
    </row>
    <row r="34" spans="1:2">
      <c r="A34" s="2" t="s">
        <v>330</v>
      </c>
      <c r="B34" s="3">
        <f>Sheet1!H82</f>
        <v>10829313.7197117</v>
      </c>
    </row>
    <row r="35" spans="1:2">
      <c r="A35" s="2" t="s">
        <v>331</v>
      </c>
      <c r="B35" s="3">
        <f>Sheet1!H83</f>
        <v>11062417.5815742</v>
      </c>
    </row>
    <row r="36" spans="1:2">
      <c r="A36" s="2" t="s">
        <v>332</v>
      </c>
      <c r="B36" s="3">
        <f>Sheet1!H84</f>
        <v>11111638.571926</v>
      </c>
    </row>
    <row r="37" spans="1:2">
      <c r="A37" s="2" t="s">
        <v>333</v>
      </c>
      <c r="B37" s="3">
        <f>Sheet1!H85</f>
        <v>11751511.4464998</v>
      </c>
    </row>
    <row r="38" spans="1:2">
      <c r="A38" s="2" t="s">
        <v>334</v>
      </c>
      <c r="B38" s="3">
        <f>Sheet1!H86</f>
        <v>9505395.11578318</v>
      </c>
    </row>
    <row r="39" spans="1:2">
      <c r="A39" s="2" t="s">
        <v>335</v>
      </c>
      <c r="B39" s="3">
        <f>Sheet1!H87</f>
        <v>9115547.78895975</v>
      </c>
    </row>
    <row r="40" spans="1:2">
      <c r="A40" s="2" t="s">
        <v>336</v>
      </c>
      <c r="B40" s="3">
        <f>Sheet1!H88</f>
        <v>10147496.5952571</v>
      </c>
    </row>
    <row r="41" spans="1:2">
      <c r="A41" s="2" t="s">
        <v>337</v>
      </c>
      <c r="B41" s="3">
        <f>Sheet1!H89</f>
        <v>10259189.5876659</v>
      </c>
    </row>
    <row r="42" spans="1:2">
      <c r="A42" s="2" t="s">
        <v>338</v>
      </c>
      <c r="B42" s="3">
        <f>Sheet1!H90</f>
        <v>10429365.718267</v>
      </c>
    </row>
    <row r="43" spans="1:2">
      <c r="A43" s="2" t="s">
        <v>339</v>
      </c>
      <c r="B43" s="3">
        <f>Sheet1!H91</f>
        <v>10453676.5940671</v>
      </c>
    </row>
    <row r="44" spans="1:2">
      <c r="A44" s="2" t="s">
        <v>340</v>
      </c>
      <c r="B44" s="3">
        <f>Sheet1!H92</f>
        <v>10844704.8712121</v>
      </c>
    </row>
    <row r="45" spans="1:2">
      <c r="A45" s="2" t="s">
        <v>341</v>
      </c>
      <c r="B45" s="3">
        <f>Sheet1!H93</f>
        <v>11082088.9640152</v>
      </c>
    </row>
    <row r="46" spans="1:2">
      <c r="A46" s="2" t="s">
        <v>342</v>
      </c>
      <c r="B46" s="3">
        <f>Sheet1!H94</f>
        <v>11057101.1647727</v>
      </c>
    </row>
    <row r="47" spans="1:2">
      <c r="A47" s="2" t="s">
        <v>343</v>
      </c>
      <c r="B47" s="3">
        <f>Sheet1!H95</f>
        <v>11413693.6457674</v>
      </c>
    </row>
    <row r="48" spans="1:2">
      <c r="A48" s="2" t="s">
        <v>344</v>
      </c>
      <c r="B48" s="3">
        <f>Sheet1!H96</f>
        <v>11365483.7465244</v>
      </c>
    </row>
    <row r="49" spans="1:2">
      <c r="A49" s="2" t="s">
        <v>345</v>
      </c>
      <c r="B49" s="3">
        <f>Sheet1!H97</f>
        <v>12245314.4077082</v>
      </c>
    </row>
    <row r="50" spans="1:2">
      <c r="A50" s="2" t="s">
        <v>346</v>
      </c>
      <c r="B50" s="3">
        <f>Sheet1!H98</f>
        <v>9595118.86517374</v>
      </c>
    </row>
    <row r="51" spans="1:2">
      <c r="A51" s="2" t="s">
        <v>347</v>
      </c>
      <c r="B51" s="3">
        <f>Sheet1!H99</f>
        <v>9324833.82671815</v>
      </c>
    </row>
    <row r="52" spans="1:2">
      <c r="A52" s="2" t="s">
        <v>348</v>
      </c>
      <c r="B52" s="3">
        <f>Sheet1!H100</f>
        <v>10248307.7081081</v>
      </c>
    </row>
    <row r="53" spans="1:2">
      <c r="A53" s="2" t="s">
        <v>349</v>
      </c>
      <c r="B53" s="3">
        <f>Sheet1!H101</f>
        <v>10609307.9511153</v>
      </c>
    </row>
    <row r="54" spans="1:2">
      <c r="A54" s="2" t="s">
        <v>350</v>
      </c>
      <c r="B54" s="3">
        <f>Sheet1!H102</f>
        <v>10358694.3774669</v>
      </c>
    </row>
    <row r="55" spans="1:2">
      <c r="A55" s="2" t="s">
        <v>351</v>
      </c>
      <c r="B55" s="3">
        <f>Sheet1!H103</f>
        <v>10597373.9714178</v>
      </c>
    </row>
    <row r="56" spans="1:2">
      <c r="A56" s="2" t="s">
        <v>352</v>
      </c>
      <c r="B56" s="3">
        <f>Sheet1!H104</f>
        <v>11135176.2794054</v>
      </c>
    </row>
    <row r="57" spans="1:2">
      <c r="A57" s="2" t="s">
        <v>353</v>
      </c>
      <c r="B57" s="3">
        <f>Sheet1!H105</f>
        <v>11331823.9841189</v>
      </c>
    </row>
    <row r="58" spans="1:2">
      <c r="A58" s="2" t="s">
        <v>354</v>
      </c>
      <c r="B58" s="3">
        <f>Sheet1!H106</f>
        <v>11430147.8364757</v>
      </c>
    </row>
    <row r="59" spans="1:2">
      <c r="A59" s="2" t="s">
        <v>355</v>
      </c>
      <c r="B59" s="3">
        <f>Sheet1!H107</f>
        <v>11944774.4917029</v>
      </c>
    </row>
    <row r="60" spans="1:2">
      <c r="A60" s="2" t="s">
        <v>356</v>
      </c>
      <c r="B60" s="3">
        <f>Sheet1!H108</f>
        <v>11558290.3827702</v>
      </c>
    </row>
    <row r="61" spans="1:2">
      <c r="A61" s="2" t="s">
        <v>357</v>
      </c>
      <c r="B61" s="3">
        <f>Sheet1!H109</f>
        <v>12596966.4255269</v>
      </c>
    </row>
    <row r="62" spans="1:2">
      <c r="A62" s="2" t="s">
        <v>358</v>
      </c>
      <c r="B62" s="3">
        <f>Sheet1!H110</f>
        <v>9600074.31995507</v>
      </c>
    </row>
    <row r="63" spans="1:2">
      <c r="A63" s="2" t="s">
        <v>359</v>
      </c>
      <c r="B63" s="3">
        <f>Sheet1!H111</f>
        <v>9644416.46461999</v>
      </c>
    </row>
    <row r="64" spans="1:2">
      <c r="A64" s="2" t="s">
        <v>360</v>
      </c>
      <c r="B64" s="3">
        <f>Sheet1!H112</f>
        <v>10364976.3154249</v>
      </c>
    </row>
    <row r="65" spans="1:2">
      <c r="A65" s="2" t="s">
        <v>361</v>
      </c>
      <c r="B65" s="3">
        <f>Sheet1!H113</f>
        <v>10031378.1190226</v>
      </c>
    </row>
    <row r="66" spans="1:2">
      <c r="A66" s="2" t="s">
        <v>362</v>
      </c>
      <c r="B66" s="3">
        <f>Sheet1!H114</f>
        <v>9440602.02249596</v>
      </c>
    </row>
    <row r="67" spans="1:2">
      <c r="A67" s="2" t="s">
        <v>363</v>
      </c>
      <c r="B67" s="3">
        <f>Sheet1!H115</f>
        <v>9783252.15848142</v>
      </c>
    </row>
    <row r="68" spans="1:2">
      <c r="A68" s="2" t="s">
        <v>364</v>
      </c>
      <c r="B68" s="3">
        <f>Sheet1!H116</f>
        <v>10624060.5535308</v>
      </c>
    </row>
    <row r="69" spans="1:2">
      <c r="A69" s="2" t="s">
        <v>365</v>
      </c>
      <c r="B69" s="3">
        <f>Sheet1!H117</f>
        <v>10997271.1116173</v>
      </c>
    </row>
    <row r="70" spans="1:2">
      <c r="A70" s="2" t="s">
        <v>366</v>
      </c>
      <c r="B70" s="3">
        <f>Sheet1!H118</f>
        <v>11146555.3348519</v>
      </c>
    </row>
    <row r="71" spans="1:2">
      <c r="A71" s="2" t="s">
        <v>367</v>
      </c>
      <c r="B71" s="3">
        <f>Sheet1!H119</f>
        <v>11246858.5221134</v>
      </c>
    </row>
    <row r="72" spans="1:2">
      <c r="A72" s="2" t="s">
        <v>368</v>
      </c>
      <c r="B72" s="3">
        <f>Sheet1!H120</f>
        <v>11379174.5047265</v>
      </c>
    </row>
    <row r="73" spans="1:2">
      <c r="A73" s="2" t="s">
        <v>369</v>
      </c>
      <c r="B73" s="3">
        <f>Sheet1!H121</f>
        <v>13003052.47316</v>
      </c>
    </row>
    <row r="74" spans="1:2">
      <c r="A74" s="2" t="s">
        <v>370</v>
      </c>
      <c r="B74" s="3">
        <f>Sheet1!H122</f>
        <v>9575411.01881114</v>
      </c>
    </row>
    <row r="75" spans="1:2">
      <c r="A75" s="2" t="s">
        <v>371</v>
      </c>
      <c r="B75" s="3">
        <f>Sheet1!H123</f>
        <v>9519151.25959368</v>
      </c>
    </row>
    <row r="76" spans="1:2">
      <c r="A76" s="2" t="s">
        <v>372</v>
      </c>
      <c r="B76" s="3">
        <f>Sheet1!H124</f>
        <v>10813125.7215952</v>
      </c>
    </row>
    <row r="77" spans="1:2">
      <c r="A77" s="2" t="s">
        <v>373</v>
      </c>
      <c r="B77" s="3">
        <f>Sheet1!H125</f>
        <v>10956244.8828125</v>
      </c>
    </row>
    <row r="78" spans="1:2">
      <c r="A78" s="2" t="s">
        <v>374</v>
      </c>
      <c r="B78" s="3">
        <f>Sheet1!H126</f>
        <v>10707508.5125</v>
      </c>
    </row>
    <row r="79" spans="1:2">
      <c r="A79" s="2" t="s">
        <v>375</v>
      </c>
      <c r="B79" s="3">
        <f>Sheet1!H127</f>
        <v>10932555.7046875</v>
      </c>
    </row>
    <row r="80" spans="1:2">
      <c r="A80" s="2" t="s">
        <v>376</v>
      </c>
      <c r="B80" s="3">
        <f>Sheet1!H128</f>
        <v>11259296.583351</v>
      </c>
    </row>
    <row r="81" spans="1:2">
      <c r="A81" s="2" t="s">
        <v>377</v>
      </c>
      <c r="B81" s="3">
        <f>Sheet1!H129</f>
        <v>11405838.4043925</v>
      </c>
    </row>
    <row r="82" spans="1:2">
      <c r="A82" s="2" t="s">
        <v>378</v>
      </c>
      <c r="B82" s="3">
        <f>Sheet1!H130</f>
        <v>11808828.4122565</v>
      </c>
    </row>
    <row r="83" spans="1:2">
      <c r="A83" s="2" t="s">
        <v>379</v>
      </c>
      <c r="B83" s="3">
        <f>Sheet1!H131</f>
        <v>11965614.2533917</v>
      </c>
    </row>
    <row r="84" spans="1:2">
      <c r="A84" s="2" t="s">
        <v>380</v>
      </c>
      <c r="B84" s="3">
        <f>Sheet1!H132</f>
        <v>12060017.521663</v>
      </c>
    </row>
    <row r="85" spans="1:2">
      <c r="A85" s="2" t="s">
        <v>381</v>
      </c>
      <c r="B85" s="3">
        <f>Sheet1!H133</f>
        <v>13723875.1249453</v>
      </c>
    </row>
    <row r="86" spans="1:2">
      <c r="A86" s="2" t="s">
        <v>382</v>
      </c>
      <c r="B86" s="3">
        <f>Sheet1!H134</f>
        <v>10151208.0090587</v>
      </c>
    </row>
    <row r="87" spans="1:2">
      <c r="A87" s="2" t="s">
        <v>383</v>
      </c>
      <c r="B87" s="3">
        <f>Sheet1!H135</f>
        <v>9866799.16397735</v>
      </c>
    </row>
    <row r="88" spans="1:2">
      <c r="A88" s="2" t="s">
        <v>384</v>
      </c>
      <c r="B88" s="3">
        <f>Sheet1!H136</f>
        <v>10895046.5269639</v>
      </c>
    </row>
    <row r="89" spans="1:2">
      <c r="A89" s="2" t="s">
        <v>385</v>
      </c>
      <c r="B89" s="3">
        <f>Sheet1!H137</f>
        <v>10516117.4600738</v>
      </c>
    </row>
    <row r="90" spans="1:2">
      <c r="A90" s="2" t="s">
        <v>386</v>
      </c>
      <c r="B90" s="3">
        <f>Sheet1!H138</f>
        <v>10319229.7983764</v>
      </c>
    </row>
    <row r="91" spans="1:2">
      <c r="A91" s="2" t="s">
        <v>387</v>
      </c>
      <c r="B91" s="3">
        <f>Sheet1!H139</f>
        <v>10550862.3415498</v>
      </c>
    </row>
    <row r="92" spans="1:2">
      <c r="A92" s="2" t="s">
        <v>388</v>
      </c>
      <c r="B92" s="3">
        <f>Sheet1!H140</f>
        <v>11014068.3670099</v>
      </c>
    </row>
    <row r="93" spans="1:2">
      <c r="A93" s="2" t="s">
        <v>389</v>
      </c>
      <c r="B93" s="3">
        <f>Sheet1!H141</f>
        <v>11192289.5379972</v>
      </c>
    </row>
    <row r="94" spans="1:2">
      <c r="A94" s="2" t="s">
        <v>390</v>
      </c>
      <c r="B94" s="3">
        <f>Sheet1!H142</f>
        <v>11251696.5949929</v>
      </c>
    </row>
    <row r="95" spans="1:2">
      <c r="A95" s="2" t="s">
        <v>391</v>
      </c>
      <c r="B95" s="3">
        <f>Sheet1!H143</f>
        <v>11719757.6461197</v>
      </c>
    </row>
    <row r="96" spans="1:2">
      <c r="A96" s="2" t="s">
        <v>392</v>
      </c>
      <c r="B96" s="3">
        <f>Sheet1!H144</f>
        <v>11966118.9179601</v>
      </c>
    </row>
    <row r="97" spans="1:2">
      <c r="A97" s="2" t="s">
        <v>393</v>
      </c>
      <c r="B97" s="3">
        <f>Sheet1!H145</f>
        <v>13350434.6359202</v>
      </c>
    </row>
    <row r="98" spans="1:2">
      <c r="A98" s="2" t="s">
        <v>394</v>
      </c>
      <c r="B98" s="3">
        <f>Sheet1!H146</f>
        <v>9920752.33250356</v>
      </c>
    </row>
    <row r="99" spans="1:2">
      <c r="A99" s="2" t="s">
        <v>395</v>
      </c>
      <c r="B99" s="3">
        <f>Sheet1!H147</f>
        <v>9713615.74534139</v>
      </c>
    </row>
    <row r="100" spans="1:2">
      <c r="A100" s="2" t="s">
        <v>396</v>
      </c>
      <c r="B100" s="3">
        <f>Sheet1!H148</f>
        <v>11021846.822155</v>
      </c>
    </row>
    <row r="101" spans="1:2">
      <c r="A101" s="2" t="s">
        <v>397</v>
      </c>
      <c r="B101" s="3">
        <f>Sheet1!H149</f>
        <v>10982893.2265462</v>
      </c>
    </row>
    <row r="102" spans="1:2">
      <c r="A102" s="2" t="s">
        <v>398</v>
      </c>
      <c r="B102" s="3">
        <f>Sheet1!H150</f>
        <v>10982893.2265462</v>
      </c>
    </row>
    <row r="103" spans="1:2">
      <c r="A103" s="2" t="s">
        <v>399</v>
      </c>
      <c r="B103" s="3">
        <f>Sheet1!H151</f>
        <v>11097777.0469076</v>
      </c>
    </row>
    <row r="104" spans="1:2">
      <c r="A104" s="2" t="s">
        <v>400</v>
      </c>
      <c r="B104" s="3">
        <f>Sheet1!H152</f>
        <v>11636748.5921255</v>
      </c>
    </row>
    <row r="105" spans="1:2">
      <c r="A105" s="2" t="s">
        <v>401</v>
      </c>
      <c r="B105" s="3">
        <f>Sheet1!H153</f>
        <v>11897449.6807474</v>
      </c>
    </row>
    <row r="106" spans="1:2">
      <c r="A106" s="2" t="s">
        <v>402</v>
      </c>
      <c r="B106" s="3">
        <f>Sheet1!H154</f>
        <v>11980400.0271271</v>
      </c>
    </row>
    <row r="107" spans="1:2">
      <c r="A107" s="2" t="s">
        <v>403</v>
      </c>
      <c r="B107" s="3">
        <f>Sheet1!H155</f>
        <v>12473139.1793603</v>
      </c>
    </row>
    <row r="108" spans="1:2">
      <c r="A108" s="2" t="s">
        <v>404</v>
      </c>
      <c r="B108" s="3">
        <f>Sheet1!H156</f>
        <v>12614211.4415208</v>
      </c>
    </row>
    <row r="109" spans="1:2">
      <c r="A109" s="2" t="s">
        <v>405</v>
      </c>
      <c r="B109" s="3">
        <f>Sheet1!H157</f>
        <v>13872105.7791189</v>
      </c>
    </row>
    <row r="110" spans="1:2">
      <c r="A110" s="2" t="s">
        <v>406</v>
      </c>
      <c r="B110" s="3">
        <f>Sheet1!H158</f>
        <v>10421813.2848525</v>
      </c>
    </row>
    <row r="111" spans="1:2">
      <c r="A111" s="2" t="s">
        <v>407</v>
      </c>
      <c r="B111" s="3">
        <f>Sheet1!H159</f>
        <v>10563236.6384048</v>
      </c>
    </row>
    <row r="112" spans="1:2">
      <c r="A112" s="2" t="s">
        <v>408</v>
      </c>
      <c r="B112" s="3">
        <f>Sheet1!H160</f>
        <v>11477049.0767426</v>
      </c>
    </row>
    <row r="113" spans="1:2">
      <c r="A113" s="2" t="s">
        <v>409</v>
      </c>
      <c r="B113" s="3">
        <f>Sheet1!H161</f>
        <v>11568501.1309326</v>
      </c>
    </row>
    <row r="114" spans="1:2">
      <c r="A114" s="2" t="s">
        <v>410</v>
      </c>
      <c r="B114" s="3">
        <f>Sheet1!H162</f>
        <v>11695121.5413209</v>
      </c>
    </row>
    <row r="115" spans="1:2">
      <c r="A115" s="2" t="s">
        <v>411</v>
      </c>
      <c r="B115" s="3">
        <f>Sheet1!H163</f>
        <v>11418858.8277464</v>
      </c>
    </row>
    <row r="116" spans="1:2">
      <c r="A116" s="2" t="s">
        <v>412</v>
      </c>
      <c r="B116" s="3">
        <f>Sheet1!H164</f>
        <v>12152251.0549451</v>
      </c>
    </row>
    <row r="117" spans="1:2">
      <c r="A117" s="2" t="s">
        <v>413</v>
      </c>
      <c r="B117" s="3">
        <f>Sheet1!H165</f>
        <v>12319046.65766</v>
      </c>
    </row>
    <row r="118" spans="1:2">
      <c r="A118" s="2" t="s">
        <v>414</v>
      </c>
      <c r="B118" s="3">
        <f>Sheet1!H166</f>
        <v>12390530.487395</v>
      </c>
    </row>
    <row r="119" spans="1:2">
      <c r="A119" s="2" t="s">
        <v>415</v>
      </c>
      <c r="B119" s="3">
        <f>Sheet1!H167</f>
        <v>13044568.8299459</v>
      </c>
    </row>
    <row r="120" spans="1:2">
      <c r="A120" s="2" t="s">
        <v>416</v>
      </c>
      <c r="B120" s="3">
        <f>Sheet1!H168</f>
        <v>12986229.9711358</v>
      </c>
    </row>
    <row r="121" spans="1:2">
      <c r="A121" s="2" t="s">
        <v>417</v>
      </c>
      <c r="B121" s="3">
        <f>Sheet1!H169</f>
        <v>14958083.3989183</v>
      </c>
    </row>
    <row r="122" spans="1:2">
      <c r="A122" s="2" t="s">
        <v>418</v>
      </c>
      <c r="B122" s="3">
        <f>Sheet1!H170</f>
        <v>10657465.4661528</v>
      </c>
    </row>
    <row r="123" spans="1:2">
      <c r="A123" s="2" t="s">
        <v>419</v>
      </c>
      <c r="B123" s="3">
        <f>Sheet1!H171</f>
        <v>10591338.4829088</v>
      </c>
    </row>
    <row r="124" spans="1:2">
      <c r="A124" s="2" t="s">
        <v>420</v>
      </c>
      <c r="B124" s="3">
        <f>Sheet1!H172</f>
        <v>11638349.0509383</v>
      </c>
    </row>
    <row r="125" spans="1:2">
      <c r="A125" s="2" t="s">
        <v>421</v>
      </c>
      <c r="B125" s="3">
        <f>Sheet1!H173</f>
        <v>11665610.3437541</v>
      </c>
    </row>
    <row r="126" spans="1:2">
      <c r="A126" s="2" t="s">
        <v>422</v>
      </c>
      <c r="B126" s="3">
        <f>Sheet1!H174</f>
        <v>11768744.423414</v>
      </c>
    </row>
    <row r="127" spans="1:2">
      <c r="A127" s="2" t="s">
        <v>423</v>
      </c>
      <c r="B127" s="3">
        <f>Sheet1!H175</f>
        <v>11608313.6328319</v>
      </c>
    </row>
    <row r="128" spans="1:2">
      <c r="A128" s="2" t="s">
        <v>424</v>
      </c>
      <c r="B128" s="3">
        <f>Sheet1!H176</f>
        <v>12268797.1704437</v>
      </c>
    </row>
    <row r="129" spans="1:2">
      <c r="A129" s="2" t="s">
        <v>425</v>
      </c>
      <c r="B129" s="3">
        <f>Sheet1!H177</f>
        <v>12387336.2735397</v>
      </c>
    </row>
    <row r="130" spans="1:2">
      <c r="A130" s="2" t="s">
        <v>426</v>
      </c>
      <c r="B130" s="3">
        <f>Sheet1!H178</f>
        <v>12482167.5560166</v>
      </c>
    </row>
    <row r="131" spans="1:2">
      <c r="A131" s="2" t="s">
        <v>427</v>
      </c>
      <c r="B131" s="3">
        <f>Sheet1!H179</f>
        <v>13201596.9377506</v>
      </c>
    </row>
    <row r="132" spans="1:2">
      <c r="A132" s="2" t="s">
        <v>428</v>
      </c>
      <c r="B132" s="3">
        <f>Sheet1!H180</f>
        <v>12867525.1129733</v>
      </c>
    </row>
    <row r="133" spans="1:2">
      <c r="A133" s="2" t="s">
        <v>429</v>
      </c>
      <c r="B133" s="3">
        <f>Sheet1!H181</f>
        <v>15309705.3492762</v>
      </c>
    </row>
    <row r="134" spans="1:2">
      <c r="A134" s="2" t="s">
        <v>430</v>
      </c>
      <c r="B134" s="3">
        <f>Sheet1!H182</f>
        <v>10597394.4874602</v>
      </c>
    </row>
    <row r="135" spans="1:2">
      <c r="A135" s="2" t="s">
        <v>431</v>
      </c>
      <c r="B135" s="3">
        <f>Sheet1!H183</f>
        <v>10471981.5349459</v>
      </c>
    </row>
    <row r="136" spans="1:2">
      <c r="A136" s="2" t="s">
        <v>432</v>
      </c>
      <c r="B136" s="3">
        <f>Sheet1!H184</f>
        <v>11767915.3775939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Quarterly</vt:lpstr>
      <vt:lpstr>IPI</vt:lpstr>
      <vt:lpstr>Sheet1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Darkhan Mashirapov</cp:lastModifiedBy>
  <dcterms:created xsi:type="dcterms:W3CDTF">2026-08-17T03:15:00Z</dcterms:created>
  <dcterms:modified xsi:type="dcterms:W3CDTF">2026-08-25T15:43:05Z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1033-12.1.26050.26050</vt:lpwstr>
  </property>
  <property fmtid="{D5CDD505-2E9C-101B-9397-08002B2CF9AE}" pid="3" name="CalculationRule">
    <vt:i4>0</vt:i4>
  </property>
  <property fmtid="{D5CDD505-2E9C-101B-9397-08002B2CF9AE}" pid="4" name="ICV">
    <vt:lpwstr>4E894D06B5FBB13E2243886A3BE17425_42</vt:lpwstr>
  </property>
</Properties>
</file>