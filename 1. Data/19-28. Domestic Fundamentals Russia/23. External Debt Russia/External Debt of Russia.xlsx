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2003-2026" sheetId="1" r:id="rId1"/>
    <sheet name="Sheet1" sheetId="2" r:id="rId2"/>
    <sheet name="Final Cleaned" sheetId="3" r:id="rId3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1" hidden="1">Sheet1!$A$1:$C$283</definedName>
    <definedName name="____QR001">[1]Control!$H$2</definedName>
    <definedName name="____QR002">[1]Control!$H$3</definedName>
    <definedName name="____QR003">[1]Control!$H$4</definedName>
    <definedName name="____QR004">[1]Control!$H$5</definedName>
    <definedName name="____QR011">[1]Control!$I$2</definedName>
    <definedName name="____QR012">[1]Control!$I$3</definedName>
    <definedName name="____QR013">[1]Control!$I$4</definedName>
    <definedName name="____QR014">[1]Control!$I$5</definedName>
    <definedName name="____QR021">[1]Control!$J$2</definedName>
    <definedName name="____QR022">[1]Control!$J$3</definedName>
    <definedName name="____QR023">[1]Control!$J$4</definedName>
    <definedName name="____QR024">[1]Control!$J$5</definedName>
    <definedName name="____QR031">[1]Control!$K$2</definedName>
    <definedName name="____QR032">[1]Control!$K$3</definedName>
    <definedName name="____QR033">[1]Control!$K$4</definedName>
    <definedName name="____QR034">[1]Control!$K$5</definedName>
    <definedName name="____QR041">[1]Control!$L$2</definedName>
    <definedName name="____QR042">[1]Control!$L$3</definedName>
    <definedName name="____QR043">[1]Control!$L$4</definedName>
    <definedName name="____QR044">[1]Control!$L$5</definedName>
    <definedName name="____QR971">[1]Control!$E$2</definedName>
    <definedName name="____QR972">[1]Control!$E$3</definedName>
    <definedName name="____QR981">[1]Control!$F$2</definedName>
    <definedName name="____QR982">[1]Control!$F$3</definedName>
    <definedName name="____QR983">[1]Control!$F$4</definedName>
    <definedName name="____QR984">[1]Control!$F$5</definedName>
    <definedName name="____QR991">[1]Control!$G$2</definedName>
    <definedName name="____QR992">[1]Control!$G$3</definedName>
    <definedName name="____QR993">[1]Control!$G$4</definedName>
    <definedName name="____qr994">[1]Control!$G$5</definedName>
    <definedName name="___QR001">[1]Control!$H$2</definedName>
    <definedName name="___QR002">[1]Control!$H$3</definedName>
    <definedName name="___QR003">[1]Control!$H$4</definedName>
    <definedName name="___QR004">[1]Control!$H$5</definedName>
    <definedName name="___QR011">[1]Control!$I$2</definedName>
    <definedName name="___QR012">[1]Control!$I$3</definedName>
    <definedName name="___QR013">[1]Control!$I$4</definedName>
    <definedName name="___QR014">[1]Control!$I$5</definedName>
    <definedName name="___QR021">[1]Control!$J$2</definedName>
    <definedName name="___QR022">[1]Control!$J$3</definedName>
    <definedName name="___QR023">[1]Control!$J$4</definedName>
    <definedName name="___QR024">[1]Control!$J$5</definedName>
    <definedName name="___QR031">[1]Control!$K$2</definedName>
    <definedName name="___QR032">[1]Control!$K$3</definedName>
    <definedName name="___QR033">[1]Control!$K$4</definedName>
    <definedName name="___QR034">[1]Control!$K$5</definedName>
    <definedName name="___QR041">[1]Control!$L$2</definedName>
    <definedName name="___QR042">[1]Control!$L$3</definedName>
    <definedName name="___QR043">[1]Control!$L$4</definedName>
    <definedName name="___QR044">[1]Control!$L$5</definedName>
    <definedName name="___QR971">[1]Control!$E$2</definedName>
    <definedName name="___QR972">[1]Control!$E$3</definedName>
    <definedName name="___QR981">[1]Control!$F$2</definedName>
    <definedName name="___QR982">[1]Control!$F$3</definedName>
    <definedName name="___QR983">[1]Control!$F$4</definedName>
    <definedName name="___QR984">[1]Control!$F$5</definedName>
    <definedName name="___QR991">[1]Control!$G$2</definedName>
    <definedName name="___QR992">[1]Control!$G$3</definedName>
    <definedName name="___QR993">[1]Control!$G$4</definedName>
    <definedName name="___qr994">[1]Control!$G$5</definedName>
    <definedName name="__QR001">[1]Control!$H$2</definedName>
    <definedName name="__QR002">[1]Control!$H$3</definedName>
    <definedName name="__QR003">[1]Control!$H$4</definedName>
    <definedName name="__QR004">[1]Control!$H$5</definedName>
    <definedName name="__QR011">[1]Control!$I$2</definedName>
    <definedName name="__QR012">[1]Control!$I$3</definedName>
    <definedName name="__QR013">[1]Control!$I$4</definedName>
    <definedName name="__QR014">[1]Control!$I$5</definedName>
    <definedName name="__QR021">[1]Control!$J$2</definedName>
    <definedName name="__QR022">[1]Control!$J$3</definedName>
    <definedName name="__QR023">[1]Control!$J$4</definedName>
    <definedName name="__QR024">[1]Control!$J$5</definedName>
    <definedName name="__QR031">[1]Control!$K$2</definedName>
    <definedName name="__QR032">[1]Control!$K$3</definedName>
    <definedName name="__QR033">[1]Control!$K$4</definedName>
    <definedName name="__QR034">[1]Control!$K$5</definedName>
    <definedName name="__QR041">[1]Control!$L$2</definedName>
    <definedName name="__QR042">[1]Control!$L$3</definedName>
    <definedName name="__QR043">[1]Control!$L$4</definedName>
    <definedName name="__QR044">[1]Control!$L$5</definedName>
    <definedName name="__QR971">[1]Control!$E$2</definedName>
    <definedName name="__QR972">[1]Control!$E$3</definedName>
    <definedName name="__QR981">[1]Control!$F$2</definedName>
    <definedName name="__QR982">[1]Control!$F$3</definedName>
    <definedName name="__QR983">[1]Control!$F$4</definedName>
    <definedName name="__QR984">[1]Control!$F$5</definedName>
    <definedName name="__QR991">[1]Control!$G$2</definedName>
    <definedName name="__QR992">[1]Control!$G$3</definedName>
    <definedName name="__QR993">[1]Control!$G$4</definedName>
    <definedName name="__qr994">[1]Control!$G$5</definedName>
    <definedName name="_BQ4.1" localSheetId="0" hidden="1">#REF!</definedName>
    <definedName name="_BQ4.1" hidden="1">#REF!</definedName>
    <definedName name="_QR001">[2]Control!$H$2</definedName>
    <definedName name="_QR002">[2]Control!$H$3</definedName>
    <definedName name="_QR003">[2]Control!$H$4</definedName>
    <definedName name="_QR004">[2]Control!$H$5</definedName>
    <definedName name="_QR011">[2]Control!$I$2</definedName>
    <definedName name="_QR012">[2]Control!$I$3</definedName>
    <definedName name="_QR013">[2]Control!$I$4</definedName>
    <definedName name="_QR014">[2]Control!$I$5</definedName>
    <definedName name="_QR021">[2]Control!$J$2</definedName>
    <definedName name="_QR022">[2]Control!$J$3</definedName>
    <definedName name="_QR023">[2]Control!$J$4</definedName>
    <definedName name="_QR024">[2]Control!$J$5</definedName>
    <definedName name="_QR031">[2]Control!$K$2</definedName>
    <definedName name="_QR032">[2]Control!$K$3</definedName>
    <definedName name="_QR033">[2]Control!$K$4</definedName>
    <definedName name="_QR034">[2]Control!$K$5</definedName>
    <definedName name="_QR041">[1]Control!$L$2</definedName>
    <definedName name="_QR042">[1]Control!$L$3</definedName>
    <definedName name="_QR043">[1]Control!$L$4</definedName>
    <definedName name="_QR044">[1]Control!$L$5</definedName>
    <definedName name="_QR1">[3]Control!$C$2</definedName>
    <definedName name="_QR2">[3]Control!$C$3</definedName>
    <definedName name="_QR3">[3]Control!$C$4</definedName>
    <definedName name="_QR4">[3]Control!$C$5</definedName>
    <definedName name="_QR971">[2]Control!$E$2</definedName>
    <definedName name="_QR972">[2]Control!$E$3</definedName>
    <definedName name="_QR981">[2]Control!$F$2</definedName>
    <definedName name="_QR982">[2]Control!$F$3</definedName>
    <definedName name="_QR983">[2]Control!$F$4</definedName>
    <definedName name="_QR984">[2]Control!$F$5</definedName>
    <definedName name="_QR991">[2]Control!$G$2</definedName>
    <definedName name="_QR992">[2]Control!$G$3</definedName>
    <definedName name="_QR993">[2]Control!$G$4</definedName>
    <definedName name="_qr994">[2]Control!$G$5</definedName>
    <definedName name="a">[4]Control!$H$4</definedName>
    <definedName name="b">[4]Control!$H$5</definedName>
    <definedName name="d">[4]Control!$I$3</definedName>
    <definedName name="e">[4]Control!$I$5</definedName>
    <definedName name="f">[4]Control!$J$2</definedName>
    <definedName name="g">[4]Control!$J$3</definedName>
    <definedName name="h">[4]Control!$J$4</definedName>
    <definedName name="j">[4]Control!$J$5</definedName>
    <definedName name="Lang">[2]Control!$B$8</definedName>
    <definedName name="PERIOD_NAME">[5]Лист1!#REF!</definedName>
    <definedName name="QUARTAL_NAME_01">[6]корпоратив.облигации!#REF!</definedName>
    <definedName name="QUARTAL_NAME_02">[6]корпоратив.облигации!#REF!</definedName>
    <definedName name="QUARTAL_NAME_03">[6]корпоратив.облигации!#REF!</definedName>
    <definedName name="QUARTAL_NAME_04">[6]корпоратив.облигации!#REF!</definedName>
    <definedName name="QUARTAL_NAME_05">[6]корпоратив.облигации!#REF!</definedName>
    <definedName name="QUARTAL_NAME_06">[6]корпоратив.облигации!#REF!</definedName>
    <definedName name="QUARTAL_NAME_07">[6]корпоратив.облигации!#REF!</definedName>
    <definedName name="RSQR1">'[7]Reserve pres.'!$E$47</definedName>
    <definedName name="RSQR2">'[7]Reserve pres.'!$E$48</definedName>
    <definedName name="а">[8]Control!$E$3</definedName>
    <definedName name="Database" localSheetId="0">#REF!</definedName>
    <definedName name="Database">#REF!</definedName>
    <definedName name="в">[8]Control!$E$2</definedName>
    <definedName name="д">[8]Control!$F$4</definedName>
    <definedName name="и">[8]Control!$G$5</definedName>
    <definedName name="л">[8]Control!$F$3</definedName>
    <definedName name="м">[8]Control!$G$4</definedName>
    <definedName name="о">[8]Control!$F$2</definedName>
    <definedName name="_xlnm.Print_Area" localSheetId="0">'2003-2026'!$A$1:$CO$46</definedName>
    <definedName name="с">[8]Control!$G$3</definedName>
    <definedName name="ч">[8]Control!$G$2</definedName>
    <definedName name="я">[8]Control!$F$5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<sst xmlns="http://schemas.openxmlformats.org/spreadsheetml/2006/main" count="59" uniqueCount="39">
  <si>
    <t>Внешний долг Российской Федерации</t>
  </si>
  <si>
    <t>млн долларов США</t>
  </si>
  <si>
    <t>Всего</t>
  </si>
  <si>
    <t>Органы государственного управления</t>
  </si>
  <si>
    <t>Федеральные органы управления</t>
  </si>
  <si>
    <t>Новый российский долг</t>
  </si>
  <si>
    <t>кредиты</t>
  </si>
  <si>
    <t xml:space="preserve">ценные бумаги в иностранной валюте </t>
  </si>
  <si>
    <t xml:space="preserve">еврооблигации, ОВГВЗ </t>
  </si>
  <si>
    <t>еврооблигации (выпущенные при второй реструктуризации задолженности перед Лондонским клубом кредиторов)</t>
  </si>
  <si>
    <t>ОФЗ</t>
  </si>
  <si>
    <t>—</t>
  </si>
  <si>
    <t>ценные бумаги в российских рублях</t>
  </si>
  <si>
    <t xml:space="preserve">еврооблигации </t>
  </si>
  <si>
    <t xml:space="preserve">прочая задолженность </t>
  </si>
  <si>
    <t>Долг бывшего СССР</t>
  </si>
  <si>
    <t>Субъекты Российской Федерации</t>
  </si>
  <si>
    <t>Центральный банк и банки</t>
  </si>
  <si>
    <t>долговые обязательства перед прямыми инвесторами и предприятиями прямого инвестирования</t>
  </si>
  <si>
    <t>долговые ценные бумаги</t>
  </si>
  <si>
    <t>ссуды и займы, наличная валюта и депозиты</t>
  </si>
  <si>
    <t>прочая задолженность</t>
  </si>
  <si>
    <t>Прочие секторы</t>
  </si>
  <si>
    <t>Примечания.</t>
  </si>
  <si>
    <r>
      <rPr>
        <i/>
        <sz val="10"/>
        <rFont val="Times New Roman"/>
        <charset val="204"/>
      </rPr>
      <t xml:space="preserve">Сведения о состоянии внешнего долга разработаны в соответствии с методологией, изложенной в шестом издании </t>
    </r>
    <r>
      <rPr>
        <b/>
        <i/>
        <sz val="10"/>
        <rFont val="Times New Roman"/>
        <charset val="204"/>
      </rPr>
      <t>"Руководства  по платежному балансу и международной инвестиционной позиции  (2009 г.)"</t>
    </r>
    <r>
      <rPr>
        <i/>
        <sz val="10"/>
        <rFont val="Times New Roman"/>
        <charset val="204"/>
      </rPr>
      <t xml:space="preserve">, МВФ, и "Руководстве для составителей и пользователей. </t>
    </r>
    <r>
      <rPr>
        <b/>
        <i/>
        <sz val="10"/>
        <rFont val="Times New Roman"/>
        <charset val="204"/>
      </rPr>
      <t>Статистика внешнего долга" (2013 г.).</t>
    </r>
  </si>
  <si>
    <t xml:space="preserve">Включается внешняя задолженность в национальной и иностранной валютах. </t>
  </si>
  <si>
    <t>Государственные ценные бумаги отражаются в части задолженности перед нерезидентами и оцениваются по номинальной стоимости.</t>
  </si>
  <si>
    <t>Долговые ценные бумаги прочих секторов отражаются, начиная с данных на 01.01.2018, по номинальной стоимости.</t>
  </si>
  <si>
    <t xml:space="preserve">Данные по центральному банку и банкам включают данные государственной корпорации развития "ВЭБ.РФ". </t>
  </si>
  <si>
    <t>В данные по внешнему долгу могут вноситься изменения (преимущественно в течение года после первой публикации).</t>
  </si>
  <si>
    <t>В отдельных случаях возможны расхождения между итогом и суммой слагаемых, что связано с округлением данных.</t>
  </si>
  <si>
    <t>Условные обозначения:</t>
  </si>
  <si>
    <t>«—» явление отсутствует</t>
  </si>
  <si>
    <t>Дата последнего обновления: 30 июня 2026 года.</t>
  </si>
  <si>
    <t>Dates</t>
  </si>
  <si>
    <t>DATE</t>
  </si>
  <si>
    <t xml:space="preserve">External debt </t>
  </si>
  <si>
    <t>date</t>
  </si>
  <si>
    <t>ru_extdebt_m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</si>
</sst>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р_._-;\-* #,##0.00_р_._-;_-* &quot;-&quot;??_р_._-;_-@_-"/>
    <numFmt numFmtId="179" formatCode="_-* #,##0.00_-;\-* #,##0.00_-;_-* &quot;-&quot;??_-;_-@_-"/>
    <numFmt numFmtId="180" formatCode="_-* #,##0.00\ _₽_-;\-* #,##0.00\ _₽_-;_-* &quot;-&quot;??\ _₽_-;_-@_-"/>
    <numFmt numFmtId="181" formatCode="m/d/yyyy;@"/>
    <numFmt numFmtId="182" formatCode="_ * #,##0_ ;_ * \-#,##0_ ;_ * &quot;-&quot;??_ ;_ @_ "/>
  </numFmts>
  <fonts count="86">
    <font>
      <sz val="10"/>
      <name val="Arial Cyr"/>
      <charset val="204"/>
    </font>
    <font>
      <sz val="11"/>
      <name val="Times New Roman"/>
      <charset val="204"/>
    </font>
    <font>
      <sz val="14"/>
      <name val="Times New Roman"/>
      <charset val="204"/>
    </font>
    <font>
      <i/>
      <sz val="14"/>
      <name val="Times New Roman"/>
      <charset val="204"/>
    </font>
    <font>
      <i/>
      <sz val="10"/>
      <name val="Times New Roman"/>
      <charset val="204"/>
    </font>
    <font>
      <sz val="10"/>
      <name val="Times New Roman"/>
      <charset val="204"/>
    </font>
    <font>
      <b/>
      <sz val="14"/>
      <name val="Times New Roman"/>
      <charset val="204"/>
    </font>
    <font>
      <sz val="13"/>
      <color indexed="8"/>
      <name val="Times New Roman"/>
      <charset val="204"/>
    </font>
    <font>
      <sz val="16"/>
      <color indexed="8"/>
      <name val="Times New Roman"/>
      <charset val="204"/>
    </font>
    <font>
      <sz val="12"/>
      <color indexed="8"/>
      <name val="Times New Roman"/>
      <charset val="204"/>
    </font>
    <font>
      <b/>
      <sz val="10"/>
      <name val="Times New Roman"/>
      <charset val="204"/>
    </font>
    <font>
      <b/>
      <sz val="11"/>
      <name val="Times New Roman"/>
      <charset val="204"/>
    </font>
    <font>
      <u/>
      <sz val="10"/>
      <name val="Times New Roman"/>
      <charset val="204"/>
    </font>
    <font>
      <b/>
      <i/>
      <sz val="10"/>
      <name val="Times New Roman"/>
      <charset val="204"/>
    </font>
    <font>
      <i/>
      <sz val="10"/>
      <color theme="1"/>
      <name val="Times New Roman"/>
      <charset val="204"/>
    </font>
    <font>
      <sz val="10"/>
      <color rgb="FF00000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134"/>
    </font>
    <font>
      <sz val="11"/>
      <color indexed="10"/>
      <name val="Calibri"/>
      <charset val="134"/>
    </font>
    <font>
      <b/>
      <sz val="18"/>
      <color indexed="56"/>
      <name val="Cambria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8"/>
      <name val="Calibri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sz val="11"/>
      <color indexed="60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204"/>
    </font>
    <font>
      <sz val="12"/>
      <color theme="1"/>
      <name val="Calibri"/>
      <charset val="204"/>
      <scheme val="minor"/>
    </font>
    <font>
      <sz val="11"/>
      <color indexed="9"/>
      <name val="Calibri"/>
      <charset val="204"/>
    </font>
    <font>
      <sz val="12"/>
      <color theme="0"/>
      <name val="Calibri"/>
      <charset val="204"/>
      <scheme val="minor"/>
    </font>
    <font>
      <b/>
      <sz val="13"/>
      <color indexed="9"/>
      <name val="Verdana"/>
      <charset val="134"/>
    </font>
    <font>
      <b/>
      <sz val="15"/>
      <color theme="3"/>
      <name val="Calibri"/>
      <charset val="204"/>
      <scheme val="minor"/>
    </font>
    <font>
      <b/>
      <sz val="13"/>
      <color theme="3"/>
      <name val="Calibri"/>
      <charset val="204"/>
      <scheme val="minor"/>
    </font>
    <font>
      <b/>
      <sz val="11"/>
      <color theme="3"/>
      <name val="Calibri"/>
      <charset val="204"/>
      <scheme val="minor"/>
    </font>
    <font>
      <sz val="10"/>
      <name val="Times New Roman"/>
      <charset val="134"/>
    </font>
    <font>
      <sz val="10"/>
      <name val="Arial"/>
      <charset val="134"/>
    </font>
    <font>
      <sz val="10"/>
      <color indexed="8"/>
      <name val="Arial"/>
      <charset val="134"/>
    </font>
    <font>
      <b/>
      <sz val="18"/>
      <color theme="3"/>
      <name val="Calibri Light"/>
      <charset val="204"/>
      <scheme val="major"/>
    </font>
    <font>
      <sz val="11"/>
      <color indexed="62"/>
      <name val="Calibri"/>
      <charset val="204"/>
    </font>
    <font>
      <sz val="12"/>
      <color rgb="FF3F3F76"/>
      <name val="Calibri"/>
      <charset val="204"/>
      <scheme val="minor"/>
    </font>
    <font>
      <b/>
      <sz val="11"/>
      <color indexed="63"/>
      <name val="Calibri"/>
      <charset val="204"/>
    </font>
    <font>
      <b/>
      <sz val="12"/>
      <color rgb="FF3F3F3F"/>
      <name val="Calibri"/>
      <charset val="204"/>
      <scheme val="minor"/>
    </font>
    <font>
      <b/>
      <sz val="11"/>
      <color indexed="52"/>
      <name val="Calibri"/>
      <charset val="204"/>
    </font>
    <font>
      <b/>
      <sz val="12"/>
      <color rgb="FFFA7D00"/>
      <name val="Calibri"/>
      <charset val="204"/>
      <scheme val="minor"/>
    </font>
    <font>
      <u/>
      <sz val="8"/>
      <color rgb="FF0000FF"/>
      <name val="Calibri"/>
      <charset val="204"/>
      <scheme val="minor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2"/>
      <color theme="1"/>
      <name val="Calibri"/>
      <charset val="204"/>
      <scheme val="minor"/>
    </font>
    <font>
      <b/>
      <sz val="11"/>
      <color indexed="9"/>
      <name val="Calibri"/>
      <charset val="204"/>
    </font>
    <font>
      <b/>
      <sz val="12"/>
      <color theme="0"/>
      <name val="Calibri"/>
      <charset val="204"/>
      <scheme val="minor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2"/>
      <color rgb="FF9C6500"/>
      <name val="Calibri"/>
      <charset val="204"/>
      <scheme val="minor"/>
    </font>
    <font>
      <sz val="12"/>
      <color theme="1"/>
      <name val="Times New Roman"/>
      <charset val="204"/>
    </font>
    <font>
      <sz val="11"/>
      <color theme="1"/>
      <name val="Calibri"/>
      <charset val="204"/>
      <scheme val="minor"/>
    </font>
    <font>
      <sz val="11"/>
      <color theme="1"/>
      <name val="Times New Roman"/>
      <charset val="204"/>
    </font>
    <font>
      <sz val="10"/>
      <name val="Helv"/>
      <charset val="134"/>
    </font>
    <font>
      <sz val="10"/>
      <name val="Times New Roman Cyr"/>
      <charset val="204"/>
    </font>
    <font>
      <sz val="10"/>
      <color theme="1"/>
      <name val="Times New Roman"/>
      <charset val="204"/>
    </font>
    <font>
      <sz val="10"/>
      <name val="Arial"/>
      <charset val="204"/>
    </font>
    <font>
      <sz val="11"/>
      <color theme="1"/>
      <name val="Calibri"/>
      <charset val="204"/>
    </font>
    <font>
      <sz val="10"/>
      <color theme="1"/>
      <name val="Arial Cyr"/>
      <charset val="204"/>
    </font>
    <font>
      <sz val="12"/>
      <name val="Academy"/>
      <charset val="134"/>
    </font>
    <font>
      <u/>
      <sz val="8"/>
      <color rgb="FF800080"/>
      <name val="Calibri"/>
      <charset val="204"/>
      <scheme val="minor"/>
    </font>
    <font>
      <sz val="11"/>
      <color indexed="20"/>
      <name val="Calibri"/>
      <charset val="204"/>
    </font>
    <font>
      <sz val="12"/>
      <color rgb="FF9C0006"/>
      <name val="Calibri"/>
      <charset val="204"/>
      <scheme val="minor"/>
    </font>
    <font>
      <i/>
      <sz val="11"/>
      <color indexed="23"/>
      <name val="Calibri"/>
      <charset val="204"/>
    </font>
    <font>
      <i/>
      <sz val="12"/>
      <color rgb="FF7F7F7F"/>
      <name val="Calibri"/>
      <charset val="204"/>
      <scheme val="minor"/>
    </font>
    <font>
      <sz val="11"/>
      <color indexed="52"/>
      <name val="Calibri"/>
      <charset val="204"/>
    </font>
    <font>
      <sz val="12"/>
      <color rgb="FFFA7D00"/>
      <name val="Calibri"/>
      <charset val="204"/>
      <scheme val="minor"/>
    </font>
    <font>
      <sz val="11"/>
      <color indexed="10"/>
      <name val="Calibri"/>
      <charset val="204"/>
    </font>
    <font>
      <sz val="12"/>
      <color rgb="FFFF0000"/>
      <name val="Calibri"/>
      <charset val="204"/>
      <scheme val="minor"/>
    </font>
    <font>
      <sz val="11"/>
      <color indexed="17"/>
      <name val="Calibri"/>
      <charset val="204"/>
    </font>
    <font>
      <sz val="12"/>
      <color rgb="FF006100"/>
      <name val="Calibri"/>
      <charset val="204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392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6" fillId="4" borderId="10" applyNumberFormat="0" applyAlignment="0" applyProtection="0"/>
    <xf numFmtId="0" fontId="27" fillId="5" borderId="11" applyNumberFormat="0" applyAlignment="0" applyProtection="0"/>
    <xf numFmtId="0" fontId="28" fillId="5" borderId="10" applyNumberFormat="0" applyAlignment="0" applyProtection="0"/>
    <xf numFmtId="0" fontId="29" fillId="6" borderId="12" applyNumberFormat="0" applyAlignment="0" applyProtection="0"/>
    <xf numFmtId="0" fontId="30" fillId="0" borderId="13" applyNumberFormat="0" applyFill="0" applyAlignment="0" applyProtection="0"/>
    <xf numFmtId="0" fontId="31" fillId="0" borderId="14" applyNumberFormat="0" applyFill="0" applyAlignment="0" applyProtection="0"/>
    <xf numFmtId="0" fontId="32" fillId="7" borderId="0" applyNumberFormat="0" applyBorder="0" applyAlignment="0" applyProtection="0"/>
    <xf numFmtId="0" fontId="33" fillId="8" borderId="0" applyNumberFormat="0" applyBorder="0" applyAlignment="0" applyProtection="0"/>
    <xf numFmtId="0" fontId="34" fillId="9" borderId="0" applyNumberFormat="0" applyBorder="0" applyAlignment="0" applyProtection="0"/>
    <xf numFmtId="0" fontId="35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19" fillId="8" borderId="0" applyNumberFormat="0" applyBorder="0" applyAlignment="0" applyProtection="0"/>
    <xf numFmtId="0" fontId="19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19" fillId="7" borderId="0" applyNumberFormat="0" applyBorder="0" applyAlignment="0" applyProtection="0"/>
    <xf numFmtId="0" fontId="19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35" fillId="18" borderId="0" applyNumberFormat="0" applyBorder="0" applyAlignment="0" applyProtection="0"/>
    <xf numFmtId="0" fontId="35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2" borderId="0" applyNumberFormat="0" applyBorder="0" applyAlignment="0" applyProtection="0"/>
    <xf numFmtId="0" fontId="35" fillId="20" borderId="0" applyNumberFormat="0" applyBorder="0" applyAlignment="0" applyProtection="0"/>
    <xf numFmtId="0" fontId="35" fillId="22" borderId="0" applyNumberFormat="0" applyBorder="0" applyAlignment="0" applyProtection="0"/>
    <xf numFmtId="0" fontId="19" fillId="4" borderId="0" applyNumberFormat="0" applyBorder="0" applyAlignment="0" applyProtection="0"/>
    <xf numFmtId="0" fontId="19" fillId="23" borderId="0" applyNumberFormat="0" applyBorder="0" applyAlignment="0" applyProtection="0"/>
    <xf numFmtId="0" fontId="35" fillId="24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7" fillId="25" borderId="0" applyNumberFormat="0" applyBorder="0" applyAlignment="0" applyProtection="0"/>
    <xf numFmtId="0" fontId="36" fillId="11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7" fillId="26" borderId="0" applyNumberFormat="0" applyBorder="0" applyAlignment="0" applyProtection="0"/>
    <xf numFmtId="0" fontId="36" fillId="8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7" fillId="27" borderId="0" applyNumberFormat="0" applyBorder="0" applyAlignment="0" applyProtection="0"/>
    <xf numFmtId="0" fontId="36" fillId="7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7" fillId="28" borderId="0" applyNumberFormat="0" applyBorder="0" applyAlignment="0" applyProtection="0"/>
    <xf numFmtId="0" fontId="36" fillId="19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7" fillId="29" borderId="0" applyNumberFormat="0" applyBorder="0" applyAlignment="0" applyProtection="0"/>
    <xf numFmtId="0" fontId="36" fillId="21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7" fillId="30" borderId="0" applyNumberFormat="0" applyBorder="0" applyAlignment="0" applyProtection="0"/>
    <xf numFmtId="0" fontId="36" fillId="4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7" fillId="31" borderId="0" applyNumberFormat="0" applyBorder="0" applyAlignment="0" applyProtection="0"/>
    <xf numFmtId="0" fontId="36" fillId="12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7" fillId="32" borderId="0" applyNumberFormat="0" applyBorder="0" applyAlignment="0" applyProtection="0"/>
    <xf numFmtId="0" fontId="36" fillId="15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7" fillId="33" borderId="0" applyNumberFormat="0" applyBorder="0" applyAlignment="0" applyProtection="0"/>
    <xf numFmtId="0" fontId="36" fillId="17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7" fillId="34" borderId="0" applyNumberFormat="0" applyBorder="0" applyAlignment="0" applyProtection="0"/>
    <xf numFmtId="0" fontId="36" fillId="19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7" fillId="35" borderId="0" applyNumberFormat="0" applyBorder="0" applyAlignment="0" applyProtection="0"/>
    <xf numFmtId="0" fontId="36" fillId="12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7" fillId="36" borderId="0" applyNumberFormat="0" applyBorder="0" applyAlignment="0" applyProtection="0"/>
    <xf numFmtId="0" fontId="36" fillId="2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9" fillId="37" borderId="0" applyNumberFormat="0" applyBorder="0" applyAlignment="0" applyProtection="0"/>
    <xf numFmtId="0" fontId="38" fillId="13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9" fillId="38" borderId="0" applyNumberFormat="0" applyBorder="0" applyAlignment="0" applyProtection="0"/>
    <xf numFmtId="0" fontId="38" fillId="15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9" fillId="39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9" fillId="40" borderId="0" applyNumberFormat="0" applyBorder="0" applyAlignment="0" applyProtection="0"/>
    <xf numFmtId="0" fontId="38" fillId="18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9" fillId="41" borderId="0" applyNumberFormat="0" applyBorder="0" applyAlignment="0" applyProtection="0"/>
    <xf numFmtId="0" fontId="38" fillId="20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9" fillId="42" borderId="0" applyNumberFormat="0" applyBorder="0" applyAlignment="0" applyProtection="0"/>
    <xf numFmtId="0" fontId="38" fillId="24" borderId="0" applyNumberFormat="0" applyBorder="0" applyAlignment="0" applyProtection="0"/>
    <xf numFmtId="0" fontId="28" fillId="5" borderId="10" applyNumberFormat="0" applyAlignment="0" applyProtection="0"/>
    <xf numFmtId="0" fontId="28" fillId="5" borderId="10" applyNumberFormat="0" applyAlignment="0" applyProtection="0"/>
    <xf numFmtId="0" fontId="28" fillId="5" borderId="10" applyNumberFormat="0" applyAlignment="0" applyProtection="0"/>
    <xf numFmtId="0" fontId="40" fillId="43" borderId="15">
      <alignment horizontal="left" vertical="center" indent="1"/>
    </xf>
    <xf numFmtId="0" fontId="40" fillId="43" borderId="15">
      <alignment horizontal="left" vertical="center" indent="1"/>
    </xf>
    <xf numFmtId="0" fontId="23" fillId="0" borderId="7" applyNumberFormat="0" applyFill="0" applyAlignment="0" applyProtection="0"/>
    <xf numFmtId="0" fontId="41" fillId="0" borderId="16" applyNumberFormat="0" applyFill="0" applyAlignment="0" applyProtection="0"/>
    <xf numFmtId="0" fontId="24" fillId="0" borderId="8" applyNumberFormat="0" applyFill="0" applyAlignment="0" applyProtection="0"/>
    <xf numFmtId="0" fontId="42" fillId="0" borderId="17" applyNumberFormat="0" applyFill="0" applyAlignment="0" applyProtection="0"/>
    <xf numFmtId="0" fontId="25" fillId="0" borderId="9" applyNumberFormat="0" applyFill="0" applyAlignment="0" applyProtection="0"/>
    <xf numFmtId="0" fontId="43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6" fillId="4" borderId="10" applyNumberFormat="0" applyAlignment="0" applyProtection="0"/>
    <xf numFmtId="0" fontId="26" fillId="4" borderId="10" applyNumberFormat="0" applyAlignment="0" applyProtection="0"/>
    <xf numFmtId="0" fontId="26" fillId="4" borderId="10" applyNumberFormat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5" fillId="0" borderId="0"/>
    <xf numFmtId="0" fontId="19" fillId="3" borderId="6" applyNumberFormat="0" applyFont="0" applyAlignment="0" applyProtection="0"/>
    <xf numFmtId="0" fontId="19" fillId="3" borderId="6" applyNumberFormat="0" applyFont="0" applyAlignment="0" applyProtection="0"/>
    <xf numFmtId="0" fontId="27" fillId="5" borderId="11" applyNumberFormat="0" applyAlignment="0" applyProtection="0"/>
    <xf numFmtId="0" fontId="27" fillId="5" borderId="11" applyNumberFormat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46" fillId="0" borderId="0">
      <alignment vertical="top"/>
    </xf>
    <xf numFmtId="0" fontId="21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8" fillId="10" borderId="0" applyNumberFormat="0" applyBorder="0" applyAlignment="0" applyProtection="0"/>
    <xf numFmtId="0" fontId="39" fillId="44" borderId="0" applyNumberFormat="0" applyBorder="0" applyAlignment="0" applyProtection="0"/>
    <xf numFmtId="0" fontId="38" fillId="10" borderId="0" applyNumberFormat="0" applyBorder="0" applyAlignment="0" applyProtection="0"/>
    <xf numFmtId="0" fontId="38" fillId="14" borderId="0" applyNumberFormat="0" applyBorder="0" applyAlignment="0" applyProtection="0"/>
    <xf numFmtId="0" fontId="39" fillId="45" borderId="0" applyNumberFormat="0" applyBorder="0" applyAlignment="0" applyProtection="0"/>
    <xf numFmtId="0" fontId="38" fillId="14" borderId="0" applyNumberFormat="0" applyBorder="0" applyAlignment="0" applyProtection="0"/>
    <xf numFmtId="0" fontId="38" fillId="16" borderId="0" applyNumberFormat="0" applyBorder="0" applyAlignment="0" applyProtection="0"/>
    <xf numFmtId="0" fontId="39" fillId="46" borderId="0" applyNumberFormat="0" applyBorder="0" applyAlignment="0" applyProtection="0"/>
    <xf numFmtId="0" fontId="38" fillId="16" borderId="0" applyNumberFormat="0" applyBorder="0" applyAlignment="0" applyProtection="0"/>
    <xf numFmtId="0" fontId="38" fillId="18" borderId="0" applyNumberFormat="0" applyBorder="0" applyAlignment="0" applyProtection="0"/>
    <xf numFmtId="0" fontId="39" fillId="47" borderId="0" applyNumberFormat="0" applyBorder="0" applyAlignment="0" applyProtection="0"/>
    <xf numFmtId="0" fontId="38" fillId="18" borderId="0" applyNumberFormat="0" applyBorder="0" applyAlignment="0" applyProtection="0"/>
    <xf numFmtId="0" fontId="38" fillId="20" borderId="0" applyNumberFormat="0" applyBorder="0" applyAlignment="0" applyProtection="0"/>
    <xf numFmtId="0" fontId="39" fillId="48" borderId="0" applyNumberFormat="0" applyBorder="0" applyAlignment="0" applyProtection="0"/>
    <xf numFmtId="0" fontId="38" fillId="20" borderId="0" applyNumberFormat="0" applyBorder="0" applyAlignment="0" applyProtection="0"/>
    <xf numFmtId="0" fontId="38" fillId="22" borderId="0" applyNumberFormat="0" applyBorder="0" applyAlignment="0" applyProtection="0"/>
    <xf numFmtId="0" fontId="39" fillId="49" borderId="0" applyNumberFormat="0" applyBorder="0" applyAlignment="0" applyProtection="0"/>
    <xf numFmtId="0" fontId="38" fillId="22" borderId="0" applyNumberFormat="0" applyBorder="0" applyAlignment="0" applyProtection="0"/>
    <xf numFmtId="0" fontId="48" fillId="4" borderId="10" applyNumberFormat="0" applyAlignment="0" applyProtection="0"/>
    <xf numFmtId="0" fontId="49" fillId="50" borderId="19" applyNumberFormat="0" applyAlignment="0" applyProtection="0"/>
    <xf numFmtId="0" fontId="48" fillId="4" borderId="10" applyNumberFormat="0" applyAlignment="0" applyProtection="0"/>
    <xf numFmtId="0" fontId="50" fillId="5" borderId="11" applyNumberFormat="0" applyAlignment="0" applyProtection="0"/>
    <xf numFmtId="0" fontId="51" fillId="51" borderId="20" applyNumberFormat="0" applyAlignment="0" applyProtection="0"/>
    <xf numFmtId="0" fontId="50" fillId="5" borderId="11" applyNumberFormat="0" applyAlignment="0" applyProtection="0"/>
    <xf numFmtId="0" fontId="52" fillId="5" borderId="10" applyNumberFormat="0" applyAlignment="0" applyProtection="0"/>
    <xf numFmtId="0" fontId="53" fillId="51" borderId="19" applyNumberFormat="0" applyAlignment="0" applyProtection="0"/>
    <xf numFmtId="0" fontId="52" fillId="5" borderId="10" applyNumberFormat="0" applyAlignment="0" applyProtection="0"/>
    <xf numFmtId="0" fontId="54" fillId="0" borderId="0" applyNumberFormat="0" applyFill="0" applyBorder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7" fillId="0" borderId="9" applyNumberFormat="0" applyFill="0" applyAlignment="0" applyProtection="0"/>
    <xf numFmtId="0" fontId="57" fillId="0" borderId="9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14" applyNumberFormat="0" applyFill="0" applyAlignment="0" applyProtection="0"/>
    <xf numFmtId="0" fontId="59" fillId="0" borderId="21" applyNumberFormat="0" applyFill="0" applyAlignment="0" applyProtection="0"/>
    <xf numFmtId="0" fontId="58" fillId="0" borderId="14" applyNumberFormat="0" applyFill="0" applyAlignment="0" applyProtection="0"/>
    <xf numFmtId="0" fontId="60" fillId="6" borderId="12" applyNumberFormat="0" applyAlignment="0" applyProtection="0"/>
    <xf numFmtId="0" fontId="61" fillId="52" borderId="22" applyNumberFormat="0" applyAlignment="0" applyProtection="0"/>
    <xf numFmtId="0" fontId="60" fillId="6" borderId="12" applyNumberFormat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9" borderId="0" applyNumberFormat="0" applyBorder="0" applyAlignment="0" applyProtection="0"/>
    <xf numFmtId="0" fontId="64" fillId="53" borderId="0" applyNumberFormat="0" applyBorder="0" applyAlignment="0" applyProtection="0"/>
    <xf numFmtId="0" fontId="63" fillId="9" borderId="0" applyNumberFormat="0" applyBorder="0" applyAlignment="0" applyProtection="0"/>
    <xf numFmtId="0" fontId="37" fillId="0" borderId="0"/>
    <xf numFmtId="0" fontId="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8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0" fillId="0" borderId="0"/>
    <xf numFmtId="0" fontId="65" fillId="0" borderId="0"/>
    <xf numFmtId="0" fontId="65" fillId="0" borderId="0"/>
    <xf numFmtId="0" fontId="70" fillId="0" borderId="0"/>
    <xf numFmtId="0" fontId="66" fillId="0" borderId="0"/>
    <xf numFmtId="0" fontId="0" fillId="0" borderId="0"/>
    <xf numFmtId="0" fontId="37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 applyNumberFormat="0" applyFont="0" applyFill="0" applyBorder="0" applyAlignment="0" applyProtection="0">
      <alignment vertical="top"/>
    </xf>
    <xf numFmtId="0" fontId="66" fillId="0" borderId="0"/>
    <xf numFmtId="0" fontId="66" fillId="0" borderId="0"/>
    <xf numFmtId="0" fontId="66" fillId="0" borderId="0"/>
    <xf numFmtId="0" fontId="0" fillId="0" borderId="0"/>
    <xf numFmtId="0" fontId="66" fillId="0" borderId="0"/>
    <xf numFmtId="0" fontId="66" fillId="0" borderId="0"/>
    <xf numFmtId="0" fontId="66" fillId="0" borderId="0"/>
    <xf numFmtId="0" fontId="7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6" fillId="0" borderId="0"/>
    <xf numFmtId="0" fontId="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5" fillId="0" borderId="0"/>
    <xf numFmtId="0" fontId="0" fillId="0" borderId="0"/>
    <xf numFmtId="0" fontId="0" fillId="0" borderId="0"/>
    <xf numFmtId="0" fontId="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3" fillId="0" borderId="0"/>
    <xf numFmtId="0" fontId="66" fillId="0" borderId="0"/>
    <xf numFmtId="0" fontId="68" fillId="0" borderId="0"/>
    <xf numFmtId="0" fontId="73" fillId="0" borderId="0"/>
    <xf numFmtId="0" fontId="73" fillId="0" borderId="0"/>
    <xf numFmtId="0" fontId="69" fillId="0" borderId="0"/>
    <xf numFmtId="0" fontId="71" fillId="0" borderId="0"/>
    <xf numFmtId="0" fontId="71" fillId="0" borderId="0"/>
    <xf numFmtId="0" fontId="72" fillId="0" borderId="0"/>
    <xf numFmtId="0" fontId="0" fillId="0" borderId="0"/>
    <xf numFmtId="0" fontId="0" fillId="0" borderId="0"/>
    <xf numFmtId="0" fontId="69" fillId="0" borderId="0"/>
    <xf numFmtId="0" fontId="0" fillId="0" borderId="0"/>
    <xf numFmtId="0" fontId="69" fillId="0" borderId="0"/>
    <xf numFmtId="0" fontId="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5" fillId="0" borderId="0"/>
    <xf numFmtId="0" fontId="7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1" fillId="0" borderId="0"/>
    <xf numFmtId="0" fontId="66" fillId="0" borderId="0"/>
    <xf numFmtId="0" fontId="71" fillId="0" borderId="0"/>
    <xf numFmtId="0" fontId="71" fillId="0" borderId="0"/>
    <xf numFmtId="0" fontId="71" fillId="0" borderId="0" applyNumberFormat="0" applyFont="0" applyFill="0" applyBorder="0" applyAlignment="0" applyProtection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5" fillId="0" borderId="0" applyNumberFormat="0" applyFill="0" applyBorder="0" applyAlignment="0" applyProtection="0"/>
    <xf numFmtId="0" fontId="76" fillId="8" borderId="0" applyNumberFormat="0" applyBorder="0" applyAlignment="0" applyProtection="0"/>
    <xf numFmtId="0" fontId="77" fillId="54" borderId="0" applyNumberFormat="0" applyBorder="0" applyAlignment="0" applyProtection="0"/>
    <xf numFmtId="0" fontId="76" fillId="8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0" fillId="3" borderId="6" applyNumberFormat="0" applyFont="0" applyAlignment="0" applyProtection="0"/>
    <xf numFmtId="0" fontId="37" fillId="55" borderId="23" applyNumberFormat="0" applyFont="0" applyAlignment="0" applyProtection="0"/>
    <xf numFmtId="0" fontId="19" fillId="3" borderId="6" applyNumberFormat="0" applyFont="0" applyAlignment="0" applyProtection="0"/>
    <xf numFmtId="0" fontId="0" fillId="3" borderId="6" applyNumberFormat="0" applyFont="0" applyAlignment="0" applyProtection="0"/>
    <xf numFmtId="0" fontId="19" fillId="3" borderId="6" applyNumberFormat="0" applyFont="0" applyAlignment="0" applyProtection="0"/>
    <xf numFmtId="9" fontId="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80" fillId="0" borderId="13" applyNumberFormat="0" applyFill="0" applyAlignment="0" applyProtection="0"/>
    <xf numFmtId="0" fontId="81" fillId="0" borderId="24" applyNumberFormat="0" applyFill="0" applyAlignment="0" applyProtection="0"/>
    <xf numFmtId="0" fontId="80" fillId="0" borderId="13" applyNumberFormat="0" applyFill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69" fillId="0" borderId="0" applyFont="0" applyFill="0" applyBorder="0" applyAlignment="0" applyProtection="0"/>
    <xf numFmtId="179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84" fillId="7" borderId="0" applyNumberFormat="0" applyBorder="0" applyAlignment="0" applyProtection="0"/>
    <xf numFmtId="0" fontId="85" fillId="56" borderId="0" applyNumberFormat="0" applyBorder="0" applyAlignment="0" applyProtection="0"/>
    <xf numFmtId="0" fontId="84" fillId="7" borderId="0" applyNumberFormat="0" applyBorder="0" applyAlignment="0" applyProtection="0"/>
  </cellStyleXfs>
  <cellXfs count="42">
    <xf numFmtId="0" fontId="0" fillId="0" borderId="0" xfId="0"/>
    <xf numFmtId="181" fontId="0" fillId="0" borderId="0" xfId="0" applyNumberFormat="1"/>
    <xf numFmtId="182" fontId="0" fillId="0" borderId="0" xfId="1" applyNumberFormat="1" applyFont="1" applyAlignment="1"/>
    <xf numFmtId="58" fontId="0" fillId="0" borderId="0" xfId="0" applyNumberFormat="1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wrapText="1"/>
    </xf>
    <xf numFmtId="0" fontId="4" fillId="0" borderId="0" xfId="250" applyFont="1"/>
    <xf numFmtId="0" fontId="5" fillId="0" borderId="0" xfId="0" applyFont="1" applyFill="1"/>
    <xf numFmtId="0" fontId="6" fillId="0" borderId="0" xfId="0" applyFont="1" applyFill="1" applyBorder="1" applyAlignment="1">
      <alignment horizontal="centerContinuous" wrapText="1"/>
    </xf>
    <xf numFmtId="0" fontId="7" fillId="0" borderId="0" xfId="0" applyFont="1" applyAlignment="1">
      <alignment horizontal="centerContinuous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6" fillId="0" borderId="2" xfId="0" applyFont="1" applyFill="1" applyBorder="1" applyAlignment="1">
      <alignment horizontal="center" vertical="center"/>
    </xf>
    <xf numFmtId="58" fontId="10" fillId="0" borderId="2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/>
    <xf numFmtId="3" fontId="11" fillId="0" borderId="3" xfId="0" applyNumberFormat="1" applyFont="1" applyFill="1" applyBorder="1" applyAlignment="1">
      <alignment horizontal="right"/>
    </xf>
    <xf numFmtId="0" fontId="10" fillId="2" borderId="4" xfId="0" applyFont="1" applyFill="1" applyBorder="1" applyAlignment="1">
      <alignment horizontal="left" indent="1"/>
    </xf>
    <xf numFmtId="3" fontId="10" fillId="0" borderId="4" xfId="0" applyNumberFormat="1" applyFont="1" applyFill="1" applyBorder="1" applyAlignment="1">
      <alignment horizontal="right"/>
    </xf>
    <xf numFmtId="0" fontId="12" fillId="2" borderId="4" xfId="0" applyFont="1" applyFill="1" applyBorder="1" applyAlignment="1">
      <alignment horizontal="left" indent="3"/>
    </xf>
    <xf numFmtId="3" fontId="12" fillId="0" borderId="4" xfId="0" applyNumberFormat="1" applyFont="1" applyFill="1" applyBorder="1" applyAlignment="1">
      <alignment horizontal="right"/>
    </xf>
    <xf numFmtId="0" fontId="13" fillId="2" borderId="4" xfId="0" applyFont="1" applyFill="1" applyBorder="1" applyAlignment="1">
      <alignment horizontal="left" indent="4"/>
    </xf>
    <xf numFmtId="3" fontId="13" fillId="0" borderId="4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left" indent="5"/>
    </xf>
    <xf numFmtId="3" fontId="5" fillId="0" borderId="4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 vertical="top" wrapText="1" indent="6"/>
    </xf>
    <xf numFmtId="3" fontId="4" fillId="0" borderId="4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 vertical="center" wrapText="1" indent="6"/>
    </xf>
    <xf numFmtId="0" fontId="5" fillId="2" borderId="4" xfId="0" applyFont="1" applyFill="1" applyBorder="1" applyAlignment="1">
      <alignment horizontal="left" indent="4"/>
    </xf>
    <xf numFmtId="0" fontId="10" fillId="0" borderId="4" xfId="253" applyFont="1" applyFill="1" applyBorder="1" applyAlignment="1">
      <alignment horizontal="left" indent="1"/>
    </xf>
    <xf numFmtId="0" fontId="5" fillId="2" borderId="4" xfId="0" applyFont="1" applyFill="1" applyBorder="1" applyAlignment="1">
      <alignment horizontal="left" wrapText="1" indent="4"/>
    </xf>
    <xf numFmtId="0" fontId="5" fillId="2" borderId="5" xfId="0" applyFont="1" applyFill="1" applyBorder="1" applyAlignment="1">
      <alignment horizontal="left" indent="4"/>
    </xf>
    <xf numFmtId="3" fontId="5" fillId="0" borderId="5" xfId="0" applyNumberFormat="1" applyFont="1" applyFill="1" applyBorder="1" applyAlignment="1">
      <alignment horizontal="right"/>
    </xf>
    <xf numFmtId="3" fontId="2" fillId="0" borderId="0" xfId="0" applyNumberFormat="1" applyFont="1" applyFill="1"/>
    <xf numFmtId="0" fontId="4" fillId="0" borderId="0" xfId="250" applyFont="1" applyAlignment="1">
      <alignment horizontal="left" vertical="top"/>
    </xf>
    <xf numFmtId="0" fontId="14" fillId="0" borderId="0" xfId="0" applyFont="1" applyAlignment="1"/>
    <xf numFmtId="0" fontId="4" fillId="0" borderId="0" xfId="0" applyFont="1" applyFill="1"/>
    <xf numFmtId="0" fontId="5" fillId="0" borderId="0" xfId="310" applyFont="1"/>
    <xf numFmtId="0" fontId="15" fillId="0" borderId="0" xfId="0" applyFont="1"/>
    <xf numFmtId="181" fontId="5" fillId="0" borderId="0" xfId="0" applyNumberFormat="1" applyFont="1" applyFill="1"/>
  </cellXfs>
  <cellStyles count="39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Акцент1 2" xfId="49"/>
    <cellStyle name="20% — акцент1 2" xfId="50"/>
    <cellStyle name="20% - Акцент1 2 2" xfId="51"/>
    <cellStyle name="20% — акцент1 3" xfId="52"/>
    <cellStyle name="20% - Акцент2 2" xfId="53"/>
    <cellStyle name="20% — акцент2 2" xfId="54"/>
    <cellStyle name="20% - Акцент2 2 2" xfId="55"/>
    <cellStyle name="20% — акцент2 3" xfId="56"/>
    <cellStyle name="20% - Акцент3 2" xfId="57"/>
    <cellStyle name="20% — акцент3 2" xfId="58"/>
    <cellStyle name="20% - Акцент3 2 2" xfId="59"/>
    <cellStyle name="20% — акцент3 3" xfId="60"/>
    <cellStyle name="20% - Акцент4 2" xfId="61"/>
    <cellStyle name="20% — акцент4 2" xfId="62"/>
    <cellStyle name="20% - Акцент4 2 2" xfId="63"/>
    <cellStyle name="20% — акцент4 3" xfId="64"/>
    <cellStyle name="20% - Акцент5 2" xfId="65"/>
    <cellStyle name="20% — акцент5 2" xfId="66"/>
    <cellStyle name="20% - Акцент5 2 2" xfId="67"/>
    <cellStyle name="20% — акцент5 3" xfId="68"/>
    <cellStyle name="20% - Акцент6 2" xfId="69"/>
    <cellStyle name="20% — акцент6 2" xfId="70"/>
    <cellStyle name="20% - Акцент6 2 2" xfId="71"/>
    <cellStyle name="20% — акцент6 3" xfId="72"/>
    <cellStyle name="40% - Акцент1 2" xfId="73"/>
    <cellStyle name="40% — акцент1 2" xfId="74"/>
    <cellStyle name="40% - Акцент1 2 2" xfId="75"/>
    <cellStyle name="40% — акцент1 3" xfId="76"/>
    <cellStyle name="40% - Акцент2 2" xfId="77"/>
    <cellStyle name="40% — акцент2 2" xfId="78"/>
    <cellStyle name="40% - Акцент2 2 2" xfId="79"/>
    <cellStyle name="40% — акцент2 3" xfId="80"/>
    <cellStyle name="40% - Акцент3 2" xfId="81"/>
    <cellStyle name="40% — акцент3 2" xfId="82"/>
    <cellStyle name="40% - Акцент3 2 2" xfId="83"/>
    <cellStyle name="40% — акцент3 3" xfId="84"/>
    <cellStyle name="40% - Акцент4 2" xfId="85"/>
    <cellStyle name="40% — акцент4 2" xfId="86"/>
    <cellStyle name="40% - Акцент4 2 2" xfId="87"/>
    <cellStyle name="40% — акцент4 3" xfId="88"/>
    <cellStyle name="40% - Акцент5 2" xfId="89"/>
    <cellStyle name="40% — акцент5 2" xfId="90"/>
    <cellStyle name="40% - Акцент5 2 2" xfId="91"/>
    <cellStyle name="40% — акцент5 3" xfId="92"/>
    <cellStyle name="40% - Акцент6 2" xfId="93"/>
    <cellStyle name="40% — акцент6 2" xfId="94"/>
    <cellStyle name="40% - Акцент6 2 2" xfId="95"/>
    <cellStyle name="40% — акцент6 3" xfId="96"/>
    <cellStyle name="60% - Акцент1 2" xfId="97"/>
    <cellStyle name="60% — акцент1 2" xfId="98"/>
    <cellStyle name="60% - Акцент1 2 2" xfId="99"/>
    <cellStyle name="60% — акцент1 3" xfId="100"/>
    <cellStyle name="60% - Акцент2 2" xfId="101"/>
    <cellStyle name="60% — акцент2 2" xfId="102"/>
    <cellStyle name="60% - Акцент2 2 2" xfId="103"/>
    <cellStyle name="60% — акцент2 3" xfId="104"/>
    <cellStyle name="60% - Акцент3 2" xfId="105"/>
    <cellStyle name="60% — акцент3 2" xfId="106"/>
    <cellStyle name="60% - Акцент3 2 2" xfId="107"/>
    <cellStyle name="60% — акцент3 3" xfId="108"/>
    <cellStyle name="60% - Акцент4 2" xfId="109"/>
    <cellStyle name="60% — акцент4 2" xfId="110"/>
    <cellStyle name="60% - Акцент4 2 2" xfId="111"/>
    <cellStyle name="60% — акцент4 3" xfId="112"/>
    <cellStyle name="60% - Акцент5 2" xfId="113"/>
    <cellStyle name="60% — акцент5 2" xfId="114"/>
    <cellStyle name="60% - Акцент5 2 2" xfId="115"/>
    <cellStyle name="60% — акцент5 3" xfId="116"/>
    <cellStyle name="60% - Акцент6 2" xfId="117"/>
    <cellStyle name="60% — акцент6 2" xfId="118"/>
    <cellStyle name="60% - Акцент6 2 2" xfId="119"/>
    <cellStyle name="60% — акцент6 3" xfId="120"/>
    <cellStyle name="Calculation 2" xfId="121"/>
    <cellStyle name="Calculation 3" xfId="122"/>
    <cellStyle name="Calculation 4" xfId="123"/>
    <cellStyle name="clsReportHeader" xfId="124"/>
    <cellStyle name="clsReportHeader 2" xfId="125"/>
    <cellStyle name="Heading 1 2" xfId="126"/>
    <cellStyle name="Heading 1 3" xfId="127"/>
    <cellStyle name="Heading 2 2" xfId="128"/>
    <cellStyle name="Heading 2 3" xfId="129"/>
    <cellStyle name="Heading 3 2" xfId="130"/>
    <cellStyle name="Heading 3 3" xfId="131"/>
    <cellStyle name="Heading 4 2" xfId="132"/>
    <cellStyle name="Heading 4 3" xfId="133"/>
    <cellStyle name="Input 2" xfId="134"/>
    <cellStyle name="Input 3" xfId="135"/>
    <cellStyle name="Input 4" xfId="136"/>
    <cellStyle name="Normal 2" xfId="137"/>
    <cellStyle name="Normal 2 2" xfId="138"/>
    <cellStyle name="Normal 3" xfId="139"/>
    <cellStyle name="Normal 4" xfId="140"/>
    <cellStyle name="Normal 4 2" xfId="141"/>
    <cellStyle name="Normal_99201R_2008_12_29_08_15_01" xfId="142"/>
    <cellStyle name="Note 2" xfId="143"/>
    <cellStyle name="Note 3" xfId="144"/>
    <cellStyle name="Output 2" xfId="145"/>
    <cellStyle name="Output 3" xfId="146"/>
    <cellStyle name="Percent 2" xfId="147"/>
    <cellStyle name="Percent 2 2" xfId="148"/>
    <cellStyle name="Percent 2 3" xfId="149"/>
    <cellStyle name="Style 1" xfId="150"/>
    <cellStyle name="Title 2" xfId="151"/>
    <cellStyle name="Title 3" xfId="152"/>
    <cellStyle name="Total 2" xfId="153"/>
    <cellStyle name="Total 3" xfId="154"/>
    <cellStyle name="Акцент1 2" xfId="155"/>
    <cellStyle name="Акцент1 2 2" xfId="156"/>
    <cellStyle name="Акцент1 3" xfId="157"/>
    <cellStyle name="Акцент2 2" xfId="158"/>
    <cellStyle name="Акцент2 2 2" xfId="159"/>
    <cellStyle name="Акцент2 3" xfId="160"/>
    <cellStyle name="Акцент3 2" xfId="161"/>
    <cellStyle name="Акцент3 2 2" xfId="162"/>
    <cellStyle name="Акцент3 3" xfId="163"/>
    <cellStyle name="Акцент4 2" xfId="164"/>
    <cellStyle name="Акцент4 2 2" xfId="165"/>
    <cellStyle name="Акцент4 3" xfId="166"/>
    <cellStyle name="Акцент5 2" xfId="167"/>
    <cellStyle name="Акцент5 2 2" xfId="168"/>
    <cellStyle name="Акцент5 3" xfId="169"/>
    <cellStyle name="Акцент6 2" xfId="170"/>
    <cellStyle name="Акцент6 2 2" xfId="171"/>
    <cellStyle name="Акцент6 3" xfId="172"/>
    <cellStyle name="Ввод  2" xfId="173"/>
    <cellStyle name="Ввод  2 2" xfId="174"/>
    <cellStyle name="Ввод  3" xfId="175"/>
    <cellStyle name="Вывод 2" xfId="176"/>
    <cellStyle name="Вывод 2 2" xfId="177"/>
    <cellStyle name="Вывод 3" xfId="178"/>
    <cellStyle name="Вычисление 2" xfId="179"/>
    <cellStyle name="Вычисление 2 2" xfId="180"/>
    <cellStyle name="Вычисление 3" xfId="181"/>
    <cellStyle name="Гиперссылка 2" xfId="182"/>
    <cellStyle name="Заголовок 1 2" xfId="183"/>
    <cellStyle name="Заголовок 1 3" xfId="184"/>
    <cellStyle name="Заголовок 2 2" xfId="185"/>
    <cellStyle name="Заголовок 2 3" xfId="186"/>
    <cellStyle name="Заголовок 3 2" xfId="187"/>
    <cellStyle name="Заголовок 3 3" xfId="188"/>
    <cellStyle name="Заголовок 4 2" xfId="189"/>
    <cellStyle name="Заголовок 4 3" xfId="190"/>
    <cellStyle name="Итог 2" xfId="191"/>
    <cellStyle name="Итог 2 2" xfId="192"/>
    <cellStyle name="Итог 3" xfId="193"/>
    <cellStyle name="Контрольная ячейка 2" xfId="194"/>
    <cellStyle name="Контрольная ячейка 2 2" xfId="195"/>
    <cellStyle name="Контрольная ячейка 3" xfId="196"/>
    <cellStyle name="Название 2" xfId="197"/>
    <cellStyle name="Название 3" xfId="198"/>
    <cellStyle name="Нейтральный 2" xfId="199"/>
    <cellStyle name="Нейтральный 2 2" xfId="200"/>
    <cellStyle name="Нейтральный 3" xfId="201"/>
    <cellStyle name="Обычный 10" xfId="202"/>
    <cellStyle name="Обычный 10 2" xfId="203"/>
    <cellStyle name="Обычный 10 3" xfId="204"/>
    <cellStyle name="Обычный 11" xfId="205"/>
    <cellStyle name="Обычный 11 2" xfId="206"/>
    <cellStyle name="Обычный 11 2 2" xfId="207"/>
    <cellStyle name="Обычный 11 2 2 2" xfId="208"/>
    <cellStyle name="Обычный 11 2 3" xfId="209"/>
    <cellStyle name="Обычный 11 2 4" xfId="210"/>
    <cellStyle name="Обычный 11 2 5" xfId="211"/>
    <cellStyle name="Обычный 11 3" xfId="212"/>
    <cellStyle name="Обычный 11 3 2" xfId="213"/>
    <cellStyle name="Обычный 11 4" xfId="214"/>
    <cellStyle name="Обычный 11 4 2" xfId="215"/>
    <cellStyle name="Обычный 11 5" xfId="216"/>
    <cellStyle name="Обычный 11 6" xfId="217"/>
    <cellStyle name="Обычный 11 7" xfId="218"/>
    <cellStyle name="Обычный 12" xfId="219"/>
    <cellStyle name="Обычный 12 2" xfId="220"/>
    <cellStyle name="Обычный 12 2 2" xfId="221"/>
    <cellStyle name="Обычный 12 2 3" xfId="222"/>
    <cellStyle name="Обычный 12 2 4" xfId="223"/>
    <cellStyle name="Обычный 12 2 5" xfId="224"/>
    <cellStyle name="Обычный 12 3" xfId="225"/>
    <cellStyle name="Обычный 12 4" xfId="226"/>
    <cellStyle name="Обычный 12 5" xfId="227"/>
    <cellStyle name="Обычный 12 6" xfId="228"/>
    <cellStyle name="Обычный 13" xfId="229"/>
    <cellStyle name="Обычный 13 2" xfId="230"/>
    <cellStyle name="Обычный 13 2 2" xfId="231"/>
    <cellStyle name="Обычный 13 2 3" xfId="232"/>
    <cellStyle name="Обычный 13 2 4" xfId="233"/>
    <cellStyle name="Обычный 13 2 5" xfId="234"/>
    <cellStyle name="Обычный 13 3" xfId="235"/>
    <cellStyle name="Обычный 13 4" xfId="236"/>
    <cellStyle name="Обычный 13 5" xfId="237"/>
    <cellStyle name="Обычный 13 6" xfId="238"/>
    <cellStyle name="Обычный 14" xfId="239"/>
    <cellStyle name="Обычный 15" xfId="240"/>
    <cellStyle name="Обычный 15 2" xfId="241"/>
    <cellStyle name="Обычный 15 3" xfId="242"/>
    <cellStyle name="Обычный 15 4" xfId="243"/>
    <cellStyle name="Обычный 15 5" xfId="244"/>
    <cellStyle name="Обычный 16" xfId="245"/>
    <cellStyle name="Обычный 16 2" xfId="246"/>
    <cellStyle name="Обычный 17" xfId="247"/>
    <cellStyle name="Обычный 18" xfId="248"/>
    <cellStyle name="Обычный 19" xfId="249"/>
    <cellStyle name="Обычный 2" xfId="250"/>
    <cellStyle name="Обычный 2 10" xfId="251"/>
    <cellStyle name="Обычный 2 11" xfId="252"/>
    <cellStyle name="Обычный 2 2" xfId="253"/>
    <cellStyle name="Обычный 2 2 2" xfId="254"/>
    <cellStyle name="Обычный 2 2 2 2" xfId="255"/>
    <cellStyle name="Обычный 2 2 2 3" xfId="256"/>
    <cellStyle name="Обычный 2 2 3" xfId="257"/>
    <cellStyle name="Обычный 2 2 3 2" xfId="258"/>
    <cellStyle name="Обычный 2 2 4" xfId="259"/>
    <cellStyle name="Обычный 2 3" xfId="260"/>
    <cellStyle name="Обычный 2 3 2" xfId="261"/>
    <cellStyle name="Обычный 2 3 2 2" xfId="262"/>
    <cellStyle name="Обычный 2 3 2 3" xfId="263"/>
    <cellStyle name="Обычный 2 3 2 4" xfId="264"/>
    <cellStyle name="Обычный 2 3 2 5" xfId="265"/>
    <cellStyle name="Обычный 2 3 3" xfId="266"/>
    <cellStyle name="Обычный 2 3 3 2" xfId="267"/>
    <cellStyle name="Обычный 2 3 4" xfId="268"/>
    <cellStyle name="Обычный 2 3 5" xfId="269"/>
    <cellStyle name="Обычный 2 3 6" xfId="270"/>
    <cellStyle name="Обычный 2 3 7" xfId="271"/>
    <cellStyle name="Обычный 2 3 8" xfId="272"/>
    <cellStyle name="Обычный 2 4" xfId="273"/>
    <cellStyle name="Обычный 2 4 2" xfId="274"/>
    <cellStyle name="Обычный 2 4 2 2" xfId="275"/>
    <cellStyle name="Обычный 2 4 3" xfId="276"/>
    <cellStyle name="Обычный 2 4 4" xfId="277"/>
    <cellStyle name="Обычный 2 4 5" xfId="278"/>
    <cellStyle name="Обычный 2 4 6" xfId="279"/>
    <cellStyle name="Обычный 2 4 7" xfId="280"/>
    <cellStyle name="Обычный 2 5" xfId="281"/>
    <cellStyle name="Обычный 2 5 2" xfId="282"/>
    <cellStyle name="Обычный 2 6" xfId="283"/>
    <cellStyle name="Обычный 2 7" xfId="284"/>
    <cellStyle name="Обычный 2 8" xfId="285"/>
    <cellStyle name="Обычный 2 9" xfId="286"/>
    <cellStyle name="Обычный 21" xfId="287"/>
    <cellStyle name="Обычный 3" xfId="288"/>
    <cellStyle name="Обычный 3 2" xfId="289"/>
    <cellStyle name="Обычный 3 2 2" xfId="290"/>
    <cellStyle name="Обычный 3 2 3" xfId="291"/>
    <cellStyle name="Обычный 3 3" xfId="292"/>
    <cellStyle name="Обычный 3 3 2" xfId="293"/>
    <cellStyle name="Обычный 3 3 3" xfId="294"/>
    <cellStyle name="Обычный 3 3 4" xfId="295"/>
    <cellStyle name="Обычный 3 3 5" xfId="296"/>
    <cellStyle name="Обычный 3 3 6" xfId="297"/>
    <cellStyle name="Обычный 3 4" xfId="298"/>
    <cellStyle name="Обычный 3 5" xfId="299"/>
    <cellStyle name="Обычный 3 6" xfId="300"/>
    <cellStyle name="Обычный 4" xfId="301"/>
    <cellStyle name="Обычный 4 2" xfId="302"/>
    <cellStyle name="Обычный 4 2 2" xfId="303"/>
    <cellStyle name="Обычный 4 2 3" xfId="304"/>
    <cellStyle name="Обычный 4 3" xfId="305"/>
    <cellStyle name="Обычный 4 3 2" xfId="306"/>
    <cellStyle name="Обычный 4 3 3" xfId="307"/>
    <cellStyle name="Обычный 4 4" xfId="308"/>
    <cellStyle name="Обычный 4 5" xfId="309"/>
    <cellStyle name="Обычный 5" xfId="310"/>
    <cellStyle name="Обычный 5 2" xfId="311"/>
    <cellStyle name="Обычный 5 2 2" xfId="312"/>
    <cellStyle name="Обычный 5 2 3" xfId="313"/>
    <cellStyle name="Обычный 5 2 4" xfId="314"/>
    <cellStyle name="Обычный 5 2 5" xfId="315"/>
    <cellStyle name="Обычный 5 2 6" xfId="316"/>
    <cellStyle name="Обычный 5 3" xfId="317"/>
    <cellStyle name="Обычный 5 4" xfId="318"/>
    <cellStyle name="Обычный 5 5" xfId="319"/>
    <cellStyle name="Обычный 6" xfId="320"/>
    <cellStyle name="Обычный 6 2" xfId="321"/>
    <cellStyle name="Обычный 6 2 2" xfId="322"/>
    <cellStyle name="Обычный 6 2 3" xfId="323"/>
    <cellStyle name="Обычный 6 2 4" xfId="324"/>
    <cellStyle name="Обычный 6 2 5" xfId="325"/>
    <cellStyle name="Обычный 6 3" xfId="326"/>
    <cellStyle name="Обычный 6 4" xfId="327"/>
    <cellStyle name="Обычный 6 5" xfId="328"/>
    <cellStyle name="Обычный 6 6" xfId="329"/>
    <cellStyle name="Обычный 6 7" xfId="330"/>
    <cellStyle name="Обычный 7" xfId="331"/>
    <cellStyle name="Обычный 7 2" xfId="332"/>
    <cellStyle name="Обычный 7 2 2" xfId="333"/>
    <cellStyle name="Обычный 7 2 3" xfId="334"/>
    <cellStyle name="Обычный 7 2 4" xfId="335"/>
    <cellStyle name="Обычный 7 2 5" xfId="336"/>
    <cellStyle name="Обычный 7 3" xfId="337"/>
    <cellStyle name="Обычный 7 4" xfId="338"/>
    <cellStyle name="Обычный 7 5" xfId="339"/>
    <cellStyle name="Обычный 7 6" xfId="340"/>
    <cellStyle name="Обычный 7 7" xfId="341"/>
    <cellStyle name="Обычный 8" xfId="342"/>
    <cellStyle name="Обычный 8 2" xfId="343"/>
    <cellStyle name="Обычный 8 3" xfId="344"/>
    <cellStyle name="Обычный 9" xfId="345"/>
    <cellStyle name="Обычный 9 2" xfId="346"/>
    <cellStyle name="Обычный 9 2 2" xfId="347"/>
    <cellStyle name="Обычный 9 2 3" xfId="348"/>
    <cellStyle name="Обычный 9 2 4" xfId="349"/>
    <cellStyle name="Обычный 9 2 5" xfId="350"/>
    <cellStyle name="Обычный 9 3" xfId="351"/>
    <cellStyle name="Обычный 9 4" xfId="352"/>
    <cellStyle name="Обычный 9 5" xfId="353"/>
    <cellStyle name="Обычный 9 6" xfId="354"/>
    <cellStyle name="Открывавшаяся гиперссылка 2" xfId="355"/>
    <cellStyle name="Плохой 2" xfId="356"/>
    <cellStyle name="Плохой 2 2" xfId="357"/>
    <cellStyle name="Плохой 3" xfId="358"/>
    <cellStyle name="Пояснение 2" xfId="359"/>
    <cellStyle name="Пояснение 2 2" xfId="360"/>
    <cellStyle name="Пояснение 3" xfId="361"/>
    <cellStyle name="Примечание 2" xfId="362"/>
    <cellStyle name="Примечание 2 2" xfId="363"/>
    <cellStyle name="Примечание 2 3" xfId="364"/>
    <cellStyle name="Примечание 3" xfId="365"/>
    <cellStyle name="Примечание 3 2" xfId="366"/>
    <cellStyle name="Процентный 2" xfId="367"/>
    <cellStyle name="Процентный 2 2" xfId="368"/>
    <cellStyle name="Процентный 3" xfId="369"/>
    <cellStyle name="Процентный 3 2" xfId="370"/>
    <cellStyle name="Связанная ячейка 2" xfId="371"/>
    <cellStyle name="Связанная ячейка 2 2" xfId="372"/>
    <cellStyle name="Связанная ячейка 3" xfId="373"/>
    <cellStyle name="Текст предупреждения 2" xfId="374"/>
    <cellStyle name="Текст предупреждения 2 2" xfId="375"/>
    <cellStyle name="Текст предупреждения 3" xfId="376"/>
    <cellStyle name="Финансовый 2" xfId="377"/>
    <cellStyle name="Финансовый 2 2" xfId="378"/>
    <cellStyle name="Финансовый 2 3" xfId="379"/>
    <cellStyle name="Финансовый 2 4" xfId="380"/>
    <cellStyle name="Финансовый 2 5" xfId="381"/>
    <cellStyle name="Финансовый 2 6" xfId="382"/>
    <cellStyle name="Финансовый 2 7" xfId="383"/>
    <cellStyle name="Финансовый 2 8" xfId="384"/>
    <cellStyle name="Финансовый 3" xfId="385"/>
    <cellStyle name="Финансовый 4" xfId="386"/>
    <cellStyle name="Финансовый 4 2" xfId="387"/>
    <cellStyle name="Финансовый 4 3" xfId="388"/>
    <cellStyle name="Хороший 2" xfId="389"/>
    <cellStyle name="Хороший 2 2" xfId="390"/>
    <cellStyle name="Хороший 3" xfId="39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hanmashirapov/Desktop/MSF%20NU/Writing%20Sample%20MS2027/Domestic%20Fundamentals%20Russia/24.%20External%20Debt%20Russia/G:/BOP/COMPMETH/COMMON.OTD/BOPS/BOP0404/BoP0404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hanmashirapov/Desktop/MSF%20NU/Writing%20Sample%20MS2027/Domestic%20Fundamentals%20Russia/24.%20External%20Debt%20Russia/G:/BOP/COMPMETH/COMMON.OTD/BOPS/BOP0403/BoP0403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hanmashirapov/Desktop/MSF%20NU/Writing%20Sample%20MS2027/Domestic%20Fundamentals%20Russia/24.%20External%20Debt%20Russia/G:/BOP/CURRENT/COMMON.OTD/F_TRADE/BOP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hanmashirapov/Desktop/MSF%20NU/Writing%20Sample%20MS2027/Domestic%20Fundamentals%20Russia/24.%20External%20Debt%20Russia/G:/OLGA/BoP0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hanmashirapov/Desktop/MSF%20NU/Writing%20Sample%20MS2027/Domestic%20Fundamentals%20Russia/24.%20External%20Debt%20Russia/https://cbrportal.cbr.ru/Documents%20and%20Settings/Valievasm/&#1052;&#1086;&#1080;%20&#1076;&#1086;&#1082;&#1091;&#1084;&#1077;&#1085;&#1090;&#1099;/DIVIDENDS/&#1047;&#1072;&#1076;&#1086;&#1083;&#1078;&#1077;&#1085;&#1085;&#1086;&#1089;&#1090;&#1100;%20&#1087;&#1086;%20&#1076;&#1080;&#1074;&#1080;&#1076;&#1077;&#1085;&#1076;&#1072;&#1084;%20&#1074;%20&#1088;&#1072;&#1079;&#1088;&#1077;&#1079;&#1077;%20&#1082;&#1086;&#1084;&#1087;&#1072;&#1085;&#1080;&#1081;%20(&#1080;&#1076;&#1077;&#1085;&#1090;&#1080;&#1092;&#1080;&#1094;&#1080;&#1088;&#1086;&#1074;&#1072;&#1085;&#1085;&#1099;&#1077;%20SHS3,%204)_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hanmashirapov/Desktop/MSF%20NU/Writing%20Sample%20MS2027/Domestic%20Fundamentals%20Russia/24.%20External%20Debt%20Russia/G:/BOP/COMMON.UPR/Olya%20I/&#1052;&#1048;&#1055;_2012/IIP-2012-&#1057;&#1086;&#1083;&#1086;&#1074;&#1100;&#1077;&#1074;&#107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hanmashirapov/Desktop/MSF%20NU/Writing%20Sample%20MS2027/Domestic%20Fundamentals%20Russia/24.%20External%20Debt%20Russia///DFO_NW/VOL1/BOP/COMPMETH/COMMON.OTD/BOPS/BOP0497/BOP0397/RSR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hanmashirapov/Desktop/MSF%20NU/Writing%20Sample%20MS2027/Domestic%20Fundamentals%20Russia/24.%20External%20Debt%20Russia/G:/BOP/COMPMETH/COMMON.OTD/BOPS/Bop0402/BoP0402n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Bonds"/>
      <sheetName val="Portfolio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Лист2"/>
      <sheetName val="Лист1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корпоратив.облигации"/>
      <sheetName val="в том числе фин.посредники 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41"/>
  <sheetViews>
    <sheetView zoomScale="55" zoomScaleNormal="55" zoomScaleSheetLayoutView="90" workbookViewId="0">
      <pane xSplit="1" ySplit="4" topLeftCell="B90" activePane="bottomRight" state="frozen"/>
      <selection/>
      <selection pane="topRight"/>
      <selection pane="bottomLeft"/>
      <selection pane="bottomRight" activeCell="B4" sqref="B4"/>
    </sheetView>
  </sheetViews>
  <sheetFormatPr defaultColWidth="9.11029411764706" defaultRowHeight="14.4"/>
  <cols>
    <col min="1" max="1" width="223.235294117647" style="10" customWidth="1"/>
    <col min="2" max="85" width="12.8897058823529" style="10" customWidth="1"/>
    <col min="86" max="95" width="13.3308823529412" style="10" customWidth="1"/>
    <col min="96" max="16384" width="9.11029411764706" style="10"/>
  </cols>
  <sheetData>
    <row r="1" s="4" customFormat="1" ht="21" spans="1:9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</row>
    <row r="2" s="4" customFormat="1" ht="19.2" spans="1:9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</row>
    <row r="3" ht="15" customHeight="1" spans="1:9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4" t="s">
        <v>1</v>
      </c>
    </row>
    <row r="4" s="5" customFormat="1" ht="27.75" customHeight="1" spans="1:95">
      <c r="A4" s="15"/>
      <c r="B4" s="16">
        <v>37622</v>
      </c>
      <c r="C4" s="16">
        <v>37712</v>
      </c>
      <c r="D4" s="16">
        <v>37803</v>
      </c>
      <c r="E4" s="16">
        <v>37895</v>
      </c>
      <c r="F4" s="16">
        <v>37987</v>
      </c>
      <c r="G4" s="16">
        <v>38078</v>
      </c>
      <c r="H4" s="16">
        <v>38169</v>
      </c>
      <c r="I4" s="16">
        <v>38261</v>
      </c>
      <c r="J4" s="16">
        <v>38353</v>
      </c>
      <c r="K4" s="16">
        <v>38443</v>
      </c>
      <c r="L4" s="16">
        <v>38534</v>
      </c>
      <c r="M4" s="16">
        <v>38626</v>
      </c>
      <c r="N4" s="16">
        <v>38718</v>
      </c>
      <c r="O4" s="16">
        <v>38808</v>
      </c>
      <c r="P4" s="16">
        <v>38899</v>
      </c>
      <c r="Q4" s="16">
        <v>38991</v>
      </c>
      <c r="R4" s="16">
        <v>39083</v>
      </c>
      <c r="S4" s="16">
        <v>39173</v>
      </c>
      <c r="T4" s="16">
        <v>39264</v>
      </c>
      <c r="U4" s="16">
        <v>39356</v>
      </c>
      <c r="V4" s="16">
        <v>39448</v>
      </c>
      <c r="W4" s="16">
        <v>39539</v>
      </c>
      <c r="X4" s="16">
        <v>39630</v>
      </c>
      <c r="Y4" s="16">
        <v>39722</v>
      </c>
      <c r="Z4" s="16">
        <v>39814</v>
      </c>
      <c r="AA4" s="16">
        <v>39904</v>
      </c>
      <c r="AB4" s="16">
        <v>39995</v>
      </c>
      <c r="AC4" s="16">
        <v>40087</v>
      </c>
      <c r="AD4" s="16">
        <v>40179</v>
      </c>
      <c r="AE4" s="16">
        <v>40269</v>
      </c>
      <c r="AF4" s="16">
        <v>40360</v>
      </c>
      <c r="AG4" s="16">
        <v>40452</v>
      </c>
      <c r="AH4" s="16">
        <v>40544</v>
      </c>
      <c r="AI4" s="16">
        <v>40634</v>
      </c>
      <c r="AJ4" s="16">
        <v>40725</v>
      </c>
      <c r="AK4" s="16">
        <v>40817</v>
      </c>
      <c r="AL4" s="16">
        <v>40909</v>
      </c>
      <c r="AM4" s="16">
        <v>41000</v>
      </c>
      <c r="AN4" s="16">
        <v>41091</v>
      </c>
      <c r="AO4" s="16">
        <v>41183</v>
      </c>
      <c r="AP4" s="16">
        <v>41275</v>
      </c>
      <c r="AQ4" s="16">
        <v>41365</v>
      </c>
      <c r="AR4" s="16">
        <v>41456</v>
      </c>
      <c r="AS4" s="16">
        <v>41548</v>
      </c>
      <c r="AT4" s="16">
        <v>41640</v>
      </c>
      <c r="AU4" s="16">
        <v>41730</v>
      </c>
      <c r="AV4" s="16">
        <v>41821</v>
      </c>
      <c r="AW4" s="16">
        <v>41913</v>
      </c>
      <c r="AX4" s="16">
        <v>42005</v>
      </c>
      <c r="AY4" s="16">
        <v>42095</v>
      </c>
      <c r="AZ4" s="16">
        <v>42186</v>
      </c>
      <c r="BA4" s="16">
        <v>42278</v>
      </c>
      <c r="BB4" s="16">
        <v>42370</v>
      </c>
      <c r="BC4" s="16">
        <v>42461</v>
      </c>
      <c r="BD4" s="16">
        <v>42552</v>
      </c>
      <c r="BE4" s="16">
        <v>42644</v>
      </c>
      <c r="BF4" s="16">
        <v>42736</v>
      </c>
      <c r="BG4" s="16">
        <v>42826</v>
      </c>
      <c r="BH4" s="16">
        <v>42917</v>
      </c>
      <c r="BI4" s="16">
        <v>43009</v>
      </c>
      <c r="BJ4" s="16">
        <v>43101</v>
      </c>
      <c r="BK4" s="16">
        <v>43191</v>
      </c>
      <c r="BL4" s="16">
        <v>43282</v>
      </c>
      <c r="BM4" s="16">
        <v>43374</v>
      </c>
      <c r="BN4" s="16">
        <v>43466</v>
      </c>
      <c r="BO4" s="16">
        <v>43556</v>
      </c>
      <c r="BP4" s="16">
        <v>43647</v>
      </c>
      <c r="BQ4" s="16">
        <v>43739</v>
      </c>
      <c r="BR4" s="16">
        <v>43831</v>
      </c>
      <c r="BS4" s="16">
        <v>43922</v>
      </c>
      <c r="BT4" s="16">
        <v>44013</v>
      </c>
      <c r="BU4" s="16">
        <v>44105</v>
      </c>
      <c r="BV4" s="16">
        <v>44197</v>
      </c>
      <c r="BW4" s="16">
        <v>44287</v>
      </c>
      <c r="BX4" s="16">
        <v>44378</v>
      </c>
      <c r="BY4" s="16">
        <v>44470</v>
      </c>
      <c r="BZ4" s="16">
        <v>44562</v>
      </c>
      <c r="CA4" s="16">
        <v>44652</v>
      </c>
      <c r="CB4" s="16">
        <v>44743</v>
      </c>
      <c r="CC4" s="16">
        <v>44835</v>
      </c>
      <c r="CD4" s="16">
        <v>44927</v>
      </c>
      <c r="CE4" s="16">
        <v>45017</v>
      </c>
      <c r="CF4" s="16">
        <v>45108</v>
      </c>
      <c r="CG4" s="16">
        <v>45200</v>
      </c>
      <c r="CH4" s="16">
        <v>45292</v>
      </c>
      <c r="CI4" s="16">
        <v>45383</v>
      </c>
      <c r="CJ4" s="16">
        <v>45474</v>
      </c>
      <c r="CK4" s="16">
        <v>45566</v>
      </c>
      <c r="CL4" s="16">
        <v>45658</v>
      </c>
      <c r="CM4" s="16">
        <v>45748</v>
      </c>
      <c r="CN4" s="16">
        <v>45839</v>
      </c>
      <c r="CO4" s="16">
        <v>45931</v>
      </c>
      <c r="CP4" s="16">
        <v>46023</v>
      </c>
      <c r="CQ4" s="16">
        <v>46113</v>
      </c>
    </row>
    <row r="5" s="4" customFormat="1" ht="18" customHeight="1" spans="1:95">
      <c r="A5" s="17" t="s">
        <v>2</v>
      </c>
      <c r="B5" s="18">
        <v>151302</v>
      </c>
      <c r="C5" s="18">
        <v>153215</v>
      </c>
      <c r="D5" s="18">
        <v>158166</v>
      </c>
      <c r="E5" s="18">
        <v>165834</v>
      </c>
      <c r="F5" s="18">
        <v>184955</v>
      </c>
      <c r="G5" s="18">
        <v>189539</v>
      </c>
      <c r="H5" s="18">
        <v>192349</v>
      </c>
      <c r="I5" s="18">
        <v>193199</v>
      </c>
      <c r="J5" s="18">
        <v>213335</v>
      </c>
      <c r="K5" s="18">
        <v>219353</v>
      </c>
      <c r="L5" s="18">
        <v>227829</v>
      </c>
      <c r="M5" s="18">
        <v>226708</v>
      </c>
      <c r="N5" s="18">
        <v>257204</v>
      </c>
      <c r="O5" s="18">
        <v>273280</v>
      </c>
      <c r="P5" s="18">
        <v>289110</v>
      </c>
      <c r="Q5" s="18">
        <v>269512</v>
      </c>
      <c r="R5" s="18">
        <v>313214</v>
      </c>
      <c r="S5" s="18">
        <v>355587</v>
      </c>
      <c r="T5" s="18">
        <v>399548</v>
      </c>
      <c r="U5" s="18">
        <v>438836</v>
      </c>
      <c r="V5" s="18">
        <v>464384</v>
      </c>
      <c r="W5" s="18">
        <v>482501</v>
      </c>
      <c r="X5" s="18">
        <v>533423</v>
      </c>
      <c r="Y5" s="18">
        <v>540232</v>
      </c>
      <c r="Z5" s="18">
        <v>479823</v>
      </c>
      <c r="AA5" s="18">
        <v>445526</v>
      </c>
      <c r="AB5" s="18">
        <v>465886</v>
      </c>
      <c r="AC5" s="18">
        <v>473398</v>
      </c>
      <c r="AD5" s="18">
        <v>466294</v>
      </c>
      <c r="AE5" s="18">
        <v>462840</v>
      </c>
      <c r="AF5" s="18">
        <v>456956</v>
      </c>
      <c r="AG5" s="18">
        <v>476186</v>
      </c>
      <c r="AH5" s="18">
        <v>488537</v>
      </c>
      <c r="AI5" s="18">
        <v>508361</v>
      </c>
      <c r="AJ5" s="18">
        <v>538120</v>
      </c>
      <c r="AK5" s="18">
        <v>525578</v>
      </c>
      <c r="AL5" s="18">
        <v>538884</v>
      </c>
      <c r="AM5" s="18">
        <v>557521</v>
      </c>
      <c r="AN5" s="18">
        <v>570652</v>
      </c>
      <c r="AO5" s="18">
        <v>598927</v>
      </c>
      <c r="AP5" s="18">
        <v>636421</v>
      </c>
      <c r="AQ5" s="18">
        <v>691672</v>
      </c>
      <c r="AR5" s="18">
        <v>707764</v>
      </c>
      <c r="AS5" s="18">
        <v>716260</v>
      </c>
      <c r="AT5" s="18">
        <v>728864</v>
      </c>
      <c r="AU5" s="18">
        <v>715892</v>
      </c>
      <c r="AV5" s="18">
        <v>732779</v>
      </c>
      <c r="AW5" s="18">
        <v>680857</v>
      </c>
      <c r="AX5" s="18">
        <v>599901</v>
      </c>
      <c r="AY5" s="18">
        <v>557295</v>
      </c>
      <c r="AZ5" s="18">
        <v>556340</v>
      </c>
      <c r="BA5" s="18">
        <v>536890</v>
      </c>
      <c r="BB5" s="18">
        <v>518489</v>
      </c>
      <c r="BC5" s="18">
        <v>520121</v>
      </c>
      <c r="BD5" s="18">
        <v>523015</v>
      </c>
      <c r="BE5" s="18">
        <v>518330</v>
      </c>
      <c r="BF5" s="18">
        <v>511752</v>
      </c>
      <c r="BG5" s="18">
        <v>521595</v>
      </c>
      <c r="BH5" s="18">
        <v>527027</v>
      </c>
      <c r="BI5" s="18">
        <v>529585</v>
      </c>
      <c r="BJ5" s="18">
        <v>518445</v>
      </c>
      <c r="BK5" s="18">
        <v>520585</v>
      </c>
      <c r="BL5" s="18">
        <v>491045</v>
      </c>
      <c r="BM5" s="18">
        <v>470717</v>
      </c>
      <c r="BN5" s="18">
        <v>455073</v>
      </c>
      <c r="BO5" s="18">
        <v>469348</v>
      </c>
      <c r="BP5" s="18">
        <v>483704</v>
      </c>
      <c r="BQ5" s="18">
        <v>474930</v>
      </c>
      <c r="BR5" s="18">
        <v>491452</v>
      </c>
      <c r="BS5" s="18">
        <v>458745</v>
      </c>
      <c r="BT5" s="18">
        <v>483430</v>
      </c>
      <c r="BU5" s="18">
        <v>462760</v>
      </c>
      <c r="BV5" s="18">
        <v>467604.61</v>
      </c>
      <c r="BW5" s="18">
        <v>460603.75</v>
      </c>
      <c r="BX5" s="18">
        <v>474129.11</v>
      </c>
      <c r="BY5" s="18">
        <v>497049.01</v>
      </c>
      <c r="BZ5" s="18">
        <v>488414.78</v>
      </c>
      <c r="CA5" s="18">
        <v>462130.22</v>
      </c>
      <c r="CB5" s="18">
        <v>486717.12</v>
      </c>
      <c r="CC5" s="18">
        <v>441257.99</v>
      </c>
      <c r="CD5" s="18">
        <v>385080.64</v>
      </c>
      <c r="CE5" s="18">
        <v>358360.94</v>
      </c>
      <c r="CF5" s="18">
        <v>340879.71</v>
      </c>
      <c r="CG5" s="18">
        <v>324045.62</v>
      </c>
      <c r="CH5" s="18">
        <v>318288.68</v>
      </c>
      <c r="CI5" s="18">
        <v>308744.9</v>
      </c>
      <c r="CJ5" s="18">
        <v>317449.81</v>
      </c>
      <c r="CK5" s="18">
        <v>309319.98</v>
      </c>
      <c r="CL5" s="18">
        <v>289885.82</v>
      </c>
      <c r="CM5" s="18">
        <v>313045.26</v>
      </c>
      <c r="CN5" s="18">
        <v>324050.21</v>
      </c>
      <c r="CO5" s="18">
        <v>310182.2</v>
      </c>
      <c r="CP5" s="18">
        <v>306766.97</v>
      </c>
      <c r="CQ5" s="18">
        <v>299063.74</v>
      </c>
    </row>
    <row r="6" s="6" customFormat="1" ht="15" customHeight="1" spans="1:95">
      <c r="A6" s="19" t="s">
        <v>3</v>
      </c>
      <c r="B6" s="20">
        <v>103299</v>
      </c>
      <c r="C6" s="20">
        <v>101373</v>
      </c>
      <c r="D6" s="20">
        <v>99901</v>
      </c>
      <c r="E6" s="20">
        <v>98841</v>
      </c>
      <c r="F6" s="20">
        <v>103244</v>
      </c>
      <c r="G6" s="20">
        <v>100422</v>
      </c>
      <c r="H6" s="20">
        <v>98133</v>
      </c>
      <c r="I6" s="20">
        <v>96833</v>
      </c>
      <c r="J6" s="20">
        <v>100721</v>
      </c>
      <c r="K6" s="20">
        <v>92710</v>
      </c>
      <c r="L6" s="20">
        <v>90971</v>
      </c>
      <c r="M6" s="20">
        <v>71888</v>
      </c>
      <c r="N6" s="20">
        <v>71104</v>
      </c>
      <c r="O6" s="20">
        <v>69511.3</v>
      </c>
      <c r="P6" s="20">
        <v>66412</v>
      </c>
      <c r="Q6" s="20">
        <v>45343</v>
      </c>
      <c r="R6" s="20">
        <v>44720</v>
      </c>
      <c r="S6" s="20">
        <v>43376</v>
      </c>
      <c r="T6" s="20">
        <v>40787</v>
      </c>
      <c r="U6" s="20">
        <v>39667</v>
      </c>
      <c r="V6" s="20">
        <v>37380</v>
      </c>
      <c r="W6" s="20">
        <v>36863</v>
      </c>
      <c r="X6" s="20">
        <v>34664</v>
      </c>
      <c r="Y6" s="20">
        <v>32571</v>
      </c>
      <c r="Z6" s="20">
        <v>29486</v>
      </c>
      <c r="AA6" s="20">
        <v>27384</v>
      </c>
      <c r="AB6" s="20">
        <v>30049</v>
      </c>
      <c r="AC6" s="20">
        <v>31196</v>
      </c>
      <c r="AD6" s="20">
        <v>31323</v>
      </c>
      <c r="AE6" s="20">
        <v>31347</v>
      </c>
      <c r="AF6" s="20">
        <v>35478</v>
      </c>
      <c r="AG6" s="20">
        <v>34850</v>
      </c>
      <c r="AH6" s="20">
        <v>34550</v>
      </c>
      <c r="AI6" s="20">
        <v>35391</v>
      </c>
      <c r="AJ6" s="20">
        <v>36836</v>
      </c>
      <c r="AK6" s="20">
        <v>34849</v>
      </c>
      <c r="AL6" s="20">
        <v>34732</v>
      </c>
      <c r="AM6" s="20">
        <v>36386</v>
      </c>
      <c r="AN6" s="20">
        <v>41529</v>
      </c>
      <c r="AO6" s="20">
        <v>46574</v>
      </c>
      <c r="AP6" s="20">
        <v>54411</v>
      </c>
      <c r="AQ6" s="20">
        <v>57479</v>
      </c>
      <c r="AR6" s="20">
        <v>55933</v>
      </c>
      <c r="AS6" s="20">
        <v>62679</v>
      </c>
      <c r="AT6" s="20">
        <v>61743</v>
      </c>
      <c r="AU6" s="20">
        <v>53639</v>
      </c>
      <c r="AV6" s="20">
        <v>57128</v>
      </c>
      <c r="AW6" s="20">
        <v>49382</v>
      </c>
      <c r="AX6" s="20">
        <v>41606</v>
      </c>
      <c r="AY6" s="20">
        <v>33522</v>
      </c>
      <c r="AZ6" s="20">
        <v>36381</v>
      </c>
      <c r="BA6" s="20">
        <v>32325</v>
      </c>
      <c r="BB6" s="20">
        <v>30517</v>
      </c>
      <c r="BC6" s="20">
        <v>32058</v>
      </c>
      <c r="BD6" s="20">
        <v>35948</v>
      </c>
      <c r="BE6" s="20">
        <v>40357</v>
      </c>
      <c r="BF6" s="20">
        <v>39143</v>
      </c>
      <c r="BG6" s="20">
        <v>45829</v>
      </c>
      <c r="BH6" s="20">
        <v>46485</v>
      </c>
      <c r="BI6" s="20">
        <v>54112</v>
      </c>
      <c r="BJ6" s="20">
        <v>55628</v>
      </c>
      <c r="BK6" s="20">
        <v>59741</v>
      </c>
      <c r="BL6" s="20">
        <v>49764</v>
      </c>
      <c r="BM6" s="20">
        <v>46281</v>
      </c>
      <c r="BN6" s="20">
        <v>43955</v>
      </c>
      <c r="BO6" s="20">
        <v>53329</v>
      </c>
      <c r="BP6" s="20">
        <v>64553</v>
      </c>
      <c r="BQ6" s="20">
        <v>64869</v>
      </c>
      <c r="BR6" s="20">
        <v>70056</v>
      </c>
      <c r="BS6" s="20">
        <v>59558</v>
      </c>
      <c r="BT6" s="20">
        <v>65253</v>
      </c>
      <c r="BU6" s="20">
        <v>59452</v>
      </c>
      <c r="BV6" s="20">
        <v>65256.28</v>
      </c>
      <c r="BW6" s="20">
        <v>61310.79</v>
      </c>
      <c r="BX6" s="20">
        <v>62806.21</v>
      </c>
      <c r="BY6" s="20">
        <v>68005.36</v>
      </c>
      <c r="BZ6" s="20">
        <v>63352.51</v>
      </c>
      <c r="CA6" s="20">
        <v>53266.07</v>
      </c>
      <c r="CB6" s="20">
        <v>74568.46</v>
      </c>
      <c r="CC6" s="20">
        <v>66899.4</v>
      </c>
      <c r="CD6" s="20">
        <v>46103.97</v>
      </c>
      <c r="CE6" s="20">
        <v>40435.31</v>
      </c>
      <c r="CF6" s="20">
        <v>36850.73</v>
      </c>
      <c r="CG6" s="20">
        <v>31797.95</v>
      </c>
      <c r="CH6" s="20">
        <v>32709.54</v>
      </c>
      <c r="CI6" s="20">
        <v>31775.87</v>
      </c>
      <c r="CJ6" s="20">
        <v>32264.19</v>
      </c>
      <c r="CK6" s="20">
        <v>30443.85</v>
      </c>
      <c r="CL6" s="20">
        <v>19323.96</v>
      </c>
      <c r="CM6" s="20">
        <v>21982.54</v>
      </c>
      <c r="CN6" s="20">
        <v>23431.65</v>
      </c>
      <c r="CO6" s="20">
        <v>23458.86</v>
      </c>
      <c r="CP6" s="20">
        <v>23459.5</v>
      </c>
      <c r="CQ6" s="20">
        <v>23042.4</v>
      </c>
    </row>
    <row r="7" s="6" customFormat="1" ht="15" customHeight="1" spans="1:95">
      <c r="A7" s="21" t="s">
        <v>4</v>
      </c>
      <c r="B7" s="22">
        <v>102214</v>
      </c>
      <c r="C7" s="22">
        <v>100312</v>
      </c>
      <c r="D7" s="22">
        <v>98846</v>
      </c>
      <c r="E7" s="22">
        <v>97746</v>
      </c>
      <c r="F7" s="22">
        <v>101980</v>
      </c>
      <c r="G7" s="22">
        <v>99046</v>
      </c>
      <c r="H7" s="22">
        <v>96716</v>
      </c>
      <c r="I7" s="22">
        <v>95465</v>
      </c>
      <c r="J7" s="22">
        <v>99088</v>
      </c>
      <c r="K7" s="22">
        <v>91184</v>
      </c>
      <c r="L7" s="22">
        <v>89498</v>
      </c>
      <c r="M7" s="22">
        <v>70562</v>
      </c>
      <c r="N7" s="22">
        <v>69919</v>
      </c>
      <c r="O7" s="22">
        <v>68309</v>
      </c>
      <c r="P7" s="22">
        <v>65621</v>
      </c>
      <c r="Q7" s="22">
        <v>44439</v>
      </c>
      <c r="R7" s="22">
        <v>43234</v>
      </c>
      <c r="S7" s="22">
        <v>41858</v>
      </c>
      <c r="T7" s="22">
        <v>39324</v>
      </c>
      <c r="U7" s="22">
        <v>38111</v>
      </c>
      <c r="V7" s="22">
        <v>35846</v>
      </c>
      <c r="W7" s="22">
        <v>35193</v>
      </c>
      <c r="X7" s="22">
        <v>33118</v>
      </c>
      <c r="Y7" s="22">
        <v>31120</v>
      </c>
      <c r="Z7" s="22">
        <v>28174</v>
      </c>
      <c r="AA7" s="22">
        <v>26178</v>
      </c>
      <c r="AB7" s="22">
        <v>28533</v>
      </c>
      <c r="AC7" s="22">
        <v>29509</v>
      </c>
      <c r="AD7" s="22">
        <v>29489</v>
      </c>
      <c r="AE7" s="22">
        <v>28908</v>
      </c>
      <c r="AF7" s="22">
        <v>32992</v>
      </c>
      <c r="AG7" s="22">
        <v>32366</v>
      </c>
      <c r="AH7" s="22">
        <v>32192</v>
      </c>
      <c r="AI7" s="22">
        <v>32882</v>
      </c>
      <c r="AJ7" s="22">
        <v>34356</v>
      </c>
      <c r="AK7" s="22">
        <v>32638</v>
      </c>
      <c r="AL7" s="22">
        <v>33591</v>
      </c>
      <c r="AM7" s="22">
        <v>35208</v>
      </c>
      <c r="AN7" s="22">
        <v>40730</v>
      </c>
      <c r="AO7" s="22">
        <v>45814</v>
      </c>
      <c r="AP7" s="22">
        <v>53471</v>
      </c>
      <c r="AQ7" s="22">
        <v>56535</v>
      </c>
      <c r="AR7" s="22">
        <v>55066</v>
      </c>
      <c r="AS7" s="22">
        <v>61872</v>
      </c>
      <c r="AT7" s="22">
        <v>60962</v>
      </c>
      <c r="AU7" s="22">
        <v>52867</v>
      </c>
      <c r="AV7" s="22">
        <v>56446</v>
      </c>
      <c r="AW7" s="22">
        <v>48748</v>
      </c>
      <c r="AX7" s="22">
        <v>41027</v>
      </c>
      <c r="AY7" s="22">
        <v>33008</v>
      </c>
      <c r="AZ7" s="22">
        <v>35809</v>
      </c>
      <c r="BA7" s="22">
        <v>31730</v>
      </c>
      <c r="BB7" s="22">
        <v>29953</v>
      </c>
      <c r="BC7" s="22">
        <v>31475</v>
      </c>
      <c r="BD7" s="22">
        <v>35358</v>
      </c>
      <c r="BE7" s="22">
        <v>39694</v>
      </c>
      <c r="BF7" s="22">
        <v>38931</v>
      </c>
      <c r="BG7" s="22">
        <v>45594</v>
      </c>
      <c r="BH7" s="22">
        <v>46279</v>
      </c>
      <c r="BI7" s="22">
        <v>53894</v>
      </c>
      <c r="BJ7" s="22">
        <v>55410</v>
      </c>
      <c r="BK7" s="22">
        <v>59523</v>
      </c>
      <c r="BL7" s="22">
        <v>49571</v>
      </c>
      <c r="BM7" s="22">
        <v>46102</v>
      </c>
      <c r="BN7" s="22">
        <v>43801</v>
      </c>
      <c r="BO7" s="22">
        <v>53164</v>
      </c>
      <c r="BP7" s="22">
        <v>64389</v>
      </c>
      <c r="BQ7" s="22">
        <v>64718</v>
      </c>
      <c r="BR7" s="22">
        <v>69909</v>
      </c>
      <c r="BS7" s="22">
        <v>59441</v>
      </c>
      <c r="BT7" s="22">
        <v>65124</v>
      </c>
      <c r="BU7" s="22">
        <v>59354</v>
      </c>
      <c r="BV7" s="22">
        <v>65162.91</v>
      </c>
      <c r="BW7" s="22">
        <v>61221.62</v>
      </c>
      <c r="BX7" s="22">
        <v>62707.02</v>
      </c>
      <c r="BY7" s="22">
        <v>67911.63</v>
      </c>
      <c r="BZ7" s="22">
        <v>63268.36</v>
      </c>
      <c r="CA7" s="22">
        <v>53191.86</v>
      </c>
      <c r="CB7" s="22">
        <v>74532.89</v>
      </c>
      <c r="CC7" s="22">
        <v>66868.49</v>
      </c>
      <c r="CD7" s="22">
        <v>46086.75</v>
      </c>
      <c r="CE7" s="22">
        <v>40419.6</v>
      </c>
      <c r="CF7" s="22">
        <v>36842.07</v>
      </c>
      <c r="CG7" s="22">
        <v>31790.31</v>
      </c>
      <c r="CH7" s="22">
        <v>32702.71</v>
      </c>
      <c r="CI7" s="22">
        <v>31769.25</v>
      </c>
      <c r="CJ7" s="22">
        <v>32261.06</v>
      </c>
      <c r="CK7" s="22">
        <v>30440.96</v>
      </c>
      <c r="CL7" s="22">
        <v>19322.24</v>
      </c>
      <c r="CM7" s="22">
        <v>21982.44</v>
      </c>
      <c r="CN7" s="22">
        <v>23431.38</v>
      </c>
      <c r="CO7" s="22">
        <v>23458.65</v>
      </c>
      <c r="CP7" s="22">
        <v>23457.19</v>
      </c>
      <c r="CQ7" s="22">
        <v>23036.89</v>
      </c>
    </row>
    <row r="8" s="6" customFormat="1" ht="15" customHeight="1" spans="1:95">
      <c r="A8" s="23" t="s">
        <v>5</v>
      </c>
      <c r="B8" s="24">
        <v>46288</v>
      </c>
      <c r="C8" s="24">
        <v>44870</v>
      </c>
      <c r="D8" s="24">
        <v>42649</v>
      </c>
      <c r="E8" s="24">
        <v>42079</v>
      </c>
      <c r="F8" s="24">
        <v>43688</v>
      </c>
      <c r="G8" s="24">
        <v>44930</v>
      </c>
      <c r="H8" s="24">
        <v>43025</v>
      </c>
      <c r="I8" s="24">
        <v>42703</v>
      </c>
      <c r="J8" s="24">
        <v>43152</v>
      </c>
      <c r="K8" s="24">
        <v>38104</v>
      </c>
      <c r="L8" s="24">
        <v>38699</v>
      </c>
      <c r="M8" s="24">
        <v>35907</v>
      </c>
      <c r="N8" s="24">
        <v>35652</v>
      </c>
      <c r="O8" s="24">
        <v>34510</v>
      </c>
      <c r="P8" s="24">
        <v>32179</v>
      </c>
      <c r="Q8" s="24">
        <v>32945</v>
      </c>
      <c r="R8" s="24">
        <v>33844</v>
      </c>
      <c r="S8" s="24">
        <v>33000</v>
      </c>
      <c r="T8" s="24">
        <v>30798</v>
      </c>
      <c r="U8" s="24">
        <v>29956</v>
      </c>
      <c r="V8" s="24">
        <v>28745</v>
      </c>
      <c r="W8" s="24">
        <v>28189</v>
      </c>
      <c r="X8" s="24">
        <v>28435</v>
      </c>
      <c r="Y8" s="24">
        <v>26553</v>
      </c>
      <c r="Z8" s="24">
        <v>23624</v>
      </c>
      <c r="AA8" s="24">
        <v>21744</v>
      </c>
      <c r="AB8" s="24">
        <v>24100</v>
      </c>
      <c r="AC8" s="24">
        <v>25058</v>
      </c>
      <c r="AD8" s="24">
        <v>26300</v>
      </c>
      <c r="AE8" s="24">
        <v>25758</v>
      </c>
      <c r="AF8" s="24">
        <v>29920</v>
      </c>
      <c r="AG8" s="24">
        <v>29384</v>
      </c>
      <c r="AH8" s="24">
        <v>29292</v>
      </c>
      <c r="AI8" s="24">
        <v>30096</v>
      </c>
      <c r="AJ8" s="24">
        <v>31658</v>
      </c>
      <c r="AK8" s="24">
        <v>30061</v>
      </c>
      <c r="AL8" s="24">
        <v>31081</v>
      </c>
      <c r="AM8" s="24">
        <v>32798</v>
      </c>
      <c r="AN8" s="24">
        <v>38411</v>
      </c>
      <c r="AO8" s="24">
        <v>43635</v>
      </c>
      <c r="AP8" s="24">
        <v>51342</v>
      </c>
      <c r="AQ8" s="24">
        <v>54427</v>
      </c>
      <c r="AR8" s="24">
        <v>53023</v>
      </c>
      <c r="AS8" s="24">
        <v>59809</v>
      </c>
      <c r="AT8" s="24">
        <v>58949</v>
      </c>
      <c r="AU8" s="24">
        <v>50863</v>
      </c>
      <c r="AV8" s="24">
        <v>54557</v>
      </c>
      <c r="AW8" s="24">
        <v>46926</v>
      </c>
      <c r="AX8" s="24">
        <v>39257</v>
      </c>
      <c r="AY8" s="24">
        <v>31235</v>
      </c>
      <c r="AZ8" s="24">
        <v>34071</v>
      </c>
      <c r="BA8" s="24">
        <v>30024</v>
      </c>
      <c r="BB8" s="24">
        <v>28713</v>
      </c>
      <c r="BC8" s="24">
        <v>30238</v>
      </c>
      <c r="BD8" s="24">
        <v>34276</v>
      </c>
      <c r="BE8" s="24">
        <v>38613</v>
      </c>
      <c r="BF8" s="24">
        <v>37886</v>
      </c>
      <c r="BG8" s="24">
        <v>44548</v>
      </c>
      <c r="BH8" s="24">
        <v>45267</v>
      </c>
      <c r="BI8" s="24">
        <v>53258</v>
      </c>
      <c r="BJ8" s="24">
        <v>54809</v>
      </c>
      <c r="BK8" s="24">
        <v>58943</v>
      </c>
      <c r="BL8" s="24">
        <v>49026</v>
      </c>
      <c r="BM8" s="24">
        <v>45557</v>
      </c>
      <c r="BN8" s="24">
        <v>43292</v>
      </c>
      <c r="BO8" s="24">
        <v>52655</v>
      </c>
      <c r="BP8" s="24">
        <v>63914</v>
      </c>
      <c r="BQ8" s="24">
        <v>64244</v>
      </c>
      <c r="BR8" s="24">
        <v>69469</v>
      </c>
      <c r="BS8" s="24">
        <v>59001</v>
      </c>
      <c r="BT8" s="24">
        <v>64718</v>
      </c>
      <c r="BU8" s="24">
        <v>58947</v>
      </c>
      <c r="BV8" s="24">
        <v>64790.77</v>
      </c>
      <c r="BW8" s="24">
        <v>60850.86</v>
      </c>
      <c r="BX8" s="24">
        <v>62370.76</v>
      </c>
      <c r="BY8" s="24">
        <v>67575.55</v>
      </c>
      <c r="BZ8" s="24">
        <v>62967</v>
      </c>
      <c r="CA8" s="24">
        <v>52890.68</v>
      </c>
      <c r="CB8" s="24">
        <v>74232.38</v>
      </c>
      <c r="CC8" s="24">
        <v>66568.57</v>
      </c>
      <c r="CD8" s="24">
        <v>45855.46</v>
      </c>
      <c r="CE8" s="24">
        <v>40188.14</v>
      </c>
      <c r="CF8" s="24">
        <v>36610.1</v>
      </c>
      <c r="CG8" s="24">
        <v>31558.69</v>
      </c>
      <c r="CH8" s="24">
        <v>32469.28</v>
      </c>
      <c r="CI8" s="24">
        <v>31537.55</v>
      </c>
      <c r="CJ8" s="24">
        <v>32029.2</v>
      </c>
      <c r="CK8" s="24">
        <v>30208.94</v>
      </c>
      <c r="CL8" s="24">
        <v>19090.39</v>
      </c>
      <c r="CM8" s="24">
        <v>21750.15</v>
      </c>
      <c r="CN8" s="24">
        <v>23196.7</v>
      </c>
      <c r="CO8" s="24">
        <v>23223.9</v>
      </c>
      <c r="CP8" s="24">
        <v>23222.21</v>
      </c>
      <c r="CQ8" s="24">
        <v>22802.26</v>
      </c>
    </row>
    <row r="9" s="6" customFormat="1" ht="15" customHeight="1" spans="1:95">
      <c r="A9" s="25" t="s">
        <v>6</v>
      </c>
      <c r="B9" s="26">
        <v>18987</v>
      </c>
      <c r="C9" s="26">
        <v>18167</v>
      </c>
      <c r="D9" s="26">
        <v>17546</v>
      </c>
      <c r="E9" s="26">
        <v>16951</v>
      </c>
      <c r="F9" s="26">
        <v>16576</v>
      </c>
      <c r="G9" s="26">
        <v>15800</v>
      </c>
      <c r="H9" s="26">
        <v>14790</v>
      </c>
      <c r="I9" s="26">
        <v>14016</v>
      </c>
      <c r="J9" s="26">
        <v>13953</v>
      </c>
      <c r="K9" s="26">
        <v>9890</v>
      </c>
      <c r="L9" s="26">
        <v>9310</v>
      </c>
      <c r="M9" s="26">
        <v>9027</v>
      </c>
      <c r="N9" s="26">
        <v>8605</v>
      </c>
      <c r="O9" s="26">
        <v>8352</v>
      </c>
      <c r="P9" s="26">
        <v>8201</v>
      </c>
      <c r="Q9" s="26">
        <v>8043</v>
      </c>
      <c r="R9" s="26">
        <v>8038</v>
      </c>
      <c r="S9" s="26">
        <v>7725</v>
      </c>
      <c r="T9" s="26">
        <v>7437</v>
      </c>
      <c r="U9" s="26">
        <v>7269</v>
      </c>
      <c r="V9" s="26">
        <v>6754</v>
      </c>
      <c r="W9" s="26">
        <v>6648</v>
      </c>
      <c r="X9" s="26">
        <v>6311</v>
      </c>
      <c r="Y9" s="26">
        <v>6005</v>
      </c>
      <c r="Z9" s="26">
        <v>5884</v>
      </c>
      <c r="AA9" s="26">
        <v>5474</v>
      </c>
      <c r="AB9" s="26">
        <v>5252</v>
      </c>
      <c r="AC9" s="26">
        <v>5050</v>
      </c>
      <c r="AD9" s="26">
        <v>4802</v>
      </c>
      <c r="AE9" s="26">
        <v>4502</v>
      </c>
      <c r="AF9" s="26">
        <v>4297</v>
      </c>
      <c r="AG9" s="26">
        <v>4111</v>
      </c>
      <c r="AH9" s="26">
        <v>3939</v>
      </c>
      <c r="AI9" s="26">
        <v>3665</v>
      </c>
      <c r="AJ9" s="26">
        <v>3462</v>
      </c>
      <c r="AK9" s="26">
        <v>3271</v>
      </c>
      <c r="AL9" s="26">
        <v>3092</v>
      </c>
      <c r="AM9" s="26">
        <v>2838</v>
      </c>
      <c r="AN9" s="26">
        <v>2662</v>
      </c>
      <c r="AO9" s="26">
        <v>2487</v>
      </c>
      <c r="AP9" s="26">
        <v>2356</v>
      </c>
      <c r="AQ9" s="26">
        <v>2137</v>
      </c>
      <c r="AR9" s="26">
        <v>2000</v>
      </c>
      <c r="AS9" s="26">
        <v>1818</v>
      </c>
      <c r="AT9" s="26">
        <v>1727</v>
      </c>
      <c r="AU9" s="26">
        <v>1542.53</v>
      </c>
      <c r="AV9" s="26">
        <v>1469</v>
      </c>
      <c r="AW9" s="26">
        <v>1316</v>
      </c>
      <c r="AX9" s="26">
        <v>1241</v>
      </c>
      <c r="AY9" s="26">
        <v>1122</v>
      </c>
      <c r="AZ9" s="26">
        <v>1059</v>
      </c>
      <c r="BA9" s="26">
        <v>1043</v>
      </c>
      <c r="BB9" s="26">
        <v>999</v>
      </c>
      <c r="BC9" s="26">
        <v>979</v>
      </c>
      <c r="BD9" s="26">
        <v>923</v>
      </c>
      <c r="BE9" s="26">
        <v>907</v>
      </c>
      <c r="BF9" s="26">
        <v>858</v>
      </c>
      <c r="BG9" s="26">
        <v>836</v>
      </c>
      <c r="BH9" s="26">
        <v>771</v>
      </c>
      <c r="BI9" s="26">
        <v>761</v>
      </c>
      <c r="BJ9" s="26">
        <v>713</v>
      </c>
      <c r="BK9" s="26">
        <v>689</v>
      </c>
      <c r="BL9" s="26">
        <v>624</v>
      </c>
      <c r="BM9" s="26">
        <v>606</v>
      </c>
      <c r="BN9" s="26">
        <v>539</v>
      </c>
      <c r="BO9" s="26">
        <v>526</v>
      </c>
      <c r="BP9" s="26">
        <v>531</v>
      </c>
      <c r="BQ9" s="26">
        <v>535</v>
      </c>
      <c r="BR9" s="26">
        <v>522</v>
      </c>
      <c r="BS9" s="26">
        <v>491</v>
      </c>
      <c r="BT9" s="26">
        <v>479</v>
      </c>
      <c r="BU9" s="26">
        <v>485</v>
      </c>
      <c r="BV9" s="26">
        <v>485.08</v>
      </c>
      <c r="BW9" s="26">
        <v>519.91</v>
      </c>
      <c r="BX9" s="26">
        <v>500.98</v>
      </c>
      <c r="BY9" s="26">
        <v>527.15</v>
      </c>
      <c r="BZ9" s="26">
        <v>1501.21</v>
      </c>
      <c r="CA9" s="26">
        <v>1384.01</v>
      </c>
      <c r="CB9" s="26">
        <v>2094.22</v>
      </c>
      <c r="CC9" s="26">
        <v>1886.48</v>
      </c>
      <c r="CD9" s="26">
        <v>1412.42</v>
      </c>
      <c r="CE9" s="26">
        <v>1237.68</v>
      </c>
      <c r="CF9" s="26">
        <v>1099.12</v>
      </c>
      <c r="CG9" s="26">
        <v>1124.29</v>
      </c>
      <c r="CH9" s="26">
        <v>1114.56</v>
      </c>
      <c r="CI9" s="26">
        <v>1083.25</v>
      </c>
      <c r="CJ9" s="26">
        <v>1174.77</v>
      </c>
      <c r="CK9" s="26">
        <v>1079.42</v>
      </c>
      <c r="CL9" s="26">
        <v>987.17</v>
      </c>
      <c r="CM9" s="26">
        <v>1192.37</v>
      </c>
      <c r="CN9" s="26">
        <v>1269.45</v>
      </c>
      <c r="CO9" s="26">
        <v>1203.86</v>
      </c>
      <c r="CP9" s="26">
        <v>1273.32</v>
      </c>
      <c r="CQ9" s="26">
        <v>1226.52</v>
      </c>
    </row>
    <row r="10" s="6" customFormat="1" ht="15" customHeight="1" spans="1:95">
      <c r="A10" s="25" t="s">
        <v>7</v>
      </c>
      <c r="B10" s="26">
        <v>26653</v>
      </c>
      <c r="C10" s="26">
        <v>26013</v>
      </c>
      <c r="D10" s="26">
        <v>24519</v>
      </c>
      <c r="E10" s="26">
        <v>24623</v>
      </c>
      <c r="F10" s="26">
        <v>26791</v>
      </c>
      <c r="G10" s="26">
        <v>28723</v>
      </c>
      <c r="H10" s="26">
        <v>27972</v>
      </c>
      <c r="I10" s="26">
        <v>28427</v>
      </c>
      <c r="J10" s="26">
        <v>28929</v>
      </c>
      <c r="K10" s="26">
        <v>27942</v>
      </c>
      <c r="L10" s="26">
        <v>29108</v>
      </c>
      <c r="M10" s="26">
        <v>26592</v>
      </c>
      <c r="N10" s="26">
        <v>26743</v>
      </c>
      <c r="O10" s="26">
        <v>25828</v>
      </c>
      <c r="P10" s="26">
        <v>23556</v>
      </c>
      <c r="Q10" s="26">
        <v>24101</v>
      </c>
      <c r="R10" s="26">
        <v>24966</v>
      </c>
      <c r="S10" s="26">
        <v>24238</v>
      </c>
      <c r="T10" s="26">
        <v>22267</v>
      </c>
      <c r="U10" s="26">
        <v>21935</v>
      </c>
      <c r="V10" s="26">
        <v>21329</v>
      </c>
      <c r="W10" s="26">
        <v>21078</v>
      </c>
      <c r="X10" s="26">
        <v>21620</v>
      </c>
      <c r="Y10" s="26">
        <v>20040</v>
      </c>
      <c r="Z10" s="26">
        <v>17253</v>
      </c>
      <c r="AA10" s="26">
        <v>15857</v>
      </c>
      <c r="AB10" s="26">
        <v>18410</v>
      </c>
      <c r="AC10" s="26">
        <v>19438</v>
      </c>
      <c r="AD10" s="26">
        <v>20348</v>
      </c>
      <c r="AE10" s="26">
        <v>19876</v>
      </c>
      <c r="AF10" s="26">
        <v>24332</v>
      </c>
      <c r="AG10" s="26">
        <v>23736</v>
      </c>
      <c r="AH10" s="26">
        <v>23111</v>
      </c>
      <c r="AI10" s="26">
        <v>22495</v>
      </c>
      <c r="AJ10" s="26">
        <v>22234</v>
      </c>
      <c r="AK10" s="26">
        <v>21654</v>
      </c>
      <c r="AL10" s="26">
        <v>21693</v>
      </c>
      <c r="AM10" s="26">
        <v>20921</v>
      </c>
      <c r="AN10" s="26">
        <v>26745</v>
      </c>
      <c r="AO10" s="26">
        <v>25786</v>
      </c>
      <c r="AP10" s="26">
        <v>24661</v>
      </c>
      <c r="AQ10" s="26">
        <v>23894</v>
      </c>
      <c r="AR10" s="26">
        <v>23607</v>
      </c>
      <c r="AS10" s="26">
        <v>28876</v>
      </c>
      <c r="AT10" s="26">
        <v>27820.68</v>
      </c>
      <c r="AU10" s="26">
        <v>24735.89</v>
      </c>
      <c r="AV10" s="26">
        <v>23367.43</v>
      </c>
      <c r="AW10" s="26">
        <v>21534.25</v>
      </c>
      <c r="AX10" s="26">
        <v>21484</v>
      </c>
      <c r="AY10" s="26">
        <v>14897</v>
      </c>
      <c r="AZ10" s="26">
        <v>14895</v>
      </c>
      <c r="BA10" s="26">
        <v>13653</v>
      </c>
      <c r="BB10" s="26">
        <v>12646</v>
      </c>
      <c r="BC10" s="26">
        <v>11909</v>
      </c>
      <c r="BD10" s="26">
        <v>11999</v>
      </c>
      <c r="BE10" s="26">
        <v>14456</v>
      </c>
      <c r="BF10" s="26">
        <v>11662</v>
      </c>
      <c r="BG10" s="26">
        <v>11302</v>
      </c>
      <c r="BH10" s="26">
        <v>12525</v>
      </c>
      <c r="BI10" s="26">
        <v>14561</v>
      </c>
      <c r="BJ10" s="26">
        <v>15030</v>
      </c>
      <c r="BK10" s="26">
        <v>16912</v>
      </c>
      <c r="BL10" s="26">
        <v>16525</v>
      </c>
      <c r="BM10" s="26">
        <v>16401</v>
      </c>
      <c r="BN10" s="26">
        <v>16686</v>
      </c>
      <c r="BO10" s="26">
        <v>20220</v>
      </c>
      <c r="BP10" s="26">
        <v>22522</v>
      </c>
      <c r="BQ10" s="26">
        <v>22793</v>
      </c>
      <c r="BR10" s="26">
        <v>22297</v>
      </c>
      <c r="BS10" s="26">
        <v>21251</v>
      </c>
      <c r="BT10" s="26">
        <v>20329</v>
      </c>
      <c r="BU10" s="26">
        <v>20533</v>
      </c>
      <c r="BV10" s="26">
        <v>21071.12</v>
      </c>
      <c r="BW10" s="26">
        <v>20415.26</v>
      </c>
      <c r="BX10" s="26">
        <v>20586.5</v>
      </c>
      <c r="BY10" s="26">
        <v>20531.44</v>
      </c>
      <c r="BZ10" s="26">
        <v>19959.21</v>
      </c>
      <c r="CA10" s="26">
        <v>18550.1</v>
      </c>
      <c r="CB10" s="26">
        <v>18035.09</v>
      </c>
      <c r="CC10" s="26">
        <v>16942.59</v>
      </c>
      <c r="CD10" s="26">
        <v>16307.11</v>
      </c>
      <c r="CE10" s="26">
        <v>16143.72</v>
      </c>
      <c r="CF10" s="26">
        <v>16083.45</v>
      </c>
      <c r="CG10" s="26">
        <v>14979.59</v>
      </c>
      <c r="CH10" s="26">
        <v>14807.78</v>
      </c>
      <c r="CI10" s="26">
        <v>14724.46</v>
      </c>
      <c r="CJ10" s="26">
        <v>14602.08</v>
      </c>
      <c r="CK10" s="26">
        <v>14399.04</v>
      </c>
      <c r="CL10" s="26">
        <v>9098.59</v>
      </c>
      <c r="CM10" s="26">
        <v>9101.96</v>
      </c>
      <c r="CN10" s="26">
        <v>9247.78</v>
      </c>
      <c r="CO10" s="26">
        <v>9351.07</v>
      </c>
      <c r="CP10" s="26">
        <v>9158.5</v>
      </c>
      <c r="CQ10" s="26">
        <v>9245.01</v>
      </c>
    </row>
    <row r="11" s="7" customFormat="1" ht="15" customHeight="1" spans="1:95">
      <c r="A11" s="27" t="s">
        <v>8</v>
      </c>
      <c r="B11" s="28">
        <v>10304</v>
      </c>
      <c r="C11" s="28">
        <v>10066</v>
      </c>
      <c r="D11" s="28">
        <v>8719.63</v>
      </c>
      <c r="E11" s="28">
        <v>8627</v>
      </c>
      <c r="F11" s="28">
        <v>10024</v>
      </c>
      <c r="G11" s="28">
        <v>10482</v>
      </c>
      <c r="H11" s="28">
        <v>9944</v>
      </c>
      <c r="I11" s="28">
        <v>10016</v>
      </c>
      <c r="J11" s="28">
        <v>10309</v>
      </c>
      <c r="K11" s="28">
        <v>9486</v>
      </c>
      <c r="L11" s="28">
        <v>10091</v>
      </c>
      <c r="M11" s="28">
        <v>7630</v>
      </c>
      <c r="N11" s="28">
        <v>7765</v>
      </c>
      <c r="O11" s="28">
        <v>7490</v>
      </c>
      <c r="P11" s="28">
        <v>5921</v>
      </c>
      <c r="Q11" s="28">
        <v>5973</v>
      </c>
      <c r="R11" s="28">
        <v>5698</v>
      </c>
      <c r="S11" s="28">
        <v>5637</v>
      </c>
      <c r="T11" s="28">
        <v>3760</v>
      </c>
      <c r="U11" s="28">
        <v>3718</v>
      </c>
      <c r="V11" s="28">
        <v>3734</v>
      </c>
      <c r="W11" s="28">
        <v>3697</v>
      </c>
      <c r="X11" s="28">
        <v>3701</v>
      </c>
      <c r="Y11" s="28">
        <v>2955</v>
      </c>
      <c r="Z11" s="28">
        <v>2144</v>
      </c>
      <c r="AA11" s="28">
        <v>1817</v>
      </c>
      <c r="AB11" s="28">
        <v>2124</v>
      </c>
      <c r="AC11" s="28">
        <v>2178</v>
      </c>
      <c r="AD11" s="28">
        <v>2213</v>
      </c>
      <c r="AE11" s="28">
        <v>2116</v>
      </c>
      <c r="AF11" s="28">
        <v>6590</v>
      </c>
      <c r="AG11" s="28">
        <v>6738</v>
      </c>
      <c r="AH11" s="28">
        <v>6522</v>
      </c>
      <c r="AI11" s="28">
        <v>6521</v>
      </c>
      <c r="AJ11" s="28">
        <v>6175</v>
      </c>
      <c r="AK11" s="28">
        <v>6229</v>
      </c>
      <c r="AL11" s="28">
        <v>6200</v>
      </c>
      <c r="AM11" s="28">
        <v>6049</v>
      </c>
      <c r="AN11" s="28">
        <v>11861</v>
      </c>
      <c r="AO11" s="28">
        <v>11786</v>
      </c>
      <c r="AP11" s="28">
        <v>11146</v>
      </c>
      <c r="AQ11" s="28">
        <v>10953</v>
      </c>
      <c r="AR11" s="28">
        <v>10354</v>
      </c>
      <c r="AS11" s="28">
        <v>16054</v>
      </c>
      <c r="AT11" s="28">
        <v>15403.94</v>
      </c>
      <c r="AU11" s="28">
        <v>14225.34</v>
      </c>
      <c r="AV11" s="28">
        <v>13679</v>
      </c>
      <c r="AW11" s="28">
        <v>13248</v>
      </c>
      <c r="AX11" s="28">
        <v>13089</v>
      </c>
      <c r="AY11" s="28">
        <v>12203</v>
      </c>
      <c r="AZ11" s="28">
        <v>11262</v>
      </c>
      <c r="BA11" s="28">
        <v>10716</v>
      </c>
      <c r="BB11" s="28">
        <v>9679</v>
      </c>
      <c r="BC11" s="28">
        <v>9447</v>
      </c>
      <c r="BD11" s="28">
        <v>9625</v>
      </c>
      <c r="BE11" s="28">
        <v>11518</v>
      </c>
      <c r="BF11" s="28">
        <v>11034</v>
      </c>
      <c r="BG11" s="28">
        <v>10654</v>
      </c>
      <c r="BH11" s="28">
        <v>11850</v>
      </c>
      <c r="BI11" s="28">
        <v>14560</v>
      </c>
      <c r="BJ11" s="28">
        <v>15011</v>
      </c>
      <c r="BK11" s="28">
        <v>16912</v>
      </c>
      <c r="BL11" s="28">
        <v>16525</v>
      </c>
      <c r="BM11" s="28">
        <v>16401</v>
      </c>
      <c r="BN11" s="28">
        <v>16682</v>
      </c>
      <c r="BO11" s="28">
        <v>20211</v>
      </c>
      <c r="BP11" s="28">
        <v>22491</v>
      </c>
      <c r="BQ11" s="28">
        <v>22724</v>
      </c>
      <c r="BR11" s="28">
        <v>22216</v>
      </c>
      <c r="BS11" s="28">
        <v>21232</v>
      </c>
      <c r="BT11" s="28">
        <v>20289</v>
      </c>
      <c r="BU11" s="28">
        <v>20485</v>
      </c>
      <c r="BV11" s="28">
        <v>20918.98</v>
      </c>
      <c r="BW11" s="28">
        <v>20138.44</v>
      </c>
      <c r="BX11" s="28">
        <v>20276.26</v>
      </c>
      <c r="BY11" s="28">
        <v>20266.88</v>
      </c>
      <c r="BZ11" s="28">
        <v>19685.65</v>
      </c>
      <c r="CA11" s="28">
        <v>18323.74</v>
      </c>
      <c r="CB11" s="28">
        <v>17810.23</v>
      </c>
      <c r="CC11" s="28">
        <v>16848.65</v>
      </c>
      <c r="CD11" s="28">
        <v>16222.49</v>
      </c>
      <c r="CE11" s="28">
        <v>16084.2</v>
      </c>
      <c r="CF11" s="28">
        <v>16029.45</v>
      </c>
      <c r="CG11" s="28">
        <v>14938.53</v>
      </c>
      <c r="CH11" s="28">
        <v>14766.74</v>
      </c>
      <c r="CI11" s="28">
        <v>14692.28</v>
      </c>
      <c r="CJ11" s="28">
        <v>14569.91</v>
      </c>
      <c r="CK11" s="28">
        <v>14375.44</v>
      </c>
      <c r="CL11" s="28">
        <v>9083.33</v>
      </c>
      <c r="CM11" s="28">
        <v>9088.75</v>
      </c>
      <c r="CN11" s="28">
        <v>9234.57</v>
      </c>
      <c r="CO11" s="28">
        <v>9339.17</v>
      </c>
      <c r="CP11" s="28">
        <v>9042.09</v>
      </c>
      <c r="CQ11" s="28">
        <v>9161.75</v>
      </c>
    </row>
    <row r="12" s="7" customFormat="1" ht="20.4" spans="1:95">
      <c r="A12" s="29" t="s">
        <v>9</v>
      </c>
      <c r="B12" s="28">
        <v>16349</v>
      </c>
      <c r="C12" s="28">
        <v>15947</v>
      </c>
      <c r="D12" s="28">
        <v>15799</v>
      </c>
      <c r="E12" s="28">
        <v>15996</v>
      </c>
      <c r="F12" s="28">
        <v>16767</v>
      </c>
      <c r="G12" s="28">
        <v>18241</v>
      </c>
      <c r="H12" s="28">
        <v>18028</v>
      </c>
      <c r="I12" s="28">
        <v>18411</v>
      </c>
      <c r="J12" s="28">
        <v>18620</v>
      </c>
      <c r="K12" s="28">
        <v>18455</v>
      </c>
      <c r="L12" s="28">
        <v>19017</v>
      </c>
      <c r="M12" s="28">
        <v>18962</v>
      </c>
      <c r="N12" s="28">
        <v>18979</v>
      </c>
      <c r="O12" s="28">
        <v>18339</v>
      </c>
      <c r="P12" s="28">
        <v>17634</v>
      </c>
      <c r="Q12" s="28">
        <v>18128</v>
      </c>
      <c r="R12" s="28">
        <v>19268</v>
      </c>
      <c r="S12" s="28">
        <v>18601</v>
      </c>
      <c r="T12" s="28">
        <v>18506</v>
      </c>
      <c r="U12" s="28">
        <v>18217</v>
      </c>
      <c r="V12" s="28">
        <v>17595</v>
      </c>
      <c r="W12" s="28">
        <v>17381</v>
      </c>
      <c r="X12" s="28">
        <v>17919</v>
      </c>
      <c r="Y12" s="28">
        <v>17085</v>
      </c>
      <c r="Z12" s="28">
        <v>15109</v>
      </c>
      <c r="AA12" s="28">
        <v>14040</v>
      </c>
      <c r="AB12" s="28">
        <v>16286</v>
      </c>
      <c r="AC12" s="28">
        <v>17261</v>
      </c>
      <c r="AD12" s="28">
        <v>18135</v>
      </c>
      <c r="AE12" s="28">
        <v>17760</v>
      </c>
      <c r="AF12" s="28">
        <v>17741</v>
      </c>
      <c r="AG12" s="28">
        <v>16997</v>
      </c>
      <c r="AH12" s="28">
        <v>16590</v>
      </c>
      <c r="AI12" s="28">
        <v>15974</v>
      </c>
      <c r="AJ12" s="28">
        <v>16059</v>
      </c>
      <c r="AK12" s="28">
        <v>15425</v>
      </c>
      <c r="AL12" s="28">
        <v>15492</v>
      </c>
      <c r="AM12" s="28">
        <v>14872</v>
      </c>
      <c r="AN12" s="28">
        <v>14884</v>
      </c>
      <c r="AO12" s="28">
        <v>14000</v>
      </c>
      <c r="AP12" s="28">
        <v>13514</v>
      </c>
      <c r="AQ12" s="28">
        <v>12941</v>
      </c>
      <c r="AR12" s="28">
        <v>13254</v>
      </c>
      <c r="AS12" s="28">
        <v>12822</v>
      </c>
      <c r="AT12" s="28">
        <v>12416.74</v>
      </c>
      <c r="AU12" s="28">
        <v>10510.55</v>
      </c>
      <c r="AV12" s="28">
        <v>9688</v>
      </c>
      <c r="AW12" s="28">
        <v>8286.14</v>
      </c>
      <c r="AX12" s="28">
        <v>8395</v>
      </c>
      <c r="AY12" s="28">
        <v>2694</v>
      </c>
      <c r="AZ12" s="28">
        <v>3632</v>
      </c>
      <c r="BA12" s="28">
        <v>2937</v>
      </c>
      <c r="BB12" s="28">
        <v>2967</v>
      </c>
      <c r="BC12" s="28">
        <v>2461</v>
      </c>
      <c r="BD12" s="28">
        <v>2374</v>
      </c>
      <c r="BE12" s="28">
        <v>2938</v>
      </c>
      <c r="BF12" s="28">
        <v>628</v>
      </c>
      <c r="BG12" s="28">
        <v>648</v>
      </c>
      <c r="BH12" s="28">
        <v>675</v>
      </c>
      <c r="BI12" s="28">
        <v>1</v>
      </c>
      <c r="BJ12" s="28">
        <v>19</v>
      </c>
      <c r="BK12" s="28">
        <v>0</v>
      </c>
      <c r="BL12" s="28">
        <v>0</v>
      </c>
      <c r="BM12" s="28">
        <v>0</v>
      </c>
      <c r="BN12" s="28">
        <v>4</v>
      </c>
      <c r="BO12" s="28">
        <v>9</v>
      </c>
      <c r="BP12" s="28">
        <v>31</v>
      </c>
      <c r="BQ12" s="28">
        <v>69</v>
      </c>
      <c r="BR12" s="28">
        <v>81</v>
      </c>
      <c r="BS12" s="28">
        <v>19</v>
      </c>
      <c r="BT12" s="28">
        <v>40</v>
      </c>
      <c r="BU12" s="28">
        <v>48</v>
      </c>
      <c r="BV12" s="28">
        <v>152.14</v>
      </c>
      <c r="BW12" s="28">
        <v>276.82</v>
      </c>
      <c r="BX12" s="28">
        <v>310.24</v>
      </c>
      <c r="BY12" s="28">
        <v>264.56</v>
      </c>
      <c r="BZ12" s="28">
        <v>273.56</v>
      </c>
      <c r="CA12" s="28">
        <v>226.36</v>
      </c>
      <c r="CB12" s="28">
        <v>224.86</v>
      </c>
      <c r="CC12" s="28">
        <v>93.94</v>
      </c>
      <c r="CD12" s="28">
        <v>84.61</v>
      </c>
      <c r="CE12" s="28">
        <v>59.52</v>
      </c>
      <c r="CF12" s="28">
        <v>53.99</v>
      </c>
      <c r="CG12" s="28">
        <v>41.06</v>
      </c>
      <c r="CH12" s="28">
        <v>41.03</v>
      </c>
      <c r="CI12" s="28">
        <v>32.18</v>
      </c>
      <c r="CJ12" s="28">
        <v>32.18</v>
      </c>
      <c r="CK12" s="28">
        <v>23.6</v>
      </c>
      <c r="CL12" s="28">
        <v>15.27</v>
      </c>
      <c r="CM12" s="28">
        <v>13.21</v>
      </c>
      <c r="CN12" s="28">
        <v>13.21</v>
      </c>
      <c r="CO12" s="28">
        <v>11.89</v>
      </c>
      <c r="CP12" s="28">
        <v>11.89</v>
      </c>
      <c r="CQ12" s="28">
        <v>10.57</v>
      </c>
    </row>
    <row r="13" s="7" customFormat="1" ht="15" customHeight="1" spans="1:95">
      <c r="A13" s="27" t="s">
        <v>10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 t="s">
        <v>11</v>
      </c>
      <c r="BV13" s="28" t="s">
        <v>11</v>
      </c>
      <c r="BW13" s="28" t="s">
        <v>11</v>
      </c>
      <c r="BX13" s="28" t="s">
        <v>11</v>
      </c>
      <c r="BY13" s="28" t="s">
        <v>11</v>
      </c>
      <c r="BZ13" s="28" t="s">
        <v>11</v>
      </c>
      <c r="CA13" s="28" t="s">
        <v>11</v>
      </c>
      <c r="CB13" s="28" t="s">
        <v>11</v>
      </c>
      <c r="CC13" s="28" t="s">
        <v>11</v>
      </c>
      <c r="CD13" s="28" t="s">
        <v>11</v>
      </c>
      <c r="CE13" s="28" t="s">
        <v>11</v>
      </c>
      <c r="CF13" s="28" t="s">
        <v>11</v>
      </c>
      <c r="CG13" s="28" t="s">
        <v>11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104.52</v>
      </c>
      <c r="CQ13" s="28">
        <v>72.69</v>
      </c>
    </row>
    <row r="14" s="6" customFormat="1" ht="15" customHeight="1" spans="1:95">
      <c r="A14" s="25" t="s">
        <v>12</v>
      </c>
      <c r="B14" s="26">
        <v>479</v>
      </c>
      <c r="C14" s="26">
        <v>513</v>
      </c>
      <c r="D14" s="26">
        <v>401</v>
      </c>
      <c r="E14" s="26">
        <v>315</v>
      </c>
      <c r="F14" s="26">
        <v>125</v>
      </c>
      <c r="G14" s="26">
        <v>204</v>
      </c>
      <c r="H14" s="26">
        <v>52</v>
      </c>
      <c r="I14" s="26">
        <v>43</v>
      </c>
      <c r="J14" s="26">
        <v>47</v>
      </c>
      <c r="K14" s="26">
        <v>41</v>
      </c>
      <c r="L14" s="26">
        <v>44</v>
      </c>
      <c r="M14" s="26">
        <v>44</v>
      </c>
      <c r="N14" s="26">
        <v>37</v>
      </c>
      <c r="O14" s="26">
        <v>39</v>
      </c>
      <c r="P14" s="26">
        <v>125</v>
      </c>
      <c r="Q14" s="26">
        <v>500</v>
      </c>
      <c r="R14" s="26">
        <v>537</v>
      </c>
      <c r="S14" s="26">
        <v>674</v>
      </c>
      <c r="T14" s="26">
        <v>728</v>
      </c>
      <c r="U14" s="26">
        <v>381</v>
      </c>
      <c r="V14" s="26">
        <v>347</v>
      </c>
      <c r="W14" s="26">
        <v>138</v>
      </c>
      <c r="X14" s="26">
        <v>190</v>
      </c>
      <c r="Y14" s="26">
        <v>193</v>
      </c>
      <c r="Z14" s="26">
        <v>146</v>
      </c>
      <c r="AA14" s="26">
        <v>77</v>
      </c>
      <c r="AB14" s="26">
        <v>115</v>
      </c>
      <c r="AC14" s="26">
        <v>245</v>
      </c>
      <c r="AD14" s="26">
        <v>811</v>
      </c>
      <c r="AE14" s="26">
        <v>1050</v>
      </c>
      <c r="AF14" s="26">
        <v>976</v>
      </c>
      <c r="AG14" s="26">
        <v>1218</v>
      </c>
      <c r="AH14" s="26">
        <v>1914</v>
      </c>
      <c r="AI14" s="26">
        <v>3607</v>
      </c>
      <c r="AJ14" s="26">
        <v>5639</v>
      </c>
      <c r="AK14" s="26">
        <v>4814</v>
      </c>
      <c r="AL14" s="26">
        <v>5939</v>
      </c>
      <c r="AM14" s="26">
        <v>8673</v>
      </c>
      <c r="AN14" s="26">
        <v>8674</v>
      </c>
      <c r="AO14" s="26">
        <v>15024</v>
      </c>
      <c r="AP14" s="26">
        <v>24018</v>
      </c>
      <c r="AQ14" s="26">
        <v>28028</v>
      </c>
      <c r="AR14" s="26">
        <v>27074</v>
      </c>
      <c r="AS14" s="26">
        <v>28764</v>
      </c>
      <c r="AT14" s="26">
        <v>29023.29</v>
      </c>
      <c r="AU14" s="26">
        <v>24213.86</v>
      </c>
      <c r="AV14" s="26">
        <v>29355</v>
      </c>
      <c r="AW14" s="26">
        <v>23717.84</v>
      </c>
      <c r="AX14" s="26">
        <v>16139</v>
      </c>
      <c r="AY14" s="26">
        <v>14871</v>
      </c>
      <c r="AZ14" s="26">
        <v>17790</v>
      </c>
      <c r="BA14" s="26">
        <v>15020</v>
      </c>
      <c r="BB14" s="26">
        <v>14735</v>
      </c>
      <c r="BC14" s="26">
        <v>17011</v>
      </c>
      <c r="BD14" s="26">
        <v>21022</v>
      </c>
      <c r="BE14" s="26">
        <v>22924</v>
      </c>
      <c r="BF14" s="26">
        <v>25032</v>
      </c>
      <c r="BG14" s="26">
        <v>32069</v>
      </c>
      <c r="BH14" s="26">
        <v>31634</v>
      </c>
      <c r="BI14" s="26">
        <v>37592</v>
      </c>
      <c r="BJ14" s="26">
        <v>38781</v>
      </c>
      <c r="BK14" s="26">
        <v>41050</v>
      </c>
      <c r="BL14" s="26">
        <v>31584</v>
      </c>
      <c r="BM14" s="26">
        <v>28252</v>
      </c>
      <c r="BN14" s="26">
        <v>25772</v>
      </c>
      <c r="BO14" s="26">
        <v>31609</v>
      </c>
      <c r="BP14" s="26">
        <v>40566</v>
      </c>
      <c r="BQ14" s="26">
        <v>40631</v>
      </c>
      <c r="BR14" s="26">
        <v>46359</v>
      </c>
      <c r="BS14" s="26">
        <v>37200</v>
      </c>
      <c r="BT14" s="26">
        <v>43857</v>
      </c>
      <c r="BU14" s="26">
        <v>37886</v>
      </c>
      <c r="BV14" s="26">
        <v>43190.27</v>
      </c>
      <c r="BW14" s="26">
        <v>39877.18</v>
      </c>
      <c r="BX14" s="26">
        <v>41249.64</v>
      </c>
      <c r="BY14" s="26">
        <v>46488.39</v>
      </c>
      <c r="BZ14" s="26">
        <v>41482.81</v>
      </c>
      <c r="CA14" s="26">
        <v>32937.67</v>
      </c>
      <c r="CB14" s="26">
        <v>54084.91</v>
      </c>
      <c r="CC14" s="26">
        <v>47722</v>
      </c>
      <c r="CD14" s="26">
        <v>28119.15</v>
      </c>
      <c r="CE14" s="26">
        <v>22796.77</v>
      </c>
      <c r="CF14" s="26">
        <v>19417.68</v>
      </c>
      <c r="CG14" s="26">
        <v>15445.08</v>
      </c>
      <c r="CH14" s="26">
        <v>16537.01</v>
      </c>
      <c r="CI14" s="26">
        <v>15720.04</v>
      </c>
      <c r="CJ14" s="26">
        <v>16242.62</v>
      </c>
      <c r="CK14" s="26">
        <v>14720.43</v>
      </c>
      <c r="CL14" s="26">
        <v>8994.96</v>
      </c>
      <c r="CM14" s="26">
        <v>11445.98</v>
      </c>
      <c r="CN14" s="26">
        <v>12669.3</v>
      </c>
      <c r="CO14" s="26">
        <v>12658.87</v>
      </c>
      <c r="CP14" s="26">
        <v>12780.24</v>
      </c>
      <c r="CQ14" s="26">
        <v>12320.68</v>
      </c>
    </row>
    <row r="15" s="7" customFormat="1" ht="15" customHeight="1" spans="1:95">
      <c r="A15" s="27" t="s">
        <v>10</v>
      </c>
      <c r="B15" s="28">
        <v>479</v>
      </c>
      <c r="C15" s="28">
        <v>513</v>
      </c>
      <c r="D15" s="28">
        <v>401</v>
      </c>
      <c r="E15" s="28">
        <v>315</v>
      </c>
      <c r="F15" s="28">
        <v>125</v>
      </c>
      <c r="G15" s="28">
        <v>204</v>
      </c>
      <c r="H15" s="28">
        <v>52</v>
      </c>
      <c r="I15" s="28">
        <v>43</v>
      </c>
      <c r="J15" s="28">
        <v>47</v>
      </c>
      <c r="K15" s="28">
        <v>41</v>
      </c>
      <c r="L15" s="28">
        <v>44</v>
      </c>
      <c r="M15" s="28">
        <v>44</v>
      </c>
      <c r="N15" s="28">
        <v>37</v>
      </c>
      <c r="O15" s="28">
        <v>39</v>
      </c>
      <c r="P15" s="28">
        <v>125</v>
      </c>
      <c r="Q15" s="28">
        <v>500</v>
      </c>
      <c r="R15" s="28">
        <v>537</v>
      </c>
      <c r="S15" s="28">
        <v>674</v>
      </c>
      <c r="T15" s="28">
        <v>728</v>
      </c>
      <c r="U15" s="28">
        <v>381</v>
      </c>
      <c r="V15" s="28">
        <v>347</v>
      </c>
      <c r="W15" s="28">
        <v>138</v>
      </c>
      <c r="X15" s="28">
        <v>190</v>
      </c>
      <c r="Y15" s="28">
        <v>193</v>
      </c>
      <c r="Z15" s="28">
        <v>146</v>
      </c>
      <c r="AA15" s="28">
        <v>77</v>
      </c>
      <c r="AB15" s="28">
        <v>115</v>
      </c>
      <c r="AC15" s="28">
        <v>245</v>
      </c>
      <c r="AD15" s="28">
        <v>811</v>
      </c>
      <c r="AE15" s="28">
        <v>1050</v>
      </c>
      <c r="AF15" s="28">
        <v>976</v>
      </c>
      <c r="AG15" s="28">
        <v>1218</v>
      </c>
      <c r="AH15" s="28">
        <v>1914</v>
      </c>
      <c r="AI15" s="28">
        <v>2342</v>
      </c>
      <c r="AJ15" s="28">
        <v>2739</v>
      </c>
      <c r="AK15" s="28">
        <v>2267</v>
      </c>
      <c r="AL15" s="28">
        <v>3325</v>
      </c>
      <c r="AM15" s="28">
        <v>5821</v>
      </c>
      <c r="AN15" s="28">
        <v>6185</v>
      </c>
      <c r="AO15" s="28">
        <v>12516</v>
      </c>
      <c r="AP15" s="28">
        <v>21582</v>
      </c>
      <c r="AQ15" s="28">
        <v>25691</v>
      </c>
      <c r="AR15" s="28">
        <v>25023</v>
      </c>
      <c r="AS15" s="28">
        <v>26860</v>
      </c>
      <c r="AT15" s="28">
        <v>27324.5</v>
      </c>
      <c r="AU15" s="28">
        <v>22846.84</v>
      </c>
      <c r="AV15" s="28">
        <v>28092.76</v>
      </c>
      <c r="AW15" s="28">
        <v>22793.54</v>
      </c>
      <c r="AX15" s="28">
        <v>15594</v>
      </c>
      <c r="AY15" s="28">
        <v>14530</v>
      </c>
      <c r="AZ15" s="28">
        <v>17667</v>
      </c>
      <c r="BA15" s="28">
        <v>14961</v>
      </c>
      <c r="BB15" s="28">
        <v>14691</v>
      </c>
      <c r="BC15" s="28">
        <v>16937</v>
      </c>
      <c r="BD15" s="28">
        <v>21010</v>
      </c>
      <c r="BE15" s="28">
        <v>22916</v>
      </c>
      <c r="BF15" s="28">
        <v>25017</v>
      </c>
      <c r="BG15" s="28">
        <v>32013</v>
      </c>
      <c r="BH15" s="28">
        <v>31626</v>
      </c>
      <c r="BI15" s="28">
        <v>37591</v>
      </c>
      <c r="BJ15" s="28">
        <v>38712</v>
      </c>
      <c r="BK15" s="28">
        <v>41050</v>
      </c>
      <c r="BL15" s="28">
        <v>31584</v>
      </c>
      <c r="BM15" s="28">
        <v>28252</v>
      </c>
      <c r="BN15" s="28">
        <v>25772</v>
      </c>
      <c r="BO15" s="28">
        <v>31609</v>
      </c>
      <c r="BP15" s="28">
        <v>40566</v>
      </c>
      <c r="BQ15" s="28">
        <v>40631</v>
      </c>
      <c r="BR15" s="28">
        <v>46359</v>
      </c>
      <c r="BS15" s="28">
        <v>37200</v>
      </c>
      <c r="BT15" s="28">
        <v>43857</v>
      </c>
      <c r="BU15" s="28">
        <v>37886</v>
      </c>
      <c r="BV15" s="28">
        <v>43190.27</v>
      </c>
      <c r="BW15" s="28">
        <v>39877.18</v>
      </c>
      <c r="BX15" s="28">
        <v>41249.64</v>
      </c>
      <c r="BY15" s="28">
        <v>46488.39</v>
      </c>
      <c r="BZ15" s="28">
        <v>41482.81</v>
      </c>
      <c r="CA15" s="28">
        <v>32937.67</v>
      </c>
      <c r="CB15" s="28">
        <v>54084.91</v>
      </c>
      <c r="CC15" s="28">
        <v>47722</v>
      </c>
      <c r="CD15" s="28">
        <v>28119.15</v>
      </c>
      <c r="CE15" s="28">
        <v>22796.77</v>
      </c>
      <c r="CF15" s="28">
        <v>19417.68</v>
      </c>
      <c r="CG15" s="28">
        <v>15445.08</v>
      </c>
      <c r="CH15" s="28">
        <v>16537.01</v>
      </c>
      <c r="CI15" s="28">
        <v>15720.04</v>
      </c>
      <c r="CJ15" s="28">
        <v>16242.62</v>
      </c>
      <c r="CK15" s="28">
        <v>14720.43</v>
      </c>
      <c r="CL15" s="28">
        <v>8994.96</v>
      </c>
      <c r="CM15" s="28">
        <v>11445.98</v>
      </c>
      <c r="CN15" s="28">
        <v>12669.3</v>
      </c>
      <c r="CO15" s="28">
        <v>12658.87</v>
      </c>
      <c r="CP15" s="28">
        <v>12780.24</v>
      </c>
      <c r="CQ15" s="28">
        <v>12320.68</v>
      </c>
    </row>
    <row r="16" s="7" customFormat="1" ht="15" customHeight="1" spans="1:95">
      <c r="A16" s="27" t="s">
        <v>13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1265</v>
      </c>
      <c r="AJ16" s="28">
        <v>2900</v>
      </c>
      <c r="AK16" s="28">
        <v>2547</v>
      </c>
      <c r="AL16" s="28">
        <v>2613</v>
      </c>
      <c r="AM16" s="28">
        <v>2853</v>
      </c>
      <c r="AN16" s="28">
        <v>2489</v>
      </c>
      <c r="AO16" s="28">
        <v>2508</v>
      </c>
      <c r="AP16" s="28">
        <v>2436</v>
      </c>
      <c r="AQ16" s="28">
        <v>2337</v>
      </c>
      <c r="AR16" s="28">
        <v>2051</v>
      </c>
      <c r="AS16" s="28">
        <v>1904</v>
      </c>
      <c r="AT16" s="28">
        <v>1698.79</v>
      </c>
      <c r="AU16" s="28">
        <v>1367.02</v>
      </c>
      <c r="AV16" s="28">
        <v>1262.3</v>
      </c>
      <c r="AW16" s="28">
        <v>924.3</v>
      </c>
      <c r="AX16" s="28">
        <v>545</v>
      </c>
      <c r="AY16" s="28">
        <v>340</v>
      </c>
      <c r="AZ16" s="28">
        <v>123</v>
      </c>
      <c r="BA16" s="28">
        <v>59</v>
      </c>
      <c r="BB16" s="28">
        <v>44</v>
      </c>
      <c r="BC16" s="28">
        <v>74</v>
      </c>
      <c r="BD16" s="28">
        <v>12</v>
      </c>
      <c r="BE16" s="28">
        <v>8</v>
      </c>
      <c r="BF16" s="28">
        <v>14</v>
      </c>
      <c r="BG16" s="28">
        <v>56</v>
      </c>
      <c r="BH16" s="28">
        <v>8</v>
      </c>
      <c r="BI16" s="28">
        <v>1</v>
      </c>
      <c r="BJ16" s="28">
        <v>69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</row>
    <row r="17" s="6" customFormat="1" ht="15" customHeight="1" spans="1:95">
      <c r="A17" s="25" t="s">
        <v>14</v>
      </c>
      <c r="B17" s="26">
        <v>169</v>
      </c>
      <c r="C17" s="26">
        <v>176</v>
      </c>
      <c r="D17" s="26">
        <v>183</v>
      </c>
      <c r="E17" s="26">
        <v>190</v>
      </c>
      <c r="F17" s="26">
        <v>197</v>
      </c>
      <c r="G17" s="26">
        <v>203</v>
      </c>
      <c r="H17" s="26">
        <v>210</v>
      </c>
      <c r="I17" s="26">
        <v>217</v>
      </c>
      <c r="J17" s="26">
        <v>224</v>
      </c>
      <c r="K17" s="26">
        <v>231</v>
      </c>
      <c r="L17" s="26">
        <v>238</v>
      </c>
      <c r="M17" s="26">
        <v>245</v>
      </c>
      <c r="N17" s="26">
        <v>266</v>
      </c>
      <c r="O17" s="26">
        <v>291</v>
      </c>
      <c r="P17" s="26">
        <v>297</v>
      </c>
      <c r="Q17" s="26">
        <v>300</v>
      </c>
      <c r="R17" s="26">
        <v>302</v>
      </c>
      <c r="S17" s="26">
        <v>363</v>
      </c>
      <c r="T17" s="26">
        <v>366</v>
      </c>
      <c r="U17" s="26">
        <v>370</v>
      </c>
      <c r="V17" s="26">
        <v>316</v>
      </c>
      <c r="W17" s="26">
        <v>325</v>
      </c>
      <c r="X17" s="26">
        <v>315</v>
      </c>
      <c r="Y17" s="26">
        <v>315</v>
      </c>
      <c r="Z17" s="26">
        <v>341</v>
      </c>
      <c r="AA17" s="26">
        <v>336</v>
      </c>
      <c r="AB17" s="26">
        <v>324</v>
      </c>
      <c r="AC17" s="26">
        <v>326</v>
      </c>
      <c r="AD17" s="26">
        <v>340</v>
      </c>
      <c r="AE17" s="26">
        <v>330</v>
      </c>
      <c r="AF17" s="26">
        <v>315</v>
      </c>
      <c r="AG17" s="26">
        <v>319</v>
      </c>
      <c r="AH17" s="26">
        <v>328</v>
      </c>
      <c r="AI17" s="26">
        <v>329</v>
      </c>
      <c r="AJ17" s="26">
        <v>324</v>
      </c>
      <c r="AK17" s="26">
        <v>322</v>
      </c>
      <c r="AL17" s="26">
        <v>358</v>
      </c>
      <c r="AM17" s="26">
        <v>365</v>
      </c>
      <c r="AN17" s="26">
        <v>330</v>
      </c>
      <c r="AO17" s="26">
        <v>338</v>
      </c>
      <c r="AP17" s="26">
        <v>307</v>
      </c>
      <c r="AQ17" s="26">
        <v>369</v>
      </c>
      <c r="AR17" s="26">
        <v>342</v>
      </c>
      <c r="AS17" s="26">
        <v>350</v>
      </c>
      <c r="AT17" s="26">
        <v>377.48</v>
      </c>
      <c r="AU17" s="26">
        <v>371.61</v>
      </c>
      <c r="AV17" s="26">
        <v>366</v>
      </c>
      <c r="AW17" s="26">
        <v>357.5</v>
      </c>
      <c r="AX17" s="26">
        <v>393</v>
      </c>
      <c r="AY17" s="26">
        <v>345</v>
      </c>
      <c r="AZ17" s="26">
        <v>328</v>
      </c>
      <c r="BA17" s="26">
        <v>308</v>
      </c>
      <c r="BB17" s="26">
        <v>332</v>
      </c>
      <c r="BC17" s="26">
        <v>340</v>
      </c>
      <c r="BD17" s="26">
        <v>333</v>
      </c>
      <c r="BE17" s="26">
        <v>326</v>
      </c>
      <c r="BF17" s="26">
        <v>334</v>
      </c>
      <c r="BG17" s="26">
        <v>341</v>
      </c>
      <c r="BH17" s="26">
        <v>337</v>
      </c>
      <c r="BI17" s="26">
        <v>344</v>
      </c>
      <c r="BJ17" s="26">
        <v>285</v>
      </c>
      <c r="BK17" s="26">
        <v>292</v>
      </c>
      <c r="BL17" s="26">
        <v>293</v>
      </c>
      <c r="BM17" s="26">
        <v>298</v>
      </c>
      <c r="BN17" s="26">
        <v>294</v>
      </c>
      <c r="BO17" s="26">
        <v>299</v>
      </c>
      <c r="BP17" s="26">
        <v>296</v>
      </c>
      <c r="BQ17" s="26">
        <v>285</v>
      </c>
      <c r="BR17" s="26">
        <v>291</v>
      </c>
      <c r="BS17" s="26">
        <v>59</v>
      </c>
      <c r="BT17" s="26">
        <v>52</v>
      </c>
      <c r="BU17" s="26">
        <v>43</v>
      </c>
      <c r="BV17" s="26">
        <v>44.3</v>
      </c>
      <c r="BW17" s="26">
        <v>38.51</v>
      </c>
      <c r="BX17" s="26">
        <v>33.64</v>
      </c>
      <c r="BY17" s="26">
        <v>28.58</v>
      </c>
      <c r="BZ17" s="26">
        <v>23.76</v>
      </c>
      <c r="CA17" s="26">
        <v>18.91</v>
      </c>
      <c r="CB17" s="26">
        <v>18.16</v>
      </c>
      <c r="CC17" s="26">
        <v>17.51</v>
      </c>
      <c r="CD17" s="26">
        <v>16.79</v>
      </c>
      <c r="CE17" s="26">
        <v>9.97</v>
      </c>
      <c r="CF17" s="26">
        <v>9.86</v>
      </c>
      <c r="CG17" s="26">
        <v>9.74</v>
      </c>
      <c r="CH17" s="26">
        <v>9.94</v>
      </c>
      <c r="CI17" s="26">
        <v>9.8</v>
      </c>
      <c r="CJ17" s="26">
        <v>9.74</v>
      </c>
      <c r="CK17" s="26">
        <v>10.04</v>
      </c>
      <c r="CL17" s="26">
        <v>9.66</v>
      </c>
      <c r="CM17" s="26">
        <v>9.84</v>
      </c>
      <c r="CN17" s="26">
        <v>10.17</v>
      </c>
      <c r="CO17" s="26">
        <v>10.11</v>
      </c>
      <c r="CP17" s="26">
        <v>10.15</v>
      </c>
      <c r="CQ17" s="26">
        <v>10.06</v>
      </c>
    </row>
    <row r="18" s="6" customFormat="1" ht="15" customHeight="1" spans="1:95">
      <c r="A18" s="23" t="s">
        <v>15</v>
      </c>
      <c r="B18" s="24">
        <v>55926</v>
      </c>
      <c r="C18" s="24">
        <v>55443</v>
      </c>
      <c r="D18" s="24">
        <v>56197</v>
      </c>
      <c r="E18" s="24">
        <v>55668</v>
      </c>
      <c r="F18" s="24">
        <v>58292</v>
      </c>
      <c r="G18" s="24">
        <v>54116</v>
      </c>
      <c r="H18" s="24">
        <v>53692</v>
      </c>
      <c r="I18" s="24">
        <v>52763</v>
      </c>
      <c r="J18" s="24">
        <v>55936</v>
      </c>
      <c r="K18" s="24">
        <v>53081</v>
      </c>
      <c r="L18" s="24">
        <v>50799</v>
      </c>
      <c r="M18" s="24">
        <v>34654</v>
      </c>
      <c r="N18" s="24">
        <v>34268</v>
      </c>
      <c r="O18" s="24">
        <v>33799</v>
      </c>
      <c r="P18" s="24">
        <v>33442</v>
      </c>
      <c r="Q18" s="24">
        <v>11494</v>
      </c>
      <c r="R18" s="24">
        <v>9390</v>
      </c>
      <c r="S18" s="24">
        <v>8857</v>
      </c>
      <c r="T18" s="24">
        <v>8527</v>
      </c>
      <c r="U18" s="24">
        <v>8155</v>
      </c>
      <c r="V18" s="24">
        <v>7100</v>
      </c>
      <c r="W18" s="24">
        <v>7004</v>
      </c>
      <c r="X18" s="24">
        <v>4682</v>
      </c>
      <c r="Y18" s="24">
        <v>4567</v>
      </c>
      <c r="Z18" s="24">
        <v>4550</v>
      </c>
      <c r="AA18" s="24">
        <v>4434</v>
      </c>
      <c r="AB18" s="24">
        <v>4432</v>
      </c>
      <c r="AC18" s="24">
        <v>4451</v>
      </c>
      <c r="AD18" s="24">
        <v>3189</v>
      </c>
      <c r="AE18" s="24">
        <v>3149</v>
      </c>
      <c r="AF18" s="24">
        <v>3072</v>
      </c>
      <c r="AG18" s="24">
        <v>2983</v>
      </c>
      <c r="AH18" s="24">
        <v>2900</v>
      </c>
      <c r="AI18" s="24">
        <v>2786</v>
      </c>
      <c r="AJ18" s="24">
        <v>2697</v>
      </c>
      <c r="AK18" s="24">
        <v>2577</v>
      </c>
      <c r="AL18" s="24">
        <v>2510</v>
      </c>
      <c r="AM18" s="24">
        <v>2410</v>
      </c>
      <c r="AN18" s="24">
        <v>2319</v>
      </c>
      <c r="AO18" s="24">
        <v>2179</v>
      </c>
      <c r="AP18" s="24">
        <v>2129</v>
      </c>
      <c r="AQ18" s="24">
        <v>2107</v>
      </c>
      <c r="AR18" s="24">
        <v>2042</v>
      </c>
      <c r="AS18" s="24">
        <v>2063</v>
      </c>
      <c r="AT18" s="24">
        <v>2012</v>
      </c>
      <c r="AU18" s="24">
        <v>2004</v>
      </c>
      <c r="AV18" s="24">
        <v>1888</v>
      </c>
      <c r="AW18" s="24">
        <v>1821</v>
      </c>
      <c r="AX18" s="24">
        <v>1770</v>
      </c>
      <c r="AY18" s="24">
        <v>1773</v>
      </c>
      <c r="AZ18" s="24">
        <v>1738</v>
      </c>
      <c r="BA18" s="24">
        <v>1706</v>
      </c>
      <c r="BB18" s="24">
        <v>1240</v>
      </c>
      <c r="BC18" s="24">
        <v>1237</v>
      </c>
      <c r="BD18" s="24">
        <v>1081</v>
      </c>
      <c r="BE18" s="24">
        <v>1081</v>
      </c>
      <c r="BF18" s="24">
        <v>1045</v>
      </c>
      <c r="BG18" s="24">
        <v>1046</v>
      </c>
      <c r="BH18" s="24">
        <v>1012</v>
      </c>
      <c r="BI18" s="24">
        <v>636</v>
      </c>
      <c r="BJ18" s="24">
        <v>601</v>
      </c>
      <c r="BK18" s="24">
        <v>580</v>
      </c>
      <c r="BL18" s="24">
        <v>544</v>
      </c>
      <c r="BM18" s="24">
        <v>545</v>
      </c>
      <c r="BN18" s="24">
        <v>510</v>
      </c>
      <c r="BO18" s="24">
        <v>509</v>
      </c>
      <c r="BP18" s="24">
        <v>475</v>
      </c>
      <c r="BQ18" s="24">
        <v>475</v>
      </c>
      <c r="BR18" s="24">
        <v>440</v>
      </c>
      <c r="BS18" s="24">
        <v>440</v>
      </c>
      <c r="BT18" s="24">
        <v>406</v>
      </c>
      <c r="BU18" s="24">
        <v>406</v>
      </c>
      <c r="BV18" s="24">
        <v>372.13</v>
      </c>
      <c r="BW18" s="24">
        <v>370.76</v>
      </c>
      <c r="BX18" s="24">
        <v>336.27</v>
      </c>
      <c r="BY18" s="24">
        <v>336.08</v>
      </c>
      <c r="BZ18" s="24">
        <v>301.36</v>
      </c>
      <c r="CA18" s="24">
        <v>301.18</v>
      </c>
      <c r="CB18" s="24">
        <v>300.51</v>
      </c>
      <c r="CC18" s="24">
        <v>299.92</v>
      </c>
      <c r="CD18" s="24">
        <v>231.29</v>
      </c>
      <c r="CE18" s="24">
        <v>231.45</v>
      </c>
      <c r="CF18" s="24">
        <v>231.97</v>
      </c>
      <c r="CG18" s="24">
        <v>231.61</v>
      </c>
      <c r="CH18" s="24">
        <v>233.43</v>
      </c>
      <c r="CI18" s="24">
        <v>231.7</v>
      </c>
      <c r="CJ18" s="24">
        <v>231.86</v>
      </c>
      <c r="CK18" s="24">
        <v>232.02</v>
      </c>
      <c r="CL18" s="24">
        <v>231.85</v>
      </c>
      <c r="CM18" s="24">
        <v>232.29</v>
      </c>
      <c r="CN18" s="24">
        <v>234.68</v>
      </c>
      <c r="CO18" s="24">
        <v>234.75</v>
      </c>
      <c r="CP18" s="24">
        <v>234.99</v>
      </c>
      <c r="CQ18" s="24">
        <v>234.62</v>
      </c>
    </row>
    <row r="19" s="6" customFormat="1" ht="15" customHeight="1" spans="1:95">
      <c r="A19" s="21" t="s">
        <v>16</v>
      </c>
      <c r="B19" s="22">
        <v>1085</v>
      </c>
      <c r="C19" s="22">
        <v>1060</v>
      </c>
      <c r="D19" s="22">
        <v>1055</v>
      </c>
      <c r="E19" s="22">
        <v>1094</v>
      </c>
      <c r="F19" s="22">
        <v>1264</v>
      </c>
      <c r="G19" s="22">
        <v>1376</v>
      </c>
      <c r="H19" s="22">
        <v>1417</v>
      </c>
      <c r="I19" s="22">
        <v>1368</v>
      </c>
      <c r="J19" s="22">
        <v>1633</v>
      </c>
      <c r="K19" s="22">
        <v>1526</v>
      </c>
      <c r="L19" s="22">
        <v>1472</v>
      </c>
      <c r="M19" s="22">
        <v>1326</v>
      </c>
      <c r="N19" s="22">
        <v>1185</v>
      </c>
      <c r="O19" s="22">
        <v>1202</v>
      </c>
      <c r="P19" s="22">
        <v>791</v>
      </c>
      <c r="Q19" s="22">
        <v>905</v>
      </c>
      <c r="R19" s="22">
        <v>1486</v>
      </c>
      <c r="S19" s="22">
        <v>1518</v>
      </c>
      <c r="T19" s="22">
        <v>1462</v>
      </c>
      <c r="U19" s="22">
        <v>1556</v>
      </c>
      <c r="V19" s="22">
        <v>1534</v>
      </c>
      <c r="W19" s="22">
        <v>1670</v>
      </c>
      <c r="X19" s="22">
        <v>1546</v>
      </c>
      <c r="Y19" s="22">
        <v>1451</v>
      </c>
      <c r="Z19" s="22">
        <v>1312</v>
      </c>
      <c r="AA19" s="22">
        <v>1206</v>
      </c>
      <c r="AB19" s="22">
        <v>1516</v>
      </c>
      <c r="AC19" s="22">
        <v>1688</v>
      </c>
      <c r="AD19" s="22">
        <v>1834</v>
      </c>
      <c r="AE19" s="22">
        <v>2439</v>
      </c>
      <c r="AF19" s="22">
        <v>2486</v>
      </c>
      <c r="AG19" s="22">
        <v>2483</v>
      </c>
      <c r="AH19" s="22">
        <v>2359</v>
      </c>
      <c r="AI19" s="22">
        <v>2509</v>
      </c>
      <c r="AJ19" s="22">
        <v>2480</v>
      </c>
      <c r="AK19" s="22">
        <v>2211</v>
      </c>
      <c r="AL19" s="22">
        <v>1141</v>
      </c>
      <c r="AM19" s="22">
        <v>1177</v>
      </c>
      <c r="AN19" s="22">
        <v>800</v>
      </c>
      <c r="AO19" s="22">
        <v>761</v>
      </c>
      <c r="AP19" s="22">
        <v>941</v>
      </c>
      <c r="AQ19" s="22">
        <v>945</v>
      </c>
      <c r="AR19" s="22">
        <v>867</v>
      </c>
      <c r="AS19" s="22">
        <v>808</v>
      </c>
      <c r="AT19" s="22">
        <v>781</v>
      </c>
      <c r="AU19" s="22">
        <v>771</v>
      </c>
      <c r="AV19" s="22">
        <v>682</v>
      </c>
      <c r="AW19" s="22">
        <v>635</v>
      </c>
      <c r="AX19" s="22">
        <v>580</v>
      </c>
      <c r="AY19" s="22">
        <v>513</v>
      </c>
      <c r="AZ19" s="22">
        <v>573</v>
      </c>
      <c r="BA19" s="22">
        <v>594</v>
      </c>
      <c r="BB19" s="22">
        <v>564</v>
      </c>
      <c r="BC19" s="22">
        <v>583</v>
      </c>
      <c r="BD19" s="22">
        <v>591</v>
      </c>
      <c r="BE19" s="22">
        <v>662</v>
      </c>
      <c r="BF19" s="22">
        <v>212</v>
      </c>
      <c r="BG19" s="22">
        <v>235</v>
      </c>
      <c r="BH19" s="22">
        <v>207</v>
      </c>
      <c r="BI19" s="22">
        <v>218</v>
      </c>
      <c r="BJ19" s="22">
        <v>219</v>
      </c>
      <c r="BK19" s="22">
        <v>218</v>
      </c>
      <c r="BL19" s="22">
        <v>194</v>
      </c>
      <c r="BM19" s="22">
        <v>179</v>
      </c>
      <c r="BN19" s="22">
        <v>154</v>
      </c>
      <c r="BO19" s="22">
        <v>164</v>
      </c>
      <c r="BP19" s="22">
        <v>164</v>
      </c>
      <c r="BQ19" s="22">
        <v>151</v>
      </c>
      <c r="BR19" s="22">
        <v>147</v>
      </c>
      <c r="BS19" s="22">
        <v>117</v>
      </c>
      <c r="BT19" s="22">
        <v>130</v>
      </c>
      <c r="BU19" s="22">
        <v>99</v>
      </c>
      <c r="BV19" s="22">
        <v>93.37</v>
      </c>
      <c r="BW19" s="22">
        <v>89.17</v>
      </c>
      <c r="BX19" s="22">
        <v>99.19</v>
      </c>
      <c r="BY19" s="22">
        <v>93.73</v>
      </c>
      <c r="BZ19" s="22">
        <v>84.14</v>
      </c>
      <c r="CA19" s="22">
        <v>74.21</v>
      </c>
      <c r="CB19" s="22">
        <v>35.57</v>
      </c>
      <c r="CC19" s="22">
        <v>30.9</v>
      </c>
      <c r="CD19" s="22">
        <v>17.22</v>
      </c>
      <c r="CE19" s="22">
        <v>15.71</v>
      </c>
      <c r="CF19" s="22">
        <v>8.66</v>
      </c>
      <c r="CG19" s="22">
        <v>7.64</v>
      </c>
      <c r="CH19" s="22">
        <v>6.82</v>
      </c>
      <c r="CI19" s="22">
        <v>6.63</v>
      </c>
      <c r="CJ19" s="22">
        <v>3.13</v>
      </c>
      <c r="CK19" s="22">
        <v>2.9</v>
      </c>
      <c r="CL19" s="22">
        <v>1.73</v>
      </c>
      <c r="CM19" s="22">
        <v>0.1</v>
      </c>
      <c r="CN19" s="22">
        <v>0.27</v>
      </c>
      <c r="CO19" s="22">
        <v>0.2</v>
      </c>
      <c r="CP19" s="22">
        <v>2.31</v>
      </c>
      <c r="CQ19" s="22">
        <v>5.52</v>
      </c>
    </row>
    <row r="20" s="6" customFormat="1" ht="15" customHeight="1" spans="1:95">
      <c r="A20" s="30" t="s">
        <v>6</v>
      </c>
      <c r="B20" s="26">
        <v>961</v>
      </c>
      <c r="C20" s="26">
        <v>947</v>
      </c>
      <c r="D20" s="26">
        <v>955.75</v>
      </c>
      <c r="E20" s="26">
        <v>949</v>
      </c>
      <c r="F20" s="26">
        <v>998</v>
      </c>
      <c r="G20" s="26">
        <v>969</v>
      </c>
      <c r="H20" s="26">
        <v>958</v>
      </c>
      <c r="I20" s="26">
        <v>963</v>
      </c>
      <c r="J20" s="26">
        <v>1088</v>
      </c>
      <c r="K20" s="26">
        <v>1031</v>
      </c>
      <c r="L20" s="26">
        <v>954</v>
      </c>
      <c r="M20" s="26">
        <v>939</v>
      </c>
      <c r="N20" s="26">
        <v>924</v>
      </c>
      <c r="O20" s="26">
        <v>936</v>
      </c>
      <c r="P20" s="26">
        <v>472</v>
      </c>
      <c r="Q20" s="26">
        <v>475</v>
      </c>
      <c r="R20" s="26">
        <v>1029</v>
      </c>
      <c r="S20" s="26">
        <v>1041</v>
      </c>
      <c r="T20" s="26">
        <v>1050</v>
      </c>
      <c r="U20" s="26">
        <v>1106</v>
      </c>
      <c r="V20" s="26">
        <v>1143</v>
      </c>
      <c r="W20" s="26">
        <v>1231</v>
      </c>
      <c r="X20" s="26">
        <v>1229</v>
      </c>
      <c r="Y20" s="26">
        <v>1125</v>
      </c>
      <c r="Z20" s="26">
        <v>1102</v>
      </c>
      <c r="AA20" s="26">
        <v>1032</v>
      </c>
      <c r="AB20" s="26">
        <v>1094</v>
      </c>
      <c r="AC20" s="26">
        <v>1142</v>
      </c>
      <c r="AD20" s="26">
        <v>1120</v>
      </c>
      <c r="AE20" s="26">
        <v>1056</v>
      </c>
      <c r="AF20" s="26">
        <v>956</v>
      </c>
      <c r="AG20" s="26">
        <v>1062</v>
      </c>
      <c r="AH20" s="26">
        <v>1034</v>
      </c>
      <c r="AI20" s="26">
        <v>1099</v>
      </c>
      <c r="AJ20" s="26">
        <v>1123</v>
      </c>
      <c r="AK20" s="26">
        <v>1063</v>
      </c>
      <c r="AL20" s="26">
        <v>552</v>
      </c>
      <c r="AM20" s="26">
        <v>569</v>
      </c>
      <c r="AN20" s="26">
        <v>537</v>
      </c>
      <c r="AO20" s="26">
        <v>551</v>
      </c>
      <c r="AP20" s="26">
        <v>564</v>
      </c>
      <c r="AQ20" s="26">
        <v>546</v>
      </c>
      <c r="AR20" s="26">
        <v>557</v>
      </c>
      <c r="AS20" s="26">
        <v>574</v>
      </c>
      <c r="AT20" s="26">
        <v>559</v>
      </c>
      <c r="AU20" s="26">
        <v>559</v>
      </c>
      <c r="AV20" s="26">
        <v>555</v>
      </c>
      <c r="AW20" s="26">
        <v>516</v>
      </c>
      <c r="AX20" s="26">
        <v>494</v>
      </c>
      <c r="AY20" s="26">
        <v>441</v>
      </c>
      <c r="AZ20" s="26">
        <v>451</v>
      </c>
      <c r="BA20" s="26">
        <v>458</v>
      </c>
      <c r="BB20" s="26">
        <v>445</v>
      </c>
      <c r="BC20" s="26">
        <v>461</v>
      </c>
      <c r="BD20" s="26">
        <v>451</v>
      </c>
      <c r="BE20" s="26">
        <v>457</v>
      </c>
      <c r="BF20" s="26">
        <v>0</v>
      </c>
      <c r="BG20" s="26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0</v>
      </c>
      <c r="BM20" s="26">
        <v>0</v>
      </c>
      <c r="BN20" s="26">
        <v>0</v>
      </c>
      <c r="BO20" s="26">
        <v>0</v>
      </c>
      <c r="BP20" s="26">
        <v>0</v>
      </c>
      <c r="BQ20" s="26">
        <v>0</v>
      </c>
      <c r="BR20" s="26">
        <v>0</v>
      </c>
      <c r="BS20" s="26">
        <v>0</v>
      </c>
      <c r="BT20" s="26">
        <v>0</v>
      </c>
      <c r="BU20" s="26">
        <v>0</v>
      </c>
      <c r="BV20" s="26">
        <v>0</v>
      </c>
      <c r="BW20" s="26">
        <v>0</v>
      </c>
      <c r="BX20" s="26">
        <v>0</v>
      </c>
      <c r="BY20" s="26">
        <v>0</v>
      </c>
      <c r="BZ20" s="26">
        <v>0</v>
      </c>
      <c r="CA20" s="26">
        <v>0</v>
      </c>
      <c r="CB20" s="26">
        <v>0</v>
      </c>
      <c r="CC20" s="26">
        <v>0</v>
      </c>
      <c r="CD20" s="26">
        <v>0</v>
      </c>
      <c r="CE20" s="26">
        <v>0</v>
      </c>
      <c r="CF20" s="26">
        <v>0</v>
      </c>
      <c r="CG20" s="26">
        <v>0</v>
      </c>
      <c r="CH20" s="26">
        <v>0</v>
      </c>
      <c r="CI20" s="26">
        <v>0</v>
      </c>
      <c r="CJ20" s="26">
        <v>0</v>
      </c>
      <c r="CK20" s="26">
        <v>0</v>
      </c>
      <c r="CL20" s="26">
        <v>0</v>
      </c>
      <c r="CM20" s="26">
        <v>0</v>
      </c>
      <c r="CN20" s="26">
        <v>0</v>
      </c>
      <c r="CO20" s="26">
        <v>0</v>
      </c>
      <c r="CP20" s="26">
        <v>0</v>
      </c>
      <c r="CQ20" s="26">
        <v>0</v>
      </c>
    </row>
    <row r="21" s="6" customFormat="1" ht="15" customHeight="1" spans="1:95">
      <c r="A21" s="30" t="s">
        <v>7</v>
      </c>
      <c r="B21" s="26">
        <v>100</v>
      </c>
      <c r="C21" s="26">
        <v>100</v>
      </c>
      <c r="D21" s="26">
        <v>79.52</v>
      </c>
      <c r="E21" s="26">
        <v>80</v>
      </c>
      <c r="F21" s="26">
        <v>60</v>
      </c>
      <c r="G21" s="26">
        <v>60</v>
      </c>
      <c r="H21" s="26">
        <v>40</v>
      </c>
      <c r="I21" s="26">
        <v>40</v>
      </c>
      <c r="J21" s="26">
        <v>20</v>
      </c>
      <c r="K21" s="26">
        <v>20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  <c r="BP21" s="26">
        <v>0</v>
      </c>
      <c r="BQ21" s="26">
        <v>0</v>
      </c>
      <c r="BR21" s="26">
        <v>0</v>
      </c>
      <c r="BS21" s="26">
        <v>0</v>
      </c>
      <c r="BT21" s="26">
        <v>0</v>
      </c>
      <c r="BU21" s="26">
        <v>0</v>
      </c>
      <c r="BV21" s="26">
        <v>0</v>
      </c>
      <c r="BW21" s="26">
        <v>0</v>
      </c>
      <c r="BX21" s="26">
        <v>0</v>
      </c>
      <c r="BY21" s="26">
        <v>0</v>
      </c>
      <c r="BZ21" s="26">
        <v>0</v>
      </c>
      <c r="CA21" s="26">
        <v>0</v>
      </c>
      <c r="CB21" s="26">
        <v>0</v>
      </c>
      <c r="CC21" s="26">
        <v>0</v>
      </c>
      <c r="CD21" s="26">
        <v>0</v>
      </c>
      <c r="CE21" s="26">
        <v>0</v>
      </c>
      <c r="CF21" s="26">
        <v>0</v>
      </c>
      <c r="CG21" s="26">
        <v>0</v>
      </c>
      <c r="CH21" s="26">
        <v>0</v>
      </c>
      <c r="CI21" s="26">
        <v>0</v>
      </c>
      <c r="CJ21" s="26">
        <v>0</v>
      </c>
      <c r="CK21" s="26">
        <v>0</v>
      </c>
      <c r="CL21" s="26">
        <v>0</v>
      </c>
      <c r="CM21" s="26">
        <v>0</v>
      </c>
      <c r="CN21" s="26">
        <v>0</v>
      </c>
      <c r="CO21" s="26">
        <v>0</v>
      </c>
      <c r="CP21" s="26">
        <v>0</v>
      </c>
      <c r="CQ21" s="26">
        <v>0</v>
      </c>
    </row>
    <row r="22" s="6" customFormat="1" ht="15" customHeight="1" spans="1:95">
      <c r="A22" s="30" t="s">
        <v>12</v>
      </c>
      <c r="B22" s="26">
        <v>24</v>
      </c>
      <c r="C22" s="26">
        <v>14</v>
      </c>
      <c r="D22" s="26">
        <v>19.7</v>
      </c>
      <c r="E22" s="26">
        <v>65</v>
      </c>
      <c r="F22" s="26">
        <v>206</v>
      </c>
      <c r="G22" s="26">
        <v>347</v>
      </c>
      <c r="H22" s="26">
        <v>419</v>
      </c>
      <c r="I22" s="26">
        <v>365</v>
      </c>
      <c r="J22" s="26">
        <v>525</v>
      </c>
      <c r="K22" s="26">
        <v>475</v>
      </c>
      <c r="L22" s="26">
        <v>518</v>
      </c>
      <c r="M22" s="26">
        <v>387</v>
      </c>
      <c r="N22" s="26">
        <v>260</v>
      </c>
      <c r="O22" s="26">
        <v>266</v>
      </c>
      <c r="P22" s="26">
        <v>319</v>
      </c>
      <c r="Q22" s="26">
        <v>430</v>
      </c>
      <c r="R22" s="26">
        <v>456</v>
      </c>
      <c r="S22" s="26">
        <v>477</v>
      </c>
      <c r="T22" s="26">
        <v>412</v>
      </c>
      <c r="U22" s="26">
        <v>449</v>
      </c>
      <c r="V22" s="26">
        <v>391</v>
      </c>
      <c r="W22" s="26">
        <v>439</v>
      </c>
      <c r="X22" s="26">
        <v>318</v>
      </c>
      <c r="Y22" s="26">
        <v>326</v>
      </c>
      <c r="Z22" s="26">
        <v>211</v>
      </c>
      <c r="AA22" s="26">
        <v>174</v>
      </c>
      <c r="AB22" s="26">
        <v>423</v>
      </c>
      <c r="AC22" s="26">
        <v>546</v>
      </c>
      <c r="AD22" s="26">
        <v>714</v>
      </c>
      <c r="AE22" s="26">
        <v>1383</v>
      </c>
      <c r="AF22" s="26">
        <v>1530</v>
      </c>
      <c r="AG22" s="26">
        <v>1421</v>
      </c>
      <c r="AH22" s="26">
        <v>1325</v>
      </c>
      <c r="AI22" s="26">
        <v>1409</v>
      </c>
      <c r="AJ22" s="26">
        <v>1356</v>
      </c>
      <c r="AK22" s="26">
        <v>1148</v>
      </c>
      <c r="AL22" s="26">
        <v>589</v>
      </c>
      <c r="AM22" s="26">
        <v>609</v>
      </c>
      <c r="AN22" s="26">
        <v>262</v>
      </c>
      <c r="AO22" s="26">
        <v>209</v>
      </c>
      <c r="AP22" s="26">
        <v>377</v>
      </c>
      <c r="AQ22" s="26">
        <v>398</v>
      </c>
      <c r="AR22" s="26">
        <v>311</v>
      </c>
      <c r="AS22" s="26">
        <v>233</v>
      </c>
      <c r="AT22" s="26">
        <v>222.1</v>
      </c>
      <c r="AU22" s="26">
        <v>211.99</v>
      </c>
      <c r="AV22" s="26">
        <v>127.74</v>
      </c>
      <c r="AW22" s="26">
        <v>118.45</v>
      </c>
      <c r="AX22" s="26">
        <v>85</v>
      </c>
      <c r="AY22" s="26">
        <v>72</v>
      </c>
      <c r="AZ22" s="26">
        <v>122</v>
      </c>
      <c r="BA22" s="26">
        <v>136</v>
      </c>
      <c r="BB22" s="26">
        <v>119</v>
      </c>
      <c r="BC22" s="26">
        <v>123</v>
      </c>
      <c r="BD22" s="26">
        <v>140</v>
      </c>
      <c r="BE22" s="26">
        <v>205</v>
      </c>
      <c r="BF22" s="26">
        <v>212</v>
      </c>
      <c r="BG22" s="26">
        <v>235</v>
      </c>
      <c r="BH22" s="26">
        <v>207</v>
      </c>
      <c r="BI22" s="26">
        <v>218</v>
      </c>
      <c r="BJ22" s="26">
        <v>219</v>
      </c>
      <c r="BK22" s="26">
        <v>218</v>
      </c>
      <c r="BL22" s="26">
        <v>194</v>
      </c>
      <c r="BM22" s="26">
        <v>179</v>
      </c>
      <c r="BN22" s="26">
        <v>154</v>
      </c>
      <c r="BO22" s="26">
        <v>164</v>
      </c>
      <c r="BP22" s="26">
        <v>164</v>
      </c>
      <c r="BQ22" s="26">
        <v>151</v>
      </c>
      <c r="BR22" s="26">
        <v>147</v>
      </c>
      <c r="BS22" s="26">
        <v>117</v>
      </c>
      <c r="BT22" s="26">
        <v>130</v>
      </c>
      <c r="BU22" s="26">
        <v>99</v>
      </c>
      <c r="BV22" s="26">
        <v>93.37</v>
      </c>
      <c r="BW22" s="26">
        <v>89.17</v>
      </c>
      <c r="BX22" s="26">
        <v>99.19</v>
      </c>
      <c r="BY22" s="26">
        <v>93.73</v>
      </c>
      <c r="BZ22" s="26">
        <v>84.14</v>
      </c>
      <c r="CA22" s="26">
        <v>74.21</v>
      </c>
      <c r="CB22" s="26">
        <v>35.57</v>
      </c>
      <c r="CC22" s="26">
        <v>30.9</v>
      </c>
      <c r="CD22" s="26">
        <v>17.22</v>
      </c>
      <c r="CE22" s="26">
        <v>15.71</v>
      </c>
      <c r="CF22" s="26">
        <v>8.66</v>
      </c>
      <c r="CG22" s="26">
        <v>7.64</v>
      </c>
      <c r="CH22" s="26">
        <v>6.82</v>
      </c>
      <c r="CI22" s="26">
        <v>6.63</v>
      </c>
      <c r="CJ22" s="26">
        <v>3.13</v>
      </c>
      <c r="CK22" s="26">
        <v>2.9</v>
      </c>
      <c r="CL22" s="26">
        <v>1.73</v>
      </c>
      <c r="CM22" s="26">
        <v>0.1</v>
      </c>
      <c r="CN22" s="26">
        <v>0.27</v>
      </c>
      <c r="CO22" s="26">
        <v>0.2</v>
      </c>
      <c r="CP22" s="26">
        <v>2.31</v>
      </c>
      <c r="CQ22" s="26">
        <v>5.52</v>
      </c>
    </row>
    <row r="23" s="6" customFormat="1" ht="15" customHeight="1" spans="1:95">
      <c r="A23" s="31" t="s">
        <v>17</v>
      </c>
      <c r="B23" s="20">
        <v>15208</v>
      </c>
      <c r="C23" s="20">
        <v>15675</v>
      </c>
      <c r="D23" s="20">
        <v>18583</v>
      </c>
      <c r="E23" s="20">
        <v>21562</v>
      </c>
      <c r="F23" s="20">
        <v>27572</v>
      </c>
      <c r="G23" s="20">
        <v>28894</v>
      </c>
      <c r="H23" s="20">
        <v>28755</v>
      </c>
      <c r="I23" s="20">
        <v>28887</v>
      </c>
      <c r="J23" s="20">
        <v>37018</v>
      </c>
      <c r="K23" s="20">
        <v>42333</v>
      </c>
      <c r="L23" s="20">
        <v>46665</v>
      </c>
      <c r="M23" s="20">
        <v>52621</v>
      </c>
      <c r="N23" s="20">
        <v>61073</v>
      </c>
      <c r="O23" s="20">
        <v>73733</v>
      </c>
      <c r="P23" s="20">
        <v>79137</v>
      </c>
      <c r="Q23" s="20">
        <v>87475</v>
      </c>
      <c r="R23" s="20">
        <v>105022</v>
      </c>
      <c r="S23" s="20">
        <v>119596</v>
      </c>
      <c r="T23" s="20">
        <v>139431</v>
      </c>
      <c r="U23" s="20">
        <v>160790</v>
      </c>
      <c r="V23" s="20">
        <v>165890</v>
      </c>
      <c r="W23" s="20">
        <v>174188</v>
      </c>
      <c r="X23" s="20">
        <v>196254</v>
      </c>
      <c r="Y23" s="20">
        <v>201261</v>
      </c>
      <c r="Z23" s="20">
        <v>168984</v>
      </c>
      <c r="AA23" s="20">
        <v>148838</v>
      </c>
      <c r="AB23" s="20">
        <v>145521</v>
      </c>
      <c r="AC23" s="20">
        <v>148021</v>
      </c>
      <c r="AD23" s="20">
        <v>141787</v>
      </c>
      <c r="AE23" s="20">
        <v>141203</v>
      </c>
      <c r="AF23" s="20">
        <v>133975</v>
      </c>
      <c r="AG23" s="20">
        <v>152198</v>
      </c>
      <c r="AH23" s="20">
        <v>156181</v>
      </c>
      <c r="AI23" s="20">
        <v>161438</v>
      </c>
      <c r="AJ23" s="20">
        <v>171592</v>
      </c>
      <c r="AK23" s="20">
        <v>168982</v>
      </c>
      <c r="AL23" s="20">
        <v>174311</v>
      </c>
      <c r="AM23" s="20">
        <v>181310</v>
      </c>
      <c r="AN23" s="20">
        <v>187398</v>
      </c>
      <c r="AO23" s="20">
        <v>203409</v>
      </c>
      <c r="AP23" s="20">
        <v>217206</v>
      </c>
      <c r="AQ23" s="20">
        <v>225409</v>
      </c>
      <c r="AR23" s="20">
        <v>230891</v>
      </c>
      <c r="AS23" s="20">
        <v>224646</v>
      </c>
      <c r="AT23" s="20">
        <v>230357</v>
      </c>
      <c r="AU23" s="20">
        <v>229519</v>
      </c>
      <c r="AV23" s="20">
        <v>225084</v>
      </c>
      <c r="AW23" s="20">
        <v>208065</v>
      </c>
      <c r="AX23" s="20">
        <v>182049</v>
      </c>
      <c r="AY23" s="20">
        <v>165376</v>
      </c>
      <c r="AZ23" s="20">
        <v>159178</v>
      </c>
      <c r="BA23" s="20">
        <v>150286</v>
      </c>
      <c r="BB23" s="20">
        <v>143449</v>
      </c>
      <c r="BC23" s="20">
        <v>140596</v>
      </c>
      <c r="BD23" s="20">
        <v>138359</v>
      </c>
      <c r="BE23" s="20">
        <v>134396</v>
      </c>
      <c r="BF23" s="20">
        <v>131472</v>
      </c>
      <c r="BG23" s="20">
        <v>134182</v>
      </c>
      <c r="BH23" s="20">
        <v>130182</v>
      </c>
      <c r="BI23" s="20">
        <v>129279</v>
      </c>
      <c r="BJ23" s="20">
        <v>117865</v>
      </c>
      <c r="BK23" s="20">
        <v>122071</v>
      </c>
      <c r="BL23" s="20">
        <v>108634</v>
      </c>
      <c r="BM23" s="20">
        <v>103609</v>
      </c>
      <c r="BN23" s="20">
        <v>96761</v>
      </c>
      <c r="BO23" s="20">
        <v>98908</v>
      </c>
      <c r="BP23" s="20">
        <v>92468</v>
      </c>
      <c r="BQ23" s="20">
        <v>86448</v>
      </c>
      <c r="BR23" s="20">
        <v>90777</v>
      </c>
      <c r="BS23" s="20">
        <v>84744</v>
      </c>
      <c r="BT23" s="20">
        <v>82133</v>
      </c>
      <c r="BU23" s="20">
        <v>86172</v>
      </c>
      <c r="BV23" s="20">
        <v>84930.29</v>
      </c>
      <c r="BW23" s="20">
        <v>89236.23</v>
      </c>
      <c r="BX23" s="20">
        <v>90103.67</v>
      </c>
      <c r="BY23" s="20">
        <v>110086.29</v>
      </c>
      <c r="BZ23" s="20">
        <v>114682.9</v>
      </c>
      <c r="CA23" s="20">
        <v>118617.2</v>
      </c>
      <c r="CB23" s="20">
        <v>113258.77</v>
      </c>
      <c r="CC23" s="20">
        <v>105139.79</v>
      </c>
      <c r="CD23" s="20">
        <v>94180.7</v>
      </c>
      <c r="CE23" s="20">
        <v>92201.47</v>
      </c>
      <c r="CF23" s="20">
        <v>92964.69</v>
      </c>
      <c r="CG23" s="20">
        <v>93681.82</v>
      </c>
      <c r="CH23" s="20">
        <v>94755.6</v>
      </c>
      <c r="CI23" s="20">
        <v>90922.47</v>
      </c>
      <c r="CJ23" s="20">
        <v>97792.76</v>
      </c>
      <c r="CK23" s="20">
        <v>100793.59</v>
      </c>
      <c r="CL23" s="20">
        <v>95872.41</v>
      </c>
      <c r="CM23" s="20">
        <v>101663.65</v>
      </c>
      <c r="CN23" s="20">
        <v>105703.77</v>
      </c>
      <c r="CO23" s="20">
        <v>108932.52</v>
      </c>
      <c r="CP23" s="20">
        <v>111551.98</v>
      </c>
      <c r="CQ23" s="20">
        <v>106723.21</v>
      </c>
    </row>
    <row r="24" s="8" customFormat="1" ht="20.4" spans="1:95">
      <c r="A24" s="32" t="s">
        <v>18</v>
      </c>
      <c r="B24" s="26">
        <v>17</v>
      </c>
      <c r="C24" s="26">
        <v>20</v>
      </c>
      <c r="D24" s="26">
        <v>19</v>
      </c>
      <c r="E24" s="26">
        <v>19</v>
      </c>
      <c r="F24" s="26">
        <v>14</v>
      </c>
      <c r="G24" s="26">
        <v>19</v>
      </c>
      <c r="H24" s="26">
        <v>25</v>
      </c>
      <c r="I24" s="26">
        <v>27</v>
      </c>
      <c r="J24" s="26">
        <v>30</v>
      </c>
      <c r="K24" s="26">
        <v>30</v>
      </c>
      <c r="L24" s="26">
        <v>30</v>
      </c>
      <c r="M24" s="26">
        <v>25</v>
      </c>
      <c r="N24" s="26">
        <v>33</v>
      </c>
      <c r="O24" s="26">
        <v>35</v>
      </c>
      <c r="P24" s="26">
        <v>110</v>
      </c>
      <c r="Q24" s="26">
        <v>125</v>
      </c>
      <c r="R24" s="26">
        <v>60</v>
      </c>
      <c r="S24" s="26">
        <v>64</v>
      </c>
      <c r="T24" s="26">
        <v>182</v>
      </c>
      <c r="U24" s="26">
        <v>111</v>
      </c>
      <c r="V24" s="26">
        <v>126</v>
      </c>
      <c r="W24" s="26">
        <v>181</v>
      </c>
      <c r="X24" s="26">
        <v>286</v>
      </c>
      <c r="Y24" s="26">
        <v>300</v>
      </c>
      <c r="Z24" s="26">
        <v>432</v>
      </c>
      <c r="AA24" s="26">
        <v>248</v>
      </c>
      <c r="AB24" s="26">
        <v>252</v>
      </c>
      <c r="AC24" s="26">
        <v>517</v>
      </c>
      <c r="AD24" s="26">
        <v>452</v>
      </c>
      <c r="AE24" s="26">
        <v>460</v>
      </c>
      <c r="AF24" s="26">
        <v>211</v>
      </c>
      <c r="AG24" s="26">
        <v>227</v>
      </c>
      <c r="AH24" s="26">
        <v>199</v>
      </c>
      <c r="AI24" s="26">
        <v>169</v>
      </c>
      <c r="AJ24" s="26">
        <v>135</v>
      </c>
      <c r="AK24" s="26">
        <v>405</v>
      </c>
      <c r="AL24" s="26">
        <v>620</v>
      </c>
      <c r="AM24" s="26">
        <v>913</v>
      </c>
      <c r="AN24" s="26">
        <v>1271</v>
      </c>
      <c r="AO24" s="26">
        <v>1502</v>
      </c>
      <c r="AP24" s="26">
        <v>2003</v>
      </c>
      <c r="AQ24" s="26">
        <v>3232</v>
      </c>
      <c r="AR24" s="26">
        <v>4920</v>
      </c>
      <c r="AS24" s="26">
        <v>4591</v>
      </c>
      <c r="AT24" s="26">
        <v>4510</v>
      </c>
      <c r="AU24" s="26">
        <v>5031</v>
      </c>
      <c r="AV24" s="26">
        <v>4078</v>
      </c>
      <c r="AW24" s="26">
        <v>2794</v>
      </c>
      <c r="AX24" s="26">
        <v>1897</v>
      </c>
      <c r="AY24" s="26">
        <v>5037</v>
      </c>
      <c r="AZ24" s="26">
        <v>4909</v>
      </c>
      <c r="BA24" s="26">
        <v>4477</v>
      </c>
      <c r="BB24" s="26">
        <v>5499</v>
      </c>
      <c r="BC24" s="26">
        <v>4863</v>
      </c>
      <c r="BD24" s="26">
        <v>4721</v>
      </c>
      <c r="BE24" s="26">
        <v>4362</v>
      </c>
      <c r="BF24" s="26">
        <v>5179</v>
      </c>
      <c r="BG24" s="26">
        <v>5353</v>
      </c>
      <c r="BH24" s="26">
        <v>5294</v>
      </c>
      <c r="BI24" s="26">
        <v>4389</v>
      </c>
      <c r="BJ24" s="26">
        <v>4541</v>
      </c>
      <c r="BK24" s="26">
        <v>5017</v>
      </c>
      <c r="BL24" s="26">
        <v>4813</v>
      </c>
      <c r="BM24" s="26">
        <v>5050</v>
      </c>
      <c r="BN24" s="26">
        <v>4416</v>
      </c>
      <c r="BO24" s="26">
        <v>4454</v>
      </c>
      <c r="BP24" s="26">
        <v>4515</v>
      </c>
      <c r="BQ24" s="26">
        <v>3798</v>
      </c>
      <c r="BR24" s="26">
        <v>4560</v>
      </c>
      <c r="BS24" s="26">
        <v>4630</v>
      </c>
      <c r="BT24" s="26">
        <v>4370</v>
      </c>
      <c r="BU24" s="26">
        <v>4274</v>
      </c>
      <c r="BV24" s="26">
        <v>4584.13</v>
      </c>
      <c r="BW24" s="26">
        <v>5625.96</v>
      </c>
      <c r="BX24" s="26">
        <v>4091.25</v>
      </c>
      <c r="BY24" s="26">
        <v>4620.68</v>
      </c>
      <c r="BZ24" s="26">
        <v>4763.6</v>
      </c>
      <c r="CA24" s="26">
        <v>6555.78</v>
      </c>
      <c r="CB24" s="26">
        <v>4176</v>
      </c>
      <c r="CC24" s="26">
        <v>4079.18</v>
      </c>
      <c r="CD24" s="26">
        <v>3907.78</v>
      </c>
      <c r="CE24" s="26">
        <v>4007.87</v>
      </c>
      <c r="CF24" s="26">
        <v>3936.4</v>
      </c>
      <c r="CG24" s="26">
        <v>3837.93</v>
      </c>
      <c r="CH24" s="26">
        <v>3450.9</v>
      </c>
      <c r="CI24" s="26">
        <v>3196.87</v>
      </c>
      <c r="CJ24" s="26">
        <v>3045.31</v>
      </c>
      <c r="CK24" s="26">
        <v>2012.42</v>
      </c>
      <c r="CL24" s="26">
        <v>2000.85</v>
      </c>
      <c r="CM24" s="26">
        <v>1929.37</v>
      </c>
      <c r="CN24" s="26">
        <v>685.34</v>
      </c>
      <c r="CO24" s="26">
        <v>687.87</v>
      </c>
      <c r="CP24" s="26">
        <v>637.16</v>
      </c>
      <c r="CQ24" s="26">
        <v>632</v>
      </c>
    </row>
    <row r="25" s="6" customFormat="1" ht="15" customHeight="1" spans="1:95">
      <c r="A25" s="30" t="s">
        <v>19</v>
      </c>
      <c r="B25" s="26">
        <v>1768</v>
      </c>
      <c r="C25" s="26">
        <v>1310</v>
      </c>
      <c r="D25" s="26">
        <v>1629</v>
      </c>
      <c r="E25" s="26">
        <v>1037</v>
      </c>
      <c r="F25" s="26">
        <v>1218</v>
      </c>
      <c r="G25" s="26">
        <v>1247</v>
      </c>
      <c r="H25" s="26">
        <v>1448</v>
      </c>
      <c r="I25" s="26">
        <v>1377</v>
      </c>
      <c r="J25" s="26">
        <v>1823</v>
      </c>
      <c r="K25" s="26">
        <v>1692</v>
      </c>
      <c r="L25" s="26">
        <v>1692</v>
      </c>
      <c r="M25" s="26">
        <v>1953</v>
      </c>
      <c r="N25" s="26">
        <v>1826</v>
      </c>
      <c r="O25" s="26">
        <v>2121</v>
      </c>
      <c r="P25" s="26">
        <v>2568</v>
      </c>
      <c r="Q25" s="26">
        <v>2971</v>
      </c>
      <c r="R25" s="26">
        <v>3301</v>
      </c>
      <c r="S25" s="26">
        <v>4178</v>
      </c>
      <c r="T25" s="26">
        <v>5316</v>
      </c>
      <c r="U25" s="26">
        <v>5860</v>
      </c>
      <c r="V25" s="26">
        <v>6167</v>
      </c>
      <c r="W25" s="26">
        <v>5764</v>
      </c>
      <c r="X25" s="26">
        <v>5546</v>
      </c>
      <c r="Y25" s="26">
        <v>4532</v>
      </c>
      <c r="Z25" s="26">
        <v>3652</v>
      </c>
      <c r="AA25" s="26">
        <v>3016</v>
      </c>
      <c r="AB25" s="26">
        <v>3210</v>
      </c>
      <c r="AC25" s="26">
        <v>3352</v>
      </c>
      <c r="AD25" s="26">
        <v>4116</v>
      </c>
      <c r="AE25" s="26">
        <v>4211</v>
      </c>
      <c r="AF25" s="26">
        <v>3516</v>
      </c>
      <c r="AG25" s="26">
        <v>3848</v>
      </c>
      <c r="AH25" s="26">
        <v>4321</v>
      </c>
      <c r="AI25" s="26">
        <v>4406</v>
      </c>
      <c r="AJ25" s="26">
        <v>4959</v>
      </c>
      <c r="AK25" s="26">
        <v>4208</v>
      </c>
      <c r="AL25" s="26">
        <v>4493</v>
      </c>
      <c r="AM25" s="26">
        <v>8819</v>
      </c>
      <c r="AN25" s="26">
        <v>8286</v>
      </c>
      <c r="AO25" s="26">
        <v>10507</v>
      </c>
      <c r="AP25" s="26">
        <v>9102</v>
      </c>
      <c r="AQ25" s="26">
        <v>8842</v>
      </c>
      <c r="AR25" s="26">
        <v>8426</v>
      </c>
      <c r="AS25" s="26">
        <v>7908</v>
      </c>
      <c r="AT25" s="26">
        <v>7729</v>
      </c>
      <c r="AU25" s="26">
        <v>7550</v>
      </c>
      <c r="AV25" s="26">
        <v>7556</v>
      </c>
      <c r="AW25" s="26">
        <v>6672</v>
      </c>
      <c r="AX25" s="26">
        <v>5197</v>
      </c>
      <c r="AY25" s="26">
        <v>5376</v>
      </c>
      <c r="AZ25" s="26">
        <v>5236</v>
      </c>
      <c r="BA25" s="26">
        <v>5371</v>
      </c>
      <c r="BB25" s="26">
        <v>5721</v>
      </c>
      <c r="BC25" s="26">
        <v>5299</v>
      </c>
      <c r="BD25" s="26">
        <v>5463</v>
      </c>
      <c r="BE25" s="26">
        <v>5444</v>
      </c>
      <c r="BF25" s="26">
        <v>6148</v>
      </c>
      <c r="BG25" s="26">
        <v>5681</v>
      </c>
      <c r="BH25" s="26">
        <v>5564</v>
      </c>
      <c r="BI25" s="26">
        <v>5815</v>
      </c>
      <c r="BJ25" s="26">
        <v>5376</v>
      </c>
      <c r="BK25" s="26">
        <v>5493</v>
      </c>
      <c r="BL25" s="26">
        <v>4798</v>
      </c>
      <c r="BM25" s="26">
        <v>4758</v>
      </c>
      <c r="BN25" s="26">
        <v>4478</v>
      </c>
      <c r="BO25" s="26">
        <v>4525</v>
      </c>
      <c r="BP25" s="26">
        <v>4572</v>
      </c>
      <c r="BQ25" s="26">
        <v>4450</v>
      </c>
      <c r="BR25" s="26">
        <v>4431</v>
      </c>
      <c r="BS25" s="26">
        <v>3404</v>
      </c>
      <c r="BT25" s="26">
        <v>3731</v>
      </c>
      <c r="BU25" s="26">
        <v>3331</v>
      </c>
      <c r="BV25" s="26">
        <v>3599.05</v>
      </c>
      <c r="BW25" s="26">
        <v>3554.51</v>
      </c>
      <c r="BX25" s="26">
        <v>3761.44</v>
      </c>
      <c r="BY25" s="26">
        <v>3832.62</v>
      </c>
      <c r="BZ25" s="26">
        <v>3551.55</v>
      </c>
      <c r="CA25" s="26">
        <v>3562.41</v>
      </c>
      <c r="CB25" s="26">
        <v>5103.71</v>
      </c>
      <c r="CC25" s="26">
        <v>4407.26</v>
      </c>
      <c r="CD25" s="26">
        <v>1788.11</v>
      </c>
      <c r="CE25" s="26">
        <v>1288.84</v>
      </c>
      <c r="CF25" s="26">
        <v>1233.1</v>
      </c>
      <c r="CG25" s="26">
        <v>1196.38</v>
      </c>
      <c r="CH25" s="26">
        <v>1344.58</v>
      </c>
      <c r="CI25" s="26">
        <v>1483.1</v>
      </c>
      <c r="CJ25" s="26">
        <v>1758.63</v>
      </c>
      <c r="CK25" s="26">
        <v>1376.29</v>
      </c>
      <c r="CL25" s="26">
        <v>1316.27</v>
      </c>
      <c r="CM25" s="26">
        <v>1714.18</v>
      </c>
      <c r="CN25" s="26">
        <v>1851.92</v>
      </c>
      <c r="CO25" s="26">
        <v>1634.1</v>
      </c>
      <c r="CP25" s="26">
        <v>1756.14</v>
      </c>
      <c r="CQ25" s="26">
        <v>1718.35</v>
      </c>
    </row>
    <row r="26" s="6" customFormat="1" ht="15" customHeight="1" spans="1:95">
      <c r="A26" s="30" t="s">
        <v>20</v>
      </c>
      <c r="B26" s="26">
        <v>12712</v>
      </c>
      <c r="C26" s="26">
        <v>13495</v>
      </c>
      <c r="D26" s="26">
        <v>16032</v>
      </c>
      <c r="E26" s="26">
        <v>19527</v>
      </c>
      <c r="F26" s="26">
        <v>25401</v>
      </c>
      <c r="G26" s="26">
        <v>26412</v>
      </c>
      <c r="H26" s="26">
        <v>26116</v>
      </c>
      <c r="I26" s="26">
        <v>26173</v>
      </c>
      <c r="J26" s="26">
        <v>34283</v>
      </c>
      <c r="K26" s="26">
        <v>39467</v>
      </c>
      <c r="L26" s="26">
        <v>43608</v>
      </c>
      <c r="M26" s="26">
        <v>49386</v>
      </c>
      <c r="N26" s="26">
        <v>58066</v>
      </c>
      <c r="O26" s="26">
        <v>70050</v>
      </c>
      <c r="P26" s="26">
        <v>74663</v>
      </c>
      <c r="Q26" s="26">
        <v>82577</v>
      </c>
      <c r="R26" s="26">
        <v>99801</v>
      </c>
      <c r="S26" s="26">
        <v>112723</v>
      </c>
      <c r="T26" s="26">
        <v>130992</v>
      </c>
      <c r="U26" s="26">
        <v>151362</v>
      </c>
      <c r="V26" s="26">
        <v>156740</v>
      </c>
      <c r="W26" s="26">
        <v>164262</v>
      </c>
      <c r="X26" s="26">
        <v>186531</v>
      </c>
      <c r="Y26" s="26">
        <v>192078</v>
      </c>
      <c r="Z26" s="26">
        <v>161422</v>
      </c>
      <c r="AA26" s="26">
        <v>141801</v>
      </c>
      <c r="AB26" s="26">
        <v>138685</v>
      </c>
      <c r="AC26" s="26">
        <v>131623</v>
      </c>
      <c r="AD26" s="26">
        <v>126108</v>
      </c>
      <c r="AE26" s="26">
        <v>124393</v>
      </c>
      <c r="AF26" s="26">
        <v>119370</v>
      </c>
      <c r="AG26" s="26">
        <v>136340</v>
      </c>
      <c r="AH26" s="26">
        <v>140708</v>
      </c>
      <c r="AI26" s="26">
        <v>144688</v>
      </c>
      <c r="AJ26" s="26">
        <v>153648</v>
      </c>
      <c r="AK26" s="26">
        <v>152203</v>
      </c>
      <c r="AL26" s="26">
        <v>158104</v>
      </c>
      <c r="AM26" s="26">
        <v>159441</v>
      </c>
      <c r="AN26" s="26">
        <v>166608</v>
      </c>
      <c r="AO26" s="26">
        <v>178619</v>
      </c>
      <c r="AP26" s="26">
        <v>193234</v>
      </c>
      <c r="AQ26" s="26">
        <v>199928</v>
      </c>
      <c r="AR26" s="26">
        <v>204226</v>
      </c>
      <c r="AS26" s="26">
        <v>199273</v>
      </c>
      <c r="AT26" s="26">
        <v>205579</v>
      </c>
      <c r="AU26" s="26">
        <v>203950</v>
      </c>
      <c r="AV26" s="26">
        <v>200066</v>
      </c>
      <c r="AW26" s="26">
        <v>186244</v>
      </c>
      <c r="AX26" s="26">
        <v>163099</v>
      </c>
      <c r="AY26" s="26">
        <v>143967</v>
      </c>
      <c r="AZ26" s="26">
        <v>137831</v>
      </c>
      <c r="BA26" s="26">
        <v>129585</v>
      </c>
      <c r="BB26" s="26">
        <v>122333</v>
      </c>
      <c r="BC26" s="26">
        <v>119235</v>
      </c>
      <c r="BD26" s="26">
        <v>117277</v>
      </c>
      <c r="BE26" s="26">
        <v>112917</v>
      </c>
      <c r="BF26" s="26">
        <v>110202</v>
      </c>
      <c r="BG26" s="26">
        <v>112026</v>
      </c>
      <c r="BH26" s="26">
        <v>107266</v>
      </c>
      <c r="BI26" s="26">
        <v>108393</v>
      </c>
      <c r="BJ26" s="26">
        <v>97350</v>
      </c>
      <c r="BK26" s="26">
        <v>100891</v>
      </c>
      <c r="BL26" s="26">
        <v>86758</v>
      </c>
      <c r="BM26" s="26">
        <v>84195</v>
      </c>
      <c r="BN26" s="26">
        <v>78199</v>
      </c>
      <c r="BO26" s="26">
        <v>78651</v>
      </c>
      <c r="BP26" s="26">
        <v>70526</v>
      </c>
      <c r="BQ26" s="26">
        <v>68028</v>
      </c>
      <c r="BR26" s="26">
        <v>70684</v>
      </c>
      <c r="BS26" s="26">
        <v>66458</v>
      </c>
      <c r="BT26" s="26">
        <v>63986</v>
      </c>
      <c r="BU26" s="26">
        <v>65506</v>
      </c>
      <c r="BV26" s="26">
        <v>65157.04</v>
      </c>
      <c r="BW26" s="26">
        <v>69208.22</v>
      </c>
      <c r="BX26" s="26">
        <v>71277.2</v>
      </c>
      <c r="BY26" s="26">
        <v>73448.85</v>
      </c>
      <c r="BZ26" s="26">
        <v>78119.13</v>
      </c>
      <c r="CA26" s="26">
        <v>71832.4</v>
      </c>
      <c r="CB26" s="26">
        <v>74153.84</v>
      </c>
      <c r="CC26" s="26">
        <v>69621.27</v>
      </c>
      <c r="CD26" s="26">
        <v>60923.3</v>
      </c>
      <c r="CE26" s="26">
        <v>59593.02</v>
      </c>
      <c r="CF26" s="26">
        <v>59512.69</v>
      </c>
      <c r="CG26" s="26">
        <v>61075.25</v>
      </c>
      <c r="CH26" s="26">
        <v>62485.09</v>
      </c>
      <c r="CI26" s="26">
        <v>59298.04</v>
      </c>
      <c r="CJ26" s="26">
        <v>65963.03</v>
      </c>
      <c r="CK26" s="26">
        <v>69943.54</v>
      </c>
      <c r="CL26" s="26">
        <v>66458.42</v>
      </c>
      <c r="CM26" s="26">
        <v>70972.63</v>
      </c>
      <c r="CN26" s="26">
        <v>74256.9</v>
      </c>
      <c r="CO26" s="26">
        <v>76512.85</v>
      </c>
      <c r="CP26" s="26">
        <v>80072.24</v>
      </c>
      <c r="CQ26" s="26">
        <v>76066.01</v>
      </c>
    </row>
    <row r="27" s="6" customFormat="1" ht="15" customHeight="1" spans="1:95">
      <c r="A27" s="30" t="s">
        <v>21</v>
      </c>
      <c r="B27" s="26">
        <v>711</v>
      </c>
      <c r="C27" s="26">
        <v>850</v>
      </c>
      <c r="D27" s="26">
        <v>904</v>
      </c>
      <c r="E27" s="26">
        <v>978</v>
      </c>
      <c r="F27" s="26">
        <v>938</v>
      </c>
      <c r="G27" s="26">
        <v>1216</v>
      </c>
      <c r="H27" s="26">
        <v>1166</v>
      </c>
      <c r="I27" s="26">
        <v>1309</v>
      </c>
      <c r="J27" s="26">
        <v>881</v>
      </c>
      <c r="K27" s="26">
        <v>1145</v>
      </c>
      <c r="L27" s="26">
        <v>1335</v>
      </c>
      <c r="M27" s="26">
        <v>1256</v>
      </c>
      <c r="N27" s="26">
        <v>1147</v>
      </c>
      <c r="O27" s="26">
        <v>1526</v>
      </c>
      <c r="P27" s="26">
        <v>1795</v>
      </c>
      <c r="Q27" s="26">
        <v>1802</v>
      </c>
      <c r="R27" s="26">
        <v>1860</v>
      </c>
      <c r="S27" s="26">
        <v>2629</v>
      </c>
      <c r="T27" s="26">
        <v>2940</v>
      </c>
      <c r="U27" s="26">
        <v>3458</v>
      </c>
      <c r="V27" s="26">
        <v>2856</v>
      </c>
      <c r="W27" s="26">
        <v>3980</v>
      </c>
      <c r="X27" s="26">
        <v>3892</v>
      </c>
      <c r="Y27" s="26">
        <v>4351</v>
      </c>
      <c r="Z27" s="26">
        <v>3477</v>
      </c>
      <c r="AA27" s="26">
        <v>3773</v>
      </c>
      <c r="AB27" s="26">
        <v>3373</v>
      </c>
      <c r="AC27" s="26">
        <v>12529</v>
      </c>
      <c r="AD27" s="26">
        <v>11111</v>
      </c>
      <c r="AE27" s="26">
        <v>12139</v>
      </c>
      <c r="AF27" s="26">
        <v>10877</v>
      </c>
      <c r="AG27" s="26">
        <v>11782</v>
      </c>
      <c r="AH27" s="26">
        <v>10952</v>
      </c>
      <c r="AI27" s="26">
        <v>12174</v>
      </c>
      <c r="AJ27" s="26">
        <v>12851</v>
      </c>
      <c r="AK27" s="26">
        <v>12166</v>
      </c>
      <c r="AL27" s="26">
        <v>11093</v>
      </c>
      <c r="AM27" s="26">
        <v>12136</v>
      </c>
      <c r="AN27" s="26">
        <v>11233</v>
      </c>
      <c r="AO27" s="26">
        <v>12781</v>
      </c>
      <c r="AP27" s="26">
        <v>12867</v>
      </c>
      <c r="AQ27" s="26">
        <v>13406</v>
      </c>
      <c r="AR27" s="26">
        <v>13319</v>
      </c>
      <c r="AS27" s="26">
        <v>12875</v>
      </c>
      <c r="AT27" s="26">
        <v>12539</v>
      </c>
      <c r="AU27" s="26">
        <v>12988</v>
      </c>
      <c r="AV27" s="26">
        <v>13383</v>
      </c>
      <c r="AW27" s="26">
        <v>12355</v>
      </c>
      <c r="AX27" s="26">
        <v>11857</v>
      </c>
      <c r="AY27" s="26">
        <v>10997</v>
      </c>
      <c r="AZ27" s="26">
        <v>11201</v>
      </c>
      <c r="BA27" s="26">
        <v>10852</v>
      </c>
      <c r="BB27" s="26">
        <v>9897</v>
      </c>
      <c r="BC27" s="26">
        <v>11198</v>
      </c>
      <c r="BD27" s="26">
        <v>10898</v>
      </c>
      <c r="BE27" s="26">
        <v>11672</v>
      </c>
      <c r="BF27" s="26">
        <v>9942</v>
      </c>
      <c r="BG27" s="26">
        <v>11124</v>
      </c>
      <c r="BH27" s="26">
        <v>12058</v>
      </c>
      <c r="BI27" s="26">
        <v>10681</v>
      </c>
      <c r="BJ27" s="26">
        <v>10599</v>
      </c>
      <c r="BK27" s="26">
        <v>10670</v>
      </c>
      <c r="BL27" s="26">
        <v>12265</v>
      </c>
      <c r="BM27" s="26">
        <v>9606</v>
      </c>
      <c r="BN27" s="26">
        <v>9666</v>
      </c>
      <c r="BO27" s="26">
        <v>11277</v>
      </c>
      <c r="BP27" s="26">
        <v>12855</v>
      </c>
      <c r="BQ27" s="26">
        <v>10172</v>
      </c>
      <c r="BR27" s="26">
        <v>11102</v>
      </c>
      <c r="BS27" s="26">
        <v>10252</v>
      </c>
      <c r="BT27" s="26">
        <v>10046</v>
      </c>
      <c r="BU27" s="26">
        <v>13061</v>
      </c>
      <c r="BV27" s="26">
        <v>11590.07</v>
      </c>
      <c r="BW27" s="26">
        <v>10847.54</v>
      </c>
      <c r="BX27" s="26">
        <v>10973.77</v>
      </c>
      <c r="BY27" s="26">
        <v>28184.15</v>
      </c>
      <c r="BZ27" s="26">
        <v>28248.61</v>
      </c>
      <c r="CA27" s="26">
        <v>36666.6</v>
      </c>
      <c r="CB27" s="26">
        <v>29825.23</v>
      </c>
      <c r="CC27" s="26">
        <v>27032.08</v>
      </c>
      <c r="CD27" s="26">
        <v>27561.51</v>
      </c>
      <c r="CE27" s="26">
        <v>27311.75</v>
      </c>
      <c r="CF27" s="26">
        <v>28282.49</v>
      </c>
      <c r="CG27" s="26">
        <v>27572.26</v>
      </c>
      <c r="CH27" s="26">
        <v>27475.03</v>
      </c>
      <c r="CI27" s="26">
        <v>26944.46</v>
      </c>
      <c r="CJ27" s="26">
        <v>27025.79</v>
      </c>
      <c r="CK27" s="26">
        <v>27461.33</v>
      </c>
      <c r="CL27" s="26">
        <v>26096.87</v>
      </c>
      <c r="CM27" s="26">
        <v>27047.47</v>
      </c>
      <c r="CN27" s="26">
        <v>28909.61</v>
      </c>
      <c r="CO27" s="26">
        <v>30097.7</v>
      </c>
      <c r="CP27" s="26">
        <v>29086.44</v>
      </c>
      <c r="CQ27" s="26">
        <v>28306.86</v>
      </c>
    </row>
    <row r="28" s="6" customFormat="1" ht="15" customHeight="1" spans="1:95">
      <c r="A28" s="19" t="s">
        <v>22</v>
      </c>
      <c r="B28" s="20">
        <v>32795</v>
      </c>
      <c r="C28" s="20">
        <v>36167</v>
      </c>
      <c r="D28" s="20">
        <v>39682</v>
      </c>
      <c r="E28" s="20">
        <v>45432</v>
      </c>
      <c r="F28" s="20">
        <v>54139</v>
      </c>
      <c r="G28" s="20">
        <v>60223</v>
      </c>
      <c r="H28" s="20">
        <v>65461</v>
      </c>
      <c r="I28" s="20">
        <v>67478</v>
      </c>
      <c r="J28" s="20">
        <v>75597</v>
      </c>
      <c r="K28" s="20">
        <v>84309</v>
      </c>
      <c r="L28" s="20">
        <v>90193</v>
      </c>
      <c r="M28" s="20">
        <v>102199</v>
      </c>
      <c r="N28" s="20">
        <v>125028</v>
      </c>
      <c r="O28" s="20">
        <v>130036</v>
      </c>
      <c r="P28" s="20">
        <v>143561</v>
      </c>
      <c r="Q28" s="20">
        <v>136693</v>
      </c>
      <c r="R28" s="20">
        <v>163472</v>
      </c>
      <c r="S28" s="20">
        <v>192615</v>
      </c>
      <c r="T28" s="20">
        <v>219332</v>
      </c>
      <c r="U28" s="20">
        <v>238379</v>
      </c>
      <c r="V28" s="20">
        <v>261115</v>
      </c>
      <c r="W28" s="20">
        <v>271450</v>
      </c>
      <c r="X28" s="20">
        <v>302504</v>
      </c>
      <c r="Y28" s="20">
        <v>306400</v>
      </c>
      <c r="Z28" s="20">
        <v>281354</v>
      </c>
      <c r="AA28" s="20">
        <v>269303</v>
      </c>
      <c r="AB28" s="20">
        <v>290315</v>
      </c>
      <c r="AC28" s="20">
        <v>294180</v>
      </c>
      <c r="AD28" s="20">
        <v>293184</v>
      </c>
      <c r="AE28" s="20">
        <v>290291</v>
      </c>
      <c r="AF28" s="20">
        <v>287504</v>
      </c>
      <c r="AG28" s="20">
        <v>289139</v>
      </c>
      <c r="AH28" s="20">
        <v>297805</v>
      </c>
      <c r="AI28" s="20">
        <v>311532</v>
      </c>
      <c r="AJ28" s="20">
        <v>329693</v>
      </c>
      <c r="AK28" s="20">
        <v>321747</v>
      </c>
      <c r="AL28" s="20">
        <v>329842</v>
      </c>
      <c r="AM28" s="20">
        <v>339825</v>
      </c>
      <c r="AN28" s="20">
        <v>341725</v>
      </c>
      <c r="AO28" s="20">
        <v>348943</v>
      </c>
      <c r="AP28" s="20">
        <v>364803</v>
      </c>
      <c r="AQ28" s="20">
        <v>408783</v>
      </c>
      <c r="AR28" s="20">
        <v>420939</v>
      </c>
      <c r="AS28" s="20">
        <v>428935</v>
      </c>
      <c r="AT28" s="20">
        <v>436764</v>
      </c>
      <c r="AU28" s="20">
        <v>432735</v>
      </c>
      <c r="AV28" s="20">
        <v>450567</v>
      </c>
      <c r="AW28" s="20">
        <v>423411</v>
      </c>
      <c r="AX28" s="20">
        <v>376246</v>
      </c>
      <c r="AY28" s="20">
        <v>358397</v>
      </c>
      <c r="AZ28" s="20">
        <v>360780</v>
      </c>
      <c r="BA28" s="20">
        <v>354279</v>
      </c>
      <c r="BB28" s="20">
        <v>344522</v>
      </c>
      <c r="BC28" s="20">
        <v>347467</v>
      </c>
      <c r="BD28" s="20">
        <v>348707</v>
      </c>
      <c r="BE28" s="20">
        <v>343577</v>
      </c>
      <c r="BF28" s="20">
        <v>341137</v>
      </c>
      <c r="BG28" s="20">
        <v>341583</v>
      </c>
      <c r="BH28" s="20">
        <v>350360</v>
      </c>
      <c r="BI28" s="20">
        <v>346195</v>
      </c>
      <c r="BJ28" s="20">
        <v>344951</v>
      </c>
      <c r="BK28" s="20">
        <v>338773</v>
      </c>
      <c r="BL28" s="20">
        <v>332646</v>
      </c>
      <c r="BM28" s="20">
        <v>320828</v>
      </c>
      <c r="BN28" s="20">
        <v>314357</v>
      </c>
      <c r="BO28" s="20">
        <v>317111</v>
      </c>
      <c r="BP28" s="20">
        <v>326684</v>
      </c>
      <c r="BQ28" s="20">
        <v>323612</v>
      </c>
      <c r="BR28" s="20">
        <v>330619</v>
      </c>
      <c r="BS28" s="20">
        <v>314442</v>
      </c>
      <c r="BT28" s="20">
        <v>336043</v>
      </c>
      <c r="BU28" s="20">
        <v>317136</v>
      </c>
      <c r="BV28" s="20">
        <v>317418.05</v>
      </c>
      <c r="BW28" s="20">
        <v>310056.73</v>
      </c>
      <c r="BX28" s="20">
        <v>321219.23</v>
      </c>
      <c r="BY28" s="20">
        <v>318957.36</v>
      </c>
      <c r="BZ28" s="20">
        <v>310379.37</v>
      </c>
      <c r="CA28" s="20">
        <v>290246.95</v>
      </c>
      <c r="CB28" s="20">
        <v>298889.89</v>
      </c>
      <c r="CC28" s="20">
        <v>269218.81</v>
      </c>
      <c r="CD28" s="20">
        <v>244795.96</v>
      </c>
      <c r="CE28" s="20">
        <v>225724.16</v>
      </c>
      <c r="CF28" s="20">
        <v>211064.29</v>
      </c>
      <c r="CG28" s="20">
        <v>198565.86</v>
      </c>
      <c r="CH28" s="20">
        <v>190823.54</v>
      </c>
      <c r="CI28" s="20">
        <v>186046.57</v>
      </c>
      <c r="CJ28" s="20">
        <v>187392.86</v>
      </c>
      <c r="CK28" s="20">
        <v>178082.54</v>
      </c>
      <c r="CL28" s="20">
        <v>174689.45</v>
      </c>
      <c r="CM28" s="20">
        <v>189399.07</v>
      </c>
      <c r="CN28" s="20">
        <v>194914.78</v>
      </c>
      <c r="CO28" s="20">
        <v>177790.83</v>
      </c>
      <c r="CP28" s="20">
        <v>171755.48</v>
      </c>
      <c r="CQ28" s="20">
        <v>169298.13</v>
      </c>
    </row>
    <row r="29" s="6" customFormat="1" ht="20.4" spans="1:95">
      <c r="A29" s="32" t="s">
        <v>18</v>
      </c>
      <c r="B29" s="26">
        <v>5012</v>
      </c>
      <c r="C29" s="26">
        <v>5480</v>
      </c>
      <c r="D29" s="26">
        <v>6165</v>
      </c>
      <c r="E29" s="26">
        <v>7441</v>
      </c>
      <c r="F29" s="26">
        <v>8308</v>
      </c>
      <c r="G29" s="26">
        <v>9671</v>
      </c>
      <c r="H29" s="26">
        <v>10467</v>
      </c>
      <c r="I29" s="26">
        <v>9507</v>
      </c>
      <c r="J29" s="26">
        <v>10215</v>
      </c>
      <c r="K29" s="26">
        <v>10585</v>
      </c>
      <c r="L29" s="26">
        <v>11344</v>
      </c>
      <c r="M29" s="26">
        <v>12229</v>
      </c>
      <c r="N29" s="26">
        <v>12398</v>
      </c>
      <c r="O29" s="26">
        <v>12985</v>
      </c>
      <c r="P29" s="26">
        <v>19325</v>
      </c>
      <c r="Q29" s="26">
        <v>15887</v>
      </c>
      <c r="R29" s="26">
        <v>21206</v>
      </c>
      <c r="S29" s="26">
        <v>29094</v>
      </c>
      <c r="T29" s="26">
        <v>24215</v>
      </c>
      <c r="U29" s="26">
        <v>25030</v>
      </c>
      <c r="V29" s="26">
        <v>26225</v>
      </c>
      <c r="W29" s="26">
        <v>26156</v>
      </c>
      <c r="X29" s="26">
        <v>30665</v>
      </c>
      <c r="Y29" s="26">
        <v>30908</v>
      </c>
      <c r="Z29" s="26">
        <v>30282</v>
      </c>
      <c r="AA29" s="26">
        <v>31008</v>
      </c>
      <c r="AB29" s="26">
        <v>41312</v>
      </c>
      <c r="AC29" s="26">
        <v>44522</v>
      </c>
      <c r="AD29" s="26">
        <v>45315</v>
      </c>
      <c r="AE29" s="26">
        <v>49352</v>
      </c>
      <c r="AF29" s="26">
        <v>52666</v>
      </c>
      <c r="AG29" s="26">
        <v>53934</v>
      </c>
      <c r="AH29" s="26">
        <v>62994</v>
      </c>
      <c r="AI29" s="26">
        <v>73018</v>
      </c>
      <c r="AJ29" s="26">
        <v>79047</v>
      </c>
      <c r="AK29" s="26">
        <v>80154</v>
      </c>
      <c r="AL29" s="26">
        <v>83767</v>
      </c>
      <c r="AM29" s="26">
        <v>87086</v>
      </c>
      <c r="AN29" s="26">
        <v>92315</v>
      </c>
      <c r="AO29" s="26">
        <v>100697</v>
      </c>
      <c r="AP29" s="26">
        <v>118223</v>
      </c>
      <c r="AQ29" s="26">
        <v>129029</v>
      </c>
      <c r="AR29" s="26">
        <v>139973</v>
      </c>
      <c r="AS29" s="26">
        <v>147585</v>
      </c>
      <c r="AT29" s="26">
        <v>151288</v>
      </c>
      <c r="AU29" s="26">
        <v>150093</v>
      </c>
      <c r="AV29" s="26">
        <v>160078</v>
      </c>
      <c r="AW29" s="26">
        <v>149967</v>
      </c>
      <c r="AX29" s="26">
        <v>133451</v>
      </c>
      <c r="AY29" s="26">
        <v>128090</v>
      </c>
      <c r="AZ29" s="26">
        <v>132659</v>
      </c>
      <c r="BA29" s="26">
        <v>130199</v>
      </c>
      <c r="BB29" s="26">
        <v>134361</v>
      </c>
      <c r="BC29" s="26">
        <v>135679</v>
      </c>
      <c r="BD29" s="26">
        <v>137689</v>
      </c>
      <c r="BE29" s="26">
        <v>136590</v>
      </c>
      <c r="BF29" s="26">
        <v>136436</v>
      </c>
      <c r="BG29" s="26">
        <v>135709</v>
      </c>
      <c r="BH29" s="26">
        <v>144799</v>
      </c>
      <c r="BI29" s="26">
        <v>145705</v>
      </c>
      <c r="BJ29" s="26">
        <v>144400</v>
      </c>
      <c r="BK29" s="26">
        <v>144135</v>
      </c>
      <c r="BL29" s="26">
        <v>141817</v>
      </c>
      <c r="BM29" s="26">
        <v>137063</v>
      </c>
      <c r="BN29" s="26">
        <v>136262</v>
      </c>
      <c r="BO29" s="26">
        <v>142357</v>
      </c>
      <c r="BP29" s="26">
        <v>144125</v>
      </c>
      <c r="BQ29" s="26">
        <v>145716</v>
      </c>
      <c r="BR29" s="26">
        <v>145392</v>
      </c>
      <c r="BS29" s="26">
        <v>134126</v>
      </c>
      <c r="BT29" s="26">
        <v>142439</v>
      </c>
      <c r="BU29" s="26">
        <v>138249</v>
      </c>
      <c r="BV29" s="26">
        <v>138200.09</v>
      </c>
      <c r="BW29" s="26">
        <v>129296.46</v>
      </c>
      <c r="BX29" s="26">
        <v>132536.07</v>
      </c>
      <c r="BY29" s="26">
        <v>133138.49</v>
      </c>
      <c r="BZ29" s="26">
        <v>130623.63</v>
      </c>
      <c r="CA29" s="26">
        <v>115551.6</v>
      </c>
      <c r="CB29" s="26">
        <v>121462.49</v>
      </c>
      <c r="CC29" s="26">
        <v>108926.11</v>
      </c>
      <c r="CD29" s="26">
        <v>96957.93</v>
      </c>
      <c r="CE29" s="26">
        <v>82654.42</v>
      </c>
      <c r="CF29" s="26">
        <v>74295.73</v>
      </c>
      <c r="CG29" s="26">
        <v>67328.89</v>
      </c>
      <c r="CH29" s="26">
        <v>69065.11</v>
      </c>
      <c r="CI29" s="26">
        <v>62128.85</v>
      </c>
      <c r="CJ29" s="26">
        <v>60338.37</v>
      </c>
      <c r="CK29" s="26">
        <v>55820.65</v>
      </c>
      <c r="CL29" s="26">
        <v>48534.89</v>
      </c>
      <c r="CM29" s="26">
        <v>53187.89</v>
      </c>
      <c r="CN29" s="26">
        <v>58576.42</v>
      </c>
      <c r="CO29" s="26">
        <v>55279.85</v>
      </c>
      <c r="CP29" s="26">
        <v>53330.54</v>
      </c>
      <c r="CQ29" s="26">
        <v>51319.3</v>
      </c>
    </row>
    <row r="30" s="6" customFormat="1" ht="15" customHeight="1" spans="1:95">
      <c r="A30" s="30" t="s">
        <v>19</v>
      </c>
      <c r="B30" s="26">
        <v>1595</v>
      </c>
      <c r="C30" s="26">
        <v>1202</v>
      </c>
      <c r="D30" s="26">
        <v>947</v>
      </c>
      <c r="E30" s="26">
        <v>662</v>
      </c>
      <c r="F30" s="26">
        <v>4027</v>
      </c>
      <c r="G30" s="26">
        <v>5816</v>
      </c>
      <c r="H30" s="26">
        <v>5094</v>
      </c>
      <c r="I30" s="26">
        <v>5385</v>
      </c>
      <c r="J30" s="26">
        <v>5796</v>
      </c>
      <c r="K30" s="26">
        <v>6584</v>
      </c>
      <c r="L30" s="26">
        <v>7760</v>
      </c>
      <c r="M30" s="26">
        <v>10431</v>
      </c>
      <c r="N30" s="26">
        <v>12549</v>
      </c>
      <c r="O30" s="26">
        <v>14445</v>
      </c>
      <c r="P30" s="26">
        <v>16349</v>
      </c>
      <c r="Q30" s="26">
        <v>16164</v>
      </c>
      <c r="R30" s="26">
        <v>21985</v>
      </c>
      <c r="S30" s="26">
        <v>25846</v>
      </c>
      <c r="T30" s="26">
        <v>25632</v>
      </c>
      <c r="U30" s="26">
        <v>24713</v>
      </c>
      <c r="V30" s="26">
        <v>23855</v>
      </c>
      <c r="W30" s="26">
        <v>22245</v>
      </c>
      <c r="X30" s="26">
        <v>22389</v>
      </c>
      <c r="Y30" s="26">
        <v>16566</v>
      </c>
      <c r="Z30" s="26">
        <v>8209</v>
      </c>
      <c r="AA30" s="26">
        <v>6327</v>
      </c>
      <c r="AB30" s="26">
        <v>6545</v>
      </c>
      <c r="AC30" s="26">
        <v>8517</v>
      </c>
      <c r="AD30" s="26">
        <v>9516</v>
      </c>
      <c r="AE30" s="26">
        <v>11120</v>
      </c>
      <c r="AF30" s="26">
        <v>10319</v>
      </c>
      <c r="AG30" s="26">
        <v>10541</v>
      </c>
      <c r="AH30" s="26">
        <v>10800</v>
      </c>
      <c r="AI30" s="26">
        <v>12261</v>
      </c>
      <c r="AJ30" s="26">
        <v>13979</v>
      </c>
      <c r="AK30" s="26">
        <v>11819</v>
      </c>
      <c r="AL30" s="26">
        <v>12252</v>
      </c>
      <c r="AM30" s="26">
        <v>11872</v>
      </c>
      <c r="AN30" s="26">
        <v>9585</v>
      </c>
      <c r="AO30" s="26">
        <v>10316</v>
      </c>
      <c r="AP30" s="26">
        <v>9605</v>
      </c>
      <c r="AQ30" s="26">
        <v>10081</v>
      </c>
      <c r="AR30" s="26">
        <v>9000</v>
      </c>
      <c r="AS30" s="26">
        <v>8585</v>
      </c>
      <c r="AT30" s="26">
        <v>9154.74</v>
      </c>
      <c r="AU30" s="26">
        <v>8386.17</v>
      </c>
      <c r="AV30" s="26">
        <v>8703.07</v>
      </c>
      <c r="AW30" s="26">
        <v>8828.17</v>
      </c>
      <c r="AX30" s="26">
        <v>6145</v>
      </c>
      <c r="AY30" s="26">
        <v>7598</v>
      </c>
      <c r="AZ30" s="26">
        <v>7264</v>
      </c>
      <c r="BA30" s="26">
        <v>5942</v>
      </c>
      <c r="BB30" s="26">
        <v>5243</v>
      </c>
      <c r="BC30" s="26">
        <v>5982</v>
      </c>
      <c r="BD30" s="26">
        <v>6197</v>
      </c>
      <c r="BE30" s="26">
        <v>5948</v>
      </c>
      <c r="BF30" s="26">
        <v>5987</v>
      </c>
      <c r="BG30" s="26">
        <v>7187</v>
      </c>
      <c r="BH30" s="26">
        <v>6792</v>
      </c>
      <c r="BI30" s="26">
        <v>8255</v>
      </c>
      <c r="BJ30" s="26">
        <v>8162</v>
      </c>
      <c r="BK30" s="26">
        <v>8368</v>
      </c>
      <c r="BL30" s="26">
        <v>7991</v>
      </c>
      <c r="BM30" s="26">
        <v>7629</v>
      </c>
      <c r="BN30" s="26">
        <v>7427</v>
      </c>
      <c r="BO30" s="26">
        <v>7773</v>
      </c>
      <c r="BP30" s="26">
        <v>8066</v>
      </c>
      <c r="BQ30" s="26">
        <v>7626</v>
      </c>
      <c r="BR30" s="26">
        <v>8538</v>
      </c>
      <c r="BS30" s="26">
        <v>7552</v>
      </c>
      <c r="BT30" s="26">
        <v>8710</v>
      </c>
      <c r="BU30" s="26">
        <v>8006</v>
      </c>
      <c r="BV30" s="26">
        <v>8563.2</v>
      </c>
      <c r="BW30" s="26">
        <v>8498.19</v>
      </c>
      <c r="BX30" s="26">
        <v>9170.65</v>
      </c>
      <c r="BY30" s="26">
        <v>8983.79</v>
      </c>
      <c r="BZ30" s="26">
        <v>8630.97</v>
      </c>
      <c r="CA30" s="26">
        <v>6367.83</v>
      </c>
      <c r="CB30" s="26">
        <v>9429.97</v>
      </c>
      <c r="CC30" s="26">
        <v>7572.28</v>
      </c>
      <c r="CD30" s="26">
        <v>7033.39</v>
      </c>
      <c r="CE30" s="26">
        <v>6812.73</v>
      </c>
      <c r="CF30" s="26">
        <v>5942.76</v>
      </c>
      <c r="CG30" s="26">
        <v>5256.13</v>
      </c>
      <c r="CH30" s="26">
        <v>2791.54</v>
      </c>
      <c r="CI30" s="26">
        <v>2331.44</v>
      </c>
      <c r="CJ30" s="26">
        <v>2408.68</v>
      </c>
      <c r="CK30" s="26">
        <v>2416.75</v>
      </c>
      <c r="CL30" s="26">
        <v>2071.7</v>
      </c>
      <c r="CM30" s="26">
        <v>2591.74</v>
      </c>
      <c r="CN30" s="26">
        <v>2625.77</v>
      </c>
      <c r="CO30" s="26">
        <v>2883.93</v>
      </c>
      <c r="CP30" s="26">
        <v>2994.44</v>
      </c>
      <c r="CQ30" s="26">
        <v>3177.5</v>
      </c>
    </row>
    <row r="31" s="6" customFormat="1" ht="15" customHeight="1" spans="1:95">
      <c r="A31" s="30" t="s">
        <v>20</v>
      </c>
      <c r="B31" s="26">
        <v>26188</v>
      </c>
      <c r="C31" s="26">
        <v>29486</v>
      </c>
      <c r="D31" s="26">
        <v>32570</v>
      </c>
      <c r="E31" s="26">
        <v>37329</v>
      </c>
      <c r="F31" s="26">
        <v>41804</v>
      </c>
      <c r="G31" s="26">
        <v>44736</v>
      </c>
      <c r="H31" s="26">
        <v>49900</v>
      </c>
      <c r="I31" s="26">
        <v>52586</v>
      </c>
      <c r="J31" s="26">
        <v>59587</v>
      </c>
      <c r="K31" s="26">
        <v>67141</v>
      </c>
      <c r="L31" s="26">
        <v>71090</v>
      </c>
      <c r="M31" s="26">
        <v>79539</v>
      </c>
      <c r="N31" s="26">
        <v>100064</v>
      </c>
      <c r="O31" s="26">
        <v>102587</v>
      </c>
      <c r="P31" s="26">
        <v>107864</v>
      </c>
      <c r="Q31" s="26">
        <v>104618</v>
      </c>
      <c r="R31" s="26">
        <v>120232</v>
      </c>
      <c r="S31" s="26">
        <v>137576</v>
      </c>
      <c r="T31" s="26">
        <v>166362</v>
      </c>
      <c r="U31" s="26">
        <v>186544</v>
      </c>
      <c r="V31" s="26">
        <v>209733</v>
      </c>
      <c r="W31" s="26">
        <v>222123</v>
      </c>
      <c r="X31" s="26">
        <v>244434</v>
      </c>
      <c r="Y31" s="26">
        <v>254980</v>
      </c>
      <c r="Z31" s="26">
        <v>240563</v>
      </c>
      <c r="AA31" s="26">
        <v>230013</v>
      </c>
      <c r="AB31" s="26">
        <v>237951</v>
      </c>
      <c r="AC31" s="26">
        <v>236948</v>
      </c>
      <c r="AD31" s="26">
        <v>235437</v>
      </c>
      <c r="AE31" s="26">
        <v>226573</v>
      </c>
      <c r="AF31" s="26">
        <v>217890</v>
      </c>
      <c r="AG31" s="26">
        <v>219437</v>
      </c>
      <c r="AH31" s="26">
        <v>220942</v>
      </c>
      <c r="AI31" s="26">
        <v>222365</v>
      </c>
      <c r="AJ31" s="26">
        <v>228600</v>
      </c>
      <c r="AK31" s="26">
        <v>225293</v>
      </c>
      <c r="AL31" s="26">
        <v>230226</v>
      </c>
      <c r="AM31" s="26">
        <v>236761</v>
      </c>
      <c r="AN31" s="26">
        <v>230307</v>
      </c>
      <c r="AO31" s="26">
        <v>233647</v>
      </c>
      <c r="AP31" s="26">
        <v>232750</v>
      </c>
      <c r="AQ31" s="26">
        <v>265351</v>
      </c>
      <c r="AR31" s="26">
        <v>263557</v>
      </c>
      <c r="AS31" s="26">
        <v>266472</v>
      </c>
      <c r="AT31" s="26">
        <v>270507</v>
      </c>
      <c r="AU31" s="26">
        <v>268254</v>
      </c>
      <c r="AV31" s="26">
        <v>271612</v>
      </c>
      <c r="AW31" s="26">
        <v>258077</v>
      </c>
      <c r="AX31" s="26">
        <v>230091</v>
      </c>
      <c r="AY31" s="26">
        <v>218197</v>
      </c>
      <c r="AZ31" s="26">
        <v>212873</v>
      </c>
      <c r="BA31" s="26">
        <v>213250</v>
      </c>
      <c r="BB31" s="26">
        <v>199775</v>
      </c>
      <c r="BC31" s="26">
        <v>201275</v>
      </c>
      <c r="BD31" s="26">
        <v>197344</v>
      </c>
      <c r="BE31" s="26">
        <v>195780</v>
      </c>
      <c r="BF31" s="26">
        <v>192517</v>
      </c>
      <c r="BG31" s="26">
        <v>193612</v>
      </c>
      <c r="BH31" s="26">
        <v>190112</v>
      </c>
      <c r="BI31" s="26">
        <v>185461</v>
      </c>
      <c r="BJ31" s="26">
        <v>185597</v>
      </c>
      <c r="BK31" s="26">
        <v>180424</v>
      </c>
      <c r="BL31" s="26">
        <v>172504</v>
      </c>
      <c r="BM31" s="26">
        <v>167703</v>
      </c>
      <c r="BN31" s="26">
        <v>162667</v>
      </c>
      <c r="BO31" s="26">
        <v>160694</v>
      </c>
      <c r="BP31" s="26">
        <v>160545</v>
      </c>
      <c r="BQ31" s="26">
        <v>159224</v>
      </c>
      <c r="BR31" s="26">
        <v>160995</v>
      </c>
      <c r="BS31" s="26">
        <v>159115</v>
      </c>
      <c r="BT31" s="26">
        <v>160371</v>
      </c>
      <c r="BU31" s="26">
        <v>155210</v>
      </c>
      <c r="BV31" s="26">
        <v>153258.94</v>
      </c>
      <c r="BW31" s="26">
        <v>153851.68</v>
      </c>
      <c r="BX31" s="26">
        <v>152907.94</v>
      </c>
      <c r="BY31" s="26">
        <v>149548.49</v>
      </c>
      <c r="BZ31" s="26">
        <v>141151.71</v>
      </c>
      <c r="CA31" s="26">
        <v>135523.89</v>
      </c>
      <c r="CB31" s="26">
        <v>140610.2</v>
      </c>
      <c r="CC31" s="26">
        <v>128745.77</v>
      </c>
      <c r="CD31" s="26">
        <v>119996.52</v>
      </c>
      <c r="CE31" s="26">
        <v>115577.03</v>
      </c>
      <c r="CF31" s="26">
        <v>108090.34</v>
      </c>
      <c r="CG31" s="26">
        <v>100022.11</v>
      </c>
      <c r="CH31" s="26">
        <v>91233.07</v>
      </c>
      <c r="CI31" s="26">
        <v>86648.69</v>
      </c>
      <c r="CJ31" s="26">
        <v>84540.95</v>
      </c>
      <c r="CK31" s="26">
        <v>77676.75</v>
      </c>
      <c r="CL31" s="26">
        <v>70522.71</v>
      </c>
      <c r="CM31" s="26">
        <v>72538.63</v>
      </c>
      <c r="CN31" s="26">
        <v>72040.79</v>
      </c>
      <c r="CO31" s="26">
        <v>68337.56</v>
      </c>
      <c r="CP31" s="26">
        <v>65615.84</v>
      </c>
      <c r="CQ31" s="26">
        <v>63749.52</v>
      </c>
    </row>
    <row r="32" s="6" customFormat="1" ht="15" customHeight="1" spans="1:95">
      <c r="A32" s="33" t="s">
        <v>21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17</v>
      </c>
      <c r="O32" s="34">
        <v>19</v>
      </c>
      <c r="P32" s="34">
        <v>22</v>
      </c>
      <c r="Q32" s="34">
        <v>24</v>
      </c>
      <c r="R32" s="34">
        <v>48</v>
      </c>
      <c r="S32" s="34">
        <v>99</v>
      </c>
      <c r="T32" s="34">
        <v>3122</v>
      </c>
      <c r="U32" s="34">
        <v>2091</v>
      </c>
      <c r="V32" s="34">
        <v>1302</v>
      </c>
      <c r="W32" s="34">
        <v>926</v>
      </c>
      <c r="X32" s="34">
        <v>5016</v>
      </c>
      <c r="Y32" s="34">
        <v>3945</v>
      </c>
      <c r="Z32" s="34">
        <v>2300</v>
      </c>
      <c r="AA32" s="34">
        <v>1956</v>
      </c>
      <c r="AB32" s="34">
        <v>4508</v>
      </c>
      <c r="AC32" s="34">
        <v>4193</v>
      </c>
      <c r="AD32" s="34">
        <v>2915</v>
      </c>
      <c r="AE32" s="34">
        <v>3247</v>
      </c>
      <c r="AF32" s="34">
        <v>6630</v>
      </c>
      <c r="AG32" s="34">
        <v>5226</v>
      </c>
      <c r="AH32" s="34">
        <v>3069</v>
      </c>
      <c r="AI32" s="34">
        <v>3888</v>
      </c>
      <c r="AJ32" s="34">
        <v>8066</v>
      </c>
      <c r="AK32" s="34">
        <v>4481</v>
      </c>
      <c r="AL32" s="34">
        <v>3596</v>
      </c>
      <c r="AM32" s="34">
        <v>4106</v>
      </c>
      <c r="AN32" s="34">
        <v>9519</v>
      </c>
      <c r="AO32" s="34">
        <v>4284</v>
      </c>
      <c r="AP32" s="34">
        <v>4225</v>
      </c>
      <c r="AQ32" s="34">
        <v>4322</v>
      </c>
      <c r="AR32" s="34">
        <v>8409</v>
      </c>
      <c r="AS32" s="34">
        <v>6292</v>
      </c>
      <c r="AT32" s="34">
        <v>5815.23</v>
      </c>
      <c r="AU32" s="34">
        <v>6002.65</v>
      </c>
      <c r="AV32" s="34">
        <v>10173.86</v>
      </c>
      <c r="AW32" s="34">
        <v>6538.41</v>
      </c>
      <c r="AX32" s="34">
        <v>6558</v>
      </c>
      <c r="AY32" s="34">
        <v>4513</v>
      </c>
      <c r="AZ32" s="34">
        <v>7984</v>
      </c>
      <c r="BA32" s="34">
        <v>4888</v>
      </c>
      <c r="BB32" s="34">
        <v>5143</v>
      </c>
      <c r="BC32" s="34">
        <v>4532</v>
      </c>
      <c r="BD32" s="34">
        <v>7477</v>
      </c>
      <c r="BE32" s="34">
        <v>5260</v>
      </c>
      <c r="BF32" s="34">
        <v>6198</v>
      </c>
      <c r="BG32" s="34">
        <v>5075</v>
      </c>
      <c r="BH32" s="34">
        <v>8657</v>
      </c>
      <c r="BI32" s="34">
        <v>6775</v>
      </c>
      <c r="BJ32" s="34">
        <v>6792</v>
      </c>
      <c r="BK32" s="34">
        <v>5846</v>
      </c>
      <c r="BL32" s="34">
        <v>10332</v>
      </c>
      <c r="BM32" s="34">
        <v>8433</v>
      </c>
      <c r="BN32" s="34">
        <v>8002</v>
      </c>
      <c r="BO32" s="34">
        <v>6285</v>
      </c>
      <c r="BP32" s="34">
        <v>13949</v>
      </c>
      <c r="BQ32" s="34">
        <v>11047</v>
      </c>
      <c r="BR32" s="34">
        <v>15694</v>
      </c>
      <c r="BS32" s="34">
        <v>13649</v>
      </c>
      <c r="BT32" s="34">
        <v>24522</v>
      </c>
      <c r="BU32" s="34">
        <v>15670</v>
      </c>
      <c r="BV32" s="34">
        <v>17395.83</v>
      </c>
      <c r="BW32" s="34">
        <v>18410.41</v>
      </c>
      <c r="BX32" s="34">
        <v>26604.57</v>
      </c>
      <c r="BY32" s="34">
        <v>27286.58</v>
      </c>
      <c r="BZ32" s="34">
        <v>29973.06</v>
      </c>
      <c r="CA32" s="34">
        <v>32803.64</v>
      </c>
      <c r="CB32" s="34">
        <v>27387.23</v>
      </c>
      <c r="CC32" s="34">
        <v>23974.65</v>
      </c>
      <c r="CD32" s="34">
        <v>20808.12</v>
      </c>
      <c r="CE32" s="34">
        <v>20679.97</v>
      </c>
      <c r="CF32" s="34">
        <v>22735.45</v>
      </c>
      <c r="CG32" s="34">
        <v>25958.73</v>
      </c>
      <c r="CH32" s="34">
        <v>27733.82</v>
      </c>
      <c r="CI32" s="34">
        <v>34937.59</v>
      </c>
      <c r="CJ32" s="34">
        <v>40104.86</v>
      </c>
      <c r="CK32" s="34">
        <v>42168.38</v>
      </c>
      <c r="CL32" s="34">
        <v>53560.16</v>
      </c>
      <c r="CM32" s="34">
        <v>61080.81</v>
      </c>
      <c r="CN32" s="34">
        <v>61671.8</v>
      </c>
      <c r="CO32" s="34">
        <v>51289.5</v>
      </c>
      <c r="CP32" s="34">
        <v>49814.67</v>
      </c>
      <c r="CQ32" s="34">
        <v>51051.81</v>
      </c>
    </row>
    <row r="33" s="6" customFormat="1" ht="15" customHeight="1" spans="1:95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</row>
    <row r="34" s="9" customFormat="1" ht="15" customHeight="1" spans="1:95">
      <c r="A34" s="9" t="s">
        <v>23</v>
      </c>
    </row>
    <row r="35" s="4" customFormat="1" ht="16.8" spans="1:95">
      <c r="A35" s="36" t="s">
        <v>24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</row>
    <row r="36" spans="1:95">
      <c r="A36" s="9" t="s">
        <v>25</v>
      </c>
    </row>
    <row r="37" spans="1:95">
      <c r="A37" s="9" t="s">
        <v>26</v>
      </c>
    </row>
    <row r="38" spans="1:95">
      <c r="A38" s="9" t="s">
        <v>27</v>
      </c>
    </row>
    <row r="39" spans="1:95">
      <c r="A39" s="9" t="s">
        <v>28</v>
      </c>
    </row>
    <row r="40" s="4" customFormat="1" ht="16.8" spans="1:95">
      <c r="A40" s="37" t="s">
        <v>29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</row>
    <row r="41" s="4" customFormat="1" ht="16.8" spans="1:95">
      <c r="A41" s="37" t="s">
        <v>30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</row>
    <row r="42" s="4" customFormat="1" ht="16.8" spans="1:95">
      <c r="A42" s="38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</row>
    <row r="43" s="4" customFormat="1" ht="16.8" spans="1:95">
      <c r="A43" s="39" t="s">
        <v>31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</row>
    <row r="44" s="4" customFormat="1" ht="16.8" spans="1:95">
      <c r="A44" s="39" t="s">
        <v>32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</row>
    <row r="45" s="4" customFormat="1" ht="16.8" spans="1:95">
      <c r="A45" s="3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</row>
    <row r="46" s="4" customFormat="1" ht="16.8" spans="1:95">
      <c r="A46" s="40" t="s">
        <v>33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</row>
    <row r="48" spans="1:95">
      <c r="A48" s="41" cm="1">
        <f t="array" ref="A48:A141">TRANSPOSE(B4:CQ4)</f>
        <v>37622</v>
      </c>
      <c r="B48" s="10" cm="1">
        <f t="array" ref="B48:B141">TRANSPOSE(B5:CQ5)</f>
        <v>151302</v>
      </c>
    </row>
    <row r="49" spans="1:2">
      <c r="A49" s="41">
        <v>37712</v>
      </c>
      <c r="B49" s="10">
        <v>153215</v>
      </c>
    </row>
    <row r="50" spans="1:2">
      <c r="A50" s="41">
        <v>37803</v>
      </c>
      <c r="B50" s="10">
        <v>158166</v>
      </c>
    </row>
    <row r="51" spans="1:2">
      <c r="A51" s="41">
        <v>37895</v>
      </c>
      <c r="B51" s="10">
        <v>165834</v>
      </c>
    </row>
    <row r="52" spans="1:2">
      <c r="A52" s="41">
        <v>37987</v>
      </c>
      <c r="B52" s="10">
        <v>184955</v>
      </c>
    </row>
    <row r="53" spans="1:2">
      <c r="A53" s="41">
        <v>38078</v>
      </c>
      <c r="B53" s="10">
        <v>189539</v>
      </c>
    </row>
    <row r="54" spans="1:2">
      <c r="A54" s="41">
        <v>38169</v>
      </c>
      <c r="B54" s="10">
        <v>192349</v>
      </c>
    </row>
    <row r="55" spans="1:2">
      <c r="A55" s="41">
        <v>38261</v>
      </c>
      <c r="B55" s="10">
        <v>193199</v>
      </c>
    </row>
    <row r="56" spans="1:2">
      <c r="A56" s="41">
        <v>38353</v>
      </c>
      <c r="B56" s="10">
        <v>213335</v>
      </c>
    </row>
    <row r="57" spans="1:2">
      <c r="A57" s="41">
        <v>38443</v>
      </c>
      <c r="B57" s="10">
        <v>219353</v>
      </c>
    </row>
    <row r="58" spans="1:2">
      <c r="A58" s="41">
        <v>38534</v>
      </c>
      <c r="B58" s="10">
        <v>227829</v>
      </c>
    </row>
    <row r="59" spans="1:2">
      <c r="A59" s="41">
        <v>38626</v>
      </c>
      <c r="B59" s="10">
        <v>226708</v>
      </c>
    </row>
    <row r="60" spans="1:2">
      <c r="A60" s="41">
        <v>38718</v>
      </c>
      <c r="B60" s="10">
        <v>257204</v>
      </c>
    </row>
    <row r="61" spans="1:2">
      <c r="A61" s="41">
        <v>38808</v>
      </c>
      <c r="B61" s="10">
        <v>273280</v>
      </c>
    </row>
    <row r="62" spans="1:2">
      <c r="A62" s="41">
        <v>38899</v>
      </c>
      <c r="B62" s="10">
        <v>289110</v>
      </c>
    </row>
    <row r="63" spans="1:2">
      <c r="A63" s="41">
        <v>38991</v>
      </c>
      <c r="B63" s="10">
        <v>269512</v>
      </c>
    </row>
    <row r="64" spans="1:2">
      <c r="A64" s="41">
        <v>39083</v>
      </c>
      <c r="B64" s="10">
        <v>313214</v>
      </c>
    </row>
    <row r="65" spans="1:2">
      <c r="A65" s="41">
        <v>39173</v>
      </c>
      <c r="B65" s="10">
        <v>355587</v>
      </c>
    </row>
    <row r="66" spans="1:2">
      <c r="A66" s="41">
        <v>39264</v>
      </c>
      <c r="B66" s="10">
        <v>399548</v>
      </c>
    </row>
    <row r="67" spans="1:2">
      <c r="A67" s="41">
        <v>39356</v>
      </c>
      <c r="B67" s="10">
        <v>438836</v>
      </c>
    </row>
    <row r="68" spans="1:2">
      <c r="A68" s="41">
        <v>39448</v>
      </c>
      <c r="B68" s="10">
        <v>464384</v>
      </c>
    </row>
    <row r="69" spans="1:2">
      <c r="A69" s="41">
        <v>39539</v>
      </c>
      <c r="B69" s="10">
        <v>482501</v>
      </c>
    </row>
    <row r="70" spans="1:2">
      <c r="A70" s="41">
        <v>39630</v>
      </c>
      <c r="B70" s="10">
        <v>533423</v>
      </c>
    </row>
    <row r="71" spans="1:2">
      <c r="A71" s="41">
        <v>39722</v>
      </c>
      <c r="B71" s="10">
        <v>540232</v>
      </c>
    </row>
    <row r="72" spans="1:2">
      <c r="A72" s="41">
        <v>39814</v>
      </c>
      <c r="B72" s="10">
        <v>479823</v>
      </c>
    </row>
    <row r="73" spans="1:2">
      <c r="A73" s="41">
        <v>39904</v>
      </c>
      <c r="B73" s="10">
        <v>445526</v>
      </c>
    </row>
    <row r="74" spans="1:2">
      <c r="A74" s="41">
        <v>39995</v>
      </c>
      <c r="B74" s="10">
        <v>465886</v>
      </c>
    </row>
    <row r="75" spans="1:2">
      <c r="A75" s="41">
        <v>40087</v>
      </c>
      <c r="B75" s="10">
        <v>473398</v>
      </c>
    </row>
    <row r="76" spans="1:2">
      <c r="A76" s="41">
        <v>40179</v>
      </c>
      <c r="B76" s="10">
        <v>466294</v>
      </c>
    </row>
    <row r="77" spans="1:2">
      <c r="A77" s="41">
        <v>40269</v>
      </c>
      <c r="B77" s="10">
        <v>462840</v>
      </c>
    </row>
    <row r="78" spans="1:2">
      <c r="A78" s="41">
        <v>40360</v>
      </c>
      <c r="B78" s="10">
        <v>456956</v>
      </c>
    </row>
    <row r="79" spans="1:2">
      <c r="A79" s="41">
        <v>40452</v>
      </c>
      <c r="B79" s="10">
        <v>476186</v>
      </c>
    </row>
    <row r="80" spans="1:2">
      <c r="A80" s="41">
        <v>40544</v>
      </c>
      <c r="B80" s="10">
        <v>488537</v>
      </c>
    </row>
    <row r="81" spans="1:2">
      <c r="A81" s="41">
        <v>40634</v>
      </c>
      <c r="B81" s="10">
        <v>508361</v>
      </c>
    </row>
    <row r="82" spans="1:2">
      <c r="A82" s="41">
        <v>40725</v>
      </c>
      <c r="B82" s="10">
        <v>538120</v>
      </c>
    </row>
    <row r="83" spans="1:2">
      <c r="A83" s="41">
        <v>40817</v>
      </c>
      <c r="B83" s="10">
        <v>525578</v>
      </c>
    </row>
    <row r="84" spans="1:2">
      <c r="A84" s="41">
        <v>40909</v>
      </c>
      <c r="B84" s="10">
        <v>538884</v>
      </c>
    </row>
    <row r="85" spans="1:2">
      <c r="A85" s="41">
        <v>41000</v>
      </c>
      <c r="B85" s="10">
        <v>557521</v>
      </c>
    </row>
    <row r="86" spans="1:2">
      <c r="A86" s="41">
        <v>41091</v>
      </c>
      <c r="B86" s="10">
        <v>570652</v>
      </c>
    </row>
    <row r="87" spans="1:2">
      <c r="A87" s="41">
        <v>41183</v>
      </c>
      <c r="B87" s="10">
        <v>598927</v>
      </c>
    </row>
    <row r="88" spans="1:2">
      <c r="A88" s="41">
        <v>41275</v>
      </c>
      <c r="B88" s="10">
        <v>636421</v>
      </c>
    </row>
    <row r="89" spans="1:2">
      <c r="A89" s="41">
        <v>41365</v>
      </c>
      <c r="B89" s="10">
        <v>691672</v>
      </c>
    </row>
    <row r="90" spans="1:2">
      <c r="A90" s="41">
        <v>41456</v>
      </c>
      <c r="B90" s="10">
        <v>707764</v>
      </c>
    </row>
    <row r="91" spans="1:2">
      <c r="A91" s="41">
        <v>41548</v>
      </c>
      <c r="B91" s="10">
        <v>716260</v>
      </c>
    </row>
    <row r="92" spans="1:2">
      <c r="A92" s="41">
        <v>41640</v>
      </c>
      <c r="B92" s="10">
        <v>728864</v>
      </c>
    </row>
    <row r="93" spans="1:2">
      <c r="A93" s="41">
        <v>41730</v>
      </c>
      <c r="B93" s="10">
        <v>715892</v>
      </c>
    </row>
    <row r="94" spans="1:2">
      <c r="A94" s="41">
        <v>41821</v>
      </c>
      <c r="B94" s="10">
        <v>732779</v>
      </c>
    </row>
    <row r="95" spans="1:2">
      <c r="A95" s="41">
        <v>41913</v>
      </c>
      <c r="B95" s="10">
        <v>680857</v>
      </c>
    </row>
    <row r="96" spans="1:2">
      <c r="A96" s="41">
        <v>42005</v>
      </c>
      <c r="B96" s="10">
        <v>599901</v>
      </c>
    </row>
    <row r="97" spans="1:2">
      <c r="A97" s="41">
        <v>42095</v>
      </c>
      <c r="B97" s="10">
        <v>557295</v>
      </c>
    </row>
    <row r="98" spans="1:2">
      <c r="A98" s="41">
        <v>42186</v>
      </c>
      <c r="B98" s="10">
        <v>556340</v>
      </c>
    </row>
    <row r="99" spans="1:2">
      <c r="A99" s="41">
        <v>42278</v>
      </c>
      <c r="B99" s="10">
        <v>536890</v>
      </c>
    </row>
    <row r="100" spans="1:2">
      <c r="A100" s="41">
        <v>42370</v>
      </c>
      <c r="B100" s="10">
        <v>518489</v>
      </c>
    </row>
    <row r="101" spans="1:2">
      <c r="A101" s="41">
        <v>42461</v>
      </c>
      <c r="B101" s="10">
        <v>520121</v>
      </c>
    </row>
    <row r="102" spans="1:2">
      <c r="A102" s="41">
        <v>42552</v>
      </c>
      <c r="B102" s="10">
        <v>523015</v>
      </c>
    </row>
    <row r="103" spans="1:2">
      <c r="A103" s="41">
        <v>42644</v>
      </c>
      <c r="B103" s="10">
        <v>518330</v>
      </c>
    </row>
    <row r="104" spans="1:2">
      <c r="A104" s="41">
        <v>42736</v>
      </c>
      <c r="B104" s="10">
        <v>511752</v>
      </c>
    </row>
    <row r="105" spans="1:2">
      <c r="A105" s="41">
        <v>42826</v>
      </c>
      <c r="B105" s="10">
        <v>521595</v>
      </c>
    </row>
    <row r="106" spans="1:2">
      <c r="A106" s="41">
        <v>42917</v>
      </c>
      <c r="B106" s="10">
        <v>527027</v>
      </c>
    </row>
    <row r="107" spans="1:2">
      <c r="A107" s="41">
        <v>43009</v>
      </c>
      <c r="B107" s="10">
        <v>529585</v>
      </c>
    </row>
    <row r="108" spans="1:2">
      <c r="A108" s="41">
        <v>43101</v>
      </c>
      <c r="B108" s="10">
        <v>518445</v>
      </c>
    </row>
    <row r="109" spans="1:2">
      <c r="A109" s="41">
        <v>43191</v>
      </c>
      <c r="B109" s="10">
        <v>520585</v>
      </c>
    </row>
    <row r="110" spans="1:2">
      <c r="A110" s="41">
        <v>43282</v>
      </c>
      <c r="B110" s="10">
        <v>491045</v>
      </c>
    </row>
    <row r="111" spans="1:2">
      <c r="A111" s="41">
        <v>43374</v>
      </c>
      <c r="B111" s="10">
        <v>470717</v>
      </c>
    </row>
    <row r="112" spans="1:2">
      <c r="A112" s="41">
        <v>43466</v>
      </c>
      <c r="B112" s="10">
        <v>455073</v>
      </c>
    </row>
    <row r="113" spans="1:2">
      <c r="A113" s="41">
        <v>43556</v>
      </c>
      <c r="B113" s="10">
        <v>469348</v>
      </c>
    </row>
    <row r="114" spans="1:2">
      <c r="A114" s="41">
        <v>43647</v>
      </c>
      <c r="B114" s="10">
        <v>483704</v>
      </c>
    </row>
    <row r="115" spans="1:2">
      <c r="A115" s="41">
        <v>43739</v>
      </c>
      <c r="B115" s="10">
        <v>474930</v>
      </c>
    </row>
    <row r="116" spans="1:2">
      <c r="A116" s="41">
        <v>43831</v>
      </c>
      <c r="B116" s="10">
        <v>491452</v>
      </c>
    </row>
    <row r="117" spans="1:2">
      <c r="A117" s="41">
        <v>43922</v>
      </c>
      <c r="B117" s="10">
        <v>458745</v>
      </c>
    </row>
    <row r="118" spans="1:2">
      <c r="A118" s="41">
        <v>44013</v>
      </c>
      <c r="B118" s="10">
        <v>483430</v>
      </c>
    </row>
    <row r="119" spans="1:2">
      <c r="A119" s="41">
        <v>44105</v>
      </c>
      <c r="B119" s="10">
        <v>462760</v>
      </c>
    </row>
    <row r="120" spans="1:2">
      <c r="A120" s="41">
        <v>44197</v>
      </c>
      <c r="B120" s="10">
        <v>467604.61</v>
      </c>
    </row>
    <row r="121" spans="1:2">
      <c r="A121" s="41">
        <v>44287</v>
      </c>
      <c r="B121" s="10">
        <v>460603.75</v>
      </c>
    </row>
    <row r="122" spans="1:2">
      <c r="A122" s="41">
        <v>44378</v>
      </c>
      <c r="B122" s="10">
        <v>474129.11</v>
      </c>
    </row>
    <row r="123" spans="1:2">
      <c r="A123" s="41">
        <v>44470</v>
      </c>
      <c r="B123" s="10">
        <v>497049.01</v>
      </c>
    </row>
    <row r="124" spans="1:2">
      <c r="A124" s="41">
        <v>44562</v>
      </c>
      <c r="B124" s="10">
        <v>488414.78</v>
      </c>
    </row>
    <row r="125" spans="1:2">
      <c r="A125" s="41">
        <v>44652</v>
      </c>
      <c r="B125" s="10">
        <v>462130.22</v>
      </c>
    </row>
    <row r="126" spans="1:2">
      <c r="A126" s="41">
        <v>44743</v>
      </c>
      <c r="B126" s="10">
        <v>486717.12</v>
      </c>
    </row>
    <row r="127" spans="1:2">
      <c r="A127" s="41">
        <v>44835</v>
      </c>
      <c r="B127" s="10">
        <v>441257.99</v>
      </c>
    </row>
    <row r="128" spans="1:2">
      <c r="A128" s="41">
        <v>44927</v>
      </c>
      <c r="B128" s="10">
        <v>385080.64</v>
      </c>
    </row>
    <row r="129" spans="1:2">
      <c r="A129" s="41">
        <v>45017</v>
      </c>
      <c r="B129" s="10">
        <v>358360.94</v>
      </c>
    </row>
    <row r="130" spans="1:2">
      <c r="A130" s="41">
        <v>45108</v>
      </c>
      <c r="B130" s="10">
        <v>340879.71</v>
      </c>
    </row>
    <row r="131" spans="1:2">
      <c r="A131" s="41">
        <v>45200</v>
      </c>
      <c r="B131" s="10">
        <v>324045.62</v>
      </c>
    </row>
    <row r="132" spans="1:2">
      <c r="A132" s="41">
        <v>45292</v>
      </c>
      <c r="B132" s="10">
        <v>318288.68</v>
      </c>
    </row>
    <row r="133" spans="1:2">
      <c r="A133" s="41">
        <v>45383</v>
      </c>
      <c r="B133" s="10">
        <v>308744.9</v>
      </c>
    </row>
    <row r="134" spans="1:2">
      <c r="A134" s="41">
        <v>45474</v>
      </c>
      <c r="B134" s="10">
        <v>317449.81</v>
      </c>
    </row>
    <row r="135" spans="1:2">
      <c r="A135" s="41">
        <v>45566</v>
      </c>
      <c r="B135" s="10">
        <v>309319.98</v>
      </c>
    </row>
    <row r="136" spans="1:2">
      <c r="A136" s="41">
        <v>45658</v>
      </c>
      <c r="B136" s="10">
        <v>289885.82</v>
      </c>
    </row>
    <row r="137" spans="1:2">
      <c r="A137" s="41">
        <v>45748</v>
      </c>
      <c r="B137" s="10">
        <v>313045.26</v>
      </c>
    </row>
    <row r="138" spans="1:2">
      <c r="A138" s="41">
        <v>45839</v>
      </c>
      <c r="B138" s="10">
        <v>324050.21</v>
      </c>
    </row>
    <row r="139" spans="1:2">
      <c r="A139" s="41">
        <v>45931</v>
      </c>
      <c r="B139" s="10">
        <v>310182.2</v>
      </c>
    </row>
    <row r="140" spans="1:2">
      <c r="A140" s="41">
        <v>46023</v>
      </c>
      <c r="B140" s="10">
        <v>306766.97</v>
      </c>
    </row>
    <row r="141" spans="1:2">
      <c r="A141" s="41">
        <v>46113</v>
      </c>
      <c r="B141" s="10">
        <v>299063.74</v>
      </c>
    </row>
  </sheetData>
  <printOptions horizontalCentered="1"/>
  <pageMargins left="0.236220472440945" right="0.236220472440945" top="0.393700787401575" bottom="0.433070866141732" header="0.236220472440945" footer="0.15748031496063"/>
  <pageSetup paperSize="8" scale="78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8"/>
  <sheetViews>
    <sheetView workbookViewId="0">
      <selection activeCell="C2" sqref="C2"/>
    </sheetView>
  </sheetViews>
  <sheetFormatPr defaultColWidth="8.94117647058824" defaultRowHeight="14" outlineLevelCol="2"/>
  <cols>
    <col min="3" max="3" width="12.6470588235294"/>
  </cols>
  <sheetData>
    <row r="1" spans="1:3">
      <c r="A1" t="s">
        <v>34</v>
      </c>
      <c r="B1" t="s">
        <v>35</v>
      </c>
      <c r="C1" t="s">
        <v>36</v>
      </c>
    </row>
    <row r="2" spans="1:3">
      <c r="A2" s="1">
        <v>37622</v>
      </c>
      <c r="B2" s="1" t="str">
        <f t="shared" ref="B2:B65" si="0">TEXT(A2,"yyyy-mm-01")</f>
        <v>2003-01-01</v>
      </c>
      <c r="C2" s="2">
        <f>VLOOKUP(A2,'2003-2026'!$A$48:$B$141,2,FALSE)</f>
        <v>151302</v>
      </c>
    </row>
    <row r="3" spans="1:3">
      <c r="A3" s="3">
        <f t="shared" ref="A3:A66" si="1">EDATE(A2,1)</f>
        <v>37653</v>
      </c>
      <c r="B3" s="1" t="str">
        <f t="shared" si="0"/>
        <v>2003-02-01</v>
      </c>
      <c r="C3" s="2" cm="1">
        <f t="array" ref="C3">INDEX($C:$C,MATCH(ROW()-MOD(ROW()-ROW($C$2),3),ROW($C:$C),0))+(B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151960.922222222</v>
      </c>
    </row>
    <row r="4" spans="1:3">
      <c r="A4" s="3">
        <f t="shared" si="1"/>
        <v>37681</v>
      </c>
      <c r="B4" s="1" t="str">
        <f t="shared" si="0"/>
        <v>2003-03-01</v>
      </c>
      <c r="C4" s="2" cm="1">
        <f t="array" ref="C4">INDEX($C:$C,MATCH(ROW()-MOD(ROW()-ROW($C$2),3),ROW($C:$C),0))+(B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152556.077777778</v>
      </c>
    </row>
    <row r="5" spans="1:3">
      <c r="A5" s="3">
        <f t="shared" si="1"/>
        <v>37712</v>
      </c>
      <c r="B5" s="1" t="str">
        <f t="shared" si="0"/>
        <v>2003-04-01</v>
      </c>
      <c r="C5" s="2">
        <f>VLOOKUP(A5,'2003-2026'!$A$48:$B$141,2,FALSE)</f>
        <v>153215</v>
      </c>
    </row>
    <row r="6" spans="1:3">
      <c r="A6" s="3">
        <f t="shared" si="1"/>
        <v>37742</v>
      </c>
      <c r="B6" s="1" t="str">
        <f t="shared" si="0"/>
        <v>2003-05-01</v>
      </c>
      <c r="C6" s="2" cm="1">
        <f t="array" ref="C6">INDEX($C:$C,MATCH(ROW()-MOD(ROW()-ROW($C$2),3),ROW($C:$C),0))+(B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154847.197802198</v>
      </c>
    </row>
    <row r="7" spans="1:3">
      <c r="A7" s="3">
        <f t="shared" si="1"/>
        <v>37773</v>
      </c>
      <c r="B7" s="1" t="str">
        <f t="shared" si="0"/>
        <v>2003-06-01</v>
      </c>
      <c r="C7" s="2" cm="1">
        <f t="array" ref="C7">INDEX($C:$C,MATCH(ROW()-MOD(ROW()-ROW($C$2),3),ROW($C:$C),0))+(B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156533.802197802</v>
      </c>
    </row>
    <row r="8" spans="1:3">
      <c r="A8" s="3">
        <f t="shared" si="1"/>
        <v>37803</v>
      </c>
      <c r="B8" s="1" t="str">
        <f t="shared" si="0"/>
        <v>2003-07-01</v>
      </c>
      <c r="C8" s="2">
        <f>VLOOKUP(A8,'2003-2026'!$A$48:$B$141,2,FALSE)</f>
        <v>158166</v>
      </c>
    </row>
    <row r="9" spans="1:3">
      <c r="A9" s="3">
        <f t="shared" si="1"/>
        <v>37834</v>
      </c>
      <c r="B9" s="1" t="str">
        <f t="shared" si="0"/>
        <v>2003-08-01</v>
      </c>
      <c r="C9" s="2" cm="1">
        <f t="array" ref="C9">INDEX($C:$C,MATCH(ROW()-MOD(ROW()-ROW($C$2),3),ROW($C:$C),0))+(B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160749.782608696</v>
      </c>
    </row>
    <row r="10" spans="1:3">
      <c r="A10" s="3">
        <f t="shared" si="1"/>
        <v>37865</v>
      </c>
      <c r="B10" s="1" t="str">
        <f t="shared" si="0"/>
        <v>2003-09-01</v>
      </c>
      <c r="C10" s="2" cm="1">
        <f t="array" ref="C10">INDEX($C:$C,MATCH(ROW()-MOD(ROW()-ROW($C$2),3),ROW($C:$C),0))+(B10-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163333.565217391</v>
      </c>
    </row>
    <row r="11" spans="1:3">
      <c r="A11" s="3">
        <f t="shared" si="1"/>
        <v>37895</v>
      </c>
      <c r="B11" s="1" t="str">
        <f t="shared" si="0"/>
        <v>2003-10-01</v>
      </c>
      <c r="C11" s="2">
        <f>VLOOKUP(A11,'2003-2026'!$A$48:$B$141,2,FALSE)</f>
        <v>165834</v>
      </c>
    </row>
    <row r="12" spans="1:3">
      <c r="A12" s="3">
        <f t="shared" si="1"/>
        <v>37926</v>
      </c>
      <c r="B12" s="1" t="str">
        <f t="shared" si="0"/>
        <v>2003-11-01</v>
      </c>
      <c r="C12" s="2" cm="1">
        <f t="array" ref="C12">INDEX($C:$C,MATCH(ROW()-MOD(ROW()-ROW($C$2),3),ROW($C:$C),0))+(B12-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172276.945652174</v>
      </c>
    </row>
    <row r="13" spans="1:3">
      <c r="A13" s="3">
        <f t="shared" si="1"/>
        <v>37956</v>
      </c>
      <c r="B13" s="1" t="str">
        <f t="shared" si="0"/>
        <v>2003-12-01</v>
      </c>
      <c r="C13" s="2" cm="1">
        <f t="array" ref="C13">INDEX($C:$C,MATCH(ROW()-MOD(ROW()-ROW($C$2),3),ROW($C:$C),0))+(B13-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178512.054347826</v>
      </c>
    </row>
    <row r="14" spans="1:3">
      <c r="A14" s="3">
        <f t="shared" si="1"/>
        <v>37987</v>
      </c>
      <c r="B14" s="1" t="str">
        <f t="shared" si="0"/>
        <v>2004-01-01</v>
      </c>
      <c r="C14" s="2">
        <f>VLOOKUP(A14,'2003-2026'!$A$48:$B$141,2,FALSE)</f>
        <v>184955</v>
      </c>
    </row>
    <row r="15" spans="1:3">
      <c r="A15" s="3">
        <f t="shared" si="1"/>
        <v>38018</v>
      </c>
      <c r="B15" s="1" t="str">
        <f t="shared" si="0"/>
        <v>2004-02-01</v>
      </c>
      <c r="C15" s="2" cm="1">
        <f t="array" ref="C15">INDEX($C:$C,MATCH(ROW()-MOD(ROW()-ROW($C$2),3),ROW($C:$C),0))+(B15-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186516.582417582</v>
      </c>
    </row>
    <row r="16" spans="1:3">
      <c r="A16" s="3">
        <f t="shared" si="1"/>
        <v>38047</v>
      </c>
      <c r="B16" s="1" t="str">
        <f t="shared" si="0"/>
        <v>2004-03-01</v>
      </c>
      <c r="C16" s="2" cm="1">
        <f t="array" ref="C16">INDEX($C:$C,MATCH(ROW()-MOD(ROW()-ROW($C$2),3),ROW($C:$C),0))+(B16-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187977.417582418</v>
      </c>
    </row>
    <row r="17" spans="1:3">
      <c r="A17" s="3">
        <f t="shared" si="1"/>
        <v>38078</v>
      </c>
      <c r="B17" s="1" t="str">
        <f t="shared" si="0"/>
        <v>2004-04-01</v>
      </c>
      <c r="C17" s="2">
        <f>VLOOKUP(A17,'2003-2026'!$A$48:$B$141,2,FALSE)</f>
        <v>189539</v>
      </c>
    </row>
    <row r="18" spans="1:3">
      <c r="A18" s="3">
        <f t="shared" si="1"/>
        <v>38108</v>
      </c>
      <c r="B18" s="1" t="str">
        <f t="shared" si="0"/>
        <v>2004-05-01</v>
      </c>
      <c r="C18" s="2" cm="1">
        <f t="array" ref="C18">INDEX($C:$C,MATCH(ROW()-MOD(ROW()-ROW($C$2),3),ROW($C:$C),0))+(B18-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190465.373626374</v>
      </c>
    </row>
    <row r="19" spans="1:3">
      <c r="A19" s="3">
        <f t="shared" si="1"/>
        <v>38139</v>
      </c>
      <c r="B19" s="1" t="str">
        <f t="shared" si="0"/>
        <v>2004-06-01</v>
      </c>
      <c r="C19" s="2" cm="1">
        <f t="array" ref="C19">INDEX($C:$C,MATCH(ROW()-MOD(ROW()-ROW($C$2),3),ROW($C:$C),0))+(B19-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191422.626373626</v>
      </c>
    </row>
    <row r="20" spans="1:3">
      <c r="A20" s="3">
        <f t="shared" si="1"/>
        <v>38169</v>
      </c>
      <c r="B20" s="1" t="str">
        <f t="shared" si="0"/>
        <v>2004-07-01</v>
      </c>
      <c r="C20" s="2">
        <f>VLOOKUP(A20,'2003-2026'!$A$48:$B$141,2,FALSE)</f>
        <v>192349</v>
      </c>
    </row>
    <row r="21" spans="1:3">
      <c r="A21" s="3">
        <f t="shared" si="1"/>
        <v>38200</v>
      </c>
      <c r="B21" s="1" t="str">
        <f t="shared" si="0"/>
        <v>2004-08-01</v>
      </c>
      <c r="C21" s="2" cm="1">
        <f t="array" ref="C21">INDEX($C:$C,MATCH(ROW()-MOD(ROW()-ROW($C$2),3),ROW($C:$C),0))+(B21-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192635.413043478</v>
      </c>
    </row>
    <row r="22" spans="1:3">
      <c r="A22" s="3">
        <f t="shared" si="1"/>
        <v>38231</v>
      </c>
      <c r="B22" s="1" t="str">
        <f t="shared" si="0"/>
        <v>2004-09-01</v>
      </c>
      <c r="C22" s="2" cm="1">
        <f t="array" ref="C22">INDEX($C:$C,MATCH(ROW()-MOD(ROW()-ROW($C$2),3),ROW($C:$C),0))+(B22-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192921.826086957</v>
      </c>
    </row>
    <row r="23" spans="1:3">
      <c r="A23" s="3">
        <f t="shared" si="1"/>
        <v>38261</v>
      </c>
      <c r="B23" s="1" t="str">
        <f t="shared" si="0"/>
        <v>2004-10-01</v>
      </c>
      <c r="C23" s="2">
        <f>VLOOKUP(A23,'2003-2026'!$A$48:$B$141,2,FALSE)</f>
        <v>193199</v>
      </c>
    </row>
    <row r="24" spans="1:3">
      <c r="A24" s="3">
        <f t="shared" si="1"/>
        <v>38292</v>
      </c>
      <c r="B24" s="1" t="str">
        <f t="shared" si="0"/>
        <v>2004-11-01</v>
      </c>
      <c r="C24" s="2" cm="1">
        <f t="array" ref="C24">INDEX($C:$C,MATCH(ROW()-MOD(ROW()-ROW($C$2),3),ROW($C:$C),0))+(B24-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199983.956521739</v>
      </c>
    </row>
    <row r="25" spans="1:3">
      <c r="A25" s="3">
        <f t="shared" si="1"/>
        <v>38322</v>
      </c>
      <c r="B25" s="1" t="str">
        <f t="shared" si="0"/>
        <v>2004-12-01</v>
      </c>
      <c r="C25" s="2" cm="1">
        <f t="array" ref="C25">INDEX($C:$C,MATCH(ROW()-MOD(ROW()-ROW($C$2),3),ROW($C:$C),0))+(B25-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206550.043478261</v>
      </c>
    </row>
    <row r="26" spans="1:3">
      <c r="A26" s="3">
        <f t="shared" si="1"/>
        <v>38353</v>
      </c>
      <c r="B26" s="1" t="str">
        <f t="shared" si="0"/>
        <v>2005-01-01</v>
      </c>
      <c r="C26" s="2">
        <f>VLOOKUP(A26,'2003-2026'!$A$48:$B$141,2,FALSE)</f>
        <v>213335</v>
      </c>
    </row>
    <row r="27" spans="1:3">
      <c r="A27" s="3">
        <f t="shared" si="1"/>
        <v>38384</v>
      </c>
      <c r="B27" s="1" t="str">
        <f t="shared" si="0"/>
        <v>2005-02-01</v>
      </c>
      <c r="C27" s="2" cm="1">
        <f t="array" ref="C27">INDEX($C:$C,MATCH(ROW()-MOD(ROW()-ROW($C$2),3),ROW($C:$C),0))+(B27-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215407.866666667</v>
      </c>
    </row>
    <row r="28" spans="1:3">
      <c r="A28" s="3">
        <f t="shared" si="1"/>
        <v>38412</v>
      </c>
      <c r="B28" s="1" t="str">
        <f t="shared" si="0"/>
        <v>2005-03-01</v>
      </c>
      <c r="C28" s="2" cm="1">
        <f t="array" ref="C28">INDEX($C:$C,MATCH(ROW()-MOD(ROW()-ROW($C$2),3),ROW($C:$C),0))+(B28-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217280.133333333</v>
      </c>
    </row>
    <row r="29" spans="1:3">
      <c r="A29" s="3">
        <f t="shared" si="1"/>
        <v>38443</v>
      </c>
      <c r="B29" s="1" t="str">
        <f t="shared" si="0"/>
        <v>2005-04-01</v>
      </c>
      <c r="C29" s="2">
        <f>VLOOKUP(A29,'2003-2026'!$A$48:$B$141,2,FALSE)</f>
        <v>219353</v>
      </c>
    </row>
    <row r="30" spans="1:3">
      <c r="A30" s="3">
        <f t="shared" si="1"/>
        <v>38473</v>
      </c>
      <c r="B30" s="1" t="str">
        <f t="shared" si="0"/>
        <v>2005-05-01</v>
      </c>
      <c r="C30" s="2" cm="1">
        <f t="array" ref="C30">INDEX($C:$C,MATCH(ROW()-MOD(ROW()-ROW($C$2),3),ROW($C:$C),0))+(B30-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222147.285714286</v>
      </c>
    </row>
    <row r="31" spans="1:3">
      <c r="A31" s="3">
        <f t="shared" si="1"/>
        <v>38504</v>
      </c>
      <c r="B31" s="1" t="str">
        <f t="shared" si="0"/>
        <v>2005-06-01</v>
      </c>
      <c r="C31" s="2" cm="1">
        <f t="array" ref="C31">INDEX($C:$C,MATCH(ROW()-MOD(ROW()-ROW($C$2),3),ROW($C:$C),0))+(B31-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225034.714285714</v>
      </c>
    </row>
    <row r="32" spans="1:3">
      <c r="A32" s="3">
        <f t="shared" si="1"/>
        <v>38534</v>
      </c>
      <c r="B32" s="1" t="str">
        <f t="shared" si="0"/>
        <v>2005-07-01</v>
      </c>
      <c r="C32" s="2">
        <f>VLOOKUP(A32,'2003-2026'!$A$48:$B$141,2,FALSE)</f>
        <v>227829</v>
      </c>
    </row>
    <row r="33" spans="1:3">
      <c r="A33" s="3">
        <f t="shared" si="1"/>
        <v>38565</v>
      </c>
      <c r="B33" s="1" t="str">
        <f t="shared" si="0"/>
        <v>2005-08-01</v>
      </c>
      <c r="C33" s="2" cm="1">
        <f t="array" ref="C33">INDEX($C:$C,MATCH(ROW()-MOD(ROW()-ROW($C$2),3),ROW($C:$C),0))+(B33-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227451.27173913</v>
      </c>
    </row>
    <row r="34" spans="1:3">
      <c r="A34" s="3">
        <f t="shared" si="1"/>
        <v>38596</v>
      </c>
      <c r="B34" s="1" t="str">
        <f t="shared" si="0"/>
        <v>2005-09-01</v>
      </c>
      <c r="C34" s="2" cm="1">
        <f t="array" ref="C34">INDEX($C:$C,MATCH(ROW()-MOD(ROW()-ROW($C$2),3),ROW($C:$C),0))+(B34-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227073.543478261</v>
      </c>
    </row>
    <row r="35" spans="1:3">
      <c r="A35" s="3">
        <f t="shared" si="1"/>
        <v>38626</v>
      </c>
      <c r="B35" s="1" t="str">
        <f t="shared" si="0"/>
        <v>2005-10-01</v>
      </c>
      <c r="C35" s="2">
        <f>VLOOKUP(A35,'2003-2026'!$A$48:$B$141,2,FALSE)</f>
        <v>226708</v>
      </c>
    </row>
    <row r="36" spans="1:3">
      <c r="A36" s="3">
        <f t="shared" si="1"/>
        <v>38657</v>
      </c>
      <c r="B36" s="1" t="str">
        <f t="shared" si="0"/>
        <v>2005-11-01</v>
      </c>
      <c r="C36" s="2" cm="1">
        <f t="array" ref="C36">INDEX($C:$C,MATCH(ROW()-MOD(ROW()-ROW($C$2),3),ROW($C:$C),0))+(B36-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236983.826086957</v>
      </c>
    </row>
    <row r="37" spans="1:3">
      <c r="A37" s="3">
        <f t="shared" si="1"/>
        <v>38687</v>
      </c>
      <c r="B37" s="1" t="str">
        <f t="shared" si="0"/>
        <v>2005-12-01</v>
      </c>
      <c r="C37" s="2" cm="1">
        <f t="array" ref="C37">INDEX($C:$C,MATCH(ROW()-MOD(ROW()-ROW($C$2),3),ROW($C:$C),0))+(B37-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246928.173913043</v>
      </c>
    </row>
    <row r="38" spans="1:3">
      <c r="A38" s="3">
        <f t="shared" si="1"/>
        <v>38718</v>
      </c>
      <c r="B38" s="1" t="str">
        <f t="shared" si="0"/>
        <v>2006-01-01</v>
      </c>
      <c r="C38" s="2">
        <f>VLOOKUP(A38,'2003-2026'!$A$48:$B$141,2,FALSE)</f>
        <v>257204</v>
      </c>
    </row>
    <row r="39" spans="1:3">
      <c r="A39" s="3">
        <f t="shared" si="1"/>
        <v>38749</v>
      </c>
      <c r="B39" s="1" t="str">
        <f t="shared" si="0"/>
        <v>2006-02-01</v>
      </c>
      <c r="C39" s="2" cm="1">
        <f t="array" ref="C39">INDEX($C:$C,MATCH(ROW()-MOD(ROW()-ROW($C$2),3),ROW($C:$C),0))+(B39-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262741.288888889</v>
      </c>
    </row>
    <row r="40" spans="1:3">
      <c r="A40" s="3">
        <f t="shared" si="1"/>
        <v>38777</v>
      </c>
      <c r="B40" s="1" t="str">
        <f t="shared" si="0"/>
        <v>2006-03-01</v>
      </c>
      <c r="C40" s="2" cm="1">
        <f t="array" ref="C40">INDEX($C:$C,MATCH(ROW()-MOD(ROW()-ROW($C$2),3),ROW($C:$C),0))+(B40-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267742.711111111</v>
      </c>
    </row>
    <row r="41" spans="1:3">
      <c r="A41" s="3">
        <f t="shared" si="1"/>
        <v>38808</v>
      </c>
      <c r="B41" s="1" t="str">
        <f t="shared" si="0"/>
        <v>2006-04-01</v>
      </c>
      <c r="C41" s="2">
        <f>VLOOKUP(A41,'2003-2026'!$A$48:$B$141,2,FALSE)</f>
        <v>273280</v>
      </c>
    </row>
    <row r="42" spans="1:3">
      <c r="A42" s="3">
        <f t="shared" si="1"/>
        <v>38838</v>
      </c>
      <c r="B42" s="1" t="str">
        <f t="shared" si="0"/>
        <v>2006-05-01</v>
      </c>
      <c r="C42" s="2" cm="1">
        <f t="array" ref="C42">INDEX($C:$C,MATCH(ROW()-MOD(ROW()-ROW($C$2),3),ROW($C:$C),0))+(B42-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278498.681318681</v>
      </c>
    </row>
    <row r="43" spans="1:3">
      <c r="A43" s="3">
        <f t="shared" si="1"/>
        <v>38869</v>
      </c>
      <c r="B43" s="1" t="str">
        <f t="shared" si="0"/>
        <v>2006-06-01</v>
      </c>
      <c r="C43" s="2" cm="1">
        <f t="array" ref="C43">INDEX($C:$C,MATCH(ROW()-MOD(ROW()-ROW($C$2),3),ROW($C:$C),0))+(B43-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283891.318681319</v>
      </c>
    </row>
    <row r="44" spans="1:3">
      <c r="A44" s="3">
        <f t="shared" si="1"/>
        <v>38899</v>
      </c>
      <c r="B44" s="1" t="str">
        <f t="shared" si="0"/>
        <v>2006-07-01</v>
      </c>
      <c r="C44" s="2">
        <f>VLOOKUP(A44,'2003-2026'!$A$48:$B$141,2,FALSE)</f>
        <v>289110</v>
      </c>
    </row>
    <row r="45" spans="1:3">
      <c r="A45" s="3">
        <f t="shared" si="1"/>
        <v>38930</v>
      </c>
      <c r="B45" s="1" t="str">
        <f t="shared" si="0"/>
        <v>2006-08-01</v>
      </c>
      <c r="C45" s="2" cm="1">
        <f t="array" ref="C45">INDEX($C:$C,MATCH(ROW()-MOD(ROW()-ROW($C$2),3),ROW($C:$C),0))+(B45-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282506.326086957</v>
      </c>
    </row>
    <row r="46" spans="1:3">
      <c r="A46" s="3">
        <f t="shared" si="1"/>
        <v>38961</v>
      </c>
      <c r="B46" s="1" t="str">
        <f t="shared" si="0"/>
        <v>2006-09-01</v>
      </c>
      <c r="C46" s="2" cm="1">
        <f t="array" ref="C46">INDEX($C:$C,MATCH(ROW()-MOD(ROW()-ROW($C$2),3),ROW($C:$C),0))+(B46-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275902.652173913</v>
      </c>
    </row>
    <row r="47" spans="1:3">
      <c r="A47" s="3">
        <f t="shared" si="1"/>
        <v>38991</v>
      </c>
      <c r="B47" s="1" t="str">
        <f t="shared" si="0"/>
        <v>2006-10-01</v>
      </c>
      <c r="C47" s="2">
        <f>VLOOKUP(A47,'2003-2026'!$A$48:$B$141,2,FALSE)</f>
        <v>269512</v>
      </c>
    </row>
    <row r="48" spans="1:3">
      <c r="A48" s="3">
        <f t="shared" si="1"/>
        <v>39022</v>
      </c>
      <c r="B48" s="1" t="str">
        <f t="shared" si="0"/>
        <v>2006-11-01</v>
      </c>
      <c r="C48" s="2" cm="1">
        <f t="array" ref="C48">INDEX($C:$C,MATCH(ROW()-MOD(ROW()-ROW($C$2),3),ROW($C:$C),0))+(B48-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284237.673913043</v>
      </c>
    </row>
    <row r="49" spans="1:3">
      <c r="A49" s="3">
        <f t="shared" si="1"/>
        <v>39052</v>
      </c>
      <c r="B49" s="1" t="str">
        <f t="shared" si="0"/>
        <v>2006-12-01</v>
      </c>
      <c r="C49" s="2" cm="1">
        <f t="array" ref="C49">INDEX($C:$C,MATCH(ROW()-MOD(ROW()-ROW($C$2),3),ROW($C:$C),0))+(B49-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298488.326086957</v>
      </c>
    </row>
    <row r="50" spans="1:3">
      <c r="A50" s="3">
        <f t="shared" si="1"/>
        <v>39083</v>
      </c>
      <c r="B50" s="1" t="str">
        <f t="shared" si="0"/>
        <v>2007-01-01</v>
      </c>
      <c r="C50" s="2">
        <f>VLOOKUP(A50,'2003-2026'!$A$48:$B$141,2,FALSE)</f>
        <v>313214</v>
      </c>
    </row>
    <row r="51" spans="1:3">
      <c r="A51" s="3">
        <f t="shared" si="1"/>
        <v>39114</v>
      </c>
      <c r="B51" s="1" t="str">
        <f t="shared" si="0"/>
        <v>2007-02-01</v>
      </c>
      <c r="C51" s="2" cm="1">
        <f t="array" ref="C51">INDEX($C:$C,MATCH(ROW()-MOD(ROW()-ROW($C$2),3),ROW($C:$C),0))+(B51-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327809.144444444</v>
      </c>
    </row>
    <row r="52" spans="1:3">
      <c r="A52" s="3">
        <f t="shared" si="1"/>
        <v>39142</v>
      </c>
      <c r="B52" s="1" t="str">
        <f t="shared" si="0"/>
        <v>2007-03-01</v>
      </c>
      <c r="C52" s="2" cm="1">
        <f t="array" ref="C52">INDEX($C:$C,MATCH(ROW()-MOD(ROW()-ROW($C$2),3),ROW($C:$C),0))+(B52-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340991.855555556</v>
      </c>
    </row>
    <row r="53" spans="1:3">
      <c r="A53" s="3">
        <f t="shared" si="1"/>
        <v>39173</v>
      </c>
      <c r="B53" s="1" t="str">
        <f t="shared" si="0"/>
        <v>2007-04-01</v>
      </c>
      <c r="C53" s="2">
        <f>VLOOKUP(A53,'2003-2026'!$A$48:$B$141,2,FALSE)</f>
        <v>355587</v>
      </c>
    </row>
    <row r="54" spans="1:3">
      <c r="A54" s="3">
        <f t="shared" si="1"/>
        <v>39203</v>
      </c>
      <c r="B54" s="1" t="str">
        <f t="shared" si="0"/>
        <v>2007-05-01</v>
      </c>
      <c r="C54" s="2" cm="1">
        <f t="array" ref="C54">INDEX($C:$C,MATCH(ROW()-MOD(ROW()-ROW($C$2),3),ROW($C:$C),0))+(B54-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370079.637362637</v>
      </c>
    </row>
    <row r="55" spans="1:3">
      <c r="A55" s="3">
        <f t="shared" si="1"/>
        <v>39234</v>
      </c>
      <c r="B55" s="1" t="str">
        <f t="shared" si="0"/>
        <v>2007-06-01</v>
      </c>
      <c r="C55" s="2" cm="1">
        <f t="array" ref="C55">INDEX($C:$C,MATCH(ROW()-MOD(ROW()-ROW($C$2),3),ROW($C:$C),0))+(B55-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385055.362637363</v>
      </c>
    </row>
    <row r="56" spans="1:3">
      <c r="A56" s="3">
        <f t="shared" si="1"/>
        <v>39264</v>
      </c>
      <c r="B56" s="1" t="str">
        <f t="shared" si="0"/>
        <v>2007-07-01</v>
      </c>
      <c r="C56" s="2">
        <f>VLOOKUP(A56,'2003-2026'!$A$48:$B$141,2,FALSE)</f>
        <v>399548</v>
      </c>
    </row>
    <row r="57" spans="1:3">
      <c r="A57" s="3">
        <f t="shared" si="1"/>
        <v>39295</v>
      </c>
      <c r="B57" s="1" t="str">
        <f t="shared" si="0"/>
        <v>2007-08-01</v>
      </c>
      <c r="C57" s="2" cm="1">
        <f t="array" ref="C57">INDEX($C:$C,MATCH(ROW()-MOD(ROW()-ROW($C$2),3),ROW($C:$C),0))+(B57-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412786.347826087</v>
      </c>
    </row>
    <row r="58" spans="1:3">
      <c r="A58" s="3">
        <f t="shared" si="1"/>
        <v>39326</v>
      </c>
      <c r="B58" s="1" t="str">
        <f t="shared" si="0"/>
        <v>2007-09-01</v>
      </c>
      <c r="C58" s="2" cm="1">
        <f t="array" ref="C58">INDEX($C:$C,MATCH(ROW()-MOD(ROW()-ROW($C$2),3),ROW($C:$C),0))+(B58-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426024.695652174</v>
      </c>
    </row>
    <row r="59" spans="1:3">
      <c r="A59" s="3">
        <f t="shared" si="1"/>
        <v>39356</v>
      </c>
      <c r="B59" s="1" t="str">
        <f t="shared" si="0"/>
        <v>2007-10-01</v>
      </c>
      <c r="C59" s="2">
        <f>VLOOKUP(A59,'2003-2026'!$A$48:$B$141,2,FALSE)</f>
        <v>438836</v>
      </c>
    </row>
    <row r="60" spans="1:3">
      <c r="A60" s="3">
        <f t="shared" si="1"/>
        <v>39387</v>
      </c>
      <c r="B60" s="1" t="str">
        <f t="shared" si="0"/>
        <v>2007-11-01</v>
      </c>
      <c r="C60" s="2" cm="1">
        <f t="array" ref="C60">INDEX($C:$C,MATCH(ROW()-MOD(ROW()-ROW($C$2),3),ROW($C:$C),0))+(B60-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447444.565217391</v>
      </c>
    </row>
    <row r="61" spans="1:3">
      <c r="A61" s="3">
        <f t="shared" si="1"/>
        <v>39417</v>
      </c>
      <c r="B61" s="1" t="str">
        <f t="shared" si="0"/>
        <v>2007-12-01</v>
      </c>
      <c r="C61" s="2" cm="1">
        <f t="array" ref="C61">INDEX($C:$C,MATCH(ROW()-MOD(ROW()-ROW($C$2),3),ROW($C:$C),0))+(B61-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455775.434782609</v>
      </c>
    </row>
    <row r="62" spans="1:3">
      <c r="A62" s="3">
        <f t="shared" si="1"/>
        <v>39448</v>
      </c>
      <c r="B62" s="1" t="str">
        <f t="shared" si="0"/>
        <v>2008-01-01</v>
      </c>
      <c r="C62" s="2">
        <f>VLOOKUP(A62,'2003-2026'!$A$48:$B$141,2,FALSE)</f>
        <v>464384</v>
      </c>
    </row>
    <row r="63" spans="1:3">
      <c r="A63" s="3">
        <f t="shared" si="1"/>
        <v>39479</v>
      </c>
      <c r="B63" s="1" t="str">
        <f t="shared" si="0"/>
        <v>2008-02-01</v>
      </c>
      <c r="C63" s="2" cm="1">
        <f t="array" ref="C63">INDEX($C:$C,MATCH(ROW()-MOD(ROW()-ROW($C$2),3),ROW($C:$C),0))+(B63-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470555.725274725</v>
      </c>
    </row>
    <row r="64" spans="1:3">
      <c r="A64" s="3">
        <f t="shared" si="1"/>
        <v>39508</v>
      </c>
      <c r="B64" s="1" t="str">
        <f t="shared" si="0"/>
        <v>2008-03-01</v>
      </c>
      <c r="C64" s="2" cm="1">
        <f t="array" ref="C64">INDEX($C:$C,MATCH(ROW()-MOD(ROW()-ROW($C$2),3),ROW($C:$C),0))+(B64-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476329.274725275</v>
      </c>
    </row>
    <row r="65" spans="1:3">
      <c r="A65" s="3">
        <f t="shared" si="1"/>
        <v>39539</v>
      </c>
      <c r="B65" s="1" t="str">
        <f t="shared" si="0"/>
        <v>2008-04-01</v>
      </c>
      <c r="C65" s="2">
        <f>VLOOKUP(A65,'2003-2026'!$A$48:$B$141,2,FALSE)</f>
        <v>482501</v>
      </c>
    </row>
    <row r="66" spans="1:3">
      <c r="A66" s="3">
        <f t="shared" si="1"/>
        <v>39569</v>
      </c>
      <c r="B66" s="1" t="str">
        <f t="shared" ref="B66:B129" si="2">TEXT(A66,"yyyy-mm-01")</f>
        <v>2008-05-01</v>
      </c>
      <c r="C66" s="2" cm="1">
        <f t="array" ref="C66">INDEX($C:$C,MATCH(ROW()-MOD(ROW()-ROW($C$2),3),ROW($C:$C),0))+(B66-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499288.472527473</v>
      </c>
    </row>
    <row r="67" spans="1:3">
      <c r="A67" s="3">
        <f t="shared" ref="A67:A130" si="3">EDATE(A66,1)</f>
        <v>39600</v>
      </c>
      <c r="B67" s="1" t="str">
        <f t="shared" si="2"/>
        <v>2008-06-01</v>
      </c>
      <c r="C67" s="2" cm="1">
        <f t="array" ref="C67">INDEX($C:$C,MATCH(ROW()-MOD(ROW()-ROW($C$2),3),ROW($C:$C),0))+(B67-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516635.527472527</v>
      </c>
    </row>
    <row r="68" spans="1:3">
      <c r="A68" s="3">
        <f t="shared" si="3"/>
        <v>39630</v>
      </c>
      <c r="B68" s="1" t="str">
        <f t="shared" si="2"/>
        <v>2008-07-01</v>
      </c>
      <c r="C68" s="2">
        <f>VLOOKUP(A68,'2003-2026'!$A$48:$B$141,2,FALSE)</f>
        <v>533423</v>
      </c>
    </row>
    <row r="69" spans="1:3">
      <c r="A69" s="3">
        <f t="shared" si="3"/>
        <v>39661</v>
      </c>
      <c r="B69" s="1" t="str">
        <f t="shared" si="2"/>
        <v>2008-08-01</v>
      </c>
      <c r="C69" s="2" cm="1">
        <f t="array" ref="C69">INDEX($C:$C,MATCH(ROW()-MOD(ROW()-ROW($C$2),3),ROW($C:$C),0))+(B69-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535717.336956522</v>
      </c>
    </row>
    <row r="70" spans="1:3">
      <c r="A70" s="3">
        <f t="shared" si="3"/>
        <v>39692</v>
      </c>
      <c r="B70" s="1" t="str">
        <f t="shared" si="2"/>
        <v>2008-09-01</v>
      </c>
      <c r="C70" s="2" cm="1">
        <f t="array" ref="C70">INDEX($C:$C,MATCH(ROW()-MOD(ROW()-ROW($C$2),3),ROW($C:$C),0))+(B70-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538011.673913043</v>
      </c>
    </row>
    <row r="71" spans="1:3">
      <c r="A71" s="3">
        <f t="shared" si="3"/>
        <v>39722</v>
      </c>
      <c r="B71" s="1" t="str">
        <f t="shared" si="2"/>
        <v>2008-10-01</v>
      </c>
      <c r="C71" s="2">
        <f>VLOOKUP(A71,'2003-2026'!$A$48:$B$141,2,FALSE)</f>
        <v>540232</v>
      </c>
    </row>
    <row r="72" spans="1:3">
      <c r="A72" s="3">
        <f t="shared" si="3"/>
        <v>39753</v>
      </c>
      <c r="B72" s="1" t="str">
        <f t="shared" si="2"/>
        <v>2008-11-01</v>
      </c>
      <c r="C72" s="2" cm="1">
        <f t="array" ref="C72">INDEX($C:$C,MATCH(ROW()-MOD(ROW()-ROW($C$2),3),ROW($C:$C),0))+(B72-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519876.793478261</v>
      </c>
    </row>
    <row r="73" spans="1:3">
      <c r="A73" s="3">
        <f t="shared" si="3"/>
        <v>39783</v>
      </c>
      <c r="B73" s="1" t="str">
        <f t="shared" si="2"/>
        <v>2008-12-01</v>
      </c>
      <c r="C73" s="2" cm="1">
        <f t="array" ref="C73">INDEX($C:$C,MATCH(ROW()-MOD(ROW()-ROW($C$2),3),ROW($C:$C),0))+(B73-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500178.206521739</v>
      </c>
    </row>
    <row r="74" spans="1:3">
      <c r="A74" s="3">
        <f t="shared" si="3"/>
        <v>39814</v>
      </c>
      <c r="B74" s="1" t="str">
        <f t="shared" si="2"/>
        <v>2009-01-01</v>
      </c>
      <c r="C74" s="2">
        <f>VLOOKUP(A74,'2003-2026'!$A$48:$B$141,2,FALSE)</f>
        <v>479823</v>
      </c>
    </row>
    <row r="75" spans="1:3">
      <c r="A75" s="3">
        <f t="shared" si="3"/>
        <v>39845</v>
      </c>
      <c r="B75" s="1" t="str">
        <f t="shared" si="2"/>
        <v>2009-02-01</v>
      </c>
      <c r="C75" s="2" cm="1">
        <f t="array" ref="C75">INDEX($C:$C,MATCH(ROW()-MOD(ROW()-ROW($C$2),3),ROW($C:$C),0))+(B75-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468009.588888889</v>
      </c>
    </row>
    <row r="76" spans="1:3">
      <c r="A76" s="3">
        <f t="shared" si="3"/>
        <v>39873</v>
      </c>
      <c r="B76" s="1" t="str">
        <f t="shared" si="2"/>
        <v>2009-03-01</v>
      </c>
      <c r="C76" s="2" cm="1">
        <f t="array" ref="C76">INDEX($C:$C,MATCH(ROW()-MOD(ROW()-ROW($C$2),3),ROW($C:$C),0))+(B76-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457339.411111111</v>
      </c>
    </row>
    <row r="77" spans="1:3">
      <c r="A77" s="3">
        <f t="shared" si="3"/>
        <v>39904</v>
      </c>
      <c r="B77" s="1" t="str">
        <f t="shared" si="2"/>
        <v>2009-04-01</v>
      </c>
      <c r="C77" s="2">
        <f>VLOOKUP(A77,'2003-2026'!$A$48:$B$141,2,FALSE)</f>
        <v>445526</v>
      </c>
    </row>
    <row r="78" spans="1:3">
      <c r="A78" s="3">
        <f t="shared" si="3"/>
        <v>39934</v>
      </c>
      <c r="B78" s="1" t="str">
        <f t="shared" si="2"/>
        <v>2009-05-01</v>
      </c>
      <c r="C78" s="2" cm="1">
        <f t="array" ref="C78">INDEX($C:$C,MATCH(ROW()-MOD(ROW()-ROW($C$2),3),ROW($C:$C),0))+(B78-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452238.087912088</v>
      </c>
    </row>
    <row r="79" spans="1:3">
      <c r="A79" s="3">
        <f t="shared" si="3"/>
        <v>39965</v>
      </c>
      <c r="B79" s="1" t="str">
        <f t="shared" si="2"/>
        <v>2009-06-01</v>
      </c>
      <c r="C79" s="2" cm="1">
        <f t="array" ref="C79">INDEX($C:$C,MATCH(ROW()-MOD(ROW()-ROW($C$2),3),ROW($C:$C),0))+(B79-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459173.912087912</v>
      </c>
    </row>
    <row r="80" spans="1:3">
      <c r="A80" s="3">
        <f t="shared" si="3"/>
        <v>39995</v>
      </c>
      <c r="B80" s="1" t="str">
        <f t="shared" si="2"/>
        <v>2009-07-01</v>
      </c>
      <c r="C80" s="2">
        <f>VLOOKUP(A80,'2003-2026'!$A$48:$B$141,2,FALSE)</f>
        <v>465886</v>
      </c>
    </row>
    <row r="81" spans="1:3">
      <c r="A81" s="3">
        <f t="shared" si="3"/>
        <v>40026</v>
      </c>
      <c r="B81" s="1" t="str">
        <f t="shared" si="2"/>
        <v>2009-08-01</v>
      </c>
      <c r="C81" s="2" cm="1">
        <f t="array" ref="C81">INDEX($C:$C,MATCH(ROW()-MOD(ROW()-ROW($C$2),3),ROW($C:$C),0))+(B81-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468417.217391304</v>
      </c>
    </row>
    <row r="82" spans="1:3">
      <c r="A82" s="3">
        <f t="shared" si="3"/>
        <v>40057</v>
      </c>
      <c r="B82" s="1" t="str">
        <f t="shared" si="2"/>
        <v>2009-09-01</v>
      </c>
      <c r="C82" s="2" cm="1">
        <f t="array" ref="C82">INDEX($C:$C,MATCH(ROW()-MOD(ROW()-ROW($C$2),3),ROW($C:$C),0))+(B82-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470948.434782609</v>
      </c>
    </row>
    <row r="83" spans="1:3">
      <c r="A83" s="3">
        <f t="shared" si="3"/>
        <v>40087</v>
      </c>
      <c r="B83" s="1" t="str">
        <f t="shared" si="2"/>
        <v>2009-10-01</v>
      </c>
      <c r="C83" s="2">
        <f>VLOOKUP(A83,'2003-2026'!$A$48:$B$141,2,FALSE)</f>
        <v>473398</v>
      </c>
    </row>
    <row r="84" spans="1:3">
      <c r="A84" s="3">
        <f t="shared" si="3"/>
        <v>40118</v>
      </c>
      <c r="B84" s="1" t="str">
        <f t="shared" si="2"/>
        <v>2009-11-01</v>
      </c>
      <c r="C84" s="2" cm="1">
        <f t="array" ref="C84">INDEX($C:$C,MATCH(ROW()-MOD(ROW()-ROW($C$2),3),ROW($C:$C),0))+(B84-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471004.260869565</v>
      </c>
    </row>
    <row r="85" spans="1:3">
      <c r="A85" s="3">
        <f t="shared" si="3"/>
        <v>40148</v>
      </c>
      <c r="B85" s="1" t="str">
        <f t="shared" si="2"/>
        <v>2009-12-01</v>
      </c>
      <c r="C85" s="2" cm="1">
        <f t="array" ref="C85">INDEX($C:$C,MATCH(ROW()-MOD(ROW()-ROW($C$2),3),ROW($C:$C),0))+(B85-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468687.739130435</v>
      </c>
    </row>
    <row r="86" spans="1:3">
      <c r="A86" s="3">
        <f t="shared" si="3"/>
        <v>40179</v>
      </c>
      <c r="B86" s="1" t="str">
        <f t="shared" si="2"/>
        <v>2010-01-01</v>
      </c>
      <c r="C86" s="2">
        <f>VLOOKUP(A86,'2003-2026'!$A$48:$B$141,2,FALSE)</f>
        <v>466294</v>
      </c>
    </row>
    <row r="87" spans="1:3">
      <c r="A87" s="3">
        <f t="shared" si="3"/>
        <v>40210</v>
      </c>
      <c r="B87" s="1" t="str">
        <f t="shared" si="2"/>
        <v>2010-02-01</v>
      </c>
      <c r="C87" s="2" cm="1">
        <f t="array" ref="C87">INDEX($C:$C,MATCH(ROW()-MOD(ROW()-ROW($C$2),3),ROW($C:$C),0))+(B87-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465104.288888889</v>
      </c>
    </row>
    <row r="88" spans="1:3">
      <c r="A88" s="3">
        <f t="shared" si="3"/>
        <v>40238</v>
      </c>
      <c r="B88" s="1" t="str">
        <f t="shared" si="2"/>
        <v>2010-03-01</v>
      </c>
      <c r="C88" s="2" cm="1">
        <f t="array" ref="C88">INDEX($C:$C,MATCH(ROW()-MOD(ROW()-ROW($C$2),3),ROW($C:$C),0))+(B88-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464029.711111111</v>
      </c>
    </row>
    <row r="89" spans="1:3">
      <c r="A89" s="3">
        <f t="shared" si="3"/>
        <v>40269</v>
      </c>
      <c r="B89" s="1" t="str">
        <f t="shared" si="2"/>
        <v>2010-04-01</v>
      </c>
      <c r="C89" s="2">
        <f>VLOOKUP(A89,'2003-2026'!$A$48:$B$141,2,FALSE)</f>
        <v>462840</v>
      </c>
    </row>
    <row r="90" spans="1:3">
      <c r="A90" s="3">
        <f t="shared" si="3"/>
        <v>40299</v>
      </c>
      <c r="B90" s="1" t="str">
        <f t="shared" si="2"/>
        <v>2010-05-01</v>
      </c>
      <c r="C90" s="2" cm="1">
        <f t="array" ref="C90">INDEX($C:$C,MATCH(ROW()-MOD(ROW()-ROW($C$2),3),ROW($C:$C),0))+(B90-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460900.21978022</v>
      </c>
    </row>
    <row r="91" spans="1:3">
      <c r="A91" s="3">
        <f t="shared" si="3"/>
        <v>40330</v>
      </c>
      <c r="B91" s="1" t="str">
        <f t="shared" si="2"/>
        <v>2010-06-01</v>
      </c>
      <c r="C91" s="2" cm="1">
        <f t="array" ref="C91">INDEX($C:$C,MATCH(ROW()-MOD(ROW()-ROW($C$2),3),ROW($C:$C),0))+(B91-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458895.78021978</v>
      </c>
    </row>
    <row r="92" spans="1:3">
      <c r="A92" s="3">
        <f t="shared" si="3"/>
        <v>40360</v>
      </c>
      <c r="B92" s="1" t="str">
        <f t="shared" si="2"/>
        <v>2010-07-01</v>
      </c>
      <c r="C92" s="2">
        <f>VLOOKUP(A92,'2003-2026'!$A$48:$B$141,2,FALSE)</f>
        <v>456956</v>
      </c>
    </row>
    <row r="93" spans="1:3">
      <c r="A93" s="3">
        <f t="shared" si="3"/>
        <v>40391</v>
      </c>
      <c r="B93" s="1" t="str">
        <f t="shared" si="2"/>
        <v>2010-08-01</v>
      </c>
      <c r="C93" s="2" cm="1">
        <f t="array" ref="C93">INDEX($C:$C,MATCH(ROW()-MOD(ROW()-ROW($C$2),3),ROW($C:$C),0))+(B93-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463435.673913043</v>
      </c>
    </row>
    <row r="94" spans="1:3">
      <c r="A94" s="3">
        <f t="shared" si="3"/>
        <v>40422</v>
      </c>
      <c r="B94" s="1" t="str">
        <f t="shared" si="2"/>
        <v>2010-09-01</v>
      </c>
      <c r="C94" s="2" cm="1">
        <f t="array" ref="C94">INDEX($C:$C,MATCH(ROW()-MOD(ROW()-ROW($C$2),3),ROW($C:$C),0))+(B94-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469915.347826087</v>
      </c>
    </row>
    <row r="95" spans="1:3">
      <c r="A95" s="3">
        <f t="shared" si="3"/>
        <v>40452</v>
      </c>
      <c r="B95" s="1" t="str">
        <f t="shared" si="2"/>
        <v>2010-10-01</v>
      </c>
      <c r="C95" s="2">
        <f>VLOOKUP(A95,'2003-2026'!$A$48:$B$141,2,FALSE)</f>
        <v>476186</v>
      </c>
    </row>
    <row r="96" spans="1:3">
      <c r="A96" s="3">
        <f t="shared" si="3"/>
        <v>40483</v>
      </c>
      <c r="B96" s="1" t="str">
        <f t="shared" si="2"/>
        <v>2010-11-01</v>
      </c>
      <c r="C96" s="2" cm="1">
        <f t="array" ref="C96">INDEX($C:$C,MATCH(ROW()-MOD(ROW()-ROW($C$2),3),ROW($C:$C),0))+(B96-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480347.75</v>
      </c>
    </row>
    <row r="97" spans="1:3">
      <c r="A97" s="3">
        <f t="shared" si="3"/>
        <v>40513</v>
      </c>
      <c r="B97" s="1" t="str">
        <f t="shared" si="2"/>
        <v>2010-12-01</v>
      </c>
      <c r="C97" s="2" cm="1">
        <f t="array" ref="C97">INDEX($C:$C,MATCH(ROW()-MOD(ROW()-ROW($C$2),3),ROW($C:$C),0))+(B97-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484375.25</v>
      </c>
    </row>
    <row r="98" spans="1:3">
      <c r="A98" s="3">
        <f t="shared" si="3"/>
        <v>40544</v>
      </c>
      <c r="B98" s="1" t="str">
        <f t="shared" si="2"/>
        <v>2011-01-01</v>
      </c>
      <c r="C98" s="2">
        <f>VLOOKUP(A98,'2003-2026'!$A$48:$B$141,2,FALSE)</f>
        <v>488537</v>
      </c>
    </row>
    <row r="99" spans="1:3">
      <c r="A99" s="3">
        <f t="shared" si="3"/>
        <v>40575</v>
      </c>
      <c r="B99" s="1" t="str">
        <f t="shared" si="2"/>
        <v>2011-02-01</v>
      </c>
      <c r="C99" s="2" cm="1">
        <f t="array" ref="C99">INDEX($C:$C,MATCH(ROW()-MOD(ROW()-ROW($C$2),3),ROW($C:$C),0))+(B99-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495365.266666667</v>
      </c>
    </row>
    <row r="100" spans="1:3">
      <c r="A100" s="3">
        <f t="shared" si="3"/>
        <v>40603</v>
      </c>
      <c r="B100" s="1" t="str">
        <f t="shared" si="2"/>
        <v>2011-03-01</v>
      </c>
      <c r="C100" s="2" cm="1">
        <f t="array" ref="C100">INDEX($C:$C,MATCH(ROW()-MOD(ROW()-ROW($C$2),3),ROW($C:$C),0))+(B100-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501532.733333333</v>
      </c>
    </row>
    <row r="101" spans="1:3">
      <c r="A101" s="3">
        <f t="shared" si="3"/>
        <v>40634</v>
      </c>
      <c r="B101" s="1" t="str">
        <f t="shared" si="2"/>
        <v>2011-04-01</v>
      </c>
      <c r="C101" s="2">
        <f>VLOOKUP(A101,'2003-2026'!$A$48:$B$141,2,FALSE)</f>
        <v>508361</v>
      </c>
    </row>
    <row r="102" spans="1:3">
      <c r="A102" s="3">
        <f t="shared" si="3"/>
        <v>40664</v>
      </c>
      <c r="B102" s="1" t="str">
        <f t="shared" si="2"/>
        <v>2011-05-01</v>
      </c>
      <c r="C102" s="2" cm="1">
        <f t="array" ref="C102">INDEX($C:$C,MATCH(ROW()-MOD(ROW()-ROW($C$2),3),ROW($C:$C),0))+(B102-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518171.659340659</v>
      </c>
    </row>
    <row r="103" spans="1:3">
      <c r="A103" s="3">
        <f t="shared" si="3"/>
        <v>40695</v>
      </c>
      <c r="B103" s="1" t="str">
        <f t="shared" si="2"/>
        <v>2011-06-01</v>
      </c>
      <c r="C103" s="2" cm="1">
        <f t="array" ref="C103">INDEX($C:$C,MATCH(ROW()-MOD(ROW()-ROW($C$2),3),ROW($C:$C),0))+(B103-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528309.340659341</v>
      </c>
    </row>
    <row r="104" spans="1:3">
      <c r="A104" s="3">
        <f t="shared" si="3"/>
        <v>40725</v>
      </c>
      <c r="B104" s="1" t="str">
        <f t="shared" si="2"/>
        <v>2011-07-01</v>
      </c>
      <c r="C104" s="2">
        <f>VLOOKUP(A104,'2003-2026'!$A$48:$B$141,2,FALSE)</f>
        <v>538120</v>
      </c>
    </row>
    <row r="105" spans="1:3">
      <c r="A105" s="3">
        <f t="shared" si="3"/>
        <v>40756</v>
      </c>
      <c r="B105" s="1" t="str">
        <f t="shared" si="2"/>
        <v>2011-08-01</v>
      </c>
      <c r="C105" s="2" cm="1">
        <f t="array" ref="C105">INDEX($C:$C,MATCH(ROW()-MOD(ROW()-ROW($C$2),3),ROW($C:$C),0))+(B105-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533893.891304348</v>
      </c>
    </row>
    <row r="106" spans="1:3">
      <c r="A106" s="3">
        <f t="shared" si="3"/>
        <v>40787</v>
      </c>
      <c r="B106" s="1" t="str">
        <f t="shared" si="2"/>
        <v>2011-09-01</v>
      </c>
      <c r="C106" s="2" cm="1">
        <f t="array" ref="C106">INDEX($C:$C,MATCH(ROW()-MOD(ROW()-ROW($C$2),3),ROW($C:$C),0))+(B106-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529667.782608696</v>
      </c>
    </row>
    <row r="107" spans="1:3">
      <c r="A107" s="3">
        <f t="shared" si="3"/>
        <v>40817</v>
      </c>
      <c r="B107" s="1" t="str">
        <f t="shared" si="2"/>
        <v>2011-10-01</v>
      </c>
      <c r="C107" s="2">
        <f>VLOOKUP(A107,'2003-2026'!$A$48:$B$141,2,FALSE)</f>
        <v>525578</v>
      </c>
    </row>
    <row r="108" spans="1:3">
      <c r="A108" s="3">
        <f t="shared" si="3"/>
        <v>40848</v>
      </c>
      <c r="B108" s="1" t="str">
        <f t="shared" si="2"/>
        <v>2011-11-01</v>
      </c>
      <c r="C108" s="2" cm="1">
        <f t="array" ref="C108">INDEX($C:$C,MATCH(ROW()-MOD(ROW()-ROW($C$2),3),ROW($C:$C),0))+(B108-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530061.543478261</v>
      </c>
    </row>
    <row r="109" spans="1:3">
      <c r="A109" s="3">
        <f t="shared" si="3"/>
        <v>40878</v>
      </c>
      <c r="B109" s="1" t="str">
        <f t="shared" si="2"/>
        <v>2011-12-01</v>
      </c>
      <c r="C109" s="2" cm="1">
        <f t="array" ref="C109">INDEX($C:$C,MATCH(ROW()-MOD(ROW()-ROW($C$2),3),ROW($C:$C),0))+(B109-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534400.456521739</v>
      </c>
    </row>
    <row r="110" spans="1:3">
      <c r="A110" s="3">
        <f t="shared" si="3"/>
        <v>40909</v>
      </c>
      <c r="B110" s="1" t="str">
        <f t="shared" si="2"/>
        <v>2012-01-01</v>
      </c>
      <c r="C110" s="2">
        <f>VLOOKUP(A110,'2003-2026'!$A$48:$B$141,2,FALSE)</f>
        <v>538884</v>
      </c>
    </row>
    <row r="111" spans="1:3">
      <c r="A111" s="3">
        <f t="shared" si="3"/>
        <v>40940</v>
      </c>
      <c r="B111" s="1" t="str">
        <f t="shared" si="2"/>
        <v>2012-02-01</v>
      </c>
      <c r="C111" s="2" cm="1">
        <f t="array" ref="C111">INDEX($C:$C,MATCH(ROW()-MOD(ROW()-ROW($C$2),3),ROW($C:$C),0))+(B111-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545232.868131868</v>
      </c>
    </row>
    <row r="112" spans="1:3">
      <c r="A112" s="3">
        <f t="shared" si="3"/>
        <v>40969</v>
      </c>
      <c r="B112" s="1" t="str">
        <f t="shared" si="2"/>
        <v>2012-03-01</v>
      </c>
      <c r="C112" s="2" cm="1">
        <f t="array" ref="C112">INDEX($C:$C,MATCH(ROW()-MOD(ROW()-ROW($C$2),3),ROW($C:$C),0))+(B112-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551172.131868132</v>
      </c>
    </row>
    <row r="113" spans="1:3">
      <c r="A113" s="3">
        <f t="shared" si="3"/>
        <v>41000</v>
      </c>
      <c r="B113" s="1" t="str">
        <f t="shared" si="2"/>
        <v>2012-04-01</v>
      </c>
      <c r="C113" s="2">
        <f>VLOOKUP(A113,'2003-2026'!$A$48:$B$141,2,FALSE)</f>
        <v>557521</v>
      </c>
    </row>
    <row r="114" spans="1:3">
      <c r="A114" s="3">
        <f t="shared" si="3"/>
        <v>41030</v>
      </c>
      <c r="B114" s="1" t="str">
        <f t="shared" si="2"/>
        <v>2012-05-01</v>
      </c>
      <c r="C114" s="2" cm="1">
        <f t="array" ref="C114">INDEX($C:$C,MATCH(ROW()-MOD(ROW()-ROW($C$2),3),ROW($C:$C),0))+(B114-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561849.901098901</v>
      </c>
    </row>
    <row r="115" spans="1:3">
      <c r="A115" s="3">
        <f t="shared" si="3"/>
        <v>41061</v>
      </c>
      <c r="B115" s="1" t="str">
        <f t="shared" si="2"/>
        <v>2012-06-01</v>
      </c>
      <c r="C115" s="2" cm="1">
        <f t="array" ref="C115">INDEX($C:$C,MATCH(ROW()-MOD(ROW()-ROW($C$2),3),ROW($C:$C),0))+(B115-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566323.098901099</v>
      </c>
    </row>
    <row r="116" spans="1:3">
      <c r="A116" s="3">
        <f t="shared" si="3"/>
        <v>41091</v>
      </c>
      <c r="B116" s="1" t="str">
        <f t="shared" si="2"/>
        <v>2012-07-01</v>
      </c>
      <c r="C116" s="2">
        <f>VLOOKUP(A116,'2003-2026'!$A$48:$B$141,2,FALSE)</f>
        <v>570652</v>
      </c>
    </row>
    <row r="117" spans="1:3">
      <c r="A117" s="3">
        <f t="shared" si="3"/>
        <v>41122</v>
      </c>
      <c r="B117" s="1" t="str">
        <f t="shared" si="2"/>
        <v>2012-08-01</v>
      </c>
      <c r="C117" s="2" cm="1">
        <f t="array" ref="C117">INDEX($C:$C,MATCH(ROW()-MOD(ROW()-ROW($C$2),3),ROW($C:$C),0))+(B117-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580179.445652174</v>
      </c>
    </row>
    <row r="118" spans="1:3">
      <c r="A118" s="3">
        <f t="shared" si="3"/>
        <v>41153</v>
      </c>
      <c r="B118" s="1" t="str">
        <f t="shared" si="2"/>
        <v>2012-09-01</v>
      </c>
      <c r="C118" s="2" cm="1">
        <f t="array" ref="C118">INDEX($C:$C,MATCH(ROW()-MOD(ROW()-ROW($C$2),3),ROW($C:$C),0))+(B118-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589706.891304348</v>
      </c>
    </row>
    <row r="119" spans="1:3">
      <c r="A119" s="3">
        <f t="shared" si="3"/>
        <v>41183</v>
      </c>
      <c r="B119" s="1" t="str">
        <f t="shared" si="2"/>
        <v>2012-10-01</v>
      </c>
      <c r="C119" s="2">
        <f>VLOOKUP(A119,'2003-2026'!$A$48:$B$141,2,FALSE)</f>
        <v>598927</v>
      </c>
    </row>
    <row r="120" spans="1:3">
      <c r="A120" s="3">
        <f t="shared" si="3"/>
        <v>41214</v>
      </c>
      <c r="B120" s="1" t="str">
        <f t="shared" si="2"/>
        <v>2012-11-01</v>
      </c>
      <c r="C120" s="2" cm="1">
        <f t="array" ref="C120">INDEX($C:$C,MATCH(ROW()-MOD(ROW()-ROW($C$2),3),ROW($C:$C),0))+(B120-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611560.847826087</v>
      </c>
    </row>
    <row r="121" spans="1:3">
      <c r="A121" s="3">
        <f t="shared" si="3"/>
        <v>41244</v>
      </c>
      <c r="B121" s="1" t="str">
        <f t="shared" si="2"/>
        <v>2012-12-01</v>
      </c>
      <c r="C121" s="2" cm="1">
        <f t="array" ref="C121">INDEX($C:$C,MATCH(ROW()-MOD(ROW()-ROW($C$2),3),ROW($C:$C),0))+(B121-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623787.152173913</v>
      </c>
    </row>
    <row r="122" spans="1:3">
      <c r="A122" s="3">
        <f t="shared" si="3"/>
        <v>41275</v>
      </c>
      <c r="B122" s="1" t="str">
        <f t="shared" si="2"/>
        <v>2013-01-01</v>
      </c>
      <c r="C122" s="2">
        <f>VLOOKUP(A122,'2003-2026'!$A$48:$B$141,2,FALSE)</f>
        <v>636421</v>
      </c>
    </row>
    <row r="123" spans="1:3">
      <c r="A123" s="3">
        <f t="shared" si="3"/>
        <v>41306</v>
      </c>
      <c r="B123" s="1" t="str">
        <f t="shared" si="2"/>
        <v>2013-02-01</v>
      </c>
      <c r="C123" s="2" cm="1">
        <f t="array" ref="C123">INDEX($C:$C,MATCH(ROW()-MOD(ROW()-ROW($C$2),3),ROW($C:$C),0))+(B123-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655451.9</v>
      </c>
    </row>
    <row r="124" spans="1:3">
      <c r="A124" s="3">
        <f t="shared" si="3"/>
        <v>41334</v>
      </c>
      <c r="B124" s="1" t="str">
        <f t="shared" si="2"/>
        <v>2013-03-01</v>
      </c>
      <c r="C124" s="2" cm="1">
        <f t="array" ref="C124">INDEX($C:$C,MATCH(ROW()-MOD(ROW()-ROW($C$2),3),ROW($C:$C),0))+(B124-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672641.1</v>
      </c>
    </row>
    <row r="125" spans="1:3">
      <c r="A125" s="3">
        <f t="shared" si="3"/>
        <v>41365</v>
      </c>
      <c r="B125" s="1" t="str">
        <f t="shared" si="2"/>
        <v>2013-04-01</v>
      </c>
      <c r="C125" s="2">
        <f>VLOOKUP(A125,'2003-2026'!$A$48:$B$141,2,FALSE)</f>
        <v>691672</v>
      </c>
    </row>
    <row r="126" spans="1:3">
      <c r="A126" s="3">
        <f t="shared" si="3"/>
        <v>41395</v>
      </c>
      <c r="B126" s="1" t="str">
        <f t="shared" si="2"/>
        <v>2013-05-01</v>
      </c>
      <c r="C126" s="2" cm="1">
        <f t="array" ref="C126">INDEX($C:$C,MATCH(ROW()-MOD(ROW()-ROW($C$2),3),ROW($C:$C),0))+(B126-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696977.054945055</v>
      </c>
    </row>
    <row r="127" spans="1:3">
      <c r="A127" s="3">
        <f t="shared" si="3"/>
        <v>41426</v>
      </c>
      <c r="B127" s="1" t="str">
        <f t="shared" si="2"/>
        <v>2013-06-01</v>
      </c>
      <c r="C127" s="2" cm="1">
        <f t="array" ref="C127">INDEX($C:$C,MATCH(ROW()-MOD(ROW()-ROW($C$2),3),ROW($C:$C),0))+(B127-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702458.945054945</v>
      </c>
    </row>
    <row r="128" spans="1:3">
      <c r="A128" s="3">
        <f t="shared" si="3"/>
        <v>41456</v>
      </c>
      <c r="B128" s="1" t="str">
        <f t="shared" si="2"/>
        <v>2013-07-01</v>
      </c>
      <c r="C128" s="2">
        <f>VLOOKUP(A128,'2003-2026'!$A$48:$B$141,2,FALSE)</f>
        <v>707764</v>
      </c>
    </row>
    <row r="129" spans="1:3">
      <c r="A129" s="3">
        <f t="shared" si="3"/>
        <v>41487</v>
      </c>
      <c r="B129" s="1" t="str">
        <f t="shared" si="2"/>
        <v>2013-08-01</v>
      </c>
      <c r="C129" s="2" cm="1">
        <f t="array" ref="C129">INDEX($C:$C,MATCH(ROW()-MOD(ROW()-ROW($C$2),3),ROW($C:$C),0))+(B129-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710626.782608696</v>
      </c>
    </row>
    <row r="130" spans="1:3">
      <c r="A130" s="3">
        <f t="shared" si="3"/>
        <v>41518</v>
      </c>
      <c r="B130" s="1" t="str">
        <f t="shared" ref="B130:B193" si="4">TEXT(A130,"yyyy-mm-01")</f>
        <v>2013-09-01</v>
      </c>
      <c r="C130" s="2" cm="1">
        <f t="array" ref="C130">INDEX($C:$C,MATCH(ROW()-MOD(ROW()-ROW($C$2),3),ROW($C:$C),0))+(B130-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713489.565217391</v>
      </c>
    </row>
    <row r="131" spans="1:3">
      <c r="A131" s="3">
        <f t="shared" ref="A131:A194" si="5">EDATE(A130,1)</f>
        <v>41548</v>
      </c>
      <c r="B131" s="1" t="str">
        <f t="shared" si="4"/>
        <v>2013-10-01</v>
      </c>
      <c r="C131" s="2">
        <f>VLOOKUP(A131,'2003-2026'!$A$48:$B$141,2,FALSE)</f>
        <v>716260</v>
      </c>
    </row>
    <row r="132" spans="1:3">
      <c r="A132" s="3">
        <f t="shared" si="5"/>
        <v>41579</v>
      </c>
      <c r="B132" s="1" t="str">
        <f t="shared" si="4"/>
        <v>2013-11-01</v>
      </c>
      <c r="C132" s="2" cm="1">
        <f t="array" ref="C132">INDEX($C:$C,MATCH(ROW()-MOD(ROW()-ROW($C$2),3),ROW($C:$C),0))+(B132-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720507</v>
      </c>
    </row>
    <row r="133" spans="1:3">
      <c r="A133" s="3">
        <f t="shared" si="5"/>
        <v>41609</v>
      </c>
      <c r="B133" s="1" t="str">
        <f t="shared" si="4"/>
        <v>2013-12-01</v>
      </c>
      <c r="C133" s="2" cm="1">
        <f t="array" ref="C133">INDEX($C:$C,MATCH(ROW()-MOD(ROW()-ROW($C$2),3),ROW($C:$C),0))+(B133-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724617</v>
      </c>
    </row>
    <row r="134" spans="1:3">
      <c r="A134" s="3">
        <f t="shared" si="5"/>
        <v>41640</v>
      </c>
      <c r="B134" s="1" t="str">
        <f t="shared" si="4"/>
        <v>2014-01-01</v>
      </c>
      <c r="C134" s="2">
        <f>VLOOKUP(A134,'2003-2026'!$A$48:$B$141,2,FALSE)</f>
        <v>728864</v>
      </c>
    </row>
    <row r="135" spans="1:3">
      <c r="A135" s="3">
        <f t="shared" si="5"/>
        <v>41671</v>
      </c>
      <c r="B135" s="1" t="str">
        <f t="shared" si="4"/>
        <v>2014-02-01</v>
      </c>
      <c r="C135" s="2" cm="1">
        <f t="array" ref="C135">INDEX($C:$C,MATCH(ROW()-MOD(ROW()-ROW($C$2),3),ROW($C:$C),0))+(B135-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724395.866666667</v>
      </c>
    </row>
    <row r="136" spans="1:3">
      <c r="A136" s="3">
        <f t="shared" si="5"/>
        <v>41699</v>
      </c>
      <c r="B136" s="1" t="str">
        <f t="shared" si="4"/>
        <v>2014-03-01</v>
      </c>
      <c r="C136" s="2" cm="1">
        <f t="array" ref="C136">INDEX($C:$C,MATCH(ROW()-MOD(ROW()-ROW($C$2),3),ROW($C:$C),0))+(B136-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720360.133333333</v>
      </c>
    </row>
    <row r="137" spans="1:3">
      <c r="A137" s="3">
        <f t="shared" si="5"/>
        <v>41730</v>
      </c>
      <c r="B137" s="1" t="str">
        <f t="shared" si="4"/>
        <v>2014-04-01</v>
      </c>
      <c r="C137" s="2">
        <f>VLOOKUP(A137,'2003-2026'!$A$48:$B$141,2,FALSE)</f>
        <v>715892</v>
      </c>
    </row>
    <row r="138" spans="1:3">
      <c r="A138" s="3">
        <f t="shared" si="5"/>
        <v>41760</v>
      </c>
      <c r="B138" s="1" t="str">
        <f t="shared" si="4"/>
        <v>2014-05-01</v>
      </c>
      <c r="C138" s="2" cm="1">
        <f t="array" ref="C138">INDEX($C:$C,MATCH(ROW()-MOD(ROW()-ROW($C$2),3),ROW($C:$C),0))+(B138-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721459.142857143</v>
      </c>
    </row>
    <row r="139" spans="1:3">
      <c r="A139" s="3">
        <f t="shared" si="5"/>
        <v>41791</v>
      </c>
      <c r="B139" s="1" t="str">
        <f t="shared" si="4"/>
        <v>2014-06-01</v>
      </c>
      <c r="C139" s="2" cm="1">
        <f t="array" ref="C139">INDEX($C:$C,MATCH(ROW()-MOD(ROW()-ROW($C$2),3),ROW($C:$C),0))+(B139-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727211.857142857</v>
      </c>
    </row>
    <row r="140" spans="1:3">
      <c r="A140" s="3">
        <f t="shared" si="5"/>
        <v>41821</v>
      </c>
      <c r="B140" s="1" t="str">
        <f t="shared" si="4"/>
        <v>2014-07-01</v>
      </c>
      <c r="C140" s="2">
        <f>VLOOKUP(A140,'2003-2026'!$A$48:$B$141,2,FALSE)</f>
        <v>732779</v>
      </c>
    </row>
    <row r="141" spans="1:3">
      <c r="A141" s="3">
        <f t="shared" si="5"/>
        <v>41852</v>
      </c>
      <c r="B141" s="1" t="str">
        <f t="shared" si="4"/>
        <v>2014-08-01</v>
      </c>
      <c r="C141" s="2" cm="1">
        <f t="array" ref="C141">INDEX($C:$C,MATCH(ROW()-MOD(ROW()-ROW($C$2),3),ROW($C:$C),0))+(B141-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715283.543478261</v>
      </c>
    </row>
    <row r="142" spans="1:3">
      <c r="A142" s="3">
        <f t="shared" si="5"/>
        <v>41883</v>
      </c>
      <c r="B142" s="1" t="str">
        <f t="shared" si="4"/>
        <v>2014-09-01</v>
      </c>
      <c r="C142" s="2" cm="1">
        <f t="array" ref="C142">INDEX($C:$C,MATCH(ROW()-MOD(ROW()-ROW($C$2),3),ROW($C:$C),0))+(B142-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697788.086956522</v>
      </c>
    </row>
    <row r="143" spans="1:3">
      <c r="A143" s="3">
        <f t="shared" si="5"/>
        <v>41913</v>
      </c>
      <c r="B143" s="1" t="str">
        <f t="shared" si="4"/>
        <v>2014-10-01</v>
      </c>
      <c r="C143" s="2">
        <f>VLOOKUP(A143,'2003-2026'!$A$48:$B$141,2,FALSE)</f>
        <v>680857</v>
      </c>
    </row>
    <row r="144" spans="1:3">
      <c r="A144" s="3">
        <f t="shared" si="5"/>
        <v>41944</v>
      </c>
      <c r="B144" s="1" t="str">
        <f t="shared" si="4"/>
        <v>2014-11-01</v>
      </c>
      <c r="C144" s="2" cm="1">
        <f t="array" ref="C144">INDEX($C:$C,MATCH(ROW()-MOD(ROW()-ROW($C$2),3),ROW($C:$C),0))+(B144-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653578.347826087</v>
      </c>
    </row>
    <row r="145" spans="1:3">
      <c r="A145" s="3">
        <f t="shared" si="5"/>
        <v>41974</v>
      </c>
      <c r="B145" s="1" t="str">
        <f t="shared" si="4"/>
        <v>2014-12-01</v>
      </c>
      <c r="C145" s="2" cm="1">
        <f t="array" ref="C145">INDEX($C:$C,MATCH(ROW()-MOD(ROW()-ROW($C$2),3),ROW($C:$C),0))+(B145-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627179.652173913</v>
      </c>
    </row>
    <row r="146" spans="1:3">
      <c r="A146" s="3">
        <f t="shared" si="5"/>
        <v>42005</v>
      </c>
      <c r="B146" s="1" t="str">
        <f t="shared" si="4"/>
        <v>2015-01-01</v>
      </c>
      <c r="C146" s="2">
        <f>VLOOKUP(A146,'2003-2026'!$A$48:$B$141,2,FALSE)</f>
        <v>599901</v>
      </c>
    </row>
    <row r="147" spans="1:3">
      <c r="A147" s="3">
        <f t="shared" si="5"/>
        <v>42036</v>
      </c>
      <c r="B147" s="1" t="str">
        <f t="shared" si="4"/>
        <v>2015-02-01</v>
      </c>
      <c r="C147" s="2" cm="1">
        <f t="array" ref="C147">INDEX($C:$C,MATCH(ROW()-MOD(ROW()-ROW($C$2),3),ROW($C:$C),0))+(B147-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585225.6</v>
      </c>
    </row>
    <row r="148" spans="1:3">
      <c r="A148" s="3">
        <f t="shared" si="5"/>
        <v>42064</v>
      </c>
      <c r="B148" s="1" t="str">
        <f t="shared" si="4"/>
        <v>2015-03-01</v>
      </c>
      <c r="C148" s="2" cm="1">
        <f t="array" ref="C148">INDEX($C:$C,MATCH(ROW()-MOD(ROW()-ROW($C$2),3),ROW($C:$C),0))+(B148-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571970.4</v>
      </c>
    </row>
    <row r="149" spans="1:3">
      <c r="A149" s="3">
        <f t="shared" si="5"/>
        <v>42095</v>
      </c>
      <c r="B149" s="1" t="str">
        <f t="shared" si="4"/>
        <v>2015-04-01</v>
      </c>
      <c r="C149" s="2">
        <f>VLOOKUP(A149,'2003-2026'!$A$48:$B$141,2,FALSE)</f>
        <v>557295</v>
      </c>
    </row>
    <row r="150" spans="1:3">
      <c r="A150" s="3">
        <f t="shared" si="5"/>
        <v>42125</v>
      </c>
      <c r="B150" s="1" t="str">
        <f t="shared" si="4"/>
        <v>2015-05-01</v>
      </c>
      <c r="C150" s="2" cm="1">
        <f t="array" ref="C150">INDEX($C:$C,MATCH(ROW()-MOD(ROW()-ROW($C$2),3),ROW($C:$C),0))+(B150-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556980.164835165</v>
      </c>
    </row>
    <row r="151" spans="1:3">
      <c r="A151" s="3">
        <f t="shared" si="5"/>
        <v>42156</v>
      </c>
      <c r="B151" s="1" t="str">
        <f t="shared" si="4"/>
        <v>2015-06-01</v>
      </c>
      <c r="C151" s="2" cm="1">
        <f t="array" ref="C151">INDEX($C:$C,MATCH(ROW()-MOD(ROW()-ROW($C$2),3),ROW($C:$C),0))+(B151-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556654.835164835</v>
      </c>
    </row>
    <row r="152" spans="1:3">
      <c r="A152" s="3">
        <f t="shared" si="5"/>
        <v>42186</v>
      </c>
      <c r="B152" s="1" t="str">
        <f t="shared" si="4"/>
        <v>2015-07-01</v>
      </c>
      <c r="C152" s="2">
        <f>VLOOKUP(A152,'2003-2026'!$A$48:$B$141,2,FALSE)</f>
        <v>556340</v>
      </c>
    </row>
    <row r="153" spans="1:3">
      <c r="A153" s="3">
        <f t="shared" si="5"/>
        <v>42217</v>
      </c>
      <c r="B153" s="1" t="str">
        <f t="shared" si="4"/>
        <v>2015-08-01</v>
      </c>
      <c r="C153" s="2" cm="1">
        <f t="array" ref="C153">INDEX($C:$C,MATCH(ROW()-MOD(ROW()-ROW($C$2),3),ROW($C:$C),0))+(B153-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549786.195652174</v>
      </c>
    </row>
    <row r="154" spans="1:3">
      <c r="A154" s="3">
        <f t="shared" si="5"/>
        <v>42248</v>
      </c>
      <c r="B154" s="1" t="str">
        <f t="shared" si="4"/>
        <v>2015-09-01</v>
      </c>
      <c r="C154" s="2" cm="1">
        <f t="array" ref="C154">INDEX($C:$C,MATCH(ROW()-MOD(ROW()-ROW($C$2),3),ROW($C:$C),0))+(B154-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543232.391304348</v>
      </c>
    </row>
    <row r="155" spans="1:3">
      <c r="A155" s="3">
        <f t="shared" si="5"/>
        <v>42278</v>
      </c>
      <c r="B155" s="1" t="str">
        <f t="shared" si="4"/>
        <v>2015-10-01</v>
      </c>
      <c r="C155" s="2">
        <f>VLOOKUP(A155,'2003-2026'!$A$48:$B$141,2,FALSE)</f>
        <v>536890</v>
      </c>
    </row>
    <row r="156" spans="1:3">
      <c r="A156" s="3">
        <f t="shared" si="5"/>
        <v>42309</v>
      </c>
      <c r="B156" s="1" t="str">
        <f t="shared" si="4"/>
        <v>2015-11-01</v>
      </c>
      <c r="C156" s="2" cm="1">
        <f t="array" ref="C156">INDEX($C:$C,MATCH(ROW()-MOD(ROW()-ROW($C$2),3),ROW($C:$C),0))+(B156-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530689.663043478</v>
      </c>
    </row>
    <row r="157" spans="1:3">
      <c r="A157" s="3">
        <f t="shared" si="5"/>
        <v>42339</v>
      </c>
      <c r="B157" s="1" t="str">
        <f t="shared" si="4"/>
        <v>2015-12-01</v>
      </c>
      <c r="C157" s="2" cm="1">
        <f t="array" ref="C157">INDEX($C:$C,MATCH(ROW()-MOD(ROW()-ROW($C$2),3),ROW($C:$C),0))+(B157-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524689.336956522</v>
      </c>
    </row>
    <row r="158" spans="1:3">
      <c r="A158" s="3">
        <f t="shared" si="5"/>
        <v>42370</v>
      </c>
      <c r="B158" s="1" t="str">
        <f t="shared" si="4"/>
        <v>2016-01-01</v>
      </c>
      <c r="C158" s="2">
        <f>VLOOKUP(A158,'2003-2026'!$A$48:$B$141,2,FALSE)</f>
        <v>518489</v>
      </c>
    </row>
    <row r="159" spans="1:3">
      <c r="A159" s="3">
        <f t="shared" si="5"/>
        <v>42401</v>
      </c>
      <c r="B159" s="1" t="str">
        <f t="shared" si="4"/>
        <v>2016-02-01</v>
      </c>
      <c r="C159" s="2" cm="1">
        <f t="array" ref="C159">INDEX($C:$C,MATCH(ROW()-MOD(ROW()-ROW($C$2),3),ROW($C:$C),0))+(B159-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519044.956043956</v>
      </c>
    </row>
    <row r="160" spans="1:3">
      <c r="A160" s="3">
        <f t="shared" si="5"/>
        <v>42430</v>
      </c>
      <c r="B160" s="1" t="str">
        <f t="shared" si="4"/>
        <v>2016-03-01</v>
      </c>
      <c r="C160" s="2" cm="1">
        <f t="array" ref="C160">INDEX($C:$C,MATCH(ROW()-MOD(ROW()-ROW($C$2),3),ROW($C:$C),0))+(B160-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519565.043956044</v>
      </c>
    </row>
    <row r="161" spans="1:3">
      <c r="A161" s="3">
        <f t="shared" si="5"/>
        <v>42461</v>
      </c>
      <c r="B161" s="1" t="str">
        <f t="shared" si="4"/>
        <v>2016-04-01</v>
      </c>
      <c r="C161" s="2">
        <f>VLOOKUP(A161,'2003-2026'!$A$48:$B$141,2,FALSE)</f>
        <v>520121</v>
      </c>
    </row>
    <row r="162" spans="1:3">
      <c r="A162" s="3">
        <f t="shared" si="5"/>
        <v>42491</v>
      </c>
      <c r="B162" s="1" t="str">
        <f t="shared" si="4"/>
        <v>2016-05-01</v>
      </c>
      <c r="C162" s="2" cm="1">
        <f t="array" ref="C162">INDEX($C:$C,MATCH(ROW()-MOD(ROW()-ROW($C$2),3),ROW($C:$C),0))+(B162-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521075.065934066</v>
      </c>
    </row>
    <row r="163" spans="1:3">
      <c r="A163" s="3">
        <f t="shared" si="5"/>
        <v>42522</v>
      </c>
      <c r="B163" s="1" t="str">
        <f t="shared" si="4"/>
        <v>2016-06-01</v>
      </c>
      <c r="C163" s="2" cm="1">
        <f t="array" ref="C163">INDEX($C:$C,MATCH(ROW()-MOD(ROW()-ROW($C$2),3),ROW($C:$C),0))+(B163-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522060.934065934</v>
      </c>
    </row>
    <row r="164" spans="1:3">
      <c r="A164" s="3">
        <f t="shared" si="5"/>
        <v>42552</v>
      </c>
      <c r="B164" s="1" t="str">
        <f t="shared" si="4"/>
        <v>2016-07-01</v>
      </c>
      <c r="C164" s="2">
        <f>VLOOKUP(A164,'2003-2026'!$A$48:$B$141,2,FALSE)</f>
        <v>523015</v>
      </c>
    </row>
    <row r="165" spans="1:3">
      <c r="A165" s="3">
        <f t="shared" si="5"/>
        <v>42583</v>
      </c>
      <c r="B165" s="1" t="str">
        <f t="shared" si="4"/>
        <v>2016-08-01</v>
      </c>
      <c r="C165" s="2" cm="1">
        <f t="array" ref="C165">INDEX($C:$C,MATCH(ROW()-MOD(ROW()-ROW($C$2),3),ROW($C:$C),0))+(B165-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521436.358695652</v>
      </c>
    </row>
    <row r="166" spans="1:3">
      <c r="A166" s="3">
        <f t="shared" si="5"/>
        <v>42614</v>
      </c>
      <c r="B166" s="1" t="str">
        <f t="shared" si="4"/>
        <v>2016-09-01</v>
      </c>
      <c r="C166" s="2" cm="1">
        <f t="array" ref="C166">INDEX($C:$C,MATCH(ROW()-MOD(ROW()-ROW($C$2),3),ROW($C:$C),0))+(B166-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519857.717391304</v>
      </c>
    </row>
    <row r="167" spans="1:3">
      <c r="A167" s="3">
        <f t="shared" si="5"/>
        <v>42644</v>
      </c>
      <c r="B167" s="1" t="str">
        <f t="shared" si="4"/>
        <v>2016-10-01</v>
      </c>
      <c r="C167" s="2">
        <f>VLOOKUP(A167,'2003-2026'!$A$48:$B$141,2,FALSE)</f>
        <v>518330</v>
      </c>
    </row>
    <row r="168" spans="1:3">
      <c r="A168" s="3">
        <f t="shared" si="5"/>
        <v>42675</v>
      </c>
      <c r="B168" s="1" t="str">
        <f t="shared" si="4"/>
        <v>2016-11-01</v>
      </c>
      <c r="C168" s="2" cm="1">
        <f t="array" ref="C168">INDEX($C:$C,MATCH(ROW()-MOD(ROW()-ROW($C$2),3),ROW($C:$C),0))+(B168-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516113.5</v>
      </c>
    </row>
    <row r="169" spans="1:3">
      <c r="A169" s="3">
        <f t="shared" si="5"/>
        <v>42705</v>
      </c>
      <c r="B169" s="1" t="str">
        <f t="shared" si="4"/>
        <v>2016-12-01</v>
      </c>
      <c r="C169" s="2" cm="1">
        <f t="array" ref="C169">INDEX($C:$C,MATCH(ROW()-MOD(ROW()-ROW($C$2),3),ROW($C:$C),0))+(B169-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513968.5</v>
      </c>
    </row>
    <row r="170" spans="1:3">
      <c r="A170" s="3">
        <f t="shared" si="5"/>
        <v>42736</v>
      </c>
      <c r="B170" s="1" t="str">
        <f t="shared" si="4"/>
        <v>2017-01-01</v>
      </c>
      <c r="C170" s="2">
        <f>VLOOKUP(A170,'2003-2026'!$A$48:$B$141,2,FALSE)</f>
        <v>511752</v>
      </c>
    </row>
    <row r="171" spans="1:3">
      <c r="A171" s="3">
        <f t="shared" si="5"/>
        <v>42767</v>
      </c>
      <c r="B171" s="1" t="str">
        <f t="shared" si="4"/>
        <v>2017-02-01</v>
      </c>
      <c r="C171" s="2" cm="1">
        <f t="array" ref="C171">INDEX($C:$C,MATCH(ROW()-MOD(ROW()-ROW($C$2),3),ROW($C:$C),0))+(B171-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515142.366666667</v>
      </c>
    </row>
    <row r="172" spans="1:3">
      <c r="A172" s="3">
        <f t="shared" si="5"/>
        <v>42795</v>
      </c>
      <c r="B172" s="1" t="str">
        <f t="shared" si="4"/>
        <v>2017-03-01</v>
      </c>
      <c r="C172" s="2" cm="1">
        <f t="array" ref="C172">INDEX($C:$C,MATCH(ROW()-MOD(ROW()-ROW($C$2),3),ROW($C:$C),0))+(B172-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518204.633333333</v>
      </c>
    </row>
    <row r="173" spans="1:3">
      <c r="A173" s="3">
        <f t="shared" si="5"/>
        <v>42826</v>
      </c>
      <c r="B173" s="1" t="str">
        <f t="shared" si="4"/>
        <v>2017-04-01</v>
      </c>
      <c r="C173" s="2">
        <f>VLOOKUP(A173,'2003-2026'!$A$48:$B$141,2,FALSE)</f>
        <v>521595</v>
      </c>
    </row>
    <row r="174" spans="1:3">
      <c r="A174" s="3">
        <f t="shared" si="5"/>
        <v>42856</v>
      </c>
      <c r="B174" s="1" t="str">
        <f t="shared" si="4"/>
        <v>2017-05-01</v>
      </c>
      <c r="C174" s="2" cm="1">
        <f t="array" ref="C174">INDEX($C:$C,MATCH(ROW()-MOD(ROW()-ROW($C$2),3),ROW($C:$C),0))+(B174-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523385.769230769</v>
      </c>
    </row>
    <row r="175" spans="1:3">
      <c r="A175" s="3">
        <f t="shared" si="5"/>
        <v>42887</v>
      </c>
      <c r="B175" s="1" t="str">
        <f t="shared" si="4"/>
        <v>2017-06-01</v>
      </c>
      <c r="C175" s="2" cm="1">
        <f t="array" ref="C175">INDEX($C:$C,MATCH(ROW()-MOD(ROW()-ROW($C$2),3),ROW($C:$C),0))+(B175-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525236.230769231</v>
      </c>
    </row>
    <row r="176" spans="1:3">
      <c r="A176" s="3">
        <f t="shared" si="5"/>
        <v>42917</v>
      </c>
      <c r="B176" s="1" t="str">
        <f t="shared" si="4"/>
        <v>2017-07-01</v>
      </c>
      <c r="C176" s="2">
        <f>VLOOKUP(A176,'2003-2026'!$A$48:$B$141,2,FALSE)</f>
        <v>527027</v>
      </c>
    </row>
    <row r="177" spans="1:3">
      <c r="A177" s="3">
        <f t="shared" si="5"/>
        <v>42948</v>
      </c>
      <c r="B177" s="1" t="str">
        <f t="shared" si="4"/>
        <v>2017-08-01</v>
      </c>
      <c r="C177" s="2" cm="1">
        <f t="array" ref="C177">INDEX($C:$C,MATCH(ROW()-MOD(ROW()-ROW($C$2),3),ROW($C:$C),0))+(B177-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527888.934782609</v>
      </c>
    </row>
    <row r="178" spans="1:3">
      <c r="A178" s="3">
        <f t="shared" si="5"/>
        <v>42979</v>
      </c>
      <c r="B178" s="1" t="str">
        <f t="shared" si="4"/>
        <v>2017-09-01</v>
      </c>
      <c r="C178" s="2" cm="1">
        <f t="array" ref="C178">INDEX($C:$C,MATCH(ROW()-MOD(ROW()-ROW($C$2),3),ROW($C:$C),0))+(B178-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528750.869565217</v>
      </c>
    </row>
    <row r="179" spans="1:3">
      <c r="A179" s="3">
        <f t="shared" si="5"/>
        <v>43009</v>
      </c>
      <c r="B179" s="1" t="str">
        <f t="shared" si="4"/>
        <v>2017-10-01</v>
      </c>
      <c r="C179" s="2">
        <f>VLOOKUP(A179,'2003-2026'!$A$48:$B$141,2,FALSE)</f>
        <v>529585</v>
      </c>
    </row>
    <row r="180" spans="1:3">
      <c r="A180" s="3">
        <f t="shared" si="5"/>
        <v>43040</v>
      </c>
      <c r="B180" s="1" t="str">
        <f t="shared" si="4"/>
        <v>2017-11-01</v>
      </c>
      <c r="C180" s="2" cm="1">
        <f t="array" ref="C180">INDEX($C:$C,MATCH(ROW()-MOD(ROW()-ROW($C$2),3),ROW($C:$C),0))+(B180-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525831.304347826</v>
      </c>
    </row>
    <row r="181" spans="1:3">
      <c r="A181" s="3">
        <f t="shared" si="5"/>
        <v>43070</v>
      </c>
      <c r="B181" s="1" t="str">
        <f t="shared" si="4"/>
        <v>2017-12-01</v>
      </c>
      <c r="C181" s="2" cm="1">
        <f t="array" ref="C181">INDEX($C:$C,MATCH(ROW()-MOD(ROW()-ROW($C$2),3),ROW($C:$C),0))+(B181-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522198.695652174</v>
      </c>
    </row>
    <row r="182" spans="1:3">
      <c r="A182" s="3">
        <f t="shared" si="5"/>
        <v>43101</v>
      </c>
      <c r="B182" s="1" t="str">
        <f t="shared" si="4"/>
        <v>2018-01-01</v>
      </c>
      <c r="C182" s="2">
        <f>VLOOKUP(A182,'2003-2026'!$A$48:$B$141,2,FALSE)</f>
        <v>518445</v>
      </c>
    </row>
    <row r="183" spans="1:3">
      <c r="A183" s="3">
        <f t="shared" si="5"/>
        <v>43132</v>
      </c>
      <c r="B183" s="1" t="str">
        <f t="shared" si="4"/>
        <v>2018-02-01</v>
      </c>
      <c r="C183" s="2" cm="1">
        <f t="array" ref="C183">INDEX($C:$C,MATCH(ROW()-MOD(ROW()-ROW($C$2),3),ROW($C:$C),0))+(B183-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519182.111111111</v>
      </c>
    </row>
    <row r="184" spans="1:3">
      <c r="A184" s="3">
        <f t="shared" si="5"/>
        <v>43160</v>
      </c>
      <c r="B184" s="1" t="str">
        <f t="shared" si="4"/>
        <v>2018-03-01</v>
      </c>
      <c r="C184" s="2" cm="1">
        <f t="array" ref="C184">INDEX($C:$C,MATCH(ROW()-MOD(ROW()-ROW($C$2),3),ROW($C:$C),0))+(B184-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519847.888888889</v>
      </c>
    </row>
    <row r="185" spans="1:3">
      <c r="A185" s="3">
        <f t="shared" si="5"/>
        <v>43191</v>
      </c>
      <c r="B185" s="1" t="str">
        <f t="shared" si="4"/>
        <v>2018-04-01</v>
      </c>
      <c r="C185" s="2">
        <f>VLOOKUP(A185,'2003-2026'!$A$48:$B$141,2,FALSE)</f>
        <v>520585</v>
      </c>
    </row>
    <row r="186" spans="1:3">
      <c r="A186" s="3">
        <f t="shared" si="5"/>
        <v>43221</v>
      </c>
      <c r="B186" s="1" t="str">
        <f t="shared" si="4"/>
        <v>2018-05-01</v>
      </c>
      <c r="C186" s="2" cm="1">
        <f t="array" ref="C186">INDEX($C:$C,MATCH(ROW()-MOD(ROW()-ROW($C$2),3),ROW($C:$C),0))+(B186-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510846.538461538</v>
      </c>
    </row>
    <row r="187" spans="1:3">
      <c r="A187" s="3">
        <f t="shared" si="5"/>
        <v>43252</v>
      </c>
      <c r="B187" s="1" t="str">
        <f t="shared" si="4"/>
        <v>2018-06-01</v>
      </c>
      <c r="C187" s="2" cm="1">
        <f t="array" ref="C187">INDEX($C:$C,MATCH(ROW()-MOD(ROW()-ROW($C$2),3),ROW($C:$C),0))+(B187-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500783.461538462</v>
      </c>
    </row>
    <row r="188" spans="1:3">
      <c r="A188" s="3">
        <f t="shared" si="5"/>
        <v>43282</v>
      </c>
      <c r="B188" s="1" t="str">
        <f t="shared" si="4"/>
        <v>2018-07-01</v>
      </c>
      <c r="C188" s="2">
        <f>VLOOKUP(A188,'2003-2026'!$A$48:$B$141,2,FALSE)</f>
        <v>491045</v>
      </c>
    </row>
    <row r="189" spans="1:3">
      <c r="A189" s="3">
        <f t="shared" si="5"/>
        <v>43313</v>
      </c>
      <c r="B189" s="1" t="str">
        <f t="shared" si="4"/>
        <v>2018-08-01</v>
      </c>
      <c r="C189" s="2" cm="1">
        <f t="array" ref="C189">INDEX($C:$C,MATCH(ROW()-MOD(ROW()-ROW($C$2),3),ROW($C:$C),0))+(B189-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484195.347826087</v>
      </c>
    </row>
    <row r="190" spans="1:3">
      <c r="A190" s="3">
        <f t="shared" si="5"/>
        <v>43344</v>
      </c>
      <c r="B190" s="1" t="str">
        <f t="shared" si="4"/>
        <v>2018-09-01</v>
      </c>
      <c r="C190" s="2" cm="1">
        <f t="array" ref="C190">INDEX($C:$C,MATCH(ROW()-MOD(ROW()-ROW($C$2),3),ROW($C:$C),0))+(B190-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477345.695652174</v>
      </c>
    </row>
    <row r="191" spans="1:3">
      <c r="A191" s="3">
        <f t="shared" si="5"/>
        <v>43374</v>
      </c>
      <c r="B191" s="1" t="str">
        <f t="shared" si="4"/>
        <v>2018-10-01</v>
      </c>
      <c r="C191" s="2">
        <f>VLOOKUP(A191,'2003-2026'!$A$48:$B$141,2,FALSE)</f>
        <v>470717</v>
      </c>
    </row>
    <row r="192" spans="1:3">
      <c r="A192" s="3">
        <f t="shared" si="5"/>
        <v>43405</v>
      </c>
      <c r="B192" s="1" t="str">
        <f t="shared" si="4"/>
        <v>2018-11-01</v>
      </c>
      <c r="C192" s="2" cm="1">
        <f t="array" ref="C192">INDEX($C:$C,MATCH(ROW()-MOD(ROW()-ROW($C$2),3),ROW($C:$C),0))+(B192-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465445.652173913</v>
      </c>
    </row>
    <row r="193" spans="1:3">
      <c r="A193" s="3">
        <f t="shared" si="5"/>
        <v>43435</v>
      </c>
      <c r="B193" s="1" t="str">
        <f t="shared" si="4"/>
        <v>2018-12-01</v>
      </c>
      <c r="C193" s="2" cm="1">
        <f t="array" ref="C193">INDEX($C:$C,MATCH(ROW()-MOD(ROW()-ROW($C$2),3),ROW($C:$C),0))+(B193-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460344.347826087</v>
      </c>
    </row>
    <row r="194" spans="1:3">
      <c r="A194" s="3">
        <f t="shared" si="5"/>
        <v>43466</v>
      </c>
      <c r="B194" s="1" t="str">
        <f t="shared" ref="B194:B257" si="6">TEXT(A194,"yyyy-mm-01")</f>
        <v>2019-01-01</v>
      </c>
      <c r="C194" s="2">
        <f>VLOOKUP(A194,'2003-2026'!$A$48:$B$141,2,FALSE)</f>
        <v>455073</v>
      </c>
    </row>
    <row r="195" spans="1:3">
      <c r="A195" s="3">
        <f t="shared" ref="A195:A258" si="7">EDATE(A194,1)</f>
        <v>43497</v>
      </c>
      <c r="B195" s="1" t="str">
        <f t="shared" si="6"/>
        <v>2019-02-01</v>
      </c>
      <c r="C195" s="2" cm="1">
        <f t="array" ref="C195">INDEX($C:$C,MATCH(ROW()-MOD(ROW()-ROW($C$2),3),ROW($C:$C),0))+(B195-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459989.944444444</v>
      </c>
    </row>
    <row r="196" spans="1:3">
      <c r="A196" s="3">
        <f t="shared" si="7"/>
        <v>43525</v>
      </c>
      <c r="B196" s="1" t="str">
        <f t="shared" si="6"/>
        <v>2019-03-01</v>
      </c>
      <c r="C196" s="2" cm="1">
        <f t="array" ref="C196">INDEX($C:$C,MATCH(ROW()-MOD(ROW()-ROW($C$2),3),ROW($C:$C),0))+(B196-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464431.055555556</v>
      </c>
    </row>
    <row r="197" spans="1:3">
      <c r="A197" s="3">
        <f t="shared" si="7"/>
        <v>43556</v>
      </c>
      <c r="B197" s="1" t="str">
        <f t="shared" si="6"/>
        <v>2019-04-01</v>
      </c>
      <c r="C197" s="2">
        <f>VLOOKUP(A197,'2003-2026'!$A$48:$B$141,2,FALSE)</f>
        <v>469348</v>
      </c>
    </row>
    <row r="198" spans="1:3">
      <c r="A198" s="3">
        <f t="shared" si="7"/>
        <v>43586</v>
      </c>
      <c r="B198" s="1" t="str">
        <f t="shared" si="6"/>
        <v>2019-05-01</v>
      </c>
      <c r="C198" s="2" cm="1">
        <f t="array" ref="C198">INDEX($C:$C,MATCH(ROW()-MOD(ROW()-ROW($C$2),3),ROW($C:$C),0))+(B198-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474080.747252747</v>
      </c>
    </row>
    <row r="199" spans="1:3">
      <c r="A199" s="3">
        <f t="shared" si="7"/>
        <v>43617</v>
      </c>
      <c r="B199" s="1" t="str">
        <f t="shared" si="6"/>
        <v>2019-06-01</v>
      </c>
      <c r="C199" s="2" cm="1">
        <f t="array" ref="C199">INDEX($C:$C,MATCH(ROW()-MOD(ROW()-ROW($C$2),3),ROW($C:$C),0))+(B199-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478971.252747253</v>
      </c>
    </row>
    <row r="200" spans="1:3">
      <c r="A200" s="3">
        <f t="shared" si="7"/>
        <v>43647</v>
      </c>
      <c r="B200" s="1" t="str">
        <f t="shared" si="6"/>
        <v>2019-07-01</v>
      </c>
      <c r="C200" s="2">
        <f>VLOOKUP(A200,'2003-2026'!$A$48:$B$141,2,FALSE)</f>
        <v>483704</v>
      </c>
    </row>
    <row r="201" spans="1:3">
      <c r="A201" s="3">
        <f t="shared" si="7"/>
        <v>43678</v>
      </c>
      <c r="B201" s="1" t="str">
        <f t="shared" si="6"/>
        <v>2019-08-01</v>
      </c>
      <c r="C201" s="2" cm="1">
        <f t="array" ref="C201">INDEX($C:$C,MATCH(ROW()-MOD(ROW()-ROW($C$2),3),ROW($C:$C),0))+(B201-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480747.543478261</v>
      </c>
    </row>
    <row r="202" spans="1:3">
      <c r="A202" s="3">
        <f t="shared" si="7"/>
        <v>43709</v>
      </c>
      <c r="B202" s="1" t="str">
        <f t="shared" si="6"/>
        <v>2019-09-01</v>
      </c>
      <c r="C202" s="2" cm="1">
        <f t="array" ref="C202">INDEX($C:$C,MATCH(ROW()-MOD(ROW()-ROW($C$2),3),ROW($C:$C),0))+(B202-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477791.086956522</v>
      </c>
    </row>
    <row r="203" spans="1:3">
      <c r="A203" s="3">
        <f t="shared" si="7"/>
        <v>43739</v>
      </c>
      <c r="B203" s="1" t="str">
        <f t="shared" si="6"/>
        <v>2019-10-01</v>
      </c>
      <c r="C203" s="2">
        <f>VLOOKUP(A203,'2003-2026'!$A$48:$B$141,2,FALSE)</f>
        <v>474930</v>
      </c>
    </row>
    <row r="204" spans="1:3">
      <c r="A204" s="3">
        <f t="shared" si="7"/>
        <v>43770</v>
      </c>
      <c r="B204" s="1" t="str">
        <f t="shared" si="6"/>
        <v>2019-11-01</v>
      </c>
      <c r="C204" s="2" cm="1">
        <f t="array" ref="C204">INDEX($C:$C,MATCH(ROW()-MOD(ROW()-ROW($C$2),3),ROW($C:$C),0))+(B204-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480497.195652174</v>
      </c>
    </row>
    <row r="205" spans="1:3">
      <c r="A205" s="3">
        <f t="shared" si="7"/>
        <v>43800</v>
      </c>
      <c r="B205" s="1" t="str">
        <f t="shared" si="6"/>
        <v>2019-12-01</v>
      </c>
      <c r="C205" s="2" cm="1">
        <f t="array" ref="C205">INDEX($C:$C,MATCH(ROW()-MOD(ROW()-ROW($C$2),3),ROW($C:$C),0))+(B205-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485884.804347826</v>
      </c>
    </row>
    <row r="206" spans="1:3">
      <c r="A206" s="3">
        <f t="shared" si="7"/>
        <v>43831</v>
      </c>
      <c r="B206" s="1" t="str">
        <f t="shared" si="6"/>
        <v>2020-01-01</v>
      </c>
      <c r="C206" s="2">
        <f>VLOOKUP(A206,'2003-2026'!$A$48:$B$141,2,FALSE)</f>
        <v>491452</v>
      </c>
    </row>
    <row r="207" spans="1:3">
      <c r="A207" s="3">
        <f t="shared" si="7"/>
        <v>43862</v>
      </c>
      <c r="B207" s="1" t="str">
        <f t="shared" si="6"/>
        <v>2020-02-01</v>
      </c>
      <c r="C207" s="2" cm="1">
        <f t="array" ref="C207">INDEX($C:$C,MATCH(ROW()-MOD(ROW()-ROW($C$2),3),ROW($C:$C),0))+(B207-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480310.054945055</v>
      </c>
    </row>
    <row r="208" spans="1:3">
      <c r="A208" s="3">
        <f t="shared" si="7"/>
        <v>43891</v>
      </c>
      <c r="B208" s="1" t="str">
        <f t="shared" si="6"/>
        <v>2020-03-01</v>
      </c>
      <c r="C208" s="2" cm="1">
        <f t="array" ref="C208">INDEX($C:$C,MATCH(ROW()-MOD(ROW()-ROW($C$2),3),ROW($C:$C),0))+(B208-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469886.945054945</v>
      </c>
    </row>
    <row r="209" spans="1:3">
      <c r="A209" s="3">
        <f t="shared" si="7"/>
        <v>43922</v>
      </c>
      <c r="B209" s="1" t="str">
        <f t="shared" si="6"/>
        <v>2020-04-01</v>
      </c>
      <c r="C209" s="2">
        <f>VLOOKUP(A209,'2003-2026'!$A$48:$B$141,2,FALSE)</f>
        <v>458745</v>
      </c>
    </row>
    <row r="210" spans="1:3">
      <c r="A210" s="3">
        <f t="shared" si="7"/>
        <v>43952</v>
      </c>
      <c r="B210" s="1" t="str">
        <f t="shared" si="6"/>
        <v>2020-05-01</v>
      </c>
      <c r="C210" s="2" cm="1">
        <f t="array" ref="C210">INDEX($C:$C,MATCH(ROW()-MOD(ROW()-ROW($C$2),3),ROW($C:$C),0))+(B210-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466882.912087912</v>
      </c>
    </row>
    <row r="211" spans="1:3">
      <c r="A211" s="3">
        <f t="shared" si="7"/>
        <v>43983</v>
      </c>
      <c r="B211" s="1" t="str">
        <f t="shared" si="6"/>
        <v>2020-06-01</v>
      </c>
      <c r="C211" s="2" cm="1">
        <f t="array" ref="C211">INDEX($C:$C,MATCH(ROW()-MOD(ROW()-ROW($C$2),3),ROW($C:$C),0))+(B211-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475292.087912088</v>
      </c>
    </row>
    <row r="212" spans="1:3">
      <c r="A212" s="3">
        <f t="shared" si="7"/>
        <v>44013</v>
      </c>
      <c r="B212" s="1" t="str">
        <f t="shared" si="6"/>
        <v>2020-07-01</v>
      </c>
      <c r="C212" s="2">
        <f>VLOOKUP(A212,'2003-2026'!$A$48:$B$141,2,FALSE)</f>
        <v>483430</v>
      </c>
    </row>
    <row r="213" spans="1:3">
      <c r="A213" s="3">
        <f t="shared" si="7"/>
        <v>44044</v>
      </c>
      <c r="B213" s="1" t="str">
        <f t="shared" si="6"/>
        <v>2020-08-01</v>
      </c>
      <c r="C213" s="2" cm="1">
        <f t="array" ref="C213">INDEX($C:$C,MATCH(ROW()-MOD(ROW()-ROW($C$2),3),ROW($C:$C),0))+(B213-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476465.108695652</v>
      </c>
    </row>
    <row r="214" spans="1:3">
      <c r="A214" s="3">
        <f t="shared" si="7"/>
        <v>44075</v>
      </c>
      <c r="B214" s="1" t="str">
        <f t="shared" si="6"/>
        <v>2020-09-01</v>
      </c>
      <c r="C214" s="2" cm="1">
        <f t="array" ref="C214">INDEX($C:$C,MATCH(ROW()-MOD(ROW()-ROW($C$2),3),ROW($C:$C),0))+(B214-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469500.217391304</v>
      </c>
    </row>
    <row r="215" spans="1:3">
      <c r="A215" s="3">
        <f t="shared" si="7"/>
        <v>44105</v>
      </c>
      <c r="B215" s="1" t="str">
        <f t="shared" si="6"/>
        <v>2020-10-01</v>
      </c>
      <c r="C215" s="2">
        <f>VLOOKUP(A215,'2003-2026'!$A$48:$B$141,2,FALSE)</f>
        <v>462760</v>
      </c>
    </row>
    <row r="216" spans="1:3">
      <c r="A216" s="3">
        <f t="shared" si="7"/>
        <v>44136</v>
      </c>
      <c r="B216" s="1" t="str">
        <f t="shared" si="6"/>
        <v>2020-11-01</v>
      </c>
      <c r="C216" s="2" cm="1">
        <f t="array" ref="C216">INDEX($C:$C,MATCH(ROW()-MOD(ROW()-ROW($C$2),3),ROW($C:$C),0))+(B216-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464392.422934783</v>
      </c>
    </row>
    <row r="217" spans="1:3">
      <c r="A217" s="3">
        <f t="shared" si="7"/>
        <v>44166</v>
      </c>
      <c r="B217" s="1" t="str">
        <f t="shared" si="6"/>
        <v>2020-12-01</v>
      </c>
      <c r="C217" s="2" cm="1">
        <f t="array" ref="C217">INDEX($C:$C,MATCH(ROW()-MOD(ROW()-ROW($C$2),3),ROW($C:$C),0))+(B217-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465972.187065217</v>
      </c>
    </row>
    <row r="218" spans="1:3">
      <c r="A218" s="3">
        <f t="shared" si="7"/>
        <v>44197</v>
      </c>
      <c r="B218" s="1" t="str">
        <f t="shared" si="6"/>
        <v>2021-01-01</v>
      </c>
      <c r="C218" s="2">
        <f>VLOOKUP(A218,'2003-2026'!$A$48:$B$141,2,FALSE)</f>
        <v>467604.61</v>
      </c>
    </row>
    <row r="219" spans="1:3">
      <c r="A219" s="3">
        <f t="shared" si="7"/>
        <v>44228</v>
      </c>
      <c r="B219" s="1" t="str">
        <f t="shared" si="6"/>
        <v>2021-02-01</v>
      </c>
      <c r="C219" s="2" cm="1">
        <f t="array" ref="C219">INDEX($C:$C,MATCH(ROW()-MOD(ROW()-ROW($C$2),3),ROW($C:$C),0))+(B219-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465193.202666667</v>
      </c>
    </row>
    <row r="220" spans="1:3">
      <c r="A220" s="3">
        <f t="shared" si="7"/>
        <v>44256</v>
      </c>
      <c r="B220" s="1" t="str">
        <f t="shared" si="6"/>
        <v>2021-03-01</v>
      </c>
      <c r="C220" s="2" cm="1">
        <f t="array" ref="C220">INDEX($C:$C,MATCH(ROW()-MOD(ROW()-ROW($C$2),3),ROW($C:$C),0))+(B220-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463015.157333333</v>
      </c>
    </row>
    <row r="221" spans="1:3">
      <c r="A221" s="3">
        <f t="shared" si="7"/>
        <v>44287</v>
      </c>
      <c r="B221" s="1" t="str">
        <f t="shared" si="6"/>
        <v>2021-04-01</v>
      </c>
      <c r="C221" s="2">
        <f>VLOOKUP(A221,'2003-2026'!$A$48:$B$141,2,FALSE)</f>
        <v>460603.75</v>
      </c>
    </row>
    <row r="222" spans="1:3">
      <c r="A222" s="3">
        <f t="shared" si="7"/>
        <v>44317</v>
      </c>
      <c r="B222" s="1" t="str">
        <f t="shared" si="6"/>
        <v>2021-05-01</v>
      </c>
      <c r="C222" s="2" cm="1">
        <f t="array" ref="C222">INDEX($C:$C,MATCH(ROW()-MOD(ROW()-ROW($C$2),3),ROW($C:$C),0))+(B222-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465062.65989011</v>
      </c>
    </row>
    <row r="223" spans="1:3">
      <c r="A223" s="3">
        <f t="shared" si="7"/>
        <v>44348</v>
      </c>
      <c r="B223" s="1" t="str">
        <f t="shared" si="6"/>
        <v>2021-06-01</v>
      </c>
      <c r="C223" s="2" cm="1">
        <f t="array" ref="C223">INDEX($C:$C,MATCH(ROW()-MOD(ROW()-ROW($C$2),3),ROW($C:$C),0))+(B223-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469670.20010989</v>
      </c>
    </row>
    <row r="224" spans="1:3">
      <c r="A224" s="3">
        <f t="shared" si="7"/>
        <v>44378</v>
      </c>
      <c r="B224" s="1" t="str">
        <f t="shared" si="6"/>
        <v>2021-07-01</v>
      </c>
      <c r="C224" s="2">
        <f>VLOOKUP(A224,'2003-2026'!$A$48:$B$141,2,FALSE)</f>
        <v>474129.11</v>
      </c>
    </row>
    <row r="225" spans="1:3">
      <c r="A225" s="3">
        <f t="shared" si="7"/>
        <v>44409</v>
      </c>
      <c r="B225" s="1" t="str">
        <f t="shared" si="6"/>
        <v>2021-08-01</v>
      </c>
      <c r="C225" s="2" cm="1">
        <f t="array" ref="C225">INDEX($C:$C,MATCH(ROW()-MOD(ROW()-ROW($C$2),3),ROW($C:$C),0))+(B225-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481852.119782609</v>
      </c>
    </row>
    <row r="226" spans="1:3">
      <c r="A226" s="3">
        <f t="shared" si="7"/>
        <v>44440</v>
      </c>
      <c r="B226" s="1" t="str">
        <f t="shared" si="6"/>
        <v>2021-09-01</v>
      </c>
      <c r="C226" s="2" cm="1">
        <f t="array" ref="C226">INDEX($C:$C,MATCH(ROW()-MOD(ROW()-ROW($C$2),3),ROW($C:$C),0))+(B226-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489575.129565217</v>
      </c>
    </row>
    <row r="227" spans="1:3">
      <c r="A227" s="3">
        <f t="shared" si="7"/>
        <v>44470</v>
      </c>
      <c r="B227" s="1" t="str">
        <f t="shared" si="6"/>
        <v>2021-10-01</v>
      </c>
      <c r="C227" s="2">
        <f>VLOOKUP(A227,'2003-2026'!$A$48:$B$141,2,FALSE)</f>
        <v>497049.01</v>
      </c>
    </row>
    <row r="228" spans="1:3">
      <c r="A228" s="3">
        <f t="shared" si="7"/>
        <v>44501</v>
      </c>
      <c r="B228" s="1" t="str">
        <f t="shared" si="6"/>
        <v>2021-11-01</v>
      </c>
      <c r="C228" s="2" cm="1">
        <f t="array" ref="C228">INDEX($C:$C,MATCH(ROW()-MOD(ROW()-ROW($C$2),3),ROW($C:$C),0))+(B228-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494139.649891304</v>
      </c>
    </row>
    <row r="229" spans="1:3">
      <c r="A229" s="3">
        <f t="shared" si="7"/>
        <v>44531</v>
      </c>
      <c r="B229" s="1" t="str">
        <f t="shared" si="6"/>
        <v>2021-12-01</v>
      </c>
      <c r="C229" s="2" cm="1">
        <f t="array" ref="C229">INDEX($C:$C,MATCH(ROW()-MOD(ROW()-ROW($C$2),3),ROW($C:$C),0))+(B229-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491324.140108696</v>
      </c>
    </row>
    <row r="230" spans="1:3">
      <c r="A230" s="3">
        <f t="shared" si="7"/>
        <v>44562</v>
      </c>
      <c r="B230" s="1" t="str">
        <f t="shared" si="6"/>
        <v>2022-01-01</v>
      </c>
      <c r="C230" s="2">
        <f>VLOOKUP(A230,'2003-2026'!$A$48:$B$141,2,FALSE)</f>
        <v>488414.78</v>
      </c>
    </row>
    <row r="231" spans="1:3">
      <c r="A231" s="3">
        <f t="shared" si="7"/>
        <v>44593</v>
      </c>
      <c r="B231" s="1" t="str">
        <f t="shared" si="6"/>
        <v>2022-02-01</v>
      </c>
      <c r="C231" s="2" cm="1">
        <f t="array" ref="C231">INDEX($C:$C,MATCH(ROW()-MOD(ROW()-ROW($C$2),3),ROW($C:$C),0))+(B231-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479361.209333333</v>
      </c>
    </row>
    <row r="232" spans="1:3">
      <c r="A232" s="3">
        <f t="shared" si="7"/>
        <v>44621</v>
      </c>
      <c r="B232" s="1" t="str">
        <f t="shared" si="6"/>
        <v>2022-03-01</v>
      </c>
      <c r="C232" s="2" cm="1">
        <f t="array" ref="C232">INDEX($C:$C,MATCH(ROW()-MOD(ROW()-ROW($C$2),3),ROW($C:$C),0))+(B232-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471183.790666667</v>
      </c>
    </row>
    <row r="233" spans="1:3">
      <c r="A233" s="3">
        <f t="shared" si="7"/>
        <v>44652</v>
      </c>
      <c r="B233" s="1" t="str">
        <f t="shared" si="6"/>
        <v>2022-04-01</v>
      </c>
      <c r="C233" s="2">
        <f>VLOOKUP(A233,'2003-2026'!$A$48:$B$141,2,FALSE)</f>
        <v>462130.22</v>
      </c>
    </row>
    <row r="234" spans="1:3">
      <c r="A234" s="3">
        <f t="shared" si="7"/>
        <v>44682</v>
      </c>
      <c r="B234" s="1" t="str">
        <f t="shared" si="6"/>
        <v>2022-05-01</v>
      </c>
      <c r="C234" s="2" cm="1">
        <f t="array" ref="C234">INDEX($C:$C,MATCH(ROW()-MOD(ROW()-ROW($C$2),3),ROW($C:$C),0))+(B234-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470235.791428571</v>
      </c>
    </row>
    <row r="235" spans="1:3">
      <c r="A235" s="3">
        <f t="shared" si="7"/>
        <v>44713</v>
      </c>
      <c r="B235" s="1" t="str">
        <f t="shared" si="6"/>
        <v>2022-06-01</v>
      </c>
      <c r="C235" s="2" cm="1">
        <f t="array" ref="C235">INDEX($C:$C,MATCH(ROW()-MOD(ROW()-ROW($C$2),3),ROW($C:$C),0))+(B235-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478611.548571429</v>
      </c>
    </row>
    <row r="236" spans="1:3">
      <c r="A236" s="3">
        <f t="shared" si="7"/>
        <v>44743</v>
      </c>
      <c r="B236" s="1" t="str">
        <f t="shared" si="6"/>
        <v>2022-07-01</v>
      </c>
      <c r="C236" s="2">
        <f>VLOOKUP(A236,'2003-2026'!$A$48:$B$141,2,FALSE)</f>
        <v>486717.12</v>
      </c>
    </row>
    <row r="237" spans="1:3">
      <c r="A237" s="3">
        <f t="shared" si="7"/>
        <v>44774</v>
      </c>
      <c r="B237" s="1" t="str">
        <f t="shared" si="6"/>
        <v>2022-08-01</v>
      </c>
      <c r="C237" s="2" cm="1">
        <f t="array" ref="C237">INDEX($C:$C,MATCH(ROW()-MOD(ROW()-ROW($C$2),3),ROW($C:$C),0))+(B237-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471399.369673913</v>
      </c>
    </row>
    <row r="238" spans="1:3">
      <c r="A238" s="3">
        <f t="shared" si="7"/>
        <v>44805</v>
      </c>
      <c r="B238" s="1" t="str">
        <f t="shared" si="6"/>
        <v>2022-09-01</v>
      </c>
      <c r="C238" s="2" cm="1">
        <f t="array" ref="C238">INDEX($C:$C,MATCH(ROW()-MOD(ROW()-ROW($C$2),3),ROW($C:$C),0))+(B238-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456081.619347826</v>
      </c>
    </row>
    <row r="239" spans="1:3">
      <c r="A239" s="3">
        <f t="shared" si="7"/>
        <v>44835</v>
      </c>
      <c r="B239" s="1" t="str">
        <f t="shared" si="6"/>
        <v>2022-10-01</v>
      </c>
      <c r="C239" s="2">
        <f>VLOOKUP(A239,'2003-2026'!$A$48:$B$141,2,FALSE)</f>
        <v>441257.99</v>
      </c>
    </row>
    <row r="240" spans="1:3">
      <c r="A240" s="3">
        <f t="shared" si="7"/>
        <v>44866</v>
      </c>
      <c r="B240" s="1" t="str">
        <f t="shared" si="6"/>
        <v>2022-11-01</v>
      </c>
      <c r="C240" s="2" cm="1">
        <f t="array" ref="C240">INDEX($C:$C,MATCH(ROW()-MOD(ROW()-ROW($C$2),3),ROW($C:$C),0))+(B240-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422328.665543478</v>
      </c>
    </row>
    <row r="241" spans="1:3">
      <c r="A241" s="3">
        <f t="shared" si="7"/>
        <v>44896</v>
      </c>
      <c r="B241" s="1" t="str">
        <f t="shared" si="6"/>
        <v>2022-12-01</v>
      </c>
      <c r="C241" s="2" cm="1">
        <f t="array" ref="C241">INDEX($C:$C,MATCH(ROW()-MOD(ROW()-ROW($C$2),3),ROW($C:$C),0))+(B241-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404009.964456522</v>
      </c>
    </row>
    <row r="242" spans="1:3">
      <c r="A242" s="3">
        <f t="shared" si="7"/>
        <v>44927</v>
      </c>
      <c r="B242" s="1" t="str">
        <f t="shared" si="6"/>
        <v>2023-01-01</v>
      </c>
      <c r="C242" s="2">
        <f>VLOOKUP(A242,'2003-2026'!$A$48:$B$141,2,FALSE)</f>
        <v>385080.64</v>
      </c>
    </row>
    <row r="243" spans="1:3">
      <c r="A243" s="3">
        <f t="shared" si="7"/>
        <v>44958</v>
      </c>
      <c r="B243" s="1" t="str">
        <f t="shared" si="6"/>
        <v>2023-02-01</v>
      </c>
      <c r="C243" s="2" cm="1">
        <f t="array" ref="C243">INDEX($C:$C,MATCH(ROW()-MOD(ROW()-ROW($C$2),3),ROW($C:$C),0))+(B243-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375877.187777778</v>
      </c>
    </row>
    <row r="244" spans="1:3">
      <c r="A244" s="3">
        <f t="shared" si="7"/>
        <v>44986</v>
      </c>
      <c r="B244" s="1" t="str">
        <f t="shared" si="6"/>
        <v>2023-03-01</v>
      </c>
      <c r="C244" s="2" cm="1">
        <f t="array" ref="C244">INDEX($C:$C,MATCH(ROW()-MOD(ROW()-ROW($C$2),3),ROW($C:$C),0))+(B244-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367564.392222222</v>
      </c>
    </row>
    <row r="245" spans="1:3">
      <c r="A245" s="3">
        <f t="shared" si="7"/>
        <v>45017</v>
      </c>
      <c r="B245" s="1" t="str">
        <f t="shared" si="6"/>
        <v>2023-04-01</v>
      </c>
      <c r="C245" s="2">
        <f>VLOOKUP(A245,'2003-2026'!$A$48:$B$141,2,FALSE)</f>
        <v>358360.94</v>
      </c>
    </row>
    <row r="246" spans="1:3">
      <c r="A246" s="3">
        <f t="shared" si="7"/>
        <v>45047</v>
      </c>
      <c r="B246" s="1" t="str">
        <f t="shared" si="6"/>
        <v>2023-05-01</v>
      </c>
      <c r="C246" s="2" cm="1">
        <f t="array" ref="C246">INDEX($C:$C,MATCH(ROW()-MOD(ROW()-ROW($C$2),3),ROW($C:$C),0))+(B246-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352597.897142857</v>
      </c>
    </row>
    <row r="247" spans="1:3">
      <c r="A247" s="3">
        <f t="shared" si="7"/>
        <v>45078</v>
      </c>
      <c r="B247" s="1" t="str">
        <f t="shared" si="6"/>
        <v>2023-06-01</v>
      </c>
      <c r="C247" s="2" cm="1">
        <f t="array" ref="C247">INDEX($C:$C,MATCH(ROW()-MOD(ROW()-ROW($C$2),3),ROW($C:$C),0))+(B247-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346642.752857143</v>
      </c>
    </row>
    <row r="248" spans="1:3">
      <c r="A248" s="3">
        <f t="shared" si="7"/>
        <v>45108</v>
      </c>
      <c r="B248" s="1" t="str">
        <f t="shared" si="6"/>
        <v>2023-07-01</v>
      </c>
      <c r="C248" s="2">
        <f>VLOOKUP(A248,'2003-2026'!$A$48:$B$141,2,FALSE)</f>
        <v>340879.71</v>
      </c>
    </row>
    <row r="249" spans="1:3">
      <c r="A249" s="3">
        <f t="shared" si="7"/>
        <v>45139</v>
      </c>
      <c r="B249" s="1" t="str">
        <f t="shared" si="6"/>
        <v>2023-08-01</v>
      </c>
      <c r="C249" s="2" cm="1">
        <f t="array" ref="C249">INDEX($C:$C,MATCH(ROW()-MOD(ROW()-ROW($C$2),3),ROW($C:$C),0))+(B249-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335207.353586957</v>
      </c>
    </row>
    <row r="250" spans="1:3">
      <c r="A250" s="3">
        <f t="shared" si="7"/>
        <v>45170</v>
      </c>
      <c r="B250" s="1" t="str">
        <f t="shared" si="6"/>
        <v>2023-09-01</v>
      </c>
      <c r="C250" s="2" cm="1">
        <f t="array" ref="C250">INDEX($C:$C,MATCH(ROW()-MOD(ROW()-ROW($C$2),3),ROW($C:$C),0))+(B250-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329534.997173913</v>
      </c>
    </row>
    <row r="251" spans="1:3">
      <c r="A251" s="3">
        <f t="shared" si="7"/>
        <v>45200</v>
      </c>
      <c r="B251" s="1" t="str">
        <f t="shared" si="6"/>
        <v>2023-10-01</v>
      </c>
      <c r="C251" s="2">
        <f>VLOOKUP(A251,'2003-2026'!$A$48:$B$141,2,FALSE)</f>
        <v>324045.62</v>
      </c>
    </row>
    <row r="252" spans="1:3">
      <c r="A252" s="3">
        <f t="shared" si="7"/>
        <v>45231</v>
      </c>
      <c r="B252" s="1" t="str">
        <f t="shared" si="6"/>
        <v>2023-11-01</v>
      </c>
      <c r="C252" s="2" cm="1">
        <f t="array" ref="C252">INDEX($C:$C,MATCH(ROW()-MOD(ROW()-ROW($C$2),3),ROW($C:$C),0))+(B252-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322105.781521739</v>
      </c>
    </row>
    <row r="253" spans="1:3">
      <c r="A253" s="3">
        <f t="shared" si="7"/>
        <v>45261</v>
      </c>
      <c r="B253" s="1" t="str">
        <f t="shared" si="6"/>
        <v>2023-12-01</v>
      </c>
      <c r="C253" s="2" cm="1">
        <f t="array" ref="C253">INDEX($C:$C,MATCH(ROW()-MOD(ROW()-ROW($C$2),3),ROW($C:$C),0))+(B253-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320228.518478261</v>
      </c>
    </row>
    <row r="254" spans="1:3">
      <c r="A254" s="3">
        <f t="shared" si="7"/>
        <v>45292</v>
      </c>
      <c r="B254" s="1" t="str">
        <f t="shared" si="6"/>
        <v>2024-01-01</v>
      </c>
      <c r="C254" s="2">
        <f>VLOOKUP(A254,'2003-2026'!$A$48:$B$141,2,FALSE)</f>
        <v>318288.68</v>
      </c>
    </row>
    <row r="255" spans="1:3">
      <c r="A255" s="3">
        <f t="shared" si="7"/>
        <v>45323</v>
      </c>
      <c r="B255" s="1" t="str">
        <f t="shared" si="6"/>
        <v>2024-02-01</v>
      </c>
      <c r="C255" s="2" cm="1">
        <f t="array" ref="C255">INDEX($C:$C,MATCH(ROW()-MOD(ROW()-ROW($C$2),3),ROW($C:$C),0))+(B255-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315037.502197802</v>
      </c>
    </row>
    <row r="256" spans="1:3">
      <c r="A256" s="3">
        <f t="shared" si="7"/>
        <v>45352</v>
      </c>
      <c r="B256" s="1" t="str">
        <f t="shared" si="6"/>
        <v>2024-03-01</v>
      </c>
      <c r="C256" s="2" cm="1">
        <f t="array" ref="C256">INDEX($C:$C,MATCH(ROW()-MOD(ROW()-ROW($C$2),3),ROW($C:$C),0))+(B256-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311996.077802198</v>
      </c>
    </row>
    <row r="257" spans="1:3">
      <c r="A257" s="3">
        <f t="shared" si="7"/>
        <v>45383</v>
      </c>
      <c r="B257" s="1" t="str">
        <f t="shared" si="6"/>
        <v>2024-04-01</v>
      </c>
      <c r="C257" s="2">
        <f>VLOOKUP(A257,'2003-2026'!$A$48:$B$141,2,FALSE)</f>
        <v>308744.9</v>
      </c>
    </row>
    <row r="258" spans="1:3">
      <c r="A258" s="3">
        <f t="shared" si="7"/>
        <v>45413</v>
      </c>
      <c r="B258" s="1" t="str">
        <f t="shared" ref="B258:B283" si="8">TEXT(A258,"yyyy-mm-01")</f>
        <v>2024-05-01</v>
      </c>
      <c r="C258" s="2" cm="1">
        <f t="array" ref="C258">INDEX($C:$C,MATCH(ROW()-MOD(ROW()-ROW($C$2),3),ROW($C:$C),0))+(B258-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311614.650549451</v>
      </c>
    </row>
    <row r="259" spans="1:3">
      <c r="A259" s="3">
        <f t="shared" ref="A259:A283" si="9">EDATE(A258,1)</f>
        <v>45444</v>
      </c>
      <c r="B259" s="1" t="str">
        <f t="shared" si="8"/>
        <v>2024-06-01</v>
      </c>
      <c r="C259" s="2" cm="1">
        <f t="array" ref="C259">INDEX($C:$C,MATCH(ROW()-MOD(ROW()-ROW($C$2),3),ROW($C:$C),0))+(B259-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314580.059450549</v>
      </c>
    </row>
    <row r="260" spans="1:3">
      <c r="A260" s="3">
        <f t="shared" si="9"/>
        <v>45474</v>
      </c>
      <c r="B260" s="1" t="str">
        <f t="shared" si="8"/>
        <v>2024-07-01</v>
      </c>
      <c r="C260" s="2">
        <f>VLOOKUP(A260,'2003-2026'!$A$48:$B$141,2,FALSE)</f>
        <v>317449.81</v>
      </c>
    </row>
    <row r="261" spans="1:3">
      <c r="A261" s="3">
        <f t="shared" si="9"/>
        <v>45505</v>
      </c>
      <c r="B261" s="1" t="str">
        <f t="shared" si="8"/>
        <v>2024-08-01</v>
      </c>
      <c r="C261" s="2" cm="1">
        <f t="array" ref="C261">INDEX($C:$C,MATCH(ROW()-MOD(ROW()-ROW($C$2),3),ROW($C:$C),0))+(B261-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314710.41076087</v>
      </c>
    </row>
    <row r="262" spans="1:3">
      <c r="A262" s="3">
        <f t="shared" si="9"/>
        <v>45536</v>
      </c>
      <c r="B262" s="1" t="str">
        <f t="shared" si="8"/>
        <v>2024-09-01</v>
      </c>
      <c r="C262" s="2" cm="1">
        <f t="array" ref="C262">INDEX($C:$C,MATCH(ROW()-MOD(ROW()-ROW($C$2),3),ROW($C:$C),0))+(B262-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311971.011521739</v>
      </c>
    </row>
    <row r="263" spans="1:3">
      <c r="A263" s="3">
        <f t="shared" si="9"/>
        <v>45566</v>
      </c>
      <c r="B263" s="1" t="str">
        <f t="shared" si="8"/>
        <v>2024-10-01</v>
      </c>
      <c r="C263" s="2">
        <f>VLOOKUP(A263,'2003-2026'!$A$48:$B$141,2,FALSE)</f>
        <v>309319.98</v>
      </c>
    </row>
    <row r="264" spans="1:3">
      <c r="A264" s="3">
        <f t="shared" si="9"/>
        <v>45597</v>
      </c>
      <c r="B264" s="1" t="str">
        <f t="shared" si="8"/>
        <v>2024-11-01</v>
      </c>
      <c r="C264" s="2" cm="1">
        <f t="array" ref="C264">INDEX($C:$C,MATCH(ROW()-MOD(ROW()-ROW($C$2),3),ROW($C:$C),0))+(B264-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302771.513043478</v>
      </c>
    </row>
    <row r="265" spans="1:3">
      <c r="A265" s="3">
        <f t="shared" si="9"/>
        <v>45627</v>
      </c>
      <c r="B265" s="1" t="str">
        <f t="shared" si="8"/>
        <v>2024-12-01</v>
      </c>
      <c r="C265" s="2" cm="1">
        <f t="array" ref="C265">INDEX($C:$C,MATCH(ROW()-MOD(ROW()-ROW($C$2),3),ROW($C:$C),0))+(B265-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296434.286956522</v>
      </c>
    </row>
    <row r="266" spans="1:3">
      <c r="A266" s="3">
        <f t="shared" si="9"/>
        <v>45658</v>
      </c>
      <c r="B266" s="1" t="str">
        <f t="shared" si="8"/>
        <v>2025-01-01</v>
      </c>
      <c r="C266" s="2">
        <f>VLOOKUP(A266,'2003-2026'!$A$48:$B$141,2,FALSE)</f>
        <v>289885.82</v>
      </c>
    </row>
    <row r="267" spans="1:3">
      <c r="A267" s="3">
        <f t="shared" si="9"/>
        <v>45689</v>
      </c>
      <c r="B267" s="1" t="str">
        <f t="shared" si="8"/>
        <v>2025-02-01</v>
      </c>
      <c r="C267" s="2" cm="1">
        <f t="array" ref="C267">INDEX($C:$C,MATCH(ROW()-MOD(ROW()-ROW($C$2),3),ROW($C:$C),0))+(B267-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297862.960444444</v>
      </c>
    </row>
    <row r="268" spans="1:3">
      <c r="A268" s="3">
        <f t="shared" si="9"/>
        <v>45717</v>
      </c>
      <c r="B268" s="1" t="str">
        <f t="shared" si="8"/>
        <v>2025-03-01</v>
      </c>
      <c r="C268" s="2" cm="1">
        <f t="array" ref="C268">INDEX($C:$C,MATCH(ROW()-MOD(ROW()-ROW($C$2),3),ROW($C:$C),0))+(B268-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305068.119555556</v>
      </c>
    </row>
    <row r="269" spans="1:3">
      <c r="A269" s="3">
        <f t="shared" si="9"/>
        <v>45748</v>
      </c>
      <c r="B269" s="1" t="str">
        <f t="shared" si="8"/>
        <v>2025-04-01</v>
      </c>
      <c r="C269" s="2">
        <f>VLOOKUP(A269,'2003-2026'!$A$48:$B$141,2,FALSE)</f>
        <v>313045.26</v>
      </c>
    </row>
    <row r="270" spans="1:3">
      <c r="A270" s="3">
        <f t="shared" si="9"/>
        <v>45778</v>
      </c>
      <c r="B270" s="1" t="str">
        <f t="shared" si="8"/>
        <v>2025-05-01</v>
      </c>
      <c r="C270" s="2" cm="1">
        <f t="array" ref="C270">INDEX($C:$C,MATCH(ROW()-MOD(ROW()-ROW($C$2),3),ROW($C:$C),0))+(B270-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316673.265494506</v>
      </c>
    </row>
    <row r="271" spans="1:3">
      <c r="A271" s="3">
        <f t="shared" si="9"/>
        <v>45809</v>
      </c>
      <c r="B271" s="1" t="str">
        <f t="shared" si="8"/>
        <v>2025-06-01</v>
      </c>
      <c r="C271" s="2" cm="1">
        <f t="array" ref="C271">INDEX($C:$C,MATCH(ROW()-MOD(ROW()-ROW($C$2),3),ROW($C:$C),0))+(B271-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320422.204505495</v>
      </c>
    </row>
    <row r="272" spans="1:3">
      <c r="A272" s="3">
        <f t="shared" si="9"/>
        <v>45839</v>
      </c>
      <c r="B272" s="1" t="str">
        <f t="shared" si="8"/>
        <v>2025-07-01</v>
      </c>
      <c r="C272" s="2">
        <f>VLOOKUP(A272,'2003-2026'!$A$48:$B$141,2,FALSE)</f>
        <v>324050.21</v>
      </c>
    </row>
    <row r="273" spans="1:3">
      <c r="A273" s="3">
        <f t="shared" si="9"/>
        <v>45870</v>
      </c>
      <c r="B273" s="1" t="str">
        <f t="shared" si="8"/>
        <v>2025-08-01</v>
      </c>
      <c r="C273" s="2" cm="1">
        <f t="array" ref="C273">INDEX($C:$C,MATCH(ROW()-MOD(ROW()-ROW($C$2),3),ROW($C:$C),0))+(B273-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319377.293586957</v>
      </c>
    </row>
    <row r="274" spans="1:3">
      <c r="A274" s="3">
        <f t="shared" si="9"/>
        <v>45901</v>
      </c>
      <c r="B274" s="1" t="str">
        <f t="shared" si="8"/>
        <v>2025-09-01</v>
      </c>
      <c r="C274" s="2" cm="1">
        <f t="array" ref="C274">INDEX($C:$C,MATCH(ROW()-MOD(ROW()-ROW($C$2),3),ROW($C:$C),0))+(B274-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314704.377173913</v>
      </c>
    </row>
    <row r="275" spans="1:3">
      <c r="A275" s="3">
        <f t="shared" si="9"/>
        <v>45931</v>
      </c>
      <c r="B275" s="1" t="str">
        <f t="shared" si="8"/>
        <v>2025-10-01</v>
      </c>
      <c r="C275" s="2">
        <f>VLOOKUP(A275,'2003-2026'!$A$48:$B$141,2,FALSE)</f>
        <v>310182.2</v>
      </c>
    </row>
    <row r="276" spans="1:3">
      <c r="A276" s="3">
        <f t="shared" si="9"/>
        <v>45962</v>
      </c>
      <c r="B276" s="1" t="str">
        <f t="shared" si="8"/>
        <v>2025-11-01</v>
      </c>
      <c r="C276" s="2" cm="1">
        <f t="array" ref="C276">INDEX($C:$C,MATCH(ROW()-MOD(ROW()-ROW($C$2),3),ROW($C:$C),0))+(B276-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309031.415978261</v>
      </c>
    </row>
    <row r="277" spans="1:3">
      <c r="A277" s="3">
        <f t="shared" si="9"/>
        <v>45992</v>
      </c>
      <c r="B277" s="1" t="str">
        <f t="shared" si="8"/>
        <v>2025-12-01</v>
      </c>
      <c r="C277" s="2" cm="1">
        <f t="array" ref="C277">INDEX($C:$C,MATCH(ROW()-MOD(ROW()-ROW($C$2),3),ROW($C:$C),0))+(B277-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307917.754021739</v>
      </c>
    </row>
    <row r="278" spans="1:3">
      <c r="A278" s="3">
        <f t="shared" si="9"/>
        <v>46023</v>
      </c>
      <c r="B278" s="1" t="str">
        <f t="shared" si="8"/>
        <v>2026-01-01</v>
      </c>
      <c r="C278" s="2">
        <f>VLOOKUP(A278,'2003-2026'!$A$48:$B$141,2,FALSE)</f>
        <v>306766.97</v>
      </c>
    </row>
    <row r="279" spans="1:3">
      <c r="A279" s="3">
        <f t="shared" si="9"/>
        <v>46054</v>
      </c>
      <c r="B279" s="1" t="str">
        <f t="shared" si="8"/>
        <v>2026-02-01</v>
      </c>
      <c r="C279" s="2" cm="1">
        <f t="array" ref="C279">INDEX($C:$C,MATCH(ROW()-MOD(ROW()-ROW($C$2),3),ROW($C:$C),0))+(B279-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304113.635222222</v>
      </c>
    </row>
    <row r="280" spans="1:3">
      <c r="A280" s="3">
        <f t="shared" si="9"/>
        <v>46082</v>
      </c>
      <c r="B280" s="1" t="str">
        <f t="shared" si="8"/>
        <v>2026-03-01</v>
      </c>
      <c r="C280" s="2" cm="1">
        <f t="array" ref="C280">INDEX($C:$C,MATCH(ROW()-MOD(ROW()-ROW($C$2),3),ROW($C:$C),0))+(B280-INDEX($B:$B,MATCH(ROW()-MOD(ROW()-ROW($C$2),3),ROW($C:$C),0)))/(INDEX($B:$B,MATCH(ROW()-MOD(ROW()-ROW($C$2),3),ROW($C:$C),0)+3)-INDEX($B:$B,MATCH(ROW()-MOD(ROW()-ROW($C$2),3),ROW($C:$C),0)))*(INDEX($C:$C,MATCH(ROW()-MOD(ROW()-ROW($C$2),3),ROW($C:$C),0)+3)-INDEX($C:$C,MATCH(ROW()-MOD(ROW()-ROW($C$2),3),ROW($C:$C),0)))</f>
        <v>301717.074777778</v>
      </c>
    </row>
    <row r="281" spans="1:3">
      <c r="A281" s="3">
        <f t="shared" si="9"/>
        <v>46113</v>
      </c>
      <c r="B281" s="1" t="str">
        <f t="shared" si="8"/>
        <v>2026-04-01</v>
      </c>
      <c r="C281" s="2">
        <f>VLOOKUP(A281,'2003-2026'!$A$48:$B$141,2,FALSE)</f>
        <v>299063.74</v>
      </c>
    </row>
    <row r="282" spans="1:3">
      <c r="A282" s="3">
        <f t="shared" si="9"/>
        <v>46143</v>
      </c>
      <c r="B282" s="1" t="str">
        <f t="shared" si="8"/>
        <v>2026-05-01</v>
      </c>
    </row>
    <row r="283" spans="1:3">
      <c r="A283" s="3">
        <f t="shared" si="9"/>
        <v>46174</v>
      </c>
      <c r="B283" s="1" t="str">
        <f t="shared" si="8"/>
        <v>2026-06-01</v>
      </c>
    </row>
    <row r="284" spans="1:3">
      <c r="A284" s="3"/>
      <c r="B284" s="3"/>
    </row>
    <row r="285" spans="1:3">
      <c r="A285" s="3"/>
      <c r="B285" s="3"/>
    </row>
    <row r="286" spans="1:3">
      <c r="A286" s="3"/>
      <c r="B286" s="3"/>
    </row>
    <row r="287" spans="1:3">
      <c r="A287" s="3"/>
      <c r="B287" s="3"/>
    </row>
    <row r="288" spans="1:3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</sheetData>
  <autoFilter xmlns:etc="http://www.wps.cn/officeDocument/2017/etCustomData" ref="A1:C28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1"/>
  <sheetViews>
    <sheetView tabSelected="1" workbookViewId="0">
      <selection activeCell="C3" sqref="C3"/>
    </sheetView>
  </sheetViews>
  <sheetFormatPr defaultColWidth="8.94117647058824" defaultRowHeight="14" outlineLevelCol="1"/>
  <cols>
    <col min="1" max="1" width="10.5294117647059" customWidth="1"/>
    <col min="2" max="2" width="12.6470588235294" customWidth="1"/>
  </cols>
  <sheetData>
    <row r="1" spans="1:2">
      <c r="A1" t="s">
        <v>37</v>
      </c>
      <c r="B1" t="s">
        <v>38</v>
      </c>
    </row>
    <row r="2" spans="1:2">
      <c r="A2" t="str">
        <f>Sheet1!B2</f>
        <v>2003-01-01</v>
      </c>
      <c r="B2">
        <f>Sheet1!C2</f>
        <v>151302</v>
      </c>
    </row>
    <row r="3" spans="1:2">
      <c r="A3" t="str">
        <f>Sheet1!B3</f>
        <v>2003-02-01</v>
      </c>
      <c r="B3">
        <f>Sheet1!C3</f>
        <v>151960.922222222</v>
      </c>
    </row>
    <row r="4" spans="1:2">
      <c r="A4" t="str">
        <f>Sheet1!B4</f>
        <v>2003-03-01</v>
      </c>
      <c r="B4">
        <f>Sheet1!C4</f>
        <v>152556.077777778</v>
      </c>
    </row>
    <row r="5" spans="1:2">
      <c r="A5" t="str">
        <f>Sheet1!B5</f>
        <v>2003-04-01</v>
      </c>
      <c r="B5">
        <f>Sheet1!C5</f>
        <v>153215</v>
      </c>
    </row>
    <row r="6" spans="1:2">
      <c r="A6" t="str">
        <f>Sheet1!B6</f>
        <v>2003-05-01</v>
      </c>
      <c r="B6">
        <f>Sheet1!C6</f>
        <v>154847.197802198</v>
      </c>
    </row>
    <row r="7" spans="1:2">
      <c r="A7" t="str">
        <f>Sheet1!B7</f>
        <v>2003-06-01</v>
      </c>
      <c r="B7">
        <f>Sheet1!C7</f>
        <v>156533.802197802</v>
      </c>
    </row>
    <row r="8" spans="1:2">
      <c r="A8" t="str">
        <f>Sheet1!B8</f>
        <v>2003-07-01</v>
      </c>
      <c r="B8">
        <f>Sheet1!C8</f>
        <v>158166</v>
      </c>
    </row>
    <row r="9" spans="1:2">
      <c r="A9" t="str">
        <f>Sheet1!B9</f>
        <v>2003-08-01</v>
      </c>
      <c r="B9">
        <f>Sheet1!C9</f>
        <v>160749.782608696</v>
      </c>
    </row>
    <row r="10" spans="1:2">
      <c r="A10" t="str">
        <f>Sheet1!B10</f>
        <v>2003-09-01</v>
      </c>
      <c r="B10">
        <f>Sheet1!C10</f>
        <v>163333.565217391</v>
      </c>
    </row>
    <row r="11" spans="1:2">
      <c r="A11" t="str">
        <f>Sheet1!B11</f>
        <v>2003-10-01</v>
      </c>
      <c r="B11">
        <f>Sheet1!C11</f>
        <v>165834</v>
      </c>
    </row>
    <row r="12" spans="1:2">
      <c r="A12" t="str">
        <f>Sheet1!B12</f>
        <v>2003-11-01</v>
      </c>
      <c r="B12">
        <f>Sheet1!C12</f>
        <v>172276.945652174</v>
      </c>
    </row>
    <row r="13" spans="1:2">
      <c r="A13" t="str">
        <f>Sheet1!B13</f>
        <v>2003-12-01</v>
      </c>
      <c r="B13">
        <f>Sheet1!C13</f>
        <v>178512.054347826</v>
      </c>
    </row>
    <row r="14" spans="1:2">
      <c r="A14" t="str">
        <f>Sheet1!B14</f>
        <v>2004-01-01</v>
      </c>
      <c r="B14">
        <f>Sheet1!C14</f>
        <v>184955</v>
      </c>
    </row>
    <row r="15" spans="1:2">
      <c r="A15" t="str">
        <f>Sheet1!B15</f>
        <v>2004-02-01</v>
      </c>
      <c r="B15">
        <f>Sheet1!C15</f>
        <v>186516.582417582</v>
      </c>
    </row>
    <row r="16" spans="1:2">
      <c r="A16" t="str">
        <f>Sheet1!B16</f>
        <v>2004-03-01</v>
      </c>
      <c r="B16">
        <f>Sheet1!C16</f>
        <v>187977.417582418</v>
      </c>
    </row>
    <row r="17" spans="1:2">
      <c r="A17" t="str">
        <f>Sheet1!B17</f>
        <v>2004-04-01</v>
      </c>
      <c r="B17">
        <f>Sheet1!C17</f>
        <v>189539</v>
      </c>
    </row>
    <row r="18" spans="1:2">
      <c r="A18" t="str">
        <f>Sheet1!B18</f>
        <v>2004-05-01</v>
      </c>
      <c r="B18">
        <f>Sheet1!C18</f>
        <v>190465.373626374</v>
      </c>
    </row>
    <row r="19" spans="1:2">
      <c r="A19" t="str">
        <f>Sheet1!B19</f>
        <v>2004-06-01</v>
      </c>
      <c r="B19">
        <f>Sheet1!C19</f>
        <v>191422.626373626</v>
      </c>
    </row>
    <row r="20" spans="1:2">
      <c r="A20" t="str">
        <f>Sheet1!B20</f>
        <v>2004-07-01</v>
      </c>
      <c r="B20">
        <f>Sheet1!C20</f>
        <v>192349</v>
      </c>
    </row>
    <row r="21" spans="1:2">
      <c r="A21" t="str">
        <f>Sheet1!B21</f>
        <v>2004-08-01</v>
      </c>
      <c r="B21">
        <f>Sheet1!C21</f>
        <v>192635.413043478</v>
      </c>
    </row>
    <row r="22" spans="1:2">
      <c r="A22" t="str">
        <f>Sheet1!B22</f>
        <v>2004-09-01</v>
      </c>
      <c r="B22">
        <f>Sheet1!C22</f>
        <v>192921.826086957</v>
      </c>
    </row>
    <row r="23" spans="1:2">
      <c r="A23" t="str">
        <f>Sheet1!B23</f>
        <v>2004-10-01</v>
      </c>
      <c r="B23">
        <f>Sheet1!C23</f>
        <v>193199</v>
      </c>
    </row>
    <row r="24" spans="1:2">
      <c r="A24" t="str">
        <f>Sheet1!B24</f>
        <v>2004-11-01</v>
      </c>
      <c r="B24">
        <f>Sheet1!C24</f>
        <v>199983.956521739</v>
      </c>
    </row>
    <row r="25" spans="1:2">
      <c r="A25" t="str">
        <f>Sheet1!B25</f>
        <v>2004-12-01</v>
      </c>
      <c r="B25">
        <f>Sheet1!C25</f>
        <v>206550.043478261</v>
      </c>
    </row>
    <row r="26" spans="1:2">
      <c r="A26" t="str">
        <f>Sheet1!B26</f>
        <v>2005-01-01</v>
      </c>
      <c r="B26">
        <f>Sheet1!C26</f>
        <v>213335</v>
      </c>
    </row>
    <row r="27" spans="1:2">
      <c r="A27" t="str">
        <f>Sheet1!B27</f>
        <v>2005-02-01</v>
      </c>
      <c r="B27">
        <f>Sheet1!C27</f>
        <v>215407.866666667</v>
      </c>
    </row>
    <row r="28" spans="1:2">
      <c r="A28" t="str">
        <f>Sheet1!B28</f>
        <v>2005-03-01</v>
      </c>
      <c r="B28">
        <f>Sheet1!C28</f>
        <v>217280.133333333</v>
      </c>
    </row>
    <row r="29" spans="1:2">
      <c r="A29" t="str">
        <f>Sheet1!B29</f>
        <v>2005-04-01</v>
      </c>
      <c r="B29">
        <f>Sheet1!C29</f>
        <v>219353</v>
      </c>
    </row>
    <row r="30" spans="1:2">
      <c r="A30" t="str">
        <f>Sheet1!B30</f>
        <v>2005-05-01</v>
      </c>
      <c r="B30">
        <f>Sheet1!C30</f>
        <v>222147.285714286</v>
      </c>
    </row>
    <row r="31" spans="1:2">
      <c r="A31" t="str">
        <f>Sheet1!B31</f>
        <v>2005-06-01</v>
      </c>
      <c r="B31">
        <f>Sheet1!C31</f>
        <v>225034.714285714</v>
      </c>
    </row>
    <row r="32" spans="1:2">
      <c r="A32" t="str">
        <f>Sheet1!B32</f>
        <v>2005-07-01</v>
      </c>
      <c r="B32">
        <f>Sheet1!C32</f>
        <v>227829</v>
      </c>
    </row>
    <row r="33" spans="1:2">
      <c r="A33" t="str">
        <f>Sheet1!B33</f>
        <v>2005-08-01</v>
      </c>
      <c r="B33">
        <f>Sheet1!C33</f>
        <v>227451.27173913</v>
      </c>
    </row>
    <row r="34" spans="1:2">
      <c r="A34" t="str">
        <f>Sheet1!B34</f>
        <v>2005-09-01</v>
      </c>
      <c r="B34">
        <f>Sheet1!C34</f>
        <v>227073.543478261</v>
      </c>
    </row>
    <row r="35" spans="1:2">
      <c r="A35" t="str">
        <f>Sheet1!B35</f>
        <v>2005-10-01</v>
      </c>
      <c r="B35">
        <f>Sheet1!C35</f>
        <v>226708</v>
      </c>
    </row>
    <row r="36" spans="1:2">
      <c r="A36" t="str">
        <f>Sheet1!B36</f>
        <v>2005-11-01</v>
      </c>
      <c r="B36">
        <f>Sheet1!C36</f>
        <v>236983.826086957</v>
      </c>
    </row>
    <row r="37" spans="1:2">
      <c r="A37" t="str">
        <f>Sheet1!B37</f>
        <v>2005-12-01</v>
      </c>
      <c r="B37">
        <f>Sheet1!C37</f>
        <v>246928.173913043</v>
      </c>
    </row>
    <row r="38" spans="1:2">
      <c r="A38" t="str">
        <f>Sheet1!B38</f>
        <v>2006-01-01</v>
      </c>
      <c r="B38">
        <f>Sheet1!C38</f>
        <v>257204</v>
      </c>
    </row>
    <row r="39" spans="1:2">
      <c r="A39" t="str">
        <f>Sheet1!B39</f>
        <v>2006-02-01</v>
      </c>
      <c r="B39">
        <f>Sheet1!C39</f>
        <v>262741.288888889</v>
      </c>
    </row>
    <row r="40" spans="1:2">
      <c r="A40" t="str">
        <f>Sheet1!B40</f>
        <v>2006-03-01</v>
      </c>
      <c r="B40">
        <f>Sheet1!C40</f>
        <v>267742.711111111</v>
      </c>
    </row>
    <row r="41" spans="1:2">
      <c r="A41" t="str">
        <f>Sheet1!B41</f>
        <v>2006-04-01</v>
      </c>
      <c r="B41">
        <f>Sheet1!C41</f>
        <v>273280</v>
      </c>
    </row>
    <row r="42" spans="1:2">
      <c r="A42" t="str">
        <f>Sheet1!B42</f>
        <v>2006-05-01</v>
      </c>
      <c r="B42">
        <f>Sheet1!C42</f>
        <v>278498.681318681</v>
      </c>
    </row>
    <row r="43" spans="1:2">
      <c r="A43" t="str">
        <f>Sheet1!B43</f>
        <v>2006-06-01</v>
      </c>
      <c r="B43">
        <f>Sheet1!C43</f>
        <v>283891.318681319</v>
      </c>
    </row>
    <row r="44" spans="1:2">
      <c r="A44" t="str">
        <f>Sheet1!B44</f>
        <v>2006-07-01</v>
      </c>
      <c r="B44">
        <f>Sheet1!C44</f>
        <v>289110</v>
      </c>
    </row>
    <row r="45" spans="1:2">
      <c r="A45" t="str">
        <f>Sheet1!B45</f>
        <v>2006-08-01</v>
      </c>
      <c r="B45">
        <f>Sheet1!C45</f>
        <v>282506.326086957</v>
      </c>
    </row>
    <row r="46" spans="1:2">
      <c r="A46" t="str">
        <f>Sheet1!B46</f>
        <v>2006-09-01</v>
      </c>
      <c r="B46">
        <f>Sheet1!C46</f>
        <v>275902.652173913</v>
      </c>
    </row>
    <row r="47" spans="1:2">
      <c r="A47" t="str">
        <f>Sheet1!B47</f>
        <v>2006-10-01</v>
      </c>
      <c r="B47">
        <f>Sheet1!C47</f>
        <v>269512</v>
      </c>
    </row>
    <row r="48" spans="1:2">
      <c r="A48" t="str">
        <f>Sheet1!B48</f>
        <v>2006-11-01</v>
      </c>
      <c r="B48">
        <f>Sheet1!C48</f>
        <v>284237.673913043</v>
      </c>
    </row>
    <row r="49" spans="1:2">
      <c r="A49" t="str">
        <f>Sheet1!B49</f>
        <v>2006-12-01</v>
      </c>
      <c r="B49">
        <f>Sheet1!C49</f>
        <v>298488.326086957</v>
      </c>
    </row>
    <row r="50" spans="1:2">
      <c r="A50" t="str">
        <f>Sheet1!B50</f>
        <v>2007-01-01</v>
      </c>
      <c r="B50">
        <f>Sheet1!C50</f>
        <v>313214</v>
      </c>
    </row>
    <row r="51" spans="1:2">
      <c r="A51" t="str">
        <f>Sheet1!B51</f>
        <v>2007-02-01</v>
      </c>
      <c r="B51">
        <f>Sheet1!C51</f>
        <v>327809.144444444</v>
      </c>
    </row>
    <row r="52" spans="1:2">
      <c r="A52" t="str">
        <f>Sheet1!B52</f>
        <v>2007-03-01</v>
      </c>
      <c r="B52">
        <f>Sheet1!C52</f>
        <v>340991.855555556</v>
      </c>
    </row>
    <row r="53" spans="1:2">
      <c r="A53" t="str">
        <f>Sheet1!B53</f>
        <v>2007-04-01</v>
      </c>
      <c r="B53">
        <f>Sheet1!C53</f>
        <v>355587</v>
      </c>
    </row>
    <row r="54" spans="1:2">
      <c r="A54" t="str">
        <f>Sheet1!B54</f>
        <v>2007-05-01</v>
      </c>
      <c r="B54">
        <f>Sheet1!C54</f>
        <v>370079.637362637</v>
      </c>
    </row>
    <row r="55" spans="1:2">
      <c r="A55" t="str">
        <f>Sheet1!B55</f>
        <v>2007-06-01</v>
      </c>
      <c r="B55">
        <f>Sheet1!C55</f>
        <v>385055.362637363</v>
      </c>
    </row>
    <row r="56" spans="1:2">
      <c r="A56" t="str">
        <f>Sheet1!B56</f>
        <v>2007-07-01</v>
      </c>
      <c r="B56">
        <f>Sheet1!C56</f>
        <v>399548</v>
      </c>
    </row>
    <row r="57" spans="1:2">
      <c r="A57" t="str">
        <f>Sheet1!B57</f>
        <v>2007-08-01</v>
      </c>
      <c r="B57">
        <f>Sheet1!C57</f>
        <v>412786.347826087</v>
      </c>
    </row>
    <row r="58" spans="1:2">
      <c r="A58" t="str">
        <f>Sheet1!B58</f>
        <v>2007-09-01</v>
      </c>
      <c r="B58">
        <f>Sheet1!C58</f>
        <v>426024.695652174</v>
      </c>
    </row>
    <row r="59" spans="1:2">
      <c r="A59" t="str">
        <f>Sheet1!B59</f>
        <v>2007-10-01</v>
      </c>
      <c r="B59">
        <f>Sheet1!C59</f>
        <v>438836</v>
      </c>
    </row>
    <row r="60" spans="1:2">
      <c r="A60" t="str">
        <f>Sheet1!B60</f>
        <v>2007-11-01</v>
      </c>
      <c r="B60">
        <f>Sheet1!C60</f>
        <v>447444.565217391</v>
      </c>
    </row>
    <row r="61" spans="1:2">
      <c r="A61" t="str">
        <f>Sheet1!B61</f>
        <v>2007-12-01</v>
      </c>
      <c r="B61">
        <f>Sheet1!C61</f>
        <v>455775.434782609</v>
      </c>
    </row>
    <row r="62" spans="1:2">
      <c r="A62" t="str">
        <f>Sheet1!B62</f>
        <v>2008-01-01</v>
      </c>
      <c r="B62">
        <f>Sheet1!C62</f>
        <v>464384</v>
      </c>
    </row>
    <row r="63" spans="1:2">
      <c r="A63" t="str">
        <f>Sheet1!B63</f>
        <v>2008-02-01</v>
      </c>
      <c r="B63">
        <f>Sheet1!C63</f>
        <v>470555.725274725</v>
      </c>
    </row>
    <row r="64" spans="1:2">
      <c r="A64" t="str">
        <f>Sheet1!B64</f>
        <v>2008-03-01</v>
      </c>
      <c r="B64">
        <f>Sheet1!C64</f>
        <v>476329.274725275</v>
      </c>
    </row>
    <row r="65" spans="1:2">
      <c r="A65" t="str">
        <f>Sheet1!B65</f>
        <v>2008-04-01</v>
      </c>
      <c r="B65">
        <f>Sheet1!C65</f>
        <v>482501</v>
      </c>
    </row>
    <row r="66" spans="1:2">
      <c r="A66" t="str">
        <f>Sheet1!B66</f>
        <v>2008-05-01</v>
      </c>
      <c r="B66">
        <f>Sheet1!C66</f>
        <v>499288.472527473</v>
      </c>
    </row>
    <row r="67" spans="1:2">
      <c r="A67" t="str">
        <f>Sheet1!B67</f>
        <v>2008-06-01</v>
      </c>
      <c r="B67">
        <f>Sheet1!C67</f>
        <v>516635.527472527</v>
      </c>
    </row>
    <row r="68" spans="1:2">
      <c r="A68" t="str">
        <f>Sheet1!B68</f>
        <v>2008-07-01</v>
      </c>
      <c r="B68">
        <f>Sheet1!C68</f>
        <v>533423</v>
      </c>
    </row>
    <row r="69" spans="1:2">
      <c r="A69" t="str">
        <f>Sheet1!B69</f>
        <v>2008-08-01</v>
      </c>
      <c r="B69">
        <f>Sheet1!C69</f>
        <v>535717.336956522</v>
      </c>
    </row>
    <row r="70" spans="1:2">
      <c r="A70" t="str">
        <f>Sheet1!B70</f>
        <v>2008-09-01</v>
      </c>
      <c r="B70">
        <f>Sheet1!C70</f>
        <v>538011.673913043</v>
      </c>
    </row>
    <row r="71" spans="1:2">
      <c r="A71" t="str">
        <f>Sheet1!B71</f>
        <v>2008-10-01</v>
      </c>
      <c r="B71">
        <f>Sheet1!C71</f>
        <v>540232</v>
      </c>
    </row>
    <row r="72" spans="1:2">
      <c r="A72" t="str">
        <f>Sheet1!B72</f>
        <v>2008-11-01</v>
      </c>
      <c r="B72">
        <f>Sheet1!C72</f>
        <v>519876.793478261</v>
      </c>
    </row>
    <row r="73" spans="1:2">
      <c r="A73" t="str">
        <f>Sheet1!B73</f>
        <v>2008-12-01</v>
      </c>
      <c r="B73">
        <f>Sheet1!C73</f>
        <v>500178.206521739</v>
      </c>
    </row>
    <row r="74" spans="1:2">
      <c r="A74" t="str">
        <f>Sheet1!B74</f>
        <v>2009-01-01</v>
      </c>
      <c r="B74">
        <f>Sheet1!C74</f>
        <v>479823</v>
      </c>
    </row>
    <row r="75" spans="1:2">
      <c r="A75" t="str">
        <f>Sheet1!B75</f>
        <v>2009-02-01</v>
      </c>
      <c r="B75">
        <f>Sheet1!C75</f>
        <v>468009.588888889</v>
      </c>
    </row>
    <row r="76" spans="1:2">
      <c r="A76" t="str">
        <f>Sheet1!B76</f>
        <v>2009-03-01</v>
      </c>
      <c r="B76">
        <f>Sheet1!C76</f>
        <v>457339.411111111</v>
      </c>
    </row>
    <row r="77" spans="1:2">
      <c r="A77" t="str">
        <f>Sheet1!B77</f>
        <v>2009-04-01</v>
      </c>
      <c r="B77">
        <f>Sheet1!C77</f>
        <v>445526</v>
      </c>
    </row>
    <row r="78" spans="1:2">
      <c r="A78" t="str">
        <f>Sheet1!B78</f>
        <v>2009-05-01</v>
      </c>
      <c r="B78">
        <f>Sheet1!C78</f>
        <v>452238.087912088</v>
      </c>
    </row>
    <row r="79" spans="1:2">
      <c r="A79" t="str">
        <f>Sheet1!B79</f>
        <v>2009-06-01</v>
      </c>
      <c r="B79">
        <f>Sheet1!C79</f>
        <v>459173.912087912</v>
      </c>
    </row>
    <row r="80" spans="1:2">
      <c r="A80" t="str">
        <f>Sheet1!B80</f>
        <v>2009-07-01</v>
      </c>
      <c r="B80">
        <f>Sheet1!C80</f>
        <v>465886</v>
      </c>
    </row>
    <row r="81" spans="1:2">
      <c r="A81" t="str">
        <f>Sheet1!B81</f>
        <v>2009-08-01</v>
      </c>
      <c r="B81">
        <f>Sheet1!C81</f>
        <v>468417.217391304</v>
      </c>
    </row>
    <row r="82" spans="1:2">
      <c r="A82" t="str">
        <f>Sheet1!B82</f>
        <v>2009-09-01</v>
      </c>
      <c r="B82">
        <f>Sheet1!C82</f>
        <v>470948.434782609</v>
      </c>
    </row>
    <row r="83" spans="1:2">
      <c r="A83" t="str">
        <f>Sheet1!B83</f>
        <v>2009-10-01</v>
      </c>
      <c r="B83">
        <f>Sheet1!C83</f>
        <v>473398</v>
      </c>
    </row>
    <row r="84" spans="1:2">
      <c r="A84" t="str">
        <f>Sheet1!B84</f>
        <v>2009-11-01</v>
      </c>
      <c r="B84">
        <f>Sheet1!C84</f>
        <v>471004.260869565</v>
      </c>
    </row>
    <row r="85" spans="1:2">
      <c r="A85" t="str">
        <f>Sheet1!B85</f>
        <v>2009-12-01</v>
      </c>
      <c r="B85">
        <f>Sheet1!C85</f>
        <v>468687.739130435</v>
      </c>
    </row>
    <row r="86" spans="1:2">
      <c r="A86" t="str">
        <f>Sheet1!B86</f>
        <v>2010-01-01</v>
      </c>
      <c r="B86">
        <f>Sheet1!C86</f>
        <v>466294</v>
      </c>
    </row>
    <row r="87" spans="1:2">
      <c r="A87" t="str">
        <f>Sheet1!B87</f>
        <v>2010-02-01</v>
      </c>
      <c r="B87">
        <f>Sheet1!C87</f>
        <v>465104.288888889</v>
      </c>
    </row>
    <row r="88" spans="1:2">
      <c r="A88" t="str">
        <f>Sheet1!B88</f>
        <v>2010-03-01</v>
      </c>
      <c r="B88">
        <f>Sheet1!C88</f>
        <v>464029.711111111</v>
      </c>
    </row>
    <row r="89" spans="1:2">
      <c r="A89" t="str">
        <f>Sheet1!B89</f>
        <v>2010-04-01</v>
      </c>
      <c r="B89">
        <f>Sheet1!C89</f>
        <v>462840</v>
      </c>
    </row>
    <row r="90" spans="1:2">
      <c r="A90" t="str">
        <f>Sheet1!B90</f>
        <v>2010-05-01</v>
      </c>
      <c r="B90">
        <f>Sheet1!C90</f>
        <v>460900.21978022</v>
      </c>
    </row>
    <row r="91" spans="1:2">
      <c r="A91" t="str">
        <f>Sheet1!B91</f>
        <v>2010-06-01</v>
      </c>
      <c r="B91">
        <f>Sheet1!C91</f>
        <v>458895.78021978</v>
      </c>
    </row>
    <row r="92" spans="1:2">
      <c r="A92" t="str">
        <f>Sheet1!B92</f>
        <v>2010-07-01</v>
      </c>
      <c r="B92">
        <f>Sheet1!C92</f>
        <v>456956</v>
      </c>
    </row>
    <row r="93" spans="1:2">
      <c r="A93" t="str">
        <f>Sheet1!B93</f>
        <v>2010-08-01</v>
      </c>
      <c r="B93">
        <f>Sheet1!C93</f>
        <v>463435.673913043</v>
      </c>
    </row>
    <row r="94" spans="1:2">
      <c r="A94" t="str">
        <f>Sheet1!B94</f>
        <v>2010-09-01</v>
      </c>
      <c r="B94">
        <f>Sheet1!C94</f>
        <v>469915.347826087</v>
      </c>
    </row>
    <row r="95" spans="1:2">
      <c r="A95" t="str">
        <f>Sheet1!B95</f>
        <v>2010-10-01</v>
      </c>
      <c r="B95">
        <f>Sheet1!C95</f>
        <v>476186</v>
      </c>
    </row>
    <row r="96" spans="1:2">
      <c r="A96" t="str">
        <f>Sheet1!B96</f>
        <v>2010-11-01</v>
      </c>
      <c r="B96">
        <f>Sheet1!C96</f>
        <v>480347.75</v>
      </c>
    </row>
    <row r="97" spans="1:2">
      <c r="A97" t="str">
        <f>Sheet1!B97</f>
        <v>2010-12-01</v>
      </c>
      <c r="B97">
        <f>Sheet1!C97</f>
        <v>484375.25</v>
      </c>
    </row>
    <row r="98" spans="1:2">
      <c r="A98" t="str">
        <f>Sheet1!B98</f>
        <v>2011-01-01</v>
      </c>
      <c r="B98">
        <f>Sheet1!C98</f>
        <v>488537</v>
      </c>
    </row>
    <row r="99" spans="1:2">
      <c r="A99" t="str">
        <f>Sheet1!B99</f>
        <v>2011-02-01</v>
      </c>
      <c r="B99">
        <f>Sheet1!C99</f>
        <v>495365.266666667</v>
      </c>
    </row>
    <row r="100" spans="1:2">
      <c r="A100" t="str">
        <f>Sheet1!B100</f>
        <v>2011-03-01</v>
      </c>
      <c r="B100">
        <f>Sheet1!C100</f>
        <v>501532.733333333</v>
      </c>
    </row>
    <row r="101" spans="1:2">
      <c r="A101" t="str">
        <f>Sheet1!B101</f>
        <v>2011-04-01</v>
      </c>
      <c r="B101">
        <f>Sheet1!C101</f>
        <v>508361</v>
      </c>
    </row>
    <row r="102" spans="1:2">
      <c r="A102" t="str">
        <f>Sheet1!B102</f>
        <v>2011-05-01</v>
      </c>
      <c r="B102">
        <f>Sheet1!C102</f>
        <v>518171.659340659</v>
      </c>
    </row>
    <row r="103" spans="1:2">
      <c r="A103" t="str">
        <f>Sheet1!B103</f>
        <v>2011-06-01</v>
      </c>
      <c r="B103">
        <f>Sheet1!C103</f>
        <v>528309.340659341</v>
      </c>
    </row>
    <row r="104" spans="1:2">
      <c r="A104" t="str">
        <f>Sheet1!B104</f>
        <v>2011-07-01</v>
      </c>
      <c r="B104">
        <f>Sheet1!C104</f>
        <v>538120</v>
      </c>
    </row>
    <row r="105" spans="1:2">
      <c r="A105" t="str">
        <f>Sheet1!B105</f>
        <v>2011-08-01</v>
      </c>
      <c r="B105">
        <f>Sheet1!C105</f>
        <v>533893.891304348</v>
      </c>
    </row>
    <row r="106" spans="1:2">
      <c r="A106" t="str">
        <f>Sheet1!B106</f>
        <v>2011-09-01</v>
      </c>
      <c r="B106">
        <f>Sheet1!C106</f>
        <v>529667.782608696</v>
      </c>
    </row>
    <row r="107" spans="1:2">
      <c r="A107" t="str">
        <f>Sheet1!B107</f>
        <v>2011-10-01</v>
      </c>
      <c r="B107">
        <f>Sheet1!C107</f>
        <v>525578</v>
      </c>
    </row>
    <row r="108" spans="1:2">
      <c r="A108" t="str">
        <f>Sheet1!B108</f>
        <v>2011-11-01</v>
      </c>
      <c r="B108">
        <f>Sheet1!C108</f>
        <v>530061.543478261</v>
      </c>
    </row>
    <row r="109" spans="1:2">
      <c r="A109" t="str">
        <f>Sheet1!B109</f>
        <v>2011-12-01</v>
      </c>
      <c r="B109">
        <f>Sheet1!C109</f>
        <v>534400.456521739</v>
      </c>
    </row>
    <row r="110" spans="1:2">
      <c r="A110" t="str">
        <f>Sheet1!B110</f>
        <v>2012-01-01</v>
      </c>
      <c r="B110">
        <f>Sheet1!C110</f>
        <v>538884</v>
      </c>
    </row>
    <row r="111" spans="1:2">
      <c r="A111" t="str">
        <f>Sheet1!B111</f>
        <v>2012-02-01</v>
      </c>
      <c r="B111">
        <f>Sheet1!C111</f>
        <v>545232.868131868</v>
      </c>
    </row>
    <row r="112" spans="1:2">
      <c r="A112" t="str">
        <f>Sheet1!B112</f>
        <v>2012-03-01</v>
      </c>
      <c r="B112">
        <f>Sheet1!C112</f>
        <v>551172.131868132</v>
      </c>
    </row>
    <row r="113" spans="1:2">
      <c r="A113" t="str">
        <f>Sheet1!B113</f>
        <v>2012-04-01</v>
      </c>
      <c r="B113">
        <f>Sheet1!C113</f>
        <v>557521</v>
      </c>
    </row>
    <row r="114" spans="1:2">
      <c r="A114" t="str">
        <f>Sheet1!B114</f>
        <v>2012-05-01</v>
      </c>
      <c r="B114">
        <f>Sheet1!C114</f>
        <v>561849.901098901</v>
      </c>
    </row>
    <row r="115" spans="1:2">
      <c r="A115" t="str">
        <f>Sheet1!B115</f>
        <v>2012-06-01</v>
      </c>
      <c r="B115">
        <f>Sheet1!C115</f>
        <v>566323.098901099</v>
      </c>
    </row>
    <row r="116" spans="1:2">
      <c r="A116" t="str">
        <f>Sheet1!B116</f>
        <v>2012-07-01</v>
      </c>
      <c r="B116">
        <f>Sheet1!C116</f>
        <v>570652</v>
      </c>
    </row>
    <row r="117" spans="1:2">
      <c r="A117" t="str">
        <f>Sheet1!B117</f>
        <v>2012-08-01</v>
      </c>
      <c r="B117">
        <f>Sheet1!C117</f>
        <v>580179.445652174</v>
      </c>
    </row>
    <row r="118" spans="1:2">
      <c r="A118" t="str">
        <f>Sheet1!B118</f>
        <v>2012-09-01</v>
      </c>
      <c r="B118">
        <f>Sheet1!C118</f>
        <v>589706.891304348</v>
      </c>
    </row>
    <row r="119" spans="1:2">
      <c r="A119" t="str">
        <f>Sheet1!B119</f>
        <v>2012-10-01</v>
      </c>
      <c r="B119">
        <f>Sheet1!C119</f>
        <v>598927</v>
      </c>
    </row>
    <row r="120" spans="1:2">
      <c r="A120" t="str">
        <f>Sheet1!B120</f>
        <v>2012-11-01</v>
      </c>
      <c r="B120">
        <f>Sheet1!C120</f>
        <v>611560.847826087</v>
      </c>
    </row>
    <row r="121" spans="1:2">
      <c r="A121" t="str">
        <f>Sheet1!B121</f>
        <v>2012-12-01</v>
      </c>
      <c r="B121">
        <f>Sheet1!C121</f>
        <v>623787.152173913</v>
      </c>
    </row>
    <row r="122" spans="1:2">
      <c r="A122" t="str">
        <f>Sheet1!B122</f>
        <v>2013-01-01</v>
      </c>
      <c r="B122">
        <f>Sheet1!C122</f>
        <v>636421</v>
      </c>
    </row>
    <row r="123" spans="1:2">
      <c r="A123" t="str">
        <f>Sheet1!B123</f>
        <v>2013-02-01</v>
      </c>
      <c r="B123">
        <f>Sheet1!C123</f>
        <v>655451.9</v>
      </c>
    </row>
    <row r="124" spans="1:2">
      <c r="A124" t="str">
        <f>Sheet1!B124</f>
        <v>2013-03-01</v>
      </c>
      <c r="B124">
        <f>Sheet1!C124</f>
        <v>672641.1</v>
      </c>
    </row>
    <row r="125" spans="1:2">
      <c r="A125" t="str">
        <f>Sheet1!B125</f>
        <v>2013-04-01</v>
      </c>
      <c r="B125">
        <f>Sheet1!C125</f>
        <v>691672</v>
      </c>
    </row>
    <row r="126" spans="1:2">
      <c r="A126" t="str">
        <f>Sheet1!B126</f>
        <v>2013-05-01</v>
      </c>
      <c r="B126">
        <f>Sheet1!C126</f>
        <v>696977.054945055</v>
      </c>
    </row>
    <row r="127" spans="1:2">
      <c r="A127" t="str">
        <f>Sheet1!B127</f>
        <v>2013-06-01</v>
      </c>
      <c r="B127">
        <f>Sheet1!C127</f>
        <v>702458.945054945</v>
      </c>
    </row>
    <row r="128" spans="1:2">
      <c r="A128" t="str">
        <f>Sheet1!B128</f>
        <v>2013-07-01</v>
      </c>
      <c r="B128">
        <f>Sheet1!C128</f>
        <v>707764</v>
      </c>
    </row>
    <row r="129" spans="1:2">
      <c r="A129" t="str">
        <f>Sheet1!B129</f>
        <v>2013-08-01</v>
      </c>
      <c r="B129">
        <f>Sheet1!C129</f>
        <v>710626.782608696</v>
      </c>
    </row>
    <row r="130" spans="1:2">
      <c r="A130" t="str">
        <f>Sheet1!B130</f>
        <v>2013-09-01</v>
      </c>
      <c r="B130">
        <f>Sheet1!C130</f>
        <v>713489.565217391</v>
      </c>
    </row>
    <row r="131" spans="1:2">
      <c r="A131" t="str">
        <f>Sheet1!B131</f>
        <v>2013-10-01</v>
      </c>
      <c r="B131">
        <f>Sheet1!C131</f>
        <v>716260</v>
      </c>
    </row>
    <row r="132" spans="1:2">
      <c r="A132" t="str">
        <f>Sheet1!B132</f>
        <v>2013-11-01</v>
      </c>
      <c r="B132">
        <f>Sheet1!C132</f>
        <v>720507</v>
      </c>
    </row>
    <row r="133" spans="1:2">
      <c r="A133" t="str">
        <f>Sheet1!B133</f>
        <v>2013-12-01</v>
      </c>
      <c r="B133">
        <f>Sheet1!C133</f>
        <v>724617</v>
      </c>
    </row>
    <row r="134" spans="1:2">
      <c r="A134" t="str">
        <f>Sheet1!B134</f>
        <v>2014-01-01</v>
      </c>
      <c r="B134">
        <f>Sheet1!C134</f>
        <v>728864</v>
      </c>
    </row>
    <row r="135" spans="1:2">
      <c r="A135" t="str">
        <f>Sheet1!B135</f>
        <v>2014-02-01</v>
      </c>
      <c r="B135">
        <f>Sheet1!C135</f>
        <v>724395.866666667</v>
      </c>
    </row>
    <row r="136" spans="1:2">
      <c r="A136" t="str">
        <f>Sheet1!B136</f>
        <v>2014-03-01</v>
      </c>
      <c r="B136">
        <f>Sheet1!C136</f>
        <v>720360.133333333</v>
      </c>
    </row>
    <row r="137" spans="1:2">
      <c r="A137" t="str">
        <f>Sheet1!B137</f>
        <v>2014-04-01</v>
      </c>
      <c r="B137">
        <f>Sheet1!C137</f>
        <v>715892</v>
      </c>
    </row>
    <row r="138" spans="1:2">
      <c r="A138" t="str">
        <f>Sheet1!B138</f>
        <v>2014-05-01</v>
      </c>
      <c r="B138">
        <f>Sheet1!C138</f>
        <v>721459.142857143</v>
      </c>
    </row>
    <row r="139" spans="1:2">
      <c r="A139" t="str">
        <f>Sheet1!B139</f>
        <v>2014-06-01</v>
      </c>
      <c r="B139">
        <f>Sheet1!C139</f>
        <v>727211.857142857</v>
      </c>
    </row>
    <row r="140" spans="1:2">
      <c r="A140" t="str">
        <f>Sheet1!B140</f>
        <v>2014-07-01</v>
      </c>
      <c r="B140">
        <f>Sheet1!C140</f>
        <v>732779</v>
      </c>
    </row>
    <row r="141" spans="1:2">
      <c r="A141" t="str">
        <f>Sheet1!B141</f>
        <v>2014-08-01</v>
      </c>
      <c r="B141">
        <f>Sheet1!C141</f>
        <v>715283.543478261</v>
      </c>
    </row>
    <row r="142" spans="1:2">
      <c r="A142" t="str">
        <f>Sheet1!B142</f>
        <v>2014-09-01</v>
      </c>
      <c r="B142">
        <f>Sheet1!C142</f>
        <v>697788.086956522</v>
      </c>
    </row>
    <row r="143" spans="1:2">
      <c r="A143" t="str">
        <f>Sheet1!B143</f>
        <v>2014-10-01</v>
      </c>
      <c r="B143">
        <f>Sheet1!C143</f>
        <v>680857</v>
      </c>
    </row>
    <row r="144" spans="1:2">
      <c r="A144" t="str">
        <f>Sheet1!B144</f>
        <v>2014-11-01</v>
      </c>
      <c r="B144">
        <f>Sheet1!C144</f>
        <v>653578.347826087</v>
      </c>
    </row>
    <row r="145" spans="1:2">
      <c r="A145" t="str">
        <f>Sheet1!B145</f>
        <v>2014-12-01</v>
      </c>
      <c r="B145">
        <f>Sheet1!C145</f>
        <v>627179.652173913</v>
      </c>
    </row>
    <row r="146" spans="1:2">
      <c r="A146" t="str">
        <f>Sheet1!B146</f>
        <v>2015-01-01</v>
      </c>
      <c r="B146">
        <f>Sheet1!C146</f>
        <v>599901</v>
      </c>
    </row>
    <row r="147" spans="1:2">
      <c r="A147" t="str">
        <f>Sheet1!B147</f>
        <v>2015-02-01</v>
      </c>
      <c r="B147">
        <f>Sheet1!C147</f>
        <v>585225.6</v>
      </c>
    </row>
    <row r="148" spans="1:2">
      <c r="A148" t="str">
        <f>Sheet1!B148</f>
        <v>2015-03-01</v>
      </c>
      <c r="B148">
        <f>Sheet1!C148</f>
        <v>571970.4</v>
      </c>
    </row>
    <row r="149" spans="1:2">
      <c r="A149" t="str">
        <f>Sheet1!B149</f>
        <v>2015-04-01</v>
      </c>
      <c r="B149">
        <f>Sheet1!C149</f>
        <v>557295</v>
      </c>
    </row>
    <row r="150" spans="1:2">
      <c r="A150" t="str">
        <f>Sheet1!B150</f>
        <v>2015-05-01</v>
      </c>
      <c r="B150">
        <f>Sheet1!C150</f>
        <v>556980.164835165</v>
      </c>
    </row>
    <row r="151" spans="1:2">
      <c r="A151" t="str">
        <f>Sheet1!B151</f>
        <v>2015-06-01</v>
      </c>
      <c r="B151">
        <f>Sheet1!C151</f>
        <v>556654.835164835</v>
      </c>
    </row>
    <row r="152" spans="1:2">
      <c r="A152" t="str">
        <f>Sheet1!B152</f>
        <v>2015-07-01</v>
      </c>
      <c r="B152">
        <f>Sheet1!C152</f>
        <v>556340</v>
      </c>
    </row>
    <row r="153" spans="1:2">
      <c r="A153" t="str">
        <f>Sheet1!B153</f>
        <v>2015-08-01</v>
      </c>
      <c r="B153">
        <f>Sheet1!C153</f>
        <v>549786.195652174</v>
      </c>
    </row>
    <row r="154" spans="1:2">
      <c r="A154" t="str">
        <f>Sheet1!B154</f>
        <v>2015-09-01</v>
      </c>
      <c r="B154">
        <f>Sheet1!C154</f>
        <v>543232.391304348</v>
      </c>
    </row>
    <row r="155" spans="1:2">
      <c r="A155" t="str">
        <f>Sheet1!B155</f>
        <v>2015-10-01</v>
      </c>
      <c r="B155">
        <f>Sheet1!C155</f>
        <v>536890</v>
      </c>
    </row>
    <row r="156" spans="1:2">
      <c r="A156" t="str">
        <f>Sheet1!B156</f>
        <v>2015-11-01</v>
      </c>
      <c r="B156">
        <f>Sheet1!C156</f>
        <v>530689.663043478</v>
      </c>
    </row>
    <row r="157" spans="1:2">
      <c r="A157" t="str">
        <f>Sheet1!B157</f>
        <v>2015-12-01</v>
      </c>
      <c r="B157">
        <f>Sheet1!C157</f>
        <v>524689.336956522</v>
      </c>
    </row>
    <row r="158" spans="1:2">
      <c r="A158" t="str">
        <f>Sheet1!B158</f>
        <v>2016-01-01</v>
      </c>
      <c r="B158">
        <f>Sheet1!C158</f>
        <v>518489</v>
      </c>
    </row>
    <row r="159" spans="1:2">
      <c r="A159" t="str">
        <f>Sheet1!B159</f>
        <v>2016-02-01</v>
      </c>
      <c r="B159">
        <f>Sheet1!C159</f>
        <v>519044.956043956</v>
      </c>
    </row>
    <row r="160" spans="1:2">
      <c r="A160" t="str">
        <f>Sheet1!B160</f>
        <v>2016-03-01</v>
      </c>
      <c r="B160">
        <f>Sheet1!C160</f>
        <v>519565.043956044</v>
      </c>
    </row>
    <row r="161" spans="1:2">
      <c r="A161" t="str">
        <f>Sheet1!B161</f>
        <v>2016-04-01</v>
      </c>
      <c r="B161">
        <f>Sheet1!C161</f>
        <v>520121</v>
      </c>
    </row>
    <row r="162" spans="1:2">
      <c r="A162" t="str">
        <f>Sheet1!B162</f>
        <v>2016-05-01</v>
      </c>
      <c r="B162">
        <f>Sheet1!C162</f>
        <v>521075.065934066</v>
      </c>
    </row>
    <row r="163" spans="1:2">
      <c r="A163" t="str">
        <f>Sheet1!B163</f>
        <v>2016-06-01</v>
      </c>
      <c r="B163">
        <f>Sheet1!C163</f>
        <v>522060.934065934</v>
      </c>
    </row>
    <row r="164" spans="1:2">
      <c r="A164" t="str">
        <f>Sheet1!B164</f>
        <v>2016-07-01</v>
      </c>
      <c r="B164">
        <f>Sheet1!C164</f>
        <v>523015</v>
      </c>
    </row>
    <row r="165" spans="1:2">
      <c r="A165" t="str">
        <f>Sheet1!B165</f>
        <v>2016-08-01</v>
      </c>
      <c r="B165">
        <f>Sheet1!C165</f>
        <v>521436.358695652</v>
      </c>
    </row>
    <row r="166" spans="1:2">
      <c r="A166" t="str">
        <f>Sheet1!B166</f>
        <v>2016-09-01</v>
      </c>
      <c r="B166">
        <f>Sheet1!C166</f>
        <v>519857.717391304</v>
      </c>
    </row>
    <row r="167" spans="1:2">
      <c r="A167" t="str">
        <f>Sheet1!B167</f>
        <v>2016-10-01</v>
      </c>
      <c r="B167">
        <f>Sheet1!C167</f>
        <v>518330</v>
      </c>
    </row>
    <row r="168" spans="1:2">
      <c r="A168" t="str">
        <f>Sheet1!B168</f>
        <v>2016-11-01</v>
      </c>
      <c r="B168">
        <f>Sheet1!C168</f>
        <v>516113.5</v>
      </c>
    </row>
    <row r="169" spans="1:2">
      <c r="A169" t="str">
        <f>Sheet1!B169</f>
        <v>2016-12-01</v>
      </c>
      <c r="B169">
        <f>Sheet1!C169</f>
        <v>513968.5</v>
      </c>
    </row>
    <row r="170" spans="1:2">
      <c r="A170" t="str">
        <f>Sheet1!B170</f>
        <v>2017-01-01</v>
      </c>
      <c r="B170">
        <f>Sheet1!C170</f>
        <v>511752</v>
      </c>
    </row>
    <row r="171" spans="1:2">
      <c r="A171" t="str">
        <f>Sheet1!B171</f>
        <v>2017-02-01</v>
      </c>
      <c r="B171">
        <f>Sheet1!C171</f>
        <v>515142.366666667</v>
      </c>
    </row>
    <row r="172" spans="1:2">
      <c r="A172" t="str">
        <f>Sheet1!B172</f>
        <v>2017-03-01</v>
      </c>
      <c r="B172">
        <f>Sheet1!C172</f>
        <v>518204.633333333</v>
      </c>
    </row>
    <row r="173" spans="1:2">
      <c r="A173" t="str">
        <f>Sheet1!B173</f>
        <v>2017-04-01</v>
      </c>
      <c r="B173">
        <f>Sheet1!C173</f>
        <v>521595</v>
      </c>
    </row>
    <row r="174" spans="1:2">
      <c r="A174" t="str">
        <f>Sheet1!B174</f>
        <v>2017-05-01</v>
      </c>
      <c r="B174">
        <f>Sheet1!C174</f>
        <v>523385.769230769</v>
      </c>
    </row>
    <row r="175" spans="1:2">
      <c r="A175" t="str">
        <f>Sheet1!B175</f>
        <v>2017-06-01</v>
      </c>
      <c r="B175">
        <f>Sheet1!C175</f>
        <v>525236.230769231</v>
      </c>
    </row>
    <row r="176" spans="1:2">
      <c r="A176" t="str">
        <f>Sheet1!B176</f>
        <v>2017-07-01</v>
      </c>
      <c r="B176">
        <f>Sheet1!C176</f>
        <v>527027</v>
      </c>
    </row>
    <row r="177" spans="1:2">
      <c r="A177" t="str">
        <f>Sheet1!B177</f>
        <v>2017-08-01</v>
      </c>
      <c r="B177">
        <f>Sheet1!C177</f>
        <v>527888.934782609</v>
      </c>
    </row>
    <row r="178" spans="1:2">
      <c r="A178" t="str">
        <f>Sheet1!B178</f>
        <v>2017-09-01</v>
      </c>
      <c r="B178">
        <f>Sheet1!C178</f>
        <v>528750.869565217</v>
      </c>
    </row>
    <row r="179" spans="1:2">
      <c r="A179" t="str">
        <f>Sheet1!B179</f>
        <v>2017-10-01</v>
      </c>
      <c r="B179">
        <f>Sheet1!C179</f>
        <v>529585</v>
      </c>
    </row>
    <row r="180" spans="1:2">
      <c r="A180" t="str">
        <f>Sheet1!B180</f>
        <v>2017-11-01</v>
      </c>
      <c r="B180">
        <f>Sheet1!C180</f>
        <v>525831.304347826</v>
      </c>
    </row>
    <row r="181" spans="1:2">
      <c r="A181" t="str">
        <f>Sheet1!B181</f>
        <v>2017-12-01</v>
      </c>
      <c r="B181">
        <f>Sheet1!C181</f>
        <v>522198.695652174</v>
      </c>
    </row>
    <row r="182" spans="1:2">
      <c r="A182" t="str">
        <f>Sheet1!B182</f>
        <v>2018-01-01</v>
      </c>
      <c r="B182">
        <f>Sheet1!C182</f>
        <v>518445</v>
      </c>
    </row>
    <row r="183" spans="1:2">
      <c r="A183" t="str">
        <f>Sheet1!B183</f>
        <v>2018-02-01</v>
      </c>
      <c r="B183">
        <f>Sheet1!C183</f>
        <v>519182.111111111</v>
      </c>
    </row>
    <row r="184" spans="1:2">
      <c r="A184" t="str">
        <f>Sheet1!B184</f>
        <v>2018-03-01</v>
      </c>
      <c r="B184">
        <f>Sheet1!C184</f>
        <v>519847.888888889</v>
      </c>
    </row>
    <row r="185" spans="1:2">
      <c r="A185" t="str">
        <f>Sheet1!B185</f>
        <v>2018-04-01</v>
      </c>
      <c r="B185">
        <f>Sheet1!C185</f>
        <v>520585</v>
      </c>
    </row>
    <row r="186" spans="1:2">
      <c r="A186" t="str">
        <f>Sheet1!B186</f>
        <v>2018-05-01</v>
      </c>
      <c r="B186">
        <f>Sheet1!C186</f>
        <v>510846.538461538</v>
      </c>
    </row>
    <row r="187" spans="1:2">
      <c r="A187" t="str">
        <f>Sheet1!B187</f>
        <v>2018-06-01</v>
      </c>
      <c r="B187">
        <f>Sheet1!C187</f>
        <v>500783.461538462</v>
      </c>
    </row>
    <row r="188" spans="1:2">
      <c r="A188" t="str">
        <f>Sheet1!B188</f>
        <v>2018-07-01</v>
      </c>
      <c r="B188">
        <f>Sheet1!C188</f>
        <v>491045</v>
      </c>
    </row>
    <row r="189" spans="1:2">
      <c r="A189" t="str">
        <f>Sheet1!B189</f>
        <v>2018-08-01</v>
      </c>
      <c r="B189">
        <f>Sheet1!C189</f>
        <v>484195.347826087</v>
      </c>
    </row>
    <row r="190" spans="1:2">
      <c r="A190" t="str">
        <f>Sheet1!B190</f>
        <v>2018-09-01</v>
      </c>
      <c r="B190">
        <f>Sheet1!C190</f>
        <v>477345.695652174</v>
      </c>
    </row>
    <row r="191" spans="1:2">
      <c r="A191" t="str">
        <f>Sheet1!B191</f>
        <v>2018-10-01</v>
      </c>
      <c r="B191">
        <f>Sheet1!C191</f>
        <v>470717</v>
      </c>
    </row>
    <row r="192" spans="1:2">
      <c r="A192" t="str">
        <f>Sheet1!B192</f>
        <v>2018-11-01</v>
      </c>
      <c r="B192">
        <f>Sheet1!C192</f>
        <v>465445.652173913</v>
      </c>
    </row>
    <row r="193" spans="1:2">
      <c r="A193" t="str">
        <f>Sheet1!B193</f>
        <v>2018-12-01</v>
      </c>
      <c r="B193">
        <f>Sheet1!C193</f>
        <v>460344.347826087</v>
      </c>
    </row>
    <row r="194" spans="1:2">
      <c r="A194" t="str">
        <f>Sheet1!B194</f>
        <v>2019-01-01</v>
      </c>
      <c r="B194">
        <f>Sheet1!C194</f>
        <v>455073</v>
      </c>
    </row>
    <row r="195" spans="1:2">
      <c r="A195" t="str">
        <f>Sheet1!B195</f>
        <v>2019-02-01</v>
      </c>
      <c r="B195">
        <f>Sheet1!C195</f>
        <v>459989.944444444</v>
      </c>
    </row>
    <row r="196" spans="1:2">
      <c r="A196" t="str">
        <f>Sheet1!B196</f>
        <v>2019-03-01</v>
      </c>
      <c r="B196">
        <f>Sheet1!C196</f>
        <v>464431.055555556</v>
      </c>
    </row>
    <row r="197" spans="1:2">
      <c r="A197" t="str">
        <f>Sheet1!B197</f>
        <v>2019-04-01</v>
      </c>
      <c r="B197">
        <f>Sheet1!C197</f>
        <v>469348</v>
      </c>
    </row>
    <row r="198" spans="1:2">
      <c r="A198" t="str">
        <f>Sheet1!B198</f>
        <v>2019-05-01</v>
      </c>
      <c r="B198">
        <f>Sheet1!C198</f>
        <v>474080.747252747</v>
      </c>
    </row>
    <row r="199" spans="1:2">
      <c r="A199" t="str">
        <f>Sheet1!B199</f>
        <v>2019-06-01</v>
      </c>
      <c r="B199">
        <f>Sheet1!C199</f>
        <v>478971.252747253</v>
      </c>
    </row>
    <row r="200" spans="1:2">
      <c r="A200" t="str">
        <f>Sheet1!B200</f>
        <v>2019-07-01</v>
      </c>
      <c r="B200">
        <f>Sheet1!C200</f>
        <v>483704</v>
      </c>
    </row>
    <row r="201" spans="1:2">
      <c r="A201" t="str">
        <f>Sheet1!B201</f>
        <v>2019-08-01</v>
      </c>
      <c r="B201">
        <f>Sheet1!C201</f>
        <v>480747.543478261</v>
      </c>
    </row>
    <row r="202" spans="1:2">
      <c r="A202" t="str">
        <f>Sheet1!B202</f>
        <v>2019-09-01</v>
      </c>
      <c r="B202">
        <f>Sheet1!C202</f>
        <v>477791.086956522</v>
      </c>
    </row>
    <row r="203" spans="1:2">
      <c r="A203" t="str">
        <f>Sheet1!B203</f>
        <v>2019-10-01</v>
      </c>
      <c r="B203">
        <f>Sheet1!C203</f>
        <v>474930</v>
      </c>
    </row>
    <row r="204" spans="1:2">
      <c r="A204" t="str">
        <f>Sheet1!B204</f>
        <v>2019-11-01</v>
      </c>
      <c r="B204">
        <f>Sheet1!C204</f>
        <v>480497.195652174</v>
      </c>
    </row>
    <row r="205" spans="1:2">
      <c r="A205" t="str">
        <f>Sheet1!B205</f>
        <v>2019-12-01</v>
      </c>
      <c r="B205">
        <f>Sheet1!C205</f>
        <v>485884.804347826</v>
      </c>
    </row>
    <row r="206" spans="1:2">
      <c r="A206" t="str">
        <f>Sheet1!B206</f>
        <v>2020-01-01</v>
      </c>
      <c r="B206">
        <f>Sheet1!C206</f>
        <v>491452</v>
      </c>
    </row>
    <row r="207" spans="1:2">
      <c r="A207" t="str">
        <f>Sheet1!B207</f>
        <v>2020-02-01</v>
      </c>
      <c r="B207">
        <f>Sheet1!C207</f>
        <v>480310.054945055</v>
      </c>
    </row>
    <row r="208" spans="1:2">
      <c r="A208" t="str">
        <f>Sheet1!B208</f>
        <v>2020-03-01</v>
      </c>
      <c r="B208">
        <f>Sheet1!C208</f>
        <v>469886.945054945</v>
      </c>
    </row>
    <row r="209" spans="1:2">
      <c r="A209" t="str">
        <f>Sheet1!B209</f>
        <v>2020-04-01</v>
      </c>
      <c r="B209">
        <f>Sheet1!C209</f>
        <v>458745</v>
      </c>
    </row>
    <row r="210" spans="1:2">
      <c r="A210" t="str">
        <f>Sheet1!B210</f>
        <v>2020-05-01</v>
      </c>
      <c r="B210">
        <f>Sheet1!C210</f>
        <v>466882.912087912</v>
      </c>
    </row>
    <row r="211" spans="1:2">
      <c r="A211" t="str">
        <f>Sheet1!B211</f>
        <v>2020-06-01</v>
      </c>
      <c r="B211">
        <f>Sheet1!C211</f>
        <v>475292.087912088</v>
      </c>
    </row>
    <row r="212" spans="1:2">
      <c r="A212" t="str">
        <f>Sheet1!B212</f>
        <v>2020-07-01</v>
      </c>
      <c r="B212">
        <f>Sheet1!C212</f>
        <v>483430</v>
      </c>
    </row>
    <row r="213" spans="1:2">
      <c r="A213" t="str">
        <f>Sheet1!B213</f>
        <v>2020-08-01</v>
      </c>
      <c r="B213">
        <f>Sheet1!C213</f>
        <v>476465.108695652</v>
      </c>
    </row>
    <row r="214" spans="1:2">
      <c r="A214" t="str">
        <f>Sheet1!B214</f>
        <v>2020-09-01</v>
      </c>
      <c r="B214">
        <f>Sheet1!C214</f>
        <v>469500.217391304</v>
      </c>
    </row>
    <row r="215" spans="1:2">
      <c r="A215" t="str">
        <f>Sheet1!B215</f>
        <v>2020-10-01</v>
      </c>
      <c r="B215">
        <f>Sheet1!C215</f>
        <v>462760</v>
      </c>
    </row>
    <row r="216" spans="1:2">
      <c r="A216" t="str">
        <f>Sheet1!B216</f>
        <v>2020-11-01</v>
      </c>
      <c r="B216">
        <f>Sheet1!C216</f>
        <v>464392.422934783</v>
      </c>
    </row>
    <row r="217" spans="1:2">
      <c r="A217" t="str">
        <f>Sheet1!B217</f>
        <v>2020-12-01</v>
      </c>
      <c r="B217">
        <f>Sheet1!C217</f>
        <v>465972.187065217</v>
      </c>
    </row>
    <row r="218" spans="1:2">
      <c r="A218" t="str">
        <f>Sheet1!B218</f>
        <v>2021-01-01</v>
      </c>
      <c r="B218">
        <f>Sheet1!C218</f>
        <v>467604.61</v>
      </c>
    </row>
    <row r="219" spans="1:2">
      <c r="A219" t="str">
        <f>Sheet1!B219</f>
        <v>2021-02-01</v>
      </c>
      <c r="B219">
        <f>Sheet1!C219</f>
        <v>465193.202666667</v>
      </c>
    </row>
    <row r="220" spans="1:2">
      <c r="A220" t="str">
        <f>Sheet1!B220</f>
        <v>2021-03-01</v>
      </c>
      <c r="B220">
        <f>Sheet1!C220</f>
        <v>463015.157333333</v>
      </c>
    </row>
    <row r="221" spans="1:2">
      <c r="A221" t="str">
        <f>Sheet1!B221</f>
        <v>2021-04-01</v>
      </c>
      <c r="B221">
        <f>Sheet1!C221</f>
        <v>460603.75</v>
      </c>
    </row>
    <row r="222" spans="1:2">
      <c r="A222" t="str">
        <f>Sheet1!B222</f>
        <v>2021-05-01</v>
      </c>
      <c r="B222">
        <f>Sheet1!C222</f>
        <v>465062.65989011</v>
      </c>
    </row>
    <row r="223" spans="1:2">
      <c r="A223" t="str">
        <f>Sheet1!B223</f>
        <v>2021-06-01</v>
      </c>
      <c r="B223">
        <f>Sheet1!C223</f>
        <v>469670.20010989</v>
      </c>
    </row>
    <row r="224" spans="1:2">
      <c r="A224" t="str">
        <f>Sheet1!B224</f>
        <v>2021-07-01</v>
      </c>
      <c r="B224">
        <f>Sheet1!C224</f>
        <v>474129.11</v>
      </c>
    </row>
    <row r="225" spans="1:2">
      <c r="A225" t="str">
        <f>Sheet1!B225</f>
        <v>2021-08-01</v>
      </c>
      <c r="B225">
        <f>Sheet1!C225</f>
        <v>481852.119782609</v>
      </c>
    </row>
    <row r="226" spans="1:2">
      <c r="A226" t="str">
        <f>Sheet1!B226</f>
        <v>2021-09-01</v>
      </c>
      <c r="B226">
        <f>Sheet1!C226</f>
        <v>489575.129565217</v>
      </c>
    </row>
    <row r="227" spans="1:2">
      <c r="A227" t="str">
        <f>Sheet1!B227</f>
        <v>2021-10-01</v>
      </c>
      <c r="B227">
        <f>Sheet1!C227</f>
        <v>497049.01</v>
      </c>
    </row>
    <row r="228" spans="1:2">
      <c r="A228" t="str">
        <f>Sheet1!B228</f>
        <v>2021-11-01</v>
      </c>
      <c r="B228">
        <f>Sheet1!C228</f>
        <v>494139.649891304</v>
      </c>
    </row>
    <row r="229" spans="1:2">
      <c r="A229" t="str">
        <f>Sheet1!B229</f>
        <v>2021-12-01</v>
      </c>
      <c r="B229">
        <f>Sheet1!C229</f>
        <v>491324.140108696</v>
      </c>
    </row>
    <row r="230" spans="1:2">
      <c r="A230" t="str">
        <f>Sheet1!B230</f>
        <v>2022-01-01</v>
      </c>
      <c r="B230">
        <f>Sheet1!C230</f>
        <v>488414.78</v>
      </c>
    </row>
    <row r="231" spans="1:2">
      <c r="A231" t="str">
        <f>Sheet1!B231</f>
        <v>2022-02-01</v>
      </c>
      <c r="B231">
        <f>Sheet1!C231</f>
        <v>479361.209333333</v>
      </c>
    </row>
    <row r="232" spans="1:2">
      <c r="A232" t="str">
        <f>Sheet1!B232</f>
        <v>2022-03-01</v>
      </c>
      <c r="B232">
        <f>Sheet1!C232</f>
        <v>471183.790666667</v>
      </c>
    </row>
    <row r="233" spans="1:2">
      <c r="A233" t="str">
        <f>Sheet1!B233</f>
        <v>2022-04-01</v>
      </c>
      <c r="B233">
        <f>Sheet1!C233</f>
        <v>462130.22</v>
      </c>
    </row>
    <row r="234" spans="1:2">
      <c r="A234" t="str">
        <f>Sheet1!B234</f>
        <v>2022-05-01</v>
      </c>
      <c r="B234">
        <f>Sheet1!C234</f>
        <v>470235.791428571</v>
      </c>
    </row>
    <row r="235" spans="1:2">
      <c r="A235" t="str">
        <f>Sheet1!B235</f>
        <v>2022-06-01</v>
      </c>
      <c r="B235">
        <f>Sheet1!C235</f>
        <v>478611.548571429</v>
      </c>
    </row>
    <row r="236" spans="1:2">
      <c r="A236" t="str">
        <f>Sheet1!B236</f>
        <v>2022-07-01</v>
      </c>
      <c r="B236">
        <f>Sheet1!C236</f>
        <v>486717.12</v>
      </c>
    </row>
    <row r="237" spans="1:2">
      <c r="A237" t="str">
        <f>Sheet1!B237</f>
        <v>2022-08-01</v>
      </c>
      <c r="B237">
        <f>Sheet1!C237</f>
        <v>471399.369673913</v>
      </c>
    </row>
    <row r="238" spans="1:2">
      <c r="A238" t="str">
        <f>Sheet1!B238</f>
        <v>2022-09-01</v>
      </c>
      <c r="B238">
        <f>Sheet1!C238</f>
        <v>456081.619347826</v>
      </c>
    </row>
    <row r="239" spans="1:2">
      <c r="A239" t="str">
        <f>Sheet1!B239</f>
        <v>2022-10-01</v>
      </c>
      <c r="B239">
        <f>Sheet1!C239</f>
        <v>441257.99</v>
      </c>
    </row>
    <row r="240" spans="1:2">
      <c r="A240" t="str">
        <f>Sheet1!B240</f>
        <v>2022-11-01</v>
      </c>
      <c r="B240">
        <f>Sheet1!C240</f>
        <v>422328.665543478</v>
      </c>
    </row>
    <row r="241" spans="1:2">
      <c r="A241" t="str">
        <f>Sheet1!B241</f>
        <v>2022-12-01</v>
      </c>
      <c r="B241">
        <f>Sheet1!C241</f>
        <v>404009.964456522</v>
      </c>
    </row>
    <row r="242" spans="1:2">
      <c r="A242" t="str">
        <f>Sheet1!B242</f>
        <v>2023-01-01</v>
      </c>
      <c r="B242">
        <f>Sheet1!C242</f>
        <v>385080.64</v>
      </c>
    </row>
    <row r="243" spans="1:2">
      <c r="A243" t="str">
        <f>Sheet1!B243</f>
        <v>2023-02-01</v>
      </c>
      <c r="B243">
        <f>Sheet1!C243</f>
        <v>375877.187777778</v>
      </c>
    </row>
    <row r="244" spans="1:2">
      <c r="A244" t="str">
        <f>Sheet1!B244</f>
        <v>2023-03-01</v>
      </c>
      <c r="B244">
        <f>Sheet1!C244</f>
        <v>367564.392222222</v>
      </c>
    </row>
    <row r="245" spans="1:2">
      <c r="A245" t="str">
        <f>Sheet1!B245</f>
        <v>2023-04-01</v>
      </c>
      <c r="B245">
        <f>Sheet1!C245</f>
        <v>358360.94</v>
      </c>
    </row>
    <row r="246" spans="1:2">
      <c r="A246" t="str">
        <f>Sheet1!B246</f>
        <v>2023-05-01</v>
      </c>
      <c r="B246">
        <f>Sheet1!C246</f>
        <v>352597.897142857</v>
      </c>
    </row>
    <row r="247" spans="1:2">
      <c r="A247" t="str">
        <f>Sheet1!B247</f>
        <v>2023-06-01</v>
      </c>
      <c r="B247">
        <f>Sheet1!C247</f>
        <v>346642.752857143</v>
      </c>
    </row>
    <row r="248" spans="1:2">
      <c r="A248" t="str">
        <f>Sheet1!B248</f>
        <v>2023-07-01</v>
      </c>
      <c r="B248">
        <f>Sheet1!C248</f>
        <v>340879.71</v>
      </c>
    </row>
    <row r="249" spans="1:2">
      <c r="A249" t="str">
        <f>Sheet1!B249</f>
        <v>2023-08-01</v>
      </c>
      <c r="B249">
        <f>Sheet1!C249</f>
        <v>335207.353586957</v>
      </c>
    </row>
    <row r="250" spans="1:2">
      <c r="A250" t="str">
        <f>Sheet1!B250</f>
        <v>2023-09-01</v>
      </c>
      <c r="B250">
        <f>Sheet1!C250</f>
        <v>329534.997173913</v>
      </c>
    </row>
    <row r="251" spans="1:2">
      <c r="A251" t="str">
        <f>Sheet1!B251</f>
        <v>2023-10-01</v>
      </c>
      <c r="B251">
        <f>Sheet1!C251</f>
        <v>324045.62</v>
      </c>
    </row>
    <row r="252" spans="1:2">
      <c r="A252" t="str">
        <f>Sheet1!B252</f>
        <v>2023-11-01</v>
      </c>
      <c r="B252">
        <f>Sheet1!C252</f>
        <v>322105.781521739</v>
      </c>
    </row>
    <row r="253" spans="1:2">
      <c r="A253" t="str">
        <f>Sheet1!B253</f>
        <v>2023-12-01</v>
      </c>
      <c r="B253">
        <f>Sheet1!C253</f>
        <v>320228.518478261</v>
      </c>
    </row>
    <row r="254" spans="1:2">
      <c r="A254" t="str">
        <f>Sheet1!B254</f>
        <v>2024-01-01</v>
      </c>
      <c r="B254">
        <f>Sheet1!C254</f>
        <v>318288.68</v>
      </c>
    </row>
    <row r="255" spans="1:2">
      <c r="A255" t="str">
        <f>Sheet1!B255</f>
        <v>2024-02-01</v>
      </c>
      <c r="B255">
        <f>Sheet1!C255</f>
        <v>315037.502197802</v>
      </c>
    </row>
    <row r="256" spans="1:2">
      <c r="A256" t="str">
        <f>Sheet1!B256</f>
        <v>2024-03-01</v>
      </c>
      <c r="B256">
        <f>Sheet1!C256</f>
        <v>311996.077802198</v>
      </c>
    </row>
    <row r="257" spans="1:2">
      <c r="A257" t="str">
        <f>Sheet1!B257</f>
        <v>2024-04-01</v>
      </c>
      <c r="B257">
        <f>Sheet1!C257</f>
        <v>308744.9</v>
      </c>
    </row>
    <row r="258" spans="1:2">
      <c r="A258" t="str">
        <f>Sheet1!B258</f>
        <v>2024-05-01</v>
      </c>
      <c r="B258">
        <f>Sheet1!C258</f>
        <v>311614.650549451</v>
      </c>
    </row>
    <row r="259" spans="1:2">
      <c r="A259" t="str">
        <f>Sheet1!B259</f>
        <v>2024-06-01</v>
      </c>
      <c r="B259">
        <f>Sheet1!C259</f>
        <v>314580.059450549</v>
      </c>
    </row>
    <row r="260" spans="1:2">
      <c r="A260" t="str">
        <f>Sheet1!B260</f>
        <v>2024-07-01</v>
      </c>
      <c r="B260">
        <f>Sheet1!C260</f>
        <v>317449.81</v>
      </c>
    </row>
    <row r="261" spans="1:2">
      <c r="A261" t="str">
        <f>Sheet1!B261</f>
        <v>2024-08-01</v>
      </c>
      <c r="B261">
        <f>Sheet1!C261</f>
        <v>314710.41076087</v>
      </c>
    </row>
    <row r="262" spans="1:2">
      <c r="A262" t="str">
        <f>Sheet1!B262</f>
        <v>2024-09-01</v>
      </c>
      <c r="B262">
        <f>Sheet1!C262</f>
        <v>311971.011521739</v>
      </c>
    </row>
    <row r="263" spans="1:2">
      <c r="A263" t="str">
        <f>Sheet1!B263</f>
        <v>2024-10-01</v>
      </c>
      <c r="B263">
        <f>Sheet1!C263</f>
        <v>309319.98</v>
      </c>
    </row>
    <row r="264" spans="1:2">
      <c r="A264" t="str">
        <f>Sheet1!B264</f>
        <v>2024-11-01</v>
      </c>
      <c r="B264">
        <f>Sheet1!C264</f>
        <v>302771.513043478</v>
      </c>
    </row>
    <row r="265" spans="1:2">
      <c r="A265" t="str">
        <f>Sheet1!B265</f>
        <v>2024-12-01</v>
      </c>
      <c r="B265">
        <f>Sheet1!C265</f>
        <v>296434.286956522</v>
      </c>
    </row>
    <row r="266" spans="1:2">
      <c r="A266" t="str">
        <f>Sheet1!B266</f>
        <v>2025-01-01</v>
      </c>
      <c r="B266">
        <f>Sheet1!C266</f>
        <v>289885.82</v>
      </c>
    </row>
    <row r="267" spans="1:2">
      <c r="A267" t="str">
        <f>Sheet1!B267</f>
        <v>2025-02-01</v>
      </c>
      <c r="B267">
        <f>Sheet1!C267</f>
        <v>297862.960444444</v>
      </c>
    </row>
    <row r="268" spans="1:2">
      <c r="A268" t="str">
        <f>Sheet1!B268</f>
        <v>2025-03-01</v>
      </c>
      <c r="B268">
        <f>Sheet1!C268</f>
        <v>305068.119555556</v>
      </c>
    </row>
    <row r="269" spans="1:2">
      <c r="A269" t="str">
        <f>Sheet1!B269</f>
        <v>2025-04-01</v>
      </c>
      <c r="B269">
        <f>Sheet1!C269</f>
        <v>313045.26</v>
      </c>
    </row>
    <row r="270" spans="1:2">
      <c r="A270" t="str">
        <f>Sheet1!B270</f>
        <v>2025-05-01</v>
      </c>
      <c r="B270">
        <f>Sheet1!C270</f>
        <v>316673.265494506</v>
      </c>
    </row>
    <row r="271" spans="1:2">
      <c r="A271" t="str">
        <f>Sheet1!B271</f>
        <v>2025-06-01</v>
      </c>
      <c r="B271">
        <f>Sheet1!C271</f>
        <v>320422.204505495</v>
      </c>
    </row>
    <row r="272" spans="1:2">
      <c r="A272" t="str">
        <f>Sheet1!B272</f>
        <v>2025-07-01</v>
      </c>
      <c r="B272">
        <f>Sheet1!C272</f>
        <v>324050.21</v>
      </c>
    </row>
    <row r="273" spans="1:2">
      <c r="A273" t="str">
        <f>Sheet1!B273</f>
        <v>2025-08-01</v>
      </c>
      <c r="B273">
        <f>Sheet1!C273</f>
        <v>319377.293586957</v>
      </c>
    </row>
    <row r="274" spans="1:2">
      <c r="A274" t="str">
        <f>Sheet1!B274</f>
        <v>2025-09-01</v>
      </c>
      <c r="B274">
        <f>Sheet1!C274</f>
        <v>314704.377173913</v>
      </c>
    </row>
    <row r="275" spans="1:2">
      <c r="A275" t="str">
        <f>Sheet1!B275</f>
        <v>2025-10-01</v>
      </c>
      <c r="B275">
        <f>Sheet1!C275</f>
        <v>310182.2</v>
      </c>
    </row>
    <row r="276" spans="1:2">
      <c r="A276" t="str">
        <f>Sheet1!B276</f>
        <v>2025-11-01</v>
      </c>
      <c r="B276">
        <f>Sheet1!C276</f>
        <v>309031.415978261</v>
      </c>
    </row>
    <row r="277" spans="1:2">
      <c r="A277" t="str">
        <f>Sheet1!B277</f>
        <v>2025-12-01</v>
      </c>
      <c r="B277">
        <f>Sheet1!C277</f>
        <v>307917.754021739</v>
      </c>
    </row>
    <row r="278" spans="1:2">
      <c r="A278" t="str">
        <f>Sheet1!B278</f>
        <v>2026-01-01</v>
      </c>
      <c r="B278">
        <f>Sheet1!C278</f>
        <v>306766.97</v>
      </c>
    </row>
    <row r="279" spans="1:2">
      <c r="A279" t="str">
        <f>Sheet1!B279</f>
        <v>2026-02-01</v>
      </c>
      <c r="B279">
        <f>Sheet1!C279</f>
        <v>304113.635222222</v>
      </c>
    </row>
    <row r="280" spans="1:2">
      <c r="A280" t="str">
        <f>Sheet1!B280</f>
        <v>2026-03-01</v>
      </c>
      <c r="B280">
        <f>Sheet1!C280</f>
        <v>301717.074777778</v>
      </c>
    </row>
    <row r="281" spans="1:2">
      <c r="A281" t="str">
        <f>Sheet1!B281</f>
        <v>2026-04-01</v>
      </c>
      <c r="B281">
        <f>Sheet1!C281</f>
        <v>299063.74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��!>740=85 4>:C<5=B0>:C<5=B><<5=B0@88=0G5=85 845=B8D8:0B>@0 4>:C<5=B0=0G5=85 845=B8D8:0B>@0 4>:C<5=B0, ?@8A2>5==>3> 40==><C M;5<5=BC45=B8D8:0B>@ 4>:C<5=B0>AB>O==0O AAK;:0 =0 MB>B 4>:C<5=B"8? :>=B5=B00720=85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A447C941-9AE3-4024-AF5A-F720521C7C99}">
  <ds:schemaRefs/>
</ds:datastoreItem>
</file>

<file path=customXml/itemProps2.xml><?xml version="1.0" encoding="utf-8"?>
<ds:datastoreItem xmlns:ds="http://schemas.openxmlformats.org/officeDocument/2006/customXml" ds:itemID="{D2288B8F-91DA-4356-BDC4-992BD85E520B}">
  <ds:schemaRefs/>
</ds:datastoreItem>
</file>

<file path=customXml/itemProps3.xml><?xml version="1.0" encoding="utf-8"?>
<ds:datastoreItem xmlns:ds="http://schemas.openxmlformats.org/officeDocument/2006/customXml" ds:itemID="{CBFFD259-396E-4733-9AB2-9BE8F50FFBDC}">
  <ds:schemaRefs/>
</ds:datastoreItem>
</file>

<file path=customXml/itemProps4.xml><?xml version="1.0" encoding="utf-8"?>
<ds:datastoreItem xmlns:ds="http://schemas.openxmlformats.org/officeDocument/2006/customXml" ds:itemID="{1CC81C78-53CD-4F4C-BEF3-FD799E87B5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2003-2026</vt:lpstr>
      <vt:lpstr>Sheet1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Истратова Ольга Эдуардовна</dc:creator>
  <cp:lastModifiedBy>Darkhan Mashirapov</cp:lastModifiedBy>
  <dcterms:created xsi:type="dcterms:W3CDTF">2022-09-13T01:31:00Z</dcterms:created>
  <cp:lastPrinted>2024-12-28T00:42:00Z</cp:lastPrinted>
  <dcterms:modified xsi:type="dcterms:W3CDTF">2026-08-25T15:44:35Z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d791fae1-7a05-4f42-b89c-bb1f4a589844</vt:lpwstr>
  </property>
  <property fmtid="{D5CDD505-2E9C-101B-9397-08002B2CF9AE}" pid="3" name="ContentTypeId">
    <vt:lpwstr>0x01010059B5E7AEF73CAC4AB4CF3BD1372A176C</vt:lpwstr>
  </property>
  <property fmtid="{D5CDD505-2E9C-101B-9397-08002B2CF9AE}" pid="4" name="ICV">
    <vt:lpwstr>5B2C75A4FC256E88904D886AD2E4A61E_42</vt:lpwstr>
  </property>
  <property fmtid="{D5CDD505-2E9C-101B-9397-08002B2CF9AE}" pid="5" name="KSOProductBuildVer">
    <vt:lpwstr>1033-12.1.26050.26050</vt:lpwstr>
  </property>
  <property fmtid="{D5CDD505-2E9C-101B-9397-08002B2CF9AE}" pid="6" name="CalculationRule">
    <vt:i4>0</vt:i4>
  </property>
</Properties>
</file>