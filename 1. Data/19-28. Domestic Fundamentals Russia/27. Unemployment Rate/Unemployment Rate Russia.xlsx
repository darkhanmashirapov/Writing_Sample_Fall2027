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2"/>
  </bookViews>
  <sheets>
    <sheet name="labor market" sheetId="1" r:id="rId1"/>
    <sheet name="Sheet1" sheetId="2" r:id="rId2"/>
    <sheet name="Final Clea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<sst xmlns="http://schemas.openxmlformats.org/spreadsheetml/2006/main" count="158" uniqueCount="154">
  <si>
    <t>SDDS Data Category</t>
  </si>
  <si>
    <t>Unit
Description</t>
  </si>
  <si>
    <t>01.2015</t>
  </si>
  <si>
    <t>02.2015</t>
  </si>
  <si>
    <t>03.2015</t>
  </si>
  <si>
    <t>04.2015</t>
  </si>
  <si>
    <t>05.2015</t>
  </si>
  <si>
    <t>06.2015</t>
  </si>
  <si>
    <t>07.2015</t>
  </si>
  <si>
    <t>08.2015</t>
  </si>
  <si>
    <t>09.2015</t>
  </si>
  <si>
    <t>10.2015</t>
  </si>
  <si>
    <t>11.2015</t>
  </si>
  <si>
    <t>12.2015</t>
  </si>
  <si>
    <t>01.2016</t>
  </si>
  <si>
    <t>02.2016</t>
  </si>
  <si>
    <t>03.2016</t>
  </si>
  <si>
    <t>04.2016</t>
  </si>
  <si>
    <t>05.2016</t>
  </si>
  <si>
    <t>06.2016</t>
  </si>
  <si>
    <t>07.2016</t>
  </si>
  <si>
    <t>08.2016</t>
  </si>
  <si>
    <t>09.2016</t>
  </si>
  <si>
    <t>10.2016</t>
  </si>
  <si>
    <t>11.2016</t>
  </si>
  <si>
    <t>12.2016</t>
  </si>
  <si>
    <t>01.2017</t>
  </si>
  <si>
    <t>02.2017</t>
  </si>
  <si>
    <t>03.2017</t>
  </si>
  <si>
    <t>04.2017</t>
  </si>
  <si>
    <t>05.2017</t>
  </si>
  <si>
    <t>06.2017</t>
  </si>
  <si>
    <t>07.2017</t>
  </si>
  <si>
    <t>08.2017</t>
  </si>
  <si>
    <t>09.2017</t>
  </si>
  <si>
    <t>10.2017</t>
  </si>
  <si>
    <t>11.2017</t>
  </si>
  <si>
    <t>12.2017</t>
  </si>
  <si>
    <t>01.2018</t>
  </si>
  <si>
    <t>02.2018</t>
  </si>
  <si>
    <t>03.2018</t>
  </si>
  <si>
    <t>04.2018</t>
  </si>
  <si>
    <t>05.2018</t>
  </si>
  <si>
    <t>06.2018</t>
  </si>
  <si>
    <t>07.2018</t>
  </si>
  <si>
    <t>08.2018</t>
  </si>
  <si>
    <t>09.2018</t>
  </si>
  <si>
    <t>10.2018</t>
  </si>
  <si>
    <t>11.2018</t>
  </si>
  <si>
    <t>12.2018</t>
  </si>
  <si>
    <t>01.2019</t>
  </si>
  <si>
    <t>02.2019</t>
  </si>
  <si>
    <t>03.2019</t>
  </si>
  <si>
    <t>04.2019</t>
  </si>
  <si>
    <t>05.2019</t>
  </si>
  <si>
    <t>06.2019</t>
  </si>
  <si>
    <t>07.2019</t>
  </si>
  <si>
    <t>08.2019</t>
  </si>
  <si>
    <t>09.2019</t>
  </si>
  <si>
    <t>10.2019</t>
  </si>
  <si>
    <t>11.2019</t>
  </si>
  <si>
    <t>12.2019</t>
  </si>
  <si>
    <t>01.2020</t>
  </si>
  <si>
    <t>02.2020</t>
  </si>
  <si>
    <t>03.2020</t>
  </si>
  <si>
    <t>04.2020</t>
  </si>
  <si>
    <t>05.2020</t>
  </si>
  <si>
    <t>06.2020</t>
  </si>
  <si>
    <t>07.2020</t>
  </si>
  <si>
    <t>08.2020</t>
  </si>
  <si>
    <t>09.2020</t>
  </si>
  <si>
    <t>10.2020</t>
  </si>
  <si>
    <t>11.2020</t>
  </si>
  <si>
    <t>12.2020</t>
  </si>
  <si>
    <t>01.2021</t>
  </si>
  <si>
    <t>02.2021</t>
  </si>
  <si>
    <t>03.2021</t>
  </si>
  <si>
    <t>04.2021</t>
  </si>
  <si>
    <t>05.2021</t>
  </si>
  <si>
    <t>06.2021</t>
  </si>
  <si>
    <t>07.2021</t>
  </si>
  <si>
    <t>08.2021</t>
  </si>
  <si>
    <t>09.2021</t>
  </si>
  <si>
    <t>10.2021</t>
  </si>
  <si>
    <t>11.2021</t>
  </si>
  <si>
    <t>12.2021</t>
  </si>
  <si>
    <t>01.2022</t>
  </si>
  <si>
    <t>02.2022</t>
  </si>
  <si>
    <t>03.2022</t>
  </si>
  <si>
    <t>04.2022</t>
  </si>
  <si>
    <t>05.2022</t>
  </si>
  <si>
    <t>06.2022</t>
  </si>
  <si>
    <t>07.2022</t>
  </si>
  <si>
    <t>08.2022</t>
  </si>
  <si>
    <t>09.2022</t>
  </si>
  <si>
    <t>10.2022</t>
  </si>
  <si>
    <t>11.2022</t>
  </si>
  <si>
    <t>01.2023</t>
  </si>
  <si>
    <t>02.2023</t>
  </si>
  <si>
    <t>03.2023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</si>
  <si>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</si>
  <si>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</si>
  <si>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</si>
  <si>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</si>
  <si>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</si>
  <si>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</si>
  <si>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</si>
  <si>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</si>
  <si>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</si>
  <si>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</si>
  <si>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</si>
  <si>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</si>
  <si>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</si>
  <si>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</si>
  <si>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</si>
  <si>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</si>
  <si>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</si>
  <si>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</si>
  <si>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</si>
  <si>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</si>
  <si>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</si>
  <si>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</si>
  <si>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</si>
  <si>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</si>
  <si>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</si>
  <si>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</si>
  <si>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</si>
  <si>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</si>
  <si>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</si>
  <si>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</si>
  <si>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</si>
  <si>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</si>
  <si>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</si>
  <si>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</si>
  <si>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</si>
  <si>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</si>
  <si>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</si>
  <si>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05.2026</t>
  </si>
  <si>
    <t>06.2026</t>
  </si>
  <si>
    <r>
      <rPr>
        <sz val="12"/>
        <color theme="1"/>
        <rFont val="Times New Roman"/>
        <charset val="204"/>
      </rPr>
      <t xml:space="preserve">Economically active population </t>
    </r>
    <r>
      <rPr>
        <vertAlign val="superscript"/>
        <sz val="12"/>
        <color theme="1"/>
        <rFont val="Times New Roman"/>
        <charset val="204"/>
      </rPr>
      <t>1,2,3</t>
    </r>
  </si>
  <si>
    <t>Million people</t>
  </si>
  <si>
    <r>
      <rPr>
        <sz val="12"/>
        <color theme="1"/>
        <rFont val="Times New Roman"/>
        <charset val="204"/>
      </rPr>
      <t xml:space="preserve">Employed </t>
    </r>
    <r>
      <rPr>
        <vertAlign val="superscript"/>
        <sz val="12"/>
        <color theme="1"/>
        <rFont val="Times New Roman"/>
        <charset val="204"/>
      </rPr>
      <t>1,2,3</t>
    </r>
  </si>
  <si>
    <r>
      <rPr>
        <sz val="12"/>
        <color theme="1"/>
        <rFont val="Times New Roman"/>
        <charset val="204"/>
      </rPr>
      <t xml:space="preserve">Unemployed </t>
    </r>
    <r>
      <rPr>
        <vertAlign val="superscript"/>
        <sz val="12"/>
        <color theme="1"/>
        <rFont val="Times New Roman"/>
        <charset val="204"/>
      </rPr>
      <t>1,2,3</t>
    </r>
  </si>
  <si>
    <t xml:space="preserve">Unemplyment Rate </t>
  </si>
  <si>
    <t>%</t>
  </si>
  <si>
    <r>
      <rPr>
        <sz val="12"/>
        <color theme="1"/>
        <rFont val="Times New Roman"/>
        <charset val="204"/>
      </rPr>
      <t xml:space="preserve">Unemployed, officially registered in the employment services, at the end of the period </t>
    </r>
    <r>
      <rPr>
        <vertAlign val="superscript"/>
        <sz val="12"/>
        <color theme="1"/>
        <rFont val="Times New Roman"/>
        <charset val="204"/>
      </rPr>
      <t>2</t>
    </r>
  </si>
  <si>
    <r>
      <rPr>
        <sz val="12"/>
        <color theme="1"/>
        <rFont val="Times New Roman"/>
        <charset val="204"/>
      </rPr>
      <t xml:space="preserve">Average monthly accrued wages of employees in the economy </t>
    </r>
    <r>
      <rPr>
        <vertAlign val="superscript"/>
        <sz val="12"/>
        <color theme="1"/>
        <rFont val="Times New Roman"/>
        <charset val="204"/>
      </rPr>
      <t>2</t>
    </r>
  </si>
  <si>
    <t>Rubles</t>
  </si>
  <si>
    <r>
      <rPr>
        <vertAlign val="superscript"/>
        <sz val="10"/>
        <color theme="1"/>
        <rFont val="Times New Roman"/>
        <charset val="204"/>
      </rPr>
      <t>1</t>
    </r>
    <r>
      <rPr>
        <sz val="10"/>
        <color theme="1"/>
        <rFont val="Times New Roman"/>
        <charset val="204"/>
      </rPr>
      <t xml:space="preserve"> Since January 2017 the data on the basis of the Labor Force Sample Survey are provided for people aged 15 years and older.</t>
    </r>
  </si>
  <si>
    <r>
      <rPr>
        <vertAlign val="superscript"/>
        <sz val="10"/>
        <color theme="1"/>
        <rFont val="Times New Roman"/>
        <charset val="204"/>
      </rPr>
      <t xml:space="preserve">2 </t>
    </r>
    <r>
      <rPr>
        <sz val="10"/>
        <color theme="1"/>
        <rFont val="Times New Roman"/>
        <charset val="204"/>
      </rPr>
      <t>Excluding statistical information on: Lugansk People’s Republic, Donetsk People’s Republic, Kherson Region and Zaporozhye Region.</t>
    </r>
  </si>
  <si>
    <t>Date</t>
  </si>
  <si>
    <t>DATE</t>
  </si>
  <si>
    <t>date</t>
  </si>
  <si>
    <t>ru_unemp_m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</si>
</sst>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45">
    <font>
      <sz val="11"/>
      <color theme="1"/>
      <name val="Calibri"/>
      <charset val="134"/>
      <scheme val="minor"/>
    </font>
    <font>
      <b/>
      <sz val="12"/>
      <color theme="0"/>
      <name val="Times New Roman"/>
      <charset val="204"/>
    </font>
    <font>
      <b/>
      <sz val="10"/>
      <color theme="0"/>
      <name val="Times New Roman"/>
      <charset val="204"/>
    </font>
    <font>
      <sz val="12"/>
      <color theme="1"/>
      <name val="Times New Roman"/>
      <charset val="204"/>
    </font>
    <font>
      <sz val="12"/>
      <color rgb="FF000000"/>
      <name val="Times New Roman"/>
      <charset val="204"/>
    </font>
    <font>
      <sz val="12"/>
      <name val="Times New Roman"/>
      <charset val="204"/>
    </font>
    <font>
      <sz val="10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indexed="9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b/>
      <sz val="11"/>
      <color indexed="9"/>
      <name val="Calibri"/>
      <charset val="134"/>
      <scheme val="minor"/>
    </font>
    <font>
      <b/>
      <sz val="18"/>
      <color theme="3"/>
      <name val="Cambria"/>
      <charset val="134"/>
    </font>
    <font>
      <sz val="11"/>
      <color rgb="FF9C6500"/>
      <name val="Calibri"/>
      <charset val="134"/>
      <scheme val="minor"/>
    </font>
    <font>
      <sz val="11"/>
      <color theme="1"/>
      <name val="Calibri"/>
      <charset val="204"/>
      <scheme val="minor"/>
    </font>
    <font>
      <sz val="10"/>
      <name val="Arial Cyr"/>
      <charset val="134"/>
    </font>
    <font>
      <sz val="10"/>
      <name val="Arial Cyr"/>
      <charset val="204"/>
    </font>
    <font>
      <sz val="11"/>
      <color rgb="FF9C0006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indexed="10"/>
      <name val="Calibri"/>
      <charset val="134"/>
      <scheme val="minor"/>
    </font>
    <font>
      <sz val="11"/>
      <color rgb="FF006100"/>
      <name val="Calibri"/>
      <charset val="134"/>
      <scheme val="minor"/>
    </font>
    <font>
      <vertAlign val="superscript"/>
      <sz val="12"/>
      <color theme="1"/>
      <name val="Times New Roman"/>
      <charset val="204"/>
    </font>
    <font>
      <vertAlign val="superscript"/>
      <sz val="10"/>
      <color theme="1"/>
      <name val="Times New Roman"/>
      <charset val="204"/>
    </font>
  </fonts>
  <fills count="4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32859279153"/>
        <bgColor indexed="64"/>
      </patternFill>
    </fill>
    <fill>
      <patternFill patternType="solid">
        <fgColor theme="5" tint="0.599932859279153"/>
        <bgColor indexed="64"/>
      </patternFill>
    </fill>
    <fill>
      <patternFill patternType="solid">
        <fgColor theme="6" tint="0.599932859279153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theme="8" tint="0.599932859279153"/>
        <bgColor indexed="64"/>
      </patternFill>
    </fill>
    <fill>
      <patternFill patternType="solid">
        <fgColor theme="9" tint="0.5999328592791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/>
      <top/>
      <bottom style="medium">
        <color theme="4" tint="0.399975585192419"/>
      </bottom>
      <diagonal/>
    </border>
  </borders>
  <cellStyleXfs count="104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27" fillId="12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28" fillId="47" borderId="8" applyNumberFormat="0" applyAlignment="0" applyProtection="0"/>
    <xf numFmtId="0" fontId="29" fillId="7" borderId="9" applyNumberFormat="0" applyAlignment="0" applyProtection="0"/>
    <xf numFmtId="0" fontId="30" fillId="7" borderId="8" applyNumberFormat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8" borderId="10" applyNumberFormat="0" applyAlignment="0" applyProtection="0"/>
    <xf numFmtId="0" fontId="33" fillId="0" borderId="0" applyNumberFormat="0" applyFill="0" applyBorder="0" applyAlignment="0" applyProtection="0"/>
    <xf numFmtId="0" fontId="34" fillId="11" borderId="0" applyNumberFormat="0" applyBorder="0" applyAlignment="0" applyProtection="0"/>
    <xf numFmtId="0" fontId="35" fillId="0" borderId="0"/>
    <xf numFmtId="0" fontId="35" fillId="0" borderId="0"/>
    <xf numFmtId="0" fontId="36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0" fillId="0" borderId="0"/>
    <xf numFmtId="0" fontId="38" fillId="10" borderId="0" applyNumberFormat="0" applyBorder="0" applyAlignment="0" applyProtection="0"/>
    <xf numFmtId="0" fontId="39" fillId="0" borderId="0" applyNumberFormat="0" applyFill="0" applyBorder="0" applyAlignment="0" applyProtection="0"/>
    <xf numFmtId="0" fontId="36" fillId="48" borderId="5" applyNumberFormat="0" applyFont="0" applyAlignment="0" applyProtection="0"/>
    <xf numFmtId="0" fontId="37" fillId="48" borderId="5" applyNumberFormat="0" applyFont="0" applyAlignment="0" applyProtection="0"/>
    <xf numFmtId="0" fontId="40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9" borderId="0" applyNumberFormat="0" applyBorder="0" applyAlignment="0" applyProtection="0"/>
  </cellStyleXfs>
  <cellXfs count="41">
    <xf numFmtId="0" fontId="0" fillId="0" borderId="0" xfId="0"/>
    <xf numFmtId="58" fontId="0" fillId="0" borderId="0" xfId="0" applyNumberFormat="1" applyFont="1" applyFill="1" applyAlignment="1"/>
    <xf numFmtId="0" fontId="0" fillId="0" borderId="0" xfId="0" applyFont="1" applyFill="1" applyAlignment="1"/>
    <xf numFmtId="10" fontId="0" fillId="0" borderId="0" xfId="3" applyNumberForma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8" fontId="3" fillId="0" borderId="1" xfId="96" applyNumberFormat="1" applyFont="1" applyBorder="1" applyAlignment="1">
      <alignment horizontal="right" vertical="center"/>
    </xf>
    <xf numFmtId="178" fontId="5" fillId="0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right" vertical="center"/>
    </xf>
    <xf numFmtId="178" fontId="4" fillId="3" borderId="1" xfId="0" applyNumberFormat="1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3" fillId="4" borderId="1" xfId="96" applyNumberFormat="1" applyFont="1" applyFill="1" applyBorder="1" applyAlignment="1">
      <alignment horizontal="right" vertical="center"/>
    </xf>
    <xf numFmtId="178" fontId="5" fillId="4" borderId="1" xfId="0" applyNumberFormat="1" applyFont="1" applyFill="1" applyBorder="1" applyAlignment="1">
      <alignment horizontal="right" vertical="center"/>
    </xf>
    <xf numFmtId="10" fontId="3" fillId="0" borderId="1" xfId="3" applyNumberFormat="1" applyFont="1" applyBorder="1" applyAlignment="1">
      <alignment vertical="center" wrapText="1"/>
    </xf>
    <xf numFmtId="10" fontId="3" fillId="0" borderId="1" xfId="3" applyNumberFormat="1" applyFont="1" applyBorder="1" applyAlignment="1">
      <alignment horizontal="center" vertical="center" wrapText="1"/>
    </xf>
    <xf numFmtId="10" fontId="3" fillId="0" borderId="1" xfId="3" applyNumberFormat="1" applyFont="1" applyFill="1" applyBorder="1" applyAlignment="1">
      <alignment horizontal="right" vertical="center"/>
    </xf>
    <xf numFmtId="178" fontId="5" fillId="3" borderId="1" xfId="0" applyNumberFormat="1" applyFont="1" applyFill="1" applyBorder="1" applyAlignment="1">
      <alignment horizontal="right" vertical="center"/>
    </xf>
    <xf numFmtId="178" fontId="3" fillId="4" borderId="2" xfId="96" applyNumberFormat="1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" fontId="3" fillId="0" borderId="3" xfId="0" applyNumberFormat="1" applyFont="1" applyBorder="1" applyAlignment="1">
      <alignment horizontal="right" vertical="center"/>
    </xf>
    <xf numFmtId="0" fontId="3" fillId="0" borderId="1" xfId="96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" fontId="5" fillId="0" borderId="4" xfId="0" applyNumberFormat="1" applyFont="1" applyBorder="1" applyAlignment="1">
      <alignment horizontal="right" vertical="center"/>
    </xf>
    <xf numFmtId="1" fontId="3" fillId="0" borderId="4" xfId="0" applyNumberFormat="1" applyFont="1" applyBorder="1" applyAlignment="1">
      <alignment horizontal="right" vertical="center"/>
    </xf>
    <xf numFmtId="0" fontId="6" fillId="0" borderId="0" xfId="0" applyFont="1" applyAlignment="1">
      <alignment horizontal="justify" vertical="center" wrapText="1"/>
    </xf>
    <xf numFmtId="178" fontId="0" fillId="0" borderId="0" xfId="0" applyNumberFormat="1"/>
    <xf numFmtId="0" fontId="6" fillId="0" borderId="0" xfId="0" applyFont="1" applyAlignment="1">
      <alignment horizontal="justify" wrapText="1"/>
    </xf>
    <xf numFmtId="0" fontId="6" fillId="0" borderId="0" xfId="0" applyFont="1" applyAlignment="1">
      <alignment vertical="center"/>
    </xf>
  </cellXfs>
  <cellStyles count="10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Акцент1 2" xfId="49"/>
    <cellStyle name="20% - Акцент2 2" xfId="50"/>
    <cellStyle name="20% - Акцент3 2" xfId="51"/>
    <cellStyle name="20% - Акцент4 2" xfId="52"/>
    <cellStyle name="20% - Акцент5 2" xfId="53"/>
    <cellStyle name="20% - Акцент6 2" xfId="54"/>
    <cellStyle name="40% - Акцент1 2" xfId="55"/>
    <cellStyle name="40% - Акцент2 2" xfId="56"/>
    <cellStyle name="40% - Акцент3 2" xfId="57"/>
    <cellStyle name="40% - Акцент4 2" xfId="58"/>
    <cellStyle name="40% - Акцент5 2" xfId="59"/>
    <cellStyle name="40% - Акцент6 2" xfId="60"/>
    <cellStyle name="60% - Акцент1 2" xfId="61"/>
    <cellStyle name="60% - Акцент2 2" xfId="62"/>
    <cellStyle name="60% - Акцент3 2" xfId="63"/>
    <cellStyle name="60% - Акцент4 2" xfId="64"/>
    <cellStyle name="60% - Акцент5 2" xfId="65"/>
    <cellStyle name="60% - Акцент6 2" xfId="66"/>
    <cellStyle name="Акцент1 2" xfId="67"/>
    <cellStyle name="Акцент2 2" xfId="68"/>
    <cellStyle name="Акцент3 2" xfId="69"/>
    <cellStyle name="Акцент4 2" xfId="70"/>
    <cellStyle name="Акцент5 2" xfId="71"/>
    <cellStyle name="Акцент6 2" xfId="72"/>
    <cellStyle name="Ввод  2" xfId="73"/>
    <cellStyle name="Вывод 2" xfId="74"/>
    <cellStyle name="Вычисление 2" xfId="75"/>
    <cellStyle name="Заголовок 1 2" xfId="76"/>
    <cellStyle name="Заголовок 2 2" xfId="77"/>
    <cellStyle name="Заголовок 3 2" xfId="78"/>
    <cellStyle name="Заголовок 4 2" xfId="79"/>
    <cellStyle name="Итог 2" xfId="80"/>
    <cellStyle name="Контрольная ячейка 2" xfId="81"/>
    <cellStyle name="Название 2" xfId="82"/>
    <cellStyle name="Нейтральный 2" xfId="83"/>
    <cellStyle name="Обычный 2" xfId="84"/>
    <cellStyle name="Обычный 2 2" xfId="85"/>
    <cellStyle name="Обычный 2 2 2" xfId="86"/>
    <cellStyle name="Обычный 2 2 3" xfId="87"/>
    <cellStyle name="Обычный 2 3" xfId="88"/>
    <cellStyle name="Обычный 2 4" xfId="89"/>
    <cellStyle name="Обычный 3" xfId="90"/>
    <cellStyle name="Обычный 3 2" xfId="91"/>
    <cellStyle name="Обычный 3 3" xfId="92"/>
    <cellStyle name="Обычный 3 4" xfId="93"/>
    <cellStyle name="Обычный 4" xfId="94"/>
    <cellStyle name="Обычный 4 2" xfId="95"/>
    <cellStyle name="Обычный 5" xfId="96"/>
    <cellStyle name="Плохой 2" xfId="97"/>
    <cellStyle name="Пояснение 2" xfId="98"/>
    <cellStyle name="Примечание 2" xfId="99"/>
    <cellStyle name="Примечание 2 2" xfId="100"/>
    <cellStyle name="Связанная ячейка 2" xfId="101"/>
    <cellStyle name="Текст предупреждения 2" xfId="102"/>
    <cellStyle name="Хороший 2" xfId="103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J11"/>
  <sheetViews>
    <sheetView workbookViewId="0">
      <selection activeCell="EI5" sqref="EI5"/>
    </sheetView>
  </sheetViews>
  <sheetFormatPr defaultColWidth="9" defaultRowHeight="16.8"/>
  <cols>
    <col min="1" max="1" width="32.109375" customWidth="1"/>
    <col min="2" max="2" width="17.6640625" customWidth="1"/>
    <col min="3" max="93" width="9.109375" customWidth="1"/>
  </cols>
  <sheetData>
    <row r="1" ht="29.3" customHeight="1" spans="1:140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7" t="s">
        <v>11</v>
      </c>
      <c r="M1" s="6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7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7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6" t="s">
        <v>31</v>
      </c>
      <c r="AG1" s="7" t="s">
        <v>32</v>
      </c>
      <c r="AH1" s="6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6" t="s">
        <v>43</v>
      </c>
      <c r="AS1" s="7" t="s">
        <v>44</v>
      </c>
      <c r="AT1" s="6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6" t="s">
        <v>55</v>
      </c>
      <c r="BE1" s="7" t="s">
        <v>56</v>
      </c>
      <c r="BF1" s="6" t="s">
        <v>57</v>
      </c>
      <c r="BG1" s="6" t="s">
        <v>58</v>
      </c>
      <c r="BH1" s="7" t="s">
        <v>59</v>
      </c>
      <c r="BI1" s="6" t="s">
        <v>60</v>
      </c>
      <c r="BJ1" s="7" t="s">
        <v>61</v>
      </c>
      <c r="BK1" s="6" t="s">
        <v>62</v>
      </c>
      <c r="BL1" s="7" t="s">
        <v>63</v>
      </c>
      <c r="BM1" s="6" t="s">
        <v>64</v>
      </c>
      <c r="BN1" s="7" t="s">
        <v>65</v>
      </c>
      <c r="BO1" s="6" t="s">
        <v>66</v>
      </c>
      <c r="BP1" s="6" t="s">
        <v>67</v>
      </c>
      <c r="BQ1" s="7" t="s">
        <v>68</v>
      </c>
      <c r="BR1" s="6" t="s">
        <v>69</v>
      </c>
      <c r="BS1" s="6" t="s">
        <v>70</v>
      </c>
      <c r="BT1" s="7" t="s">
        <v>71</v>
      </c>
      <c r="BU1" s="6" t="s">
        <v>72</v>
      </c>
      <c r="BV1" s="7" t="s">
        <v>73</v>
      </c>
      <c r="BW1" s="6" t="s">
        <v>74</v>
      </c>
      <c r="BX1" s="7" t="s">
        <v>75</v>
      </c>
      <c r="BY1" s="6" t="s">
        <v>76</v>
      </c>
      <c r="BZ1" s="7" t="s">
        <v>77</v>
      </c>
      <c r="CA1" s="6" t="s">
        <v>78</v>
      </c>
      <c r="CB1" s="6" t="s">
        <v>79</v>
      </c>
      <c r="CC1" s="7" t="s">
        <v>80</v>
      </c>
      <c r="CD1" s="6" t="s">
        <v>81</v>
      </c>
      <c r="CE1" s="6" t="s">
        <v>82</v>
      </c>
      <c r="CF1" s="7" t="s">
        <v>83</v>
      </c>
      <c r="CG1" s="6" t="s">
        <v>84</v>
      </c>
      <c r="CH1" s="7" t="s">
        <v>85</v>
      </c>
      <c r="CI1" s="6" t="s">
        <v>86</v>
      </c>
      <c r="CJ1" s="7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</row>
    <row r="2" ht="18" spans="1:140">
      <c r="A2" s="8" t="s">
        <v>139</v>
      </c>
      <c r="B2" s="9" t="s">
        <v>140</v>
      </c>
      <c r="C2" s="10">
        <f>C3+C4</f>
        <v>76.0949660751106</v>
      </c>
      <c r="D2" s="10">
        <f t="shared" ref="D2:N2" si="0">D3+D4</f>
        <v>75.9712278581757</v>
      </c>
      <c r="E2" s="10">
        <f t="shared" si="0"/>
        <v>76.3119642001236</v>
      </c>
      <c r="F2" s="10">
        <f t="shared" si="0"/>
        <v>76.2169448674728</v>
      </c>
      <c r="G2" s="10">
        <f t="shared" si="0"/>
        <v>77.2054182532247</v>
      </c>
      <c r="H2" s="10">
        <f t="shared" si="0"/>
        <v>76.6269179949166</v>
      </c>
      <c r="I2" s="10">
        <f t="shared" si="0"/>
        <v>77.371108725698</v>
      </c>
      <c r="J2" s="10">
        <f t="shared" si="0"/>
        <v>77.5976558340485</v>
      </c>
      <c r="K2" s="10">
        <f t="shared" si="0"/>
        <v>77.1385082384827</v>
      </c>
      <c r="L2" s="10">
        <f t="shared" si="0"/>
        <v>76.9785220890456</v>
      </c>
      <c r="M2" s="10">
        <f t="shared" si="0"/>
        <v>76.7649707275757</v>
      </c>
      <c r="N2" s="10">
        <f t="shared" si="0"/>
        <v>76.8687496733422</v>
      </c>
      <c r="O2" s="10">
        <v>76.0554904200054</v>
      </c>
      <c r="P2" s="10">
        <v>76.2443261456998</v>
      </c>
      <c r="Q2" s="10">
        <v>76.439726033256</v>
      </c>
      <c r="R2" s="10">
        <v>76.5750166735143</v>
      </c>
      <c r="S2" s="10">
        <v>76.8403087500378</v>
      </c>
      <c r="T2" s="10">
        <v>77.1444940627293</v>
      </c>
      <c r="U2" s="10">
        <v>77.5444535821237</v>
      </c>
      <c r="V2" s="10">
        <v>77.8064732203341</v>
      </c>
      <c r="W2" s="10">
        <v>77.4109863206122</v>
      </c>
      <c r="X2" s="10">
        <v>76.9576442753366</v>
      </c>
      <c r="Y2" s="10">
        <v>77.0160654751395</v>
      </c>
      <c r="Z2" s="10">
        <v>77.1570268319925</v>
      </c>
      <c r="AA2" s="10">
        <v>76.48919299627</v>
      </c>
      <c r="AB2" s="10">
        <v>76.008773145475</v>
      </c>
      <c r="AC2" s="10">
        <v>76.3959927207834</v>
      </c>
      <c r="AD2" s="10">
        <v>76.2743642306071</v>
      </c>
      <c r="AE2" s="10">
        <v>76.4166111150992</v>
      </c>
      <c r="AF2" s="10">
        <v>76.5363259940886</v>
      </c>
      <c r="AG2" s="10">
        <v>76.7901024891329</v>
      </c>
      <c r="AH2" s="10">
        <v>77.2385293185537</v>
      </c>
      <c r="AI2" s="10">
        <v>77.1593136968786</v>
      </c>
      <c r="AJ2" s="10">
        <v>76.9806199132209</v>
      </c>
      <c r="AK2" s="10">
        <v>76.7492052628934</v>
      </c>
      <c r="AL2" s="10">
        <v>76.8709017911299</v>
      </c>
      <c r="AM2" s="10">
        <v>76.2759654374201</v>
      </c>
      <c r="AN2" s="10">
        <v>76.2056287975921</v>
      </c>
      <c r="AO2" s="10">
        <v>76.5135607086929</v>
      </c>
      <c r="AP2" s="10">
        <v>76.4300092496264</v>
      </c>
      <c r="AQ2" s="10">
        <v>76.5943278699069</v>
      </c>
      <c r="AR2" s="10">
        <v>76.49686350568</v>
      </c>
      <c r="AS2" s="10">
        <v>76.6973062172927</v>
      </c>
      <c r="AT2" s="10">
        <v>77.3167872684694</v>
      </c>
      <c r="AU2" s="10">
        <v>77.0219689103552</v>
      </c>
      <c r="AV2" s="10">
        <v>76.5422039327844</v>
      </c>
      <c r="AW2" s="10">
        <v>76.7053230127251</v>
      </c>
      <c r="AX2" s="10">
        <v>76.7557013071827</v>
      </c>
      <c r="AY2" s="10">
        <v>75.353750918868</v>
      </c>
      <c r="AZ2" s="10">
        <v>75.6377831860712</v>
      </c>
      <c r="BA2" s="10">
        <v>75.4907702421494</v>
      </c>
      <c r="BB2" s="10">
        <v>75.4309095400979</v>
      </c>
      <c r="BC2" s="10">
        <v>75.4350673462369</v>
      </c>
      <c r="BD2" s="10">
        <v>75.7726757548346</v>
      </c>
      <c r="BE2" s="10">
        <v>76.0807020731973</v>
      </c>
      <c r="BF2" s="10">
        <v>76.2237601619788</v>
      </c>
      <c r="BG2" s="10">
        <v>76.0594419465832</v>
      </c>
      <c r="BH2" s="10">
        <v>76.0320789479608</v>
      </c>
      <c r="BI2" s="10">
        <v>76.6693315036317</v>
      </c>
      <c r="BJ2" s="10">
        <v>76.3783898517372</v>
      </c>
      <c r="BK2" s="10">
        <v>75.3895853536781</v>
      </c>
      <c r="BL2" s="10">
        <v>75.0897055073077</v>
      </c>
      <c r="BM2" s="10">
        <v>75.408651387101</v>
      </c>
      <c r="BN2" s="10">
        <v>75.0415663379672</v>
      </c>
      <c r="BO2" s="10">
        <v>75.0821153128591</v>
      </c>
      <c r="BP2" s="10">
        <v>75.2109802766356</v>
      </c>
      <c r="BQ2" s="10">
        <v>75.4995620405319</v>
      </c>
      <c r="BR2" s="10">
        <v>75.8687560844004</v>
      </c>
      <c r="BS2" s="10">
        <v>75.7957054423204</v>
      </c>
      <c r="BT2" s="10">
        <v>75.5616168509886</v>
      </c>
      <c r="BU2" s="10">
        <v>75.8951481399793</v>
      </c>
      <c r="BV2" s="10">
        <v>75.7515027164453</v>
      </c>
      <c r="BW2" s="10">
        <v>75.6488332100444</v>
      </c>
      <c r="BX2" s="10">
        <v>75.6638551078298</v>
      </c>
      <c r="BY2" s="10">
        <v>75.624461360959</v>
      </c>
      <c r="BZ2" s="10">
        <v>75.7812301230736</v>
      </c>
      <c r="CA2" s="10">
        <v>75.9418623577875</v>
      </c>
      <c r="CB2" s="10">
        <v>75.9794693859277</v>
      </c>
      <c r="CC2" s="10">
        <v>76.0760684134569</v>
      </c>
      <c r="CD2" s="10">
        <v>76.2590387176138</v>
      </c>
      <c r="CE2" s="10">
        <v>76.2148987621482</v>
      </c>
      <c r="CF2" s="10">
        <v>76.1243122227232</v>
      </c>
      <c r="CG2" s="10">
        <v>76.0314828675855</v>
      </c>
      <c r="CH2" s="10">
        <v>76.2854493426417</v>
      </c>
      <c r="CI2" s="10">
        <v>75.5240781971302</v>
      </c>
      <c r="CJ2" s="10">
        <v>75.5211271852104</v>
      </c>
      <c r="CK2" s="10">
        <v>75.1696976463389</v>
      </c>
      <c r="CL2" s="10">
        <v>75.5749876773655</v>
      </c>
      <c r="CM2" s="10">
        <v>75.577070041272</v>
      </c>
      <c r="CN2" s="10">
        <v>75.6003294582562</v>
      </c>
      <c r="CO2" s="10">
        <v>75.7203006986519</v>
      </c>
      <c r="CP2" s="10">
        <v>76.2178877904373</v>
      </c>
      <c r="CQ2" s="10">
        <v>75.5415994795786</v>
      </c>
      <c r="CR2" s="10">
        <v>75.718810664289</v>
      </c>
      <c r="CS2" s="10">
        <v>75.8388960010143</v>
      </c>
      <c r="CT2" s="10">
        <v>75.5843117388609</v>
      </c>
      <c r="CU2" s="10">
        <v>75.6003208230614</v>
      </c>
      <c r="CV2" s="10">
        <v>75.4314191464522</v>
      </c>
      <c r="CW2" s="10">
        <v>75.6214071199628</v>
      </c>
      <c r="CX2" s="10">
        <v>75.8116049637222</v>
      </c>
      <c r="CY2" s="10">
        <v>75.7930174890015</v>
      </c>
      <c r="CZ2" s="10">
        <v>75.9441027277933</v>
      </c>
      <c r="DA2" s="10">
        <v>76.3008839528319</v>
      </c>
      <c r="DB2" s="10">
        <v>76.5072847733353</v>
      </c>
      <c r="DC2" s="10">
        <v>76.3</v>
      </c>
      <c r="DD2" s="10">
        <v>76.3</v>
      </c>
      <c r="DE2" s="10">
        <v>76.2788552774471</v>
      </c>
      <c r="DF2" s="10">
        <v>76.5257205385523</v>
      </c>
      <c r="DG2" s="10">
        <v>75.3814486910392</v>
      </c>
      <c r="DH2" s="10">
        <v>75.5256993455588</v>
      </c>
      <c r="DI2" s="10">
        <v>75.6449026877345</v>
      </c>
      <c r="DJ2" s="10">
        <v>75.9532703832872</v>
      </c>
      <c r="DK2" s="10">
        <v>76.1092864150324</v>
      </c>
      <c r="DL2" s="10">
        <v>76.308084288214</v>
      </c>
      <c r="DM2" s="10">
        <v>76.310109054564</v>
      </c>
      <c r="DN2" s="10">
        <v>76.374986409435</v>
      </c>
      <c r="DO2" s="11">
        <v>76.3019628324061</v>
      </c>
      <c r="DP2" s="11">
        <v>76.3336583252417</v>
      </c>
      <c r="DQ2" s="11">
        <v>76.630233908735</v>
      </c>
      <c r="DR2" s="12">
        <v>76.382305869446</v>
      </c>
      <c r="DS2" s="10">
        <v>75.2673874753019</v>
      </c>
      <c r="DT2" s="10">
        <v>75.4945544147492</v>
      </c>
      <c r="DU2" s="10">
        <v>75.8076851575532</v>
      </c>
      <c r="DV2" s="10">
        <v>75.9</v>
      </c>
      <c r="DW2" s="10">
        <v>76.2</v>
      </c>
      <c r="DX2" s="10">
        <v>76.3</v>
      </c>
      <c r="DY2" s="10">
        <v>76.6</v>
      </c>
      <c r="DZ2" s="10">
        <v>76.5</v>
      </c>
      <c r="EA2" s="10">
        <v>76.2</v>
      </c>
      <c r="EB2" s="13">
        <v>76.5</v>
      </c>
      <c r="EC2" s="12">
        <v>76.3</v>
      </c>
      <c r="ED2" s="14">
        <v>76.3213812357182</v>
      </c>
      <c r="EE2" s="15">
        <v>76.1737486437069</v>
      </c>
      <c r="EF2" s="15">
        <v>76.2520294680279</v>
      </c>
      <c r="EG2" s="15">
        <v>76.2448105441253</v>
      </c>
      <c r="EH2" s="15">
        <v>76.1884830701448</v>
      </c>
      <c r="EI2" s="15">
        <v>76.3305642996796</v>
      </c>
      <c r="EJ2" s="15">
        <v>76.5152296768579</v>
      </c>
    </row>
    <row r="3" ht="18" spans="1:140">
      <c r="A3" s="16" t="s">
        <v>141</v>
      </c>
      <c r="B3" s="17" t="s">
        <v>140</v>
      </c>
      <c r="C3" s="18">
        <v>71.9198025842176</v>
      </c>
      <c r="D3" s="18">
        <v>71.5670262569967</v>
      </c>
      <c r="E3" s="18">
        <v>71.8030204783296</v>
      </c>
      <c r="F3" s="18">
        <v>71.7998000911377</v>
      </c>
      <c r="G3" s="18">
        <v>72.9127505155327</v>
      </c>
      <c r="H3" s="18">
        <v>72.5405919406386</v>
      </c>
      <c r="I3" s="18">
        <v>73.30065521935</v>
      </c>
      <c r="J3" s="18">
        <v>73.5282697316605</v>
      </c>
      <c r="K3" s="18">
        <v>73.0937498478417</v>
      </c>
      <c r="L3" s="18">
        <v>72.7126554752426</v>
      </c>
      <c r="M3" s="18">
        <v>72.3264608090407</v>
      </c>
      <c r="N3" s="18">
        <v>72.4386121625962</v>
      </c>
      <c r="O3" s="18">
        <v>71.6173332077844</v>
      </c>
      <c r="P3" s="18">
        <v>71.8093333427689</v>
      </c>
      <c r="Q3" s="18">
        <v>71.8628144233989</v>
      </c>
      <c r="R3" s="18">
        <v>72.0555573093713</v>
      </c>
      <c r="S3" s="18">
        <v>72.5336489396008</v>
      </c>
      <c r="T3" s="18">
        <v>72.9597976621403</v>
      </c>
      <c r="U3" s="18">
        <v>73.4199081628327</v>
      </c>
      <c r="V3" s="18">
        <v>73.7660167383881</v>
      </c>
      <c r="W3" s="18">
        <v>73.3868595017202</v>
      </c>
      <c r="X3" s="18">
        <v>72.8513687568416</v>
      </c>
      <c r="Y3" s="18">
        <v>72.8967829094535</v>
      </c>
      <c r="Z3" s="18">
        <v>73.0509951680615</v>
      </c>
      <c r="AA3" s="18">
        <v>72.1818215468169</v>
      </c>
      <c r="AB3" s="18">
        <v>71.77342491861</v>
      </c>
      <c r="AC3" s="18">
        <v>72.2666039804584</v>
      </c>
      <c r="AD3" s="18">
        <v>72.2105322636041</v>
      </c>
      <c r="AE3" s="18">
        <v>72.4540621944662</v>
      </c>
      <c r="AF3" s="18">
        <v>72.6658027805746</v>
      </c>
      <c r="AG3" s="18">
        <v>72.8691553643709</v>
      </c>
      <c r="AH3" s="18">
        <v>73.4305969793617</v>
      </c>
      <c r="AI3" s="18">
        <v>73.3287292182505</v>
      </c>
      <c r="AJ3" s="18">
        <v>73.1117047852429</v>
      </c>
      <c r="AK3" s="18">
        <v>72.8534834171123</v>
      </c>
      <c r="AL3" s="18">
        <v>72.9850086678169</v>
      </c>
      <c r="AM3" s="18">
        <v>72.3452799626071</v>
      </c>
      <c r="AN3" s="18">
        <v>72.3902546845471</v>
      </c>
      <c r="AO3" s="18">
        <v>72.6830308823949</v>
      </c>
      <c r="AP3" s="18">
        <v>72.7028075549104</v>
      </c>
      <c r="AQ3" s="18">
        <v>72.9745496582169</v>
      </c>
      <c r="AR3" s="18">
        <v>72.938321298095</v>
      </c>
      <c r="AS3" s="18">
        <v>73.0772297797557</v>
      </c>
      <c r="AT3" s="18">
        <v>73.7941966692934</v>
      </c>
      <c r="AU3" s="18">
        <v>73.5730239157712</v>
      </c>
      <c r="AV3" s="18">
        <v>72.9187380272314</v>
      </c>
      <c r="AW3" s="18">
        <v>73.0403336380131</v>
      </c>
      <c r="AX3" s="18">
        <v>73.0424598515127</v>
      </c>
      <c r="AY3" s="18">
        <v>71.66494449901</v>
      </c>
      <c r="AZ3" s="18">
        <v>71.9616868230122</v>
      </c>
      <c r="BA3" s="18">
        <v>71.9538889463324</v>
      </c>
      <c r="BB3" s="18">
        <v>71.8572191157829</v>
      </c>
      <c r="BC3" s="18">
        <v>72.0082575338669</v>
      </c>
      <c r="BD3" s="18">
        <v>72.4127047736016</v>
      </c>
      <c r="BE3" s="18">
        <v>72.6824232014353</v>
      </c>
      <c r="BF3" s="18">
        <v>72.9543159106148</v>
      </c>
      <c r="BG3" s="18">
        <v>72.6690697609502</v>
      </c>
      <c r="BH3" s="18">
        <v>72.5411414183278</v>
      </c>
      <c r="BI3" s="18">
        <v>73.1271133377007</v>
      </c>
      <c r="BJ3" s="18">
        <v>72.8766859319722</v>
      </c>
      <c r="BK3" s="18">
        <v>71.8920772169691</v>
      </c>
      <c r="BL3" s="18">
        <v>71.6361204531057</v>
      </c>
      <c r="BM3" s="18">
        <v>71.904300142681</v>
      </c>
      <c r="BN3" s="18">
        <v>70.7306083804842</v>
      </c>
      <c r="BO3" s="18">
        <v>70.5351210634531</v>
      </c>
      <c r="BP3" s="18">
        <v>70.5676769257106</v>
      </c>
      <c r="BQ3" s="18">
        <v>70.7343394213969</v>
      </c>
      <c r="BR3" s="18">
        <v>71.0292637888374</v>
      </c>
      <c r="BS3" s="18">
        <v>70.9792817769264</v>
      </c>
      <c r="BT3" s="18">
        <v>70.8306406772716</v>
      </c>
      <c r="BU3" s="18">
        <v>71.2516382080273</v>
      </c>
      <c r="BV3" s="18">
        <v>71.2970656928443</v>
      </c>
      <c r="BW3" s="18">
        <v>71.2855421066244</v>
      </c>
      <c r="BX3" s="18">
        <v>71.3587858667318</v>
      </c>
      <c r="BY3" s="18">
        <v>71.53408652723</v>
      </c>
      <c r="BZ3" s="18">
        <v>71.8428972728096</v>
      </c>
      <c r="CA3" s="18">
        <v>72.2183627973815</v>
      </c>
      <c r="CB3" s="18">
        <v>72.3563909160997</v>
      </c>
      <c r="CC3" s="18">
        <v>72.6033538527979</v>
      </c>
      <c r="CD3" s="18">
        <v>72.8728191388488</v>
      </c>
      <c r="CE3" s="18">
        <v>72.9057302441872</v>
      </c>
      <c r="CF3" s="18">
        <v>72.8162465109602</v>
      </c>
      <c r="CG3" s="18">
        <v>72.7613605214365</v>
      </c>
      <c r="CH3" s="18">
        <v>73.0190634867137</v>
      </c>
      <c r="CI3" s="18">
        <v>72.1968062689467</v>
      </c>
      <c r="CJ3" s="18">
        <v>72.4223514402132</v>
      </c>
      <c r="CK3" s="18">
        <v>72.0627226992391</v>
      </c>
      <c r="CL3" s="18">
        <v>72.538115815042</v>
      </c>
      <c r="CM3" s="18">
        <v>72.592091442598</v>
      </c>
      <c r="CN3" s="18">
        <v>72.612577451953</v>
      </c>
      <c r="CO3" s="18">
        <v>72.7784001648659</v>
      </c>
      <c r="CP3" s="18">
        <v>73.3142696509437</v>
      </c>
      <c r="CQ3" s="18">
        <v>72.6083855366488</v>
      </c>
      <c r="CR3" s="18">
        <v>72.7819275895503</v>
      </c>
      <c r="CS3" s="18">
        <v>73.0493148763325</v>
      </c>
      <c r="CT3" s="18">
        <v>72.7702833391081</v>
      </c>
      <c r="CU3" s="18">
        <v>72.8667166011454</v>
      </c>
      <c r="CV3" s="18">
        <v>72.7960622549057</v>
      </c>
      <c r="CW3" s="18">
        <v>73.0120041871517</v>
      </c>
      <c r="CX3" s="18">
        <v>73.3457229729241</v>
      </c>
      <c r="CY3" s="18">
        <v>73.3870983470635</v>
      </c>
      <c r="CZ3" s="18">
        <v>73.5929986493869</v>
      </c>
      <c r="DA3" s="18">
        <v>74.0252730392915</v>
      </c>
      <c r="DB3" s="18">
        <v>74.2390652134789</v>
      </c>
      <c r="DC3" s="18">
        <v>74</v>
      </c>
      <c r="DD3" s="18">
        <v>74.1</v>
      </c>
      <c r="DE3" s="18">
        <v>74.0455731322488</v>
      </c>
      <c r="DF3" s="18">
        <v>74.2366762033582</v>
      </c>
      <c r="DG3" s="18">
        <v>73.2319147650876</v>
      </c>
      <c r="DH3" s="18">
        <v>73.4164625307129</v>
      </c>
      <c r="DI3" s="18">
        <v>73.6192764476361</v>
      </c>
      <c r="DJ3" s="18">
        <v>73.9919625990326</v>
      </c>
      <c r="DK3" s="18">
        <v>74.1040860486539</v>
      </c>
      <c r="DL3" s="18">
        <v>74.4479814024688</v>
      </c>
      <c r="DM3" s="18">
        <v>74.445448689922</v>
      </c>
      <c r="DN3" s="18">
        <v>74.5335867164066</v>
      </c>
      <c r="DO3" s="19">
        <v>74.4778168484603</v>
      </c>
      <c r="DP3" s="19">
        <v>74.5810425082748</v>
      </c>
      <c r="DQ3" s="19">
        <v>74.8336313060604</v>
      </c>
      <c r="DR3" s="19">
        <v>74.5942812348549</v>
      </c>
      <c r="DS3" s="20">
        <v>73.4588134541212</v>
      </c>
      <c r="DT3" s="20">
        <v>73.7083357325706</v>
      </c>
      <c r="DU3" s="20">
        <v>74.0784697794887</v>
      </c>
      <c r="DV3" s="20">
        <v>74.2</v>
      </c>
      <c r="DW3" s="20">
        <v>74.5</v>
      </c>
      <c r="DX3" s="20">
        <v>74.6</v>
      </c>
      <c r="DY3" s="20">
        <v>75</v>
      </c>
      <c r="DZ3" s="20">
        <v>75</v>
      </c>
      <c r="EA3" s="20">
        <v>74.6</v>
      </c>
      <c r="EB3" s="21">
        <v>74.8</v>
      </c>
      <c r="EC3" s="22">
        <v>74.7</v>
      </c>
      <c r="ED3" s="22">
        <v>74.7</v>
      </c>
      <c r="EE3" s="20">
        <v>74.5134152383222</v>
      </c>
      <c r="EF3" s="20">
        <v>74.6162904942033</v>
      </c>
      <c r="EG3" s="20">
        <v>74.5710023882921</v>
      </c>
      <c r="EH3" s="20">
        <v>74.5121986238628</v>
      </c>
      <c r="EI3" s="20">
        <v>74.7123324943719</v>
      </c>
      <c r="EJ3" s="20">
        <v>74.8124012356184</v>
      </c>
    </row>
    <row r="4" ht="18" spans="1:140">
      <c r="A4" s="8" t="s">
        <v>142</v>
      </c>
      <c r="B4" s="9" t="s">
        <v>140</v>
      </c>
      <c r="C4" s="10">
        <v>4.175163490893</v>
      </c>
      <c r="D4" s="10">
        <v>4.40420160117901</v>
      </c>
      <c r="E4" s="10">
        <v>4.50894372179401</v>
      </c>
      <c r="F4" s="10">
        <v>4.41714477633501</v>
      </c>
      <c r="G4" s="10">
        <v>4.29266773769201</v>
      </c>
      <c r="H4" s="10">
        <v>4.086326054278</v>
      </c>
      <c r="I4" s="10">
        <v>4.07045350634801</v>
      </c>
      <c r="J4" s="10">
        <v>4.06938610238801</v>
      </c>
      <c r="K4" s="10">
        <v>4.04475839064102</v>
      </c>
      <c r="L4" s="10">
        <v>4.265866613803</v>
      </c>
      <c r="M4" s="10">
        <v>4.43850991853501</v>
      </c>
      <c r="N4" s="10">
        <v>4.43013751074601</v>
      </c>
      <c r="O4" s="10">
        <v>4.43815721222099</v>
      </c>
      <c r="P4" s="10">
        <v>4.43499280293099</v>
      </c>
      <c r="Q4" s="10">
        <v>4.576911609857</v>
      </c>
      <c r="R4" s="10">
        <v>4.519459364143</v>
      </c>
      <c r="S4" s="10">
        <v>4.30665981043701</v>
      </c>
      <c r="T4" s="10">
        <v>4.184696400589</v>
      </c>
      <c r="U4" s="10">
        <v>4.124545419291</v>
      </c>
      <c r="V4" s="10">
        <v>4.04045648194601</v>
      </c>
      <c r="W4" s="10">
        <v>4.024126818892</v>
      </c>
      <c r="X4" s="10">
        <v>4.106275518495</v>
      </c>
      <c r="Y4" s="10">
        <v>4.119282565686</v>
      </c>
      <c r="Z4" s="10">
        <v>4.10603166393101</v>
      </c>
      <c r="AA4" s="10">
        <v>4.30737144945301</v>
      </c>
      <c r="AB4" s="10">
        <v>4.235348226865</v>
      </c>
      <c r="AC4" s="10">
        <v>4.12938874032501</v>
      </c>
      <c r="AD4" s="10">
        <v>4.06383196700301</v>
      </c>
      <c r="AE4" s="10">
        <v>3.96254892063299</v>
      </c>
      <c r="AF4" s="10">
        <v>3.870523213514</v>
      </c>
      <c r="AG4" s="10">
        <v>3.920947124762</v>
      </c>
      <c r="AH4" s="10">
        <v>3.807932339192</v>
      </c>
      <c r="AI4" s="10">
        <v>3.83058447862801</v>
      </c>
      <c r="AJ4" s="10">
        <v>3.868915127978</v>
      </c>
      <c r="AK4" s="10">
        <v>3.89572184578101</v>
      </c>
      <c r="AL4" s="10">
        <v>3.885893123313</v>
      </c>
      <c r="AM4" s="10">
        <v>3.93068547481299</v>
      </c>
      <c r="AN4" s="10">
        <v>3.81537411304499</v>
      </c>
      <c r="AO4" s="10">
        <v>3.830529826298</v>
      </c>
      <c r="AP4" s="10">
        <v>3.727201694716</v>
      </c>
      <c r="AQ4" s="10">
        <v>3.61977821169</v>
      </c>
      <c r="AR4" s="10">
        <v>3.558542207585</v>
      </c>
      <c r="AS4" s="10">
        <v>3.620076437537</v>
      </c>
      <c r="AT4" s="10">
        <v>3.522590599176</v>
      </c>
      <c r="AU4" s="10">
        <v>3.448944994584</v>
      </c>
      <c r="AV4" s="10">
        <v>3.62346590555301</v>
      </c>
      <c r="AW4" s="10">
        <v>3.66498937471201</v>
      </c>
      <c r="AX4" s="10">
        <v>3.71324145566999</v>
      </c>
      <c r="AY4" s="10">
        <v>3.68880641985799</v>
      </c>
      <c r="AZ4" s="10">
        <v>3.676096363059</v>
      </c>
      <c r="BA4" s="10">
        <v>3.536881295817</v>
      </c>
      <c r="BB4" s="10">
        <v>3.57369042431499</v>
      </c>
      <c r="BC4" s="10">
        <v>3.42680981237</v>
      </c>
      <c r="BD4" s="10">
        <v>3.359970981233</v>
      </c>
      <c r="BE4" s="10">
        <v>3.398278871762</v>
      </c>
      <c r="BF4" s="10">
        <v>3.269444251364</v>
      </c>
      <c r="BG4" s="10">
        <v>3.390372185633</v>
      </c>
      <c r="BH4" s="10">
        <v>3.49093752963299</v>
      </c>
      <c r="BI4" s="10">
        <v>3.54221816593101</v>
      </c>
      <c r="BJ4" s="10">
        <v>3.501703919765</v>
      </c>
      <c r="BK4" s="10">
        <v>3.497508136709</v>
      </c>
      <c r="BL4" s="10">
        <v>3.453585054202</v>
      </c>
      <c r="BM4" s="10">
        <v>3.50435124442</v>
      </c>
      <c r="BN4" s="10">
        <v>4.31095795748301</v>
      </c>
      <c r="BO4" s="10">
        <v>4.54699424940601</v>
      </c>
      <c r="BP4" s="10">
        <v>4.643303350925</v>
      </c>
      <c r="BQ4" s="10">
        <v>4.765222619135</v>
      </c>
      <c r="BR4" s="10">
        <v>4.83949229556301</v>
      </c>
      <c r="BS4" s="10">
        <v>4.81642366539399</v>
      </c>
      <c r="BT4" s="10">
        <v>4.73097617371701</v>
      </c>
      <c r="BU4" s="10">
        <v>4.64350993195201</v>
      </c>
      <c r="BV4" s="10">
        <v>4.45443702360099</v>
      </c>
      <c r="BW4" s="10">
        <v>4.36329110341999</v>
      </c>
      <c r="BX4" s="10">
        <v>4.305069241098</v>
      </c>
      <c r="BY4" s="10">
        <v>4.09037483372901</v>
      </c>
      <c r="BZ4" s="10">
        <v>3.93833285026399</v>
      </c>
      <c r="CA4" s="10">
        <v>3.723499560406</v>
      </c>
      <c r="CB4" s="10">
        <v>3.623078469828</v>
      </c>
      <c r="CC4" s="10">
        <v>3.472714560659</v>
      </c>
      <c r="CD4" s="10">
        <v>3.386219578765</v>
      </c>
      <c r="CE4" s="10">
        <v>3.309168517961</v>
      </c>
      <c r="CF4" s="10">
        <v>3.308065711763</v>
      </c>
      <c r="CG4" s="10">
        <v>3.270122346149</v>
      </c>
      <c r="CH4" s="10">
        <v>3.266385855928</v>
      </c>
      <c r="CI4" s="10">
        <v>3.32727192818349</v>
      </c>
      <c r="CJ4" s="10">
        <v>3.09877574499723</v>
      </c>
      <c r="CK4" s="10">
        <v>3.10697494709979</v>
      </c>
      <c r="CL4" s="10">
        <v>3.03687186232345</v>
      </c>
      <c r="CM4" s="10">
        <v>2.98497859867395</v>
      </c>
      <c r="CN4" s="10">
        <v>2.98775200630321</v>
      </c>
      <c r="CO4" s="10">
        <v>2.94190053378594</v>
      </c>
      <c r="CP4" s="10">
        <v>2.90361813949354</v>
      </c>
      <c r="CQ4" s="10">
        <v>2.93321394292974</v>
      </c>
      <c r="CR4" s="10">
        <v>2.93688307473867</v>
      </c>
      <c r="CS4" s="10">
        <v>2.78958112468182</v>
      </c>
      <c r="CT4" s="10">
        <v>2.81402839975283</v>
      </c>
      <c r="CU4" s="10">
        <v>2.73360422191591</v>
      </c>
      <c r="CV4" s="10">
        <v>2.63535689154652</v>
      </c>
      <c r="CW4" s="10">
        <v>2.60940293281108</v>
      </c>
      <c r="CX4" s="10">
        <v>2.46588199079808</v>
      </c>
      <c r="CY4" s="10">
        <v>2.405919141938</v>
      </c>
      <c r="CZ4" s="10">
        <v>2.35110407840645</v>
      </c>
      <c r="DA4" s="10">
        <v>2.2756109135403</v>
      </c>
      <c r="DB4" s="10">
        <v>2.26821955985638</v>
      </c>
      <c r="DC4" s="10">
        <v>2.3</v>
      </c>
      <c r="DD4" s="10">
        <v>2.2</v>
      </c>
      <c r="DE4" s="10">
        <v>2.23328214519828</v>
      </c>
      <c r="DF4" s="10">
        <v>2.2890443351942</v>
      </c>
      <c r="DG4" s="10">
        <v>2.14953392595161</v>
      </c>
      <c r="DH4" s="10">
        <v>2.10923681484596</v>
      </c>
      <c r="DI4" s="10">
        <v>2.02562624009845</v>
      </c>
      <c r="DJ4" s="10">
        <v>1.96130778425453</v>
      </c>
      <c r="DK4" s="10">
        <v>2.00520036637846</v>
      </c>
      <c r="DL4" s="10">
        <v>1.8601028857453</v>
      </c>
      <c r="DM4" s="10">
        <v>1.86466036464206</v>
      </c>
      <c r="DN4" s="10">
        <v>1.84139969302842</v>
      </c>
      <c r="DO4" s="11">
        <v>1.82414598394586</v>
      </c>
      <c r="DP4" s="11">
        <v>1.7526158169669</v>
      </c>
      <c r="DQ4" s="11">
        <v>1.79660260267462</v>
      </c>
      <c r="DR4" s="12">
        <v>1.78802463459118</v>
      </c>
      <c r="DS4" s="10">
        <v>1.80857402118072</v>
      </c>
      <c r="DT4" s="10">
        <v>1.78621868217852</v>
      </c>
      <c r="DU4" s="10">
        <v>1.7292153780645</v>
      </c>
      <c r="DV4" s="10">
        <v>1.7</v>
      </c>
      <c r="DW4" s="10">
        <v>1.7</v>
      </c>
      <c r="DX4" s="10">
        <v>1.7</v>
      </c>
      <c r="DY4" s="10">
        <v>1.6</v>
      </c>
      <c r="DZ4" s="10">
        <v>1.6</v>
      </c>
      <c r="EA4" s="10">
        <v>1.6</v>
      </c>
      <c r="EB4" s="13">
        <v>1.7</v>
      </c>
      <c r="EC4" s="12">
        <v>1.6</v>
      </c>
      <c r="ED4" s="12">
        <v>1.6</v>
      </c>
      <c r="EE4" s="10">
        <v>1.66033340538473</v>
      </c>
      <c r="EF4" s="10">
        <v>1.63573897382457</v>
      </c>
      <c r="EG4" s="10">
        <v>1.67380815583315</v>
      </c>
      <c r="EH4" s="10">
        <v>1.67628444628206</v>
      </c>
      <c r="EI4" s="10">
        <v>1.61823180530776</v>
      </c>
      <c r="EJ4" s="10">
        <v>1.70282844123951</v>
      </c>
    </row>
    <row r="5" ht="18" spans="1:140">
      <c r="A5" s="23" t="s">
        <v>143</v>
      </c>
      <c r="B5" s="24" t="s">
        <v>144</v>
      </c>
      <c r="C5" s="25">
        <f t="shared" ref="C5:BN5" si="1">C4/C2</f>
        <v>0.0548678014623444</v>
      </c>
      <c r="D5" s="25">
        <f t="shared" si="1"/>
        <v>0.0579719681430033</v>
      </c>
      <c r="E5" s="25">
        <f t="shared" si="1"/>
        <v>0.0590856724637512</v>
      </c>
      <c r="F5" s="25">
        <f t="shared" si="1"/>
        <v>0.0579548915797611</v>
      </c>
      <c r="G5" s="25">
        <f t="shared" si="1"/>
        <v>0.0556006020667172</v>
      </c>
      <c r="H5" s="25">
        <f t="shared" si="1"/>
        <v>0.0533275533089963</v>
      </c>
      <c r="I5" s="25">
        <f t="shared" si="1"/>
        <v>0.0526094762423386</v>
      </c>
      <c r="J5" s="25">
        <f t="shared" si="1"/>
        <v>0.0524421267453087</v>
      </c>
      <c r="K5" s="25">
        <f t="shared" si="1"/>
        <v>0.0524350092192109</v>
      </c>
      <c r="L5" s="25">
        <f t="shared" si="1"/>
        <v>0.0554163226057837</v>
      </c>
      <c r="M5" s="25">
        <f t="shared" si="1"/>
        <v>0.0578194699544202</v>
      </c>
      <c r="N5" s="25">
        <f t="shared" si="1"/>
        <v>0.057632490831087</v>
      </c>
      <c r="O5" s="25">
        <f t="shared" si="1"/>
        <v>0.058354198858122</v>
      </c>
      <c r="P5" s="25">
        <f t="shared" si="1"/>
        <v>0.0581681684018808</v>
      </c>
      <c r="Q5" s="25">
        <f t="shared" si="1"/>
        <v>0.0598760860009593</v>
      </c>
      <c r="R5" s="25">
        <f t="shared" si="1"/>
        <v>0.0590200245520311</v>
      </c>
      <c r="S5" s="25">
        <f t="shared" si="1"/>
        <v>0.0560468832113443</v>
      </c>
      <c r="T5" s="25">
        <f t="shared" si="1"/>
        <v>0.0542449134112703</v>
      </c>
      <c r="U5" s="25">
        <f t="shared" si="1"/>
        <v>0.0531894317228361</v>
      </c>
      <c r="V5" s="25">
        <f t="shared" si="1"/>
        <v>0.0519295672289907</v>
      </c>
      <c r="W5" s="25">
        <f t="shared" si="1"/>
        <v>0.0519839238609533</v>
      </c>
      <c r="X5" s="25">
        <f t="shared" si="1"/>
        <v>0.0533576041361623</v>
      </c>
      <c r="Y5" s="25">
        <f t="shared" si="1"/>
        <v>0.0534860167196634</v>
      </c>
      <c r="Z5" s="25">
        <f t="shared" si="1"/>
        <v>0.0532165615047841</v>
      </c>
      <c r="AA5" s="25">
        <f t="shared" si="1"/>
        <v>0.056313464434944</v>
      </c>
      <c r="AB5" s="25">
        <f t="shared" si="1"/>
        <v>0.0557218338304036</v>
      </c>
      <c r="AC5" s="25">
        <f t="shared" si="1"/>
        <v>0.0540524259618872</v>
      </c>
      <c r="AD5" s="25">
        <f t="shared" si="1"/>
        <v>0.0532791326154677</v>
      </c>
      <c r="AE5" s="25">
        <f t="shared" si="1"/>
        <v>0.0518545491982702</v>
      </c>
      <c r="AF5" s="25">
        <f t="shared" si="1"/>
        <v>0.0505710610385577</v>
      </c>
      <c r="AG5" s="25">
        <f t="shared" si="1"/>
        <v>0.0510605793932477</v>
      </c>
      <c r="AH5" s="25">
        <f t="shared" si="1"/>
        <v>0.049300943101687</v>
      </c>
      <c r="AI5" s="25">
        <f t="shared" si="1"/>
        <v>0.0496451341399499</v>
      </c>
      <c r="AJ5" s="25">
        <f t="shared" si="1"/>
        <v>0.0502583004961427</v>
      </c>
      <c r="AK5" s="25">
        <f t="shared" si="1"/>
        <v>0.0507591164291118</v>
      </c>
      <c r="AL5" s="25">
        <f t="shared" si="1"/>
        <v>0.0505508981001885</v>
      </c>
      <c r="AM5" s="25">
        <f t="shared" si="1"/>
        <v>0.0515324250866138</v>
      </c>
      <c r="AN5" s="25">
        <f t="shared" si="1"/>
        <v>0.0500668280446699</v>
      </c>
      <c r="AO5" s="25">
        <f t="shared" si="1"/>
        <v>0.0500634108623153</v>
      </c>
      <c r="AP5" s="25">
        <f t="shared" si="1"/>
        <v>0.0487662075578543</v>
      </c>
      <c r="AQ5" s="25">
        <f t="shared" si="1"/>
        <v>0.0472590897048941</v>
      </c>
      <c r="AR5" s="25">
        <f t="shared" si="1"/>
        <v>0.046518798869718</v>
      </c>
      <c r="AS5" s="25">
        <f t="shared" si="1"/>
        <v>0.0471995251995016</v>
      </c>
      <c r="AT5" s="25">
        <f t="shared" si="1"/>
        <v>0.0455604885255307</v>
      </c>
      <c r="AU5" s="25">
        <f t="shared" si="1"/>
        <v>0.0447787175967701</v>
      </c>
      <c r="AV5" s="25">
        <f t="shared" si="1"/>
        <v>0.0473394509091345</v>
      </c>
      <c r="AW5" s="25">
        <f t="shared" si="1"/>
        <v>0.0477801178687951</v>
      </c>
      <c r="AX5" s="25">
        <f t="shared" si="1"/>
        <v>0.0483774024916962</v>
      </c>
      <c r="AY5" s="25">
        <f t="shared" si="1"/>
        <v>0.0489531891229895</v>
      </c>
      <c r="AZ5" s="25">
        <f t="shared" si="1"/>
        <v>0.048601323415517</v>
      </c>
      <c r="BA5" s="25">
        <f t="shared" si="1"/>
        <v>0.0468518374428007</v>
      </c>
      <c r="BB5" s="25">
        <f t="shared" si="1"/>
        <v>0.0473770029567955</v>
      </c>
      <c r="BC5" s="25">
        <f t="shared" si="1"/>
        <v>0.0454272784915986</v>
      </c>
      <c r="BD5" s="25">
        <f t="shared" si="1"/>
        <v>0.0443427785512592</v>
      </c>
      <c r="BE5" s="25">
        <f t="shared" si="1"/>
        <v>0.0446667654103995</v>
      </c>
      <c r="BF5" s="25">
        <f t="shared" si="1"/>
        <v>0.0428927180240949</v>
      </c>
      <c r="BG5" s="25">
        <f t="shared" si="1"/>
        <v>0.0445752966214776</v>
      </c>
      <c r="BH5" s="25">
        <f t="shared" si="1"/>
        <v>0.0459140086386737</v>
      </c>
      <c r="BI5" s="25">
        <f t="shared" si="1"/>
        <v>0.0462012397455587</v>
      </c>
      <c r="BJ5" s="25">
        <f t="shared" si="1"/>
        <v>0.0458467889485805</v>
      </c>
      <c r="BK5" s="25">
        <f t="shared" si="1"/>
        <v>0.0463924575297902</v>
      </c>
      <c r="BL5" s="25">
        <f t="shared" si="1"/>
        <v>0.0459927899686049</v>
      </c>
      <c r="BM5" s="25">
        <f t="shared" si="1"/>
        <v>0.0464714748236359</v>
      </c>
      <c r="BN5" s="25">
        <f t="shared" si="1"/>
        <v>0.0574476009478214</v>
      </c>
      <c r="BO5" s="25">
        <f t="shared" ref="BO5:DZ5" si="2">BO4/BO2</f>
        <v>0.0605602843028485</v>
      </c>
      <c r="BP5" s="25">
        <f t="shared" si="2"/>
        <v>0.0617370407066406</v>
      </c>
      <c r="BQ5" s="25">
        <f t="shared" si="2"/>
        <v>0.0631158975011907</v>
      </c>
      <c r="BR5" s="25">
        <f t="shared" si="2"/>
        <v>0.06378768475101</v>
      </c>
      <c r="BS5" s="25">
        <f t="shared" si="2"/>
        <v>0.0635448095282817</v>
      </c>
      <c r="BT5" s="25">
        <f t="shared" si="2"/>
        <v>0.0626108382917049</v>
      </c>
      <c r="BU5" s="25">
        <f t="shared" si="2"/>
        <v>0.0611832250908534</v>
      </c>
      <c r="BV5" s="25">
        <f t="shared" si="2"/>
        <v>0.0588032826262859</v>
      </c>
      <c r="BW5" s="25">
        <f t="shared" si="2"/>
        <v>0.0576782339960883</v>
      </c>
      <c r="BX5" s="25">
        <f t="shared" si="2"/>
        <v>0.0568973023508091</v>
      </c>
      <c r="BY5" s="25">
        <f t="shared" si="2"/>
        <v>0.0540879863488278</v>
      </c>
      <c r="BZ5" s="25">
        <f t="shared" si="2"/>
        <v>0.0519697667069786</v>
      </c>
      <c r="CA5" s="25">
        <f t="shared" si="2"/>
        <v>0.0490309224030265</v>
      </c>
      <c r="CB5" s="25">
        <f t="shared" si="2"/>
        <v>0.0476849667299603</v>
      </c>
      <c r="CC5" s="25">
        <f t="shared" si="2"/>
        <v>0.0456479236254107</v>
      </c>
      <c r="CD5" s="25">
        <f t="shared" si="2"/>
        <v>0.044404173403026</v>
      </c>
      <c r="CE5" s="25">
        <f t="shared" si="2"/>
        <v>0.0434189190264264</v>
      </c>
      <c r="CF5" s="25">
        <f t="shared" si="2"/>
        <v>0.0434560998342333</v>
      </c>
      <c r="CG5" s="25">
        <f t="shared" si="2"/>
        <v>0.0430101087446126</v>
      </c>
      <c r="CH5" s="25">
        <f t="shared" si="2"/>
        <v>0.0428179408271792</v>
      </c>
      <c r="CI5" s="25">
        <f t="shared" si="2"/>
        <v>0.0440557767484267</v>
      </c>
      <c r="CJ5" s="25">
        <f t="shared" si="2"/>
        <v>0.0410319053818899</v>
      </c>
      <c r="CK5" s="25">
        <f t="shared" si="2"/>
        <v>0.0413328115501754</v>
      </c>
      <c r="CL5" s="25">
        <f t="shared" si="2"/>
        <v>0.0401835574924346</v>
      </c>
      <c r="CM5" s="25">
        <f t="shared" si="2"/>
        <v>0.0394958232310921</v>
      </c>
      <c r="CN5" s="25">
        <f t="shared" si="2"/>
        <v>0.0395203569576101</v>
      </c>
      <c r="CO5" s="25">
        <f t="shared" si="2"/>
        <v>0.0388522035258944</v>
      </c>
      <c r="CP5" s="25">
        <f t="shared" si="2"/>
        <v>0.0380962819053331</v>
      </c>
      <c r="CQ5" s="25">
        <f t="shared" si="2"/>
        <v>0.0388291214792544</v>
      </c>
      <c r="CR5" s="25">
        <f t="shared" si="2"/>
        <v>0.0387867037130285</v>
      </c>
      <c r="CS5" s="25">
        <f t="shared" si="2"/>
        <v>0.0367829869865789</v>
      </c>
      <c r="CT5" s="25">
        <f t="shared" si="2"/>
        <v>0.037230323793582</v>
      </c>
      <c r="CU5" s="25">
        <f t="shared" si="2"/>
        <v>0.0361586325581047</v>
      </c>
      <c r="CV5" s="25">
        <f t="shared" si="2"/>
        <v>0.0349371246274699</v>
      </c>
      <c r="CW5" s="25">
        <f t="shared" si="2"/>
        <v>0.0345061409485759</v>
      </c>
      <c r="CX5" s="25">
        <f t="shared" si="2"/>
        <v>0.0325264448889859</v>
      </c>
      <c r="CY5" s="25">
        <f t="shared" si="2"/>
        <v>0.0317432821867413</v>
      </c>
      <c r="CZ5" s="25">
        <f t="shared" si="2"/>
        <v>0.0309583495486611</v>
      </c>
      <c r="DA5" s="25">
        <f t="shared" si="2"/>
        <v>0.0298241749721674</v>
      </c>
      <c r="DB5" s="25">
        <f t="shared" si="2"/>
        <v>0.0296471057177932</v>
      </c>
      <c r="DC5" s="25">
        <f t="shared" si="2"/>
        <v>0.0301441677588467</v>
      </c>
      <c r="DD5" s="25">
        <f t="shared" si="2"/>
        <v>0.0288335517693316</v>
      </c>
      <c r="DE5" s="25">
        <f t="shared" si="2"/>
        <v>0.0292778665473573</v>
      </c>
      <c r="DF5" s="25">
        <f t="shared" si="2"/>
        <v>0.0299120912431137</v>
      </c>
      <c r="DG5" s="25">
        <f t="shared" si="2"/>
        <v>0.0285154234002819</v>
      </c>
      <c r="DH5" s="25">
        <f t="shared" si="2"/>
        <v>0.0279274052822126</v>
      </c>
      <c r="DI5" s="25">
        <f t="shared" si="2"/>
        <v>0.0267780930125632</v>
      </c>
      <c r="DJ5" s="25">
        <f t="shared" si="2"/>
        <v>0.0258225587174466</v>
      </c>
      <c r="DK5" s="25">
        <f t="shared" si="2"/>
        <v>0.0263463298741744</v>
      </c>
      <c r="DL5" s="25">
        <f t="shared" si="2"/>
        <v>0.024376223084303</v>
      </c>
      <c r="DM5" s="25">
        <f t="shared" si="2"/>
        <v>0.0244352994346892</v>
      </c>
      <c r="DN5" s="25">
        <f t="shared" si="2"/>
        <v>0.0241099839043761</v>
      </c>
      <c r="DO5" s="25">
        <f t="shared" si="2"/>
        <v>0.0239069339271457</v>
      </c>
      <c r="DP5" s="25">
        <f t="shared" si="2"/>
        <v>0.0229599347839373</v>
      </c>
      <c r="DQ5" s="25">
        <f t="shared" si="2"/>
        <v>0.0234450883291618</v>
      </c>
      <c r="DR5" s="25">
        <f t="shared" si="2"/>
        <v>0.0234088852678433</v>
      </c>
      <c r="DS5" s="25">
        <f t="shared" si="2"/>
        <v>0.0240286541335606</v>
      </c>
      <c r="DT5" s="25">
        <f t="shared" si="2"/>
        <v>0.0236602321323133</v>
      </c>
      <c r="DU5" s="25">
        <f t="shared" si="2"/>
        <v>0.0228105550838365</v>
      </c>
      <c r="DV5" s="25">
        <f t="shared" si="2"/>
        <v>0.0223978919631094</v>
      </c>
      <c r="DW5" s="25">
        <f t="shared" si="2"/>
        <v>0.0223097112860892</v>
      </c>
      <c r="DX5" s="25">
        <f t="shared" si="2"/>
        <v>0.0222804718217562</v>
      </c>
      <c r="DY5" s="25">
        <f t="shared" si="2"/>
        <v>0.02088772845953</v>
      </c>
      <c r="DZ5" s="25">
        <f t="shared" si="2"/>
        <v>0.0209150326797386</v>
      </c>
      <c r="EA5" s="25">
        <f t="shared" ref="EA5:EJ5" si="3">EA4/EA2</f>
        <v>0.020997375328084</v>
      </c>
      <c r="EB5" s="25">
        <f t="shared" si="3"/>
        <v>0.0222222222222222</v>
      </c>
      <c r="EC5" s="25">
        <f t="shared" si="3"/>
        <v>0.0209698558322412</v>
      </c>
      <c r="ED5" s="25">
        <f t="shared" si="3"/>
        <v>0.020963981181871</v>
      </c>
      <c r="EE5" s="25">
        <f t="shared" si="3"/>
        <v>0.0217966613820035</v>
      </c>
      <c r="EF5" s="25">
        <f t="shared" si="3"/>
        <v>0.0214517434517651</v>
      </c>
      <c r="EG5" s="25">
        <f t="shared" si="3"/>
        <v>0.0219530764636691</v>
      </c>
      <c r="EH5" s="25">
        <f t="shared" si="3"/>
        <v>0.0220018089182684</v>
      </c>
      <c r="EI5" s="25">
        <f t="shared" si="3"/>
        <v>0.0212003123539669</v>
      </c>
      <c r="EJ5" s="25">
        <f t="shared" si="3"/>
        <v>0.0222547648152004</v>
      </c>
    </row>
    <row r="6" ht="53" spans="1:140">
      <c r="A6" s="16" t="s">
        <v>145</v>
      </c>
      <c r="B6" s="17" t="s">
        <v>140</v>
      </c>
      <c r="C6" s="18">
        <v>0.9241</v>
      </c>
      <c r="D6" s="18">
        <v>0.990622</v>
      </c>
      <c r="E6" s="18">
        <v>1.001497</v>
      </c>
      <c r="F6" s="18">
        <v>1.016757</v>
      </c>
      <c r="G6" s="18">
        <v>1.004358</v>
      </c>
      <c r="H6" s="18">
        <v>0.973868</v>
      </c>
      <c r="I6" s="18">
        <v>0.975128</v>
      </c>
      <c r="J6" s="18">
        <v>0.956174</v>
      </c>
      <c r="K6" s="18">
        <v>0.918886</v>
      </c>
      <c r="L6" s="18">
        <v>0.911149</v>
      </c>
      <c r="M6" s="18">
        <v>0.941033</v>
      </c>
      <c r="N6" s="18">
        <v>1.001132</v>
      </c>
      <c r="O6" s="18">
        <v>1.017308</v>
      </c>
      <c r="P6" s="18">
        <v>1.069907</v>
      </c>
      <c r="Q6" s="18">
        <v>1.062008</v>
      </c>
      <c r="R6" s="18">
        <v>1.055625</v>
      </c>
      <c r="S6" s="18">
        <v>1.008955</v>
      </c>
      <c r="T6" s="18">
        <v>0.967829</v>
      </c>
      <c r="U6" s="18">
        <v>0.944509</v>
      </c>
      <c r="V6" s="18">
        <v>0.908815</v>
      </c>
      <c r="W6" s="18">
        <v>0.861608</v>
      </c>
      <c r="X6" s="18">
        <v>0.833434</v>
      </c>
      <c r="Y6" s="18">
        <v>0.847914</v>
      </c>
      <c r="Z6" s="18">
        <v>0.894623</v>
      </c>
      <c r="AA6" s="18">
        <v>0.897285</v>
      </c>
      <c r="AB6" s="18">
        <v>0.927382</v>
      </c>
      <c r="AC6" s="18">
        <v>0.911272</v>
      </c>
      <c r="AD6" s="18">
        <v>0.879476</v>
      </c>
      <c r="AE6" s="18">
        <v>0.842905</v>
      </c>
      <c r="AF6" s="18">
        <v>0.815714</v>
      </c>
      <c r="AG6" s="18">
        <v>0.79698</v>
      </c>
      <c r="AH6" s="18">
        <v>0.772605</v>
      </c>
      <c r="AI6" s="18">
        <v>0.731878</v>
      </c>
      <c r="AJ6" s="18">
        <v>0.707353</v>
      </c>
      <c r="AK6" s="18">
        <v>0.732056</v>
      </c>
      <c r="AL6" s="18">
        <v>0.775541</v>
      </c>
      <c r="AM6" s="18">
        <v>0.777972</v>
      </c>
      <c r="AN6" s="18">
        <v>0.798852</v>
      </c>
      <c r="AO6" s="18">
        <v>0.784225</v>
      </c>
      <c r="AP6" s="18">
        <v>0.757949</v>
      </c>
      <c r="AQ6" s="18">
        <v>0.7304</v>
      </c>
      <c r="AR6" s="18">
        <v>0.705651</v>
      </c>
      <c r="AS6" s="18">
        <v>0.690495</v>
      </c>
      <c r="AT6" s="18">
        <v>0.679415</v>
      </c>
      <c r="AU6" s="18">
        <v>0.649265</v>
      </c>
      <c r="AV6" s="18">
        <v>0.631436</v>
      </c>
      <c r="AW6" s="18">
        <v>0.660876</v>
      </c>
      <c r="AX6" s="18">
        <v>0.693205</v>
      </c>
      <c r="AY6" s="18">
        <v>0.733221</v>
      </c>
      <c r="AZ6" s="18">
        <v>0.798001</v>
      </c>
      <c r="BA6" s="18">
        <v>0.818379</v>
      </c>
      <c r="BB6" s="18">
        <v>0.81699</v>
      </c>
      <c r="BC6" s="18">
        <v>0.776165</v>
      </c>
      <c r="BD6" s="18">
        <v>0.745796</v>
      </c>
      <c r="BE6" s="18">
        <v>0.727024</v>
      </c>
      <c r="BF6" s="18">
        <v>0.712277</v>
      </c>
      <c r="BG6" s="18">
        <v>0.665698</v>
      </c>
      <c r="BH6" s="18">
        <v>0.645388</v>
      </c>
      <c r="BI6" s="18">
        <v>0.664455</v>
      </c>
      <c r="BJ6" s="18">
        <v>0.691397</v>
      </c>
      <c r="BK6" s="18">
        <v>0.699518</v>
      </c>
      <c r="BL6" s="18">
        <v>0.729713</v>
      </c>
      <c r="BM6" s="18">
        <v>0.726559</v>
      </c>
      <c r="BN6" s="18">
        <v>1.334913</v>
      </c>
      <c r="BO6" s="18">
        <v>2.153095</v>
      </c>
      <c r="BP6" s="18">
        <v>2.787337</v>
      </c>
      <c r="BQ6" s="18">
        <v>3.310893</v>
      </c>
      <c r="BR6" s="18">
        <v>3.643849</v>
      </c>
      <c r="BS6" s="18">
        <v>3.68707</v>
      </c>
      <c r="BT6" s="18">
        <v>3.4699</v>
      </c>
      <c r="BU6" s="18">
        <v>3.133216</v>
      </c>
      <c r="BV6" s="18">
        <v>2.773147</v>
      </c>
      <c r="BW6" s="18">
        <v>2.529495</v>
      </c>
      <c r="BX6" s="18">
        <v>2.219614</v>
      </c>
      <c r="BY6" s="18">
        <v>1.748329</v>
      </c>
      <c r="BZ6" s="18">
        <v>1.540545</v>
      </c>
      <c r="CA6" s="18">
        <v>1.354954</v>
      </c>
      <c r="CB6" s="18">
        <v>1.18221</v>
      </c>
      <c r="CC6" s="18">
        <v>1.078756</v>
      </c>
      <c r="CD6" s="18">
        <v>0.984459</v>
      </c>
      <c r="CE6" s="18">
        <v>0.876977</v>
      </c>
      <c r="CF6" s="18">
        <v>0.830381</v>
      </c>
      <c r="CG6" s="18">
        <v>0.794461</v>
      </c>
      <c r="CH6" s="18">
        <v>0.776911</v>
      </c>
      <c r="CI6" s="18">
        <v>0.705411</v>
      </c>
      <c r="CJ6" s="18">
        <v>0.682803</v>
      </c>
      <c r="CK6" s="18">
        <v>0.66497</v>
      </c>
      <c r="CL6" s="18">
        <v>0.687575</v>
      </c>
      <c r="CM6" s="18">
        <v>0.681015</v>
      </c>
      <c r="CN6" s="18">
        <v>0.68418</v>
      </c>
      <c r="CO6" s="18">
        <v>0.677763</v>
      </c>
      <c r="CP6" s="18">
        <v>0.662884</v>
      </c>
      <c r="CQ6" s="18">
        <v>0.621557</v>
      </c>
      <c r="CR6" s="18">
        <v>0.568376</v>
      </c>
      <c r="CS6" s="18">
        <v>0.556419</v>
      </c>
      <c r="CT6" s="18">
        <v>0.564122</v>
      </c>
      <c r="CU6" s="18">
        <v>0.545813</v>
      </c>
      <c r="CV6" s="18">
        <v>0.55213</v>
      </c>
      <c r="CW6" s="18">
        <v>0.540868</v>
      </c>
      <c r="CX6" s="18">
        <v>0.525033</v>
      </c>
      <c r="CY6" s="18">
        <v>0.520093</v>
      </c>
      <c r="CZ6" s="18">
        <v>0.509137</v>
      </c>
      <c r="DA6" s="18">
        <v>0.495707</v>
      </c>
      <c r="DB6" s="18">
        <v>0.482775</v>
      </c>
      <c r="DC6" s="18">
        <v>0.5</v>
      </c>
      <c r="DD6" s="18">
        <v>0.4</v>
      </c>
      <c r="DE6" s="18">
        <v>0.421357</v>
      </c>
      <c r="DF6" s="18">
        <v>0.423982</v>
      </c>
      <c r="DG6" s="18">
        <v>0.405558</v>
      </c>
      <c r="DH6" s="18">
        <v>0.406302</v>
      </c>
      <c r="DI6" s="18">
        <v>0.392719</v>
      </c>
      <c r="DJ6" s="18">
        <v>0.377118</v>
      </c>
      <c r="DK6" s="18">
        <v>0.377289</v>
      </c>
      <c r="DL6" s="18">
        <v>0.368697</v>
      </c>
      <c r="DM6" s="18">
        <v>0.360986</v>
      </c>
      <c r="DN6" s="18">
        <v>0.348059</v>
      </c>
      <c r="DO6" s="19">
        <v>0.315316</v>
      </c>
      <c r="DP6" s="19">
        <v>0.287193</v>
      </c>
      <c r="DQ6" s="19">
        <v>0.283654</v>
      </c>
      <c r="DR6" s="26">
        <v>0.289191</v>
      </c>
      <c r="DS6" s="20">
        <v>0.277993</v>
      </c>
      <c r="DT6" s="20">
        <v>0.282957</v>
      </c>
      <c r="DU6" s="20">
        <v>0.272756</v>
      </c>
      <c r="DV6" s="20">
        <v>0.3</v>
      </c>
      <c r="DW6" s="20">
        <v>0.3</v>
      </c>
      <c r="DX6" s="20">
        <v>0.3</v>
      </c>
      <c r="DY6" s="20">
        <v>0.3</v>
      </c>
      <c r="DZ6" s="20">
        <v>0.3</v>
      </c>
      <c r="EA6" s="20">
        <v>0.3</v>
      </c>
      <c r="EB6" s="27">
        <v>0.3</v>
      </c>
      <c r="EC6" s="28">
        <v>0.3</v>
      </c>
      <c r="ED6" s="22">
        <v>0.3</v>
      </c>
      <c r="EE6" s="20">
        <v>0.287193</v>
      </c>
      <c r="EF6" s="20">
        <v>0.301684</v>
      </c>
      <c r="EG6" s="20">
        <v>0.291958</v>
      </c>
      <c r="EH6" s="20">
        <v>0.293704</v>
      </c>
      <c r="EI6" s="20">
        <v>0.301763</v>
      </c>
      <c r="EJ6" s="20">
        <v>0.300621</v>
      </c>
    </row>
    <row r="7" ht="36" spans="1:140">
      <c r="A7" s="8" t="s">
        <v>146</v>
      </c>
      <c r="B7" s="9" t="s">
        <v>147</v>
      </c>
      <c r="C7" s="29">
        <v>30929</v>
      </c>
      <c r="D7" s="29">
        <v>31325</v>
      </c>
      <c r="E7" s="29">
        <v>32642</v>
      </c>
      <c r="F7" s="29">
        <v>34377</v>
      </c>
      <c r="G7" s="29">
        <v>34380</v>
      </c>
      <c r="H7" s="29">
        <v>35395</v>
      </c>
      <c r="I7" s="29">
        <v>33901</v>
      </c>
      <c r="J7" s="29">
        <v>32176</v>
      </c>
      <c r="K7" s="29">
        <v>32911</v>
      </c>
      <c r="L7" s="29">
        <v>33357</v>
      </c>
      <c r="M7" s="29">
        <v>33347</v>
      </c>
      <c r="N7" s="29">
        <v>43408</v>
      </c>
      <c r="O7" s="29">
        <v>32660</v>
      </c>
      <c r="P7" s="29">
        <v>33873</v>
      </c>
      <c r="Q7" s="29">
        <v>35501</v>
      </c>
      <c r="R7" s="29">
        <v>36497</v>
      </c>
      <c r="S7" s="29">
        <v>37270</v>
      </c>
      <c r="T7" s="29">
        <v>38447</v>
      </c>
      <c r="U7" s="29">
        <v>35888</v>
      </c>
      <c r="V7" s="29">
        <v>35405</v>
      </c>
      <c r="W7" s="29">
        <v>35843</v>
      </c>
      <c r="X7" s="29">
        <v>35749</v>
      </c>
      <c r="Y7" s="29">
        <v>36195</v>
      </c>
      <c r="Z7" s="29">
        <v>47554</v>
      </c>
      <c r="AA7" s="29">
        <v>34422</v>
      </c>
      <c r="AB7" s="29">
        <v>35497</v>
      </c>
      <c r="AC7" s="29">
        <v>37899</v>
      </c>
      <c r="AD7" s="29">
        <v>39225</v>
      </c>
      <c r="AE7" s="29">
        <v>39679</v>
      </c>
      <c r="AF7" s="29">
        <v>41454</v>
      </c>
      <c r="AG7" s="29">
        <v>38073</v>
      </c>
      <c r="AH7" s="29">
        <v>37099</v>
      </c>
      <c r="AI7" s="29">
        <v>38047</v>
      </c>
      <c r="AJ7" s="29">
        <v>38333</v>
      </c>
      <c r="AK7" s="29">
        <v>38848</v>
      </c>
      <c r="AL7" s="29">
        <v>51197</v>
      </c>
      <c r="AM7" s="29">
        <v>39017</v>
      </c>
      <c r="AN7" s="29">
        <v>40443</v>
      </c>
      <c r="AO7" s="29">
        <v>42364</v>
      </c>
      <c r="AP7" s="29">
        <v>43381</v>
      </c>
      <c r="AQ7" s="29">
        <v>44076</v>
      </c>
      <c r="AR7" s="29">
        <v>45848</v>
      </c>
      <c r="AS7" s="29">
        <v>42413</v>
      </c>
      <c r="AT7" s="29">
        <v>41364</v>
      </c>
      <c r="AU7" s="29">
        <v>41774</v>
      </c>
      <c r="AV7" s="29">
        <v>42332</v>
      </c>
      <c r="AW7" s="29">
        <v>42595</v>
      </c>
      <c r="AX7" s="29">
        <v>55569</v>
      </c>
      <c r="AY7" s="29">
        <v>42263</v>
      </c>
      <c r="AZ7" s="29">
        <v>43062</v>
      </c>
      <c r="BA7" s="29">
        <v>46324</v>
      </c>
      <c r="BB7" s="29">
        <v>48030</v>
      </c>
      <c r="BC7" s="29">
        <v>47926</v>
      </c>
      <c r="BD7" s="29">
        <v>49348</v>
      </c>
      <c r="BE7" s="29">
        <v>46509</v>
      </c>
      <c r="BF7" s="29">
        <v>44961</v>
      </c>
      <c r="BG7" s="29">
        <v>45541</v>
      </c>
      <c r="BH7" s="29">
        <v>46549</v>
      </c>
      <c r="BI7" s="29">
        <v>46285</v>
      </c>
      <c r="BJ7" s="29">
        <v>62239</v>
      </c>
      <c r="BK7" s="29">
        <v>46674</v>
      </c>
      <c r="BL7" s="29">
        <v>47257</v>
      </c>
      <c r="BM7" s="29">
        <v>50948</v>
      </c>
      <c r="BN7" s="29">
        <v>49306</v>
      </c>
      <c r="BO7" s="29">
        <v>50747</v>
      </c>
      <c r="BP7" s="29">
        <v>52123</v>
      </c>
      <c r="BQ7" s="29">
        <v>50145</v>
      </c>
      <c r="BR7" s="29">
        <v>47649</v>
      </c>
      <c r="BS7" s="29">
        <v>49259</v>
      </c>
      <c r="BT7" s="29">
        <v>49539</v>
      </c>
      <c r="BU7" s="29">
        <v>49274</v>
      </c>
      <c r="BV7" s="29">
        <v>69278</v>
      </c>
      <c r="BW7" s="29">
        <v>49516</v>
      </c>
      <c r="BX7" s="29">
        <v>51229</v>
      </c>
      <c r="BY7" s="29">
        <v>55208</v>
      </c>
      <c r="BZ7" s="29">
        <v>56614</v>
      </c>
      <c r="CA7" s="29">
        <v>56171</v>
      </c>
      <c r="CB7" s="29">
        <v>58782</v>
      </c>
      <c r="CC7" s="29">
        <v>55170</v>
      </c>
      <c r="CD7" s="29">
        <v>52355</v>
      </c>
      <c r="CE7" s="29">
        <v>54687</v>
      </c>
      <c r="CF7" s="29">
        <v>54649</v>
      </c>
      <c r="CG7" s="29">
        <v>55639</v>
      </c>
      <c r="CH7" s="29">
        <v>77994</v>
      </c>
      <c r="CI7" s="29">
        <v>55717</v>
      </c>
      <c r="CJ7" s="29">
        <v>57344</v>
      </c>
      <c r="CK7" s="29">
        <v>66757</v>
      </c>
      <c r="CL7" s="29">
        <v>62269</v>
      </c>
      <c r="CM7" s="29">
        <v>62457</v>
      </c>
      <c r="CN7" s="29">
        <v>66572</v>
      </c>
      <c r="CO7" s="29">
        <v>62200</v>
      </c>
      <c r="CP7" s="29">
        <v>59907</v>
      </c>
      <c r="CQ7" s="29">
        <v>61879</v>
      </c>
      <c r="CR7" s="29">
        <v>62470</v>
      </c>
      <c r="CS7" s="29">
        <v>63060</v>
      </c>
      <c r="CT7" s="29">
        <v>88468</v>
      </c>
      <c r="CU7" s="29">
        <v>63260</v>
      </c>
      <c r="CV7" s="29">
        <v>65094</v>
      </c>
      <c r="CW7" s="29">
        <v>71334</v>
      </c>
      <c r="CX7" s="29">
        <v>71204</v>
      </c>
      <c r="CY7" s="29">
        <v>72851</v>
      </c>
      <c r="CZ7" s="29">
        <v>76604</v>
      </c>
      <c r="DA7" s="29">
        <v>71419</v>
      </c>
      <c r="DB7" s="29">
        <v>69439</v>
      </c>
      <c r="DC7" s="29">
        <v>70922</v>
      </c>
      <c r="DD7" s="29">
        <v>73830</v>
      </c>
      <c r="DE7" s="29">
        <v>73383</v>
      </c>
      <c r="DF7" s="29">
        <v>103815</v>
      </c>
      <c r="DG7" s="29">
        <v>75034</v>
      </c>
      <c r="DH7" s="29">
        <v>78432</v>
      </c>
      <c r="DI7" s="29">
        <v>87740</v>
      </c>
      <c r="DJ7" s="29">
        <v>83875</v>
      </c>
      <c r="DK7" s="29">
        <v>86384</v>
      </c>
      <c r="DL7" s="29">
        <v>89145</v>
      </c>
      <c r="DM7" s="29">
        <v>85017</v>
      </c>
      <c r="DN7" s="30">
        <v>82218</v>
      </c>
      <c r="DO7" s="30">
        <v>84324</v>
      </c>
      <c r="DP7" s="30">
        <v>86582</v>
      </c>
      <c r="DQ7" s="31">
        <v>86399</v>
      </c>
      <c r="DR7" s="29">
        <v>128665</v>
      </c>
      <c r="DS7" s="29">
        <v>88981</v>
      </c>
      <c r="DT7" s="29">
        <v>89646</v>
      </c>
      <c r="DU7" s="29">
        <v>97645</v>
      </c>
      <c r="DV7" s="29">
        <v>97375</v>
      </c>
      <c r="DW7" s="29">
        <v>99422</v>
      </c>
      <c r="DX7" s="29">
        <v>103183</v>
      </c>
      <c r="DY7" s="29">
        <v>99305</v>
      </c>
      <c r="DZ7" s="29">
        <v>92866</v>
      </c>
      <c r="EA7" s="32">
        <v>96182</v>
      </c>
      <c r="EB7" s="33">
        <v>99707</v>
      </c>
      <c r="EC7" s="34">
        <v>98193</v>
      </c>
      <c r="ED7" s="35">
        <v>139727</v>
      </c>
      <c r="EE7" s="36">
        <v>103612</v>
      </c>
      <c r="EF7" s="36">
        <v>103900</v>
      </c>
      <c r="EG7" s="35">
        <v>112654</v>
      </c>
      <c r="EH7" s="36">
        <v>109052</v>
      </c>
      <c r="EI7" s="36">
        <v>110216</v>
      </c>
      <c r="EJ7" s="35"/>
    </row>
    <row r="9" ht="44.2" customHeight="1" spans="1:140">
      <c r="A9" s="37" t="s">
        <v>148</v>
      </c>
      <c r="B9" s="37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</row>
    <row r="10" ht="40.6" customHeight="1" spans="1:140">
      <c r="A10" s="39" t="s">
        <v>149</v>
      </c>
      <c r="B10" s="39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</row>
    <row r="11" ht="13.6" customHeight="1" spans="1:140">
      <c r="A11" s="40"/>
      <c r="B11" s="40"/>
    </row>
  </sheetData>
  <mergeCells count="2">
    <mergeCell ref="A9:B9"/>
    <mergeCell ref="A10:B10"/>
  </mergeCells>
  <pageMargins left="0" right="0" top="0" bottom="0" header="0.31496062992126" footer="0.31496062992126"/>
  <pageSetup paperSize="9" scale="6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"/>
  <sheetViews>
    <sheetView topLeftCell="A80" workbookViewId="0">
      <selection activeCell="B98" sqref="B98"/>
    </sheetView>
  </sheetViews>
  <sheetFormatPr defaultColWidth="9" defaultRowHeight="16.8" outlineLevelCol="3"/>
  <cols>
    <col min="2" max="2" width="9.625"/>
    <col min="3" max="3" width="11" customWidth="1"/>
  </cols>
  <sheetData>
    <row r="1" spans="1:4">
      <c r="A1" t="s">
        <v>150</v>
      </c>
      <c r="C1" t="s">
        <v>151</v>
      </c>
      <c r="D1" t="str">
        <f>'labor market'!A5</f>
        <v>Unemplyment Rate </v>
      </c>
    </row>
    <row r="2" spans="1:4">
      <c r="A2" t="str" cm="1">
        <f t="array" ref="A2:A139">TRANSPOSE('labor market'!C1:EJ1)</f>
        <v>01.2015</v>
      </c>
      <c r="B2" s="1">
        <v>42005</v>
      </c>
      <c r="C2" s="2" t="str">
        <f t="shared" ref="C2:C65" si="0">TEXT(B2,"yyyy-mm-01")</f>
        <v>2015-01-01</v>
      </c>
      <c r="D2" s="3" cm="1">
        <f t="array" ref="D2:D139">TRANSPOSE('labor market'!C5:EJ5)</f>
        <v>0.0548678014623444</v>
      </c>
    </row>
    <row r="3" spans="1:4">
      <c r="A3" t="str">
        <v>02.2015</v>
      </c>
      <c r="B3" s="1">
        <v>42036</v>
      </c>
      <c r="C3" s="2" t="str">
        <f t="shared" si="0"/>
        <v>2015-02-01</v>
      </c>
      <c r="D3" s="3">
        <v>0.0579719681430033</v>
      </c>
    </row>
    <row r="4" spans="1:4">
      <c r="A4" t="str">
        <v>03.2015</v>
      </c>
      <c r="B4" s="1">
        <v>42064</v>
      </c>
      <c r="C4" s="2" t="str">
        <f t="shared" si="0"/>
        <v>2015-03-01</v>
      </c>
      <c r="D4" s="3">
        <v>0.0590856724637512</v>
      </c>
    </row>
    <row r="5" spans="1:4">
      <c r="A5" t="str">
        <v>04.2015</v>
      </c>
      <c r="B5" s="1">
        <v>42095</v>
      </c>
      <c r="C5" s="2" t="str">
        <f t="shared" si="0"/>
        <v>2015-04-01</v>
      </c>
      <c r="D5" s="3">
        <v>0.0579548915797611</v>
      </c>
    </row>
    <row r="6" spans="1:4">
      <c r="A6" t="str">
        <v>05.2015</v>
      </c>
      <c r="B6" s="1">
        <v>42125</v>
      </c>
      <c r="C6" s="2" t="str">
        <f t="shared" si="0"/>
        <v>2015-05-01</v>
      </c>
      <c r="D6" s="3">
        <v>0.0556006020667172</v>
      </c>
    </row>
    <row r="7" spans="1:4">
      <c r="A7" t="str">
        <v>06.2015</v>
      </c>
      <c r="B7" s="1">
        <v>42156</v>
      </c>
      <c r="C7" s="2" t="str">
        <f t="shared" si="0"/>
        <v>2015-06-01</v>
      </c>
      <c r="D7" s="3">
        <v>0.0533275533089963</v>
      </c>
    </row>
    <row r="8" spans="1:4">
      <c r="A8" t="str">
        <v>07.2015</v>
      </c>
      <c r="B8" s="1">
        <v>42186</v>
      </c>
      <c r="C8" s="2" t="str">
        <f t="shared" si="0"/>
        <v>2015-07-01</v>
      </c>
      <c r="D8" s="3">
        <v>0.0526094762423386</v>
      </c>
    </row>
    <row r="9" spans="1:4">
      <c r="A9" t="str">
        <v>08.2015</v>
      </c>
      <c r="B9" s="1">
        <v>42217</v>
      </c>
      <c r="C9" s="2" t="str">
        <f t="shared" si="0"/>
        <v>2015-08-01</v>
      </c>
      <c r="D9" s="3">
        <v>0.0524421267453087</v>
      </c>
    </row>
    <row r="10" spans="1:4">
      <c r="A10" t="str">
        <v>09.2015</v>
      </c>
      <c r="B10" s="1">
        <v>42248</v>
      </c>
      <c r="C10" s="2" t="str">
        <f t="shared" si="0"/>
        <v>2015-09-01</v>
      </c>
      <c r="D10" s="3">
        <v>0.0524350092192109</v>
      </c>
    </row>
    <row r="11" spans="1:4">
      <c r="A11" t="str">
        <v>10.2015</v>
      </c>
      <c r="B11" s="1">
        <v>42278</v>
      </c>
      <c r="C11" s="2" t="str">
        <f t="shared" si="0"/>
        <v>2015-10-01</v>
      </c>
      <c r="D11" s="3">
        <v>0.0554163226057837</v>
      </c>
    </row>
    <row r="12" spans="1:4">
      <c r="A12" t="str">
        <v>11.2015</v>
      </c>
      <c r="B12" s="1">
        <v>42309</v>
      </c>
      <c r="C12" s="2" t="str">
        <f t="shared" si="0"/>
        <v>2015-11-01</v>
      </c>
      <c r="D12" s="3">
        <v>0.0578194699544202</v>
      </c>
    </row>
    <row r="13" spans="1:4">
      <c r="A13" t="str">
        <v>12.2015</v>
      </c>
      <c r="B13" s="1">
        <v>42339</v>
      </c>
      <c r="C13" s="2" t="str">
        <f t="shared" si="0"/>
        <v>2015-12-01</v>
      </c>
      <c r="D13" s="3">
        <v>0.057632490831087</v>
      </c>
    </row>
    <row r="14" spans="1:4">
      <c r="A14" t="str">
        <v>01.2016</v>
      </c>
      <c r="B14" s="1">
        <v>42370</v>
      </c>
      <c r="C14" s="2" t="str">
        <f t="shared" si="0"/>
        <v>2016-01-01</v>
      </c>
      <c r="D14" s="3">
        <v>0.058354198858122</v>
      </c>
    </row>
    <row r="15" spans="1:4">
      <c r="A15" t="str">
        <v>02.2016</v>
      </c>
      <c r="B15" s="1">
        <v>42401</v>
      </c>
      <c r="C15" s="2" t="str">
        <f t="shared" si="0"/>
        <v>2016-02-01</v>
      </c>
      <c r="D15" s="3">
        <v>0.0581681684018808</v>
      </c>
    </row>
    <row r="16" spans="1:4">
      <c r="A16" t="str">
        <v>03.2016</v>
      </c>
      <c r="B16" s="1">
        <v>42430</v>
      </c>
      <c r="C16" s="2" t="str">
        <f t="shared" si="0"/>
        <v>2016-03-01</v>
      </c>
      <c r="D16" s="3">
        <v>0.0598760860009593</v>
      </c>
    </row>
    <row r="17" spans="1:4">
      <c r="A17" t="str">
        <v>04.2016</v>
      </c>
      <c r="B17" s="1">
        <v>42461</v>
      </c>
      <c r="C17" s="2" t="str">
        <f t="shared" si="0"/>
        <v>2016-04-01</v>
      </c>
      <c r="D17" s="3">
        <v>0.0590200245520311</v>
      </c>
    </row>
    <row r="18" spans="1:4">
      <c r="A18" t="str">
        <v>05.2016</v>
      </c>
      <c r="B18" s="1">
        <v>42491</v>
      </c>
      <c r="C18" s="2" t="str">
        <f t="shared" si="0"/>
        <v>2016-05-01</v>
      </c>
      <c r="D18" s="3">
        <v>0.0560468832113443</v>
      </c>
    </row>
    <row r="19" spans="1:4">
      <c r="A19" t="str">
        <v>06.2016</v>
      </c>
      <c r="B19" s="1">
        <v>42522</v>
      </c>
      <c r="C19" s="2" t="str">
        <f t="shared" si="0"/>
        <v>2016-06-01</v>
      </c>
      <c r="D19" s="3">
        <v>0.0542449134112703</v>
      </c>
    </row>
    <row r="20" spans="1:4">
      <c r="A20" t="str">
        <v>07.2016</v>
      </c>
      <c r="B20" s="1">
        <v>42552</v>
      </c>
      <c r="C20" s="2" t="str">
        <f t="shared" si="0"/>
        <v>2016-07-01</v>
      </c>
      <c r="D20" s="3">
        <v>0.0531894317228361</v>
      </c>
    </row>
    <row r="21" spans="1:4">
      <c r="A21" t="str">
        <v>08.2016</v>
      </c>
      <c r="B21" s="1">
        <v>42583</v>
      </c>
      <c r="C21" s="2" t="str">
        <f t="shared" si="0"/>
        <v>2016-08-01</v>
      </c>
      <c r="D21" s="3">
        <v>0.0519295672289907</v>
      </c>
    </row>
    <row r="22" spans="1:4">
      <c r="A22" t="str">
        <v>09.2016</v>
      </c>
      <c r="B22" s="1">
        <v>42614</v>
      </c>
      <c r="C22" s="2" t="str">
        <f t="shared" si="0"/>
        <v>2016-09-01</v>
      </c>
      <c r="D22" s="3">
        <v>0.0519839238609533</v>
      </c>
    </row>
    <row r="23" spans="1:4">
      <c r="A23" t="str">
        <v>10.2016</v>
      </c>
      <c r="B23" s="1">
        <v>42644</v>
      </c>
      <c r="C23" s="2" t="str">
        <f t="shared" si="0"/>
        <v>2016-10-01</v>
      </c>
      <c r="D23" s="3">
        <v>0.0533576041361623</v>
      </c>
    </row>
    <row r="24" spans="1:4">
      <c r="A24" t="str">
        <v>11.2016</v>
      </c>
      <c r="B24" s="1">
        <v>42675</v>
      </c>
      <c r="C24" s="2" t="str">
        <f t="shared" si="0"/>
        <v>2016-11-01</v>
      </c>
      <c r="D24" s="3">
        <v>0.0534860167196634</v>
      </c>
    </row>
    <row r="25" spans="1:4">
      <c r="A25" t="str">
        <v>12.2016</v>
      </c>
      <c r="B25" s="1">
        <v>42705</v>
      </c>
      <c r="C25" s="2" t="str">
        <f t="shared" si="0"/>
        <v>2016-12-01</v>
      </c>
      <c r="D25" s="3">
        <v>0.0532165615047841</v>
      </c>
    </row>
    <row r="26" spans="1:4">
      <c r="A26" t="str">
        <v>01.2017</v>
      </c>
      <c r="B26" s="1">
        <v>42736</v>
      </c>
      <c r="C26" s="2" t="str">
        <f t="shared" si="0"/>
        <v>2017-01-01</v>
      </c>
      <c r="D26" s="3">
        <v>0.056313464434944</v>
      </c>
    </row>
    <row r="27" spans="1:4">
      <c r="A27" t="str">
        <v>02.2017</v>
      </c>
      <c r="B27" s="1">
        <v>42767</v>
      </c>
      <c r="C27" s="2" t="str">
        <f t="shared" si="0"/>
        <v>2017-02-01</v>
      </c>
      <c r="D27" s="3">
        <v>0.0557218338304036</v>
      </c>
    </row>
    <row r="28" spans="1:4">
      <c r="A28" t="str">
        <v>03.2017</v>
      </c>
      <c r="B28" s="1">
        <v>42795</v>
      </c>
      <c r="C28" s="2" t="str">
        <f t="shared" si="0"/>
        <v>2017-03-01</v>
      </c>
      <c r="D28" s="3">
        <v>0.0540524259618872</v>
      </c>
    </row>
    <row r="29" spans="1:4">
      <c r="A29" t="str">
        <v>04.2017</v>
      </c>
      <c r="B29" s="1">
        <v>42826</v>
      </c>
      <c r="C29" s="2" t="str">
        <f t="shared" si="0"/>
        <v>2017-04-01</v>
      </c>
      <c r="D29" s="3">
        <v>0.0532791326154677</v>
      </c>
    </row>
    <row r="30" spans="1:4">
      <c r="A30" t="str">
        <v>05.2017</v>
      </c>
      <c r="B30" s="1">
        <v>42856</v>
      </c>
      <c r="C30" s="2" t="str">
        <f t="shared" si="0"/>
        <v>2017-05-01</v>
      </c>
      <c r="D30" s="3">
        <v>0.0518545491982702</v>
      </c>
    </row>
    <row r="31" spans="1:4">
      <c r="A31" t="str">
        <v>06.2017</v>
      </c>
      <c r="B31" s="1">
        <v>42887</v>
      </c>
      <c r="C31" s="2" t="str">
        <f t="shared" si="0"/>
        <v>2017-06-01</v>
      </c>
      <c r="D31" s="3">
        <v>0.0505710610385577</v>
      </c>
    </row>
    <row r="32" spans="1:4">
      <c r="A32" t="str">
        <v>07.2017</v>
      </c>
      <c r="B32" s="1">
        <v>42917</v>
      </c>
      <c r="C32" s="2" t="str">
        <f t="shared" si="0"/>
        <v>2017-07-01</v>
      </c>
      <c r="D32" s="3">
        <v>0.0510605793932477</v>
      </c>
    </row>
    <row r="33" spans="1:4">
      <c r="A33" t="str">
        <v>08.2017</v>
      </c>
      <c r="B33" s="1">
        <v>42948</v>
      </c>
      <c r="C33" s="2" t="str">
        <f t="shared" si="0"/>
        <v>2017-08-01</v>
      </c>
      <c r="D33" s="3">
        <v>0.049300943101687</v>
      </c>
    </row>
    <row r="34" spans="1:4">
      <c r="A34" t="str">
        <v>09.2017</v>
      </c>
      <c r="B34" s="1">
        <v>42979</v>
      </c>
      <c r="C34" s="2" t="str">
        <f t="shared" si="0"/>
        <v>2017-09-01</v>
      </c>
      <c r="D34" s="3">
        <v>0.0496451341399499</v>
      </c>
    </row>
    <row r="35" spans="1:4">
      <c r="A35" t="str">
        <v>10.2017</v>
      </c>
      <c r="B35" s="1">
        <v>43009</v>
      </c>
      <c r="C35" s="2" t="str">
        <f t="shared" si="0"/>
        <v>2017-10-01</v>
      </c>
      <c r="D35" s="3">
        <v>0.0502583004961427</v>
      </c>
    </row>
    <row r="36" spans="1:4">
      <c r="A36" t="str">
        <v>11.2017</v>
      </c>
      <c r="B36" s="1">
        <v>43040</v>
      </c>
      <c r="C36" s="2" t="str">
        <f t="shared" si="0"/>
        <v>2017-11-01</v>
      </c>
      <c r="D36" s="3">
        <v>0.0507591164291118</v>
      </c>
    </row>
    <row r="37" spans="1:4">
      <c r="A37" t="str">
        <v>12.2017</v>
      </c>
      <c r="B37" s="1">
        <v>43070</v>
      </c>
      <c r="C37" s="2" t="str">
        <f t="shared" si="0"/>
        <v>2017-12-01</v>
      </c>
      <c r="D37" s="3">
        <v>0.0505508981001885</v>
      </c>
    </row>
    <row r="38" spans="1:4">
      <c r="A38" t="str">
        <v>01.2018</v>
      </c>
      <c r="B38" s="1">
        <v>43101</v>
      </c>
      <c r="C38" s="2" t="str">
        <f t="shared" si="0"/>
        <v>2018-01-01</v>
      </c>
      <c r="D38" s="3">
        <v>0.0515324250866138</v>
      </c>
    </row>
    <row r="39" spans="1:4">
      <c r="A39" t="str">
        <v>02.2018</v>
      </c>
      <c r="B39" s="1">
        <v>43132</v>
      </c>
      <c r="C39" s="2" t="str">
        <f t="shared" si="0"/>
        <v>2018-02-01</v>
      </c>
      <c r="D39" s="3">
        <v>0.0500668280446699</v>
      </c>
    </row>
    <row r="40" spans="1:4">
      <c r="A40" t="str">
        <v>03.2018</v>
      </c>
      <c r="B40" s="1">
        <v>43160</v>
      </c>
      <c r="C40" s="2" t="str">
        <f t="shared" si="0"/>
        <v>2018-03-01</v>
      </c>
      <c r="D40" s="3">
        <v>0.0500634108623153</v>
      </c>
    </row>
    <row r="41" spans="1:4">
      <c r="A41" t="str">
        <v>04.2018</v>
      </c>
      <c r="B41" s="1">
        <v>43191</v>
      </c>
      <c r="C41" s="2" t="str">
        <f t="shared" si="0"/>
        <v>2018-04-01</v>
      </c>
      <c r="D41" s="3">
        <v>0.0487662075578543</v>
      </c>
    </row>
    <row r="42" spans="1:4">
      <c r="A42" t="str">
        <v>05.2018</v>
      </c>
      <c r="B42" s="1">
        <v>43221</v>
      </c>
      <c r="C42" s="2" t="str">
        <f t="shared" si="0"/>
        <v>2018-05-01</v>
      </c>
      <c r="D42" s="3">
        <v>0.0472590897048941</v>
      </c>
    </row>
    <row r="43" spans="1:4">
      <c r="A43" t="str">
        <v>06.2018</v>
      </c>
      <c r="B43" s="1">
        <v>43252</v>
      </c>
      <c r="C43" s="2" t="str">
        <f t="shared" si="0"/>
        <v>2018-06-01</v>
      </c>
      <c r="D43" s="3">
        <v>0.046518798869718</v>
      </c>
    </row>
    <row r="44" spans="1:4">
      <c r="A44" t="str">
        <v>07.2018</v>
      </c>
      <c r="B44" s="1">
        <v>43282</v>
      </c>
      <c r="C44" s="2" t="str">
        <f t="shared" si="0"/>
        <v>2018-07-01</v>
      </c>
      <c r="D44" s="3">
        <v>0.0471995251995016</v>
      </c>
    </row>
    <row r="45" spans="1:4">
      <c r="A45" t="str">
        <v>08.2018</v>
      </c>
      <c r="B45" s="1">
        <v>43313</v>
      </c>
      <c r="C45" s="2" t="str">
        <f t="shared" si="0"/>
        <v>2018-08-01</v>
      </c>
      <c r="D45" s="3">
        <v>0.0455604885255307</v>
      </c>
    </row>
    <row r="46" spans="1:4">
      <c r="A46" t="str">
        <v>09.2018</v>
      </c>
      <c r="B46" s="1">
        <v>43344</v>
      </c>
      <c r="C46" s="2" t="str">
        <f t="shared" si="0"/>
        <v>2018-09-01</v>
      </c>
      <c r="D46" s="3">
        <v>0.0447787175967701</v>
      </c>
    </row>
    <row r="47" spans="1:4">
      <c r="A47" t="str">
        <v>10.2018</v>
      </c>
      <c r="B47" s="1">
        <v>43374</v>
      </c>
      <c r="C47" s="2" t="str">
        <f t="shared" si="0"/>
        <v>2018-10-01</v>
      </c>
      <c r="D47" s="3">
        <v>0.0473394509091345</v>
      </c>
    </row>
    <row r="48" spans="1:4">
      <c r="A48" t="str">
        <v>11.2018</v>
      </c>
      <c r="B48" s="1">
        <v>43405</v>
      </c>
      <c r="C48" s="2" t="str">
        <f t="shared" si="0"/>
        <v>2018-11-01</v>
      </c>
      <c r="D48" s="3">
        <v>0.0477801178687951</v>
      </c>
    </row>
    <row r="49" spans="1:4">
      <c r="A49" t="str">
        <v>12.2018</v>
      </c>
      <c r="B49" s="1">
        <v>43435</v>
      </c>
      <c r="C49" s="2" t="str">
        <f t="shared" si="0"/>
        <v>2018-12-01</v>
      </c>
      <c r="D49" s="3">
        <v>0.0483774024916962</v>
      </c>
    </row>
    <row r="50" spans="1:4">
      <c r="A50" t="str">
        <v>01.2019</v>
      </c>
      <c r="B50" s="1">
        <v>43466</v>
      </c>
      <c r="C50" s="2" t="str">
        <f t="shared" si="0"/>
        <v>2019-01-01</v>
      </c>
      <c r="D50" s="3">
        <v>0.0489531891229895</v>
      </c>
    </row>
    <row r="51" spans="1:4">
      <c r="A51" t="str">
        <v>02.2019</v>
      </c>
      <c r="B51" s="1">
        <v>43497</v>
      </c>
      <c r="C51" s="2" t="str">
        <f t="shared" si="0"/>
        <v>2019-02-01</v>
      </c>
      <c r="D51" s="3">
        <v>0.048601323415517</v>
      </c>
    </row>
    <row r="52" spans="1:4">
      <c r="A52" t="str">
        <v>03.2019</v>
      </c>
      <c r="B52" s="1">
        <v>43525</v>
      </c>
      <c r="C52" s="2" t="str">
        <f t="shared" si="0"/>
        <v>2019-03-01</v>
      </c>
      <c r="D52" s="3">
        <v>0.0468518374428007</v>
      </c>
    </row>
    <row r="53" spans="1:4">
      <c r="A53" t="str">
        <v>04.2019</v>
      </c>
      <c r="B53" s="1">
        <v>43556</v>
      </c>
      <c r="C53" s="2" t="str">
        <f t="shared" si="0"/>
        <v>2019-04-01</v>
      </c>
      <c r="D53" s="3">
        <v>0.0473770029567955</v>
      </c>
    </row>
    <row r="54" spans="1:4">
      <c r="A54" t="str">
        <v>05.2019</v>
      </c>
      <c r="B54" s="1">
        <v>43586</v>
      </c>
      <c r="C54" s="2" t="str">
        <f t="shared" si="0"/>
        <v>2019-05-01</v>
      </c>
      <c r="D54" s="3">
        <v>0.0454272784915986</v>
      </c>
    </row>
    <row r="55" spans="1:4">
      <c r="A55" t="str">
        <v>06.2019</v>
      </c>
      <c r="B55" s="1">
        <v>43617</v>
      </c>
      <c r="C55" s="2" t="str">
        <f t="shared" si="0"/>
        <v>2019-06-01</v>
      </c>
      <c r="D55" s="3">
        <v>0.0443427785512592</v>
      </c>
    </row>
    <row r="56" spans="1:4">
      <c r="A56" t="str">
        <v>07.2019</v>
      </c>
      <c r="B56" s="1">
        <v>43647</v>
      </c>
      <c r="C56" s="2" t="str">
        <f t="shared" si="0"/>
        <v>2019-07-01</v>
      </c>
      <c r="D56" s="3">
        <v>0.0446667654103995</v>
      </c>
    </row>
    <row r="57" spans="1:4">
      <c r="A57" t="str">
        <v>08.2019</v>
      </c>
      <c r="B57" s="1">
        <v>43678</v>
      </c>
      <c r="C57" s="2" t="str">
        <f t="shared" si="0"/>
        <v>2019-08-01</v>
      </c>
      <c r="D57" s="3">
        <v>0.0428927180240949</v>
      </c>
    </row>
    <row r="58" spans="1:4">
      <c r="A58" t="str">
        <v>09.2019</v>
      </c>
      <c r="B58" s="1">
        <v>43709</v>
      </c>
      <c r="C58" s="2" t="str">
        <f t="shared" si="0"/>
        <v>2019-09-01</v>
      </c>
      <c r="D58" s="3">
        <v>0.0445752966214776</v>
      </c>
    </row>
    <row r="59" spans="1:4">
      <c r="A59" t="str">
        <v>10.2019</v>
      </c>
      <c r="B59" s="1">
        <v>43739</v>
      </c>
      <c r="C59" s="2" t="str">
        <f t="shared" si="0"/>
        <v>2019-10-01</v>
      </c>
      <c r="D59" s="3">
        <v>0.0459140086386737</v>
      </c>
    </row>
    <row r="60" spans="1:4">
      <c r="A60" t="str">
        <v>11.2019</v>
      </c>
      <c r="B60" s="1">
        <v>43770</v>
      </c>
      <c r="C60" s="2" t="str">
        <f t="shared" si="0"/>
        <v>2019-11-01</v>
      </c>
      <c r="D60" s="3">
        <v>0.0462012397455587</v>
      </c>
    </row>
    <row r="61" spans="1:4">
      <c r="A61" t="str">
        <v>12.2019</v>
      </c>
      <c r="B61" s="1">
        <v>43800</v>
      </c>
      <c r="C61" s="2" t="str">
        <f t="shared" si="0"/>
        <v>2019-12-01</v>
      </c>
      <c r="D61" s="3">
        <v>0.0458467889485805</v>
      </c>
    </row>
    <row r="62" spans="1:4">
      <c r="A62" t="str">
        <v>01.2020</v>
      </c>
      <c r="B62" s="1">
        <v>43831</v>
      </c>
      <c r="C62" s="2" t="str">
        <f t="shared" si="0"/>
        <v>2020-01-01</v>
      </c>
      <c r="D62" s="3">
        <v>0.0463924575297902</v>
      </c>
    </row>
    <row r="63" spans="1:4">
      <c r="A63" t="str">
        <v>02.2020</v>
      </c>
      <c r="B63" s="1">
        <v>43862</v>
      </c>
      <c r="C63" s="2" t="str">
        <f t="shared" si="0"/>
        <v>2020-02-01</v>
      </c>
      <c r="D63" s="3">
        <v>0.0459927899686049</v>
      </c>
    </row>
    <row r="64" spans="1:4">
      <c r="A64" t="str">
        <v>03.2020</v>
      </c>
      <c r="B64" s="1">
        <v>43891</v>
      </c>
      <c r="C64" s="2" t="str">
        <f t="shared" si="0"/>
        <v>2020-03-01</v>
      </c>
      <c r="D64" s="3">
        <v>0.0464714748236359</v>
      </c>
    </row>
    <row r="65" spans="1:4">
      <c r="A65" t="str">
        <v>04.2020</v>
      </c>
      <c r="B65" s="1">
        <v>43922</v>
      </c>
      <c r="C65" s="2" t="str">
        <f t="shared" si="0"/>
        <v>2020-04-01</v>
      </c>
      <c r="D65" s="3">
        <v>0.0574476009478214</v>
      </c>
    </row>
    <row r="66" spans="1:4">
      <c r="A66" t="str">
        <v>05.2020</v>
      </c>
      <c r="B66" s="1">
        <v>43952</v>
      </c>
      <c r="C66" s="2" t="str">
        <f t="shared" ref="C66:C129" si="1">TEXT(B66,"yyyy-mm-01")</f>
        <v>2020-05-01</v>
      </c>
      <c r="D66" s="3">
        <v>0.0605602843028485</v>
      </c>
    </row>
    <row r="67" spans="1:4">
      <c r="A67" t="str">
        <v>06.2020</v>
      </c>
      <c r="B67" s="1">
        <v>43983</v>
      </c>
      <c r="C67" s="2" t="str">
        <f t="shared" si="1"/>
        <v>2020-06-01</v>
      </c>
      <c r="D67" s="3">
        <v>0.0617370407066406</v>
      </c>
    </row>
    <row r="68" spans="1:4">
      <c r="A68" t="str">
        <v>07.2020</v>
      </c>
      <c r="B68" s="1">
        <v>44013</v>
      </c>
      <c r="C68" s="2" t="str">
        <f t="shared" si="1"/>
        <v>2020-07-01</v>
      </c>
      <c r="D68" s="3">
        <v>0.0631158975011907</v>
      </c>
    </row>
    <row r="69" spans="1:4">
      <c r="A69" t="str">
        <v>08.2020</v>
      </c>
      <c r="B69" s="1">
        <v>44044</v>
      </c>
      <c r="C69" s="2" t="str">
        <f t="shared" si="1"/>
        <v>2020-08-01</v>
      </c>
      <c r="D69" s="3">
        <v>0.06378768475101</v>
      </c>
    </row>
    <row r="70" spans="1:4">
      <c r="A70" t="str">
        <v>09.2020</v>
      </c>
      <c r="B70" s="1">
        <v>44075</v>
      </c>
      <c r="C70" s="2" t="str">
        <f t="shared" si="1"/>
        <v>2020-09-01</v>
      </c>
      <c r="D70" s="3">
        <v>0.0635448095282817</v>
      </c>
    </row>
    <row r="71" spans="1:4">
      <c r="A71" t="str">
        <v>10.2020</v>
      </c>
      <c r="B71" s="1">
        <v>44105</v>
      </c>
      <c r="C71" s="2" t="str">
        <f t="shared" si="1"/>
        <v>2020-10-01</v>
      </c>
      <c r="D71" s="3">
        <v>0.0626108382917049</v>
      </c>
    </row>
    <row r="72" spans="1:4">
      <c r="A72" t="str">
        <v>11.2020</v>
      </c>
      <c r="B72" s="1">
        <v>44136</v>
      </c>
      <c r="C72" s="2" t="str">
        <f t="shared" si="1"/>
        <v>2020-11-01</v>
      </c>
      <c r="D72" s="3">
        <v>0.0611832250908534</v>
      </c>
    </row>
    <row r="73" spans="1:4">
      <c r="A73" t="str">
        <v>12.2020</v>
      </c>
      <c r="B73" s="1">
        <v>44166</v>
      </c>
      <c r="C73" s="2" t="str">
        <f t="shared" si="1"/>
        <v>2020-12-01</v>
      </c>
      <c r="D73" s="3">
        <v>0.0588032826262859</v>
      </c>
    </row>
    <row r="74" spans="1:4">
      <c r="A74" t="str">
        <v>01.2021</v>
      </c>
      <c r="B74" s="1">
        <v>44197</v>
      </c>
      <c r="C74" s="2" t="str">
        <f t="shared" si="1"/>
        <v>2021-01-01</v>
      </c>
      <c r="D74" s="3">
        <v>0.0576782339960883</v>
      </c>
    </row>
    <row r="75" spans="1:4">
      <c r="A75" t="str">
        <v>02.2021</v>
      </c>
      <c r="B75" s="1">
        <v>44228</v>
      </c>
      <c r="C75" s="2" t="str">
        <f t="shared" si="1"/>
        <v>2021-02-01</v>
      </c>
      <c r="D75" s="3">
        <v>0.0568973023508091</v>
      </c>
    </row>
    <row r="76" spans="1:4">
      <c r="A76" t="str">
        <v>03.2021</v>
      </c>
      <c r="B76" s="1">
        <v>44256</v>
      </c>
      <c r="C76" s="2" t="str">
        <f t="shared" si="1"/>
        <v>2021-03-01</v>
      </c>
      <c r="D76" s="3">
        <v>0.0540879863488278</v>
      </c>
    </row>
    <row r="77" spans="1:4">
      <c r="A77" t="str">
        <v>04.2021</v>
      </c>
      <c r="B77" s="1">
        <v>44287</v>
      </c>
      <c r="C77" s="2" t="str">
        <f t="shared" si="1"/>
        <v>2021-04-01</v>
      </c>
      <c r="D77" s="3">
        <v>0.0519697667069786</v>
      </c>
    </row>
    <row r="78" spans="1:4">
      <c r="A78" t="str">
        <v>05.2021</v>
      </c>
      <c r="B78" s="1">
        <v>44317</v>
      </c>
      <c r="C78" s="2" t="str">
        <f t="shared" si="1"/>
        <v>2021-05-01</v>
      </c>
      <c r="D78" s="3">
        <v>0.0490309224030265</v>
      </c>
    </row>
    <row r="79" spans="1:4">
      <c r="A79" t="str">
        <v>06.2021</v>
      </c>
      <c r="B79" s="1">
        <v>44348</v>
      </c>
      <c r="C79" s="2" t="str">
        <f t="shared" si="1"/>
        <v>2021-06-01</v>
      </c>
      <c r="D79" s="3">
        <v>0.0476849667299603</v>
      </c>
    </row>
    <row r="80" spans="1:4">
      <c r="A80" t="str">
        <v>07.2021</v>
      </c>
      <c r="B80" s="1">
        <v>44378</v>
      </c>
      <c r="C80" s="2" t="str">
        <f t="shared" si="1"/>
        <v>2021-07-01</v>
      </c>
      <c r="D80" s="3">
        <v>0.0456479236254107</v>
      </c>
    </row>
    <row r="81" spans="1:4">
      <c r="A81" t="str">
        <v>08.2021</v>
      </c>
      <c r="B81" s="1">
        <v>44409</v>
      </c>
      <c r="C81" s="2" t="str">
        <f t="shared" si="1"/>
        <v>2021-08-01</v>
      </c>
      <c r="D81" s="3">
        <v>0.044404173403026</v>
      </c>
    </row>
    <row r="82" spans="1:4">
      <c r="A82" t="str">
        <v>09.2021</v>
      </c>
      <c r="B82" s="1">
        <v>44440</v>
      </c>
      <c r="C82" s="2" t="str">
        <f t="shared" si="1"/>
        <v>2021-09-01</v>
      </c>
      <c r="D82" s="3">
        <v>0.0434189190264264</v>
      </c>
    </row>
    <row r="83" spans="1:4">
      <c r="A83" t="str">
        <v>10.2021</v>
      </c>
      <c r="B83" s="1">
        <v>44470</v>
      </c>
      <c r="C83" s="2" t="str">
        <f t="shared" si="1"/>
        <v>2021-10-01</v>
      </c>
      <c r="D83" s="3">
        <v>0.0434560998342333</v>
      </c>
    </row>
    <row r="84" spans="1:4">
      <c r="A84" t="str">
        <v>11.2021</v>
      </c>
      <c r="B84" s="1">
        <v>44501</v>
      </c>
      <c r="C84" s="2" t="str">
        <f t="shared" si="1"/>
        <v>2021-11-01</v>
      </c>
      <c r="D84" s="3">
        <v>0.0430101087446126</v>
      </c>
    </row>
    <row r="85" spans="1:4">
      <c r="A85" t="str">
        <v>12.2021</v>
      </c>
      <c r="B85" s="1">
        <v>44531</v>
      </c>
      <c r="C85" s="2" t="str">
        <f t="shared" si="1"/>
        <v>2021-12-01</v>
      </c>
      <c r="D85" s="3">
        <v>0.0428179408271792</v>
      </c>
    </row>
    <row r="86" spans="1:4">
      <c r="A86" t="str">
        <v>01.2022</v>
      </c>
      <c r="B86" s="1">
        <v>44562</v>
      </c>
      <c r="C86" s="2" t="str">
        <f t="shared" si="1"/>
        <v>2022-01-01</v>
      </c>
      <c r="D86" s="3">
        <v>0.0440557767484267</v>
      </c>
    </row>
    <row r="87" spans="1:4">
      <c r="A87" t="str">
        <v>02.2022</v>
      </c>
      <c r="B87" s="1">
        <v>44593</v>
      </c>
      <c r="C87" s="2" t="str">
        <f t="shared" si="1"/>
        <v>2022-02-01</v>
      </c>
      <c r="D87" s="3">
        <v>0.0410319053818899</v>
      </c>
    </row>
    <row r="88" spans="1:4">
      <c r="A88" t="str">
        <v>03.2022</v>
      </c>
      <c r="B88" s="1">
        <v>44621</v>
      </c>
      <c r="C88" s="2" t="str">
        <f t="shared" si="1"/>
        <v>2022-03-01</v>
      </c>
      <c r="D88" s="3">
        <v>0.0413328115501754</v>
      </c>
    </row>
    <row r="89" spans="1:4">
      <c r="A89" t="str">
        <v>04.2022</v>
      </c>
      <c r="B89" s="1">
        <v>44652</v>
      </c>
      <c r="C89" s="2" t="str">
        <f t="shared" si="1"/>
        <v>2022-04-01</v>
      </c>
      <c r="D89" s="3">
        <v>0.0401835574924346</v>
      </c>
    </row>
    <row r="90" spans="1:4">
      <c r="A90" t="str">
        <v>05.2022</v>
      </c>
      <c r="B90" s="1">
        <v>44682</v>
      </c>
      <c r="C90" s="2" t="str">
        <f t="shared" si="1"/>
        <v>2022-05-01</v>
      </c>
      <c r="D90" s="3">
        <v>0.0394958232310921</v>
      </c>
    </row>
    <row r="91" spans="1:4">
      <c r="A91" t="str">
        <v>06.2022</v>
      </c>
      <c r="B91" s="1">
        <v>44713</v>
      </c>
      <c r="C91" s="2" t="str">
        <f t="shared" si="1"/>
        <v>2022-06-01</v>
      </c>
      <c r="D91" s="3">
        <v>0.0395203569576101</v>
      </c>
    </row>
    <row r="92" spans="1:4">
      <c r="A92" t="str">
        <v>07.2022</v>
      </c>
      <c r="B92" s="1">
        <v>44743</v>
      </c>
      <c r="C92" s="2" t="str">
        <f t="shared" si="1"/>
        <v>2022-07-01</v>
      </c>
      <c r="D92" s="3">
        <v>0.0388522035258944</v>
      </c>
    </row>
    <row r="93" spans="1:4">
      <c r="A93" t="str">
        <v>08.2022</v>
      </c>
      <c r="B93" s="1">
        <v>44774</v>
      </c>
      <c r="C93" s="2" t="str">
        <f t="shared" si="1"/>
        <v>2022-08-01</v>
      </c>
      <c r="D93" s="3">
        <v>0.0380962819053331</v>
      </c>
    </row>
    <row r="94" spans="1:4">
      <c r="A94" t="str">
        <v>09.2022</v>
      </c>
      <c r="B94" s="1">
        <v>44805</v>
      </c>
      <c r="C94" s="2" t="str">
        <f t="shared" si="1"/>
        <v>2022-09-01</v>
      </c>
      <c r="D94" s="3">
        <v>0.0388291214792544</v>
      </c>
    </row>
    <row r="95" spans="1:4">
      <c r="A95" t="str">
        <v>10.2022</v>
      </c>
      <c r="B95" s="1">
        <v>44835</v>
      </c>
      <c r="C95" s="2" t="str">
        <f t="shared" si="1"/>
        <v>2022-10-01</v>
      </c>
      <c r="D95" s="3">
        <v>0.0387867037130285</v>
      </c>
    </row>
    <row r="96" spans="1:4">
      <c r="A96" t="str">
        <v>11.2022</v>
      </c>
      <c r="B96" s="1">
        <v>44866</v>
      </c>
      <c r="C96" s="2" t="str">
        <f t="shared" si="1"/>
        <v>2022-11-01</v>
      </c>
      <c r="D96" s="3">
        <v>0.0367829869865789</v>
      </c>
    </row>
    <row r="97" spans="1:4">
      <c r="A97" t="str">
        <v>11.2022</v>
      </c>
      <c r="B97" s="1">
        <v>44896</v>
      </c>
      <c r="C97" s="2" t="str">
        <f t="shared" si="1"/>
        <v>2022-12-01</v>
      </c>
      <c r="D97" s="3">
        <v>0.037230323793582</v>
      </c>
    </row>
    <row r="98" spans="1:4">
      <c r="A98" t="str">
        <v>01.2023</v>
      </c>
      <c r="B98" s="1">
        <v>44927</v>
      </c>
      <c r="C98" s="2" t="str">
        <f t="shared" si="1"/>
        <v>2023-01-01</v>
      </c>
      <c r="D98" s="3">
        <v>0.0361586325581047</v>
      </c>
    </row>
    <row r="99" spans="1:4">
      <c r="A99" t="str">
        <v>02.2023</v>
      </c>
      <c r="B99" s="1">
        <v>44958</v>
      </c>
      <c r="C99" s="2" t="str">
        <f t="shared" si="1"/>
        <v>2023-02-01</v>
      </c>
      <c r="D99" s="3">
        <v>0.0349371246274699</v>
      </c>
    </row>
    <row r="100" spans="1:4">
      <c r="A100" t="str">
        <v>03.2023</v>
      </c>
      <c r="B100" s="1">
        <v>44986</v>
      </c>
      <c r="C100" s="2" t="str">
        <f t="shared" si="1"/>
        <v>2023-03-01</v>
      </c>
      <c r="D100" s="3">
        <v>0.0345061409485759</v>
      </c>
    </row>
    <row r="101" spans="1:4">
      <c r="A101" t="str">
        <v>04.2023</v>
      </c>
      <c r="B101" s="1">
        <v>45017</v>
      </c>
      <c r="C101" s="2" t="str">
        <f t="shared" si="1"/>
        <v>2023-04-01</v>
      </c>
      <c r="D101" s="3">
        <v>0.0325264448889859</v>
      </c>
    </row>
    <row r="102" spans="1:4">
      <c r="A102" t="str">
        <v>05.2023</v>
      </c>
      <c r="B102" s="1">
        <v>45047</v>
      </c>
      <c r="C102" s="2" t="str">
        <f t="shared" si="1"/>
        <v>2023-05-01</v>
      </c>
      <c r="D102" s="3">
        <v>0.0317432821867413</v>
      </c>
    </row>
    <row r="103" spans="1:4">
      <c r="A103" t="str">
        <v>06.2023</v>
      </c>
      <c r="B103" s="1">
        <v>45078</v>
      </c>
      <c r="C103" s="2" t="str">
        <f t="shared" si="1"/>
        <v>2023-06-01</v>
      </c>
      <c r="D103" s="3">
        <v>0.0309583495486611</v>
      </c>
    </row>
    <row r="104" spans="1:4">
      <c r="A104" t="str">
        <v>07.2023</v>
      </c>
      <c r="B104" s="1">
        <v>45108</v>
      </c>
      <c r="C104" s="2" t="str">
        <f t="shared" si="1"/>
        <v>2023-07-01</v>
      </c>
      <c r="D104" s="3">
        <v>0.0298241749721674</v>
      </c>
    </row>
    <row r="105" spans="1:4">
      <c r="A105" t="str">
        <v>08.2023</v>
      </c>
      <c r="B105" s="1">
        <v>45139</v>
      </c>
      <c r="C105" s="2" t="str">
        <f t="shared" si="1"/>
        <v>2023-08-01</v>
      </c>
      <c r="D105" s="3">
        <v>0.0296471057177932</v>
      </c>
    </row>
    <row r="106" spans="1:4">
      <c r="A106" t="str">
        <v>09.2023</v>
      </c>
      <c r="B106" s="1">
        <v>45170</v>
      </c>
      <c r="C106" s="2" t="str">
        <f t="shared" si="1"/>
        <v>2023-09-01</v>
      </c>
      <c r="D106" s="3">
        <v>0.0301441677588467</v>
      </c>
    </row>
    <row r="107" spans="1:4">
      <c r="A107" t="str">
        <v>10.2023</v>
      </c>
      <c r="B107" s="1">
        <v>45200</v>
      </c>
      <c r="C107" s="2" t="str">
        <f t="shared" si="1"/>
        <v>2023-10-01</v>
      </c>
      <c r="D107" s="3">
        <v>0.0288335517693316</v>
      </c>
    </row>
    <row r="108" spans="1:4">
      <c r="A108" t="str">
        <v>11.2023</v>
      </c>
      <c r="B108" s="1">
        <v>45231</v>
      </c>
      <c r="C108" s="2" t="str">
        <f t="shared" si="1"/>
        <v>2023-11-01</v>
      </c>
      <c r="D108" s="3">
        <v>0.0292778665473573</v>
      </c>
    </row>
    <row r="109" spans="1:4">
      <c r="A109" t="str">
        <v>12.2023</v>
      </c>
      <c r="B109" s="1">
        <v>45261</v>
      </c>
      <c r="C109" s="2" t="str">
        <f t="shared" si="1"/>
        <v>2023-12-01</v>
      </c>
      <c r="D109" s="3">
        <v>0.0299120912431137</v>
      </c>
    </row>
    <row r="110" spans="1:4">
      <c r="A110" t="str">
        <v>01.2024</v>
      </c>
      <c r="B110" s="1">
        <v>45292</v>
      </c>
      <c r="C110" s="2" t="str">
        <f t="shared" si="1"/>
        <v>2024-01-01</v>
      </c>
      <c r="D110" s="3">
        <v>0.0285154234002819</v>
      </c>
    </row>
    <row r="111" spans="1:4">
      <c r="A111" t="str">
        <v>02.2024</v>
      </c>
      <c r="B111" s="1">
        <v>45323</v>
      </c>
      <c r="C111" s="2" t="str">
        <f t="shared" si="1"/>
        <v>2024-02-01</v>
      </c>
      <c r="D111" s="3">
        <v>0.0279274052822126</v>
      </c>
    </row>
    <row r="112" spans="1:4">
      <c r="A112" t="str">
        <v>03.2024</v>
      </c>
      <c r="B112" s="1">
        <v>45352</v>
      </c>
      <c r="C112" s="2" t="str">
        <f t="shared" si="1"/>
        <v>2024-03-01</v>
      </c>
      <c r="D112" s="3">
        <v>0.0267780930125632</v>
      </c>
    </row>
    <row r="113" spans="1:4">
      <c r="A113" t="str">
        <v>04.2024</v>
      </c>
      <c r="B113" s="1">
        <v>45383</v>
      </c>
      <c r="C113" s="2" t="str">
        <f t="shared" si="1"/>
        <v>2024-04-01</v>
      </c>
      <c r="D113" s="3">
        <v>0.0258225587174466</v>
      </c>
    </row>
    <row r="114" spans="1:4">
      <c r="A114" t="str">
        <v>05.2024</v>
      </c>
      <c r="B114" s="1">
        <v>45413</v>
      </c>
      <c r="C114" s="2" t="str">
        <f t="shared" si="1"/>
        <v>2024-05-01</v>
      </c>
      <c r="D114" s="3">
        <v>0.0263463298741744</v>
      </c>
    </row>
    <row r="115" spans="1:4">
      <c r="A115" t="str">
        <v>06.2024</v>
      </c>
      <c r="B115" s="1">
        <v>45444</v>
      </c>
      <c r="C115" s="2" t="str">
        <f t="shared" si="1"/>
        <v>2024-06-01</v>
      </c>
      <c r="D115" s="3">
        <v>0.024376223084303</v>
      </c>
    </row>
    <row r="116" spans="1:4">
      <c r="A116" t="str">
        <v>07.2024</v>
      </c>
      <c r="B116" s="1">
        <v>45474</v>
      </c>
      <c r="C116" s="2" t="str">
        <f t="shared" si="1"/>
        <v>2024-07-01</v>
      </c>
      <c r="D116" s="3">
        <v>0.0244352994346892</v>
      </c>
    </row>
    <row r="117" spans="1:4">
      <c r="A117" t="str">
        <v>08.2024</v>
      </c>
      <c r="B117" s="1">
        <v>45505</v>
      </c>
      <c r="C117" s="2" t="str">
        <f t="shared" si="1"/>
        <v>2024-08-01</v>
      </c>
      <c r="D117" s="3">
        <v>0.0241099839043761</v>
      </c>
    </row>
    <row r="118" spans="1:4">
      <c r="A118" t="str">
        <v>09.2024</v>
      </c>
      <c r="B118" s="1">
        <v>45536</v>
      </c>
      <c r="C118" s="2" t="str">
        <f t="shared" si="1"/>
        <v>2024-09-01</v>
      </c>
      <c r="D118" s="3">
        <v>0.0239069339271457</v>
      </c>
    </row>
    <row r="119" spans="1:4">
      <c r="A119" t="str">
        <v>10.2024</v>
      </c>
      <c r="B119" s="1">
        <v>45566</v>
      </c>
      <c r="C119" s="2" t="str">
        <f t="shared" si="1"/>
        <v>2024-10-01</v>
      </c>
      <c r="D119" s="3">
        <v>0.0229599347839373</v>
      </c>
    </row>
    <row r="120" spans="1:4">
      <c r="A120" t="str">
        <v>11.2024</v>
      </c>
      <c r="B120" s="1">
        <v>45597</v>
      </c>
      <c r="C120" s="2" t="str">
        <f t="shared" si="1"/>
        <v>2024-11-01</v>
      </c>
      <c r="D120" s="3">
        <v>0.0234450883291618</v>
      </c>
    </row>
    <row r="121" spans="1:4">
      <c r="A121" t="str">
        <v>12.2024</v>
      </c>
      <c r="B121" s="1">
        <v>45627</v>
      </c>
      <c r="C121" s="2" t="str">
        <f t="shared" si="1"/>
        <v>2024-12-01</v>
      </c>
      <c r="D121" s="3">
        <v>0.0234088852678433</v>
      </c>
    </row>
    <row r="122" spans="1:4">
      <c r="A122" t="str">
        <v>01.2025</v>
      </c>
      <c r="B122" s="1">
        <v>45658</v>
      </c>
      <c r="C122" s="2" t="str">
        <f t="shared" si="1"/>
        <v>2025-01-01</v>
      </c>
      <c r="D122" s="3">
        <v>0.0240286541335606</v>
      </c>
    </row>
    <row r="123" spans="1:4">
      <c r="A123" t="str">
        <v>02.2025</v>
      </c>
      <c r="B123" s="1">
        <v>45689</v>
      </c>
      <c r="C123" s="2" t="str">
        <f t="shared" si="1"/>
        <v>2025-02-01</v>
      </c>
      <c r="D123" s="3">
        <v>0.0236602321323133</v>
      </c>
    </row>
    <row r="124" spans="1:4">
      <c r="A124" t="str">
        <v>03.2025</v>
      </c>
      <c r="B124" s="1">
        <v>45717</v>
      </c>
      <c r="C124" s="2" t="str">
        <f t="shared" si="1"/>
        <v>2025-03-01</v>
      </c>
      <c r="D124" s="3">
        <v>0.0228105550838365</v>
      </c>
    </row>
    <row r="125" spans="1:4">
      <c r="A125" t="str">
        <v>04.2025</v>
      </c>
      <c r="B125" s="1">
        <v>45748</v>
      </c>
      <c r="C125" s="2" t="str">
        <f t="shared" si="1"/>
        <v>2025-04-01</v>
      </c>
      <c r="D125" s="3">
        <v>0.0223978919631094</v>
      </c>
    </row>
    <row r="126" spans="1:4">
      <c r="A126" t="str">
        <v>05.2025</v>
      </c>
      <c r="B126" s="1">
        <v>45778</v>
      </c>
      <c r="C126" s="2" t="str">
        <f t="shared" si="1"/>
        <v>2025-05-01</v>
      </c>
      <c r="D126" s="3">
        <v>0.0223097112860892</v>
      </c>
    </row>
    <row r="127" spans="1:4">
      <c r="A127" t="str">
        <v>06.2025</v>
      </c>
      <c r="B127" s="1">
        <v>45809</v>
      </c>
      <c r="C127" s="2" t="str">
        <f t="shared" si="1"/>
        <v>2025-06-01</v>
      </c>
      <c r="D127" s="3">
        <v>0.0222804718217562</v>
      </c>
    </row>
    <row r="128" spans="1:4">
      <c r="A128" t="str">
        <v>07.2025</v>
      </c>
      <c r="B128" s="1">
        <v>45839</v>
      </c>
      <c r="C128" s="2" t="str">
        <f t="shared" si="1"/>
        <v>2025-07-01</v>
      </c>
      <c r="D128" s="3">
        <v>0.02088772845953</v>
      </c>
    </row>
    <row r="129" spans="1:4">
      <c r="A129" t="str">
        <v>08.2025</v>
      </c>
      <c r="B129" s="1">
        <v>45870</v>
      </c>
      <c r="C129" s="2" t="str">
        <f t="shared" si="1"/>
        <v>2025-08-01</v>
      </c>
      <c r="D129" s="3">
        <v>0.0209150326797386</v>
      </c>
    </row>
    <row r="130" spans="1:4">
      <c r="A130" t="str">
        <v>09.2025</v>
      </c>
      <c r="B130" s="1">
        <v>45901</v>
      </c>
      <c r="C130" s="2" t="str">
        <f t="shared" ref="C130:C139" si="2">TEXT(B130,"yyyy-mm-01")</f>
        <v>2025-09-01</v>
      </c>
      <c r="D130" s="3">
        <v>0.020997375328084</v>
      </c>
    </row>
    <row r="131" spans="1:4">
      <c r="A131" t="str">
        <v>10.2025</v>
      </c>
      <c r="B131" s="1">
        <v>45931</v>
      </c>
      <c r="C131" s="2" t="str">
        <f t="shared" si="2"/>
        <v>2025-10-01</v>
      </c>
      <c r="D131" s="3">
        <v>0.0222222222222222</v>
      </c>
    </row>
    <row r="132" spans="1:4">
      <c r="A132" t="str">
        <v>11.2025</v>
      </c>
      <c r="B132" s="1">
        <v>45962</v>
      </c>
      <c r="C132" s="2" t="str">
        <f t="shared" si="2"/>
        <v>2025-11-01</v>
      </c>
      <c r="D132" s="3">
        <v>0.0209698558322412</v>
      </c>
    </row>
    <row r="133" spans="1:4">
      <c r="A133" t="str">
        <v>12.2025</v>
      </c>
      <c r="B133" s="1">
        <v>45992</v>
      </c>
      <c r="C133" s="2" t="str">
        <f t="shared" si="2"/>
        <v>2025-12-01</v>
      </c>
      <c r="D133" s="3">
        <v>0.020963981181871</v>
      </c>
    </row>
    <row r="134" spans="1:4">
      <c r="A134" t="str">
        <v>01.2026</v>
      </c>
      <c r="B134" s="1">
        <v>46023</v>
      </c>
      <c r="C134" s="2" t="str">
        <f t="shared" si="2"/>
        <v>2026-01-01</v>
      </c>
      <c r="D134" s="3">
        <v>0.0217966613820035</v>
      </c>
    </row>
    <row r="135" spans="1:4">
      <c r="A135" t="str">
        <v>02.2026</v>
      </c>
      <c r="B135" s="1">
        <v>46054</v>
      </c>
      <c r="C135" s="2" t="str">
        <f t="shared" si="2"/>
        <v>2026-02-01</v>
      </c>
      <c r="D135" s="3">
        <v>0.0214517434517651</v>
      </c>
    </row>
    <row r="136" spans="1:4">
      <c r="A136" t="str">
        <v>03.2026</v>
      </c>
      <c r="B136" s="1">
        <v>46082</v>
      </c>
      <c r="C136" s="2" t="str">
        <f t="shared" si="2"/>
        <v>2026-03-01</v>
      </c>
      <c r="D136" s="3">
        <v>0.0219530764636691</v>
      </c>
    </row>
    <row r="137" spans="1:4">
      <c r="A137" t="str">
        <v>04.2026</v>
      </c>
      <c r="B137" s="1">
        <v>46113</v>
      </c>
      <c r="C137" s="2" t="str">
        <f t="shared" si="2"/>
        <v>2026-04-01</v>
      </c>
      <c r="D137" s="3">
        <v>0.0220018089182684</v>
      </c>
    </row>
    <row r="138" spans="1:4">
      <c r="A138" t="str">
        <v>05.2026</v>
      </c>
      <c r="B138" s="1">
        <v>46143</v>
      </c>
      <c r="C138" s="2" t="str">
        <f t="shared" si="2"/>
        <v>2026-05-01</v>
      </c>
      <c r="D138" s="3">
        <v>0.0212003123539669</v>
      </c>
    </row>
    <row r="139" spans="1:4">
      <c r="A139" t="str">
        <v>06.2026</v>
      </c>
      <c r="B139" s="1">
        <v>46174</v>
      </c>
      <c r="C139" s="2" t="str">
        <f t="shared" si="2"/>
        <v>2026-06-01</v>
      </c>
      <c r="D139" s="3">
        <v>0.0222547648152004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"/>
  <sheetViews>
    <sheetView tabSelected="1" workbookViewId="0">
      <selection activeCell="A96" sqref="A96"/>
    </sheetView>
  </sheetViews>
  <sheetFormatPr defaultColWidth="9" defaultRowHeight="16.8" outlineLevelCol="1"/>
  <cols>
    <col min="1" max="1" width="11" customWidth="1"/>
    <col min="2" max="2" width="12.6875"/>
  </cols>
  <sheetData>
    <row r="1" spans="1:2">
      <c r="A1" t="s">
        <v>152</v>
      </c>
      <c r="B1" t="s">
        <v>153</v>
      </c>
    </row>
    <row r="2" spans="1:2">
      <c r="A2" t="str">
        <f>Sheet1!C2</f>
        <v>2015-01-01</v>
      </c>
      <c r="B2">
        <f>Sheet1!D2</f>
        <v>0.0548678014623444</v>
      </c>
    </row>
    <row r="3" spans="1:2">
      <c r="A3" t="str">
        <f>Sheet1!C3</f>
        <v>2015-02-01</v>
      </c>
      <c r="B3">
        <f>Sheet1!D3</f>
        <v>0.0579719681430033</v>
      </c>
    </row>
    <row r="4" spans="1:2">
      <c r="A4" t="str">
        <f>Sheet1!C4</f>
        <v>2015-03-01</v>
      </c>
      <c r="B4">
        <f>Sheet1!D4</f>
        <v>0.0590856724637512</v>
      </c>
    </row>
    <row r="5" spans="1:2">
      <c r="A5" t="str">
        <f>Sheet1!C5</f>
        <v>2015-04-01</v>
      </c>
      <c r="B5">
        <f>Sheet1!D5</f>
        <v>0.0579548915797611</v>
      </c>
    </row>
    <row r="6" spans="1:2">
      <c r="A6" t="str">
        <f>Sheet1!C6</f>
        <v>2015-05-01</v>
      </c>
      <c r="B6">
        <f>Sheet1!D6</f>
        <v>0.0556006020667172</v>
      </c>
    </row>
    <row r="7" spans="1:2">
      <c r="A7" t="str">
        <f>Sheet1!C7</f>
        <v>2015-06-01</v>
      </c>
      <c r="B7">
        <f>Sheet1!D7</f>
        <v>0.0533275533089963</v>
      </c>
    </row>
    <row r="8" spans="1:2">
      <c r="A8" t="str">
        <f>Sheet1!C8</f>
        <v>2015-07-01</v>
      </c>
      <c r="B8">
        <f>Sheet1!D8</f>
        <v>0.0526094762423386</v>
      </c>
    </row>
    <row r="9" spans="1:2">
      <c r="A9" t="str">
        <f>Sheet1!C9</f>
        <v>2015-08-01</v>
      </c>
      <c r="B9">
        <f>Sheet1!D9</f>
        <v>0.0524421267453087</v>
      </c>
    </row>
    <row r="10" spans="1:2">
      <c r="A10" t="str">
        <f>Sheet1!C10</f>
        <v>2015-09-01</v>
      </c>
      <c r="B10">
        <f>Sheet1!D10</f>
        <v>0.0524350092192109</v>
      </c>
    </row>
    <row r="11" spans="1:2">
      <c r="A11" t="str">
        <f>Sheet1!C11</f>
        <v>2015-10-01</v>
      </c>
      <c r="B11">
        <f>Sheet1!D11</f>
        <v>0.0554163226057837</v>
      </c>
    </row>
    <row r="12" spans="1:2">
      <c r="A12" t="str">
        <f>Sheet1!C12</f>
        <v>2015-11-01</v>
      </c>
      <c r="B12">
        <f>Sheet1!D12</f>
        <v>0.0578194699544202</v>
      </c>
    </row>
    <row r="13" spans="1:2">
      <c r="A13" t="str">
        <f>Sheet1!C13</f>
        <v>2015-12-01</v>
      </c>
      <c r="B13">
        <f>Sheet1!D13</f>
        <v>0.057632490831087</v>
      </c>
    </row>
    <row r="14" spans="1:2">
      <c r="A14" t="str">
        <f>Sheet1!C14</f>
        <v>2016-01-01</v>
      </c>
      <c r="B14">
        <f>Sheet1!D14</f>
        <v>0.058354198858122</v>
      </c>
    </row>
    <row r="15" spans="1:2">
      <c r="A15" t="str">
        <f>Sheet1!C15</f>
        <v>2016-02-01</v>
      </c>
      <c r="B15">
        <f>Sheet1!D15</f>
        <v>0.0581681684018808</v>
      </c>
    </row>
    <row r="16" spans="1:2">
      <c r="A16" t="str">
        <f>Sheet1!C16</f>
        <v>2016-03-01</v>
      </c>
      <c r="B16">
        <f>Sheet1!D16</f>
        <v>0.0598760860009593</v>
      </c>
    </row>
    <row r="17" spans="1:2">
      <c r="A17" t="str">
        <f>Sheet1!C17</f>
        <v>2016-04-01</v>
      </c>
      <c r="B17">
        <f>Sheet1!D17</f>
        <v>0.0590200245520311</v>
      </c>
    </row>
    <row r="18" spans="1:2">
      <c r="A18" t="str">
        <f>Sheet1!C18</f>
        <v>2016-05-01</v>
      </c>
      <c r="B18">
        <f>Sheet1!D18</f>
        <v>0.0560468832113443</v>
      </c>
    </row>
    <row r="19" spans="1:2">
      <c r="A19" t="str">
        <f>Sheet1!C19</f>
        <v>2016-06-01</v>
      </c>
      <c r="B19">
        <f>Sheet1!D19</f>
        <v>0.0542449134112703</v>
      </c>
    </row>
    <row r="20" spans="1:2">
      <c r="A20" t="str">
        <f>Sheet1!C20</f>
        <v>2016-07-01</v>
      </c>
      <c r="B20">
        <f>Sheet1!D20</f>
        <v>0.0531894317228361</v>
      </c>
    </row>
    <row r="21" spans="1:2">
      <c r="A21" t="str">
        <f>Sheet1!C21</f>
        <v>2016-08-01</v>
      </c>
      <c r="B21">
        <f>Sheet1!D21</f>
        <v>0.0519295672289907</v>
      </c>
    </row>
    <row r="22" spans="1:2">
      <c r="A22" t="str">
        <f>Sheet1!C22</f>
        <v>2016-09-01</v>
      </c>
      <c r="B22">
        <f>Sheet1!D22</f>
        <v>0.0519839238609533</v>
      </c>
    </row>
    <row r="23" spans="1:2">
      <c r="A23" t="str">
        <f>Sheet1!C23</f>
        <v>2016-10-01</v>
      </c>
      <c r="B23">
        <f>Sheet1!D23</f>
        <v>0.0533576041361623</v>
      </c>
    </row>
    <row r="24" spans="1:2">
      <c r="A24" t="str">
        <f>Sheet1!C24</f>
        <v>2016-11-01</v>
      </c>
      <c r="B24">
        <f>Sheet1!D24</f>
        <v>0.0534860167196634</v>
      </c>
    </row>
    <row r="25" spans="1:2">
      <c r="A25" t="str">
        <f>Sheet1!C25</f>
        <v>2016-12-01</v>
      </c>
      <c r="B25">
        <f>Sheet1!D25</f>
        <v>0.0532165615047841</v>
      </c>
    </row>
    <row r="26" spans="1:2">
      <c r="A26" t="str">
        <f>Sheet1!C26</f>
        <v>2017-01-01</v>
      </c>
      <c r="B26">
        <f>Sheet1!D26</f>
        <v>0.056313464434944</v>
      </c>
    </row>
    <row r="27" spans="1:2">
      <c r="A27" t="str">
        <f>Sheet1!C27</f>
        <v>2017-02-01</v>
      </c>
      <c r="B27">
        <f>Sheet1!D27</f>
        <v>0.0557218338304036</v>
      </c>
    </row>
    <row r="28" spans="1:2">
      <c r="A28" t="str">
        <f>Sheet1!C28</f>
        <v>2017-03-01</v>
      </c>
      <c r="B28">
        <f>Sheet1!D28</f>
        <v>0.0540524259618872</v>
      </c>
    </row>
    <row r="29" spans="1:2">
      <c r="A29" t="str">
        <f>Sheet1!C29</f>
        <v>2017-04-01</v>
      </c>
      <c r="B29">
        <f>Sheet1!D29</f>
        <v>0.0532791326154677</v>
      </c>
    </row>
    <row r="30" spans="1:2">
      <c r="A30" t="str">
        <f>Sheet1!C30</f>
        <v>2017-05-01</v>
      </c>
      <c r="B30">
        <f>Sheet1!D30</f>
        <v>0.0518545491982702</v>
      </c>
    </row>
    <row r="31" spans="1:2">
      <c r="A31" t="str">
        <f>Sheet1!C31</f>
        <v>2017-06-01</v>
      </c>
      <c r="B31">
        <f>Sheet1!D31</f>
        <v>0.0505710610385577</v>
      </c>
    </row>
    <row r="32" spans="1:2">
      <c r="A32" t="str">
        <f>Sheet1!C32</f>
        <v>2017-07-01</v>
      </c>
      <c r="B32">
        <f>Sheet1!D32</f>
        <v>0.0510605793932477</v>
      </c>
    </row>
    <row r="33" spans="1:2">
      <c r="A33" t="str">
        <f>Sheet1!C33</f>
        <v>2017-08-01</v>
      </c>
      <c r="B33">
        <f>Sheet1!D33</f>
        <v>0.049300943101687</v>
      </c>
    </row>
    <row r="34" spans="1:2">
      <c r="A34" t="str">
        <f>Sheet1!C34</f>
        <v>2017-09-01</v>
      </c>
      <c r="B34">
        <f>Sheet1!D34</f>
        <v>0.0496451341399499</v>
      </c>
    </row>
    <row r="35" spans="1:2">
      <c r="A35" t="str">
        <f>Sheet1!C35</f>
        <v>2017-10-01</v>
      </c>
      <c r="B35">
        <f>Sheet1!D35</f>
        <v>0.0502583004961427</v>
      </c>
    </row>
    <row r="36" spans="1:2">
      <c r="A36" t="str">
        <f>Sheet1!C36</f>
        <v>2017-11-01</v>
      </c>
      <c r="B36">
        <f>Sheet1!D36</f>
        <v>0.0507591164291118</v>
      </c>
    </row>
    <row r="37" spans="1:2">
      <c r="A37" t="str">
        <f>Sheet1!C37</f>
        <v>2017-12-01</v>
      </c>
      <c r="B37">
        <f>Sheet1!D37</f>
        <v>0.0505508981001885</v>
      </c>
    </row>
    <row r="38" spans="1:2">
      <c r="A38" t="str">
        <f>Sheet1!C38</f>
        <v>2018-01-01</v>
      </c>
      <c r="B38">
        <f>Sheet1!D38</f>
        <v>0.0515324250866138</v>
      </c>
    </row>
    <row r="39" spans="1:2">
      <c r="A39" t="str">
        <f>Sheet1!C39</f>
        <v>2018-02-01</v>
      </c>
      <c r="B39">
        <f>Sheet1!D39</f>
        <v>0.0500668280446699</v>
      </c>
    </row>
    <row r="40" spans="1:2">
      <c r="A40" t="str">
        <f>Sheet1!C40</f>
        <v>2018-03-01</v>
      </c>
      <c r="B40">
        <f>Sheet1!D40</f>
        <v>0.0500634108623153</v>
      </c>
    </row>
    <row r="41" spans="1:2">
      <c r="A41" t="str">
        <f>Sheet1!C41</f>
        <v>2018-04-01</v>
      </c>
      <c r="B41">
        <f>Sheet1!D41</f>
        <v>0.0487662075578543</v>
      </c>
    </row>
    <row r="42" spans="1:2">
      <c r="A42" t="str">
        <f>Sheet1!C42</f>
        <v>2018-05-01</v>
      </c>
      <c r="B42">
        <f>Sheet1!D42</f>
        <v>0.0472590897048941</v>
      </c>
    </row>
    <row r="43" spans="1:2">
      <c r="A43" t="str">
        <f>Sheet1!C43</f>
        <v>2018-06-01</v>
      </c>
      <c r="B43">
        <f>Sheet1!D43</f>
        <v>0.046518798869718</v>
      </c>
    </row>
    <row r="44" spans="1:2">
      <c r="A44" t="str">
        <f>Sheet1!C44</f>
        <v>2018-07-01</v>
      </c>
      <c r="B44">
        <f>Sheet1!D44</f>
        <v>0.0471995251995016</v>
      </c>
    </row>
    <row r="45" spans="1:2">
      <c r="A45" t="str">
        <f>Sheet1!C45</f>
        <v>2018-08-01</v>
      </c>
      <c r="B45">
        <f>Sheet1!D45</f>
        <v>0.0455604885255307</v>
      </c>
    </row>
    <row r="46" spans="1:2">
      <c r="A46" t="str">
        <f>Sheet1!C46</f>
        <v>2018-09-01</v>
      </c>
      <c r="B46">
        <f>Sheet1!D46</f>
        <v>0.0447787175967701</v>
      </c>
    </row>
    <row r="47" spans="1:2">
      <c r="A47" t="str">
        <f>Sheet1!C47</f>
        <v>2018-10-01</v>
      </c>
      <c r="B47">
        <f>Sheet1!D47</f>
        <v>0.0473394509091345</v>
      </c>
    </row>
    <row r="48" spans="1:2">
      <c r="A48" t="str">
        <f>Sheet1!C48</f>
        <v>2018-11-01</v>
      </c>
      <c r="B48">
        <f>Sheet1!D48</f>
        <v>0.0477801178687951</v>
      </c>
    </row>
    <row r="49" spans="1:2">
      <c r="A49" t="str">
        <f>Sheet1!C49</f>
        <v>2018-12-01</v>
      </c>
      <c r="B49">
        <f>Sheet1!D49</f>
        <v>0.0483774024916962</v>
      </c>
    </row>
    <row r="50" spans="1:2">
      <c r="A50" t="str">
        <f>Sheet1!C50</f>
        <v>2019-01-01</v>
      </c>
      <c r="B50">
        <f>Sheet1!D50</f>
        <v>0.0489531891229895</v>
      </c>
    </row>
    <row r="51" spans="1:2">
      <c r="A51" t="str">
        <f>Sheet1!C51</f>
        <v>2019-02-01</v>
      </c>
      <c r="B51">
        <f>Sheet1!D51</f>
        <v>0.048601323415517</v>
      </c>
    </row>
    <row r="52" spans="1:2">
      <c r="A52" t="str">
        <f>Sheet1!C52</f>
        <v>2019-03-01</v>
      </c>
      <c r="B52">
        <f>Sheet1!D52</f>
        <v>0.0468518374428007</v>
      </c>
    </row>
    <row r="53" spans="1:2">
      <c r="A53" t="str">
        <f>Sheet1!C53</f>
        <v>2019-04-01</v>
      </c>
      <c r="B53">
        <f>Sheet1!D53</f>
        <v>0.0473770029567955</v>
      </c>
    </row>
    <row r="54" spans="1:2">
      <c r="A54" t="str">
        <f>Sheet1!C54</f>
        <v>2019-05-01</v>
      </c>
      <c r="B54">
        <f>Sheet1!D54</f>
        <v>0.0454272784915986</v>
      </c>
    </row>
    <row r="55" spans="1:2">
      <c r="A55" t="str">
        <f>Sheet1!C55</f>
        <v>2019-06-01</v>
      </c>
      <c r="B55">
        <f>Sheet1!D55</f>
        <v>0.0443427785512592</v>
      </c>
    </row>
    <row r="56" spans="1:2">
      <c r="A56" t="str">
        <f>Sheet1!C56</f>
        <v>2019-07-01</v>
      </c>
      <c r="B56">
        <f>Sheet1!D56</f>
        <v>0.0446667654103995</v>
      </c>
    </row>
    <row r="57" spans="1:2">
      <c r="A57" t="str">
        <f>Sheet1!C57</f>
        <v>2019-08-01</v>
      </c>
      <c r="B57">
        <f>Sheet1!D57</f>
        <v>0.0428927180240949</v>
      </c>
    </row>
    <row r="58" spans="1:2">
      <c r="A58" t="str">
        <f>Sheet1!C58</f>
        <v>2019-09-01</v>
      </c>
      <c r="B58">
        <f>Sheet1!D58</f>
        <v>0.0445752966214776</v>
      </c>
    </row>
    <row r="59" spans="1:2">
      <c r="A59" t="str">
        <f>Sheet1!C59</f>
        <v>2019-10-01</v>
      </c>
      <c r="B59">
        <f>Sheet1!D59</f>
        <v>0.0459140086386737</v>
      </c>
    </row>
    <row r="60" spans="1:2">
      <c r="A60" t="str">
        <f>Sheet1!C60</f>
        <v>2019-11-01</v>
      </c>
      <c r="B60">
        <f>Sheet1!D60</f>
        <v>0.0462012397455587</v>
      </c>
    </row>
    <row r="61" spans="1:2">
      <c r="A61" t="str">
        <f>Sheet1!C61</f>
        <v>2019-12-01</v>
      </c>
      <c r="B61">
        <f>Sheet1!D61</f>
        <v>0.0458467889485805</v>
      </c>
    </row>
    <row r="62" spans="1:2">
      <c r="A62" t="str">
        <f>Sheet1!C62</f>
        <v>2020-01-01</v>
      </c>
      <c r="B62">
        <f>Sheet1!D62</f>
        <v>0.0463924575297902</v>
      </c>
    </row>
    <row r="63" spans="1:2">
      <c r="A63" t="str">
        <f>Sheet1!C63</f>
        <v>2020-02-01</v>
      </c>
      <c r="B63">
        <f>Sheet1!D63</f>
        <v>0.0459927899686049</v>
      </c>
    </row>
    <row r="64" spans="1:2">
      <c r="A64" t="str">
        <f>Sheet1!C64</f>
        <v>2020-03-01</v>
      </c>
      <c r="B64">
        <f>Sheet1!D64</f>
        <v>0.0464714748236359</v>
      </c>
    </row>
    <row r="65" spans="1:2">
      <c r="A65" t="str">
        <f>Sheet1!C65</f>
        <v>2020-04-01</v>
      </c>
      <c r="B65">
        <f>Sheet1!D65</f>
        <v>0.0574476009478214</v>
      </c>
    </row>
    <row r="66" spans="1:2">
      <c r="A66" t="str">
        <f>Sheet1!C66</f>
        <v>2020-05-01</v>
      </c>
      <c r="B66">
        <f>Sheet1!D66</f>
        <v>0.0605602843028485</v>
      </c>
    </row>
    <row r="67" spans="1:2">
      <c r="A67" t="str">
        <f>Sheet1!C67</f>
        <v>2020-06-01</v>
      </c>
      <c r="B67">
        <f>Sheet1!D67</f>
        <v>0.0617370407066406</v>
      </c>
    </row>
    <row r="68" spans="1:2">
      <c r="A68" t="str">
        <f>Sheet1!C68</f>
        <v>2020-07-01</v>
      </c>
      <c r="B68">
        <f>Sheet1!D68</f>
        <v>0.0631158975011907</v>
      </c>
    </row>
    <row r="69" spans="1:2">
      <c r="A69" t="str">
        <f>Sheet1!C69</f>
        <v>2020-08-01</v>
      </c>
      <c r="B69">
        <f>Sheet1!D69</f>
        <v>0.06378768475101</v>
      </c>
    </row>
    <row r="70" spans="1:2">
      <c r="A70" t="str">
        <f>Sheet1!C70</f>
        <v>2020-09-01</v>
      </c>
      <c r="B70">
        <f>Sheet1!D70</f>
        <v>0.0635448095282817</v>
      </c>
    </row>
    <row r="71" spans="1:2">
      <c r="A71" t="str">
        <f>Sheet1!C71</f>
        <v>2020-10-01</v>
      </c>
      <c r="B71">
        <f>Sheet1!D71</f>
        <v>0.0626108382917049</v>
      </c>
    </row>
    <row r="72" spans="1:2">
      <c r="A72" t="str">
        <f>Sheet1!C72</f>
        <v>2020-11-01</v>
      </c>
      <c r="B72">
        <f>Sheet1!D72</f>
        <v>0.0611832250908534</v>
      </c>
    </row>
    <row r="73" spans="1:2">
      <c r="A73" t="str">
        <f>Sheet1!C73</f>
        <v>2020-12-01</v>
      </c>
      <c r="B73">
        <f>Sheet1!D73</f>
        <v>0.0588032826262859</v>
      </c>
    </row>
    <row r="74" spans="1:2">
      <c r="A74" t="str">
        <f>Sheet1!C74</f>
        <v>2021-01-01</v>
      </c>
      <c r="B74">
        <f>Sheet1!D74</f>
        <v>0.0576782339960883</v>
      </c>
    </row>
    <row r="75" spans="1:2">
      <c r="A75" t="str">
        <f>Sheet1!C75</f>
        <v>2021-02-01</v>
      </c>
      <c r="B75">
        <f>Sheet1!D75</f>
        <v>0.0568973023508091</v>
      </c>
    </row>
    <row r="76" spans="1:2">
      <c r="A76" t="str">
        <f>Sheet1!C76</f>
        <v>2021-03-01</v>
      </c>
      <c r="B76">
        <f>Sheet1!D76</f>
        <v>0.0540879863488278</v>
      </c>
    </row>
    <row r="77" spans="1:2">
      <c r="A77" t="str">
        <f>Sheet1!C77</f>
        <v>2021-04-01</v>
      </c>
      <c r="B77">
        <f>Sheet1!D77</f>
        <v>0.0519697667069786</v>
      </c>
    </row>
    <row r="78" spans="1:2">
      <c r="A78" t="str">
        <f>Sheet1!C78</f>
        <v>2021-05-01</v>
      </c>
      <c r="B78">
        <f>Sheet1!D78</f>
        <v>0.0490309224030265</v>
      </c>
    </row>
    <row r="79" spans="1:2">
      <c r="A79" t="str">
        <f>Sheet1!C79</f>
        <v>2021-06-01</v>
      </c>
      <c r="B79">
        <f>Sheet1!D79</f>
        <v>0.0476849667299603</v>
      </c>
    </row>
    <row r="80" spans="1:2">
      <c r="A80" t="str">
        <f>Sheet1!C80</f>
        <v>2021-07-01</v>
      </c>
      <c r="B80">
        <f>Sheet1!D80</f>
        <v>0.0456479236254107</v>
      </c>
    </row>
    <row r="81" spans="1:2">
      <c r="A81" t="str">
        <f>Sheet1!C81</f>
        <v>2021-08-01</v>
      </c>
      <c r="B81">
        <f>Sheet1!D81</f>
        <v>0.044404173403026</v>
      </c>
    </row>
    <row r="82" spans="1:2">
      <c r="A82" t="str">
        <f>Sheet1!C82</f>
        <v>2021-09-01</v>
      </c>
      <c r="B82">
        <f>Sheet1!D82</f>
        <v>0.0434189190264264</v>
      </c>
    </row>
    <row r="83" spans="1:2">
      <c r="A83" t="str">
        <f>Sheet1!C83</f>
        <v>2021-10-01</v>
      </c>
      <c r="B83">
        <f>Sheet1!D83</f>
        <v>0.0434560998342333</v>
      </c>
    </row>
    <row r="84" spans="1:2">
      <c r="A84" t="str">
        <f>Sheet1!C84</f>
        <v>2021-11-01</v>
      </c>
      <c r="B84">
        <f>Sheet1!D84</f>
        <v>0.0430101087446126</v>
      </c>
    </row>
    <row r="85" spans="1:2">
      <c r="A85" t="str">
        <f>Sheet1!C85</f>
        <v>2021-12-01</v>
      </c>
      <c r="B85">
        <f>Sheet1!D85</f>
        <v>0.0428179408271792</v>
      </c>
    </row>
    <row r="86" spans="1:2">
      <c r="A86" t="str">
        <f>Sheet1!C86</f>
        <v>2022-01-01</v>
      </c>
      <c r="B86">
        <f>Sheet1!D86</f>
        <v>0.0440557767484267</v>
      </c>
    </row>
    <row r="87" spans="1:2">
      <c r="A87" t="str">
        <f>Sheet1!C87</f>
        <v>2022-02-01</v>
      </c>
      <c r="B87">
        <f>Sheet1!D87</f>
        <v>0.0410319053818899</v>
      </c>
    </row>
    <row r="88" spans="1:2">
      <c r="A88" t="str">
        <f>Sheet1!C88</f>
        <v>2022-03-01</v>
      </c>
      <c r="B88">
        <f>Sheet1!D88</f>
        <v>0.0413328115501754</v>
      </c>
    </row>
    <row r="89" spans="1:2">
      <c r="A89" t="str">
        <f>Sheet1!C89</f>
        <v>2022-04-01</v>
      </c>
      <c r="B89">
        <f>Sheet1!D89</f>
        <v>0.0401835574924346</v>
      </c>
    </row>
    <row r="90" spans="1:2">
      <c r="A90" t="str">
        <f>Sheet1!C90</f>
        <v>2022-05-01</v>
      </c>
      <c r="B90">
        <f>Sheet1!D90</f>
        <v>0.0394958232310921</v>
      </c>
    </row>
    <row r="91" spans="1:2">
      <c r="A91" t="str">
        <f>Sheet1!C91</f>
        <v>2022-06-01</v>
      </c>
      <c r="B91">
        <f>Sheet1!D91</f>
        <v>0.0395203569576101</v>
      </c>
    </row>
    <row r="92" spans="1:2">
      <c r="A92" t="str">
        <f>Sheet1!C92</f>
        <v>2022-07-01</v>
      </c>
      <c r="B92">
        <f>Sheet1!D92</f>
        <v>0.0388522035258944</v>
      </c>
    </row>
    <row r="93" spans="1:2">
      <c r="A93" t="str">
        <f>Sheet1!C93</f>
        <v>2022-08-01</v>
      </c>
      <c r="B93">
        <f>Sheet1!D93</f>
        <v>0.0380962819053331</v>
      </c>
    </row>
    <row r="94" spans="1:2">
      <c r="A94" t="str">
        <f>Sheet1!C94</f>
        <v>2022-09-01</v>
      </c>
      <c r="B94">
        <f>Sheet1!D94</f>
        <v>0.0388291214792544</v>
      </c>
    </row>
    <row r="95" spans="1:2">
      <c r="A95" t="str">
        <f>Sheet1!C95</f>
        <v>2022-10-01</v>
      </c>
      <c r="B95">
        <f>Sheet1!D95</f>
        <v>0.0387867037130285</v>
      </c>
    </row>
    <row r="96" spans="1:2">
      <c r="A96" t="str">
        <f>Sheet1!C96</f>
        <v>2022-11-01</v>
      </c>
      <c r="B96">
        <f>Sheet1!D96</f>
        <v>0.0367829869865789</v>
      </c>
    </row>
    <row r="97" spans="1:2">
      <c r="A97" t="str">
        <f>Sheet1!C97</f>
        <v>2022-12-01</v>
      </c>
      <c r="B97">
        <f>Sheet1!D97</f>
        <v>0.037230323793582</v>
      </c>
    </row>
    <row r="98" spans="1:2">
      <c r="A98" t="str">
        <f>Sheet1!C98</f>
        <v>2023-01-01</v>
      </c>
      <c r="B98">
        <f>Sheet1!D98</f>
        <v>0.0361586325581047</v>
      </c>
    </row>
    <row r="99" spans="1:2">
      <c r="A99" t="str">
        <f>Sheet1!C99</f>
        <v>2023-02-01</v>
      </c>
      <c r="B99">
        <f>Sheet1!D99</f>
        <v>0.0349371246274699</v>
      </c>
    </row>
    <row r="100" spans="1:2">
      <c r="A100" t="str">
        <f>Sheet1!C100</f>
        <v>2023-03-01</v>
      </c>
      <c r="B100">
        <f>Sheet1!D100</f>
        <v>0.0345061409485759</v>
      </c>
    </row>
    <row r="101" spans="1:2">
      <c r="A101" t="str">
        <f>Sheet1!C101</f>
        <v>2023-04-01</v>
      </c>
      <c r="B101">
        <f>Sheet1!D101</f>
        <v>0.0325264448889859</v>
      </c>
    </row>
    <row r="102" spans="1:2">
      <c r="A102" t="str">
        <f>Sheet1!C102</f>
        <v>2023-05-01</v>
      </c>
      <c r="B102">
        <f>Sheet1!D102</f>
        <v>0.0317432821867413</v>
      </c>
    </row>
    <row r="103" spans="1:2">
      <c r="A103" t="str">
        <f>Sheet1!C103</f>
        <v>2023-06-01</v>
      </c>
      <c r="B103">
        <f>Sheet1!D103</f>
        <v>0.0309583495486611</v>
      </c>
    </row>
    <row r="104" spans="1:2">
      <c r="A104" t="str">
        <f>Sheet1!C104</f>
        <v>2023-07-01</v>
      </c>
      <c r="B104">
        <f>Sheet1!D104</f>
        <v>0.0298241749721674</v>
      </c>
    </row>
    <row r="105" spans="1:2">
      <c r="A105" t="str">
        <f>Sheet1!C105</f>
        <v>2023-08-01</v>
      </c>
      <c r="B105">
        <f>Sheet1!D105</f>
        <v>0.0296471057177932</v>
      </c>
    </row>
    <row r="106" spans="1:2">
      <c r="A106" t="str">
        <f>Sheet1!C106</f>
        <v>2023-09-01</v>
      </c>
      <c r="B106">
        <f>Sheet1!D106</f>
        <v>0.0301441677588467</v>
      </c>
    </row>
    <row r="107" spans="1:2">
      <c r="A107" t="str">
        <f>Sheet1!C107</f>
        <v>2023-10-01</v>
      </c>
      <c r="B107">
        <f>Sheet1!D107</f>
        <v>0.0288335517693316</v>
      </c>
    </row>
    <row r="108" spans="1:2">
      <c r="A108" t="str">
        <f>Sheet1!C108</f>
        <v>2023-11-01</v>
      </c>
      <c r="B108">
        <f>Sheet1!D108</f>
        <v>0.0292778665473573</v>
      </c>
    </row>
    <row r="109" spans="1:2">
      <c r="A109" t="str">
        <f>Sheet1!C109</f>
        <v>2023-12-01</v>
      </c>
      <c r="B109">
        <f>Sheet1!D109</f>
        <v>0.0299120912431137</v>
      </c>
    </row>
    <row r="110" spans="1:2">
      <c r="A110" t="str">
        <f>Sheet1!C110</f>
        <v>2024-01-01</v>
      </c>
      <c r="B110">
        <f>Sheet1!D110</f>
        <v>0.0285154234002819</v>
      </c>
    </row>
    <row r="111" spans="1:2">
      <c r="A111" t="str">
        <f>Sheet1!C111</f>
        <v>2024-02-01</v>
      </c>
      <c r="B111">
        <f>Sheet1!D111</f>
        <v>0.0279274052822126</v>
      </c>
    </row>
    <row r="112" spans="1:2">
      <c r="A112" t="str">
        <f>Sheet1!C112</f>
        <v>2024-03-01</v>
      </c>
      <c r="B112">
        <f>Sheet1!D112</f>
        <v>0.0267780930125632</v>
      </c>
    </row>
    <row r="113" spans="1:2">
      <c r="A113" t="str">
        <f>Sheet1!C113</f>
        <v>2024-04-01</v>
      </c>
      <c r="B113">
        <f>Sheet1!D113</f>
        <v>0.0258225587174466</v>
      </c>
    </row>
    <row r="114" spans="1:2">
      <c r="A114" t="str">
        <f>Sheet1!C114</f>
        <v>2024-05-01</v>
      </c>
      <c r="B114">
        <f>Sheet1!D114</f>
        <v>0.0263463298741744</v>
      </c>
    </row>
    <row r="115" spans="1:2">
      <c r="A115" t="str">
        <f>Sheet1!C115</f>
        <v>2024-06-01</v>
      </c>
      <c r="B115">
        <f>Sheet1!D115</f>
        <v>0.024376223084303</v>
      </c>
    </row>
    <row r="116" spans="1:2">
      <c r="A116" t="str">
        <f>Sheet1!C116</f>
        <v>2024-07-01</v>
      </c>
      <c r="B116">
        <f>Sheet1!D116</f>
        <v>0.0244352994346892</v>
      </c>
    </row>
    <row r="117" spans="1:2">
      <c r="A117" t="str">
        <f>Sheet1!C117</f>
        <v>2024-08-01</v>
      </c>
      <c r="B117">
        <f>Sheet1!D117</f>
        <v>0.0241099839043761</v>
      </c>
    </row>
    <row r="118" spans="1:2">
      <c r="A118" t="str">
        <f>Sheet1!C118</f>
        <v>2024-09-01</v>
      </c>
      <c r="B118">
        <f>Sheet1!D118</f>
        <v>0.0239069339271457</v>
      </c>
    </row>
    <row r="119" spans="1:2">
      <c r="A119" t="str">
        <f>Sheet1!C119</f>
        <v>2024-10-01</v>
      </c>
      <c r="B119">
        <f>Sheet1!D119</f>
        <v>0.0229599347839373</v>
      </c>
    </row>
    <row r="120" spans="1:2">
      <c r="A120" t="str">
        <f>Sheet1!C120</f>
        <v>2024-11-01</v>
      </c>
      <c r="B120">
        <f>Sheet1!D120</f>
        <v>0.0234450883291618</v>
      </c>
    </row>
    <row r="121" spans="1:2">
      <c r="A121" t="str">
        <f>Sheet1!C121</f>
        <v>2024-12-01</v>
      </c>
      <c r="B121">
        <f>Sheet1!D121</f>
        <v>0.0234088852678433</v>
      </c>
    </row>
    <row r="122" spans="1:2">
      <c r="A122" t="str">
        <f>Sheet1!C122</f>
        <v>2025-01-01</v>
      </c>
      <c r="B122">
        <f>Sheet1!D122</f>
        <v>0.0240286541335606</v>
      </c>
    </row>
    <row r="123" spans="1:2">
      <c r="A123" t="str">
        <f>Sheet1!C123</f>
        <v>2025-02-01</v>
      </c>
      <c r="B123">
        <f>Sheet1!D123</f>
        <v>0.0236602321323133</v>
      </c>
    </row>
    <row r="124" spans="1:2">
      <c r="A124" t="str">
        <f>Sheet1!C124</f>
        <v>2025-03-01</v>
      </c>
      <c r="B124">
        <f>Sheet1!D124</f>
        <v>0.0228105550838365</v>
      </c>
    </row>
    <row r="125" spans="1:2">
      <c r="A125" t="str">
        <f>Sheet1!C125</f>
        <v>2025-04-01</v>
      </c>
      <c r="B125">
        <f>Sheet1!D125</f>
        <v>0.0223978919631094</v>
      </c>
    </row>
    <row r="126" spans="1:2">
      <c r="A126" t="str">
        <f>Sheet1!C126</f>
        <v>2025-05-01</v>
      </c>
      <c r="B126">
        <f>Sheet1!D126</f>
        <v>0.0223097112860892</v>
      </c>
    </row>
    <row r="127" spans="1:2">
      <c r="A127" t="str">
        <f>Sheet1!C127</f>
        <v>2025-06-01</v>
      </c>
      <c r="B127">
        <f>Sheet1!D127</f>
        <v>0.0222804718217562</v>
      </c>
    </row>
    <row r="128" spans="1:2">
      <c r="A128" t="str">
        <f>Sheet1!C128</f>
        <v>2025-07-01</v>
      </c>
      <c r="B128">
        <f>Sheet1!D128</f>
        <v>0.02088772845953</v>
      </c>
    </row>
    <row r="129" spans="1:2">
      <c r="A129" t="str">
        <f>Sheet1!C129</f>
        <v>2025-08-01</v>
      </c>
      <c r="B129">
        <f>Sheet1!D129</f>
        <v>0.0209150326797386</v>
      </c>
    </row>
    <row r="130" spans="1:2">
      <c r="A130" t="str">
        <f>Sheet1!C130</f>
        <v>2025-09-01</v>
      </c>
      <c r="B130">
        <f>Sheet1!D130</f>
        <v>0.020997375328084</v>
      </c>
    </row>
    <row r="131" spans="1:2">
      <c r="A131" t="str">
        <f>Sheet1!C131</f>
        <v>2025-10-01</v>
      </c>
      <c r="B131">
        <f>Sheet1!D131</f>
        <v>0.0222222222222222</v>
      </c>
    </row>
    <row r="132" spans="1:2">
      <c r="A132" t="str">
        <f>Sheet1!C132</f>
        <v>2025-11-01</v>
      </c>
      <c r="B132">
        <f>Sheet1!D132</f>
        <v>0.0209698558322412</v>
      </c>
    </row>
    <row r="133" spans="1:2">
      <c r="A133" t="str">
        <f>Sheet1!C133</f>
        <v>2025-12-01</v>
      </c>
      <c r="B133">
        <f>Sheet1!D133</f>
        <v>0.020963981181871</v>
      </c>
    </row>
    <row r="134" spans="1:2">
      <c r="A134" t="str">
        <f>Sheet1!C134</f>
        <v>2026-01-01</v>
      </c>
      <c r="B134">
        <f>Sheet1!D134</f>
        <v>0.0217966613820035</v>
      </c>
    </row>
    <row r="135" spans="1:2">
      <c r="A135" t="str">
        <f>Sheet1!C135</f>
        <v>2026-02-01</v>
      </c>
      <c r="B135">
        <f>Sheet1!D135</f>
        <v>0.0214517434517651</v>
      </c>
    </row>
    <row r="136" spans="1:2">
      <c r="A136" t="str">
        <f>Sheet1!C136</f>
        <v>2026-03-01</v>
      </c>
      <c r="B136">
        <f>Sheet1!D136</f>
        <v>0.0219530764636691</v>
      </c>
    </row>
    <row r="137" spans="1:2">
      <c r="A137" t="str">
        <f>Sheet1!C137</f>
        <v>2026-04-01</v>
      </c>
      <c r="B137">
        <f>Sheet1!D137</f>
        <v>0.0220018089182684</v>
      </c>
    </row>
    <row r="138" spans="1:2">
      <c r="A138" t="str">
        <f>Sheet1!C138</f>
        <v>2026-05-01</v>
      </c>
      <c r="B138">
        <f>Sheet1!D138</f>
        <v>0.0212003123539669</v>
      </c>
    </row>
    <row r="139" spans="1:2">
      <c r="A139" t="str">
        <f>Sheet1!C139</f>
        <v>2026-06-01</v>
      </c>
      <c r="B139">
        <f>Sheet1!D139</f>
        <v>0.0222547648152004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labor market</vt:lpstr>
      <vt:lpstr>Sheet1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Сунаева Юлия Валерьевна</dc:creator>
  <cp:lastModifiedBy>Darkhan Mashirapov</cp:lastModifiedBy>
  <dcterms:created xsi:type="dcterms:W3CDTF">2022-04-21T01:35:00Z</dcterms:created>
  <cp:lastPrinted>2022-04-28T02:17:00Z</cp:lastPrinted>
  <dcterms:modified xsi:type="dcterms:W3CDTF">2026-09-01T10:20:04Z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D477BF3487519195828B886A5227479A_42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